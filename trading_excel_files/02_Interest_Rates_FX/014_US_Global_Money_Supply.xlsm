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9980" yWindow="-640" windowWidth="46200" windowHeight="283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dd-mm-YYYY"/>
    <numFmt numFmtId="170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90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3" fillId="2" borderId="15" applyAlignment="1" pivotButton="0" quotePrefix="0" xfId="0">
      <alignment horizontal="center"/>
    </xf>
    <xf numFmtId="0" fontId="3" fillId="2" borderId="16" applyAlignment="1" pivotButton="0" quotePrefix="0" xfId="0">
      <alignment horizontal="center"/>
    </xf>
    <xf numFmtId="0" fontId="3" fillId="2" borderId="16" applyAlignment="1" pivotButton="0" quotePrefix="0" xfId="0">
      <alignment horizontal="center" vertical="center"/>
    </xf>
    <xf numFmtId="0" fontId="3" fillId="2" borderId="17" applyAlignment="1" pivotButton="0" quotePrefix="0" xfId="0">
      <alignment horizontal="center"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0" fontId="0" fillId="0" borderId="0" pivotButton="0" quotePrefix="0" xfId="0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8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69" fontId="0" fillId="0" borderId="0" pivotButton="0" quotePrefix="0" xfId="0"/>
    <xf numFmtId="169" fontId="0" fillId="0" borderId="0" pivotButton="0" quotePrefix="0" xfId="0"/>
  </cellXfs>
  <cellStyles count="5">
    <cellStyle name="Normal" xfId="0" builtinId="0"/>
    <cellStyle name="Hyperlink" xfId="1" builtinId="8"/>
    <cellStyle name="Per 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US M2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'!$B$5</f>
              <strCache>
                <ptCount val="1"/>
                <pt idx="0">
                  <v>M2 Money Stock, Billions of Dollars, Monthly,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'!$A$6:$A$762</f>
              <numCache>
                <formatCode>m/d/yy</formatCode>
                <ptCount val="75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'!$B$6:$B$762</f>
              <numCache>
                <formatCode>0.0</formatCode>
                <ptCount val="75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4880.1</v>
                </pt>
                <pt idx="503">
                  <v>4924.7</v>
                </pt>
                <pt idx="504">
                  <v>4975.3</v>
                </pt>
                <pt idx="505">
                  <v>5013.5</v>
                </pt>
                <pt idx="506">
                  <v>5071.2</v>
                </pt>
                <pt idx="507">
                  <v>5135.2</v>
                </pt>
                <pt idx="508">
                  <v>5132.2</v>
                </pt>
                <pt idx="509">
                  <v>5172.5</v>
                </pt>
                <pt idx="510">
                  <v>5202.4</v>
                </pt>
                <pt idx="511">
                  <v>5236.3</v>
                </pt>
                <pt idx="512">
                  <v>5347.4</v>
                </pt>
                <pt idx="513">
                  <v>5336</v>
                </pt>
                <pt idx="514">
                  <v>5379.6</v>
                </pt>
                <pt idx="515">
                  <v>5432.7</v>
                </pt>
                <pt idx="516">
                  <v>5453</v>
                </pt>
                <pt idx="517">
                  <v>5482.4</v>
                </pt>
                <pt idx="518">
                  <v>5494.2</v>
                </pt>
                <pt idx="519">
                  <v>5494.4</v>
                </pt>
                <pt idx="520">
                  <v>5520.6</v>
                </pt>
                <pt idx="521">
                  <v>5545.6</v>
                </pt>
                <pt idx="522">
                  <v>5588.2</v>
                </pt>
                <pt idx="523">
                  <v>5630.6</v>
                </pt>
                <pt idx="524">
                  <v>5655</v>
                </pt>
                <pt idx="525">
                  <v>5699.6</v>
                </pt>
                <pt idx="526">
                  <v>5749.7</v>
                </pt>
                <pt idx="527">
                  <v>5770.9</v>
                </pt>
                <pt idx="528">
                  <v>5803.5</v>
                </pt>
                <pt idx="529">
                  <v>5839.5</v>
                </pt>
                <pt idx="530">
                  <v>5860.3</v>
                </pt>
                <pt idx="531">
                  <v>5897.7</v>
                </pt>
                <pt idx="532">
                  <v>5958</v>
                </pt>
                <pt idx="533">
                  <v>5994.7</v>
                </pt>
                <pt idx="534">
                  <v>6041.4</v>
                </pt>
                <pt idx="535">
                  <v>6099.5</v>
                </pt>
                <pt idx="536">
                  <v>6071.6</v>
                </pt>
                <pt idx="537">
                  <v>6062.5</v>
                </pt>
                <pt idx="538">
                  <v>6067.7</v>
                </pt>
                <pt idx="539">
                  <v>6065.9</v>
                </pt>
                <pt idx="540">
                  <v>6074.4</v>
                </pt>
                <pt idx="541">
                  <v>6113.2</v>
                </pt>
                <pt idx="542">
                  <v>6149</v>
                </pt>
                <pt idx="543">
                  <v>6190.2</v>
                </pt>
                <pt idx="544">
                  <v>6267</v>
                </pt>
                <pt idx="545">
                  <v>6269.4</v>
                </pt>
                <pt idx="546">
                  <v>6283.1</v>
                </pt>
                <pt idx="547">
                  <v>6309.2</v>
                </pt>
                <pt idx="548">
                  <v>6343.9</v>
                </pt>
                <pt idx="549">
                  <v>6372.1</v>
                </pt>
                <pt idx="550">
                  <v>6398.7</v>
                </pt>
                <pt idx="551">
                  <v>6417.2</v>
                </pt>
                <pt idx="552">
                  <v>6423.4</v>
                </pt>
                <pt idx="553">
                  <v>6431.8</v>
                </pt>
                <pt idx="554">
                  <v>6440.8</v>
                </pt>
                <pt idx="555">
                  <v>6454.7</v>
                </pt>
                <pt idx="556">
                  <v>6472</v>
                </pt>
                <pt idx="557">
                  <v>6504.4</v>
                </pt>
                <pt idx="558">
                  <v>6536</v>
                </pt>
                <pt idx="559">
                  <v>6568.7</v>
                </pt>
                <pt idx="560">
                  <v>6602.9</v>
                </pt>
                <pt idx="561">
                  <v>6637</v>
                </pt>
                <pt idx="562">
                  <v>6653.4</v>
                </pt>
                <pt idx="563">
                  <v>6680.1</v>
                </pt>
                <pt idx="564">
                  <v>6722.5</v>
                </pt>
                <pt idx="565">
                  <v>6746.8</v>
                </pt>
                <pt idx="566">
                  <v>6761.1</v>
                </pt>
                <pt idx="567">
                  <v>6798.5</v>
                </pt>
                <pt idx="568">
                  <v>6805.2</v>
                </pt>
                <pt idx="569">
                  <v>6843.2</v>
                </pt>
                <pt idx="570">
                  <v>6884.6</v>
                </pt>
                <pt idx="571">
                  <v>6915.4</v>
                </pt>
                <pt idx="572">
                  <v>6942.6</v>
                </pt>
                <pt idx="573">
                  <v>6991.6</v>
                </pt>
                <pt idx="574">
                  <v>7026.5</v>
                </pt>
                <pt idx="575">
                  <v>7069.5</v>
                </pt>
                <pt idx="576">
                  <v>7107.4</v>
                </pt>
                <pt idx="577">
                  <v>7123.2</v>
                </pt>
                <pt idx="578">
                  <v>7156.9</v>
                </pt>
                <pt idx="579">
                  <v>7229.3</v>
                </pt>
                <pt idx="580">
                  <v>7243.2</v>
                </pt>
                <pt idx="581">
                  <v>7276.3</v>
                </pt>
                <pt idx="582">
                  <v>7306.6</v>
                </pt>
                <pt idx="583">
                  <v>7382.8</v>
                </pt>
                <pt idx="584">
                  <v>7401.1</v>
                </pt>
                <pt idx="585">
                  <v>7414.8</v>
                </pt>
                <pt idx="586">
                  <v>7439.6</v>
                </pt>
                <pt idx="587">
                  <v>7469.4</v>
                </pt>
                <pt idx="588">
                  <v>7503.1</v>
                </pt>
                <pt idx="589">
                  <v>7587.6</v>
                </pt>
                <pt idx="590">
                  <v>7653.3</v>
                </pt>
                <pt idx="591">
                  <v>7696.1</v>
                </pt>
                <pt idx="592">
                  <v>7708.3</v>
                </pt>
                <pt idx="593">
                  <v>7725.8</v>
                </pt>
                <pt idx="594">
                  <v>7772.1</v>
                </pt>
                <pt idx="595">
                  <v>7787</v>
                </pt>
                <pt idx="596">
                  <v>7856.5</v>
                </pt>
                <pt idx="597">
                  <v>7963.1</v>
                </pt>
                <pt idx="598">
                  <v>8013.5</v>
                </pt>
                <pt idx="599">
                  <v>8189.7</v>
                </pt>
                <pt idx="600">
                  <v>8271.200000000001</v>
                </pt>
                <pt idx="601">
                  <v>8300.5</v>
                </pt>
                <pt idx="602">
                  <v>8366.5</v>
                </pt>
                <pt idx="603">
                  <v>8369.9</v>
                </pt>
                <pt idx="604">
                  <v>8427.6</v>
                </pt>
                <pt idx="605">
                  <v>8437.200000000001</v>
                </pt>
                <pt idx="606">
                  <v>8442</v>
                </pt>
                <pt idx="607">
                  <v>8441.799999999999</v>
                </pt>
                <pt idx="608">
                  <v>8441.1</v>
                </pt>
                <pt idx="609">
                  <v>8468.1</v>
                </pt>
                <pt idx="610">
                  <v>8498.200000000001</v>
                </pt>
                <pt idx="611">
                  <v>8493.1</v>
                </pt>
                <pt idx="612">
                  <v>8455.4</v>
                </pt>
                <pt idx="613">
                  <v>8505.1</v>
                </pt>
                <pt idx="614">
                  <v>8502.200000000001</v>
                </pt>
                <pt idx="615">
                  <v>8532.799999999999</v>
                </pt>
                <pt idx="616">
                  <v>8587.700000000001</v>
                </pt>
                <pt idx="617">
                  <v>8606.700000000001</v>
                </pt>
                <pt idx="618">
                  <v>8616.299999999999</v>
                </pt>
                <pt idx="619">
                  <v>8666.700000000001</v>
                </pt>
                <pt idx="620">
                  <v>8697.799999999999</v>
                </pt>
                <pt idx="621">
                  <v>8746.9</v>
                </pt>
                <pt idx="622">
                  <v>8767.700000000001</v>
                </pt>
                <pt idx="623">
                  <v>8799.4</v>
                </pt>
                <pt idx="624">
                  <v>8820.4</v>
                </pt>
                <pt idx="625">
                  <v>8884.200000000001</v>
                </pt>
                <pt idx="626">
                  <v>8940.6</v>
                </pt>
                <pt idx="627">
                  <v>9002.1</v>
                </pt>
                <pt idx="628">
                  <v>9072.700000000001</v>
                </pt>
                <pt idx="629">
                  <v>9148.4</v>
                </pt>
                <pt idx="630">
                  <v>9313.799999999999</v>
                </pt>
                <pt idx="631">
                  <v>9505</v>
                </pt>
                <pt idx="632">
                  <v>9525.799999999999</v>
                </pt>
                <pt idx="633">
                  <v>9559.5</v>
                </pt>
                <pt idx="634">
                  <v>9610.1</v>
                </pt>
                <pt idx="635">
                  <v>9657.700000000001</v>
                </pt>
                <pt idx="636">
                  <v>9731.5</v>
                </pt>
                <pt idx="637">
                  <v>9789.299999999999</v>
                </pt>
                <pt idx="638">
                  <v>9837.1</v>
                </pt>
                <pt idx="639">
                  <v>9889.9</v>
                </pt>
                <pt idx="640">
                  <v>9934.6</v>
                </pt>
                <pt idx="641">
                  <v>9998.1</v>
                </pt>
                <pt idx="642">
                  <v>10055.3</v>
                </pt>
                <pt idx="643">
                  <v>10115.2</v>
                </pt>
                <pt idx="644">
                  <v>10193.1</v>
                </pt>
                <pt idx="645">
                  <v>10256.5</v>
                </pt>
                <pt idx="646">
                  <v>10319.8</v>
                </pt>
                <pt idx="647">
                  <v>10451.5</v>
                </pt>
                <pt idx="648">
                  <v>10477</v>
                </pt>
                <pt idx="649">
                  <v>10489.1</v>
                </pt>
                <pt idx="650">
                  <v>10555.8</v>
                </pt>
                <pt idx="651">
                  <v>10590.3</v>
                </pt>
                <pt idx="652">
                  <v>10630.1</v>
                </pt>
                <pt idx="653">
                  <v>10682.5</v>
                </pt>
                <pt idx="654">
                  <v>10728.9</v>
                </pt>
                <pt idx="655">
                  <v>10783.5</v>
                </pt>
                <pt idx="656">
                  <v>10835.3</v>
                </pt>
                <pt idx="657">
                  <v>10948.7</v>
                </pt>
                <pt idx="658">
                  <v>10954.1</v>
                </pt>
                <pt idx="659">
                  <v>11020.3</v>
                </pt>
                <pt idx="660">
                  <v>11076.6</v>
                </pt>
                <pt idx="661">
                  <v>11169.3</v>
                </pt>
                <pt idx="662">
                  <v>11207.6</v>
                </pt>
                <pt idx="663">
                  <v>11259.8</v>
                </pt>
                <pt idx="664">
                  <v>11326.3</v>
                </pt>
                <pt idx="665">
                  <v>11377.2</v>
                </pt>
                <pt idx="666">
                  <v>11434</v>
                </pt>
                <pt idx="667">
                  <v>11462.9</v>
                </pt>
                <pt idx="668">
                  <v>11496.7</v>
                </pt>
                <pt idx="669">
                  <v>11558.6</v>
                </pt>
                <pt idx="670">
                  <v>11594.7</v>
                </pt>
                <pt idx="671">
                  <v>11674</v>
                </pt>
                <pt idx="672">
                  <v>11743.9</v>
                </pt>
                <pt idx="673">
                  <v>11871.7</v>
                </pt>
                <pt idx="674">
                  <v>11888.1</v>
                </pt>
                <pt idx="675">
                  <v>11927.6</v>
                </pt>
                <pt idx="676">
                  <v>11957.9</v>
                </pt>
                <pt idx="677">
                  <v>12002.9</v>
                </pt>
                <pt idx="678">
                  <v>12052</v>
                </pt>
                <pt idx="679">
                  <v>12100.6</v>
                </pt>
                <pt idx="680">
                  <v>12154.6</v>
                </pt>
                <pt idx="681">
                  <v>12192.5</v>
                </pt>
                <pt idx="682">
                  <v>12277</v>
                </pt>
                <pt idx="683">
                  <v>12340.1</v>
                </pt>
                <pt idx="684">
                  <v>12471.4</v>
                </pt>
                <pt idx="685">
                  <v>12552.3</v>
                </pt>
                <pt idx="686">
                  <v>12616.6</v>
                </pt>
                <pt idx="687">
                  <v>12697</v>
                </pt>
                <pt idx="688">
                  <v>12763.7</v>
                </pt>
                <pt idx="689">
                  <v>12830.6</v>
                </pt>
                <pt idx="690">
                  <v>12889.1</v>
                </pt>
                <pt idx="691">
                  <v>12968.2</v>
                </pt>
                <pt idx="692">
                  <v>13027.4</v>
                </pt>
                <pt idx="693">
                  <v>13099.7</v>
                </pt>
                <pt idx="694">
                  <v>13174.1</v>
                </pt>
                <pt idx="695">
                  <v>13214.2</v>
                </pt>
                <pt idx="696">
                  <v>13288.7</v>
                </pt>
                <pt idx="697">
                  <v>13359.2</v>
                </pt>
                <pt idx="698">
                  <v>13428.6</v>
                </pt>
                <pt idx="699">
                  <v>13486.6</v>
                </pt>
                <pt idx="700">
                  <v>13537.3</v>
                </pt>
                <pt idx="701">
                  <v>13564.7</v>
                </pt>
                <pt idx="702">
                  <v>13621.8</v>
                </pt>
                <pt idx="703">
                  <v>13671.4</v>
                </pt>
                <pt idx="704">
                  <v>13714.4</v>
                </pt>
                <pt idx="705">
                  <v>13767.6</v>
                </pt>
                <pt idx="706">
                  <v>13802.4</v>
                </pt>
                <pt idx="707">
                  <v>13854.8</v>
                </pt>
                <pt idx="708">
                  <v>13872</v>
                </pt>
                <pt idx="709">
                  <v>13914.6</v>
                </pt>
                <pt idx="710">
                  <v>13971.2</v>
                </pt>
                <pt idx="711">
                  <v>14001.3</v>
                </pt>
                <pt idx="712">
                  <v>14066</v>
                </pt>
                <pt idx="713">
                  <v>14125.8</v>
                </pt>
                <pt idx="714">
                  <v>14155.2</v>
                </pt>
                <pt idx="715">
                  <v>14197.7</v>
                </pt>
                <pt idx="716">
                  <v>14228.4</v>
                </pt>
                <pt idx="717">
                  <v>14235.8</v>
                </pt>
                <pt idx="718">
                  <v>14254.9</v>
                </pt>
                <pt idx="719">
                  <v>14373.9</v>
                </pt>
                <pt idx="720">
                  <v>14443.3</v>
                </pt>
                <pt idx="721">
                  <v>14486.2</v>
                </pt>
                <pt idx="722">
                  <v>14533.5</v>
                </pt>
                <pt idx="723">
                  <v>14568.9</v>
                </pt>
                <pt idx="724">
                  <v>14668.4</v>
                </pt>
                <pt idx="725">
                  <v>14787</v>
                </pt>
                <pt idx="726">
                  <v>14857.9</v>
                </pt>
                <pt idx="727">
                  <v>14935.2</v>
                </pt>
                <pt idx="728">
                  <v>15026.6</v>
                </pt>
                <pt idx="729">
                  <v>15153.1</v>
                </pt>
                <pt idx="730">
                  <v>15251.3</v>
                </pt>
                <pt idx="731">
                  <v>15325.8</v>
                </pt>
                <pt idx="732">
                  <v>15406.8</v>
                </pt>
                <pt idx="733">
                  <v>15470.4</v>
                </pt>
                <pt idx="734">
                  <v>16011.4</v>
                </pt>
                <pt idx="735">
                  <v>17039.1</v>
                </pt>
                <pt idx="736">
                  <v>17889.2</v>
                </pt>
                <pt idx="737">
                  <v>18175.7</v>
                </pt>
                <pt idx="738">
                  <v>18316.6</v>
                </pt>
                <pt idx="739">
                  <v>18378.5</v>
                </pt>
                <pt idx="740">
                  <v>18601.6</v>
                </pt>
                <pt idx="741">
                  <v>18747.9</v>
                </pt>
                <pt idx="742">
                  <v>18958.7</v>
                </pt>
                <pt idx="743">
                  <v>19129.5</v>
                </pt>
                <pt idx="744">
                  <v>19393.2</v>
                </pt>
                <pt idx="745">
                  <v>19665.3</v>
                </pt>
                <pt idx="746">
                  <v>19913.2</v>
                </pt>
                <pt idx="747">
                  <v>20138.8</v>
                </pt>
                <pt idx="748">
                  <v>20402.8</v>
                </pt>
                <pt idx="749">
                  <v>20429.5</v>
                </pt>
                <pt idx="750">
                  <v>20578.9</v>
                </pt>
                <pt idx="751">
                  <v>20832.5</v>
                </pt>
                <pt idx="752">
                  <v>20994.8</v>
                </pt>
                <pt idx="753">
                  <v>21187.5</v>
                </pt>
                <pt idx="754">
                  <v>21436.7</v>
                </pt>
                <pt idx="755">
                  <v>21638.1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07296"/>
        <axId val="1050947312"/>
      </lineChart>
      <dateAx>
        <axId val="105090729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7312"/>
        <crosses val="autoZero"/>
        <lblOffset val="100"/>
        <baseTimeUnit val="days"/>
      </dateAx>
      <valAx>
        <axId val="10509473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072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Velocity!$A$12:$A$263</f>
              <numCache>
                <formatCode>dd\-mm\-yyyy</formatCode>
                <ptCount val="252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</numCache>
            </numRef>
          </cat>
          <val>
            <numRef>
              <f>Velocity!$B$12:$B$263</f>
              <numCache>
                <formatCode>0.000</formatCode>
                <ptCount val="252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2.134</v>
                </pt>
                <pt idx="168">
                  <v>2.086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1.941</v>
                </pt>
                <pt idx="180">
                  <v>1.951</v>
                </pt>
                <pt idx="181">
                  <v>1.94</v>
                </pt>
                <pt idx="182">
                  <v>1.949</v>
                </pt>
                <pt idx="183">
                  <v>1.959</v>
                </pt>
                <pt idx="184">
                  <v>1.985</v>
                </pt>
                <pt idx="185">
                  <v>1.995</v>
                </pt>
                <pt idx="186">
                  <v>2.001</v>
                </pt>
                <pt idx="187">
                  <v>2.002</v>
                </pt>
                <pt idx="188">
                  <v>2.017</v>
                </pt>
                <pt idx="189">
                  <v>2.018</v>
                </pt>
                <pt idx="190">
                  <v>2.006</v>
                </pt>
                <pt idx="191">
                  <v>1.997</v>
                </pt>
                <pt idx="192">
                  <v>1.994</v>
                </pt>
                <pt idx="193">
                  <v>1.987</v>
                </pt>
                <pt idx="194">
                  <v>1.978</v>
                </pt>
                <pt idx="195">
                  <v>1.977</v>
                </pt>
                <pt idx="196">
                  <v>1.94</v>
                </pt>
                <pt idx="197">
                  <v>1.928</v>
                </pt>
                <pt idx="198">
                  <v>1.909</v>
                </pt>
                <pt idx="199">
                  <v>1.813</v>
                </pt>
                <pt idx="200">
                  <v>1.736</v>
                </pt>
                <pt idx="201">
                  <v>1.71</v>
                </pt>
                <pt idx="202">
                  <v>1.712</v>
                </pt>
                <pt idx="203">
                  <v>1.726</v>
                </pt>
                <pt idx="204">
                  <v>1.74</v>
                </pt>
                <pt idx="205">
                  <v>1.747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1.649</v>
                </pt>
                <pt idx="212">
                  <v>1.642</v>
                </pt>
                <pt idx="213">
                  <v>1.63</v>
                </pt>
                <pt idx="214">
                  <v>1.612</v>
                </pt>
                <pt idx="215">
                  <v>1.588</v>
                </pt>
                <pt idx="216">
                  <v>1.583</v>
                </pt>
                <pt idx="217">
                  <v>1.57</v>
                </pt>
                <pt idx="218">
                  <v>1.568</v>
                </pt>
                <pt idx="219">
                  <v>1.561</v>
                </pt>
                <pt idx="220">
                  <v>1.537</v>
                </pt>
                <pt idx="221">
                  <v>1.542</v>
                </pt>
                <pt idx="222">
                  <v>1.548</v>
                </pt>
                <pt idx="223">
                  <v>1.538</v>
                </pt>
                <pt idx="224">
                  <v>1.52</v>
                </pt>
                <pt idx="225">
                  <v>1.521</v>
                </pt>
                <pt idx="226">
                  <v>1.513</v>
                </pt>
                <pt idx="227">
                  <v>1.494</v>
                </pt>
                <pt idx="228">
                  <v>1.469</v>
                </pt>
                <pt idx="229">
                  <v>1.458</v>
                </pt>
                <pt idx="230">
                  <v>1.449</v>
                </pt>
                <pt idx="231">
                  <v>1.441</v>
                </pt>
                <pt idx="232">
                  <v>1.434</v>
                </pt>
                <pt idx="233">
                  <v>1.428</v>
                </pt>
                <pt idx="234">
                  <v>1.431</v>
                </pt>
                <pt idx="235">
                  <v>1.44</v>
                </pt>
                <pt idx="236">
                  <v>1.447</v>
                </pt>
                <pt idx="237">
                  <v>1.457</v>
                </pt>
                <pt idx="238">
                  <v>1.456</v>
                </pt>
                <pt idx="239">
                  <v>1.457</v>
                </pt>
                <pt idx="240">
                  <v>1.45</v>
                </pt>
                <pt idx="241">
                  <v>1.451</v>
                </pt>
                <pt idx="242">
                  <v>1.439</v>
                </pt>
                <pt idx="243">
                  <v>1.423</v>
                </pt>
                <pt idx="244">
                  <v>1.374</v>
                </pt>
                <pt idx="245">
                  <v>1.1</v>
                </pt>
                <pt idx="246">
                  <v>1.147</v>
                </pt>
                <pt idx="247">
                  <v>1.134</v>
                </pt>
                <pt idx="248">
                  <v>1.121</v>
                </pt>
                <pt idx="249">
                  <v>1.119</v>
                </pt>
                <pt idx="250">
                  <v>1.115</v>
                </pt>
                <pt idx="251">
                  <v>1.12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Monthly'!$A$6:$A$764</f>
              <numCache>
                <formatCode>yyyy\-mm\-dd</formatCode>
                <ptCount val="759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M1 Real Monthly'!$B$6:$B$764</f>
              <numCache>
                <formatCode>0.0</formatCode>
                <ptCount val="759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964.5</v>
                </pt>
                <pt idx="637">
                  <v>967.8</v>
                </pt>
                <pt idx="638">
                  <v>975.7</v>
                </pt>
                <pt idx="639">
                  <v>979.2</v>
                </pt>
                <pt idx="640">
                  <v>988.3</v>
                </pt>
                <pt idx="641">
                  <v>998.5</v>
                </pt>
                <pt idx="642">
                  <v>1012.1</v>
                </pt>
                <pt idx="643">
                  <v>1022.5</v>
                </pt>
                <pt idx="644">
                  <v>1031.3</v>
                </pt>
                <pt idx="645">
                  <v>1042.7</v>
                </pt>
                <pt idx="646">
                  <v>1053.4</v>
                </pt>
                <pt idx="647">
                  <v>1063.7</v>
                </pt>
                <pt idx="648">
                  <v>1066.8</v>
                </pt>
                <pt idx="649">
                  <v>1062.1</v>
                </pt>
                <pt idx="650">
                  <v>1068.6</v>
                </pt>
                <pt idx="651">
                  <v>1084.2</v>
                </pt>
                <pt idx="652">
                  <v>1091.8</v>
                </pt>
                <pt idx="653">
                  <v>1089.5</v>
                </pt>
                <pt idx="654">
                  <v>1091.4</v>
                </pt>
                <pt idx="655">
                  <v>1093.9</v>
                </pt>
                <pt idx="656">
                  <v>1105.2</v>
                </pt>
                <pt idx="657">
                  <v>1121.2</v>
                </pt>
                <pt idx="658">
                  <v>1123.7</v>
                </pt>
                <pt idx="659">
                  <v>1134.5</v>
                </pt>
                <pt idx="660">
                  <v>1146.1</v>
                </pt>
                <pt idx="661">
                  <v>1158.3</v>
                </pt>
                <pt idx="662">
                  <v>1167.3</v>
                </pt>
                <pt idx="663">
                  <v>1174.7</v>
                </pt>
                <pt idx="664">
                  <v>1179.4</v>
                </pt>
                <pt idx="665">
                  <v>1192.7</v>
                </pt>
                <pt idx="666">
                  <v>1195.8</v>
                </pt>
                <pt idx="667">
                  <v>1180.7</v>
                </pt>
                <pt idx="668">
                  <v>1204.9</v>
                </pt>
                <pt idx="669">
                  <v>1208.1</v>
                </pt>
                <pt idx="670">
                  <v>1217.9</v>
                </pt>
                <pt idx="671">
                  <v>1244.2</v>
                </pt>
                <pt idx="672">
                  <v>1252.8</v>
                </pt>
                <pt idx="673">
                  <v>1278.7</v>
                </pt>
                <pt idx="674">
                  <v>1272.2</v>
                </pt>
                <pt idx="675">
                  <v>1270.6</v>
                </pt>
                <pt idx="676">
                  <v>1258.9</v>
                </pt>
                <pt idx="677">
                  <v>1270.9</v>
                </pt>
                <pt idx="678">
                  <v>1276.3</v>
                </pt>
                <pt idx="679">
                  <v>1272.3</v>
                </pt>
                <pt idx="680">
                  <v>1281.3</v>
                </pt>
                <pt idx="681">
                  <v>1269.1</v>
                </pt>
                <pt idx="682">
                  <v>1294.5</v>
                </pt>
                <pt idx="683">
                  <v>1302.3</v>
                </pt>
                <pt idx="684">
                  <v>1304.4</v>
                </pt>
                <pt idx="685">
                  <v>1320.2</v>
                </pt>
                <pt idx="686">
                  <v>1326.1</v>
                </pt>
                <pt idx="687">
                  <v>1338.6</v>
                </pt>
                <pt idx="688">
                  <v>1351.4</v>
                </pt>
                <pt idx="689">
                  <v>1350.5</v>
                </pt>
                <pt idx="690">
                  <v>1350.5</v>
                </pt>
                <pt idx="691">
                  <v>1378.4</v>
                </pt>
                <pt idx="692">
                  <v>1377.7</v>
                </pt>
                <pt idx="693">
                  <v>1377.6</v>
                </pt>
                <pt idx="694">
                  <v>1386.1</v>
                </pt>
                <pt idx="695">
                  <v>1378.8</v>
                </pt>
                <pt idx="696">
                  <v>1394.9</v>
                </pt>
                <pt idx="697">
                  <v>1398.8</v>
                </pt>
                <pt idx="698">
                  <v>1417.8</v>
                </pt>
                <pt idx="699">
                  <v>1412.4</v>
                </pt>
                <pt idx="700">
                  <v>1439.3</v>
                </pt>
                <pt idx="701">
                  <v>1441.7</v>
                </pt>
                <pt idx="702">
                  <v>1449.9</v>
                </pt>
                <pt idx="703">
                  <v>1460.1</v>
                </pt>
                <pt idx="704">
                  <v>1445.3</v>
                </pt>
                <pt idx="705">
                  <v>1460</v>
                </pt>
                <pt idx="706">
                  <v>1468.2</v>
                </pt>
                <pt idx="707">
                  <v>1460.8</v>
                </pt>
                <pt idx="708">
                  <v>1474.9</v>
                </pt>
                <pt idx="709">
                  <v>1457.6</v>
                </pt>
                <pt idx="710">
                  <v>1471.8</v>
                </pt>
                <pt idx="711">
                  <v>1459.8</v>
                </pt>
                <pt idx="712">
                  <v>1453.9</v>
                </pt>
                <pt idx="713">
                  <v>1451.2</v>
                </pt>
                <pt idx="714">
                  <v>1459.8</v>
                </pt>
                <pt idx="715">
                  <v>1462.9</v>
                </pt>
                <pt idx="716">
                  <v>1464.1</v>
                </pt>
                <pt idx="717">
                  <v>1471.5</v>
                </pt>
                <pt idx="718">
                  <v>1466.8</v>
                </pt>
                <pt idx="719">
                  <v>1493.6</v>
                </pt>
                <pt idx="720">
                  <v>1494.6</v>
                </pt>
                <pt idx="721">
                  <v>1495.6</v>
                </pt>
                <pt idx="722">
                  <v>1474.1</v>
                </pt>
                <pt idx="723">
                  <v>1476.8</v>
                </pt>
                <pt idx="724">
                  <v>1478.4</v>
                </pt>
                <pt idx="725">
                  <v>1493</v>
                </pt>
                <pt idx="726">
                  <v>1502.3</v>
                </pt>
                <pt idx="727">
                  <v>1500.9</v>
                </pt>
                <pt idx="728">
                  <v>1515.5</v>
                </pt>
                <pt idx="729">
                  <v>1525.4</v>
                </pt>
                <pt idx="730">
                  <v>1533.2</v>
                </pt>
                <pt idx="731">
                  <v>1553.5</v>
                </pt>
                <pt idx="732">
                  <v>1553.7</v>
                </pt>
                <pt idx="733">
                  <v>1556.4</v>
                </pt>
                <pt idx="734">
                  <v>1659.5</v>
                </pt>
                <pt idx="735">
                  <v>1863.6</v>
                </pt>
                <pt idx="736">
                  <v>6353.8</v>
                </pt>
                <pt idx="737">
                  <v>6445.8</v>
                </pt>
                <pt idx="738">
                  <v>6486.3</v>
                </pt>
                <pt idx="739">
                  <v>6507.2</v>
                </pt>
                <pt idx="740">
                  <v>6595</v>
                </pt>
                <pt idx="741">
                  <v>6660</v>
                </pt>
                <pt idx="742">
                  <v>6741</v>
                </pt>
                <pt idx="743">
                  <v>6810.1</v>
                </pt>
                <pt idx="744">
                  <v>6902.6</v>
                </pt>
                <pt idx="745">
                  <v>6987.9</v>
                </pt>
                <pt idx="746">
                  <v>7050.5</v>
                </pt>
                <pt idx="747">
                  <v>7093.4</v>
                </pt>
                <pt idx="748">
                  <v>7152.8</v>
                </pt>
                <pt idx="749">
                  <v>7106</v>
                </pt>
                <pt idx="750">
                  <v>7132.8</v>
                </pt>
                <pt idx="751">
                  <v>7214</v>
                </pt>
                <pt idx="752">
                  <v>7249.9</v>
                </pt>
                <pt idx="753">
                  <v>7257.6</v>
                </pt>
                <pt idx="754">
                  <v>7295.3</v>
                </pt>
                <pt idx="755">
                  <v>7335.4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Monthly'!$A$18:$A$761</f>
              <numCache>
                <formatCode>yyyy\-mm\-dd</formatCode>
                <ptCount val="744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</numCache>
            </numRef>
          </cat>
          <val>
            <numRef>
              <f>'US M1 Real Monthly'!$C$18:$C$761</f>
              <numCache>
                <formatCode>0.0%</formatCode>
                <ptCount val="744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0.1555049718461722</v>
                </pt>
                <pt idx="625">
                  <v>0.1483151400094922</v>
                </pt>
                <pt idx="626">
                  <v>0.1474773609314361</v>
                </pt>
                <pt idx="627">
                  <v>0.1567631423508565</v>
                </pt>
                <pt idx="628">
                  <v>0.1442630543012619</v>
                </pt>
                <pt idx="629">
                  <v>0.1432333409663385</v>
                </pt>
                <pt idx="630">
                  <v>0.1428410117434508</v>
                </pt>
                <pt idx="631">
                  <v>0.09288157332193242</v>
                </pt>
                <pt idx="632">
                  <v>0.1022873022659255</v>
                </pt>
                <pt idx="633">
                  <v>0.1107915201874933</v>
                </pt>
                <pt idx="634">
                  <v>0.09672045809474242</v>
                </pt>
                <pt idx="635">
                  <v>0.1160423879970622</v>
                </pt>
                <pt idx="636">
                  <v>0.1060653188180404</v>
                </pt>
                <pt idx="637">
                  <v>0.09743748708410825</v>
                </pt>
                <pt idx="638">
                  <v>0.09521369273342202</v>
                </pt>
                <pt idx="639">
                  <v>0.1072303921568627</v>
                </pt>
                <pt idx="640">
                  <v>0.1047252858443792</v>
                </pt>
                <pt idx="641">
                  <v>0.09113670505758638</v>
                </pt>
                <pt idx="642">
                  <v>0.07835194150775622</v>
                </pt>
                <pt idx="643">
                  <v>0.06982885085574581</v>
                </pt>
                <pt idx="644">
                  <v>0.07165713177542916</v>
                </pt>
                <pt idx="645">
                  <v>0.07528531696557016</v>
                </pt>
                <pt idx="646">
                  <v>0.0667362825137649</v>
                </pt>
                <pt idx="647">
                  <v>0.06656012033468078</v>
                </pt>
                <pt idx="648">
                  <v>0.07433445819272587</v>
                </pt>
                <pt idx="649">
                  <v>0.09057527539779686</v>
                </pt>
                <pt idx="650">
                  <v>0.09236384053902306</v>
                </pt>
                <pt idx="651">
                  <v>0.08347168419110865</v>
                </pt>
                <pt idx="652">
                  <v>0.08023447517860427</v>
                </pt>
                <pt idx="653">
                  <v>0.09472234970169807</v>
                </pt>
                <pt idx="654">
                  <v>0.09565695437053312</v>
                </pt>
                <pt idx="655">
                  <v>0.07934911783526825</v>
                </pt>
                <pt idx="656">
                  <v>0.09020991675714807</v>
                </pt>
                <pt idx="657">
                  <v>0.07750624331073837</v>
                </pt>
                <pt idx="658">
                  <v>0.08383020379104747</v>
                </pt>
                <pt idx="659">
                  <v>0.09669457910974001</v>
                </pt>
                <pt idx="660">
                  <v>0.09309833347875408</v>
                </pt>
                <pt idx="661">
                  <v>0.1039454372787707</v>
                </pt>
                <pt idx="662">
                  <v>0.08986550158485401</v>
                </pt>
                <pt idx="663">
                  <v>0.08163786498680502</v>
                </pt>
                <pt idx="664">
                  <v>0.06740715618110903</v>
                </pt>
                <pt idx="665">
                  <v>0.06556552360191166</v>
                </pt>
                <pt idx="666">
                  <v>0.06731894965713331</v>
                </pt>
                <pt idx="667">
                  <v>0.07758109596002363</v>
                </pt>
                <pt idx="668">
                  <v>0.06340775168063728</v>
                </pt>
                <pt idx="669">
                  <v>0.05049250889827001</v>
                </pt>
                <pt idx="670">
                  <v>0.06289514738484268</v>
                </pt>
                <pt idx="671">
                  <v>0.04669667256068149</v>
                </pt>
                <pt idx="672">
                  <v>0.04118773946360164</v>
                </pt>
                <pt idx="673">
                  <v>0.03245483694377101</v>
                </pt>
                <pt idx="674">
                  <v>0.04236755227165529</v>
                </pt>
                <pt idx="675">
                  <v>0.0535180229812687</v>
                </pt>
                <pt idx="676">
                  <v>0.07347684486456429</v>
                </pt>
                <pt idx="677">
                  <v>0.06263277991974184</v>
                </pt>
                <pt idx="678">
                  <v>0.05813680169239211</v>
                </pt>
                <pt idx="679">
                  <v>0.083392281694569</v>
                </pt>
                <pt idx="680">
                  <v>0.07523608834777187</v>
                </pt>
                <pt idx="681">
                  <v>0.08549365692222835</v>
                </pt>
                <pt idx="682">
                  <v>0.07076091154886049</v>
                </pt>
                <pt idx="683">
                  <v>0.05874222529371113</v>
                </pt>
                <pt idx="684">
                  <v>0.06938055811100889</v>
                </pt>
                <pt idx="685">
                  <v>0.05953643387365543</v>
                </pt>
                <pt idx="686">
                  <v>0.06915013950682457</v>
                </pt>
                <pt idx="687">
                  <v>0.05513222770058284</v>
                </pt>
                <pt idx="688">
                  <v>0.06504365842829647</v>
                </pt>
                <pt idx="689">
                  <v>0.06753054424287304</v>
                </pt>
                <pt idx="690">
                  <v>0.07360236949278053</v>
                </pt>
                <pt idx="691">
                  <v>0.05927161926871722</v>
                </pt>
                <pt idx="692">
                  <v>0.04906728605647086</v>
                </pt>
                <pt idx="693">
                  <v>0.0598141695702672</v>
                </pt>
                <pt idx="694">
                  <v>0.0592309357189237</v>
                </pt>
                <pt idx="695">
                  <v>0.05947200464171744</v>
                </pt>
                <pt idx="696">
                  <v>0.05735178148971252</v>
                </pt>
                <pt idx="697">
                  <v>0.0420360308836145</v>
                </pt>
                <pt idx="698">
                  <v>0.03808717731696996</v>
                </pt>
                <pt idx="699">
                  <v>0.03355989804587926</v>
                </pt>
                <pt idx="700">
                  <v>0.01014381991245754</v>
                </pt>
                <pt idx="701">
                  <v>0.006589443018658528</v>
                </pt>
                <pt idx="702">
                  <v>0.006828057107386622</v>
                </pt>
                <pt idx="703">
                  <v>0.001917676871447286</v>
                </pt>
                <pt idx="704">
                  <v>0.01300768006642217</v>
                </pt>
                <pt idx="705">
                  <v>0.007876712328767124</v>
                </pt>
                <pt idx="706">
                  <v>-0.0009535485628661565</v>
                </pt>
                <pt idx="707">
                  <v>0.02245345016429351</v>
                </pt>
                <pt idx="708">
                  <v>0.01335683775171186</v>
                </pt>
                <pt idx="709">
                  <v>0.0260702524698134</v>
                </pt>
                <pt idx="710">
                  <v>0.001562712325044133</v>
                </pt>
                <pt idx="711">
                  <v>0.01164543088094259</v>
                </pt>
                <pt idx="712">
                  <v>0.01685122773230621</v>
                </pt>
                <pt idx="713">
                  <v>0.02880374862183018</v>
                </pt>
                <pt idx="714">
                  <v>0.02911357720235649</v>
                </pt>
                <pt idx="715">
                  <v>0.02597580149019071</v>
                </pt>
                <pt idx="716">
                  <v>0.0351068916057647</v>
                </pt>
                <pt idx="717">
                  <v>0.03662928984029908</v>
                </pt>
                <pt idx="718">
                  <v>0.04526861194436876</v>
                </pt>
                <pt idx="719">
                  <v>0.04010444563470815</v>
                </pt>
                <pt idx="720">
                  <v>0.03954235246888809</v>
                </pt>
                <pt idx="721">
                  <v>0.04065258090398514</v>
                </pt>
                <pt idx="722">
                  <v>0.1257716572824097</v>
                </pt>
                <pt idx="723">
                  <v>0.2619176598049837</v>
                </pt>
                <pt idx="724">
                  <v>3.297754329004329</v>
                </pt>
                <pt idx="725">
                  <v>3.317347622237107</v>
                </pt>
                <pt idx="726">
                  <v>3.317579711109632</v>
                </pt>
                <pt idx="727">
                  <v>3.335532014124858</v>
                </pt>
                <pt idx="728">
                  <v>3.351699109204883</v>
                </pt>
                <pt idx="729">
                  <v>3.366067916612036</v>
                </pt>
                <pt idx="730">
                  <v>3.396686668405948</v>
                </pt>
                <pt idx="731">
                  <v>3.383714193756035</v>
                </pt>
                <pt idx="732">
                  <v>3.442685203063655</v>
                </pt>
                <pt idx="733">
                  <v>3.489784117193523</v>
                </pt>
                <pt idx="734">
                  <v>3.248568846037963</v>
                </pt>
                <pt idx="735">
                  <v>2.806288903198111</v>
                </pt>
                <pt idx="736">
                  <v>0.1257515187761654</v>
                </pt>
                <pt idx="737">
                  <v>0.1024232833783238</v>
                </pt>
                <pt idx="738">
                  <v>0.09967161555894731</v>
                </pt>
                <pt idx="739">
                  <v>0.1086181460536022</v>
                </pt>
                <pt idx="740">
                  <v>0.09930250189537523</v>
                </pt>
                <pt idx="741">
                  <v>0.08972972972972978</v>
                </pt>
                <pt idx="742">
                  <v>0.08222815605993179</v>
                </pt>
                <pt idx="743">
                  <v>0.07713543119777966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3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Monthly'!$B$6:$B$761</f>
              <numCache>
                <formatCode>0.0</formatCode>
                <ptCount val="756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2801.4</v>
                </pt>
                <pt idx="503">
                  <v>2820.6</v>
                </pt>
                <pt idx="504">
                  <v>2833.3</v>
                </pt>
                <pt idx="505">
                  <v>2848.6</v>
                </pt>
                <pt idx="506">
                  <v>2879.7</v>
                </pt>
                <pt idx="507">
                  <v>2911.1</v>
                </pt>
                <pt idx="508">
                  <v>2894.6</v>
                </pt>
                <pt idx="509">
                  <v>2910.8</v>
                </pt>
                <pt idx="510">
                  <v>2932.6</v>
                </pt>
                <pt idx="511">
                  <v>2951.7</v>
                </pt>
                <pt idx="512">
                  <v>3002.5</v>
                </pt>
                <pt idx="513">
                  <v>3004.5</v>
                </pt>
                <pt idx="514">
                  <v>3030.8</v>
                </pt>
                <pt idx="515">
                  <v>3062.4</v>
                </pt>
                <pt idx="516">
                  <v>3068.7</v>
                </pt>
                <pt idx="517">
                  <v>3080</v>
                </pt>
                <pt idx="518">
                  <v>3078</v>
                </pt>
                <pt idx="519">
                  <v>3064.4</v>
                </pt>
                <pt idx="520">
                  <v>3075.5</v>
                </pt>
                <pt idx="521">
                  <v>3087.8</v>
                </pt>
                <pt idx="522">
                  <v>3104.6</v>
                </pt>
                <pt idx="523">
                  <v>3119.4</v>
                </pt>
                <pt idx="524">
                  <v>3127.8</v>
                </pt>
                <pt idx="525">
                  <v>3145.5</v>
                </pt>
                <pt idx="526">
                  <v>3167.9</v>
                </pt>
                <pt idx="527">
                  <v>3174.3</v>
                </pt>
                <pt idx="528">
                  <v>3178.3</v>
                </pt>
                <pt idx="529">
                  <v>3180.6</v>
                </pt>
                <pt idx="530">
                  <v>3186.7</v>
                </pt>
                <pt idx="531">
                  <v>3219.3</v>
                </pt>
                <pt idx="532">
                  <v>3257.5</v>
                </pt>
                <pt idx="533">
                  <v>3274</v>
                </pt>
                <pt idx="534">
                  <v>3288.7</v>
                </pt>
                <pt idx="535">
                  <v>3306</v>
                </pt>
                <pt idx="536">
                  <v>3280.2</v>
                </pt>
                <pt idx="537">
                  <v>3278.8</v>
                </pt>
                <pt idx="538">
                  <v>3279.8</v>
                </pt>
                <pt idx="539">
                  <v>3270</v>
                </pt>
                <pt idx="540">
                  <v>3260.5</v>
                </pt>
                <pt idx="541">
                  <v>3274.3</v>
                </pt>
                <pt idx="542">
                  <v>3286.5</v>
                </pt>
                <pt idx="543">
                  <v>3303.2</v>
                </pt>
                <pt idx="544">
                  <v>3330</v>
                </pt>
                <pt idx="545">
                  <v>3318.9</v>
                </pt>
                <pt idx="546">
                  <v>3322.6</v>
                </pt>
                <pt idx="547">
                  <v>3334.7</v>
                </pt>
                <pt idx="548">
                  <v>3342.4</v>
                </pt>
                <pt idx="549">
                  <v>3339.7</v>
                </pt>
                <pt idx="550">
                  <v>3337.9</v>
                </pt>
                <pt idx="551">
                  <v>3347.5</v>
                </pt>
                <pt idx="552">
                  <v>3352.5</v>
                </pt>
                <pt idx="553">
                  <v>3342.9</v>
                </pt>
                <pt idx="554">
                  <v>3335.5</v>
                </pt>
                <pt idx="555">
                  <v>3332.3</v>
                </pt>
                <pt idx="556">
                  <v>3343</v>
                </pt>
                <pt idx="557">
                  <v>3358</v>
                </pt>
                <pt idx="558">
                  <v>3353.5</v>
                </pt>
                <pt idx="559">
                  <v>3349.7</v>
                </pt>
                <pt idx="560">
                  <v>3321.4</v>
                </pt>
                <pt idx="561">
                  <v>3333.5</v>
                </pt>
                <pt idx="562">
                  <v>3358.6</v>
                </pt>
                <pt idx="563">
                  <v>3372.1</v>
                </pt>
                <pt idx="564">
                  <v>3373.1</v>
                </pt>
                <pt idx="565">
                  <v>3383.6</v>
                </pt>
                <pt idx="566">
                  <v>3385.6</v>
                </pt>
                <pt idx="567">
                  <v>3387.4</v>
                </pt>
                <pt idx="568">
                  <v>3380.6</v>
                </pt>
                <pt idx="569">
                  <v>3391.1</v>
                </pt>
                <pt idx="570">
                  <v>3393.1</v>
                </pt>
                <pt idx="571">
                  <v>3393.2</v>
                </pt>
                <pt idx="572">
                  <v>3423.4</v>
                </pt>
                <pt idx="573">
                  <v>3462.9</v>
                </pt>
                <pt idx="574">
                  <v>3478.5</v>
                </pt>
                <pt idx="575">
                  <v>3480.8</v>
                </pt>
                <pt idx="576">
                  <v>3493.7</v>
                </pt>
                <pt idx="577">
                  <v>3487.9</v>
                </pt>
                <pt idx="578">
                  <v>3486.3</v>
                </pt>
                <pt idx="579">
                  <v>3511</v>
                </pt>
                <pt idx="580">
                  <v>3503.3</v>
                </pt>
                <pt idx="581">
                  <v>3511.2</v>
                </pt>
                <pt idx="582">
                  <v>3519.5</v>
                </pt>
                <pt idx="583">
                  <v>3555.1</v>
                </pt>
                <pt idx="584">
                  <v>3548.9</v>
                </pt>
                <pt idx="585">
                  <v>3544.5</v>
                </pt>
                <pt idx="586">
                  <v>3528.7</v>
                </pt>
                <pt idx="587">
                  <v>3532.5</v>
                </pt>
                <pt idx="588">
                  <v>3536.3</v>
                </pt>
                <pt idx="589">
                  <v>3567.5</v>
                </pt>
                <pt idx="590">
                  <v>3585.6</v>
                </pt>
                <pt idx="591">
                  <v>3597.3</v>
                </pt>
                <pt idx="592">
                  <v>3581.8</v>
                </pt>
                <pt idx="593">
                  <v>3552.7</v>
                </pt>
                <pt idx="594">
                  <v>3548.6</v>
                </pt>
                <pt idx="595">
                  <v>3560.7</v>
                </pt>
                <pt idx="596">
                  <v>3589.5</v>
                </pt>
                <pt idx="597">
                  <v>3669.7</v>
                </pt>
                <pt idx="598">
                  <v>3759.5</v>
                </pt>
                <pt idx="599">
                  <v>3874.1</v>
                </pt>
                <pt idx="600">
                  <v>3902.7</v>
                </pt>
                <pt idx="601">
                  <v>3902.4</v>
                </pt>
                <pt idx="602">
                  <v>3937.3</v>
                </pt>
                <pt idx="603">
                  <v>3934.9</v>
                </pt>
                <pt idx="604">
                  <v>3956.2</v>
                </pt>
                <pt idx="605">
                  <v>3928.1</v>
                </pt>
                <pt idx="606">
                  <v>3931.5</v>
                </pt>
                <pt idx="607">
                  <v>3918.3</v>
                </pt>
                <pt idx="608">
                  <v>3910.4</v>
                </pt>
                <pt idx="609">
                  <v>3911.2</v>
                </pt>
                <pt idx="610">
                  <v>3912</v>
                </pt>
                <pt idx="611">
                  <v>3907.6</v>
                </pt>
                <pt idx="612">
                  <v>3887.8</v>
                </pt>
                <pt idx="613">
                  <v>3914.3</v>
                </pt>
                <pt idx="614">
                  <v>3911.7</v>
                </pt>
                <pt idx="615">
                  <v>3924.9</v>
                </pt>
                <pt idx="616">
                  <v>3952.2</v>
                </pt>
                <pt idx="617">
                  <v>3962.6</v>
                </pt>
                <pt idx="618">
                  <v>3959.6</v>
                </pt>
                <pt idx="619">
                  <v>3977</v>
                </pt>
                <pt idx="620">
                  <v>3984.8</v>
                </pt>
                <pt idx="621">
                  <v>3993.4</v>
                </pt>
                <pt idx="622">
                  <v>3992.8</v>
                </pt>
                <pt idx="623">
                  <v>3991.2</v>
                </pt>
                <pt idx="624">
                  <v>3987.8</v>
                </pt>
                <pt idx="625">
                  <v>4003.7</v>
                </pt>
                <pt idx="626">
                  <v>4008.4</v>
                </pt>
                <pt idx="627">
                  <v>4017.1</v>
                </pt>
                <pt idx="628">
                  <v>4035.8</v>
                </pt>
                <pt idx="629">
                  <v>4069.5</v>
                </pt>
                <pt idx="630">
                  <v>4132.2</v>
                </pt>
                <pt idx="631">
                  <v>4203.8</v>
                </pt>
                <pt idx="632">
                  <v>4203.9</v>
                </pt>
                <pt idx="633">
                  <v>4215.9</v>
                </pt>
                <pt idx="634">
                  <v>4230.4</v>
                </pt>
                <pt idx="635">
                  <v>4250.3</v>
                </pt>
                <pt idx="636">
                  <v>4271.2</v>
                </pt>
                <pt idx="637">
                  <v>4287.4</v>
                </pt>
                <pt idx="638">
                  <v>4299.3</v>
                </pt>
                <pt idx="639">
                  <v>4315.2</v>
                </pt>
                <pt idx="640">
                  <v>4343.7</v>
                </pt>
                <pt idx="641">
                  <v>4375.1</v>
                </pt>
                <pt idx="642">
                  <v>4398.8</v>
                </pt>
                <pt idx="643">
                  <v>4399.5</v>
                </pt>
                <pt idx="644">
                  <v>4412.3</v>
                </pt>
                <pt idx="645">
                  <v>4427.8</v>
                </pt>
                <pt idx="646">
                  <v>4462.6</v>
                </pt>
                <pt idx="647">
                  <v>4520.1</v>
                </pt>
                <pt idx="648">
                  <v>4522.2</v>
                </pt>
                <pt idx="649">
                  <v>4503</v>
                </pt>
                <pt idx="650">
                  <v>4544.4</v>
                </pt>
                <pt idx="651">
                  <v>4568.8</v>
                </pt>
                <pt idx="652">
                  <v>4584.1</v>
                </pt>
                <pt idx="653">
                  <v>4595.7</v>
                </pt>
                <pt idx="654">
                  <v>4606.7</v>
                </pt>
                <pt idx="655">
                  <v>4619.1</v>
                </pt>
                <pt idx="656">
                  <v>4639.5</v>
                </pt>
                <pt idx="657">
                  <v>4685.6</v>
                </pt>
                <pt idx="658">
                  <v>4679.2</v>
                </pt>
                <pt idx="659">
                  <v>4695.1</v>
                </pt>
                <pt idx="660">
                  <v>4707.7</v>
                </pt>
                <pt idx="661">
                  <v>4741.9</v>
                </pt>
                <pt idx="662">
                  <v>4748.4</v>
                </pt>
                <pt idx="663">
                  <v>4761.7</v>
                </pt>
                <pt idx="664">
                  <v>4780.7</v>
                </pt>
                <pt idx="665">
                  <v>4795.8</v>
                </pt>
                <pt idx="666">
                  <v>4814.4</v>
                </pt>
                <pt idx="667">
                  <v>4827.3</v>
                </pt>
                <pt idx="668">
                  <v>4841.2</v>
                </pt>
                <pt idx="669">
                  <v>4868.2</v>
                </pt>
                <pt idx="670">
                  <v>4892.6</v>
                </pt>
                <pt idx="671">
                  <v>4941.3</v>
                </pt>
                <pt idx="672">
                  <v>5002.8</v>
                </pt>
                <pt idx="673">
                  <v>5044.4</v>
                </pt>
                <pt idx="674">
                  <v>5037.8</v>
                </pt>
                <pt idx="675">
                  <v>5049.3</v>
                </pt>
                <pt idx="676">
                  <v>5045.5</v>
                </pt>
                <pt idx="677">
                  <v>5050.5</v>
                </pt>
                <pt idx="678">
                  <v>5063.1</v>
                </pt>
                <pt idx="679">
                  <v>5083.6</v>
                </pt>
                <pt idx="680">
                  <v>5117.8</v>
                </pt>
                <pt idx="681">
                  <v>5128.7</v>
                </pt>
                <pt idx="682">
                  <v>5158</v>
                </pt>
                <pt idx="683">
                  <v>5190.1</v>
                </pt>
                <pt idx="684">
                  <v>5247.8</v>
                </pt>
                <pt idx="685">
                  <v>5288.8</v>
                </pt>
                <pt idx="686">
                  <v>5299.3</v>
                </pt>
                <pt idx="687">
                  <v>5312.7</v>
                </pt>
                <pt idx="688">
                  <v>5328</v>
                </pt>
                <pt idx="689">
                  <v>5341.1</v>
                </pt>
                <pt idx="690">
                  <v>5368.2</v>
                </pt>
                <pt idx="691">
                  <v>5391.2</v>
                </pt>
                <pt idx="692">
                  <v>5401.6</v>
                </pt>
                <pt idx="693">
                  <v>5418.9</v>
                </pt>
                <pt idx="694">
                  <v>5443.3</v>
                </pt>
                <pt idx="695">
                  <v>5446.1</v>
                </pt>
                <pt idx="696">
                  <v>5454.7</v>
                </pt>
                <pt idx="697">
                  <v>5478</v>
                </pt>
                <pt idx="698">
                  <v>5508.8</v>
                </pt>
                <pt idx="699">
                  <v>5521.1</v>
                </pt>
                <pt idx="700">
                  <v>5546.5</v>
                </pt>
                <pt idx="701">
                  <v>5554.3</v>
                </pt>
                <pt idx="702">
                  <v>5576.3</v>
                </pt>
                <pt idx="703">
                  <v>5575.5</v>
                </pt>
                <pt idx="704">
                  <v>5562.5</v>
                </pt>
                <pt idx="705">
                  <v>5581.7</v>
                </pt>
                <pt idx="706">
                  <v>5579.5</v>
                </pt>
                <pt idx="707">
                  <v>5592.6</v>
                </pt>
                <pt idx="708">
                  <v>5577.3</v>
                </pt>
                <pt idx="709">
                  <v>5581.5</v>
                </pt>
                <pt idx="710">
                  <v>5599.3</v>
                </pt>
                <pt idx="711">
                  <v>5594.4</v>
                </pt>
                <pt idx="712">
                  <v>5608.8</v>
                </pt>
                <pt idx="713">
                  <v>5624.4</v>
                </pt>
                <pt idx="714">
                  <v>5631.8</v>
                </pt>
                <pt idx="715">
                  <v>5639.9</v>
                </pt>
                <pt idx="716">
                  <v>5642.1</v>
                </pt>
                <pt idx="717">
                  <v>5629</v>
                </pt>
                <pt idx="718">
                  <v>5638.3</v>
                </pt>
                <pt idx="719">
                  <v>5692.8</v>
                </pt>
                <pt idx="720">
                  <v>5721.5</v>
                </pt>
                <pt idx="721">
                  <v>5726.5</v>
                </pt>
                <pt idx="722">
                  <v>5718.5</v>
                </pt>
                <pt idx="723">
                  <v>5706</v>
                </pt>
                <pt idx="724">
                  <v>5744</v>
                </pt>
                <pt idx="725">
                  <v>5789.2</v>
                </pt>
                <pt idx="726">
                  <v>5805.6</v>
                </pt>
                <pt idx="727">
                  <v>5831.4</v>
                </pt>
                <pt idx="728">
                  <v>5857.6</v>
                </pt>
                <pt idx="729">
                  <v>5887.3</v>
                </pt>
                <pt idx="730">
                  <v>5911.6</v>
                </pt>
                <pt idx="731">
                  <v>5935.6</v>
                </pt>
                <pt idx="732">
                  <v>5955.8</v>
                </pt>
                <pt idx="733">
                  <v>5977.2</v>
                </pt>
                <pt idx="734">
                  <v>6206.2</v>
                </pt>
                <pt idx="735">
                  <v>6650.9</v>
                </pt>
                <pt idx="736">
                  <v>6989.6</v>
                </pt>
                <pt idx="737">
                  <v>7064.5</v>
                </pt>
                <pt idx="738">
                  <v>7082.9</v>
                </pt>
                <pt idx="739">
                  <v>7082</v>
                </pt>
                <pt idx="740">
                  <v>7150.4</v>
                </pt>
                <pt idx="741">
                  <v>7197.9</v>
                </pt>
                <pt idx="742">
                  <v>7265.9</v>
                </pt>
                <pt idx="743">
                  <v>7313.6</v>
                </pt>
                <pt idx="744">
                  <v>7395.5</v>
                </pt>
                <pt idx="745">
                  <v>7472.7</v>
                </pt>
                <pt idx="746">
                  <v>7520.3</v>
                </pt>
                <pt idx="747">
                  <v>7547.4</v>
                </pt>
                <pt idx="748">
                  <v>7597.4</v>
                </pt>
                <pt idx="749">
                  <v>7539.1</v>
                </pt>
                <pt idx="750">
                  <v>7558.4</v>
                </pt>
                <pt idx="751">
                  <v>7630.6</v>
                </pt>
                <pt idx="752">
                  <v>7658.5</v>
                </pt>
                <pt idx="753">
                  <v>7656.5</v>
                </pt>
                <pt idx="754">
                  <v>7686.7</v>
                </pt>
                <pt idx="755">
                  <v>7722.6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Monthly'!$A$6:$A$761</f>
              <numCache>
                <formatCode>yyyy\-mm\-dd</formatCode>
                <ptCount val="756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</numCache>
            </numRef>
          </cat>
          <val>
            <numRef>
              <f>'US M2 Real Monthly'!$C$6:$C$761</f>
              <numCache>
                <formatCode>General</formatCode>
                <ptCount val="756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0.02323033092263858</v>
                </pt>
                <pt idx="503">
                  <formatCode>0.0%</formatCode>
                  <v>0.02656864172368613</v>
                </pt>
                <pt idx="504">
                  <formatCode>0.0%</formatCode>
                  <v>0.02797329656773832</v>
                </pt>
                <pt idx="505">
                  <formatCode>0.0%</formatCode>
                  <v>0.03487611712562668</v>
                </pt>
                <pt idx="506">
                  <formatCode>0.0%</formatCode>
                  <v>0.04545289526229799</v>
                </pt>
                <pt idx="507">
                  <formatCode>0.0%</formatCode>
                  <v>0.04385398737808367</v>
                </pt>
                <pt idx="508">
                  <formatCode>0.0%</formatCode>
                  <v>0.04242293287237097</v>
                </pt>
                <pt idx="509">
                  <formatCode>0.0%</formatCode>
                  <v>0.05041319331673353</v>
                </pt>
                <pt idx="510">
                  <formatCode>0.0%</formatCode>
                  <v>0.05747872493869901</v>
                </pt>
                <pt idx="511">
                  <formatCode>0.0%</formatCode>
                  <v>0.05814662125828995</v>
                </pt>
                <pt idx="512">
                  <formatCode>0.0%</formatCode>
                  <v>0.07400915724710262</v>
                </pt>
                <pt idx="513">
                  <formatCode>0.0%</formatCode>
                  <v>0.07303571428571429</v>
                </pt>
                <pt idx="514">
                  <formatCode>0.0%</formatCode>
                  <v>0.08188762761476408</v>
                </pt>
                <pt idx="515">
                  <formatCode>0.0%</formatCode>
                  <v>0.08572644118272715</v>
                </pt>
                <pt idx="516">
                  <formatCode>0.0%</formatCode>
                  <v>0.08308333039212212</v>
                </pt>
                <pt idx="517">
                  <formatCode>0.0%</formatCode>
                  <v>0.08123288633012711</v>
                </pt>
                <pt idx="518">
                  <formatCode>0.0%</formatCode>
                  <v>0.06886133972288787</v>
                </pt>
                <pt idx="519">
                  <formatCode>0.0%</formatCode>
                  <v>0.05266050633781051</v>
                </pt>
                <pt idx="520">
                  <formatCode>0.0%</formatCode>
                  <v>0.06249568161403997</v>
                </pt>
                <pt idx="521">
                  <formatCode>0.0%</formatCode>
                  <v>0.06080802528514497</v>
                </pt>
                <pt idx="522">
                  <formatCode>0.0%</formatCode>
                  <v>0.05865102639296188</v>
                </pt>
                <pt idx="523">
                  <formatCode>0.0%</formatCode>
                  <v>0.05681471694277884</v>
                </pt>
                <pt idx="524">
                  <formatCode>0.0%</formatCode>
                  <v>0.0417318900915904</v>
                </pt>
                <pt idx="525">
                  <formatCode>0.0%</formatCode>
                  <v>0.04692960559161258</v>
                </pt>
                <pt idx="526">
                  <formatCode>0.0%</formatCode>
                  <v>0.04523558136465616</v>
                </pt>
                <pt idx="527">
                  <formatCode>0.0%</formatCode>
                  <v>0.03653996865203765</v>
                </pt>
                <pt idx="528">
                  <formatCode>0.0%</formatCode>
                  <v>0.03571544953889281</v>
                </pt>
                <pt idx="529">
                  <formatCode>0.0%</formatCode>
                  <v>0.03266233766233764</v>
                </pt>
                <pt idx="530">
                  <formatCode>0.0%</formatCode>
                  <v>0.03531513970110455</v>
                </pt>
                <pt idx="531">
                  <formatCode>0.0%</formatCode>
                  <v>0.05054823130139671</v>
                </pt>
                <pt idx="532">
                  <formatCode>0.0%</formatCode>
                  <v>0.0591773695334092</v>
                </pt>
                <pt idx="533">
                  <formatCode>0.0%</formatCode>
                  <v>0.06030183302027327</v>
                </pt>
                <pt idx="534">
                  <formatCode>0.0%</formatCode>
                  <v>0.05929910455453196</v>
                </pt>
                <pt idx="535">
                  <formatCode>0.0%</formatCode>
                  <v>0.05981919599923059</v>
                </pt>
                <pt idx="536">
                  <formatCode>0.0%</formatCode>
                  <v>0.04872434298868202</v>
                </pt>
                <pt idx="537">
                  <formatCode>0.0%</formatCode>
                  <v>0.04237800031791454</v>
                </pt>
                <pt idx="538">
                  <formatCode>0.0%</formatCode>
                  <v>0.03532308469333</v>
                </pt>
                <pt idx="539">
                  <formatCode>0.0%</formatCode>
                  <v>0.0301483791702107</v>
                </pt>
                <pt idx="540">
                  <formatCode>0.0%</formatCode>
                  <v>0.02586288267312709</v>
                </pt>
                <pt idx="541">
                  <formatCode>0.0%</formatCode>
                  <v>0.02945985034270272</v>
                </pt>
                <pt idx="542">
                  <formatCode>0.0%</formatCode>
                  <v>0.03131766404117118</v>
                </pt>
                <pt idx="543">
                  <formatCode>0.0%</formatCode>
                  <v>0.0260615661789829</v>
                </pt>
                <pt idx="544">
                  <formatCode>0.0%</formatCode>
                  <v>0.02225633154259401</v>
                </pt>
                <pt idx="545">
                  <formatCode>0.0%</formatCode>
                  <v>0.01371411117898598</v>
                </pt>
                <pt idx="546">
                  <formatCode>0.0%</formatCode>
                  <v>0.01030802444735004</v>
                </pt>
                <pt idx="547">
                  <formatCode>0.0%</formatCode>
                  <v>0.008681185722927955</v>
                </pt>
                <pt idx="548">
                  <formatCode>0.0%</formatCode>
                  <v>0.0189622583988782</v>
                </pt>
                <pt idx="549">
                  <formatCode>0.0%</formatCode>
                  <v>0.01857386848847128</v>
                </pt>
                <pt idx="550">
                  <formatCode>0.0%</formatCode>
                  <v>0.01771449478626743</v>
                </pt>
                <pt idx="551">
                  <formatCode>0.0%</formatCode>
                  <v>0.02370030581039755</v>
                </pt>
                <pt idx="552">
                  <formatCode>0.0%</formatCode>
                  <v>0.02821653120687011</v>
                </pt>
                <pt idx="553">
                  <formatCode>0.0%</formatCode>
                  <v>0.02095104297101668</v>
                </pt>
                <pt idx="554">
                  <formatCode>0.0%</formatCode>
                  <v>0.01490947816826411</v>
                </pt>
                <pt idx="555">
                  <formatCode>0.0%</formatCode>
                  <v>0.008809639137805875</v>
                </pt>
                <pt idx="556">
                  <formatCode>0.0%</formatCode>
                  <v>0.003903903903903904</v>
                </pt>
                <pt idx="557">
                  <formatCode>0.0%</formatCode>
                  <v>0.01178101178101175</v>
                </pt>
                <pt idx="558">
                  <formatCode>0.0%</formatCode>
                  <v>0.009299945825558325</v>
                </pt>
                <pt idx="559">
                  <formatCode>0.0%</formatCode>
                  <v>0.004498155756139982</v>
                </pt>
                <pt idx="560">
                  <formatCode>0.0%</formatCode>
                  <v>-0.006282910483484921</v>
                </pt>
                <pt idx="561">
                  <formatCode>0.0%</formatCode>
                  <v>-0.001856454172530412</v>
                </pt>
                <pt idx="562">
                  <formatCode>0.0%</formatCode>
                  <v>0.00620150393960269</v>
                </pt>
                <pt idx="563">
                  <formatCode>0.0%</formatCode>
                  <v>0.007348767737117225</v>
                </pt>
                <pt idx="564">
                  <formatCode>0.0%</formatCode>
                  <v>0.00614466815809095</v>
                </pt>
                <pt idx="565">
                  <formatCode>0.0%</formatCode>
                  <v>0.01217505758473176</v>
                </pt>
                <pt idx="566">
                  <formatCode>0.0%</formatCode>
                  <v>0.01502023684605004</v>
                </pt>
                <pt idx="567">
                  <formatCode>0.0%</formatCode>
                  <v>0.01653512588902557</v>
                </pt>
                <pt idx="568">
                  <formatCode>0.0%</formatCode>
                  <v>0.01124738259048756</v>
                </pt>
                <pt idx="569">
                  <formatCode>0.0%</formatCode>
                  <v>0.009857057772483593</v>
                </pt>
                <pt idx="570">
                  <formatCode>0.0%</formatCode>
                  <v>0.01180855822275232</v>
                </pt>
                <pt idx="571">
                  <formatCode>0.0%</formatCode>
                  <v>0.01298623757351405</v>
                </pt>
                <pt idx="572">
                  <formatCode>0.0%</formatCode>
                  <v>0.0307099415908954</v>
                </pt>
                <pt idx="573">
                  <formatCode>0.0%</formatCode>
                  <v>0.03881805909704517</v>
                </pt>
                <pt idx="574">
                  <formatCode>0.0%</formatCode>
                  <v>0.03569939855892339</v>
                </pt>
                <pt idx="575">
                  <formatCode>0.0%</formatCode>
                  <v>0.032235105720471</v>
                </pt>
                <pt idx="576">
                  <formatCode>0.0%</formatCode>
                  <v>0.03575346120779103</v>
                </pt>
                <pt idx="577">
                  <formatCode>0.0%</formatCode>
                  <v>0.03082515663790052</v>
                </pt>
                <pt idx="578">
                  <formatCode>0.0%</formatCode>
                  <v>0.02974362003780727</v>
                </pt>
                <pt idx="579">
                  <formatCode>0.0%</formatCode>
                  <v>0.03648816201216269</v>
                </pt>
                <pt idx="580">
                  <formatCode>0.0%</formatCode>
                  <v>0.03629533218955223</v>
                </pt>
                <pt idx="581">
                  <formatCode>0.0%</formatCode>
                  <v>0.03541623661938601</v>
                </pt>
                <pt idx="582">
                  <formatCode>0.0%</formatCode>
                  <v>0.03725207037812033</v>
                </pt>
                <pt idx="583">
                  <formatCode>0.0%</formatCode>
                  <v>0.04771307320523403</v>
                </pt>
                <pt idx="584">
                  <formatCode>0.0%</formatCode>
                  <v>0.03665946135420926</v>
                </pt>
                <pt idx="585">
                  <formatCode>0.0%</formatCode>
                  <v>0.02356406480117818</v>
                </pt>
                <pt idx="586">
                  <formatCode>0.0%</formatCode>
                  <v>0.01443150783383637</v>
                </pt>
                <pt idx="587">
                  <formatCode>0.0%</formatCode>
                  <v>0.01485290737761429</v>
                </pt>
                <pt idx="588">
                  <formatCode>0.0%</formatCode>
                  <v>0.01219337664939759</v>
                </pt>
                <pt idx="589">
                  <formatCode>0.0%</formatCode>
                  <v>0.02282175521087184</v>
                </pt>
                <pt idx="590">
                  <formatCode>0.0%</formatCode>
                  <v>0.02848291885379908</v>
                </pt>
                <pt idx="591">
                  <formatCode>0.0%</formatCode>
                  <v>0.02457989176872691</v>
                </pt>
                <pt idx="592">
                  <formatCode>0.0%</formatCode>
                  <v>0.0224074444095567</v>
                </pt>
                <pt idx="593">
                  <formatCode>0.0%</formatCode>
                  <v>0.01181932102984735</v>
                </pt>
                <pt idx="594">
                  <formatCode>0.0%</formatCode>
                  <v>0.008268219917601906</v>
                </pt>
                <pt idx="595">
                  <formatCode>0.0%</formatCode>
                  <v>0.001575201822733512</v>
                </pt>
                <pt idx="596">
                  <formatCode>0.0%</formatCode>
                  <v>0.01144016455803204</v>
                </pt>
                <pt idx="597">
                  <formatCode>0.0%</formatCode>
                  <v>0.03532233037099727</v>
                </pt>
                <pt idx="598">
                  <formatCode>0.0%</formatCode>
                  <v>0.06540652364893593</v>
                </pt>
                <pt idx="599">
                  <formatCode>0.0%</formatCode>
                  <v>0.09670205237084216</v>
                </pt>
                <pt idx="600">
                  <formatCode>0.0%</formatCode>
                  <v>0.103611118966151</v>
                </pt>
                <pt idx="601">
                  <formatCode>0.0%</formatCode>
                  <v>0.09387526278906801</v>
                </pt>
                <pt idx="602">
                  <formatCode>0.0%</formatCode>
                  <v>0.09808679161088807</v>
                </pt>
                <pt idx="603">
                  <formatCode>0.0%</formatCode>
                  <v>0.09384816390070327</v>
                </pt>
                <pt idx="604">
                  <formatCode>0.0%</formatCode>
                  <v>0.1045284493829917</v>
                </pt>
                <pt idx="605">
                  <formatCode>0.0%</formatCode>
                  <v>0.1056661130970811</v>
                </pt>
                <pt idx="606">
                  <formatCode>0.0%</formatCode>
                  <v>0.1079017077157189</v>
                </pt>
                <pt idx="607">
                  <formatCode>0.0%</formatCode>
                  <v>0.1004296907911367</v>
                </pt>
                <pt idx="608">
                  <formatCode>0.0%</formatCode>
                  <v>0.08939963783256724</v>
                </pt>
                <pt idx="609">
                  <formatCode>0.0%</formatCode>
                  <v>0.06580919421206094</v>
                </pt>
                <pt idx="610">
                  <formatCode>0.0%</formatCode>
                  <v>0.04056390477457109</v>
                </pt>
                <pt idx="611">
                  <formatCode>0.0%</formatCode>
                  <v>0.008647169665212565</v>
                </pt>
                <pt idx="612">
                  <formatCode>0.0%</formatCode>
                  <v>-0.003817869679965059</v>
                </pt>
                <pt idx="613">
                  <formatCode>0.0%</formatCode>
                  <v>0.003049405494054964</v>
                </pt>
                <pt idx="614">
                  <formatCode>0.0%</formatCode>
                  <v>-0.006501917557717309</v>
                </pt>
                <pt idx="615">
                  <formatCode>0.0%</formatCode>
                  <v>-0.002541360644489059</v>
                </pt>
                <pt idx="616">
                  <formatCode>0.0%</formatCode>
                  <v>-0.001011071229968151</v>
                </pt>
                <pt idx="617">
                  <formatCode>0.0%</formatCode>
                  <v>0.008782872126473358</v>
                </pt>
                <pt idx="618">
                  <formatCode>0.0%</formatCode>
                  <v>0.007147399211496861</v>
                </pt>
                <pt idx="619">
                  <formatCode>0.0%</formatCode>
                  <v>0.01498098665237471</v>
                </pt>
                <pt idx="620">
                  <formatCode>0.0%</formatCode>
                  <v>0.01902618657937809</v>
                </pt>
                <pt idx="621">
                  <formatCode>0.0%</formatCode>
                  <v>0.02101656780527722</v>
                </pt>
                <pt idx="622">
                  <formatCode>0.0%</formatCode>
                  <v>0.02065439672801641</v>
                </pt>
                <pt idx="623">
                  <formatCode>0.0%</formatCode>
                  <v>0.02139420616235027</v>
                </pt>
                <pt idx="624">
                  <formatCode>0.0%</formatCode>
                  <v>0.02572148773085035</v>
                </pt>
                <pt idx="625">
                  <formatCode>0.0%</formatCode>
                  <v>0.02283933270316522</v>
                </pt>
                <pt idx="626">
                  <formatCode>0.0%</formatCode>
                  <v>0.02472070966587424</v>
                </pt>
                <pt idx="627">
                  <formatCode>0.0%</formatCode>
                  <v>0.02349104435781799</v>
                </pt>
                <pt idx="628">
                  <formatCode>0.0%</formatCode>
                  <v>0.0211527756692476</v>
                </pt>
                <pt idx="629">
                  <formatCode>0.0%</formatCode>
                  <v>0.0269772371675163</v>
                </pt>
                <pt idx="630">
                  <formatCode>0.0%</formatCode>
                  <v>0.04359026164259014</v>
                </pt>
                <pt idx="631">
                  <formatCode>0.0%</formatCode>
                  <v>0.05702791048529047</v>
                </pt>
                <pt idx="632">
                  <formatCode>0.0%</formatCode>
                  <v>0.05498393896807856</v>
                </pt>
                <pt idx="633">
                  <formatCode>0.0%</formatCode>
                  <v>0.05571693293934981</v>
                </pt>
                <pt idx="634">
                  <formatCode>0.0%</formatCode>
                  <v>0.05950711280304534</v>
                </pt>
                <pt idx="635">
                  <formatCode>0.0%</formatCode>
                  <v>0.06491781920224503</v>
                </pt>
                <pt idx="636">
                  <formatCode>0.0%</formatCode>
                  <v>0.07106675359847525</v>
                </pt>
                <pt idx="637">
                  <formatCode>0.0%</formatCode>
                  <v>0.07085945500412115</v>
                </pt>
                <pt idx="638">
                  <formatCode>0.0%</formatCode>
                  <v>0.0725725975451552</v>
                </pt>
                <pt idx="639">
                  <formatCode>0.0%</formatCode>
                  <v>0.07420776181822705</v>
                </pt>
                <pt idx="640">
                  <formatCode>0.0%</formatCode>
                  <v>0.07629218494474445</v>
                </pt>
                <pt idx="641">
                  <formatCode>0.0%</formatCode>
                  <v>0.07509522054306435</v>
                </pt>
                <pt idx="642">
                  <formatCode>0.0%</formatCode>
                  <v>0.06451769033444664</v>
                </pt>
                <pt idx="643">
                  <formatCode>0.0%</formatCode>
                  <v>0.0465531186069746</v>
                </pt>
                <pt idx="644">
                  <formatCode>0.0%</formatCode>
                  <v>0.0495730155331955</v>
                </pt>
                <pt idx="645">
                  <formatCode>0.0%</formatCode>
                  <v>0.05026210299105779</v>
                </pt>
                <pt idx="646">
                  <formatCode>0.0%</formatCode>
                  <v>0.05488842662632393</v>
                </pt>
                <pt idx="647">
                  <formatCode>0.0%</formatCode>
                  <v>0.0634778721502012</v>
                </pt>
                <pt idx="648">
                  <formatCode>0.0%</formatCode>
                  <v>0.05876568645813823</v>
                </pt>
                <pt idx="649">
                  <formatCode>0.0%</formatCode>
                  <v>0.05028688715771806</v>
                </pt>
                <pt idx="650">
                  <formatCode>0.0%</formatCode>
                  <v>0.0570092805805595</v>
                </pt>
                <pt idx="651">
                  <formatCode>0.0%</formatCode>
                  <v>0.05876900259547654</v>
                </pt>
                <pt idx="652">
                  <formatCode>0.0%</formatCode>
                  <v>0.05534452195133194</v>
                </pt>
                <pt idx="653">
                  <formatCode>0.0%</formatCode>
                  <v>0.0504217046467508</v>
                </pt>
                <pt idx="654">
                  <formatCode>0.0%</formatCode>
                  <v>0.04726288987905784</v>
                </pt>
                <pt idx="655">
                  <formatCode>0.0%</formatCode>
                  <v>0.04991476304125477</v>
                </pt>
                <pt idx="656">
                  <formatCode>0.0%</formatCode>
                  <v>0.05149241891983768</v>
                </pt>
                <pt idx="657">
                  <formatCode>0.0%</formatCode>
                  <v>0.05822304530466602</v>
                </pt>
                <pt idx="658">
                  <formatCode>0.0%</formatCode>
                  <v>0.0485367274682919</v>
                </pt>
                <pt idx="659">
                  <formatCode>0.0%</formatCode>
                  <v>0.03871595761155727</v>
                </pt>
                <pt idx="660">
                  <formatCode>0.0%</formatCode>
                  <v>0.04101985759143779</v>
                </pt>
                <pt idx="661">
                  <formatCode>0.0%</formatCode>
                  <v>0.05305351987563838</v>
                </pt>
                <pt idx="662">
                  <formatCode>0.0%</formatCode>
                  <v>0.04489041457618168</v>
                </pt>
                <pt idx="663">
                  <formatCode>0.0%</formatCode>
                  <v>0.04222115216249335</v>
                </pt>
                <pt idx="664">
                  <formatCode>0.0%</formatCode>
                  <v>0.04288737156693778</v>
                </pt>
                <pt idx="665">
                  <formatCode>0.0%</formatCode>
                  <v>0.04354070109014957</v>
                </pt>
                <pt idx="666">
                  <formatCode>0.0%</formatCode>
                  <v>0.04508650443918637</v>
                </pt>
                <pt idx="667">
                  <formatCode>0.0%</formatCode>
                  <v>0.04507371565889455</v>
                </pt>
                <pt idx="668">
                  <formatCode>0.0%</formatCode>
                  <v>0.04347451233969174</v>
                </pt>
                <pt idx="669">
                  <formatCode>0.0%</formatCode>
                  <v>0.03897046269421194</v>
                </pt>
                <pt idx="670">
                  <formatCode>0.0%</formatCode>
                  <v>0.04560608651051474</v>
                </pt>
                <pt idx="671">
                  <formatCode>0.0%</formatCode>
                  <v>0.05243764776043104</v>
                </pt>
                <pt idx="672">
                  <formatCode>0.0%</formatCode>
                  <v>0.06268453809716006</v>
                </pt>
                <pt idx="673">
                  <formatCode>0.0%</formatCode>
                  <v>0.06379299436934563</v>
                </pt>
                <pt idx="674">
                  <formatCode>0.0%</formatCode>
                  <v>0.06094684525313802</v>
                </pt>
                <pt idx="675">
                  <formatCode>0.0%</formatCode>
                  <v>0.06039859713967709</v>
                </pt>
                <pt idx="676">
                  <formatCode>0.0%</formatCode>
                  <v>0.05538937812454247</v>
                </pt>
                <pt idx="677">
                  <formatCode>0.0%</formatCode>
                  <v>0.05310897034905538</v>
                </pt>
                <pt idx="678">
                  <formatCode>0.0%</formatCode>
                  <v>0.05165752741774692</v>
                </pt>
                <pt idx="679">
                  <formatCode>0.0%</formatCode>
                  <v>0.05309386199324678</v>
                </pt>
                <pt idx="680">
                  <formatCode>0.0%</formatCode>
                  <v>0.05713459472857977</v>
                </pt>
                <pt idx="681">
                  <formatCode>0.0%</formatCode>
                  <v>0.05351053777576928</v>
                </pt>
                <pt idx="682">
                  <formatCode>0.0%</formatCode>
                  <v>0.05424518660834722</v>
                </pt>
                <pt idx="683">
                  <formatCode>0.0%</formatCode>
                  <v>0.05035112217432663</v>
                </pt>
                <pt idx="684">
                  <formatCode>0.0%</formatCode>
                  <v>0.04897257535779963</v>
                </pt>
                <pt idx="685">
                  <formatCode>0.0%</formatCode>
                  <v>0.04844976607723427</v>
                </pt>
                <pt idx="686">
                  <formatCode>0.0%</formatCode>
                  <v>0.05190757870499027</v>
                </pt>
                <pt idx="687">
                  <formatCode>0.0%</formatCode>
                  <v>0.05216564672330811</v>
                </pt>
                <pt idx="688">
                  <formatCode>0.0%</formatCode>
                  <v>0.05599048657219304</v>
                </pt>
                <pt idx="689">
                  <formatCode>0.0%</formatCode>
                  <v>0.05753885753885761</v>
                </pt>
                <pt idx="690">
                  <formatCode>0.0%</formatCode>
                  <v>0.06025952479706097</v>
                </pt>
                <pt idx="691">
                  <formatCode>0.0%</formatCode>
                  <v>0.06050830120387116</v>
                </pt>
                <pt idx="692">
                  <formatCode>0.0%</formatCode>
                  <v>0.05545351518230493</v>
                </pt>
                <pt idx="693">
                  <formatCode>0.0%</formatCode>
                  <v>0.05658353968842003</v>
                </pt>
                <pt idx="694">
                  <formatCode>0.0%</formatCode>
                  <v>0.05531213648701051</v>
                </pt>
                <pt idx="695">
                  <formatCode>0.0%</formatCode>
                  <v>0.04932467582512861</v>
                </pt>
                <pt idx="696">
                  <formatCode>0.0%</formatCode>
                  <v>0.03942604519989322</v>
                </pt>
                <pt idx="697">
                  <formatCode>0.0%</formatCode>
                  <v>0.03577371048252908</v>
                </pt>
                <pt idx="698">
                  <formatCode>0.0%</formatCode>
                  <v>0.03953352329552959</v>
                </pt>
                <pt idx="699">
                  <formatCode>0.0%</formatCode>
                  <v>0.03922675852203222</v>
                </pt>
                <pt idx="700">
                  <formatCode>0.0%</formatCode>
                  <v>0.04100975975975976</v>
                </pt>
                <pt idx="701">
                  <formatCode>0.0%</formatCode>
                  <v>0.0399168710565239</v>
                </pt>
                <pt idx="702">
                  <formatCode>0.0%</formatCode>
                  <v>0.03876532170932535</v>
                </pt>
                <pt idx="703">
                  <formatCode>0.0%</formatCode>
                  <v>0.03418533907107883</v>
                </pt>
                <pt idx="704">
                  <formatCode>0.0%</formatCode>
                  <v>0.02978747037914685</v>
                </pt>
                <pt idx="705">
                  <formatCode>0.0%</formatCode>
                  <v>0.03004299765635095</v>
                </pt>
                <pt idx="706">
                  <formatCode>0.0%</formatCode>
                  <v>0.0250215861701541</v>
                </pt>
                <pt idx="707">
                  <formatCode>0.0%</formatCode>
                  <v>0.02689998347441288</v>
                </pt>
                <pt idx="708">
                  <formatCode>0.0%</formatCode>
                  <v>0.0224760298458211</v>
                </pt>
                <pt idx="709">
                  <formatCode>0.0%</formatCode>
                  <v>0.01889375684556407</v>
                </pt>
                <pt idx="710">
                  <formatCode>0.0%</formatCode>
                  <v>0.01642826023816439</v>
                </pt>
                <pt idx="711">
                  <formatCode>0.0%</formatCode>
                  <v>0.01327633985981041</v>
                </pt>
                <pt idx="712">
                  <formatCode>0.0%</formatCode>
                  <v>0.01123230866312092</v>
                </pt>
                <pt idx="713">
                  <formatCode>0.0%</formatCode>
                  <v>0.01262085231262255</v>
                </pt>
                <pt idx="714">
                  <formatCode>0.0%</formatCode>
                  <v>0.009952836109965389</v>
                </pt>
                <pt idx="715">
                  <formatCode>0.0%</formatCode>
                  <v>0.01155053358443182</v>
                </pt>
                <pt idx="716">
                  <formatCode>0.0%</formatCode>
                  <v>0.01431011235955063</v>
                </pt>
                <pt idx="717">
                  <formatCode>0.0%</formatCode>
                  <v>0.008474120787573711</v>
                </pt>
                <pt idx="718">
                  <formatCode>0.0%</formatCode>
                  <v>0.0105385787256923</v>
                </pt>
                <pt idx="719">
                  <formatCode>0.0%</formatCode>
                  <v>0.01791653256088399</v>
                </pt>
                <pt idx="720">
                  <formatCode>0.0%</formatCode>
                  <v>0.02585480429598548</v>
                </pt>
                <pt idx="721">
                  <formatCode>0.0%</formatCode>
                  <v>0.0259786795664248</v>
                </pt>
                <pt idx="722">
                  <formatCode>0.0%</formatCode>
                  <v>0.02128837533263083</v>
                </pt>
                <pt idx="723">
                  <formatCode>0.0%</formatCode>
                  <v>0.01994851994852001</v>
                </pt>
                <pt idx="724">
                  <formatCode>0.0%</formatCode>
                  <v>0.02410497789188415</v>
                </pt>
                <pt idx="725">
                  <formatCode>0.0%</formatCode>
                  <v>0.02930090320745327</v>
                </pt>
                <pt idx="726">
                  <formatCode>0.0%</formatCode>
                  <v>0.03086047089740406</v>
                </pt>
                <pt idx="727">
                  <formatCode>0.0%</formatCode>
                  <v>0.03395450273941027</v>
                </pt>
                <pt idx="728">
                  <formatCode>0.0%</formatCode>
                  <v>0.03819499831622977</v>
                </pt>
                <pt idx="729">
                  <formatCode>0.0%</formatCode>
                  <v>0.04588736898205724</v>
                </pt>
                <pt idx="730">
                  <formatCode>0.0%</formatCode>
                  <v>0.04847205718035581</v>
                </pt>
                <pt idx="731">
                  <formatCode>0.0%</formatCode>
                  <v>0.04265036537380554</v>
                </pt>
                <pt idx="732">
                  <formatCode>0.0%</formatCode>
                  <v>0.04095079961548548</v>
                </pt>
                <pt idx="733">
                  <formatCode>0.0%</formatCode>
                  <v>0.04377892255304284</v>
                </pt>
                <pt idx="734">
                  <formatCode>0.0%</formatCode>
                  <v>0.08528460260557835</v>
                </pt>
                <pt idx="735">
                  <formatCode>0.0%</formatCode>
                  <v>0.1655976165439887</v>
                </pt>
                <pt idx="736">
                  <formatCode>0.0%</formatCode>
                  <v>0.2168523676880224</v>
                </pt>
                <pt idx="737">
                  <formatCode>0.0%</formatCode>
                  <v>0.2202895045947627</v>
                </pt>
                <pt idx="738">
                  <formatCode>0.0%</formatCode>
                  <v>0.2200117128289926</v>
                </pt>
                <pt idx="739">
                  <formatCode>0.0%</formatCode>
                  <v>0.214459649483829</v>
                </pt>
                <pt idx="740">
                  <formatCode>0.0%</formatCode>
                  <v>0.2207047254848401</v>
                </pt>
                <pt idx="741">
                  <formatCode>0.0%</formatCode>
                  <v>0.2226147809692048</v>
                </pt>
                <pt idx="742">
                  <formatCode>0.0%</formatCode>
                  <v>0.2290919548007306</v>
                </pt>
                <pt idx="743">
                  <formatCode>0.0%</formatCode>
                  <v>0.2321585012467147</v>
                </pt>
                <pt idx="744">
                  <formatCode>0.0%</formatCode>
                  <v>0.2417307498572819</v>
                </pt>
                <pt idx="745">
                  <formatCode>0.0%</formatCode>
                  <v>0.2502007628990163</v>
                </pt>
                <pt idx="746">
                  <formatCode>0.0%</formatCode>
                  <v>0.2117398730301957</v>
                </pt>
                <pt idx="747">
                  <formatCode>0.0%</formatCode>
                  <v>0.134793787306981</v>
                </pt>
                <pt idx="748">
                  <formatCode>0.0%</formatCode>
                  <v>0.0869577658235091</v>
                </pt>
                <pt idx="749">
                  <formatCode>0.0%</formatCode>
                  <v>0.06718097529903042</v>
                </pt>
                <pt idx="750">
                  <formatCode>0.0%</formatCode>
                  <v>0.06713351875644158</v>
                </pt>
                <pt idx="751">
                  <formatCode>0.0%</formatCode>
                  <v>0.07746399322225365</v>
                </pt>
                <pt idx="752">
                  <formatCode>0.0%</formatCode>
                  <v>0.07105896173640641</v>
                </pt>
                <pt idx="753">
                  <formatCode>0.0%</formatCode>
                  <v>0.06371302741077264</v>
                </pt>
                <pt idx="754">
                  <formatCode>0.0%</formatCode>
                  <v>0.05791436711212654</v>
                </pt>
                <pt idx="755">
                  <formatCode>0.0%</formatCode>
                  <v>0.05592321155108291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</formatCode>
                  <v>41526</v>
                </pt>
                <pt idx="2019">
                  <formatCode>m/d/yy</formatCode>
                  <v>41533</v>
                </pt>
                <pt idx="2020">
                  <formatCode>m/d/yy</formatCode>
                  <v>41540</v>
                </pt>
                <pt idx="2021">
                  <formatCode>m/d/yy</formatCode>
                  <v>41547</v>
                </pt>
                <pt idx="2022">
                  <formatCode>m/d/yy</formatCode>
                  <v>41554</v>
                </pt>
                <pt idx="2023">
                  <formatCode>m/d/yy</formatCode>
                  <v>41561</v>
                </pt>
                <pt idx="2024">
                  <formatCode>m/d/yy</formatCode>
                  <v>41568</v>
                </pt>
                <pt idx="2025">
                  <formatCode>m/d/yy</formatCode>
                  <v>41575</v>
                </pt>
                <pt idx="2026">
                  <formatCode>m/d/yy</formatCode>
                  <v>41582</v>
                </pt>
                <pt idx="2027">
                  <formatCode>m/d/yy</formatCode>
                  <v>41589</v>
                </pt>
                <pt idx="2028">
                  <formatCode>m/d/yy</formatCode>
                  <v>41596</v>
                </pt>
                <pt idx="2029">
                  <formatCode>m/d/yy</formatCode>
                  <v>41603</v>
                </pt>
                <pt idx="2030">
                  <formatCode>m/d/yy</formatCode>
                  <v>41610</v>
                </pt>
                <pt idx="2031">
                  <formatCode>m/d/yy</formatCode>
                  <v>41617</v>
                </pt>
                <pt idx="2032">
                  <formatCode>m/d/yy</formatCode>
                  <v>41624</v>
                </pt>
                <pt idx="2033">
                  <formatCode>m/d/yy</formatCode>
                  <v>41631</v>
                </pt>
                <pt idx="2034">
                  <formatCode>m/d/yy</formatCode>
                  <v>41638</v>
                </pt>
                <pt idx="2035">
                  <formatCode>m/d/yy</formatCode>
                  <v>41645</v>
                </pt>
                <pt idx="2036">
                  <formatCode>m/d/yy</formatCode>
                  <v>41652</v>
                </pt>
                <pt idx="2037">
                  <formatCode>m/d/yy</formatCode>
                  <v>41659</v>
                </pt>
                <pt idx="2038">
                  <formatCode>m/d/yy</formatCode>
                  <v>41666</v>
                </pt>
                <pt idx="2039">
                  <formatCode>m/d/yy</formatCode>
                  <v>41673</v>
                </pt>
                <pt idx="2040">
                  <formatCode>m/d/yy</formatCode>
                  <v>41680</v>
                </pt>
                <pt idx="2041">
                  <formatCode>m/d/yy</formatCode>
                  <v>41687</v>
                </pt>
                <pt idx="2042">
                  <formatCode>m/d/yy</formatCode>
                  <v>41694</v>
                </pt>
                <pt idx="2043">
                  <formatCode>m/d/yy</formatCode>
                  <v>41701</v>
                </pt>
                <pt idx="2044">
                  <formatCode>m/d/yy</formatCode>
                  <v>41708</v>
                </pt>
                <pt idx="2045">
                  <formatCode>m/d/yy</formatCode>
                  <v>41715</v>
                </pt>
                <pt idx="2046">
                  <formatCode>m/d/yy</formatCode>
                  <v>41722</v>
                </pt>
                <pt idx="2047">
                  <formatCode>m/d/yy</formatCode>
                  <v>41729</v>
                </pt>
                <pt idx="2048">
                  <formatCode>m/d/yy</formatCode>
                  <v>41736</v>
                </pt>
                <pt idx="2049">
                  <formatCode>m/d/yy</formatCode>
                  <v>41743</v>
                </pt>
                <pt idx="2050">
                  <formatCode>m/d/yy</formatCode>
                  <v>41750</v>
                </pt>
                <pt idx="2051">
                  <formatCode>m/d/yy</formatCode>
                  <v>41757</v>
                </pt>
                <pt idx="2052">
                  <formatCode>m/d/yy</formatCode>
                  <v>41764</v>
                </pt>
                <pt idx="2053">
                  <formatCode>m/d/yy</formatCode>
                  <v>41771</v>
                </pt>
                <pt idx="2054">
                  <formatCode>m/d/yy</formatCode>
                  <v>41778</v>
                </pt>
                <pt idx="2055">
                  <formatCode>m/d/yy</formatCode>
                  <v>41785</v>
                </pt>
                <pt idx="2056">
                  <formatCode>m/d/yy</formatCode>
                  <v>41792</v>
                </pt>
                <pt idx="2057">
                  <formatCode>m/d/yy</formatCode>
                  <v>41799</v>
                </pt>
                <pt idx="2058">
                  <formatCode>m/d/yy</formatCode>
                  <v>41806</v>
                </pt>
                <pt idx="2059">
                  <formatCode>m/d/yy</formatCode>
                  <v>41813</v>
                </pt>
                <pt idx="2060">
                  <formatCode>m/d/yy</formatCode>
                  <v>41820</v>
                </pt>
                <pt idx="2061">
                  <formatCode>m/d/yy</formatCode>
                  <v>41827</v>
                </pt>
                <pt idx="2062">
                  <formatCode>m/d/yy</formatCode>
                  <v>41834</v>
                </pt>
                <pt idx="2063">
                  <formatCode>m/d/yy</formatCode>
                  <v>41841</v>
                </pt>
                <pt idx="2064">
                  <formatCode>m/d/yy</formatCode>
                  <v>41848</v>
                </pt>
                <pt idx="2065">
                  <formatCode>m/d/yy</formatCode>
                  <v>41855</v>
                </pt>
                <pt idx="2066">
                  <formatCode>m/d/yy</formatCode>
                  <v>41862</v>
                </pt>
                <pt idx="2067">
                  <formatCode>m/d/yy</formatCode>
                  <v>41869</v>
                </pt>
                <pt idx="2068">
                  <formatCode>m/d/yy</formatCode>
                  <v>41876</v>
                </pt>
                <pt idx="2069">
                  <formatCode>m/d/yy</formatCode>
                  <v>41883</v>
                </pt>
                <pt idx="2070">
                  <formatCode>m/d/yy</formatCode>
                  <v>41890</v>
                </pt>
                <pt idx="2071">
                  <formatCode>m/d/yy</formatCode>
                  <v>41897</v>
                </pt>
                <pt idx="2072">
                  <formatCode>m/d/yy</formatCode>
                  <v>41904</v>
                </pt>
                <pt idx="2073">
                  <formatCode>m/d/yy</formatCode>
                  <v>41911</v>
                </pt>
                <pt idx="2074">
                  <formatCode>m/d/yy</formatCode>
                  <v>41918</v>
                </pt>
                <pt idx="2075">
                  <formatCode>m/d/yy</formatCode>
                  <v>41925</v>
                </pt>
                <pt idx="2076">
                  <formatCode>m/d/yy</formatCode>
                  <v>41932</v>
                </pt>
                <pt idx="2077">
                  <formatCode>m/d/yy</formatCode>
                  <v>41939</v>
                </pt>
                <pt idx="2078">
                  <formatCode>m/d/yy</formatCode>
                  <v>41946</v>
                </pt>
                <pt idx="2079">
                  <formatCode>m/d/yy</formatCode>
                  <v>41953</v>
                </pt>
                <pt idx="2080">
                  <formatCode>m/d/yy</formatCode>
                  <v>41960</v>
                </pt>
                <pt idx="2081">
                  <formatCode>m/d/yy</formatCode>
                  <v>41967</v>
                </pt>
                <pt idx="2082">
                  <formatCode>m/d/yy</formatCode>
                  <v>41974</v>
                </pt>
                <pt idx="2083">
                  <formatCode>m/d/yy</formatCode>
                  <v>41981</v>
                </pt>
                <pt idx="2084">
                  <formatCode>m/d/yy</formatCode>
                  <v>41988</v>
                </pt>
                <pt idx="2085">
                  <formatCode>m/d/yy</formatCode>
                  <v>41995</v>
                </pt>
                <pt idx="2086">
                  <formatCode>m/d/yy</formatCode>
                  <v>42002</v>
                </pt>
                <pt idx="2087">
                  <formatCode>m/d/yy</formatCode>
                  <v>42009</v>
                </pt>
                <pt idx="2088">
                  <formatCode>m/d/yy</formatCode>
                  <v>42016</v>
                </pt>
                <pt idx="2089">
                  <formatCode>m/d/yy</formatCode>
                  <v>42023</v>
                </pt>
                <pt idx="2090">
                  <formatCode>m/d/yy</formatCode>
                  <v>42030</v>
                </pt>
                <pt idx="2091">
                  <formatCode>m/d/yy</formatCode>
                  <v>42037</v>
                </pt>
                <pt idx="2092">
                  <formatCode>m/d/yy</formatCode>
                  <v>42044</v>
                </pt>
                <pt idx="2093">
                  <formatCode>m/d/yy</formatCode>
                  <v>42051</v>
                </pt>
                <pt idx="2094">
                  <formatCode>m/d/yy</formatCode>
                  <v>42058</v>
                </pt>
                <pt idx="2095">
                  <formatCode>m/d/yy</formatCode>
                  <v>42065</v>
                </pt>
                <pt idx="2096">
                  <formatCode>m/d/yy</formatCode>
                  <v>42072</v>
                </pt>
                <pt idx="2097">
                  <formatCode>m/d/yy</formatCode>
                  <v>42079</v>
                </pt>
                <pt idx="2098">
                  <formatCode>m/d/yy</formatCode>
                  <v>42086</v>
                </pt>
                <pt idx="2099">
                  <formatCode>m/d/yy</formatCode>
                  <v>42093</v>
                </pt>
                <pt idx="2100">
                  <formatCode>m/d/yy</formatCode>
                  <v>42100</v>
                </pt>
                <pt idx="2101">
                  <formatCode>m/d/yy</formatCode>
                  <v>42107</v>
                </pt>
                <pt idx="2102">
                  <formatCode>m/d/yy</formatCode>
                  <v>42114</v>
                </pt>
                <pt idx="2103">
                  <formatCode>m/d/yy</formatCode>
                  <v>42121</v>
                </pt>
                <pt idx="2104">
                  <formatCode>m/d/yy</formatCode>
                  <v>42128</v>
                </pt>
                <pt idx="2105">
                  <formatCode>m/d/yy</formatCode>
                  <v>42135</v>
                </pt>
                <pt idx="2106">
                  <formatCode>m/d/yy</formatCode>
                  <v>42142</v>
                </pt>
                <pt idx="2107">
                  <formatCode>m/d/yy</formatCode>
                  <v>42149</v>
                </pt>
                <pt idx="2108">
                  <formatCode>m/d/yy</formatCode>
                  <v>42156</v>
                </pt>
                <pt idx="2109">
                  <formatCode>m/d/yy</formatCode>
                  <v>42163</v>
                </pt>
                <pt idx="2110">
                  <formatCode>m/d/yy</formatCode>
                  <v>42170</v>
                </pt>
                <pt idx="2111">
                  <formatCode>m/d/yy</formatCode>
                  <v>42177</v>
                </pt>
                <pt idx="2112">
                  <formatCode>m/d/yy</formatCode>
                  <v>42184</v>
                </pt>
                <pt idx="2113">
                  <formatCode>m/d/yy</formatCode>
                  <v>42191</v>
                </pt>
                <pt idx="2114">
                  <formatCode>m/d/yy</formatCode>
                  <v>42198</v>
                </pt>
                <pt idx="2115">
                  <formatCode>m/d/yy</formatCode>
                  <v>42205</v>
                </pt>
                <pt idx="2116">
                  <formatCode>m/d/yy</formatCode>
                  <v>42212</v>
                </pt>
                <pt idx="2117">
                  <formatCode>m/d/yy</formatCode>
                  <v>42219</v>
                </pt>
                <pt idx="2118">
                  <formatCode>m/d/yy</formatCode>
                  <v>42226</v>
                </pt>
                <pt idx="2119">
                  <formatCode>m/d/yy</formatCode>
                  <v>42233</v>
                </pt>
                <pt idx="2120">
                  <formatCode>m/d/yy</formatCode>
                  <v>42240</v>
                </pt>
                <pt idx="2121">
                  <formatCode>m/d/yy</formatCode>
                  <v>42247</v>
                </pt>
                <pt idx="2122">
                  <formatCode>m/d/yy</formatCode>
                  <v>42254</v>
                </pt>
                <pt idx="2123">
                  <formatCode>m/d/yy</formatCode>
                  <v>42261</v>
                </pt>
                <pt idx="2124">
                  <formatCode>m/d/yy</formatCode>
                  <v>42268</v>
                </pt>
                <pt idx="2125">
                  <formatCode>m/d/yy</formatCode>
                  <v>42275</v>
                </pt>
                <pt idx="2126">
                  <formatCode>m/d/yy</formatCode>
                  <v>42282</v>
                </pt>
                <pt idx="2127">
                  <formatCode>m/d/yy</formatCode>
                  <v>42289</v>
                </pt>
                <pt idx="2128">
                  <formatCode>m/d/yy</formatCode>
                  <v>42296</v>
                </pt>
                <pt idx="2129">
                  <formatCode>m/d/yy</formatCode>
                  <v>42303</v>
                </pt>
                <pt idx="2130">
                  <formatCode>m/d/yy</formatCode>
                  <v>42310</v>
                </pt>
                <pt idx="2131">
                  <formatCode>m/d/yy</formatCode>
                  <v>42317</v>
                </pt>
                <pt idx="2132">
                  <formatCode>m/d/yy</formatCode>
                  <v>42324</v>
                </pt>
                <pt idx="2133">
                  <formatCode>m/d/yy</formatCode>
                  <v>42331</v>
                </pt>
                <pt idx="2134">
                  <formatCode>m/d/yy</formatCode>
                  <v>42338</v>
                </pt>
                <pt idx="2135">
                  <formatCode>m/d/yy</formatCode>
                  <v>42345</v>
                </pt>
                <pt idx="2136">
                  <formatCode>m/d/yy</formatCode>
                  <v>42352</v>
                </pt>
                <pt idx="2137">
                  <formatCode>m/d/yy</formatCode>
                  <v>42359</v>
                </pt>
                <pt idx="2138">
                  <formatCode>m/d/yy</formatCode>
                  <v>42366</v>
                </pt>
                <pt idx="2139">
                  <formatCode>m/d/yy</formatCode>
                  <v>42373</v>
                </pt>
                <pt idx="2140">
                  <formatCode>m/d/yy</formatCode>
                  <v>42380</v>
                </pt>
                <pt idx="2141">
                  <formatCode>m/d/yy</formatCode>
                  <v>42387</v>
                </pt>
                <pt idx="2142">
                  <formatCode>m/d/yy</formatCode>
                  <v>42394</v>
                </pt>
                <pt idx="2143">
                  <formatCode>m/d/yy</formatCode>
                  <v>42401</v>
                </pt>
                <pt idx="2144">
                  <formatCode>m/d/yy</formatCode>
                  <v>42408</v>
                </pt>
                <pt idx="2145">
                  <formatCode>m/d/yy</formatCode>
                  <v>42415</v>
                </pt>
                <pt idx="2146">
                  <formatCode>m/d/yy</formatCode>
                  <v>42422</v>
                </pt>
                <pt idx="2147">
                  <formatCode>m/d/yy</formatCode>
                  <v>42429</v>
                </pt>
                <pt idx="2148">
                  <formatCode>m/d/yy</formatCode>
                  <v>42436</v>
                </pt>
                <pt idx="2149">
                  <formatCode>m/d/yy</formatCode>
                  <v>42443</v>
                </pt>
                <pt idx="2150">
                  <formatCode>m/d/yy</formatCode>
                  <v>42450</v>
                </pt>
                <pt idx="2151">
                  <formatCode>m/d/yy</formatCode>
                  <v>42457</v>
                </pt>
                <pt idx="2152">
                  <formatCode>m/d/yy</formatCode>
                  <v>42464</v>
                </pt>
                <pt idx="2153">
                  <formatCode>m/d/yy</formatCode>
                  <v>42471</v>
                </pt>
                <pt idx="2154">
                  <formatCode>m/d/yy</formatCode>
                  <v>42478</v>
                </pt>
                <pt idx="2155">
                  <formatCode>m/d/yy</formatCode>
                  <v>42485</v>
                </pt>
                <pt idx="2156">
                  <formatCode>m/d/yy</formatCode>
                  <v>42492</v>
                </pt>
                <pt idx="2157">
                  <formatCode>m/d/yy</formatCode>
                  <v>42499</v>
                </pt>
                <pt idx="2158">
                  <formatCode>m/d/yy</formatCode>
                  <v>42506</v>
                </pt>
                <pt idx="2159">
                  <formatCode>m/d/yy</formatCode>
                  <v>42513</v>
                </pt>
                <pt idx="2160">
                  <formatCode>m/d/yy</formatCode>
                  <v>42520</v>
                </pt>
                <pt idx="2161">
                  <formatCode>m/d/yy</formatCode>
                  <v>42527</v>
                </pt>
                <pt idx="2162">
                  <formatCode>m/d/yy</formatCode>
                  <v>42534</v>
                </pt>
                <pt idx="2163">
                  <formatCode>m/d/yy</formatCode>
                  <v>42541</v>
                </pt>
                <pt idx="2164">
                  <formatCode>m/d/yy</formatCode>
                  <v>42548</v>
                </pt>
                <pt idx="2165">
                  <formatCode>m/d/yy</formatCode>
                  <v>42555</v>
                </pt>
                <pt idx="2166">
                  <formatCode>m/d/yy</formatCode>
                  <v>42562</v>
                </pt>
                <pt idx="2167">
                  <formatCode>m/d/yy</formatCode>
                  <v>42569</v>
                </pt>
                <pt idx="2168">
                  <formatCode>m/d/yy</formatCode>
                  <v>42576</v>
                </pt>
                <pt idx="2169">
                  <formatCode>m/d/yy</formatCode>
                  <v>42583</v>
                </pt>
                <pt idx="2170">
                  <formatCode>m/d/yy</formatCode>
                  <v>42590</v>
                </pt>
                <pt idx="2171">
                  <formatCode>m/d/yy</formatCode>
                  <v>42597</v>
                </pt>
                <pt idx="2172">
                  <formatCode>m/d/yy</formatCode>
                  <v>42604</v>
                </pt>
                <pt idx="2173">
                  <formatCode>m/d/yy</formatCode>
                  <v>42611</v>
                </pt>
                <pt idx="2174">
                  <formatCode>m/d/yy</formatCode>
                  <v>42618</v>
                </pt>
                <pt idx="2175">
                  <formatCode>m/d/yy</formatCode>
                  <v>42625</v>
                </pt>
                <pt idx="2176">
                  <formatCode>m/d/yy</formatCode>
                  <v>42632</v>
                </pt>
                <pt idx="2177">
                  <formatCode>m/d/yy</formatCode>
                  <v>42639</v>
                </pt>
                <pt idx="2178">
                  <formatCode>m/d/yy</formatCode>
                  <v>42646</v>
                </pt>
                <pt idx="2179">
                  <formatCode>m/d/yy</formatCode>
                  <v>42653</v>
                </pt>
                <pt idx="2180">
                  <formatCode>m/d/yy</formatCode>
                  <v>42660</v>
                </pt>
                <pt idx="2181">
                  <formatCode>m/d/yy</formatCode>
                  <v>42667</v>
                </pt>
                <pt idx="2182">
                  <formatCode>m/d/yy</formatCode>
                  <v>42674</v>
                </pt>
                <pt idx="2183">
                  <formatCode>m/d/yy</formatCode>
                  <v>42681</v>
                </pt>
                <pt idx="2184">
                  <formatCode>m/d/yy</formatCode>
                  <v>42688</v>
                </pt>
                <pt idx="2185">
                  <formatCode>m/d/yy</formatCode>
                  <v>42695</v>
                </pt>
                <pt idx="2186">
                  <formatCode>m/d/yy</formatCode>
                  <v>42702</v>
                </pt>
                <pt idx="2187">
                  <formatCode>m/d/yy</formatCode>
                  <v>42709</v>
                </pt>
                <pt idx="2188">
                  <formatCode>m/d/yy</formatCode>
                  <v>42716</v>
                </pt>
                <pt idx="2189">
                  <formatCode>m/d/yy</formatCode>
                  <v>42723</v>
                </pt>
                <pt idx="2190">
                  <formatCode>m/d/yy</formatCode>
                  <v>42730</v>
                </pt>
                <pt idx="2191">
                  <formatCode>m/d/yy</formatCode>
                  <v>42737</v>
                </pt>
                <pt idx="2192">
                  <formatCode>m/d/yy</formatCode>
                  <v>42744</v>
                </pt>
                <pt idx="2193">
                  <formatCode>m/d/yy</formatCode>
                  <v>42751</v>
                </pt>
                <pt idx="2194">
                  <formatCode>m/d/yy</formatCode>
                  <v>42758</v>
                </pt>
                <pt idx="2195">
                  <formatCode>m/d/yy</formatCode>
                  <v>42765</v>
                </pt>
                <pt idx="2196">
                  <formatCode>m/d/yy</formatCode>
                  <v>42772</v>
                </pt>
                <pt idx="2197">
                  <formatCode>m/d/yy</formatCode>
                  <v>42779</v>
                </pt>
                <pt idx="2198">
                  <formatCode>m/d/yy</formatCode>
                  <v>42786</v>
                </pt>
                <pt idx="2199">
                  <formatCode>m/d/yy</formatCode>
                  <v>42793</v>
                </pt>
                <pt idx="2200">
                  <formatCode>m/d/yy</formatCode>
                  <v>42800</v>
                </pt>
                <pt idx="2201">
                  <formatCode>m/d/yy</formatCode>
                  <v>42807</v>
                </pt>
                <pt idx="2202">
                  <formatCode>m/d/yy</formatCode>
                  <v>42814</v>
                </pt>
                <pt idx="2203">
                  <formatCode>m/d/yy</formatCode>
                  <v>42821</v>
                </pt>
                <pt idx="2204">
                  <formatCode>m/d/yy</formatCode>
                  <v>42828</v>
                </pt>
                <pt idx="2205">
                  <formatCode>m/d/yy</formatCode>
                  <v>42835</v>
                </pt>
                <pt idx="2206">
                  <formatCode>m/d/yy</formatCode>
                  <v>42842</v>
                </pt>
                <pt idx="2207">
                  <formatCode>m/d/yy</formatCode>
                  <v>42849</v>
                </pt>
                <pt idx="2208">
                  <formatCode>m/d/yy</formatCode>
                  <v>42856</v>
                </pt>
                <pt idx="2209">
                  <formatCode>m/d/yy</formatCode>
                  <v>42863</v>
                </pt>
                <pt idx="2210">
                  <formatCode>m/d/yy</formatCode>
                  <v>42870</v>
                </pt>
                <pt idx="2211">
                  <formatCode>m/d/yy</formatCode>
                  <v>42877</v>
                </pt>
                <pt idx="2212">
                  <formatCode>m/d/yy</formatCode>
                  <v>42884</v>
                </pt>
                <pt idx="2213">
                  <formatCode>m/d/yy</formatCode>
                  <v>42891</v>
                </pt>
                <pt idx="2214">
                  <formatCode>m/d/yy</formatCode>
                  <v>42898</v>
                </pt>
                <pt idx="2215">
                  <formatCode>m/d/yy</formatCode>
                  <v>42905</v>
                </pt>
                <pt idx="2216">
                  <formatCode>m/d/yy</formatCode>
                  <v>42912</v>
                </pt>
                <pt idx="2217">
                  <formatCode>m/d/yy</formatCode>
                  <v>42919</v>
                </pt>
                <pt idx="2218">
                  <formatCode>m/d/yy</formatCode>
                  <v>42926</v>
                </pt>
                <pt idx="2219">
                  <formatCode>m/d/yy</formatCode>
                  <v>42933</v>
                </pt>
                <pt idx="2220">
                  <formatCode>m/d/yy</formatCode>
                  <v>42940</v>
                </pt>
                <pt idx="2221">
                  <formatCode>m/d/yy</formatCode>
                  <v>42947</v>
                </pt>
                <pt idx="2222">
                  <formatCode>m/d/yy</formatCode>
                  <v>42954</v>
                </pt>
                <pt idx="2223">
                  <formatCode>m/d/yy</formatCode>
                  <v>42961</v>
                </pt>
                <pt idx="2224">
                  <formatCode>m/d/yy</formatCode>
                  <v>42968</v>
                </pt>
                <pt idx="2225">
                  <formatCode>m/d/yy</formatCode>
                  <v>42975</v>
                </pt>
                <pt idx="2226">
                  <formatCode>m/d/yy</formatCode>
                  <v>42982</v>
                </pt>
                <pt idx="2227">
                  <formatCode>m/d/yy</formatCode>
                  <v>42989</v>
                </pt>
                <pt idx="2228">
                  <formatCode>m/d/yy</formatCode>
                  <v>42996</v>
                </pt>
                <pt idx="2229">
                  <formatCode>m/d/yy</formatCode>
                  <v>43003</v>
                </pt>
                <pt idx="2230">
                  <formatCode>m/d/yy</formatCode>
                  <v>43010</v>
                </pt>
                <pt idx="2231">
                  <formatCode>m/d/yy</formatCode>
                  <v>43017</v>
                </pt>
                <pt idx="2232">
                  <formatCode>m/d/yy</formatCode>
                  <v>43024</v>
                </pt>
                <pt idx="2233">
                  <formatCode>m/d/yy</formatCode>
                  <v>43031</v>
                </pt>
                <pt idx="2234">
                  <formatCode>m/d/yy</formatCode>
                  <v>43038</v>
                </pt>
                <pt idx="2235">
                  <formatCode>m/d/yy</formatCode>
                  <v>43045</v>
                </pt>
                <pt idx="2236">
                  <formatCode>m/d/yy</formatCode>
                  <v>43052</v>
                </pt>
                <pt idx="2237">
                  <formatCode>m/d/yy</formatCode>
                  <v>43059</v>
                </pt>
                <pt idx="2238">
                  <formatCode>m/d/yy</formatCode>
                  <v>43066</v>
                </pt>
                <pt idx="2239">
                  <formatCode>m/d/yy</formatCode>
                  <v>43073</v>
                </pt>
                <pt idx="2240">
                  <formatCode>m/d/yy</formatCode>
                  <v>43080</v>
                </pt>
                <pt idx="2241">
                  <formatCode>m/d/yy</formatCode>
                  <v>43087</v>
                </pt>
                <pt idx="2242">
                  <formatCode>m/d/yy</formatCode>
                  <v>43094</v>
                </pt>
                <pt idx="2243">
                  <formatCode>m/d/yy</formatCode>
                  <v>43101</v>
                </pt>
                <pt idx="2244">
                  <formatCode>m/d/yy</formatCode>
                  <v>43108</v>
                </pt>
                <pt idx="2245">
                  <formatCode>m/d/yy</formatCode>
                  <v>43115</v>
                </pt>
                <pt idx="2246">
                  <formatCode>m/d/yy</formatCode>
                  <v>43122</v>
                </pt>
                <pt idx="2247">
                  <formatCode>m/d/yy</formatCode>
                  <v>43129</v>
                </pt>
                <pt idx="2248">
                  <formatCode>m/d/yy</formatCode>
                  <v>43136</v>
                </pt>
                <pt idx="2249">
                  <formatCode>m/d/yy</formatCode>
                  <v>43143</v>
                </pt>
                <pt idx="2250">
                  <formatCode>m/d/yy</formatCode>
                  <v>43150</v>
                </pt>
                <pt idx="2251">
                  <formatCode>m/d/yy</formatCode>
                  <v>43157</v>
                </pt>
                <pt idx="2252">
                  <formatCode>m/d/yy</formatCode>
                  <v>43164</v>
                </pt>
                <pt idx="2253">
                  <formatCode>m/d/yy</formatCode>
                  <v>43171</v>
                </pt>
                <pt idx="2254">
                  <formatCode>m/d/yy</formatCode>
                  <v>43178</v>
                </pt>
                <pt idx="2255">
                  <formatCode>m/d/yy</formatCode>
                  <v>43185</v>
                </pt>
                <pt idx="2256">
                  <formatCode>m/d/yy</formatCode>
                  <v>43192</v>
                </pt>
                <pt idx="2257">
                  <formatCode>m/d/yy</formatCode>
                  <v>43199</v>
                </pt>
                <pt idx="2258">
                  <formatCode>m/d/yy</formatCode>
                  <v>43206</v>
                </pt>
                <pt idx="2259">
                  <formatCode>m/d/yy</formatCode>
                  <v>43213</v>
                </pt>
                <pt idx="2260">
                  <formatCode>m/d/yy</formatCode>
                  <v>43220</v>
                </pt>
                <pt idx="2261">
                  <formatCode>m/d/yy</formatCode>
                  <v>43227</v>
                </pt>
                <pt idx="2262">
                  <formatCode>m/d/yy</formatCode>
                  <v>43234</v>
                </pt>
                <pt idx="2263">
                  <formatCode>m/d/yy</formatCode>
                  <v>43241</v>
                </pt>
                <pt idx="2264">
                  <formatCode>m/d/yy</formatCode>
                  <v>43248</v>
                </pt>
                <pt idx="2265">
                  <formatCode>m/d/yy</formatCode>
                  <v>43255</v>
                </pt>
                <pt idx="2266">
                  <formatCode>m/d/yy</formatCode>
                  <v>43262</v>
                </pt>
                <pt idx="2267">
                  <formatCode>m/d/yy</formatCode>
                  <v>43269</v>
                </pt>
                <pt idx="2268">
                  <formatCode>m/d/yy</formatCode>
                  <v>43276</v>
                </pt>
                <pt idx="2269">
                  <formatCode>m/d/yy</formatCode>
                  <v>43283</v>
                </pt>
                <pt idx="2270">
                  <formatCode>m/d/yy</formatCode>
                  <v>43290</v>
                </pt>
                <pt idx="2271">
                  <formatCode>m/d/yy</formatCode>
                  <v>43297</v>
                </pt>
                <pt idx="2272">
                  <formatCode>m/d/yy</formatCode>
                  <v>43304</v>
                </pt>
                <pt idx="2273">
                  <formatCode>m/d/yy</formatCode>
                  <v>43311</v>
                </pt>
                <pt idx="2274">
                  <formatCode>m/d/yy</formatCode>
                  <v>43318</v>
                </pt>
                <pt idx="2275">
                  <formatCode>m/d/yy</formatCode>
                  <v>43325</v>
                </pt>
                <pt idx="2276">
                  <formatCode>m/d/yy</formatCode>
                  <v>43332</v>
                </pt>
                <pt idx="2277">
                  <formatCode>m/d/yy</formatCode>
                  <v>43339</v>
                </pt>
                <pt idx="2278">
                  <formatCode>m/d/yy</formatCode>
                  <v>43346</v>
                </pt>
                <pt idx="2279">
                  <formatCode>m/d/yy</formatCode>
                  <v>43353</v>
                </pt>
                <pt idx="2280">
                  <formatCode>m/d/yy</formatCode>
                  <v>43360</v>
                </pt>
                <pt idx="2281">
                  <formatCode>m/d/yy</formatCode>
                  <v>43367</v>
                </pt>
                <pt idx="2282">
                  <formatCode>m/d/yy</formatCode>
                  <v>43374</v>
                </pt>
                <pt idx="2283">
                  <formatCode>m/d/yy</formatCode>
                  <v>43381</v>
                </pt>
                <pt idx="2284">
                  <formatCode>m/d/yy</formatCode>
                  <v>43388</v>
                </pt>
                <pt idx="2285">
                  <formatCode>m/d/yy</formatCode>
                  <v>43395</v>
                </pt>
                <pt idx="2286">
                  <formatCode>m/d/yy</formatCode>
                  <v>43402</v>
                </pt>
                <pt idx="2287">
                  <formatCode>m/d/yy</formatCode>
                  <v>43409</v>
                </pt>
                <pt idx="2288">
                  <formatCode>m/d/yy</formatCode>
                  <v>43416</v>
                </pt>
                <pt idx="2289">
                  <formatCode>m/d/yy</formatCode>
                  <v>43423</v>
                </pt>
                <pt idx="2290">
                  <formatCode>m/d/yy</formatCode>
                  <v>43430</v>
                </pt>
                <pt idx="2291">
                  <formatCode>m/d/yy</formatCode>
                  <v>43437</v>
                </pt>
                <pt idx="2292">
                  <formatCode>m/d/yy</formatCode>
                  <v>43444</v>
                </pt>
                <pt idx="2293">
                  <formatCode>m/d/yy</formatCode>
                  <v>43451</v>
                </pt>
                <pt idx="2294">
                  <formatCode>m/d/yy</formatCode>
                  <v>43458</v>
                </pt>
                <pt idx="2295">
                  <formatCode>m/d/yy</formatCode>
                  <v>43465</v>
                </pt>
                <pt idx="2296">
                  <formatCode>m/d/yy</formatCode>
                  <v>43472</v>
                </pt>
                <pt idx="2297">
                  <formatCode>m/d/yy</formatCode>
                  <v>43479</v>
                </pt>
                <pt idx="2298">
                  <formatCode>m/d/yy</formatCode>
                  <v>43486</v>
                </pt>
                <pt idx="2299">
                  <formatCode>m/d/yy</formatCode>
                  <v>43493</v>
                </pt>
                <pt idx="2300">
                  <formatCode>m/d/yy</formatCode>
                  <v>43500</v>
                </pt>
                <pt idx="2301">
                  <formatCode>m/d/yy</formatCode>
                  <v>43507</v>
                </pt>
                <pt idx="2302">
                  <formatCode>m/d/yy</formatCode>
                  <v>43514</v>
                </pt>
                <pt idx="2303">
                  <formatCode>m/d/yy</formatCode>
                  <v>43521</v>
                </pt>
                <pt idx="2304">
                  <formatCode>m/d/yy</formatCode>
                  <v>43528</v>
                </pt>
                <pt idx="2305">
                  <formatCode>m/d/yy</formatCode>
                  <v>43535</v>
                </pt>
                <pt idx="2306">
                  <formatCode>m/d/yy</formatCode>
                  <v>43542</v>
                </pt>
                <pt idx="2307">
                  <formatCode>m/d/yy</formatCode>
                  <v>43549</v>
                </pt>
                <pt idx="2308">
                  <formatCode>m/d/yy</formatCode>
                  <v>43556</v>
                </pt>
                <pt idx="2309">
                  <formatCode>m/d/yy</formatCode>
                  <v>43563</v>
                </pt>
                <pt idx="2310">
                  <formatCode>m/d/yy</formatCode>
                  <v>43570</v>
                </pt>
                <pt idx="2311">
                  <formatCode>m/d/yy</formatCode>
                  <v>43577</v>
                </pt>
                <pt idx="2312">
                  <formatCode>m/d/yy</formatCode>
                  <v>43584</v>
                </pt>
                <pt idx="2313">
                  <formatCode>m/d/yy</formatCode>
                  <v>43591</v>
                </pt>
                <pt idx="2314">
                  <formatCode>m/d/yy</formatCode>
                  <v>43598</v>
                </pt>
                <pt idx="2315">
                  <formatCode>m/d/yy</formatCode>
                  <v>43605</v>
                </pt>
                <pt idx="2316">
                  <formatCode>m/d/yy</formatCode>
                  <v>43612</v>
                </pt>
                <pt idx="2317">
                  <formatCode>m/d/yy</formatCode>
                  <v>43619</v>
                </pt>
                <pt idx="2318">
                  <formatCode>m/d/yy</formatCode>
                  <v>43626</v>
                </pt>
                <pt idx="2319">
                  <formatCode>m/d/yy</formatCode>
                  <v>43633</v>
                </pt>
                <pt idx="2320">
                  <formatCode>m/d/yy</formatCode>
                  <v>43640</v>
                </pt>
                <pt idx="2321">
                  <formatCode>m/d/yy</formatCode>
                  <v>43647</v>
                </pt>
                <pt idx="2322">
                  <formatCode>m/d/yy</formatCode>
                  <v>43654</v>
                </pt>
                <pt idx="2323">
                  <formatCode>m/d/yy</formatCode>
                  <v>43661</v>
                </pt>
                <pt idx="2324">
                  <formatCode>m/d/yy</formatCode>
                  <v>43668</v>
                </pt>
                <pt idx="2325">
                  <formatCode>m/d/yy</formatCode>
                  <v>43675</v>
                </pt>
                <pt idx="2326">
                  <formatCode>m/d/yy</formatCode>
                  <v>43682</v>
                </pt>
                <pt idx="2327">
                  <formatCode>m/d/yy</formatCode>
                  <v>43689</v>
                </pt>
                <pt idx="2328">
                  <formatCode>m/d/yy</formatCode>
                  <v>43696</v>
                </pt>
                <pt idx="2329">
                  <formatCode>m/d/yy</formatCode>
                  <v>43703</v>
                </pt>
                <pt idx="2330">
                  <formatCode>m/d/yy</formatCode>
                  <v>43710</v>
                </pt>
                <pt idx="2331">
                  <formatCode>m/d/yy</formatCode>
                  <v>43717</v>
                </pt>
                <pt idx="2332">
                  <formatCode>m/d/yy</formatCode>
                  <v>43724</v>
                </pt>
                <pt idx="2333">
                  <formatCode>m/d/yy</formatCode>
                  <v>43731</v>
                </pt>
                <pt idx="2334">
                  <formatCode>m/d/yy</formatCode>
                  <v>43738</v>
                </pt>
                <pt idx="2335">
                  <formatCode>m/d/yy</formatCode>
                  <v>43745</v>
                </pt>
                <pt idx="2336">
                  <formatCode>m/d/yy</formatCode>
                  <v>43752</v>
                </pt>
                <pt idx="2337">
                  <formatCode>m/d/yy</formatCode>
                  <v>43759</v>
                </pt>
                <pt idx="2338">
                  <formatCode>m/d/yy</formatCode>
                  <v>43766</v>
                </pt>
                <pt idx="2339">
                  <formatCode>m/d/yy</formatCode>
                  <v>43773</v>
                </pt>
                <pt idx="2340">
                  <formatCode>m/d/yy</formatCode>
                  <v>43780</v>
                </pt>
                <pt idx="2341">
                  <formatCode>m/d/yy</formatCode>
                  <v>43787</v>
                </pt>
                <pt idx="2342">
                  <formatCode>m/d/yy</formatCode>
                  <v>43794</v>
                </pt>
                <pt idx="2343">
                  <formatCode>m/d/yy</formatCode>
                  <v>43801</v>
                </pt>
                <pt idx="2344">
                  <formatCode>m/d/yy</formatCode>
                  <v>43808</v>
                </pt>
                <pt idx="2345">
                  <formatCode>m/d/yy</formatCode>
                  <v>43815</v>
                </pt>
                <pt idx="2346">
                  <formatCode>m/d/yy</formatCode>
                  <v>43822</v>
                </pt>
                <pt idx="2347">
                  <formatCode>m/d/yy</formatCode>
                  <v>43829</v>
                </pt>
                <pt idx="2348">
                  <formatCode>m/d/yy</formatCode>
                  <v>43836</v>
                </pt>
                <pt idx="2349">
                  <formatCode>m/d/yy</formatCode>
                  <v>43843</v>
                </pt>
                <pt idx="2350">
                  <formatCode>m/d/yy</formatCode>
                  <v>43850</v>
                </pt>
                <pt idx="2351">
                  <formatCode>m/d/yy</formatCode>
                  <v>43857</v>
                </pt>
                <pt idx="2352">
                  <formatCode>m/d/yy</formatCode>
                  <v>43864</v>
                </pt>
                <pt idx="2353">
                  <formatCode>m/d/yy</formatCode>
                  <v>43871</v>
                </pt>
                <pt idx="2354">
                  <formatCode>m/d/yy</formatCode>
                  <v>43878</v>
                </pt>
                <pt idx="2355">
                  <formatCode>m/d/yy</formatCode>
                  <v>43885</v>
                </pt>
                <pt idx="2356">
                  <formatCode>m/d/yy</formatCode>
                  <v>43892</v>
                </pt>
                <pt idx="2357">
                  <formatCode>m/d/yy</formatCode>
                  <v>43899</v>
                </pt>
                <pt idx="2358">
                  <formatCode>m/d/yy</formatCode>
                  <v>43906</v>
                </pt>
                <pt idx="2359">
                  <formatCode>m/d/yy</formatCode>
                  <v>43913</v>
                </pt>
                <pt idx="2360">
                  <formatCode>m/d/yy</formatCode>
                  <v>43920</v>
                </pt>
                <pt idx="2361">
                  <formatCode>m/d/yy</formatCode>
                  <v>43927</v>
                </pt>
                <pt idx="2362">
                  <formatCode>m/d/yy</formatCode>
                  <v>43934</v>
                </pt>
                <pt idx="2363">
                  <formatCode>m/d/yy</formatCode>
                  <v>43941</v>
                </pt>
                <pt idx="2364">
                  <formatCode>m/d/yy</formatCode>
                  <v>43948</v>
                </pt>
                <pt idx="2365">
                  <formatCode>m/d/yy</formatCode>
                  <v>43955</v>
                </pt>
                <pt idx="2366">
                  <formatCode>m/d/yy</formatCode>
                  <v>43962</v>
                </pt>
                <pt idx="2367">
                  <formatCode>m/d/yy</formatCode>
                  <v>43969</v>
                </pt>
                <pt idx="2368">
                  <formatCode>m/d/yy</formatCode>
                  <v>43976</v>
                </pt>
                <pt idx="2369">
                  <formatCode>m/d/yy</formatCode>
                  <v>43983</v>
                </pt>
                <pt idx="2370">
                  <formatCode>m/d/yy</formatCode>
                  <v>43990</v>
                </pt>
                <pt idx="2371">
                  <formatCode>m/d/yy</formatCode>
                  <v>43997</v>
                </pt>
                <pt idx="2372">
                  <formatCode>m/d/yy</formatCode>
                  <v>44004</v>
                </pt>
                <pt idx="2373">
                  <formatCode>m/d/yy</formatCode>
                  <v>44011</v>
                </pt>
                <pt idx="2374">
                  <formatCode>m/d/yy</formatCode>
                  <v>44018</v>
                </pt>
                <pt idx="2375">
                  <formatCode>m/d/yy</formatCode>
                  <v>44025</v>
                </pt>
                <pt idx="2376">
                  <formatCode>m/d/yy</formatCode>
                  <v>44032</v>
                </pt>
                <pt idx="2377">
                  <formatCode>m/d/yy</formatCode>
                  <v>44039</v>
                </pt>
                <pt idx="2378">
                  <formatCode>m/d/yy</formatCode>
                  <v>44046</v>
                </pt>
                <pt idx="2379">
                  <formatCode>m/d/yy</formatCode>
                  <v>44053</v>
                </pt>
                <pt idx="2380">
                  <formatCode>m/d/yy</formatCode>
                  <v>44060</v>
                </pt>
                <pt idx="2381">
                  <formatCode>m/d/yy</formatCode>
                  <v>44067</v>
                </pt>
                <pt idx="2382">
                  <formatCode>m/d/yy</formatCode>
                  <v>44074</v>
                </pt>
                <pt idx="2383">
                  <formatCode>m/d/yy</formatCode>
                  <v>44081</v>
                </pt>
                <pt idx="2384">
                  <formatCode>m/d/yy</formatCode>
                  <v>44088</v>
                </pt>
                <pt idx="2385">
                  <formatCode>m/d/yy</formatCode>
                  <v>44095</v>
                </pt>
                <pt idx="2386">
                  <formatCode>m/d/yy</formatCode>
                  <v>44102</v>
                </pt>
                <pt idx="2387">
                  <formatCode>m/d/yy</formatCode>
                  <v>44109</v>
                </pt>
                <pt idx="2388">
                  <formatCode>m/d/yy</formatCode>
                  <v>44116</v>
                </pt>
                <pt idx="2389">
                  <formatCode>m/d/yy</formatCode>
                  <v>44123</v>
                </pt>
                <pt idx="2390">
                  <formatCode>m/d/yy</formatCode>
                  <v>44130</v>
                </pt>
                <pt idx="2391">
                  <formatCode>m/d/yy</formatCode>
                  <v>44137</v>
                </pt>
                <pt idx="2392">
                  <formatCode>m/d/yy</formatCode>
                  <v>44144</v>
                </pt>
                <pt idx="2393">
                  <formatCode>m/d/yy</formatCode>
                  <v>44151</v>
                </pt>
                <pt idx="2394">
                  <formatCode>m/d/yy</formatCode>
                  <v>44158</v>
                </pt>
                <pt idx="2395">
                  <formatCode>m/d/yy</formatCode>
                  <v>44165</v>
                </pt>
                <pt idx="2396">
                  <formatCode>m/d/yy</formatCode>
                  <v>44172</v>
                </pt>
                <pt idx="2397">
                  <formatCode>m/d/yy</formatCode>
                  <v>44179</v>
                </pt>
                <pt idx="2398">
                  <formatCode>m/d/yy</formatCode>
                  <v>44186</v>
                </pt>
                <pt idx="2399">
                  <formatCode>m/d/yy</formatCode>
                  <v>44193</v>
                </pt>
                <pt idx="2400">
                  <formatCode>m/d/yy</formatCode>
                  <v>44200</v>
                </pt>
                <pt idx="2401">
                  <formatCode>m/d/yy</formatCode>
                  <v>44207</v>
                </pt>
                <pt idx="2402">
                  <formatCode>m/d/yy</formatCode>
                  <v>44214</v>
                </pt>
                <pt idx="2403">
                  <formatCode>m/d/yy</formatCode>
                  <v>44221</v>
                </pt>
                <pt idx="2404">
                  <formatCode>m/d/yy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3642.4</v>
                </pt>
                <pt idx="2245">
                  <v>3670.9</v>
                </pt>
                <pt idx="2246">
                  <v>3663.2</v>
                </pt>
                <pt idx="2247">
                  <v>3636.7</v>
                </pt>
                <pt idx="2248">
                  <v>3623</v>
                </pt>
                <pt idx="2249">
                  <v>3607.8</v>
                </pt>
                <pt idx="2250">
                  <v>3612.1</v>
                </pt>
                <pt idx="2251">
                  <v>3624.5</v>
                </pt>
                <pt idx="2252">
                  <v>3655.4</v>
                </pt>
                <pt idx="2253">
                  <v>3671</v>
                </pt>
                <pt idx="2254">
                  <v>3660.8</v>
                </pt>
                <pt idx="2255">
                  <v>3657.9</v>
                </pt>
                <pt idx="2256">
                  <v>3659.3</v>
                </pt>
                <pt idx="2257">
                  <v>3661.2</v>
                </pt>
                <pt idx="2258">
                  <v>3647.4</v>
                </pt>
                <pt idx="2259">
                  <v>3670.1</v>
                </pt>
                <pt idx="2260">
                  <v>3669.8</v>
                </pt>
                <pt idx="2261">
                  <v>3637.4</v>
                </pt>
                <pt idx="2262">
                  <v>3655.5</v>
                </pt>
                <pt idx="2263">
                  <v>3667</v>
                </pt>
                <pt idx="2264">
                  <v>3664.5</v>
                </pt>
                <pt idx="2265">
                  <v>3672.4</v>
                </pt>
                <pt idx="2266">
                  <v>3654.9</v>
                </pt>
                <pt idx="2267">
                  <v>3651.4</v>
                </pt>
                <pt idx="2268">
                  <v>3655.5</v>
                </pt>
                <pt idx="2269">
                  <v>3673.4</v>
                </pt>
                <pt idx="2270">
                  <v>3682.4</v>
                </pt>
                <pt idx="2271">
                  <v>3681.8</v>
                </pt>
                <pt idx="2272">
                  <v>3678</v>
                </pt>
                <pt idx="2273">
                  <v>3682.2</v>
                </pt>
                <pt idx="2274">
                  <v>3661.7</v>
                </pt>
                <pt idx="2275">
                  <v>3677.3</v>
                </pt>
                <pt idx="2276">
                  <v>3676.3</v>
                </pt>
                <pt idx="2277">
                  <v>3695.5</v>
                </pt>
                <pt idx="2278">
                  <v>3779.9</v>
                </pt>
                <pt idx="2279">
                  <v>3710.4</v>
                </pt>
                <pt idx="2280">
                  <v>3692</v>
                </pt>
                <pt idx="2281">
                  <v>3705</v>
                </pt>
                <pt idx="2282">
                  <v>3693.3</v>
                </pt>
                <pt idx="2283">
                  <v>3708.8</v>
                </pt>
                <pt idx="2284">
                  <v>3723.8</v>
                </pt>
                <pt idx="2285">
                  <v>3744.8</v>
                </pt>
                <pt idx="2286">
                  <v>3729.5</v>
                </pt>
                <pt idx="2287">
                  <v>3689.9</v>
                </pt>
                <pt idx="2288">
                  <v>3687.6</v>
                </pt>
                <pt idx="2289">
                  <v>3688.5</v>
                </pt>
                <pt idx="2290">
                  <v>3692.9</v>
                </pt>
                <pt idx="2291">
                  <v>3780.7</v>
                </pt>
                <pt idx="2292">
                  <v>3770.2</v>
                </pt>
                <pt idx="2293">
                  <v>3713.2</v>
                </pt>
                <pt idx="2294">
                  <v>3761</v>
                </pt>
                <pt idx="2295">
                  <v>3744.8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3746.4</v>
                </pt>
                <pt idx="2310">
                  <v>3796.6</v>
                </pt>
                <pt idx="2311">
                  <v>3789.8</v>
                </pt>
                <pt idx="2312">
                  <v>3813.3</v>
                </pt>
                <pt idx="2313">
                  <v>3765.5</v>
                </pt>
                <pt idx="2314">
                  <v>3772.7</v>
                </pt>
                <pt idx="2315">
                  <v>3781.9</v>
                </pt>
                <pt idx="2316">
                  <v>3810</v>
                </pt>
                <pt idx="2317">
                  <v>3876.1</v>
                </pt>
                <pt idx="2318">
                  <v>3839.6</v>
                </pt>
                <pt idx="2319">
                  <v>3832.6</v>
                </pt>
                <pt idx="2320">
                  <v>3829.8</v>
                </pt>
                <pt idx="2321">
                  <v>3818.7</v>
                </pt>
                <pt idx="2322">
                  <v>3837.4</v>
                </pt>
                <pt idx="2323">
                  <v>3856.5</v>
                </pt>
                <pt idx="2324">
                  <v>3875.4</v>
                </pt>
                <pt idx="2325">
                  <v>3872.8</v>
                </pt>
                <pt idx="2326">
                  <v>3875.1</v>
                </pt>
                <pt idx="2327">
                  <v>3861</v>
                </pt>
                <pt idx="2328">
                  <v>3832.4</v>
                </pt>
                <pt idx="2329">
                  <v>3845</v>
                </pt>
                <pt idx="2330">
                  <v>3878</v>
                </pt>
                <pt idx="2331">
                  <v>3895.9</v>
                </pt>
                <pt idx="2332">
                  <v>3895.8</v>
                </pt>
                <pt idx="2333">
                  <v>3911.1</v>
                </pt>
                <pt idx="2334">
                  <v>3928.2</v>
                </pt>
                <pt idx="2335">
                  <v>3893.7</v>
                </pt>
                <pt idx="2336">
                  <v>3930.6</v>
                </pt>
                <pt idx="2337">
                  <v>3929</v>
                </pt>
                <pt idx="2338">
                  <v>3934.5</v>
                </pt>
                <pt idx="2339">
                  <v>3955.3</v>
                </pt>
                <pt idx="2340">
                  <v>3955.4</v>
                </pt>
                <pt idx="2341">
                  <v>3928</v>
                </pt>
                <pt idx="2342">
                  <v>3962.5</v>
                </pt>
                <pt idx="2343">
                  <v>3953.8</v>
                </pt>
                <pt idx="2344">
                  <v>3978.4</v>
                </pt>
                <pt idx="2345">
                  <v>3992</v>
                </pt>
                <pt idx="2346">
                  <v>3999</v>
                </pt>
                <pt idx="2347">
                  <v>3963.7</v>
                </pt>
                <pt idx="2348">
                  <v>3948</v>
                </pt>
                <pt idx="2349">
                  <v>3949.7</v>
                </pt>
                <pt idx="2350">
                  <v>3978</v>
                </pt>
                <pt idx="2351">
                  <v>3962.2</v>
                </pt>
                <pt idx="2352">
                  <v>4081.4</v>
                </pt>
                <pt idx="2353">
                  <v>4012.8</v>
                </pt>
                <pt idx="2354">
                  <v>3983.6</v>
                </pt>
                <pt idx="2355">
                  <v>3971.4</v>
                </pt>
                <pt idx="2356">
                  <v>4028.2</v>
                </pt>
                <pt idx="2357">
                  <v>4063.6</v>
                </pt>
                <pt idx="2358">
                  <v>4126.8</v>
                </pt>
                <pt idx="2359">
                  <v>4313.6</v>
                </pt>
                <pt idx="2360">
                  <v>4513.2</v>
                </pt>
                <pt idx="2361">
                  <v>4591.2</v>
                </pt>
                <pt idx="2362">
                  <v>4716.8</v>
                </pt>
                <pt idx="2363">
                  <v>4850.1</v>
                </pt>
                <pt idx="2364">
                  <v>4898.5</v>
                </pt>
                <pt idx="2365">
                  <v>15982.1</v>
                </pt>
                <pt idx="2366">
                  <v>16201.3</v>
                </pt>
                <pt idx="2367">
                  <v>16292.4</v>
                </pt>
                <pt idx="2368">
                  <v>16319.7</v>
                </pt>
                <pt idx="2369">
                  <v>16364.1</v>
                </pt>
                <pt idx="2370">
                  <v>16467</v>
                </pt>
                <pt idx="2371">
                  <v>16554.5</v>
                </pt>
                <pt idx="2372">
                  <v>16654.8</v>
                </pt>
                <pt idx="2373">
                  <v>16656.6</v>
                </pt>
                <pt idx="2374">
                  <v>16763.3</v>
                </pt>
                <pt idx="2375">
                  <v>16836.7</v>
                </pt>
                <pt idx="2376">
                  <v>16781.9</v>
                </pt>
                <pt idx="2377">
                  <v>16753.3</v>
                </pt>
                <pt idx="2378">
                  <v>16734.7</v>
                </pt>
                <pt idx="2379">
                  <v>16888.9</v>
                </pt>
                <pt idx="2380">
                  <v>16938.6</v>
                </pt>
                <pt idx="2381">
                  <v>16880.6</v>
                </pt>
                <pt idx="2382">
                  <v>16962.8</v>
                </pt>
                <pt idx="2383">
                  <v>17087.5</v>
                </pt>
                <pt idx="2384">
                  <v>17214.5</v>
                </pt>
                <pt idx="2385">
                  <v>17237.7</v>
                </pt>
                <pt idx="2386">
                  <v>17175</v>
                </pt>
                <pt idx="2387">
                  <v>17223.5</v>
                </pt>
                <pt idx="2388">
                  <v>17331.5</v>
                </pt>
                <pt idx="2389">
                  <v>17350.3</v>
                </pt>
                <pt idx="2390">
                  <v>17375.9</v>
                </pt>
                <pt idx="2391">
                  <v>17431</v>
                </pt>
                <pt idx="2392">
                  <v>17593.1</v>
                </pt>
                <pt idx="2393">
                  <v>17638.1</v>
                </pt>
                <pt idx="2394">
                  <v>17657.6</v>
                </pt>
                <pt idx="2395">
                  <v>17547.4</v>
                </pt>
                <pt idx="2396">
                  <v>17777</v>
                </pt>
                <pt idx="2397">
                  <v>17853.1</v>
                </pt>
                <pt idx="2398">
                  <v>17762.6</v>
                </pt>
                <pt idx="2399">
                  <v>17661.3</v>
                </pt>
                <pt idx="2400">
                  <v>17773.3</v>
                </pt>
                <pt idx="2401">
                  <v>18147.8</v>
                </pt>
                <pt idx="2402">
                  <v>18158.6</v>
                </pt>
                <pt idx="2403">
                  <v>18116.2</v>
                </pt>
                <pt idx="2404">
                  <v>18115.2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'!$D$7:$D$766</f>
              <numCache>
                <formatCode>0.00%</formatCode>
                <ptCount val="760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'!$A$7:$A$766</f>
              <numCache>
                <formatCode>m/d/yy</formatCode>
                <ptCount val="76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'!$B$7:$B$766</f>
              <numCache>
                <formatCode>0.0</formatCode>
                <ptCount val="76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4880.1</v>
                </pt>
                <pt idx="502">
                  <v>4924.7</v>
                </pt>
                <pt idx="503">
                  <v>4975.3</v>
                </pt>
                <pt idx="504">
                  <v>5013.5</v>
                </pt>
                <pt idx="505">
                  <v>5071.2</v>
                </pt>
                <pt idx="506">
                  <v>5135.2</v>
                </pt>
                <pt idx="507">
                  <v>5132.2</v>
                </pt>
                <pt idx="508">
                  <v>5172.5</v>
                </pt>
                <pt idx="509">
                  <v>5202.4</v>
                </pt>
                <pt idx="510">
                  <v>5236.3</v>
                </pt>
                <pt idx="511">
                  <v>5347.4</v>
                </pt>
                <pt idx="512">
                  <v>5336</v>
                </pt>
                <pt idx="513">
                  <v>5379.6</v>
                </pt>
                <pt idx="514">
                  <v>5432.7</v>
                </pt>
                <pt idx="515">
                  <v>5453</v>
                </pt>
                <pt idx="516">
                  <v>5482.4</v>
                </pt>
                <pt idx="517">
                  <v>5494.2</v>
                </pt>
                <pt idx="518">
                  <v>5494.4</v>
                </pt>
                <pt idx="519">
                  <v>5520.6</v>
                </pt>
                <pt idx="520">
                  <v>5545.6</v>
                </pt>
                <pt idx="521">
                  <v>5588.2</v>
                </pt>
                <pt idx="522">
                  <v>5630.6</v>
                </pt>
                <pt idx="523">
                  <v>5655</v>
                </pt>
                <pt idx="524">
                  <v>5699.6</v>
                </pt>
                <pt idx="525">
                  <v>5749.7</v>
                </pt>
                <pt idx="526">
                  <v>5770.9</v>
                </pt>
                <pt idx="527">
                  <v>5803.5</v>
                </pt>
                <pt idx="528">
                  <v>5839.5</v>
                </pt>
                <pt idx="529">
                  <v>5860.3</v>
                </pt>
                <pt idx="530">
                  <v>5897.7</v>
                </pt>
                <pt idx="531">
                  <v>5958</v>
                </pt>
                <pt idx="532">
                  <v>5994.7</v>
                </pt>
                <pt idx="533">
                  <v>6041.4</v>
                </pt>
                <pt idx="534">
                  <v>6099.5</v>
                </pt>
                <pt idx="535">
                  <v>6071.6</v>
                </pt>
                <pt idx="536">
                  <v>6062.5</v>
                </pt>
                <pt idx="537">
                  <v>6067.7</v>
                </pt>
                <pt idx="538">
                  <v>6065.9</v>
                </pt>
                <pt idx="539">
                  <v>6074.4</v>
                </pt>
                <pt idx="540">
                  <v>6113.2</v>
                </pt>
                <pt idx="541">
                  <v>6149</v>
                </pt>
                <pt idx="542">
                  <v>6190.2</v>
                </pt>
                <pt idx="543">
                  <v>6267</v>
                </pt>
                <pt idx="544">
                  <v>6269.4</v>
                </pt>
                <pt idx="545">
                  <v>6283.1</v>
                </pt>
                <pt idx="546">
                  <v>6309.2</v>
                </pt>
                <pt idx="547">
                  <v>6343.9</v>
                </pt>
                <pt idx="548">
                  <v>6372.1</v>
                </pt>
                <pt idx="549">
                  <v>6398.7</v>
                </pt>
                <pt idx="550">
                  <v>6417.2</v>
                </pt>
                <pt idx="551">
                  <v>6423.4</v>
                </pt>
                <pt idx="552">
                  <v>6431.8</v>
                </pt>
                <pt idx="553">
                  <v>6440.8</v>
                </pt>
                <pt idx="554">
                  <v>6454.7</v>
                </pt>
                <pt idx="555">
                  <v>6472</v>
                </pt>
                <pt idx="556">
                  <v>6504.4</v>
                </pt>
                <pt idx="557">
                  <v>6536</v>
                </pt>
                <pt idx="558">
                  <v>6568.7</v>
                </pt>
                <pt idx="559">
                  <v>6602.9</v>
                </pt>
                <pt idx="560">
                  <v>6637</v>
                </pt>
                <pt idx="561">
                  <v>6653.4</v>
                </pt>
                <pt idx="562">
                  <v>6680.1</v>
                </pt>
                <pt idx="563">
                  <v>6722.5</v>
                </pt>
                <pt idx="564">
                  <v>6746.8</v>
                </pt>
                <pt idx="565">
                  <v>6761.1</v>
                </pt>
                <pt idx="566">
                  <v>6798.5</v>
                </pt>
                <pt idx="567">
                  <v>6805.2</v>
                </pt>
                <pt idx="568">
                  <v>6843.2</v>
                </pt>
                <pt idx="569">
                  <v>6884.6</v>
                </pt>
                <pt idx="570">
                  <v>6915.4</v>
                </pt>
                <pt idx="571">
                  <v>6942.6</v>
                </pt>
                <pt idx="572">
                  <v>6991.6</v>
                </pt>
                <pt idx="573">
                  <v>7026.5</v>
                </pt>
                <pt idx="574">
                  <v>7069.5</v>
                </pt>
                <pt idx="575">
                  <v>7107.4</v>
                </pt>
                <pt idx="576">
                  <v>7123.2</v>
                </pt>
                <pt idx="577">
                  <v>7156.9</v>
                </pt>
                <pt idx="578">
                  <v>7229.3</v>
                </pt>
                <pt idx="579">
                  <v>7243.2</v>
                </pt>
                <pt idx="580">
                  <v>7276.3</v>
                </pt>
                <pt idx="581">
                  <v>7306.6</v>
                </pt>
                <pt idx="582">
                  <v>7382.8</v>
                </pt>
                <pt idx="583">
                  <v>7401.1</v>
                </pt>
                <pt idx="584">
                  <v>7414.8</v>
                </pt>
                <pt idx="585">
                  <v>7439.6</v>
                </pt>
                <pt idx="586">
                  <v>7469.4</v>
                </pt>
                <pt idx="587">
                  <v>7503.1</v>
                </pt>
                <pt idx="588">
                  <v>7587.6</v>
                </pt>
                <pt idx="589">
                  <v>7653.3</v>
                </pt>
                <pt idx="590">
                  <v>7696.1</v>
                </pt>
                <pt idx="591">
                  <v>7708.3</v>
                </pt>
                <pt idx="592">
                  <v>7725.8</v>
                </pt>
                <pt idx="593">
                  <v>7772.1</v>
                </pt>
                <pt idx="594">
                  <v>7787</v>
                </pt>
                <pt idx="595">
                  <v>7856.5</v>
                </pt>
                <pt idx="596">
                  <v>7963.1</v>
                </pt>
                <pt idx="597">
                  <v>8013.5</v>
                </pt>
                <pt idx="598">
                  <v>8189.7</v>
                </pt>
                <pt idx="599">
                  <v>8271.200000000001</v>
                </pt>
                <pt idx="600">
                  <v>8300.5</v>
                </pt>
                <pt idx="601">
                  <v>8366.5</v>
                </pt>
                <pt idx="602">
                  <v>8369.9</v>
                </pt>
                <pt idx="603">
                  <v>8427.6</v>
                </pt>
                <pt idx="604">
                  <v>8437.200000000001</v>
                </pt>
                <pt idx="605">
                  <v>8442</v>
                </pt>
                <pt idx="606">
                  <v>8441.799999999999</v>
                </pt>
                <pt idx="607">
                  <v>8441.1</v>
                </pt>
                <pt idx="608">
                  <v>8468.1</v>
                </pt>
                <pt idx="609">
                  <v>8498.200000000001</v>
                </pt>
                <pt idx="610">
                  <v>8493.1</v>
                </pt>
                <pt idx="611">
                  <v>8455.4</v>
                </pt>
                <pt idx="612">
                  <v>8505.1</v>
                </pt>
                <pt idx="613">
                  <v>8502.200000000001</v>
                </pt>
                <pt idx="614">
                  <v>8532.799999999999</v>
                </pt>
                <pt idx="615">
                  <v>8587.700000000001</v>
                </pt>
                <pt idx="616">
                  <v>8606.700000000001</v>
                </pt>
                <pt idx="617">
                  <v>8616.299999999999</v>
                </pt>
                <pt idx="618">
                  <v>8666.700000000001</v>
                </pt>
                <pt idx="619">
                  <v>8697.799999999999</v>
                </pt>
                <pt idx="620">
                  <v>8746.9</v>
                </pt>
                <pt idx="621">
                  <v>8767.700000000001</v>
                </pt>
                <pt idx="622">
                  <v>8799.4</v>
                </pt>
                <pt idx="623">
                  <v>8820.4</v>
                </pt>
                <pt idx="624">
                  <v>8884.200000000001</v>
                </pt>
                <pt idx="625">
                  <v>8940.6</v>
                </pt>
                <pt idx="626">
                  <v>9002.1</v>
                </pt>
                <pt idx="627">
                  <v>9072.700000000001</v>
                </pt>
                <pt idx="628">
                  <v>9148.4</v>
                </pt>
                <pt idx="629">
                  <v>9313.799999999999</v>
                </pt>
                <pt idx="630">
                  <v>9505</v>
                </pt>
                <pt idx="631">
                  <v>9525.799999999999</v>
                </pt>
                <pt idx="632">
                  <v>9559.5</v>
                </pt>
                <pt idx="633">
                  <v>9610.1</v>
                </pt>
                <pt idx="634">
                  <v>9657.700000000001</v>
                </pt>
                <pt idx="635">
                  <v>9731.5</v>
                </pt>
                <pt idx="636">
                  <v>9789.299999999999</v>
                </pt>
                <pt idx="637">
                  <v>9837.1</v>
                </pt>
                <pt idx="638">
                  <v>9889.9</v>
                </pt>
                <pt idx="639">
                  <v>9934.6</v>
                </pt>
                <pt idx="640">
                  <v>9998.1</v>
                </pt>
                <pt idx="641">
                  <v>10055.3</v>
                </pt>
                <pt idx="642">
                  <v>10115.2</v>
                </pt>
                <pt idx="643">
                  <v>10193.1</v>
                </pt>
                <pt idx="644">
                  <v>10256.5</v>
                </pt>
                <pt idx="645">
                  <v>10319.8</v>
                </pt>
                <pt idx="646">
                  <v>10451.5</v>
                </pt>
                <pt idx="647">
                  <v>10477</v>
                </pt>
                <pt idx="648">
                  <v>10489.1</v>
                </pt>
                <pt idx="649">
                  <v>10555.8</v>
                </pt>
                <pt idx="650">
                  <v>10590.3</v>
                </pt>
                <pt idx="651">
                  <v>10630.1</v>
                </pt>
                <pt idx="652">
                  <v>10682.5</v>
                </pt>
                <pt idx="653">
                  <v>10728.9</v>
                </pt>
                <pt idx="654">
                  <v>10783.5</v>
                </pt>
                <pt idx="655">
                  <v>10835.3</v>
                </pt>
                <pt idx="656">
                  <v>10948.7</v>
                </pt>
                <pt idx="657">
                  <v>10954.1</v>
                </pt>
                <pt idx="658">
                  <v>11020.3</v>
                </pt>
                <pt idx="659">
                  <v>11076.6</v>
                </pt>
                <pt idx="660">
                  <v>11169.3</v>
                </pt>
                <pt idx="661">
                  <v>11207.6</v>
                </pt>
                <pt idx="662">
                  <v>11259.8</v>
                </pt>
                <pt idx="663">
                  <v>11326.3</v>
                </pt>
                <pt idx="664">
                  <v>11377.2</v>
                </pt>
                <pt idx="665">
                  <v>11434</v>
                </pt>
                <pt idx="666">
                  <v>11462.9</v>
                </pt>
                <pt idx="667">
                  <v>11496.7</v>
                </pt>
                <pt idx="668">
                  <v>11558.6</v>
                </pt>
                <pt idx="669">
                  <v>11594.7</v>
                </pt>
                <pt idx="670">
                  <v>11674</v>
                </pt>
                <pt idx="671">
                  <v>11743.9</v>
                </pt>
                <pt idx="672">
                  <v>11871.7</v>
                </pt>
                <pt idx="673">
                  <v>11888.1</v>
                </pt>
                <pt idx="674">
                  <v>11927.6</v>
                </pt>
                <pt idx="675">
                  <v>11957.9</v>
                </pt>
                <pt idx="676">
                  <v>12002.9</v>
                </pt>
                <pt idx="677">
                  <v>12052</v>
                </pt>
                <pt idx="678">
                  <v>12100.6</v>
                </pt>
                <pt idx="679">
                  <v>12154.6</v>
                </pt>
                <pt idx="680">
                  <v>12192.5</v>
                </pt>
                <pt idx="681">
                  <v>12277</v>
                </pt>
                <pt idx="682">
                  <v>12340.1</v>
                </pt>
                <pt idx="683">
                  <v>12471.4</v>
                </pt>
                <pt idx="684">
                  <v>12552.3</v>
                </pt>
                <pt idx="685">
                  <v>12616.6</v>
                </pt>
                <pt idx="686">
                  <v>12697</v>
                </pt>
                <pt idx="687">
                  <v>12763.7</v>
                </pt>
                <pt idx="688">
                  <v>12830.6</v>
                </pt>
                <pt idx="689">
                  <v>12889.1</v>
                </pt>
                <pt idx="690">
                  <v>12968.2</v>
                </pt>
                <pt idx="691">
                  <v>13027.4</v>
                </pt>
                <pt idx="692">
                  <v>13099.7</v>
                </pt>
                <pt idx="693">
                  <v>13174.1</v>
                </pt>
                <pt idx="694">
                  <v>13214.2</v>
                </pt>
                <pt idx="695">
                  <v>13288.7</v>
                </pt>
                <pt idx="696">
                  <v>13359.2</v>
                </pt>
                <pt idx="697">
                  <v>13428.6</v>
                </pt>
                <pt idx="698">
                  <v>13486.6</v>
                </pt>
                <pt idx="699">
                  <v>13537.3</v>
                </pt>
                <pt idx="700">
                  <v>13564.7</v>
                </pt>
                <pt idx="701">
                  <v>13621.8</v>
                </pt>
                <pt idx="702">
                  <v>13671.4</v>
                </pt>
                <pt idx="703">
                  <v>13714.4</v>
                </pt>
                <pt idx="704">
                  <v>13767.6</v>
                </pt>
                <pt idx="705">
                  <v>13802.4</v>
                </pt>
                <pt idx="706">
                  <v>13854.8</v>
                </pt>
                <pt idx="707">
                  <v>13872</v>
                </pt>
                <pt idx="708">
                  <v>13914.6</v>
                </pt>
                <pt idx="709">
                  <v>13971.2</v>
                </pt>
                <pt idx="710">
                  <v>14001.3</v>
                </pt>
                <pt idx="711">
                  <v>14066</v>
                </pt>
                <pt idx="712">
                  <v>14125.8</v>
                </pt>
                <pt idx="713">
                  <v>14155.2</v>
                </pt>
                <pt idx="714">
                  <v>14197.7</v>
                </pt>
                <pt idx="715">
                  <v>14228.4</v>
                </pt>
                <pt idx="716">
                  <v>14235.8</v>
                </pt>
                <pt idx="717">
                  <v>14254.9</v>
                </pt>
                <pt idx="718">
                  <v>14373.9</v>
                </pt>
                <pt idx="719">
                  <v>14443.3</v>
                </pt>
                <pt idx="720">
                  <v>14486.2</v>
                </pt>
                <pt idx="721">
                  <v>14533.5</v>
                </pt>
                <pt idx="722">
                  <v>14568.9</v>
                </pt>
                <pt idx="723">
                  <v>14668.4</v>
                </pt>
                <pt idx="724">
                  <v>14787</v>
                </pt>
                <pt idx="725">
                  <v>14857.9</v>
                </pt>
                <pt idx="726">
                  <v>14935.2</v>
                </pt>
                <pt idx="727">
                  <v>15026.6</v>
                </pt>
                <pt idx="728">
                  <v>15153.1</v>
                </pt>
                <pt idx="729">
                  <v>15251.3</v>
                </pt>
                <pt idx="730">
                  <v>15325.8</v>
                </pt>
                <pt idx="731">
                  <v>15406.8</v>
                </pt>
                <pt idx="732">
                  <v>15470.4</v>
                </pt>
                <pt idx="733">
                  <v>16011.4</v>
                </pt>
                <pt idx="734">
                  <v>17039.1</v>
                </pt>
                <pt idx="735">
                  <v>17889.2</v>
                </pt>
                <pt idx="736">
                  <v>18175.7</v>
                </pt>
                <pt idx="737">
                  <v>18316.6</v>
                </pt>
                <pt idx="738">
                  <v>18378.5</v>
                </pt>
                <pt idx="739">
                  <v>18601.6</v>
                </pt>
                <pt idx="740">
                  <v>18747.9</v>
                </pt>
                <pt idx="741">
                  <v>18958.7</v>
                </pt>
                <pt idx="742">
                  <v>19129.5</v>
                </pt>
                <pt idx="743">
                  <v>19393.2</v>
                </pt>
                <pt idx="744">
                  <v>19665.3</v>
                </pt>
                <pt idx="745">
                  <v>19913.2</v>
                </pt>
                <pt idx="746">
                  <v>20138.8</v>
                </pt>
                <pt idx="747">
                  <v>20402.8</v>
                </pt>
                <pt idx="748">
                  <v>20429.5</v>
                </pt>
                <pt idx="749">
                  <v>20578.9</v>
                </pt>
                <pt idx="750">
                  <v>20832.5</v>
                </pt>
                <pt idx="751">
                  <v>20994.8</v>
                </pt>
                <pt idx="752">
                  <v>21187.5</v>
                </pt>
                <pt idx="753">
                  <v>21436.7</v>
                </pt>
                <pt idx="754">
                  <v>21638.1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'!$A$7:$A$769</f>
              <numCache>
                <formatCode>m/d/yy</formatCode>
                <ptCount val="763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</numCache>
            </numRef>
          </cat>
          <val>
            <numRef>
              <f>'US M2 '!$D$7:$D$769</f>
              <numCache>
                <formatCode>0.00%</formatCode>
                <ptCount val="763"/>
                <pt idx="0">
                  <v>0.04704201702925448</v>
                </pt>
                <pt idx="1">
                  <v>0.06439082129675855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0.09381562257093368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0.07272243002163647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0.02719594555443794</v>
                </pt>
                <pt idx="502">
                  <v>0.1153539196330085</v>
                </pt>
                <pt idx="503">
                  <v>0.1305087298752696</v>
                </pt>
                <pt idx="504">
                  <v>0.09612720438013955</v>
                </pt>
                <pt idx="505">
                  <v>0.1471933843558664</v>
                </pt>
                <pt idx="506">
                  <v>0.1624104001060527</v>
                </pt>
                <pt idx="507">
                  <v>-0.006987956210993684</v>
                </pt>
                <pt idx="508">
                  <v>0.09840657538765041</v>
                </pt>
                <pt idx="509">
                  <v>0.07161528598431177</v>
                </pt>
                <pt idx="510">
                  <v>0.08105888917788273</v>
                </pt>
                <pt idx="511">
                  <v>0.2865237751332166</v>
                </pt>
                <pt idx="512">
                  <v>-0.02528468409587459</v>
                </pt>
                <pt idx="513">
                  <v>0.1025796385551432</v>
                </pt>
                <pt idx="514">
                  <v>0.1250941393662781</v>
                </pt>
                <pt idx="515">
                  <v>0.04577267711260213</v>
                </pt>
                <pt idx="516">
                  <v>0.06665175798051659</v>
                </pt>
                <pt idx="517">
                  <v>0.02613605876800884</v>
                </pt>
                <pt idx="518">
                  <v>0.0004369117551279444</v>
                </pt>
                <pt idx="519">
                  <v>0.05874675257992146</v>
                </pt>
                <pt idx="520">
                  <v>0.05571603836424588</v>
                </pt>
                <pt idx="521">
                  <v>0.09617728775967604</v>
                </pt>
                <pt idx="522">
                  <v>0.09494629903902108</v>
                </pt>
                <pt idx="523">
                  <v>0.0532590495931784</v>
                </pt>
                <pt idx="524">
                  <v>0.0988571096559836</v>
                </pt>
                <pt idx="525">
                  <v>0.1107330371037152</v>
                </pt>
                <pt idx="526">
                  <v>0.04515418113565395</v>
                </pt>
                <pt idx="527">
                  <v>0.0699347177960703</v>
                </pt>
                <pt idx="528">
                  <v>0.07703071297234709</v>
                </pt>
                <pt idx="529">
                  <v>0.04359078160368224</v>
                </pt>
                <pt idx="530">
                  <v>0.07932923661678504</v>
                </pt>
                <pt idx="531">
                  <v>0.1298319656459535</v>
                </pt>
                <pt idx="532">
                  <v>0.07647379507495233</v>
                </pt>
                <pt idx="533">
                  <v>0.09759380264868955</v>
                </pt>
                <pt idx="534">
                  <v>0.12170778193401</v>
                </pt>
                <pt idx="535">
                  <v>-0.05352967959798716</v>
                </pt>
                <pt idx="536">
                  <v>-0.01783785395255277</v>
                </pt>
                <pt idx="537">
                  <v>0.01034147907303429</v>
                </pt>
                <pt idx="538">
                  <v>-0.003554030765702043</v>
                </pt>
                <pt idx="539">
                  <v>0.01694551497962449</v>
                </pt>
                <pt idx="540">
                  <v>0.07940048988956061</v>
                </pt>
                <pt idx="541">
                  <v>0.07258239237593167</v>
                </pt>
                <pt idx="542">
                  <v>0.08343348660149386</v>
                </pt>
                <pt idx="543">
                  <v>0.1594717328593191</v>
                </pt>
                <pt idx="544">
                  <v>0.004605191974607958</v>
                </pt>
                <pt idx="545">
                  <v>0.02654007347983423</v>
                </pt>
                <pt idx="546">
                  <v>0.05100280048256622</v>
                </pt>
                <pt idx="547">
                  <v>0.06803234730527108</v>
                </pt>
                <pt idx="548">
                  <v>0.05466625575089124</v>
                </pt>
                <pt idx="549">
                  <v>0.05125964786732284</v>
                </pt>
                <pt idx="550">
                  <v>0.03525160018557938</v>
                </pt>
                <pt idx="551">
                  <v>0.0116556482575263</v>
                </pt>
                <pt idx="552">
                  <v>0.01580598574844805</v>
                </pt>
                <pt idx="553">
                  <v>0.01692140173824352</v>
                </pt>
                <pt idx="554">
                  <v>0.02620701907799794</v>
                </pt>
                <pt idx="555">
                  <v>0.03264098697048512</v>
                </pt>
                <pt idx="556">
                  <v>0.06175616278398555</v>
                </pt>
                <pt idx="557">
                  <v>0.05988227332941443</v>
                </pt>
                <pt idx="558">
                  <v>0.06171660305875104</v>
                </pt>
                <pt idx="559">
                  <v>0.0642986438091766</v>
                </pt>
                <pt idx="560">
                  <v>0.06376371338078712</v>
                </pt>
                <pt idx="561">
                  <v>0.03005827313004428</v>
                </pt>
                <pt idx="562">
                  <v>0.0492330445339948</v>
                </pt>
                <pt idx="563">
                  <v>0.07888253965397563</v>
                </pt>
                <pt idx="564">
                  <v>0.04424956819742065</v>
                </pt>
                <pt idx="565">
                  <v>0.02573288177680655</v>
                </pt>
                <pt idx="566">
                  <v>0.06843697644935287</v>
                </pt>
                <pt idx="567">
                  <v>0.01189045053562521</v>
                </pt>
                <pt idx="568">
                  <v>0.06910429665591411</v>
                </pt>
                <pt idx="569">
                  <v>0.07506260411797938</v>
                </pt>
                <pt idx="570">
                  <v>0.05502588939006303</v>
                </pt>
                <pt idx="571">
                  <v>0.04823356144909274</v>
                </pt>
                <pt idx="572">
                  <v>0.08806078148303764</v>
                </pt>
                <pt idx="573">
                  <v>0.06157265451558547</v>
                </pt>
                <pt idx="574">
                  <v>0.07595913876509841</v>
                </pt>
                <pt idx="575">
                  <v>0.06626390950401051</v>
                </pt>
                <pt idx="576">
                  <v>0.0270050152336585</v>
                </pt>
                <pt idx="577">
                  <v>0.05827303153960983</v>
                </pt>
                <pt idx="578">
                  <v>0.1283805195162346</v>
                </pt>
                <pt idx="579">
                  <v>0.02331833893759505</v>
                </pt>
                <pt idx="580">
                  <v>0.05623713805536701</v>
                </pt>
                <pt idx="581">
                  <v>0.05113096746184898</v>
                </pt>
                <pt idx="582">
                  <v>0.1325809490632117</v>
                </pt>
                <pt idx="583">
                  <v>0.03015369373467691</v>
                </pt>
                <pt idx="584">
                  <v>0.022440463397708</v>
                </pt>
                <pt idx="585">
                  <v>0.04088256454346273</v>
                </pt>
                <pt idx="586">
                  <v>0.0491403222436726</v>
                </pt>
                <pt idx="587">
                  <v>0.05550478967222516</v>
                </pt>
                <pt idx="588">
                  <v>0.1438374671817382</v>
                </pt>
                <pt idx="589">
                  <v>0.1090004321368989</v>
                </pt>
                <pt idx="590">
                  <v>0.0692113878363998</v>
                </pt>
                <pt idx="591">
                  <v>0.01918935392141075</v>
                </pt>
                <pt idx="592">
                  <v>0.02758612389176807</v>
                </pt>
                <pt idx="593">
                  <v>0.07433326449724187</v>
                </pt>
                <pt idx="594">
                  <v>0.02324949364185325</v>
                </pt>
                <pt idx="595">
                  <v>0.1125186029134455</v>
                </pt>
                <pt idx="596">
                  <v>0.1755379581618797</v>
                </pt>
                <pt idx="597">
                  <v>0.07865077539049325</v>
                </pt>
                <pt idx="598">
                  <v>0.2982221771508442</v>
                </pt>
                <pt idx="599">
                  <v>0.1261762101280774</v>
                </pt>
                <pt idx="600">
                  <v>0.04334701784131045</v>
                </pt>
                <pt idx="601">
                  <v>0.09970129838490527</v>
                </pt>
                <pt idx="602">
                  <v>0.004887505635291722</v>
                </pt>
                <pt idx="603">
                  <v>0.08593477913754555</v>
                </pt>
                <pt idx="604">
                  <v>0.01375533845623167</v>
                </pt>
                <pt idx="605">
                  <v>0.006848311362594339</v>
                </pt>
                <pt idx="606">
                  <v>-0.0002842557809281665</v>
                </pt>
                <pt idx="607">
                  <v>-0.0009945947691414325</v>
                </pt>
                <pt idx="608">
                  <v>0.03906613846221285</v>
                </pt>
                <pt idx="609">
                  <v>0.04349803868534496</v>
                </pt>
                <pt idx="610">
                  <v>-0.007177802448631532</v>
                </pt>
                <pt idx="611">
                  <v>-0.05198536907473728</v>
                </pt>
                <pt idx="612">
                  <v>0.07286036133344242</v>
                </pt>
                <pt idx="613">
                  <v>-0.004083998083374563</v>
                </pt>
                <pt idx="614">
                  <v>0.04405407900342451</v>
                </pt>
                <pt idx="615">
                  <v>0.07999955914755752</v>
                </pt>
                <pt idx="616">
                  <v>0.02687506509957616</v>
                </pt>
                <pt idx="617">
                  <v>0.01346734033492947</v>
                </pt>
                <pt idx="618">
                  <v>0.07249536241783328</v>
                </pt>
                <pt idx="619">
                  <v>0.04392150038886644</v>
                </pt>
                <pt idx="620">
                  <v>0.06988458817944876</v>
                </pt>
                <pt idx="621">
                  <v>0.02891201610728777</v>
                </pt>
                <pt idx="622">
                  <v>0.04425976608130133</v>
                </pt>
                <pt idx="623">
                  <v>0.02901722624369252</v>
                </pt>
                <pt idx="624">
                  <v>0.09033650889851619</v>
                </pt>
                <pt idx="625">
                  <v>0.07889718496556153</v>
                </pt>
                <pt idx="626">
                  <v>0.08574044181348062</v>
                </pt>
                <pt idx="627">
                  <v>0.09827882805435539</v>
                </pt>
                <pt idx="628">
                  <v>0.1048495294773628</v>
                </pt>
                <pt idx="629">
                  <v>0.2398842742339236</v>
                </pt>
                <pt idx="630">
                  <v>0.2761524541312308</v>
                </pt>
                <pt idx="631">
                  <v>0.0265782377654602</v>
                </pt>
                <pt idx="632">
                  <v>0.04328898588390406</v>
                </pt>
                <pt idx="633">
                  <v>0.06540014519194637</v>
                </pt>
                <pt idx="634">
                  <v>0.06108370659995122</v>
                </pt>
                <pt idx="635">
                  <v>0.09565270658831815</v>
                </pt>
                <pt idx="636">
                  <v>0.07364872301189185</v>
                </pt>
                <pt idx="637">
                  <v>0.06019409167060541</v>
                </pt>
                <pt idx="638">
                  <v>0.06634507784698851</v>
                </pt>
                <pt idx="639">
                  <v>0.05560593664652536</v>
                </pt>
                <pt idx="640">
                  <v>0.07945635283495345</v>
                </pt>
                <pt idx="641">
                  <v>0.07085501078581991</v>
                </pt>
                <pt idx="642">
                  <v>0.07387393719612501</v>
                </pt>
                <pt idx="643">
                  <v>0.09643206753082612</v>
                </pt>
                <pt idx="644">
                  <v>0.07724576022874108</v>
                </pt>
                <pt idx="645">
                  <v>0.07662672350586242</v>
                </pt>
                <pt idx="646">
                  <v>0.1643622882786311</v>
                </pt>
                <pt idx="647">
                  <v>0.02967419337751953</v>
                </pt>
                <pt idx="648">
                  <v>0.0139473009067288</v>
                </pt>
                <pt idx="649">
                  <v>0.07903399296197122</v>
                </pt>
                <pt idx="650">
                  <v>0.03993289932977184</v>
                </pt>
                <pt idx="651">
                  <v>0.04604181598040902</v>
                </pt>
                <pt idx="652">
                  <v>0.06078316122260241</v>
                </pt>
                <pt idx="653">
                  <v>0.05338602193485675</v>
                </pt>
                <pt idx="654">
                  <v>0.06280733491698443</v>
                </pt>
                <pt idx="655">
                  <v>0.05919121748546385</v>
                </pt>
                <pt idx="656">
                  <v>0.1330769096968352</v>
                </pt>
                <pt idx="657">
                  <v>0.005934592150778961</v>
                </pt>
                <pt idx="658">
                  <v>0.07498051319520482</v>
                </pt>
                <pt idx="659">
                  <v>0.06305727799529981</v>
                </pt>
                <pt idx="660">
                  <v>0.1051819906345046</v>
                </pt>
                <pt idx="661">
                  <v>0.04193349421514325</v>
                </pt>
                <pt idx="662">
                  <v>0.05734483339670504</v>
                </pt>
                <pt idx="663">
                  <v>0.07321963381045737</v>
                </pt>
                <pt idx="664">
                  <v>0.05528067261534253</v>
                </pt>
                <pt idx="665">
                  <v>0.06158199255908303</v>
                </pt>
                <pt idx="666">
                  <v>0.03075580704961745</v>
                </pt>
                <pt idx="667">
                  <v>0.03596323060191708</v>
                </pt>
                <pt idx="668">
                  <v>0.06655788349548586</v>
                </pt>
                <pt idx="669">
                  <v>0.03812913248143834</v>
                </pt>
                <pt idx="670">
                  <v>0.08523070482035622</v>
                </pt>
                <pt idx="671">
                  <v>0.07426608931550782</v>
                </pt>
                <pt idx="672">
                  <v>0.1386934590285474</v>
                </pt>
                <pt idx="673">
                  <v>0.01670377230991971</v>
                </pt>
                <pt idx="674">
                  <v>0.0406085756552268</v>
                </pt>
                <pt idx="675">
                  <v>0.03091346201375678</v>
                </pt>
                <pt idx="676">
                  <v>0.04610492700928259</v>
                </pt>
                <pt idx="677">
                  <v>0.0502077567000403</v>
                </pt>
                <pt idx="678">
                  <v>0.04947811007932357</v>
                </pt>
                <pt idx="679">
                  <v>0.05488518297134171</v>
                </pt>
                <pt idx="680">
                  <v>0.03806636247894746</v>
                </pt>
                <pt idx="681">
                  <v>0.0864103614126448</v>
                </pt>
                <pt idx="682">
                  <v>0.06345000819133895</v>
                </pt>
                <pt idx="683">
                  <v>0.1354247477007802</v>
                </pt>
                <pt idx="684">
                  <v>0.0806802614706601</v>
                </pt>
                <pt idx="685">
                  <v>0.06323260797726071</v>
                </pt>
                <pt idx="686">
                  <v>0.07920866483878997</v>
                </pt>
                <pt idx="687">
                  <v>0.06489213610429445</v>
                </pt>
                <pt idx="688">
                  <v>0.06474236670715161</v>
                </pt>
                <pt idx="689">
                  <v>0.0561060435006171</v>
                </pt>
                <pt idx="690">
                  <v>0.07618089685313256</v>
                </pt>
                <pt idx="691">
                  <v>0.05617669669869851</v>
                </pt>
                <pt idx="692">
                  <v>0.0686690222627635</v>
                </pt>
                <pt idx="693">
                  <v>0.07032401523005682</v>
                </pt>
                <pt idx="694">
                  <v>0.03714395330091347</v>
                </pt>
                <pt idx="695">
                  <v>0.06979227372700936</v>
                </pt>
                <pt idx="696">
                  <v>0.06555397956198883</v>
                </pt>
                <pt idx="697">
                  <v>0.06415142503009452</v>
                </pt>
                <pt idx="698">
                  <v>0.05307880446754698</v>
                </pt>
                <pt idx="699">
                  <v>0.04605595913698224</v>
                </pt>
                <pt idx="700">
                  <v>0.02456066401224777</v>
                </pt>
                <pt idx="701">
                  <v>0.0516995192496057</v>
                </pt>
                <pt idx="702">
                  <v>0.04458043531931377</v>
                </pt>
                <pt idx="703">
                  <v>0.03840283184411808</v>
                </pt>
                <pt idx="704">
                  <v>0.04755571379957368</v>
                </pt>
                <pt idx="705">
                  <v>0.0307573400894523</v>
                </pt>
                <pt idx="706">
                  <v>0.04652069153517657</v>
                </pt>
                <pt idx="707">
                  <v>0.0149995047803464</v>
                </pt>
                <pt idx="708">
                  <v>0.03748004875976307</v>
                </pt>
                <pt idx="709">
                  <v>0.04991901425747258</v>
                </pt>
                <pt idx="710">
                  <v>0.02616173847581527</v>
                </pt>
                <pt idx="711">
                  <v>0.05688326964941282</v>
                </pt>
                <pt idx="712">
                  <v>0.0522266064943131</v>
                </pt>
                <pt idx="713">
                  <v>0.02526346829730275</v>
                </pt>
                <pt idx="714">
                  <v>0.03663012004394162</v>
                </pt>
                <pt idx="715">
                  <v>0.02625869192855634</v>
                </pt>
                <pt idx="716">
                  <v>0.006258922377978982</v>
                </pt>
                <pt idx="717">
                  <v>0.01621959557787012</v>
                </pt>
                <pt idx="718">
                  <v>0.1049059929584215</v>
                </pt>
                <pt idx="719">
                  <v>0.05950193635682965</v>
                </pt>
                <pt idx="720">
                  <v>0.03623089932964585</v>
                </pt>
                <pt idx="721">
                  <v>0.03989348412018923</v>
                </pt>
                <pt idx="722">
                  <v>0.02962378988143932</v>
                </pt>
                <pt idx="723">
                  <v>0.08510505144550806</v>
                </pt>
                <pt idx="724">
                  <v>0.1014579988555016</v>
                </pt>
                <pt idx="725">
                  <v>0.05907885670787172</v>
                </pt>
                <pt idx="726">
                  <v>0.06424921847184972</v>
                </pt>
                <pt idx="727">
                  <v>0.07596017819785872</v>
                </pt>
                <pt idx="728">
                  <v>0.1058320196409677</v>
                </pt>
                <pt idx="729">
                  <v>0.08059883685146274</v>
                </pt>
                <pt idx="730">
                  <v>0.06021874396100513</v>
                </pt>
                <pt idx="731">
                  <v>0.06529893712536805</v>
                </pt>
                <pt idx="732">
                  <v>0.05067688004042981</v>
                </pt>
                <pt idx="733">
                  <v>0.5105432788249122</v>
                </pt>
                <pt idx="734">
                  <v>1.10963894107749</v>
                </pt>
                <pt idx="735">
                  <v>0.7936232004051862</v>
                </pt>
                <pt idx="736">
                  <v>0.210048328637398</v>
                </pt>
                <pt idx="737">
                  <v>0.09709588559555771</v>
                </pt>
                <pt idx="738">
                  <v>0.04131569795507328</v>
                </pt>
                <pt idx="739">
                  <v>0.1558004618394044</v>
                </pt>
                <pt idx="740">
                  <v>0.09857048046783312</v>
                </pt>
                <pt idx="741">
                  <v>0.1435920105070869</v>
                </pt>
                <pt idx="742">
                  <v>0.1136296158433689</v>
                </pt>
                <pt idx="743">
                  <v>0.1785561836118605</v>
                </pt>
                <pt idx="744">
                  <v>0.1819883534106999</v>
                </pt>
                <pt idx="745">
                  <v>0.1622130687387833</v>
                </pt>
                <pt idx="746">
                  <v>0.1447493332975076</v>
                </pt>
                <pt idx="747">
                  <v>0.1691606811653394</v>
                </pt>
                <pt idx="748">
                  <v>0.01581724966647124</v>
                </pt>
                <pt idx="749">
                  <v>0.0913725581153868</v>
                </pt>
                <pt idx="750">
                  <v>0.1583259995197643</v>
                </pt>
                <pt idx="751">
                  <v>0.0976002973152561</v>
                </pt>
                <pt idx="752">
                  <v>0.1158753515150663</v>
                </pt>
                <pt idx="753">
                  <v>0.1506376369852875</v>
                </pt>
                <pt idx="754">
                  <v>0.1187532769277684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Country!$A$474:$A$742</f>
              <numCache>
                <formatCode>m/d/yy</formatCode>
                <ptCount val="269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Country!$B$474:$B$742</f>
              <numCache>
                <formatCode>0.00</formatCode>
                <ptCount val="269"/>
                <pt idx="0">
                  <v>38.68973</v>
                </pt>
                <pt idx="1">
                  <v>38.80026</v>
                </pt>
                <pt idx="2">
                  <v>39.05621</v>
                </pt>
                <pt idx="3">
                  <v>39.51992</v>
                </pt>
                <pt idx="4">
                  <v>39.41604</v>
                </pt>
                <pt idx="5">
                  <v>39.56396</v>
                </pt>
                <pt idx="6">
                  <v>39.70939</v>
                </pt>
                <pt idx="7">
                  <v>39.94374</v>
                </pt>
                <pt idx="8">
                  <v>40.23958</v>
                </pt>
                <pt idx="9">
                  <v>40.37255</v>
                </pt>
                <pt idx="10">
                  <v>40.4623</v>
                </pt>
                <pt idx="11">
                  <v>40.83376</v>
                </pt>
                <pt idx="12">
                  <v>41.25426</v>
                </pt>
                <pt idx="13">
                  <v>41.57254</v>
                </pt>
                <pt idx="14">
                  <v>42.05286</v>
                </pt>
                <pt idx="15">
                  <v>42.58472</v>
                </pt>
                <pt idx="16">
                  <v>42.55729</v>
                </pt>
                <pt idx="17">
                  <v>42.89136</v>
                </pt>
                <pt idx="18">
                  <v>43.14067</v>
                </pt>
                <pt idx="19">
                  <v>43.42238</v>
                </pt>
                <pt idx="20">
                  <v>44.34565</v>
                </pt>
                <pt idx="21">
                  <v>44.25091</v>
                </pt>
                <pt idx="22">
                  <v>44.61323</v>
                </pt>
                <pt idx="23">
                  <v>45.0545</v>
                </pt>
                <pt idx="24">
                  <v>45.22403</v>
                </pt>
                <pt idx="25">
                  <v>45.46835</v>
                </pt>
                <pt idx="26">
                  <v>45.56807</v>
                </pt>
                <pt idx="27">
                  <v>45.5689</v>
                </pt>
                <pt idx="28">
                  <v>45.78414</v>
                </pt>
                <pt idx="29">
                  <v>45.99106</v>
                </pt>
                <pt idx="30">
                  <v>46.34508</v>
                </pt>
                <pt idx="31">
                  <v>46.69826</v>
                </pt>
                <pt idx="32">
                  <v>46.9002</v>
                </pt>
                <pt idx="33">
                  <v>47.27083</v>
                </pt>
                <pt idx="34">
                  <v>47.68717</v>
                </pt>
                <pt idx="35">
                  <v>47.86418</v>
                </pt>
                <pt idx="36">
                  <v>48.13509</v>
                </pt>
                <pt idx="37">
                  <v>48.43592</v>
                </pt>
                <pt idx="38">
                  <v>48.60877</v>
                </pt>
                <pt idx="39">
                  <v>48.91791</v>
                </pt>
                <pt idx="40">
                  <v>49.41735</v>
                </pt>
                <pt idx="41">
                  <v>49.72234</v>
                </pt>
                <pt idx="42">
                  <v>50.11042</v>
                </pt>
                <pt idx="43">
                  <v>50.59407</v>
                </pt>
                <pt idx="44">
                  <v>50.36056</v>
                </pt>
                <pt idx="45">
                  <v>50.2841</v>
                </pt>
                <pt idx="46">
                  <v>50.32732</v>
                </pt>
                <pt idx="47">
                  <v>50.31153</v>
                </pt>
                <pt idx="48">
                  <v>50.38216</v>
                </pt>
                <pt idx="49">
                  <v>50.70543</v>
                </pt>
                <pt idx="50">
                  <v>51.00294</v>
                </pt>
                <pt idx="51">
                  <v>51.34365</v>
                </pt>
                <pt idx="52">
                  <v>51.98021</v>
                </pt>
                <pt idx="53">
                  <v>51.99933</v>
                </pt>
                <pt idx="54">
                  <v>52.11318</v>
                </pt>
                <pt idx="55">
                  <v>52.33007</v>
                </pt>
                <pt idx="56">
                  <v>52.6176</v>
                </pt>
                <pt idx="57">
                  <v>52.85195</v>
                </pt>
                <pt idx="58">
                  <v>53.07217</v>
                </pt>
                <pt idx="59">
                  <v>53.22674</v>
                </pt>
                <pt idx="60">
                  <v>53.27826</v>
                </pt>
                <pt idx="61">
                  <v>53.34807</v>
                </pt>
                <pt idx="62">
                  <v>53.42286</v>
                </pt>
                <pt idx="63">
                  <v>53.5392</v>
                </pt>
                <pt idx="64">
                  <v>53.68297</v>
                </pt>
                <pt idx="65">
                  <v>53.95222</v>
                </pt>
                <pt idx="66">
                  <v>54.21482</v>
                </pt>
                <pt idx="67">
                  <v>54.48656</v>
                </pt>
                <pt idx="68">
                  <v>54.76994</v>
                </pt>
                <pt idx="69">
                  <v>55.05249</v>
                </pt>
                <pt idx="70">
                  <v>55.18961</v>
                </pt>
                <pt idx="71">
                  <v>55.41232</v>
                </pt>
                <pt idx="72">
                  <v>55.7655</v>
                </pt>
                <pt idx="73">
                  <v>55.96744</v>
                </pt>
                <pt idx="74">
                  <v>56.08794</v>
                </pt>
                <pt idx="75">
                  <v>56.39625</v>
                </pt>
                <pt idx="76">
                  <v>56.45109</v>
                </pt>
                <pt idx="77">
                  <v>56.76688</v>
                </pt>
                <pt idx="78">
                  <v>57.11175</v>
                </pt>
                <pt idx="79">
                  <v>57.36771</v>
                </pt>
                <pt idx="80">
                  <v>57.59374</v>
                </pt>
                <pt idx="81">
                  <v>58.00094</v>
                </pt>
                <pt idx="82">
                  <v>58.29014</v>
                </pt>
                <pt idx="83">
                  <v>58.64914</v>
                </pt>
                <pt idx="84">
                  <v>58.96492</v>
                </pt>
                <pt idx="85">
                  <v>59.09623</v>
                </pt>
                <pt idx="86">
                  <v>59.37711</v>
                </pt>
                <pt idx="87">
                  <v>59.97794</v>
                </pt>
                <pt idx="88">
                  <v>60.09095</v>
                </pt>
                <pt idx="89">
                  <v>60.36685</v>
                </pt>
                <pt idx="90">
                  <v>60.61865</v>
                </pt>
                <pt idx="91">
                  <v>61.25355</v>
                </pt>
                <pt idx="92">
                  <v>61.40563</v>
                </pt>
                <pt idx="93">
                  <v>61.51865</v>
                </pt>
                <pt idx="94">
                  <v>61.7264</v>
                </pt>
                <pt idx="95">
                  <v>61.97737</v>
                </pt>
                <pt idx="96">
                  <v>62.25825</v>
                </pt>
                <pt idx="97">
                  <v>62.96212</v>
                </pt>
                <pt idx="98">
                  <v>63.5106</v>
                </pt>
                <pt idx="99">
                  <v>63.86544</v>
                </pt>
                <pt idx="100">
                  <v>63.96433</v>
                </pt>
                <pt idx="101">
                  <v>64.10975999999999</v>
                </pt>
                <pt idx="102">
                  <v>64.49535</v>
                </pt>
                <pt idx="103">
                  <v>64.62</v>
                </pt>
                <pt idx="104">
                  <v>65.20089</v>
                </pt>
                <pt idx="105">
                  <v>66.09922</v>
                </pt>
                <pt idx="106">
                  <v>66.51971</v>
                </pt>
                <pt idx="107">
                  <v>67.98563</v>
                </pt>
                <pt idx="108">
                  <v>68.66208</v>
                </pt>
                <pt idx="109">
                  <v>68.90474</v>
                </pt>
                <pt idx="110">
                  <v>69.45321</v>
                </pt>
                <pt idx="111">
                  <v>69.47897</v>
                </pt>
                <pt idx="112">
                  <v>69.95681</v>
                </pt>
                <pt idx="113">
                  <v>70.03658</v>
                </pt>
                <pt idx="114">
                  <v>70.07565</v>
                </pt>
                <pt idx="115">
                  <v>70.07315</v>
                </pt>
                <pt idx="116">
                  <v>70.06734</v>
                </pt>
                <pt idx="117">
                  <v>70.29004999999999</v>
                </pt>
                <pt idx="118">
                  <v>70.54018000000001</v>
                </pt>
                <pt idx="119">
                  <v>70.49863000000001</v>
                </pt>
                <pt idx="120">
                  <v>70.18534</v>
                </pt>
                <pt idx="121">
                  <v>70.59753000000001</v>
                </pt>
                <pt idx="122">
                  <v>70.57343</v>
                </pt>
                <pt idx="123">
                  <v>70.82605</v>
                </pt>
                <pt idx="124">
                  <v>71.28062</v>
                </pt>
                <pt idx="125">
                  <v>71.43935</v>
                </pt>
                <pt idx="126">
                  <v>71.51912</v>
                </pt>
                <pt idx="127">
                  <v>71.93713</v>
                </pt>
                <pt idx="128">
                  <v>72.1964</v>
                </pt>
                <pt idx="129">
                  <v>72.6036</v>
                </pt>
                <pt idx="130">
                  <v>72.77562</v>
                </pt>
                <pt idx="131">
                  <v>73.04071999999999</v>
                </pt>
                <pt idx="132">
                  <v>73.34487</v>
                </pt>
                <pt idx="133">
                  <v>73.72298000000001</v>
                </pt>
                <pt idx="134">
                  <v>74.09113000000001</v>
                </pt>
                <pt idx="135">
                  <v>74.60802</v>
                </pt>
                <pt idx="136">
                  <v>75.03433</v>
                </pt>
                <pt idx="137">
                  <v>75.73405</v>
                </pt>
                <pt idx="138">
                  <v>77.29636000000001</v>
                </pt>
                <pt idx="139">
                  <v>79.07225</v>
                </pt>
                <pt idx="140">
                  <v>79.27668</v>
                </pt>
                <pt idx="141">
                  <v>79.53928000000001</v>
                </pt>
                <pt idx="142">
                  <v>79.88</v>
                </pt>
                <pt idx="143">
                  <v>80.20244</v>
                </pt>
                <pt idx="144">
                  <v>80.86060000000001</v>
                </pt>
                <pt idx="145">
                  <v>81.21628</v>
                </pt>
                <pt idx="146">
                  <v>81.58775</v>
                </pt>
                <pt idx="147">
                  <v>82.03899</v>
                </pt>
                <pt idx="148">
                  <v>82.30242</v>
                </pt>
                <pt idx="149">
                  <v>82.88247</v>
                </pt>
                <pt idx="150">
                  <v>83.49078</v>
                </pt>
                <pt idx="151">
                  <v>84.08163</v>
                </pt>
                <pt idx="152">
                  <v>84.76555999999999</v>
                </pt>
                <pt idx="153">
                  <v>85.27332</v>
                </pt>
                <pt idx="154">
                  <v>85.76029</v>
                </pt>
                <pt idx="155">
                  <v>86.80571</v>
                </pt>
                <pt idx="156">
                  <v>87.01761999999999</v>
                </pt>
                <pt idx="157">
                  <v>86.99269</v>
                </pt>
                <pt idx="158">
                  <v>87.58687</v>
                </pt>
                <pt idx="159">
                  <v>87.88105</v>
                </pt>
                <pt idx="160">
                  <v>88.18188000000001</v>
                </pt>
                <pt idx="161">
                  <v>88.63561</v>
                </pt>
                <pt idx="162">
                  <v>89.10098000000001</v>
                </pt>
                <pt idx="163">
                  <v>89.58713</v>
                </pt>
                <pt idx="164">
                  <v>90.02092</v>
                </pt>
                <pt idx="165">
                  <v>90.95665</v>
                </pt>
                <pt idx="166">
                  <v>91.02146999999999</v>
                </pt>
                <pt idx="167">
                  <v>91.5367</v>
                </pt>
                <pt idx="168">
                  <v>91.95719</v>
                </pt>
                <pt idx="169">
                  <v>92.64776999999999</v>
                </pt>
                <pt idx="170">
                  <v>92.99348000000001</v>
                </pt>
                <pt idx="171">
                  <v>93.46051</v>
                </pt>
                <pt idx="172">
                  <v>94.02809000000001</v>
                </pt>
                <pt idx="173">
                  <v>94.46272</v>
                </pt>
                <pt idx="174">
                  <v>94.97213000000001</v>
                </pt>
                <pt idx="175">
                  <v>95.21478999999999</v>
                </pt>
                <pt idx="176">
                  <v>95.50066</v>
                </pt>
                <pt idx="177">
                  <v>95.99429000000001</v>
                </pt>
                <pt idx="178">
                  <v>96.32004999999999</v>
                </pt>
                <pt idx="179">
                  <v>96.96325</v>
                </pt>
                <pt idx="180">
                  <v>97.49593</v>
                </pt>
                <pt idx="181">
                  <v>98.49648000000001</v>
                </pt>
                <pt idx="182">
                  <v>98.63692</v>
                </pt>
                <pt idx="183">
                  <v>99.02916</v>
                </pt>
                <pt idx="184">
                  <v>99.3009</v>
                </pt>
                <pt idx="185">
                  <v>99.67735999999999</v>
                </pt>
                <pt idx="186">
                  <v>100.1095</v>
                </pt>
                <pt idx="187">
                  <v>100.5333</v>
                </pt>
                <pt idx="188">
                  <v>100.9945</v>
                </pt>
                <pt idx="189">
                  <v>101.2596</v>
                </pt>
                <pt idx="190">
                  <v>102.0009</v>
                </pt>
                <pt idx="191">
                  <v>102.4654</v>
                </pt>
                <pt idx="192">
                  <v>103.5283</v>
                </pt>
                <pt idx="193">
                  <v>104.1624</v>
                </pt>
                <pt idx="194">
                  <v>104.6909</v>
                </pt>
                <pt idx="195">
                  <v>105.433</v>
                </pt>
                <pt idx="196">
                  <v>106.0047</v>
                </pt>
                <pt idx="197">
                  <v>106.5665</v>
                </pt>
                <pt idx="198">
                  <v>107.0543</v>
                </pt>
                <pt idx="199">
                  <v>107.7806</v>
                </pt>
                <pt idx="200">
                  <v>108.2875</v>
                </pt>
                <pt idx="201">
                  <v>108.8576</v>
                </pt>
                <pt idx="202">
                  <v>109.4418</v>
                </pt>
                <pt idx="203">
                  <v>109.6853</v>
                </pt>
                <pt idx="204">
                  <v>110.321</v>
                </pt>
                <pt idx="205">
                  <v>110.867</v>
                </pt>
                <pt idx="206">
                  <v>111.4512</v>
                </pt>
                <pt idx="207">
                  <v>111.9947</v>
                </pt>
                <pt idx="208">
                  <v>112.441</v>
                </pt>
                <pt idx="209">
                  <v>112.6703</v>
                </pt>
                <pt idx="210">
                  <v>113.1698</v>
                </pt>
                <pt idx="211">
                  <v>113.631</v>
                </pt>
                <pt idx="212">
                  <v>113.9858</v>
                </pt>
                <pt idx="213">
                  <v>114.4221</v>
                </pt>
                <pt idx="214">
                  <v>114.6299</v>
                </pt>
                <pt idx="215">
                  <v>114.9764</v>
                </pt>
                <pt idx="216">
                  <v>115.1651</v>
                </pt>
                <pt idx="217">
                  <v>115.4518</v>
                </pt>
                <pt idx="218">
                  <v>115.9487</v>
                </pt>
                <pt idx="219">
                  <v>116.252</v>
                </pt>
                <pt idx="220">
                  <v>116.7988</v>
                </pt>
                <pt idx="221">
                  <v>117.3398</v>
                </pt>
                <pt idx="222">
                  <v>117.6141</v>
                </pt>
                <pt idx="223">
                  <v>117.9797</v>
                </pt>
                <pt idx="224">
                  <v>118.2415</v>
                </pt>
                <pt idx="225">
                  <v>118.2988</v>
                </pt>
                <pt idx="226">
                  <v>118.3819</v>
                </pt>
                <pt idx="227">
                  <v>119.2653</v>
                </pt>
                <pt idx="228">
                  <v>119.9542</v>
                </pt>
                <pt idx="229">
                  <v>120.2019</v>
                </pt>
                <pt idx="230">
                  <v>120.5958</v>
                </pt>
                <pt idx="231">
                  <v>120.9822</v>
                </pt>
                <pt idx="232">
                  <v>121.7708</v>
                </pt>
                <pt idx="233">
                  <v>122.8304</v>
                </pt>
                <pt idx="234">
                  <v>123.4968</v>
                </pt>
                <pt idx="235">
                  <v>124.1027</v>
                </pt>
                <pt idx="236">
                  <v>124.8614</v>
                </pt>
                <pt idx="237">
                  <v>125.9392</v>
                </pt>
                <pt idx="238">
                  <v>126.8068</v>
                </pt>
                <pt idx="239">
                  <v>127.2988</v>
                </pt>
                <pt idx="240">
                  <v>128.2985</v>
                </pt>
                <pt idx="241">
                  <v>129.1062</v>
                </pt>
                <pt idx="242">
                  <v>132.9585</v>
                </pt>
                <pt idx="243">
                  <v>141.4925</v>
                </pt>
                <pt idx="244">
                  <v>148.5517</v>
                </pt>
                <pt idx="245">
                  <v>150.9308</v>
                </pt>
                <pt idx="246">
                  <v>152.1008</v>
                </pt>
                <pt idx="247">
                  <v>152.6148</v>
                </pt>
                <pt idx="248">
                  <v>154.4674</v>
                </pt>
                <pt idx="249">
                  <v>155.6823</v>
                </pt>
                <pt idx="250">
                  <v>157.4328</v>
                </pt>
                <pt idx="251">
                  <v>158.8511</v>
                </pt>
                <pt idx="252">
                  <v>161.0409</v>
                </pt>
                <pt idx="253">
                  <v>163.3012</v>
                </pt>
                <pt idx="254">
                  <v>165.3598</v>
                </pt>
                <pt idx="255">
                  <v>167.2282</v>
                </pt>
                <pt idx="256">
                  <v>169.4196</v>
                </pt>
                <pt idx="257">
                  <v>169.6405</v>
                </pt>
                <pt idx="258">
                  <v>170.8803</v>
                </pt>
                <pt idx="259">
                  <v>172.9845</v>
                </pt>
                <pt idx="260">
                  <v>174.3356</v>
                </pt>
                <pt idx="261">
                  <v>175.9374</v>
                </pt>
                <pt idx="262">
                  <v>178.0101</v>
                </pt>
                <pt idx="263">
                  <v>179.6825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Country!$A$474:$A$741</f>
              <numCache>
                <formatCode>m/d/yy</formatCode>
                <ptCount val="268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</numCache>
            </numRef>
          </cat>
          <val>
            <numRef>
              <f>Country!$D$474:$D$741</f>
              <numCache>
                <formatCode>0.0%</formatCode>
                <ptCount val="268"/>
                <pt idx="0">
                  <v>0.07590575294829294</v>
                </pt>
                <pt idx="1">
                  <v>0.03482578612476539</v>
                </pt>
                <pt idx="2">
                  <v>0.08209536550813423</v>
                </pt>
                <pt idx="3">
                  <v>0.152156607060461</v>
                </pt>
                <pt idx="4">
                  <v>-0.03109053453003585</v>
                </pt>
                <pt idx="5">
                  <v>0.04597467450360204</v>
                </pt>
                <pt idx="6">
                  <v>0.04501262802616512</v>
                </pt>
                <pt idx="7">
                  <v>0.07316407559634697</v>
                </pt>
                <pt idx="8">
                  <v>0.09258832517614479</v>
                </pt>
                <pt idx="9">
                  <v>0.04038217614220097</v>
                </pt>
                <pt idx="10">
                  <v>0.02700513779642133</v>
                </pt>
                <pt idx="11">
                  <v>0.115901017688542</v>
                </pt>
                <pt idx="12">
                  <v>0.1308191472872764</v>
                </pt>
                <pt idx="13">
                  <v>0.09661227294345265</v>
                </pt>
                <pt idx="14">
                  <v>0.1478039897114112</v>
                </pt>
                <pt idx="15">
                  <v>0.162784153045435</v>
                </pt>
                <pt idx="16">
                  <v>-0.007702208306940128</v>
                </pt>
                <pt idx="17">
                  <v>0.0983739581122367</v>
                </pt>
                <pt idx="18">
                  <v>0.07202477721302913</v>
                </pt>
                <pt idx="19">
                  <v>0.08123689259223266</v>
                </pt>
                <pt idx="20">
                  <v>0.2872082545081036</v>
                </pt>
                <pt idx="21">
                  <v>-0.02533768507612832</v>
                </pt>
                <pt idx="22">
                  <v>0.102801970676311</v>
                </pt>
                <pt idx="23">
                  <v>0.1253667642852558</v>
                </pt>
                <pt idx="24">
                  <v>0.04609959468331382</v>
                </pt>
                <pt idx="25">
                  <v>0.06679066343046292</v>
                </pt>
                <pt idx="26">
                  <v>0.02663788029748093</v>
                </pt>
                <pt idx="27">
                  <v>0.0002185960004754683</v>
                </pt>
                <pt idx="28">
                  <v>0.05817668622576733</v>
                </pt>
                <pt idx="29">
                  <v>0.0556022340595661</v>
                </pt>
                <pt idx="30">
                  <v>0.09638378148872473</v>
                </pt>
                <pt idx="31">
                  <v>0.09537986133176091</v>
                </pt>
                <pt idx="32">
                  <v>0.05314446709669651</v>
                </pt>
                <pt idx="33">
                  <v>0.09906252040286789</v>
                </pt>
                <pt idx="34">
                  <v>0.1109636894321522</v>
                </pt>
                <pt idx="35">
                  <v>0.04546350570713931</v>
                </pt>
                <pt idx="36">
                  <v>0.07007441716122664</v>
                </pt>
                <pt idx="37">
                  <v>0.07762877766210297</v>
                </pt>
                <pt idx="38">
                  <v>0.04367418863324546</v>
                </pt>
                <pt idx="39">
                  <v>0.07904397146902453</v>
                </pt>
                <pt idx="40">
                  <v>0.1296364780939572</v>
                </pt>
                <pt idx="41">
                  <v>0.07662701940150551</v>
                </pt>
                <pt idx="42">
                  <v>0.0977862992556473</v>
                </pt>
                <pt idx="43">
                  <v>0.122170619727672</v>
                </pt>
                <pt idx="44">
                  <v>-0.05399985853343581</v>
                </pt>
                <pt idx="45">
                  <v>-0.0180676505214652</v>
                </pt>
                <pt idx="46">
                  <v>0.01036309341003183</v>
                </pt>
                <pt idx="47">
                  <v>-0.00375846308436345</v>
                </pt>
                <pt idx="48">
                  <v>0.01697692147815921</v>
                </pt>
                <pt idx="49">
                  <v>0.07977246189237963</v>
                </pt>
                <pt idx="50">
                  <v>0.07272621430885429</v>
                </pt>
                <pt idx="51">
                  <v>0.08317427464311811</v>
                </pt>
                <pt idx="52">
                  <v>0.1593524537216588</v>
                </pt>
                <pt idx="53">
                  <v>0.004422928351595745</v>
                </pt>
                <pt idx="54">
                  <v>0.02659211988321597</v>
                </pt>
                <pt idx="55">
                  <v>0.05110206011088203</v>
                </pt>
                <pt idx="56">
                  <v>0.0679640488828841</v>
                </pt>
                <pt idx="57">
                  <v>0.05477484565329149</v>
                </pt>
                <pt idx="58">
                  <v>0.05116273964870777</v>
                </pt>
                <pt idx="59">
                  <v>0.035514697161936</v>
                </pt>
                <pt idx="60">
                  <v>0.01167724962115102</v>
                </pt>
                <pt idx="61">
                  <v>0.0158372956820434</v>
                </pt>
                <pt idx="62">
                  <v>0.01695342566562474</v>
                </pt>
                <pt idx="63">
                  <v>0.02644791887117992</v>
                </pt>
                <pt idx="64">
                  <v>0.03270407478538329</v>
                </pt>
                <pt idx="65">
                  <v>0.06187504180837067</v>
                </pt>
                <pt idx="66">
                  <v>0.05999644337742582</v>
                </pt>
                <pt idx="67">
                  <v>0.06183352602647219</v>
                </pt>
                <pt idx="68">
                  <v>0.0642275710630511</v>
                </pt>
                <pt idx="69">
                  <v>0.06369328712508593</v>
                </pt>
                <pt idx="70">
                  <v>0.0303014260773109</v>
                </pt>
                <pt idx="71">
                  <v>0.04951367401521467</v>
                </pt>
                <pt idx="72">
                  <v>0.07922302704668294</v>
                </pt>
                <pt idx="73">
                  <v>0.04433083766804291</v>
                </pt>
                <pt idx="74">
                  <v>0.02614460468444202</v>
                </pt>
                <pt idx="75">
                  <v>0.06799409265723599</v>
                </pt>
                <pt idx="76">
                  <v>0.0117314714183081</v>
                </pt>
                <pt idx="77">
                  <v>0.06923291597667047</v>
                </pt>
                <pt idx="78">
                  <v>0.07538830801223262</v>
                </pt>
                <pt idx="79">
                  <v>0.05512655796803267</v>
                </pt>
                <pt idx="80">
                  <v>0.04831840054252012</v>
                </pt>
                <pt idx="81">
                  <v>0.08822076064741013</v>
                </pt>
                <pt idx="82">
                  <v>0.0615019490901052</v>
                </pt>
                <pt idx="83">
                  <v>0.07646173857274619</v>
                </pt>
                <pt idx="84">
                  <v>0.06655875499019648</v>
                </pt>
                <pt idx="85">
                  <v>0.02705275392973849</v>
                </pt>
                <pt idx="86">
                  <v>0.05854994639305078</v>
                </pt>
                <pt idx="87">
                  <v>0.1284176623764357</v>
                </pt>
                <pt idx="88">
                  <v>0.02284610298056333</v>
                </pt>
                <pt idx="89">
                  <v>0.05650932513502172</v>
                </pt>
                <pt idx="90">
                  <v>0.0512183864302973</v>
                </pt>
                <pt idx="91">
                  <v>0.133182975076197</v>
                </pt>
                <pt idx="92">
                  <v>0.0302037662429222</v>
                </pt>
                <pt idx="93">
                  <v>0.02231153423966914</v>
                </pt>
                <pt idx="94">
                  <v>0.04128551730834684</v>
                </pt>
                <pt idx="95">
                  <v>0.04989612041650382</v>
                </pt>
                <pt idx="96">
                  <v>0.05575997095026386</v>
                </pt>
                <pt idx="97">
                  <v>0.1444299220788954</v>
                </pt>
                <pt idx="98">
                  <v>0.1096920502614369</v>
                </pt>
                <pt idx="99">
                  <v>0.0691442763990977</v>
                </pt>
                <pt idx="100">
                  <v>0.01874000123644626</v>
                </pt>
                <pt idx="101">
                  <v>0.02762710436838201</v>
                </pt>
                <pt idx="102">
                  <v>0.07461038683957133</v>
                </pt>
                <pt idx="103">
                  <v>0.02344049593238529</v>
                </pt>
                <pt idx="104">
                  <v>0.1133682777160825</v>
                </pt>
                <pt idx="105">
                  <v>0.1784569674775121</v>
                </pt>
                <pt idx="106">
                  <v>0.07906635254268735</v>
                </pt>
                <pt idx="107">
                  <v>0.2989766667906495</v>
                </pt>
                <pt idx="108">
                  <v>0.1261544299968271</v>
                </pt>
                <pt idx="109">
                  <v>0.04324356351089897</v>
                </pt>
                <pt idx="110">
                  <v>0.09981260819789961</v>
                </pt>
                <pt idx="111">
                  <v>0.00445985671236615</v>
                </pt>
                <pt idx="112">
                  <v>0.08572418643569235</v>
                </pt>
                <pt idx="113">
                  <v>0.01376944173647754</v>
                </pt>
                <pt idx="114">
                  <v>0.006714793395892427</v>
                </pt>
                <pt idx="115">
                  <v>-0.000428024773290181</v>
                </pt>
                <pt idx="116">
                  <v>-0.0009945066666786628</v>
                </pt>
                <pt idx="117">
                  <v>0.03881607453873337</v>
                </pt>
                <pt idx="118">
                  <v>0.0435482533167324</v>
                </pt>
                <pt idx="119">
                  <v>-0.007045458082021838</v>
                </pt>
                <pt idx="120">
                  <v>-0.0520427155026244</v>
                </pt>
                <pt idx="121">
                  <v>0.07279609057191272</v>
                </pt>
                <pt idx="122">
                  <v>-0.00408877805696739</v>
                </pt>
                <pt idx="123">
                  <v>0.04381024357321928</v>
                </pt>
                <pt idx="124">
                  <v>0.07979512496889751</v>
                </pt>
                <pt idx="125">
                  <v>0.0270517110023234</v>
                </pt>
                <pt idx="126">
                  <v>0.01348193530052089</v>
                </pt>
                <pt idx="127">
                  <v>0.07243589547544715</v>
                </pt>
                <pt idx="128">
                  <v>0.04411713405188156</v>
                </pt>
                <pt idx="129">
                  <v>0.06982158397403437</v>
                </pt>
                <pt idx="130">
                  <v>0.02880508744347887</v>
                </pt>
                <pt idx="131">
                  <v>0.04459893568920559</v>
                </pt>
                <pt idx="132">
                  <v>0.05112985257043534</v>
                </pt>
                <pt idx="133">
                  <v>0.06364735272869204</v>
                </pt>
                <pt idx="134">
                  <v>0.06159787454115762</v>
                </pt>
                <pt idx="135">
                  <v>0.08700502746012262</v>
                </pt>
                <pt idx="136">
                  <v>0.07076442372355296</v>
                </pt>
                <pt idx="137">
                  <v>0.1178256654225318</v>
                </pt>
                <pt idx="138">
                  <v>0.2776571493460767</v>
                </pt>
                <pt idx="139">
                  <v>0.3133505123888263</v>
                </pt>
                <pt idx="140">
                  <v>0.03146925741067541</v>
                </pt>
                <pt idx="141">
                  <v>0.04048162325273719</v>
                </pt>
                <pt idx="142">
                  <v>0.05263258517135383</v>
                </pt>
                <pt idx="143">
                  <v>0.04952864895765163</v>
                </pt>
                <pt idx="144">
                  <v>0.1030432522817768</v>
                </pt>
                <pt idx="145">
                  <v>0.05408007864692888</v>
                </pt>
                <pt idx="146">
                  <v>0.05628802773249064</v>
                </pt>
                <pt idx="147">
                  <v>0.06842534772267905</v>
                </pt>
                <pt idx="148">
                  <v>0.03922025557078901</v>
                </pt>
                <pt idx="149">
                  <v>0.08793001277610091</v>
                </pt>
                <pt idx="150">
                  <v>0.09171681513696894</v>
                </pt>
                <pt idx="151">
                  <v>0.08830655947901089</v>
                </pt>
                <pt idx="152">
                  <v>0.1020968434480518</v>
                </pt>
                <pt idx="153">
                  <v>0.07429817399970373</v>
                </pt>
                <pt idx="154">
                  <v>0.07072224965470086</v>
                </pt>
                <pt idx="155">
                  <v>0.1564973239833543</v>
                </pt>
                <pt idx="156">
                  <v>0.02969092835639797</v>
                </pt>
                <pt idx="157">
                  <v>-0.003432512390856624</v>
                </pt>
                <pt idx="158">
                  <v>0.08511297362829984</v>
                </pt>
                <pt idx="159">
                  <v>0.04105761748539427</v>
                </pt>
                <pt idx="160">
                  <v>0.04186007583186058</v>
                </pt>
                <pt idx="161">
                  <v>0.06352232817833126</v>
                </pt>
                <pt idx="162">
                  <v>0.06485607835707285</v>
                </pt>
                <pt idx="163">
                  <v>0.0674750096954293</v>
                </pt>
                <pt idx="164">
                  <v>0.05967790412155227</v>
                </pt>
                <pt idx="165">
                  <v>0.132119092343705</v>
                </pt>
                <pt idx="166">
                  <v>0.008585365051882121</v>
                </pt>
                <pt idx="167">
                  <v>0.07008155380655645</v>
                </pt>
                <pt idx="168">
                  <v>0.05653839048537601</v>
                </pt>
                <pt idx="169">
                  <v>0.0939345636939084</v>
                </pt>
                <pt idx="170">
                  <v>0.04570782189446398</v>
                </pt>
                <pt idx="171">
                  <v>0.06195901694023265</v>
                </pt>
                <pt idx="172">
                  <v>0.07535934414945245</v>
                </pt>
                <pt idx="173">
                  <v>0.05690021951443458</v>
                </pt>
                <pt idx="174">
                  <v>0.06666680405048142</v>
                </pt>
                <pt idx="175">
                  <v>0.03109534694247906</v>
                </pt>
                <pt idx="176">
                  <v>0.03662936961114438</v>
                </pt>
                <pt idx="177">
                  <v>0.06382044810233434</v>
                </pt>
                <pt idx="178">
                  <v>0.04149114713654378</v>
                </pt>
                <pt idx="179">
                  <v>0.08314243778752428</v>
                </pt>
                <pt idx="180">
                  <v>0.0679523395784829</v>
                </pt>
                <pt idx="181">
                  <v>0.1303441404997436</v>
                </pt>
                <pt idx="182">
                  <v>0.01724487172305667</v>
                </pt>
                <pt idx="183">
                  <v>0.04877689372535143</v>
                </pt>
                <pt idx="184">
                  <v>0.03343002065369305</v>
                </pt>
                <pt idx="185">
                  <v>0.0464539161818871</v>
                </pt>
                <pt idx="186">
                  <v>0.05328326408875173</v>
                </pt>
                <pt idx="187">
                  <v>0.05200003528172381</v>
                </pt>
                <pt idx="188">
                  <v>0.05646087860729465</v>
                </pt>
                <pt idx="189">
                  <v>0.03195749245174295</v>
                </pt>
                <pt idx="190">
                  <v>0.09147440310504429</v>
                </pt>
                <pt idx="191">
                  <v>0.05603626452302812</v>
                </pt>
                <pt idx="192">
                  <v>0.1318323815570082</v>
                </pt>
                <pt idx="193">
                  <v>0.07602594365242044</v>
                </pt>
                <pt idx="194">
                  <v>0.06261383320706448</v>
                </pt>
                <pt idx="195">
                  <v>0.08845773442696636</v>
                </pt>
                <pt idx="196">
                  <v>0.06704487864912334</v>
                </pt>
                <pt idx="197">
                  <v>0.06548409815508038</v>
                </pt>
                <pt idx="198">
                  <v>0.0563332861076149</v>
                </pt>
                <pt idx="199">
                  <v>0.08452051117264459</v>
                </pt>
                <pt idx="200">
                  <v>0.05791984952150497</v>
                </pt>
                <pt idx="201">
                  <v>0.06503807167689746</v>
                </pt>
                <pt idx="202">
                  <v>0.06633500515189472</v>
                </pt>
                <pt idx="203">
                  <v>0.02702827730665258</v>
                </pt>
                <pt idx="204">
                  <v>0.07180838148240576</v>
                </pt>
                <pt idx="205">
                  <v>0.0610339323574185</v>
                </pt>
                <pt idx="206">
                  <v>0.06509767311361969</v>
                </pt>
                <pt idx="207">
                  <v>0.06011422500079755</v>
                </pt>
                <pt idx="208">
                  <v>0.04888226810093488</v>
                </pt>
                <pt idx="209">
                  <v>0.0247478498862963</v>
                </pt>
                <pt idx="210">
                  <v>0.05451599684135466</v>
                </pt>
                <pt idx="211">
                  <v>0.05001466204724592</v>
                </pt>
                <pt idx="212">
                  <v>0.03811884684080002</v>
                </pt>
                <pt idx="213">
                  <v>0.04691145120775508</v>
                </pt>
                <pt idx="214">
                  <v>0.02201199425532252</v>
                </pt>
                <pt idx="215">
                  <v>0.03688242812282794</v>
                </pt>
                <pt idx="216">
                  <v>0.01987322743408826</v>
                </pt>
                <pt idx="217">
                  <v>0.03028607916720105</v>
                </pt>
                <pt idx="218">
                  <v>0.05288782739420395</v>
                </pt>
                <pt idx="219">
                  <v>0.03184530805936925</v>
                </pt>
                <pt idx="220">
                  <v>0.05792619601004545</v>
                </pt>
                <pt idx="221">
                  <v>0.0570208498041298</v>
                </pt>
                <pt idx="222">
                  <v>0.02841535397944228</v>
                </pt>
                <pt idx="223">
                  <v>0.03794603540083252</v>
                </pt>
                <pt idx="224">
                  <v>0.02695571468102442</v>
                </pt>
                <pt idx="225">
                  <v>0.005830741569528675</v>
                </pt>
                <pt idx="226">
                  <v>0.008462146188215947</v>
                </pt>
                <pt idx="227">
                  <v>0.09331570639294218</v>
                </pt>
                <pt idx="228">
                  <v>0.0715593864373878</v>
                </pt>
                <pt idx="229">
                  <v>0.0250628301601219</v>
                </pt>
                <pt idx="230">
                  <v>0.04004038717114122</v>
                </pt>
                <pt idx="231">
                  <v>0.03913395873760384</v>
                </pt>
                <pt idx="232">
                  <v>0.08108583958014592</v>
                </pt>
                <pt idx="233">
                  <v>0.1095643200662801</v>
                </pt>
                <pt idx="234">
                  <v>0.06708265338914754</v>
                </pt>
                <pt idx="235">
                  <v>0.06048934290290986</v>
                </pt>
                <pt idx="236">
                  <v>0.07587951663718551</v>
                </pt>
                <pt idx="237">
                  <v>0.1086456599185737</v>
                </pt>
                <pt idx="238">
                  <v>0.08587380184312954</v>
                </pt>
                <pt idx="239">
                  <v>0.0475655282968559</v>
                </pt>
                <pt idx="240">
                  <v>0.09841695874236733</v>
                </pt>
                <pt idx="241">
                  <v>0.07821715574716048</v>
                </pt>
                <pt idx="242">
                  <v>0.4230760137320895</v>
                </pt>
                <pt idx="243">
                  <v>1.109637121317092</v>
                </pt>
                <pt idx="244">
                  <v>0.7936201432117735</v>
                </pt>
                <pt idx="245">
                  <v>0.2100490475055707</v>
                </pt>
                <pt idx="246">
                  <v>0.09709312012283711</v>
                </pt>
                <pt idx="247">
                  <v>0.04131432508342203</v>
                </pt>
                <pt idx="248">
                  <v>0.1557987383015949</v>
                </pt>
                <pt idx="249">
                  <v>0.09857277121951724</v>
                </pt>
                <pt idx="250">
                  <v>0.1435937313280338</v>
                </pt>
                <pt idx="251">
                  <v>0.1136278496482888</v>
                </pt>
                <pt idx="252">
                  <v>0.1785595993365419</v>
                </pt>
                <pt idx="253">
                  <v>0.182056526714611</v>
                </pt>
                <pt idx="254">
                  <v>0.1622157239423792</v>
                </pt>
                <pt idx="255">
                  <v>0.1443395861032126</v>
                </pt>
                <pt idx="256">
                  <v>0.1690945677042042</v>
                </pt>
                <pt idx="257">
                  <v>0.01575905271340416</v>
                </pt>
                <pt idx="258">
                  <v>0.09131329896948115</v>
                </pt>
                <pt idx="259">
                  <v>0.1581966746145915</v>
                </pt>
                <pt idx="260">
                  <v>0.09785929186954778</v>
                </pt>
                <pt idx="261">
                  <v>0.1160022417685107</v>
                </pt>
                <pt idx="262">
                  <v>0.1509002746852692</v>
                </pt>
                <pt idx="263">
                  <v>0.1187515444793821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Relationship Type="http://schemas.openxmlformats.org/officeDocument/2006/relationships/chart" Target="/xl/charts/chart6.xml" Id="rId2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Relationship Type="http://schemas.openxmlformats.org/officeDocument/2006/relationships/chart" Target="/xl/charts/chart12.xml" Id="rId2"/></Relationships>
</file>

<file path=xl/drawings/drawing1.xml><?xml version="1.0" encoding="utf-8"?>
<wsDr xmlns="http://schemas.openxmlformats.org/drawingml/2006/spreadsheetDrawing">
  <twoCellAnchor>
    <from>
      <col>13</col>
      <colOff>57149</colOff>
      <row>1</row>
      <rowOff>9525</rowOff>
    </from>
    <to>
      <col>17</col>
      <colOff>0</colOff>
      <row>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11</col>
      <colOff>119313</colOff>
      <row>262</row>
      <rowOff>100765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232834</colOff>
      <row>727</row>
      <rowOff>65263</rowOff>
    </from>
    <to>
      <col>10</col>
      <colOff>561446</colOff>
      <row>742</row>
      <rowOff>150988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247121</colOff>
      <row>743</row>
      <rowOff>179562</rowOff>
    </from>
    <to>
      <col>10</col>
      <colOff>347134</colOff>
      <row>760</row>
      <rowOff>36687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369326</colOff>
      <row>730</row>
      <rowOff>104222</rowOff>
    </from>
    <to>
      <col>10</col>
      <colOff>397901</colOff>
      <row>744</row>
      <rowOff>184157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278839</colOff>
      <row>745</row>
      <rowOff>136527</rowOff>
    </from>
    <to>
      <col>10</col>
      <colOff>307414</colOff>
      <row>760</row>
      <rowOff>18492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324303</colOff>
      <row>2389</row>
      <rowOff>31296</rowOff>
    </from>
    <to>
      <col>15</col>
      <colOff>73932</colOff>
      <row>2410</row>
      <rowOff>40821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90488</colOff>
      <row>740</row>
      <rowOff>185735</rowOff>
    </from>
    <to>
      <col>13</col>
      <colOff>109538</colOff>
      <row>759</row>
      <rowOff>133348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61912</colOff>
      <row>721</row>
      <rowOff>114298</rowOff>
    </from>
    <to>
      <col>13</col>
      <colOff>147638</colOff>
      <row>739</row>
      <rowOff>180973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13</col>
      <colOff>261938</colOff>
      <row>741</row>
      <rowOff>7937</rowOff>
    </from>
    <to>
      <col>22</col>
      <colOff>280988</colOff>
      <row>759</row>
      <rowOff>146050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4</col>
      <colOff>385535</colOff>
      <row>696</row>
      <rowOff>117928</rowOff>
    </from>
    <to>
      <col>12</col>
      <colOff>308429</colOff>
      <row>717</row>
      <rowOff>25173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383267</colOff>
      <row>717</row>
      <rowOff>158522</rowOff>
    </from>
    <to>
      <col>12</col>
      <colOff>308428</colOff>
      <row>737</row>
      <rowOff>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3" headerRowCount="1" totalsRowShown="0" headerRowCellStyle="Normal 3" dataCellStyle="Normal 3">
  <autoFilter ref="A11:B263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61" headerRowCount="1" totalsRowShown="0" headerRowDxfId="33" dataDxfId="31" headerRowBorderDxfId="32">
  <autoFilter ref="A5:C761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61" headerRowCount="1" totalsRowShown="0" headerRowDxfId="27" dataDxfId="26" tableBorderDxfId="25">
  <autoFilter ref="A5:C761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61" headerRowCount="1" totalsRowShown="0" headerRowDxfId="12" dataDxfId="10" headerRowBorderDxfId="11" dataCellStyle="Normal 2">
  <autoFilter ref="A5:D761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37" headerRowCount="1" totalsRowShown="0" headerRowDxfId="5" headerRowBorderDxfId="4">
  <autoFilter ref="A5:D737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Relationship Type="http://schemas.openxmlformats.org/officeDocument/2006/relationships/drawing" Target="/xl/drawings/drawing1.xml" Id="rId5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/>
  <cols>
    <col width="9.1640625" customWidth="1" style="79" min="1" max="1"/>
    <col width="12.83203125" customWidth="1" style="79" min="2" max="10"/>
    <col width="3.33203125" customWidth="1" style="79" min="11" max="13"/>
    <col width="21.33203125" customWidth="1" style="79" min="14" max="14"/>
    <col width="15.6640625" customWidth="1" style="79" min="15" max="15"/>
    <col width="16.83203125" customWidth="1" style="79" min="16" max="16"/>
    <col width="23" customWidth="1" style="79" min="17" max="17"/>
    <col width="9.1640625" customWidth="1" style="79" min="18" max="29"/>
    <col width="9.1640625" customWidth="1" style="79" min="30" max="16384"/>
  </cols>
  <sheetData>
    <row r="1">
      <c r="B1" s="78" t="n"/>
    </row>
    <row r="2" ht="16" customHeight="1" s="67" thickBot="1"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</row>
    <row r="3" ht="16" customHeight="1" s="67" thickBot="1">
      <c r="B3" s="81" t="inlineStr">
        <is>
          <t>Money Supply</t>
        </is>
      </c>
      <c r="C3" s="82" t="n"/>
      <c r="D3" s="82" t="n"/>
      <c r="E3" s="82" t="n"/>
      <c r="F3" s="82" t="n"/>
      <c r="G3" s="82" t="n"/>
      <c r="H3" s="82" t="n"/>
      <c r="I3" s="82" t="n"/>
      <c r="J3" s="83" t="n"/>
    </row>
    <row r="5">
      <c r="B5" s="75" t="inlineStr">
        <is>
          <t>Definition</t>
        </is>
      </c>
      <c r="C5" s="76" t="n"/>
      <c r="D5" s="76" t="n"/>
      <c r="E5" s="76" t="n"/>
      <c r="F5" s="76" t="n"/>
      <c r="G5" s="76" t="n"/>
      <c r="H5" s="76" t="n"/>
      <c r="I5" s="76" t="n"/>
      <c r="J5" s="77" t="n"/>
    </row>
    <row r="7" ht="100.5" customHeight="1" s="67">
      <c r="B7" s="84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 s="67">
      <c r="B8" s="85" t="n"/>
    </row>
    <row r="9">
      <c r="B9" s="42" t="n"/>
      <c r="C9" s="42" t="n"/>
      <c r="D9" s="42" t="n"/>
      <c r="E9" s="42" t="n"/>
    </row>
    <row r="10">
      <c r="B10" s="75" t="inlineStr">
        <is>
          <t>Process / TO DO LIST</t>
        </is>
      </c>
      <c r="C10" s="76" t="n"/>
      <c r="D10" s="76" t="n"/>
      <c r="E10" s="76" t="n"/>
      <c r="F10" s="76" t="n"/>
      <c r="G10" s="76" t="n"/>
      <c r="H10" s="76" t="n"/>
      <c r="I10" s="76" t="n"/>
      <c r="J10" s="77" t="n"/>
    </row>
    <row r="11" ht="16" customHeight="1" s="67"/>
    <row r="12" ht="16" customHeight="1" s="67">
      <c r="B12" s="75" t="inlineStr">
        <is>
          <t>TO DO LIST</t>
        </is>
      </c>
      <c r="C12" s="76" t="n"/>
      <c r="D12" s="76" t="n"/>
      <c r="E12" s="76" t="n"/>
      <c r="F12" s="77" t="n"/>
      <c r="G12" s="75" t="inlineStr">
        <is>
          <t>Comments</t>
        </is>
      </c>
      <c r="H12" s="76" t="n"/>
      <c r="I12" s="76" t="n"/>
      <c r="J12" s="77" t="n"/>
    </row>
    <row r="14" ht="19.5" customHeight="1" s="67">
      <c r="B14" s="1" t="inlineStr">
        <is>
          <t>https://fred.stlouisfed.org/series/M2REAL</t>
        </is>
      </c>
      <c r="G14" s="79" t="inlineStr">
        <is>
          <t>U.S.</t>
        </is>
      </c>
    </row>
    <row r="15" ht="16" customHeight="1" s="67" thickBot="1">
      <c r="B15" s="85" t="inlineStr">
        <is>
          <t>https://fred.stlouisfed.org/series/M1REAL</t>
        </is>
      </c>
      <c r="G15" s="86" t="inlineStr">
        <is>
          <t>U.S.</t>
        </is>
      </c>
    </row>
    <row r="16" ht="18" customHeight="1" s="67">
      <c r="B16" s="85" t="inlineStr">
        <is>
          <t>https://fred.stlouisfed.org/series/M1</t>
        </is>
      </c>
      <c r="G16" s="86" t="inlineStr">
        <is>
          <t xml:space="preserve">U.S. </t>
        </is>
      </c>
      <c r="Z16" s="43" t="inlineStr">
        <is>
          <t>DGORDER</t>
        </is>
      </c>
      <c r="AA16" s="79" t="inlineStr">
        <is>
          <t>Durable Goods New Orders</t>
        </is>
      </c>
    </row>
    <row r="17" ht="18" customHeight="1" s="67">
      <c r="B17" s="85" t="inlineStr">
        <is>
          <t>https://fred.stlouisfed.org/series/M2</t>
        </is>
      </c>
      <c r="G17" s="87" t="inlineStr">
        <is>
          <t>U.S. discontinued</t>
        </is>
      </c>
      <c r="Z17" s="44" t="inlineStr">
        <is>
          <t>ADXTNO</t>
        </is>
      </c>
      <c r="AA17" s="79" t="inlineStr">
        <is>
          <t>New Orders ex Transport</t>
        </is>
      </c>
    </row>
    <row r="18" ht="33.75" customHeight="1" s="67">
      <c r="B18" s="85" t="inlineStr">
        <is>
          <t>https://fred.stlouisfed.org/series/M2SL</t>
        </is>
      </c>
      <c r="G18" s="87" t="inlineStr">
        <is>
          <t>U.S.</t>
        </is>
      </c>
      <c r="Z18" s="45" t="inlineStr">
        <is>
          <t>NEWORDER</t>
        </is>
      </c>
      <c r="AA18" s="79" t="inlineStr">
        <is>
          <t>New Orders Nondefense Ex Aircraft &amp; Parts = Core</t>
        </is>
      </c>
    </row>
    <row r="19" ht="18" customHeight="1" s="67">
      <c r="B19" s="85" t="inlineStr">
        <is>
          <t>https://tradingeconomics.com/country-list/money-supply-m2?continent=g20</t>
        </is>
      </c>
      <c r="G19" s="87" t="inlineStr">
        <is>
          <t>Quick Country View</t>
        </is>
      </c>
      <c r="Z19" s="44" t="inlineStr">
        <is>
          <t>AMTUNO</t>
        </is>
      </c>
      <c r="AA19" s="79" t="inlineStr">
        <is>
          <t>New Orders - Manufacturing</t>
        </is>
      </c>
    </row>
    <row r="20" ht="18" customHeight="1" s="67">
      <c r="B20" s="85" t="inlineStr">
        <is>
          <t>https://data.oecd.org/money/broad-money-m3.htm</t>
        </is>
      </c>
      <c r="G20" s="79" t="inlineStr">
        <is>
          <t>Table</t>
        </is>
      </c>
      <c r="Z20" s="45" t="inlineStr">
        <is>
          <t>A36SNO</t>
        </is>
      </c>
      <c r="AA20" s="79" t="inlineStr">
        <is>
          <t>New Orders - Transportation Equipment</t>
        </is>
      </c>
    </row>
    <row r="21" ht="18" customHeight="1" s="67">
      <c r="B21" s="85" t="n"/>
      <c r="G21" s="79" t="inlineStr">
        <is>
          <t>Monthly</t>
        </is>
      </c>
      <c r="Z21" s="45" t="inlineStr">
        <is>
          <t>A32SNO</t>
        </is>
      </c>
      <c r="AA21" s="79" t="inlineStr">
        <is>
          <t>New Orders - Fabricated Metal Products</t>
        </is>
      </c>
    </row>
    <row r="22" ht="18" customHeight="1" s="67">
      <c r="B22" s="85" t="n"/>
      <c r="G22" s="79" t="inlineStr">
        <is>
          <t>from beginning</t>
        </is>
      </c>
      <c r="Z22" s="45" t="inlineStr">
        <is>
          <t>A33SNO</t>
        </is>
      </c>
      <c r="AA22" s="79" t="inlineStr">
        <is>
          <t>New Orders - Machinery</t>
        </is>
      </c>
    </row>
    <row r="23" ht="18" customHeight="1" s="67">
      <c r="B23" s="85" t="n"/>
      <c r="G23" s="79" t="inlineStr">
        <is>
          <t>download Select data only</t>
        </is>
      </c>
      <c r="Z23" s="45" t="inlineStr">
        <is>
          <t>A34SNO</t>
        </is>
      </c>
      <c r="AA23" s="79" t="inlineStr">
        <is>
          <t>New Orders - Computers</t>
        </is>
      </c>
    </row>
    <row r="24" ht="18" customHeight="1" s="67">
      <c r="B24" s="85" t="n"/>
      <c r="G24" s="87" t="inlineStr">
        <is>
          <t>Data</t>
        </is>
      </c>
      <c r="Z24" s="45" t="inlineStr">
        <is>
          <t>A31SNO</t>
        </is>
      </c>
      <c r="AA24" s="79" t="inlineStr">
        <is>
          <t>New Orders - Primary Metals</t>
        </is>
      </c>
    </row>
    <row r="25" ht="16" customHeight="1" s="67" thickBot="1">
      <c r="Z25" s="46" t="inlineStr">
        <is>
          <t>A35SNO</t>
        </is>
      </c>
      <c r="AA25" s="79" t="inlineStr">
        <is>
          <t>New Orders - Electrical Equipment</t>
        </is>
      </c>
    </row>
    <row r="35" ht="16" customHeight="1" s="67"/>
    <row r="39">
      <c r="B39" s="40" t="n"/>
    </row>
    <row r="40">
      <c r="B40" s="86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  <drawing xmlns:r="http://schemas.openxmlformats.org/officeDocument/2006/relationships" r:id="rId5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084"/>
  <sheetViews>
    <sheetView zoomScale="170" zoomScaleNormal="170" workbookViewId="0">
      <pane ySplit="1" topLeftCell="A3049" activePane="bottomLeft" state="frozen"/>
      <selection pane="bottomLeft" activeCell="F2" sqref="F2"/>
    </sheetView>
  </sheetViews>
  <sheetFormatPr baseColWidth="10" defaultRowHeight="1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9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9" t="n">
        <v>21582</v>
      </c>
      <c r="B3" t="n">
        <v>480.7</v>
      </c>
      <c r="C3" t="n">
        <v>992.1</v>
      </c>
      <c r="E3" t="n">
        <v>287.7</v>
      </c>
    </row>
    <row r="4">
      <c r="A4" s="89" t="n">
        <v>21610</v>
      </c>
      <c r="B4" t="n">
        <v>482.2</v>
      </c>
      <c r="C4" t="n">
        <v>998.3</v>
      </c>
      <c r="E4" t="n">
        <v>289.2</v>
      </c>
    </row>
    <row r="5">
      <c r="A5" s="89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9" t="n">
        <v>21671</v>
      </c>
      <c r="B6" t="n">
        <v>484.5</v>
      </c>
      <c r="C6" t="n">
        <v>1006.2</v>
      </c>
      <c r="E6" t="n">
        <v>292.2</v>
      </c>
    </row>
    <row r="7">
      <c r="A7" s="89" t="n">
        <v>21702</v>
      </c>
      <c r="B7" t="n">
        <v>485.1</v>
      </c>
      <c r="C7" t="n">
        <v>1010.3</v>
      </c>
      <c r="E7" t="n">
        <v>294.1</v>
      </c>
    </row>
    <row r="8">
      <c r="A8" s="89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9" t="n">
        <v>21763</v>
      </c>
      <c r="B9" t="n">
        <v>486.3</v>
      </c>
      <c r="C9" t="n">
        <v>1015.8</v>
      </c>
      <c r="E9" t="n">
        <v>296.4</v>
      </c>
    </row>
    <row r="10">
      <c r="A10" s="89" t="n">
        <v>21794</v>
      </c>
      <c r="B10" t="n">
        <v>482.1</v>
      </c>
      <c r="C10" t="n">
        <v>1014.4</v>
      </c>
      <c r="E10" t="n">
        <v>296.7</v>
      </c>
    </row>
    <row r="11">
      <c r="A11" s="89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9" t="n">
        <v>21855</v>
      </c>
      <c r="B12" t="n">
        <v>478.4</v>
      </c>
      <c r="C12" t="n">
        <v>1012.3</v>
      </c>
      <c r="E12" t="n">
        <v>297.1</v>
      </c>
    </row>
    <row r="13">
      <c r="A13" s="89" t="n">
        <v>21885</v>
      </c>
      <c r="B13" t="n">
        <v>475.7</v>
      </c>
      <c r="C13" t="n">
        <v>1012.6</v>
      </c>
      <c r="E13" t="n">
        <v>297.8</v>
      </c>
    </row>
    <row r="14">
      <c r="A14" s="89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9" t="n">
        <v>21947</v>
      </c>
      <c r="B15" t="n">
        <v>475.7</v>
      </c>
      <c r="C15" t="n">
        <v>1014.6</v>
      </c>
      <c r="E15" t="n">
        <v>298.4</v>
      </c>
    </row>
    <row r="16">
      <c r="A16" s="89" t="n">
        <v>21976</v>
      </c>
      <c r="B16" t="n">
        <v>475.3</v>
      </c>
      <c r="C16" t="n">
        <v>1017.7</v>
      </c>
      <c r="E16" t="n">
        <v>299.3</v>
      </c>
    </row>
    <row r="17">
      <c r="A17" s="89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9" t="n">
        <v>22037</v>
      </c>
      <c r="B18" t="n">
        <v>472.1</v>
      </c>
      <c r="C18" t="n">
        <v>1017.6</v>
      </c>
      <c r="E18" t="n">
        <v>300.9</v>
      </c>
    </row>
    <row r="19">
      <c r="A19" s="89" t="n">
        <v>22068</v>
      </c>
      <c r="B19" t="n">
        <v>471.5</v>
      </c>
      <c r="C19" t="n">
        <v>1020.9</v>
      </c>
      <c r="E19" t="n">
        <v>302.3</v>
      </c>
    </row>
    <row r="20">
      <c r="A20" s="89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9" t="n">
        <v>22129</v>
      </c>
      <c r="B21" t="n">
        <v>477.2</v>
      </c>
      <c r="C21" t="n">
        <v>1036.5</v>
      </c>
      <c r="E21" t="n">
        <v>306.9</v>
      </c>
    </row>
    <row r="22">
      <c r="A22" s="89" t="n">
        <v>22160</v>
      </c>
      <c r="B22" t="n">
        <v>476.9</v>
      </c>
      <c r="C22" t="n">
        <v>1041.5</v>
      </c>
      <c r="E22" t="n">
        <v>308.4</v>
      </c>
    </row>
    <row r="23">
      <c r="A23" s="89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9" t="n">
        <v>22221</v>
      </c>
      <c r="B24" t="n">
        <v>473.1</v>
      </c>
      <c r="C24" t="n">
        <v>1044</v>
      </c>
      <c r="E24" t="n">
        <v>310.9</v>
      </c>
    </row>
    <row r="25">
      <c r="A25" s="89" t="n">
        <v>22251</v>
      </c>
      <c r="B25" t="n">
        <v>472</v>
      </c>
      <c r="C25" t="n">
        <v>1048</v>
      </c>
      <c r="E25" t="n">
        <v>312.4</v>
      </c>
    </row>
    <row r="26">
      <c r="A26" s="89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9" t="n">
        <v>22313</v>
      </c>
      <c r="B27" t="n">
        <v>474.5</v>
      </c>
      <c r="C27" t="n">
        <v>1060.7</v>
      </c>
      <c r="E27" t="n">
        <v>316.5</v>
      </c>
    </row>
    <row r="28">
      <c r="A28" s="89" t="n">
        <v>22341</v>
      </c>
      <c r="B28" t="n">
        <v>475.5</v>
      </c>
      <c r="C28" t="n">
        <v>1066.7</v>
      </c>
      <c r="E28" t="n">
        <v>318.3</v>
      </c>
    </row>
    <row r="29">
      <c r="A29" s="89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9" t="n">
        <v>22402</v>
      </c>
      <c r="B30" t="n">
        <v>478.2</v>
      </c>
      <c r="C30" t="n">
        <v>1079.8</v>
      </c>
      <c r="E30" t="n">
        <v>322.2</v>
      </c>
    </row>
    <row r="31">
      <c r="A31" s="89" t="n">
        <v>22433</v>
      </c>
      <c r="B31" t="n">
        <v>478.9</v>
      </c>
      <c r="C31" t="n">
        <v>1086.8</v>
      </c>
      <c r="E31" t="n">
        <v>324.3</v>
      </c>
    </row>
    <row r="32">
      <c r="A32" s="89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9" t="n">
        <v>22494</v>
      </c>
      <c r="B33" t="n">
        <v>479.3</v>
      </c>
      <c r="C33" t="n">
        <v>1094.2</v>
      </c>
      <c r="E33" t="n">
        <v>327.6</v>
      </c>
    </row>
    <row r="34">
      <c r="A34" s="89" t="n">
        <v>22525</v>
      </c>
      <c r="B34" t="n">
        <v>479.7</v>
      </c>
      <c r="C34" t="n">
        <v>1099.1</v>
      </c>
      <c r="E34" t="n">
        <v>329.5</v>
      </c>
    </row>
    <row r="35">
      <c r="A35" s="89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9" t="n">
        <v>22586</v>
      </c>
      <c r="B36" t="n">
        <v>483</v>
      </c>
      <c r="C36" t="n">
        <v>1112.1</v>
      </c>
      <c r="E36" t="n">
        <v>333.4</v>
      </c>
    </row>
    <row r="37">
      <c r="A37" s="89" t="n">
        <v>22616</v>
      </c>
      <c r="B37" t="n">
        <v>483.8</v>
      </c>
      <c r="C37" t="n">
        <v>1118</v>
      </c>
      <c r="E37" t="n">
        <v>335.5</v>
      </c>
    </row>
    <row r="38">
      <c r="A38" s="89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9" t="n">
        <v>22678</v>
      </c>
      <c r="B39" t="n">
        <v>483.9</v>
      </c>
      <c r="C39" t="n">
        <v>1129.5</v>
      </c>
      <c r="E39" t="n">
        <v>340.1</v>
      </c>
    </row>
    <row r="40">
      <c r="A40" s="89" t="n">
        <v>22706</v>
      </c>
      <c r="B40" t="n">
        <v>483.9</v>
      </c>
      <c r="C40" t="n">
        <v>1137.2</v>
      </c>
      <c r="E40" t="n">
        <v>343.1</v>
      </c>
    </row>
    <row r="41">
      <c r="A41" s="89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9" t="n">
        <v>22767</v>
      </c>
      <c r="B42" t="n">
        <v>485.4</v>
      </c>
      <c r="C42" t="n">
        <v>1149.1</v>
      </c>
      <c r="E42" t="n">
        <v>347.5</v>
      </c>
    </row>
    <row r="43">
      <c r="A43" s="89" t="n">
        <v>22798</v>
      </c>
      <c r="B43" t="n">
        <v>485.3</v>
      </c>
      <c r="C43" t="n">
        <v>1156.2</v>
      </c>
      <c r="E43" t="n">
        <v>349.3</v>
      </c>
    </row>
    <row r="44">
      <c r="A44" s="89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9" t="n">
        <v>22859</v>
      </c>
      <c r="B45" t="n">
        <v>484.1</v>
      </c>
      <c r="C45" t="n">
        <v>1165.1</v>
      </c>
      <c r="E45" t="n">
        <v>352.8</v>
      </c>
    </row>
    <row r="46">
      <c r="A46" s="89" t="n">
        <v>22890</v>
      </c>
      <c r="B46" t="n">
        <v>480.9</v>
      </c>
      <c r="C46" t="n">
        <v>1166.7</v>
      </c>
      <c r="E46" t="n">
        <v>354.9</v>
      </c>
    </row>
    <row r="47">
      <c r="A47" s="89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9" t="n">
        <v>22951</v>
      </c>
      <c r="B48" t="n">
        <v>484.9</v>
      </c>
      <c r="C48" t="n">
        <v>1184.3</v>
      </c>
      <c r="E48" t="n">
        <v>359.8</v>
      </c>
    </row>
    <row r="49">
      <c r="A49" s="89" t="n">
        <v>22981</v>
      </c>
      <c r="B49" t="n">
        <v>486.5</v>
      </c>
      <c r="C49" t="n">
        <v>1193.9</v>
      </c>
      <c r="E49" t="n">
        <v>362.7</v>
      </c>
    </row>
    <row r="50">
      <c r="A50" s="89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9" t="n">
        <v>23043</v>
      </c>
      <c r="B51" t="n">
        <v>488.5</v>
      </c>
      <c r="C51" t="n">
        <v>1207</v>
      </c>
      <c r="E51" t="n">
        <v>367.9</v>
      </c>
    </row>
    <row r="52">
      <c r="A52" s="89" t="n">
        <v>23071</v>
      </c>
      <c r="B52" t="n">
        <v>489</v>
      </c>
      <c r="C52" t="n">
        <v>1215</v>
      </c>
      <c r="E52" t="n">
        <v>370.7</v>
      </c>
    </row>
    <row r="53">
      <c r="A53" s="89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9" t="n">
        <v>23132</v>
      </c>
      <c r="B54" t="n">
        <v>493</v>
      </c>
      <c r="C54" t="n">
        <v>1232.7</v>
      </c>
      <c r="E54" t="n">
        <v>376.1</v>
      </c>
    </row>
    <row r="55">
      <c r="A55" s="89" t="n">
        <v>23163</v>
      </c>
      <c r="B55" t="n">
        <v>491.3</v>
      </c>
      <c r="C55" t="n">
        <v>1236.2</v>
      </c>
      <c r="E55" t="n">
        <v>378.4</v>
      </c>
    </row>
    <row r="56">
      <c r="A56" s="89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9" t="n">
        <v>23224</v>
      </c>
      <c r="B57" t="n">
        <v>493.7</v>
      </c>
      <c r="C57" t="n">
        <v>1247.5</v>
      </c>
      <c r="E57" t="n">
        <v>383.6</v>
      </c>
    </row>
    <row r="58">
      <c r="A58" s="89" t="n">
        <v>23255</v>
      </c>
      <c r="B58" t="n">
        <v>494.8</v>
      </c>
      <c r="C58" t="n">
        <v>1256.5</v>
      </c>
      <c r="E58" t="n">
        <v>386</v>
      </c>
    </row>
    <row r="59">
      <c r="A59" s="89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9" t="n">
        <v>23316</v>
      </c>
      <c r="B60" t="n">
        <v>499</v>
      </c>
      <c r="C60" t="n">
        <v>1271.9</v>
      </c>
      <c r="E60" t="n">
        <v>391.5</v>
      </c>
    </row>
    <row r="61">
      <c r="A61" s="89" t="n">
        <v>23346</v>
      </c>
      <c r="B61" t="n">
        <v>496.4</v>
      </c>
      <c r="C61" t="n">
        <v>1273.3</v>
      </c>
      <c r="E61" t="n">
        <v>393.2</v>
      </c>
    </row>
    <row r="62">
      <c r="A62" s="89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9" t="n">
        <v>23408</v>
      </c>
      <c r="B63" t="n">
        <v>499.2</v>
      </c>
      <c r="C63" t="n">
        <v>1286.3</v>
      </c>
      <c r="E63" t="n">
        <v>397.6</v>
      </c>
    </row>
    <row r="64">
      <c r="A64" s="89" t="n">
        <v>23437</v>
      </c>
      <c r="B64" t="n">
        <v>499.4</v>
      </c>
      <c r="C64" t="n">
        <v>1292.2</v>
      </c>
      <c r="E64" t="n">
        <v>399.8</v>
      </c>
    </row>
    <row r="65">
      <c r="A65" s="89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9" t="n">
        <v>23498</v>
      </c>
      <c r="B66" t="n">
        <v>501.3</v>
      </c>
      <c r="C66" t="n">
        <v>1304.7</v>
      </c>
      <c r="E66" t="n">
        <v>404.2</v>
      </c>
    </row>
    <row r="67">
      <c r="A67" s="89" t="n">
        <v>23529</v>
      </c>
      <c r="B67" t="n">
        <v>501.8</v>
      </c>
      <c r="C67" t="n">
        <v>1312.8</v>
      </c>
      <c r="E67" t="n">
        <v>407.1</v>
      </c>
    </row>
    <row r="68">
      <c r="A68" s="89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9" t="n">
        <v>23590</v>
      </c>
      <c r="B69" t="n">
        <v>508.2</v>
      </c>
      <c r="C69" t="n">
        <v>1331.4</v>
      </c>
      <c r="E69" t="n">
        <v>413.4</v>
      </c>
    </row>
    <row r="70">
      <c r="A70" s="89" t="n">
        <v>23621</v>
      </c>
      <c r="B70" t="n">
        <v>510.6</v>
      </c>
      <c r="C70" t="n">
        <v>1341.4</v>
      </c>
      <c r="E70" t="n">
        <v>416.9</v>
      </c>
    </row>
    <row r="71">
      <c r="A71" s="89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9" t="n">
        <v>23682</v>
      </c>
      <c r="B72" t="n">
        <v>512.7</v>
      </c>
      <c r="C72" t="n">
        <v>1352.1</v>
      </c>
      <c r="E72" t="n">
        <v>422</v>
      </c>
    </row>
    <row r="73">
      <c r="A73" s="89" t="n">
        <v>23712</v>
      </c>
      <c r="B73" t="n">
        <v>513</v>
      </c>
      <c r="C73" t="n">
        <v>1359</v>
      </c>
      <c r="E73" t="n">
        <v>424.7</v>
      </c>
    </row>
    <row r="74">
      <c r="A74" s="89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9" t="n">
        <v>23774</v>
      </c>
      <c r="B75" t="n">
        <v>514.4</v>
      </c>
      <c r="C75" t="n">
        <v>1376</v>
      </c>
      <c r="E75" t="n">
        <v>430.4</v>
      </c>
    </row>
    <row r="76">
      <c r="A76" s="89" t="n">
        <v>23802</v>
      </c>
      <c r="B76" t="n">
        <v>515.8</v>
      </c>
      <c r="C76" t="n">
        <v>1383.6</v>
      </c>
      <c r="E76" t="n">
        <v>433.2</v>
      </c>
    </row>
    <row r="77">
      <c r="A77" s="89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9" t="n">
        <v>23863</v>
      </c>
      <c r="B78" t="n">
        <v>513.7</v>
      </c>
      <c r="C78" t="n">
        <v>1388.5</v>
      </c>
      <c r="E78" t="n">
        <v>437.1</v>
      </c>
    </row>
    <row r="79">
      <c r="A79" s="89" t="n">
        <v>23894</v>
      </c>
      <c r="B79" t="n">
        <v>513.1</v>
      </c>
      <c r="C79" t="n">
        <v>1392.3</v>
      </c>
      <c r="E79" t="n">
        <v>440.1</v>
      </c>
    </row>
    <row r="80">
      <c r="A80" s="89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9" t="n">
        <v>23955</v>
      </c>
      <c r="B81" t="n">
        <v>518.9</v>
      </c>
      <c r="C81" t="n">
        <v>1413</v>
      </c>
      <c r="E81" t="n">
        <v>445.8</v>
      </c>
    </row>
    <row r="82">
      <c r="A82" s="89" t="n">
        <v>23986</v>
      </c>
      <c r="B82" t="n">
        <v>521.2</v>
      </c>
      <c r="C82" t="n">
        <v>1421.6</v>
      </c>
      <c r="E82" t="n">
        <v>449.5</v>
      </c>
    </row>
    <row r="83">
      <c r="A83" s="89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9" t="n">
        <v>24047</v>
      </c>
      <c r="B84" t="n">
        <v>525</v>
      </c>
      <c r="C84" t="n">
        <v>1435.3</v>
      </c>
      <c r="E84" t="n">
        <v>455.7</v>
      </c>
    </row>
    <row r="85">
      <c r="A85" s="89" t="n">
        <v>24077</v>
      </c>
      <c r="B85" t="n">
        <v>526.8</v>
      </c>
      <c r="C85" t="n">
        <v>1441.8</v>
      </c>
      <c r="E85" t="n">
        <v>459.2</v>
      </c>
    </row>
    <row r="86">
      <c r="A86" s="89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9" t="n">
        <v>24139</v>
      </c>
      <c r="B87" t="n">
        <v>528.7</v>
      </c>
      <c r="C87" t="n">
        <v>1448.3</v>
      </c>
      <c r="E87" t="n">
        <v>464.6</v>
      </c>
    </row>
    <row r="88">
      <c r="A88" s="89" t="n">
        <v>24167</v>
      </c>
      <c r="B88" t="n">
        <v>529.8</v>
      </c>
      <c r="C88" t="n">
        <v>1451.8</v>
      </c>
      <c r="E88" t="n">
        <v>467.2</v>
      </c>
    </row>
    <row r="89">
      <c r="A89" s="89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9" t="n">
        <v>24228</v>
      </c>
      <c r="B90" t="n">
        <v>529.5</v>
      </c>
      <c r="C90" t="n">
        <v>1453.2</v>
      </c>
      <c r="E90" t="n">
        <v>470.1</v>
      </c>
    </row>
    <row r="91">
      <c r="A91" s="89" t="n">
        <v>24259</v>
      </c>
      <c r="B91" t="n">
        <v>530</v>
      </c>
      <c r="C91" t="n">
        <v>1455.2</v>
      </c>
      <c r="E91" t="n">
        <v>471.2</v>
      </c>
    </row>
    <row r="92">
      <c r="A92" s="89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9" t="n">
        <v>24320</v>
      </c>
      <c r="B93" t="n">
        <v>523.1</v>
      </c>
      <c r="C93" t="n">
        <v>1447.5</v>
      </c>
      <c r="E93" t="n">
        <v>472.6</v>
      </c>
    </row>
    <row r="94">
      <c r="A94" s="89" t="n">
        <v>24351</v>
      </c>
      <c r="B94" t="n">
        <v>525.2</v>
      </c>
      <c r="C94" t="n">
        <v>1451.6</v>
      </c>
      <c r="E94" t="n">
        <v>475.4</v>
      </c>
    </row>
    <row r="95">
      <c r="A95" s="89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9" t="n">
        <v>24412</v>
      </c>
      <c r="B96" t="n">
        <v>521.3</v>
      </c>
      <c r="C96" t="n">
        <v>1451.6</v>
      </c>
      <c r="E96" t="n">
        <v>477.3</v>
      </c>
    </row>
    <row r="97">
      <c r="A97" s="89" t="n">
        <v>24442</v>
      </c>
      <c r="B97" t="n">
        <v>522.5</v>
      </c>
      <c r="C97" t="n">
        <v>1458.7</v>
      </c>
      <c r="E97" t="n">
        <v>480.2</v>
      </c>
    </row>
    <row r="98">
      <c r="A98" s="89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9" t="n">
        <v>24504</v>
      </c>
      <c r="B99" t="n">
        <v>524.2</v>
      </c>
      <c r="C99" t="n">
        <v>1470</v>
      </c>
      <c r="E99" t="n">
        <v>485.1</v>
      </c>
    </row>
    <row r="100">
      <c r="A100" s="89" t="n">
        <v>24532</v>
      </c>
      <c r="B100" t="n">
        <v>529.7</v>
      </c>
      <c r="C100" t="n">
        <v>1483.9</v>
      </c>
      <c r="E100" t="n">
        <v>489.7</v>
      </c>
    </row>
    <row r="101">
      <c r="A101" s="89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9" t="n">
        <v>24593</v>
      </c>
      <c r="B102" t="n">
        <v>530.8</v>
      </c>
      <c r="C102" t="n">
        <v>1502.1</v>
      </c>
      <c r="E102" t="n">
        <v>497.2</v>
      </c>
    </row>
    <row r="103">
      <c r="A103" s="89" t="n">
        <v>24624</v>
      </c>
      <c r="B103" t="n">
        <v>531.5</v>
      </c>
      <c r="C103" t="n">
        <v>1507.5</v>
      </c>
      <c r="E103" t="n">
        <v>502</v>
      </c>
    </row>
    <row r="104">
      <c r="A104" s="89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9" t="n">
        <v>24685</v>
      </c>
      <c r="B105" t="n">
        <v>536.4</v>
      </c>
      <c r="C105" t="n">
        <v>1524.8</v>
      </c>
      <c r="E105" t="n">
        <v>510.8</v>
      </c>
    </row>
    <row r="106">
      <c r="A106" s="89" t="n">
        <v>24716</v>
      </c>
      <c r="B106" t="n">
        <v>537.8</v>
      </c>
      <c r="C106" t="n">
        <v>1531.8</v>
      </c>
      <c r="E106" t="n">
        <v>514.7</v>
      </c>
    </row>
    <row r="107">
      <c r="A107" s="89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9" t="n">
        <v>24777</v>
      </c>
      <c r="B108" t="n">
        <v>538.1</v>
      </c>
      <c r="C108" t="n">
        <v>1537.5</v>
      </c>
      <c r="E108" t="n">
        <v>521.2</v>
      </c>
    </row>
    <row r="109">
      <c r="A109" s="89" t="n">
        <v>24807</v>
      </c>
      <c r="B109" t="n">
        <v>539.1</v>
      </c>
      <c r="C109" t="n">
        <v>1543.5</v>
      </c>
      <c r="E109" t="n">
        <v>524.8</v>
      </c>
    </row>
    <row r="110">
      <c r="A110" s="89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9" t="n">
        <v>24869</v>
      </c>
      <c r="B111" t="n">
        <v>540.1</v>
      </c>
      <c r="C111" t="n">
        <v>1550.9</v>
      </c>
      <c r="E111" t="n">
        <v>530.4</v>
      </c>
    </row>
    <row r="112">
      <c r="A112" s="89" t="n">
        <v>24898</v>
      </c>
      <c r="B112" t="n">
        <v>540.8</v>
      </c>
      <c r="C112" t="n">
        <v>1554.5</v>
      </c>
      <c r="E112" t="n">
        <v>533.2</v>
      </c>
    </row>
    <row r="113">
      <c r="A113" s="89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9" t="n">
        <v>24959</v>
      </c>
      <c r="B114" t="n">
        <v>544.9</v>
      </c>
      <c r="C114" t="n">
        <v>1562</v>
      </c>
      <c r="E114" t="n">
        <v>538.9</v>
      </c>
    </row>
    <row r="115">
      <c r="A115" s="89" t="n">
        <v>24990</v>
      </c>
      <c r="B115" t="n">
        <v>545.8</v>
      </c>
      <c r="C115" t="n">
        <v>1563.7</v>
      </c>
      <c r="E115" t="n">
        <v>542.6</v>
      </c>
    </row>
    <row r="116">
      <c r="A116" s="89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9" t="n">
        <v>25051</v>
      </c>
      <c r="B117" t="n">
        <v>548</v>
      </c>
      <c r="C117" t="n">
        <v>1569.7</v>
      </c>
      <c r="E117" t="n">
        <v>549.4</v>
      </c>
    </row>
    <row r="118">
      <c r="A118" s="89" t="n">
        <v>25082</v>
      </c>
      <c r="B118" t="n">
        <v>549</v>
      </c>
      <c r="C118" t="n">
        <v>1577.2</v>
      </c>
      <c r="E118" t="n">
        <v>553.6</v>
      </c>
    </row>
    <row r="119">
      <c r="A119" s="89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9" t="n">
        <v>25143</v>
      </c>
      <c r="B120" t="n">
        <v>553.7</v>
      </c>
      <c r="C120" t="n">
        <v>1588.7</v>
      </c>
      <c r="E120" t="n">
        <v>562.4</v>
      </c>
    </row>
    <row r="121">
      <c r="A121" s="89" t="n">
        <v>25173</v>
      </c>
      <c r="B121" t="n">
        <v>554.5</v>
      </c>
      <c r="C121" t="n">
        <v>1592.1</v>
      </c>
      <c r="E121" t="n">
        <v>566.8</v>
      </c>
    </row>
    <row r="122">
      <c r="A122" s="89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9" t="n">
        <v>25235</v>
      </c>
      <c r="B123" t="n">
        <v>556.7</v>
      </c>
      <c r="C123" t="n">
        <v>1597.5</v>
      </c>
      <c r="E123" t="n">
        <v>571.9</v>
      </c>
    </row>
    <row r="124">
      <c r="A124" s="89" t="n">
        <v>25263</v>
      </c>
      <c r="B124" t="n">
        <v>554</v>
      </c>
      <c r="C124" t="n">
        <v>1591.1</v>
      </c>
      <c r="E124" t="n">
        <v>574.4</v>
      </c>
    </row>
    <row r="125">
      <c r="A125" s="89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9" t="n">
        <v>25324</v>
      </c>
      <c r="B126" t="n">
        <v>551.6</v>
      </c>
      <c r="C126" t="n">
        <v>1583.8</v>
      </c>
      <c r="E126" t="n">
        <v>576.5</v>
      </c>
    </row>
    <row r="127">
      <c r="A127" s="89" t="n">
        <v>25355</v>
      </c>
      <c r="B127" t="n">
        <v>550</v>
      </c>
      <c r="C127" t="n">
        <v>1580.6</v>
      </c>
      <c r="E127" t="n">
        <v>578.5</v>
      </c>
    </row>
    <row r="128">
      <c r="A128" s="89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9" t="n">
        <v>25416</v>
      </c>
      <c r="B129" t="n">
        <v>546.6</v>
      </c>
      <c r="C129" t="n">
        <v>1572.1</v>
      </c>
      <c r="E129" t="n">
        <v>580.1</v>
      </c>
    </row>
    <row r="130">
      <c r="A130" s="89" t="n">
        <v>25447</v>
      </c>
      <c r="B130" t="n">
        <v>544.7</v>
      </c>
      <c r="C130" t="n">
        <v>1569</v>
      </c>
      <c r="E130" t="n">
        <v>582.1</v>
      </c>
    </row>
    <row r="131">
      <c r="A131" s="89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9" t="n">
        <v>25508</v>
      </c>
      <c r="B132" t="n">
        <v>542.9</v>
      </c>
      <c r="C132" t="n">
        <v>1561.1</v>
      </c>
      <c r="E132" t="n">
        <v>585.4</v>
      </c>
    </row>
    <row r="133">
      <c r="A133" s="89" t="n">
        <v>25538</v>
      </c>
      <c r="B133" t="n">
        <v>540.8</v>
      </c>
      <c r="C133" t="n">
        <v>1559.4</v>
      </c>
      <c r="E133" t="n">
        <v>587.9</v>
      </c>
    </row>
    <row r="134">
      <c r="A134" s="89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9" t="n">
        <v>25600</v>
      </c>
      <c r="B135" t="n">
        <v>538.1</v>
      </c>
      <c r="C135" t="n">
        <v>1538.8</v>
      </c>
      <c r="E135" t="n">
        <v>586.3</v>
      </c>
    </row>
    <row r="136">
      <c r="A136" s="89" t="n">
        <v>25628</v>
      </c>
      <c r="B136" t="n">
        <v>537.1</v>
      </c>
      <c r="C136" t="n">
        <v>1533.4</v>
      </c>
      <c r="E136" t="n">
        <v>587.3</v>
      </c>
    </row>
    <row r="137">
      <c r="A137" s="89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9" t="n">
        <v>25689</v>
      </c>
      <c r="B138" t="n">
        <v>536.8</v>
      </c>
      <c r="C138" t="n">
        <v>1532.4</v>
      </c>
      <c r="E138" t="n">
        <v>591.5</v>
      </c>
    </row>
    <row r="139">
      <c r="A139" s="89" t="n">
        <v>25720</v>
      </c>
      <c r="B139" t="n">
        <v>535.1</v>
      </c>
      <c r="C139" t="n">
        <v>1534</v>
      </c>
      <c r="E139" t="n">
        <v>595.2</v>
      </c>
    </row>
    <row r="140">
      <c r="A140" s="89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9" t="n">
        <v>25781</v>
      </c>
      <c r="B141" t="n">
        <v>538.2</v>
      </c>
      <c r="C141" t="n">
        <v>1551</v>
      </c>
      <c r="E141" t="n">
        <v>604.9</v>
      </c>
    </row>
    <row r="142">
      <c r="A142" s="89" t="n">
        <v>25812</v>
      </c>
      <c r="B142" t="n">
        <v>540.3</v>
      </c>
      <c r="C142" t="n">
        <v>1559.2</v>
      </c>
      <c r="E142" t="n">
        <v>611.2</v>
      </c>
    </row>
    <row r="143">
      <c r="A143" s="89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9" t="n">
        <v>25873</v>
      </c>
      <c r="B144" t="n">
        <v>539.6</v>
      </c>
      <c r="C144" t="n">
        <v>1568.4</v>
      </c>
      <c r="E144" t="n">
        <v>621.1</v>
      </c>
    </row>
    <row r="145">
      <c r="A145" s="89" t="n">
        <v>25903</v>
      </c>
      <c r="B145" t="n">
        <v>538.7</v>
      </c>
      <c r="C145" t="n">
        <v>1574.1</v>
      </c>
      <c r="E145" t="n">
        <v>626.5</v>
      </c>
    </row>
    <row r="146">
      <c r="A146" s="89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9" t="n">
        <v>25965</v>
      </c>
      <c r="B147" t="n">
        <v>544.9</v>
      </c>
      <c r="C147" t="n">
        <v>1606.5</v>
      </c>
      <c r="E147" t="n">
        <v>641</v>
      </c>
    </row>
    <row r="148">
      <c r="A148" s="89" t="n">
        <v>25993</v>
      </c>
      <c r="B148" t="n">
        <v>547</v>
      </c>
      <c r="C148" t="n">
        <v>1624.7</v>
      </c>
      <c r="E148" t="n">
        <v>649.9</v>
      </c>
    </row>
    <row r="149">
      <c r="A149" s="89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9" t="n">
        <v>26054</v>
      </c>
      <c r="B150" t="n">
        <v>550.9</v>
      </c>
      <c r="C150" t="n">
        <v>1654.3</v>
      </c>
      <c r="E150" t="n">
        <v>666.7</v>
      </c>
    </row>
    <row r="151">
      <c r="A151" s="89" t="n">
        <v>26085</v>
      </c>
      <c r="B151" t="n">
        <v>551.9</v>
      </c>
      <c r="C151" t="n">
        <v>1661.7</v>
      </c>
      <c r="E151" t="n">
        <v>673</v>
      </c>
    </row>
    <row r="152">
      <c r="A152" s="89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9" t="n">
        <v>26146</v>
      </c>
      <c r="B153" t="n">
        <v>554.3</v>
      </c>
      <c r="C153" t="n">
        <v>1684.3</v>
      </c>
      <c r="E153" t="n">
        <v>685.5</v>
      </c>
    </row>
    <row r="154">
      <c r="A154" s="89" t="n">
        <v>26177</v>
      </c>
      <c r="B154" t="n">
        <v>555.1</v>
      </c>
      <c r="C154" t="n">
        <v>1697.3</v>
      </c>
      <c r="E154" t="n">
        <v>692.5</v>
      </c>
    </row>
    <row r="155">
      <c r="A155" s="89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9" t="n">
        <v>26238</v>
      </c>
      <c r="B156" t="n">
        <v>555.6</v>
      </c>
      <c r="C156" t="n">
        <v>1718.5</v>
      </c>
      <c r="E156" t="n">
        <v>704.6</v>
      </c>
    </row>
    <row r="157">
      <c r="A157" s="89" t="n">
        <v>26268</v>
      </c>
      <c r="B157" t="n">
        <v>555.5</v>
      </c>
      <c r="C157" t="n">
        <v>1728.2</v>
      </c>
      <c r="E157" t="n">
        <v>710.3</v>
      </c>
    </row>
    <row r="158">
      <c r="A158" s="89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9" t="n">
        <v>26330</v>
      </c>
      <c r="B159" t="n">
        <v>561.1</v>
      </c>
      <c r="C159" t="n">
        <v>1752.9</v>
      </c>
      <c r="E159" t="n">
        <v>725.7</v>
      </c>
    </row>
    <row r="160">
      <c r="A160" s="89" t="n">
        <v>26359</v>
      </c>
      <c r="B160" t="n">
        <v>565.9</v>
      </c>
      <c r="C160" t="n">
        <v>1771.7</v>
      </c>
      <c r="E160" t="n">
        <v>733.5</v>
      </c>
    </row>
    <row r="161">
      <c r="A161" s="89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9" t="n">
        <v>26420</v>
      </c>
      <c r="B162" t="n">
        <v>567.1</v>
      </c>
      <c r="C162" t="n">
        <v>1786.8</v>
      </c>
      <c r="E162" t="n">
        <v>743.3</v>
      </c>
    </row>
    <row r="163">
      <c r="A163" s="89" t="n">
        <v>26451</v>
      </c>
      <c r="B163" t="n">
        <v>567.4</v>
      </c>
      <c r="C163" t="n">
        <v>1797.8</v>
      </c>
      <c r="E163" t="n">
        <v>749.7</v>
      </c>
    </row>
    <row r="164">
      <c r="A164" s="89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9" t="n">
        <v>26512</v>
      </c>
      <c r="B165" t="n">
        <v>574.9</v>
      </c>
      <c r="C165" t="n">
        <v>1834.6</v>
      </c>
      <c r="E165" t="n">
        <v>768.7</v>
      </c>
    </row>
    <row r="166">
      <c r="A166" s="89" t="n">
        <v>26543</v>
      </c>
      <c r="B166" t="n">
        <v>577.7</v>
      </c>
      <c r="C166" t="n">
        <v>1848.7</v>
      </c>
      <c r="E166" t="n">
        <v>778.3</v>
      </c>
    </row>
    <row r="167">
      <c r="A167" s="89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9" t="n">
        <v>26604</v>
      </c>
      <c r="B168" t="n">
        <v>581.1</v>
      </c>
      <c r="C168" t="n">
        <v>1872.4</v>
      </c>
      <c r="E168" t="n">
        <v>793.9</v>
      </c>
    </row>
    <row r="169">
      <c r="A169" s="89" t="n">
        <v>26634</v>
      </c>
      <c r="B169" t="n">
        <v>586.4</v>
      </c>
      <c r="C169" t="n">
        <v>1887.8</v>
      </c>
      <c r="E169" t="n">
        <v>802.3</v>
      </c>
    </row>
    <row r="170">
      <c r="A170" s="89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9" t="n">
        <v>26696</v>
      </c>
      <c r="B171" t="n">
        <v>586.5</v>
      </c>
      <c r="C171" t="n">
        <v>1893.3</v>
      </c>
      <c r="E171" t="n">
        <v>814.1</v>
      </c>
    </row>
    <row r="172">
      <c r="A172" s="89" t="n">
        <v>26724</v>
      </c>
      <c r="B172" t="n">
        <v>580</v>
      </c>
      <c r="C172" t="n">
        <v>1878.6</v>
      </c>
      <c r="E172" t="n">
        <v>815.3</v>
      </c>
    </row>
    <row r="173">
      <c r="A173" s="89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9" t="n">
        <v>26785</v>
      </c>
      <c r="B174" t="n">
        <v>580.6</v>
      </c>
      <c r="C174" t="n">
        <v>1883.4</v>
      </c>
      <c r="E174" t="n">
        <v>826.8</v>
      </c>
    </row>
    <row r="175">
      <c r="A175" s="89" t="n">
        <v>26816</v>
      </c>
      <c r="B175" t="n">
        <v>580.8</v>
      </c>
      <c r="C175" t="n">
        <v>1885.3</v>
      </c>
      <c r="E175" t="n">
        <v>833.3</v>
      </c>
    </row>
    <row r="176">
      <c r="A176" s="89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9" t="n">
        <v>26877</v>
      </c>
      <c r="B177" t="n">
        <v>572.7</v>
      </c>
      <c r="C177" t="n">
        <v>1864</v>
      </c>
      <c r="E177" t="n">
        <v>838.8</v>
      </c>
    </row>
    <row r="178">
      <c r="A178" s="89" t="n">
        <v>26908</v>
      </c>
      <c r="B178" t="n">
        <v>570.6</v>
      </c>
      <c r="C178" t="n">
        <v>1856.9</v>
      </c>
      <c r="E178" t="n">
        <v>839.3</v>
      </c>
    </row>
    <row r="179">
      <c r="A179" s="89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9" t="n">
        <v>26969</v>
      </c>
      <c r="B180" t="n">
        <v>568.6</v>
      </c>
      <c r="C180" t="n">
        <v>1849.5</v>
      </c>
      <c r="E180" t="n">
        <v>848.9</v>
      </c>
    </row>
    <row r="181">
      <c r="A181" s="89" t="n">
        <v>26999</v>
      </c>
      <c r="B181" t="n">
        <v>567.8</v>
      </c>
      <c r="C181" t="n">
        <v>1847.7</v>
      </c>
      <c r="E181" t="n">
        <v>855.5</v>
      </c>
    </row>
    <row r="182">
      <c r="A182" s="89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9" t="n">
        <v>27061</v>
      </c>
      <c r="B183" t="n">
        <v>560.9</v>
      </c>
      <c r="C183" t="n">
        <v>1827.1</v>
      </c>
      <c r="E183" t="n">
        <v>864.2</v>
      </c>
    </row>
    <row r="184">
      <c r="A184" s="89" t="n">
        <v>27089</v>
      </c>
      <c r="B184" t="n">
        <v>557.9</v>
      </c>
      <c r="C184" t="n">
        <v>1820.3</v>
      </c>
      <c r="E184" t="n">
        <v>870.1</v>
      </c>
    </row>
    <row r="185">
      <c r="A185" s="89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9" t="n">
        <v>27150</v>
      </c>
      <c r="B186" t="n">
        <v>550.6</v>
      </c>
      <c r="C186" t="n">
        <v>1799.6</v>
      </c>
      <c r="E186" t="n">
        <v>874.6</v>
      </c>
    </row>
    <row r="187">
      <c r="A187" s="89" t="n">
        <v>27181</v>
      </c>
      <c r="B187" t="n">
        <v>548</v>
      </c>
      <c r="C187" t="n">
        <v>1791.4</v>
      </c>
      <c r="E187" t="n">
        <v>877.8</v>
      </c>
    </row>
    <row r="188">
      <c r="A188" s="89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9" t="n">
        <v>27242</v>
      </c>
      <c r="B189" t="n">
        <v>541.3</v>
      </c>
      <c r="C189" t="n">
        <v>1771.7</v>
      </c>
      <c r="E189" t="n">
        <v>884.1</v>
      </c>
    </row>
    <row r="190">
      <c r="A190" s="89" t="n">
        <v>27273</v>
      </c>
      <c r="B190" t="n">
        <v>535.6</v>
      </c>
      <c r="C190" t="n">
        <v>1754.7</v>
      </c>
      <c r="E190" t="n">
        <v>887.9</v>
      </c>
    </row>
    <row r="191">
      <c r="A191" s="89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9" t="n">
        <v>27334</v>
      </c>
      <c r="B192" t="n">
        <v>531.5</v>
      </c>
      <c r="C192" t="n">
        <v>1744.9</v>
      </c>
      <c r="E192" t="n">
        <v>898.6</v>
      </c>
    </row>
    <row r="193">
      <c r="A193" s="89" t="n">
        <v>27364</v>
      </c>
      <c r="B193" t="n">
        <v>528.3</v>
      </c>
      <c r="C193" t="n">
        <v>1738.2</v>
      </c>
      <c r="E193" t="n">
        <v>902.1</v>
      </c>
    </row>
    <row r="194">
      <c r="A194" s="89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9" t="n">
        <v>27400</v>
      </c>
      <c r="D195" t="n">
        <v>273.4</v>
      </c>
    </row>
    <row r="196">
      <c r="A196" s="89" t="n">
        <v>27407</v>
      </c>
      <c r="D196" t="n">
        <v>273.7</v>
      </c>
    </row>
    <row r="197">
      <c r="A197" s="89" t="n">
        <v>27414</v>
      </c>
      <c r="D197" t="n">
        <v>273.8</v>
      </c>
    </row>
    <row r="198">
      <c r="A198" s="89" t="n">
        <v>27421</v>
      </c>
      <c r="D198" t="n">
        <v>273.7</v>
      </c>
    </row>
    <row r="199">
      <c r="A199" s="89" t="n">
        <v>27426</v>
      </c>
      <c r="B199" t="n">
        <v>522.8</v>
      </c>
      <c r="C199" t="n">
        <v>1737.8</v>
      </c>
      <c r="E199" t="n">
        <v>914.1</v>
      </c>
    </row>
    <row r="200">
      <c r="A200" s="89" t="n">
        <v>27428</v>
      </c>
      <c r="D200" t="n">
        <v>275.2</v>
      </c>
    </row>
    <row r="201">
      <c r="A201" s="89" t="n">
        <v>27435</v>
      </c>
      <c r="D201" t="n">
        <v>274.5</v>
      </c>
    </row>
    <row r="202">
      <c r="A202" s="89" t="n">
        <v>27442</v>
      </c>
      <c r="D202" t="n">
        <v>274.6</v>
      </c>
    </row>
    <row r="203">
      <c r="A203" s="89" t="n">
        <v>27449</v>
      </c>
      <c r="D203" t="n">
        <v>274.2</v>
      </c>
    </row>
    <row r="204">
      <c r="A204" s="89" t="n">
        <v>27454</v>
      </c>
      <c r="B204" t="n">
        <v>523.5</v>
      </c>
      <c r="C204" t="n">
        <v>1751.9</v>
      </c>
      <c r="E204" t="n">
        <v>925</v>
      </c>
    </row>
    <row r="205">
      <c r="A205" s="89" t="n">
        <v>27456</v>
      </c>
      <c r="D205" t="n">
        <v>275.4</v>
      </c>
    </row>
    <row r="206">
      <c r="A206" s="89" t="n">
        <v>27463</v>
      </c>
      <c r="D206" t="n">
        <v>276.9</v>
      </c>
    </row>
    <row r="207">
      <c r="A207" s="89" t="n">
        <v>27470</v>
      </c>
      <c r="D207" t="n">
        <v>276.3</v>
      </c>
    </row>
    <row r="208">
      <c r="A208" s="89" t="n">
        <v>27477</v>
      </c>
      <c r="D208" t="n">
        <v>277.6</v>
      </c>
    </row>
    <row r="209">
      <c r="A209" s="89" t="n">
        <v>27484</v>
      </c>
      <c r="D209" t="n">
        <v>273.4</v>
      </c>
    </row>
    <row r="210">
      <c r="A210" s="89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9" t="n">
        <v>27491</v>
      </c>
      <c r="D211" t="n">
        <v>275.2</v>
      </c>
    </row>
    <row r="212">
      <c r="A212" s="89" t="n">
        <v>27498</v>
      </c>
      <c r="D212" t="n">
        <v>276.1</v>
      </c>
    </row>
    <row r="213">
      <c r="A213" s="89" t="n">
        <v>27505</v>
      </c>
      <c r="D213" t="n">
        <v>276.7</v>
      </c>
    </row>
    <row r="214">
      <c r="A214" s="89" t="n">
        <v>27512</v>
      </c>
      <c r="D214" t="n">
        <v>276.8</v>
      </c>
    </row>
    <row r="215">
      <c r="A215" s="89" t="n">
        <v>27515</v>
      </c>
      <c r="B215" t="n">
        <v>525.8</v>
      </c>
      <c r="C215" t="n">
        <v>1785.1</v>
      </c>
      <c r="E215" t="n">
        <v>947.9</v>
      </c>
    </row>
    <row r="216">
      <c r="A216" s="89" t="n">
        <v>27519</v>
      </c>
      <c r="D216" t="n">
        <v>277.4</v>
      </c>
    </row>
    <row r="217">
      <c r="A217" s="89" t="n">
        <v>27526</v>
      </c>
      <c r="D217" t="n">
        <v>278.1</v>
      </c>
    </row>
    <row r="218">
      <c r="A218" s="89" t="n">
        <v>27533</v>
      </c>
      <c r="D218" t="n">
        <v>279.3</v>
      </c>
    </row>
    <row r="219">
      <c r="A219" s="89" t="n">
        <v>27540</v>
      </c>
      <c r="D219" t="n">
        <v>280.4</v>
      </c>
    </row>
    <row r="220">
      <c r="A220" s="89" t="n">
        <v>27546</v>
      </c>
      <c r="B220" t="n">
        <v>527.9</v>
      </c>
      <c r="C220" t="n">
        <v>1800</v>
      </c>
      <c r="E220" t="n">
        <v>963</v>
      </c>
    </row>
    <row r="221">
      <c r="A221" s="89" t="n">
        <v>27547</v>
      </c>
      <c r="D221" t="n">
        <v>280.7</v>
      </c>
    </row>
    <row r="222">
      <c r="A222" s="89" t="n">
        <v>27554</v>
      </c>
      <c r="D222" t="n">
        <v>281.5</v>
      </c>
    </row>
    <row r="223">
      <c r="A223" s="89" t="n">
        <v>27561</v>
      </c>
      <c r="D223" t="n">
        <v>282.2</v>
      </c>
    </row>
    <row r="224">
      <c r="A224" s="89" t="n">
        <v>27568</v>
      </c>
      <c r="D224" t="n">
        <v>283.2</v>
      </c>
    </row>
    <row r="225">
      <c r="A225" s="89" t="n">
        <v>27575</v>
      </c>
      <c r="D225" t="n">
        <v>283.3</v>
      </c>
    </row>
    <row r="226">
      <c r="A226" s="89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9" t="n">
        <v>27582</v>
      </c>
      <c r="D227" t="n">
        <v>283.3</v>
      </c>
    </row>
    <row r="228">
      <c r="A228" s="89" t="n">
        <v>27589</v>
      </c>
      <c r="D228" t="n">
        <v>283.7</v>
      </c>
    </row>
    <row r="229">
      <c r="A229" s="89" t="n">
        <v>27596</v>
      </c>
      <c r="D229" t="n">
        <v>283.9</v>
      </c>
    </row>
    <row r="230">
      <c r="A230" s="89" t="n">
        <v>27603</v>
      </c>
      <c r="D230" t="n">
        <v>283.7</v>
      </c>
    </row>
    <row r="231">
      <c r="A231" s="89" t="n">
        <v>27607</v>
      </c>
      <c r="B231" t="n">
        <v>524.2</v>
      </c>
      <c r="C231" t="n">
        <v>1813.8</v>
      </c>
      <c r="E231" t="n">
        <v>983.1</v>
      </c>
    </row>
    <row r="232">
      <c r="A232" s="89" t="n">
        <v>27610</v>
      </c>
      <c r="D232" t="n">
        <v>283.7</v>
      </c>
    </row>
    <row r="233">
      <c r="A233" s="89" t="n">
        <v>27617</v>
      </c>
      <c r="D233" t="n">
        <v>283.1</v>
      </c>
    </row>
    <row r="234">
      <c r="A234" s="89" t="n">
        <v>27624</v>
      </c>
      <c r="D234" t="n">
        <v>283.5</v>
      </c>
    </row>
    <row r="235">
      <c r="A235" s="89" t="n">
        <v>27631</v>
      </c>
      <c r="D235" t="n">
        <v>284.7</v>
      </c>
    </row>
    <row r="236">
      <c r="A236" s="89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9" t="n">
        <v>27645</v>
      </c>
      <c r="D237" t="n">
        <v>285.6</v>
      </c>
    </row>
    <row r="238">
      <c r="A238" s="89" t="n">
        <v>27652</v>
      </c>
      <c r="D238" t="n">
        <v>285.3</v>
      </c>
    </row>
    <row r="239">
      <c r="A239" s="89" t="n">
        <v>27659</v>
      </c>
      <c r="D239" t="n">
        <v>285.8</v>
      </c>
    </row>
    <row r="240">
      <c r="A240" s="89" t="n">
        <v>27666</v>
      </c>
      <c r="D240" t="n">
        <v>286.1</v>
      </c>
    </row>
    <row r="241">
      <c r="A241" s="89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9" t="n">
        <v>27673</v>
      </c>
      <c r="D242" t="n">
        <v>284.5</v>
      </c>
    </row>
    <row r="243">
      <c r="A243" s="89" t="n">
        <v>27680</v>
      </c>
      <c r="D243" t="n">
        <v>285.5</v>
      </c>
    </row>
    <row r="244">
      <c r="A244" s="89" t="n">
        <v>27687</v>
      </c>
      <c r="D244" t="n">
        <v>286.2</v>
      </c>
    </row>
    <row r="245">
      <c r="A245" s="89" t="n">
        <v>27694</v>
      </c>
      <c r="D245" t="n">
        <v>284.9</v>
      </c>
    </row>
    <row r="246">
      <c r="A246" s="89" t="n">
        <v>27699</v>
      </c>
      <c r="B246" t="n">
        <v>518.6</v>
      </c>
      <c r="C246" t="n">
        <v>1820.8</v>
      </c>
      <c r="E246" t="n">
        <v>1006.9</v>
      </c>
    </row>
    <row r="247">
      <c r="A247" s="89" t="n">
        <v>27701</v>
      </c>
      <c r="D247" t="n">
        <v>285.9</v>
      </c>
    </row>
    <row r="248">
      <c r="A248" s="89" t="n">
        <v>27708</v>
      </c>
      <c r="D248" t="n">
        <v>286.8</v>
      </c>
    </row>
    <row r="249">
      <c r="A249" s="89" t="n">
        <v>27715</v>
      </c>
      <c r="D249" t="n">
        <v>286.3</v>
      </c>
    </row>
    <row r="250">
      <c r="A250" s="89" t="n">
        <v>27722</v>
      </c>
      <c r="D250" t="n">
        <v>287.5</v>
      </c>
    </row>
    <row r="251">
      <c r="A251" s="89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9" t="n">
        <v>27736</v>
      </c>
      <c r="D252" t="n">
        <v>286.8</v>
      </c>
    </row>
    <row r="253">
      <c r="A253" s="89" t="n">
        <v>27743</v>
      </c>
      <c r="D253" t="n">
        <v>287.1</v>
      </c>
    </row>
    <row r="254">
      <c r="A254" s="89" t="n">
        <v>27750</v>
      </c>
      <c r="D254" t="n">
        <v>287.4</v>
      </c>
    </row>
    <row r="255">
      <c r="A255" s="89" t="n">
        <v>27757</v>
      </c>
      <c r="D255" t="n">
        <v>287.2</v>
      </c>
    </row>
    <row r="256">
      <c r="A256" s="89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9" t="n">
        <v>27764</v>
      </c>
      <c r="D257" t="n">
        <v>287.3</v>
      </c>
    </row>
    <row r="258">
      <c r="A258" s="89" t="n">
        <v>27771</v>
      </c>
      <c r="D258" t="n">
        <v>287.9</v>
      </c>
    </row>
    <row r="259">
      <c r="A259" s="89" t="n">
        <v>27778</v>
      </c>
      <c r="D259" t="n">
        <v>288.4</v>
      </c>
    </row>
    <row r="260">
      <c r="A260" s="89" t="n">
        <v>27785</v>
      </c>
      <c r="D260" t="n">
        <v>289.1</v>
      </c>
    </row>
    <row r="261">
      <c r="A261" s="89" t="n">
        <v>27791</v>
      </c>
      <c r="B261" t="n">
        <v>520.2</v>
      </c>
      <c r="C261" t="n">
        <v>1861</v>
      </c>
      <c r="E261" t="n">
        <v>1040.3</v>
      </c>
    </row>
    <row r="262">
      <c r="A262" s="89" t="n">
        <v>27792</v>
      </c>
      <c r="D262" t="n">
        <v>290.2</v>
      </c>
    </row>
    <row r="263">
      <c r="A263" s="89" t="n">
        <v>27799</v>
      </c>
      <c r="D263" t="n">
        <v>290.3</v>
      </c>
    </row>
    <row r="264">
      <c r="A264" s="89" t="n">
        <v>27806</v>
      </c>
      <c r="D264" t="n">
        <v>291.2</v>
      </c>
    </row>
    <row r="265">
      <c r="A265" s="89" t="n">
        <v>27813</v>
      </c>
      <c r="D265" t="n">
        <v>290.7</v>
      </c>
    </row>
    <row r="266">
      <c r="A266" s="89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9" t="n">
        <v>27827</v>
      </c>
      <c r="D267" t="n">
        <v>291.1</v>
      </c>
    </row>
    <row r="268">
      <c r="A268" s="89" t="n">
        <v>27834</v>
      </c>
      <c r="D268" t="n">
        <v>292.8</v>
      </c>
    </row>
    <row r="269">
      <c r="A269" s="89" t="n">
        <v>27841</v>
      </c>
      <c r="D269" t="n">
        <v>292.8</v>
      </c>
    </row>
    <row r="270">
      <c r="A270" s="89" t="n">
        <v>27848</v>
      </c>
      <c r="D270" t="n">
        <v>294.2</v>
      </c>
    </row>
    <row r="271">
      <c r="A271" s="89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9" t="n">
        <v>27855</v>
      </c>
      <c r="D272" t="n">
        <v>293</v>
      </c>
    </row>
    <row r="273">
      <c r="A273" s="89" t="n">
        <v>27862</v>
      </c>
      <c r="D273" t="n">
        <v>294.5</v>
      </c>
    </row>
    <row r="274">
      <c r="A274" s="89" t="n">
        <v>27869</v>
      </c>
      <c r="D274" t="n">
        <v>294.9</v>
      </c>
    </row>
    <row r="275">
      <c r="A275" s="89" t="n">
        <v>27876</v>
      </c>
      <c r="D275" t="n">
        <v>295.4</v>
      </c>
    </row>
    <row r="276">
      <c r="A276" s="89" t="n">
        <v>27881</v>
      </c>
      <c r="B276" t="n">
        <v>524.6</v>
      </c>
      <c r="C276" t="n">
        <v>1900.9</v>
      </c>
      <c r="E276" t="n">
        <v>1072.1</v>
      </c>
    </row>
    <row r="277">
      <c r="A277" s="89" t="n">
        <v>27883</v>
      </c>
      <c r="D277" t="n">
        <v>294.9</v>
      </c>
    </row>
    <row r="278">
      <c r="A278" s="89" t="n">
        <v>27890</v>
      </c>
      <c r="D278" t="n">
        <v>296.3</v>
      </c>
    </row>
    <row r="279">
      <c r="A279" s="89" t="n">
        <v>27897</v>
      </c>
      <c r="D279" t="n">
        <v>295.3</v>
      </c>
    </row>
    <row r="280">
      <c r="A280" s="89" t="n">
        <v>27904</v>
      </c>
      <c r="D280" t="n">
        <v>295.5</v>
      </c>
    </row>
    <row r="281">
      <c r="A281" s="89" t="n">
        <v>27911</v>
      </c>
      <c r="D281" t="n">
        <v>296.4</v>
      </c>
    </row>
    <row r="282">
      <c r="A282" s="89" t="n">
        <v>27912</v>
      </c>
      <c r="B282" t="n">
        <v>522.4</v>
      </c>
      <c r="C282" t="n">
        <v>1900.5</v>
      </c>
      <c r="E282" t="n">
        <v>1077.6</v>
      </c>
    </row>
    <row r="283">
      <c r="A283" s="89" t="n">
        <v>27918</v>
      </c>
      <c r="D283" t="n">
        <v>295.5</v>
      </c>
    </row>
    <row r="284">
      <c r="A284" s="89" t="n">
        <v>27925</v>
      </c>
      <c r="D284" t="n">
        <v>296.7</v>
      </c>
    </row>
    <row r="285">
      <c r="A285" s="89" t="n">
        <v>27932</v>
      </c>
      <c r="D285" t="n">
        <v>296.1</v>
      </c>
    </row>
    <row r="286">
      <c r="A286" s="89" t="n">
        <v>27939</v>
      </c>
      <c r="D286" t="n">
        <v>296.1</v>
      </c>
    </row>
    <row r="287">
      <c r="A287" s="89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9" t="n">
        <v>27946</v>
      </c>
      <c r="D288" t="n">
        <v>296.1</v>
      </c>
    </row>
    <row r="289">
      <c r="A289" s="89" t="n">
        <v>27953</v>
      </c>
      <c r="D289" t="n">
        <v>296.6</v>
      </c>
    </row>
    <row r="290">
      <c r="A290" s="89" t="n">
        <v>27960</v>
      </c>
      <c r="D290" t="n">
        <v>297.2</v>
      </c>
    </row>
    <row r="291">
      <c r="A291" s="89" t="n">
        <v>27967</v>
      </c>
      <c r="D291" t="n">
        <v>297.5</v>
      </c>
    </row>
    <row r="292">
      <c r="A292" s="89" t="n">
        <v>27973</v>
      </c>
      <c r="B292" t="n">
        <v>521.8</v>
      </c>
      <c r="C292" t="n">
        <v>1917.5</v>
      </c>
      <c r="E292" t="n">
        <v>1098.7</v>
      </c>
    </row>
    <row r="293">
      <c r="A293" s="89" t="n">
        <v>27974</v>
      </c>
      <c r="D293" t="n">
        <v>297.7</v>
      </c>
    </row>
    <row r="294">
      <c r="A294" s="89" t="n">
        <v>27981</v>
      </c>
      <c r="D294" t="n">
        <v>298.5</v>
      </c>
    </row>
    <row r="295">
      <c r="A295" s="89" t="n">
        <v>27988</v>
      </c>
      <c r="D295" t="n">
        <v>299.6</v>
      </c>
    </row>
    <row r="296">
      <c r="A296" s="89" t="n">
        <v>27995</v>
      </c>
      <c r="D296" t="n">
        <v>299</v>
      </c>
    </row>
    <row r="297">
      <c r="A297" s="89" t="n">
        <v>28002</v>
      </c>
      <c r="D297" t="n">
        <v>299</v>
      </c>
    </row>
    <row r="298">
      <c r="A298" s="89" t="n">
        <v>28004</v>
      </c>
      <c r="B298" t="n">
        <v>520.1</v>
      </c>
      <c r="C298" t="n">
        <v>1928.5</v>
      </c>
      <c r="E298" t="n">
        <v>1110.8</v>
      </c>
    </row>
    <row r="299">
      <c r="A299" s="89" t="n">
        <v>28009</v>
      </c>
      <c r="D299" t="n">
        <v>298.2</v>
      </c>
    </row>
    <row r="300">
      <c r="A300" s="89" t="n">
        <v>28016</v>
      </c>
      <c r="D300" t="n">
        <v>299.7</v>
      </c>
    </row>
    <row r="301">
      <c r="A301" s="89" t="n">
        <v>28023</v>
      </c>
      <c r="D301" t="n">
        <v>300.1</v>
      </c>
    </row>
    <row r="302">
      <c r="A302" s="89" t="n">
        <v>28030</v>
      </c>
      <c r="D302" t="n">
        <v>299.3</v>
      </c>
    </row>
    <row r="303">
      <c r="A303" s="89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9" t="n">
        <v>28037</v>
      </c>
      <c r="D304" t="n">
        <v>300.7</v>
      </c>
    </row>
    <row r="305">
      <c r="A305" s="89" t="n">
        <v>28044</v>
      </c>
      <c r="D305" t="n">
        <v>302.1</v>
      </c>
    </row>
    <row r="306">
      <c r="A306" s="89" t="n">
        <v>28051</v>
      </c>
      <c r="D306" t="n">
        <v>300.1</v>
      </c>
    </row>
    <row r="307">
      <c r="A307" s="89" t="n">
        <v>28058</v>
      </c>
      <c r="D307" t="n">
        <v>302.7</v>
      </c>
    </row>
    <row r="308">
      <c r="A308" s="89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9" t="n">
        <v>28072</v>
      </c>
      <c r="D309" t="n">
        <v>302.2</v>
      </c>
    </row>
    <row r="310">
      <c r="A310" s="89" t="n">
        <v>28079</v>
      </c>
      <c r="D310" t="n">
        <v>304.3</v>
      </c>
    </row>
    <row r="311">
      <c r="A311" s="89" t="n">
        <v>28086</v>
      </c>
      <c r="D311" t="n">
        <v>303.8</v>
      </c>
    </row>
    <row r="312">
      <c r="A312" s="89" t="n">
        <v>28093</v>
      </c>
      <c r="D312" t="n">
        <v>303.6</v>
      </c>
    </row>
    <row r="313">
      <c r="A313" s="89" t="n">
        <v>28095</v>
      </c>
      <c r="B313" t="n">
        <v>524.3</v>
      </c>
      <c r="C313" t="n">
        <v>1972.6</v>
      </c>
      <c r="E313" t="n">
        <v>1152</v>
      </c>
    </row>
    <row r="314">
      <c r="A314" s="89" t="n">
        <v>28100</v>
      </c>
      <c r="D314" t="n">
        <v>305.3</v>
      </c>
    </row>
    <row r="315">
      <c r="A315" s="89" t="n">
        <v>28107</v>
      </c>
      <c r="D315" t="n">
        <v>305.8</v>
      </c>
    </row>
    <row r="316">
      <c r="A316" s="89" t="n">
        <v>28114</v>
      </c>
      <c r="D316" t="n">
        <v>306.4</v>
      </c>
    </row>
    <row r="317">
      <c r="A317" s="89" t="n">
        <v>28121</v>
      </c>
      <c r="D317" t="n">
        <v>306.6</v>
      </c>
    </row>
    <row r="318">
      <c r="A318" s="89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9" t="n">
        <v>28128</v>
      </c>
      <c r="D319" t="n">
        <v>306.9</v>
      </c>
    </row>
    <row r="320">
      <c r="A320" s="89" t="n">
        <v>28135</v>
      </c>
      <c r="D320" t="n">
        <v>307.7</v>
      </c>
    </row>
    <row r="321">
      <c r="A321" s="89" t="n">
        <v>28142</v>
      </c>
      <c r="D321" t="n">
        <v>308</v>
      </c>
    </row>
    <row r="322">
      <c r="A322" s="89" t="n">
        <v>28149</v>
      </c>
      <c r="D322" t="n">
        <v>308.9</v>
      </c>
    </row>
    <row r="323">
      <c r="A323" s="89" t="n">
        <v>28156</v>
      </c>
      <c r="D323" t="n">
        <v>309.5</v>
      </c>
    </row>
    <row r="324">
      <c r="A324" s="89" t="n">
        <v>28157</v>
      </c>
      <c r="B324" t="n">
        <v>525.3</v>
      </c>
      <c r="C324" t="n">
        <v>1985.8</v>
      </c>
      <c r="E324" t="n">
        <v>1177.6</v>
      </c>
    </row>
    <row r="325">
      <c r="A325" s="89" t="n">
        <v>28163</v>
      </c>
      <c r="D325" t="n">
        <v>310.3</v>
      </c>
    </row>
    <row r="326">
      <c r="A326" s="89" t="n">
        <v>28170</v>
      </c>
      <c r="D326" t="n">
        <v>311.3</v>
      </c>
    </row>
    <row r="327">
      <c r="A327" s="89" t="n">
        <v>28177</v>
      </c>
      <c r="D327" t="n">
        <v>311.7</v>
      </c>
    </row>
    <row r="328">
      <c r="A328" s="89" t="n">
        <v>28184</v>
      </c>
      <c r="D328" t="n">
        <v>312.3</v>
      </c>
    </row>
    <row r="329">
      <c r="A329" s="89" t="n">
        <v>28185</v>
      </c>
      <c r="B329" t="n">
        <v>526.7</v>
      </c>
      <c r="C329" t="n">
        <v>1994.1</v>
      </c>
      <c r="E329" t="n">
        <v>1188.5</v>
      </c>
    </row>
    <row r="330">
      <c r="A330" s="89" t="n">
        <v>28191</v>
      </c>
      <c r="D330" t="n">
        <v>312.7</v>
      </c>
    </row>
    <row r="331">
      <c r="A331" s="89" t="n">
        <v>28198</v>
      </c>
      <c r="D331" t="n">
        <v>313.8</v>
      </c>
    </row>
    <row r="332">
      <c r="A332" s="89" t="n">
        <v>28205</v>
      </c>
      <c r="D332" t="n">
        <v>314.5</v>
      </c>
    </row>
    <row r="333">
      <c r="A333" s="89" t="n">
        <v>28212</v>
      </c>
      <c r="D333" t="n">
        <v>313.9</v>
      </c>
    </row>
    <row r="334">
      <c r="A334" s="89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9" t="n">
        <v>28219</v>
      </c>
      <c r="D335" t="n">
        <v>315.6</v>
      </c>
    </row>
    <row r="336">
      <c r="A336" s="89" t="n">
        <v>28226</v>
      </c>
      <c r="D336" t="n">
        <v>315.8</v>
      </c>
    </row>
    <row r="337">
      <c r="A337" s="89" t="n">
        <v>28233</v>
      </c>
      <c r="D337" t="n">
        <v>315.7</v>
      </c>
    </row>
    <row r="338">
      <c r="A338" s="89" t="n">
        <v>28240</v>
      </c>
      <c r="D338" t="n">
        <v>316.1</v>
      </c>
    </row>
    <row r="339">
      <c r="A339" s="89" t="n">
        <v>28246</v>
      </c>
      <c r="B339" t="n">
        <v>526.9</v>
      </c>
      <c r="C339" t="n">
        <v>2008.3</v>
      </c>
      <c r="E339" t="n">
        <v>1209</v>
      </c>
    </row>
    <row r="340">
      <c r="A340" s="89" t="n">
        <v>28247</v>
      </c>
      <c r="D340" t="n">
        <v>316.6</v>
      </c>
    </row>
    <row r="341">
      <c r="A341" s="89" t="n">
        <v>28254</v>
      </c>
      <c r="D341" t="n">
        <v>316.7</v>
      </c>
    </row>
    <row r="342">
      <c r="A342" s="89" t="n">
        <v>28261</v>
      </c>
      <c r="D342" t="n">
        <v>317.6</v>
      </c>
    </row>
    <row r="343">
      <c r="A343" s="89" t="n">
        <v>28268</v>
      </c>
      <c r="D343" t="n">
        <v>317.4</v>
      </c>
    </row>
    <row r="344">
      <c r="A344" s="89" t="n">
        <v>28275</v>
      </c>
      <c r="D344" t="n">
        <v>316.8</v>
      </c>
    </row>
    <row r="345">
      <c r="A345" s="89" t="n">
        <v>28277</v>
      </c>
      <c r="B345" t="n">
        <v>526.9</v>
      </c>
      <c r="C345" t="n">
        <v>2012.9</v>
      </c>
      <c r="E345" t="n">
        <v>1217.8</v>
      </c>
    </row>
    <row r="346">
      <c r="A346" s="89" t="n">
        <v>28282</v>
      </c>
      <c r="D346" t="n">
        <v>317.6</v>
      </c>
    </row>
    <row r="347">
      <c r="A347" s="89" t="n">
        <v>28289</v>
      </c>
      <c r="D347" t="n">
        <v>317.8</v>
      </c>
    </row>
    <row r="348">
      <c r="A348" s="89" t="n">
        <v>28296</v>
      </c>
      <c r="D348" t="n">
        <v>319.4</v>
      </c>
    </row>
    <row r="349">
      <c r="A349" s="89" t="n">
        <v>28303</v>
      </c>
      <c r="D349" t="n">
        <v>319.4</v>
      </c>
    </row>
    <row r="350">
      <c r="A350" s="89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9" t="n">
        <v>28310</v>
      </c>
      <c r="D351" t="n">
        <v>319.5</v>
      </c>
    </row>
    <row r="352">
      <c r="A352" s="89" t="n">
        <v>28317</v>
      </c>
      <c r="D352" t="n">
        <v>319.3</v>
      </c>
    </row>
    <row r="353">
      <c r="A353" s="89" t="n">
        <v>28324</v>
      </c>
      <c r="D353" t="n">
        <v>320.2</v>
      </c>
    </row>
    <row r="354">
      <c r="A354" s="89" t="n">
        <v>28331</v>
      </c>
      <c r="D354" t="n">
        <v>320.1</v>
      </c>
    </row>
    <row r="355">
      <c r="A355" s="89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9" t="n">
        <v>28345</v>
      </c>
      <c r="D356" t="n">
        <v>321.4</v>
      </c>
    </row>
    <row r="357">
      <c r="A357" s="89" t="n">
        <v>28352</v>
      </c>
      <c r="D357" t="n">
        <v>321.2</v>
      </c>
    </row>
    <row r="358">
      <c r="A358" s="89" t="n">
        <v>28359</v>
      </c>
      <c r="D358" t="n">
        <v>322.4</v>
      </c>
    </row>
    <row r="359">
      <c r="A359" s="89" t="n">
        <v>28366</v>
      </c>
      <c r="D359" t="n">
        <v>323.4</v>
      </c>
    </row>
    <row r="360">
      <c r="A360" s="89" t="n">
        <v>28369</v>
      </c>
      <c r="B360" t="n">
        <v>529.4</v>
      </c>
      <c r="C360" t="n">
        <v>2033</v>
      </c>
      <c r="E360" t="n">
        <v>1246.2</v>
      </c>
    </row>
    <row r="361">
      <c r="A361" s="89" t="n">
        <v>28373</v>
      </c>
      <c r="D361" t="n">
        <v>324.6</v>
      </c>
    </row>
    <row r="362">
      <c r="A362" s="89" t="n">
        <v>28380</v>
      </c>
      <c r="D362" t="n">
        <v>323.3</v>
      </c>
    </row>
    <row r="363">
      <c r="A363" s="89" t="n">
        <v>28387</v>
      </c>
      <c r="D363" t="n">
        <v>324.2</v>
      </c>
    </row>
    <row r="364">
      <c r="A364" s="89" t="n">
        <v>28394</v>
      </c>
      <c r="D364" t="n">
        <v>324.5</v>
      </c>
    </row>
    <row r="365">
      <c r="A365" s="89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9" t="n">
        <v>28401</v>
      </c>
      <c r="D366" t="n">
        <v>325.6</v>
      </c>
    </row>
    <row r="367">
      <c r="A367" s="89" t="n">
        <v>28408</v>
      </c>
      <c r="D367" t="n">
        <v>326.1</v>
      </c>
    </row>
    <row r="368">
      <c r="A368" s="89" t="n">
        <v>28415</v>
      </c>
      <c r="D368" t="n">
        <v>325.6</v>
      </c>
    </row>
    <row r="369">
      <c r="A369" s="89" t="n">
        <v>28422</v>
      </c>
      <c r="D369" t="n">
        <v>327.5</v>
      </c>
    </row>
    <row r="370">
      <c r="A370" s="89" t="n">
        <v>28429</v>
      </c>
      <c r="D370" t="n">
        <v>327</v>
      </c>
    </row>
    <row r="371">
      <c r="A371" s="89" t="n">
        <v>28430</v>
      </c>
      <c r="B371" t="n">
        <v>530</v>
      </c>
      <c r="C371" t="n">
        <v>2036.1</v>
      </c>
      <c r="E371" t="n">
        <v>1262.4</v>
      </c>
    </row>
    <row r="372">
      <c r="A372" s="89" t="n">
        <v>28436</v>
      </c>
      <c r="D372" t="n">
        <v>328.2</v>
      </c>
    </row>
    <row r="373">
      <c r="A373" s="89" t="n">
        <v>28443</v>
      </c>
      <c r="D373" t="n">
        <v>328.6</v>
      </c>
    </row>
    <row r="374">
      <c r="A374" s="89" t="n">
        <v>28450</v>
      </c>
      <c r="D374" t="n">
        <v>329</v>
      </c>
    </row>
    <row r="375">
      <c r="A375" s="89" t="n">
        <v>28457</v>
      </c>
      <c r="D375" t="n">
        <v>328.7</v>
      </c>
    </row>
    <row r="376">
      <c r="A376" s="89" t="n">
        <v>28460</v>
      </c>
      <c r="B376" t="n">
        <v>531.1</v>
      </c>
      <c r="C376" t="n">
        <v>2039</v>
      </c>
      <c r="E376" t="n">
        <v>1270.3</v>
      </c>
    </row>
    <row r="377">
      <c r="A377" s="89" t="n">
        <v>28464</v>
      </c>
      <c r="D377" t="n">
        <v>330</v>
      </c>
    </row>
    <row r="378">
      <c r="A378" s="89" t="n">
        <v>28471</v>
      </c>
      <c r="D378" t="n">
        <v>330.2</v>
      </c>
    </row>
    <row r="379">
      <c r="A379" s="89" t="n">
        <v>28478</v>
      </c>
      <c r="D379" t="n">
        <v>331</v>
      </c>
    </row>
    <row r="380">
      <c r="A380" s="89" t="n">
        <v>28485</v>
      </c>
      <c r="D380" t="n">
        <v>330.7</v>
      </c>
    </row>
    <row r="381">
      <c r="A381" s="89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9" t="n">
        <v>28492</v>
      </c>
      <c r="D382" t="n">
        <v>332.5</v>
      </c>
    </row>
    <row r="383">
      <c r="A383" s="89" t="n">
        <v>28499</v>
      </c>
      <c r="D383" t="n">
        <v>334</v>
      </c>
    </row>
    <row r="384">
      <c r="A384" s="89" t="n">
        <v>28506</v>
      </c>
      <c r="D384" t="n">
        <v>334.5</v>
      </c>
    </row>
    <row r="385">
      <c r="A385" s="89" t="n">
        <v>28513</v>
      </c>
      <c r="D385" t="n">
        <v>335.9</v>
      </c>
    </row>
    <row r="386">
      <c r="A386" s="89" t="n">
        <v>28520</v>
      </c>
      <c r="D386" t="n">
        <v>334.4</v>
      </c>
    </row>
    <row r="387">
      <c r="A387" s="89" t="n">
        <v>28522</v>
      </c>
      <c r="B387" t="n">
        <v>532.2</v>
      </c>
      <c r="C387" t="n">
        <v>2040.5</v>
      </c>
      <c r="E387" t="n">
        <v>1285.5</v>
      </c>
    </row>
    <row r="388">
      <c r="A388" s="89" t="n">
        <v>28527</v>
      </c>
      <c r="D388" t="n">
        <v>333.8</v>
      </c>
    </row>
    <row r="389">
      <c r="A389" s="89" t="n">
        <v>28534</v>
      </c>
      <c r="D389" t="n">
        <v>335.1</v>
      </c>
    </row>
    <row r="390">
      <c r="A390" s="89" t="n">
        <v>28541</v>
      </c>
      <c r="D390" t="n">
        <v>335.5</v>
      </c>
    </row>
    <row r="391">
      <c r="A391" s="89" t="n">
        <v>28548</v>
      </c>
      <c r="D391" t="n">
        <v>336.1</v>
      </c>
    </row>
    <row r="392">
      <c r="A392" s="89" t="n">
        <v>28550</v>
      </c>
      <c r="B392" t="n">
        <v>531.5</v>
      </c>
      <c r="C392" t="n">
        <v>2038.2</v>
      </c>
      <c r="E392" t="n">
        <v>1292.2</v>
      </c>
    </row>
    <row r="393">
      <c r="A393" s="89" t="n">
        <v>28555</v>
      </c>
      <c r="D393" t="n">
        <v>336.8</v>
      </c>
    </row>
    <row r="394">
      <c r="A394" s="89" t="n">
        <v>28562</v>
      </c>
      <c r="D394" t="n">
        <v>336.2</v>
      </c>
    </row>
    <row r="395">
      <c r="A395" s="89" t="n">
        <v>28569</v>
      </c>
      <c r="D395" t="n">
        <v>336.7</v>
      </c>
    </row>
    <row r="396">
      <c r="A396" s="89" t="n">
        <v>28576</v>
      </c>
      <c r="D396" t="n">
        <v>336.7</v>
      </c>
    </row>
    <row r="397">
      <c r="A397" s="89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9" t="n">
        <v>28583</v>
      </c>
      <c r="D398" t="n">
        <v>338.6</v>
      </c>
    </row>
    <row r="399">
      <c r="A399" s="89" t="n">
        <v>28590</v>
      </c>
      <c r="D399" t="n">
        <v>338.3</v>
      </c>
    </row>
    <row r="400">
      <c r="A400" s="89" t="n">
        <v>28597</v>
      </c>
      <c r="D400" t="n">
        <v>337.6</v>
      </c>
    </row>
    <row r="401">
      <c r="A401" s="89" t="n">
        <v>28604</v>
      </c>
      <c r="D401" t="n">
        <v>340.6</v>
      </c>
    </row>
    <row r="402">
      <c r="A402" s="89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9" t="n">
        <v>28618</v>
      </c>
      <c r="D403" t="n">
        <v>342.6</v>
      </c>
    </row>
    <row r="404">
      <c r="A404" s="89" t="n">
        <v>28625</v>
      </c>
      <c r="D404" t="n">
        <v>344.1</v>
      </c>
    </row>
    <row r="405">
      <c r="A405" s="89" t="n">
        <v>28632</v>
      </c>
      <c r="D405" t="n">
        <v>345.1</v>
      </c>
    </row>
    <row r="406">
      <c r="A406" s="89" t="n">
        <v>28639</v>
      </c>
      <c r="D406" t="n">
        <v>346.7</v>
      </c>
    </row>
    <row r="407">
      <c r="A407" s="89" t="n">
        <v>28642</v>
      </c>
      <c r="B407" t="n">
        <v>533.7</v>
      </c>
      <c r="C407" t="n">
        <v>2028.5</v>
      </c>
      <c r="E407" t="n">
        <v>1318.5</v>
      </c>
    </row>
    <row r="408">
      <c r="A408" s="89" t="n">
        <v>28646</v>
      </c>
      <c r="D408" t="n">
        <v>346.6</v>
      </c>
    </row>
    <row r="409">
      <c r="A409" s="89" t="n">
        <v>28653</v>
      </c>
      <c r="D409" t="n">
        <v>346.8</v>
      </c>
    </row>
    <row r="410">
      <c r="A410" s="89" t="n">
        <v>28660</v>
      </c>
      <c r="D410" t="n">
        <v>345.8</v>
      </c>
    </row>
    <row r="411">
      <c r="A411" s="89" t="n">
        <v>28667</v>
      </c>
      <c r="D411" t="n">
        <v>346.5</v>
      </c>
    </row>
    <row r="412">
      <c r="A412" s="89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9" t="n">
        <v>28674</v>
      </c>
      <c r="D413" t="n">
        <v>348.1</v>
      </c>
    </row>
    <row r="414">
      <c r="A414" s="89" t="n">
        <v>28681</v>
      </c>
      <c r="D414" t="n">
        <v>347.7</v>
      </c>
    </row>
    <row r="415">
      <c r="A415" s="89" t="n">
        <v>28688</v>
      </c>
      <c r="D415" t="n">
        <v>346.2</v>
      </c>
    </row>
    <row r="416">
      <c r="A416" s="89" t="n">
        <v>28695</v>
      </c>
      <c r="D416" t="n">
        <v>348.2</v>
      </c>
    </row>
    <row r="417">
      <c r="A417" s="89" t="n">
        <v>28702</v>
      </c>
      <c r="D417" t="n">
        <v>348.6</v>
      </c>
    </row>
    <row r="418">
      <c r="A418" s="89" t="n">
        <v>28703</v>
      </c>
      <c r="B418" t="n">
        <v>530.5</v>
      </c>
      <c r="C418" t="n">
        <v>2023.5</v>
      </c>
      <c r="E418" t="n">
        <v>1333.5</v>
      </c>
    </row>
    <row r="419">
      <c r="A419" s="89" t="n">
        <v>28709</v>
      </c>
      <c r="D419" t="n">
        <v>348.4</v>
      </c>
    </row>
    <row r="420">
      <c r="A420" s="89" t="n">
        <v>28716</v>
      </c>
      <c r="D420" t="n">
        <v>349.7</v>
      </c>
    </row>
    <row r="421">
      <c r="A421" s="89" t="n">
        <v>28723</v>
      </c>
      <c r="D421" t="n">
        <v>349.7</v>
      </c>
    </row>
    <row r="422">
      <c r="A422" s="89" t="n">
        <v>28730</v>
      </c>
      <c r="D422" t="n">
        <v>349.3</v>
      </c>
    </row>
    <row r="423">
      <c r="A423" s="89" t="n">
        <v>28734</v>
      </c>
      <c r="B423" t="n">
        <v>529.6</v>
      </c>
      <c r="C423" t="n">
        <v>2022.6</v>
      </c>
      <c r="E423" t="n">
        <v>1345</v>
      </c>
    </row>
    <row r="424">
      <c r="A424" s="89" t="n">
        <v>28737</v>
      </c>
      <c r="D424" t="n">
        <v>352.7</v>
      </c>
    </row>
    <row r="425">
      <c r="A425" s="89" t="n">
        <v>28744</v>
      </c>
      <c r="D425" t="n">
        <v>351.6</v>
      </c>
    </row>
    <row r="426">
      <c r="A426" s="89" t="n">
        <v>28751</v>
      </c>
      <c r="D426" t="n">
        <v>351.5</v>
      </c>
    </row>
    <row r="427">
      <c r="A427" s="89" t="n">
        <v>28758</v>
      </c>
      <c r="D427" t="n">
        <v>352.8</v>
      </c>
    </row>
    <row r="428">
      <c r="A428" s="89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9" t="n">
        <v>28765</v>
      </c>
      <c r="D429" t="n">
        <v>352.9</v>
      </c>
    </row>
    <row r="430">
      <c r="A430" s="89" t="n">
        <v>28772</v>
      </c>
      <c r="D430" t="n">
        <v>353</v>
      </c>
    </row>
    <row r="431">
      <c r="A431" s="89" t="n">
        <v>28779</v>
      </c>
      <c r="D431" t="n">
        <v>354.3</v>
      </c>
    </row>
    <row r="432">
      <c r="A432" s="89" t="n">
        <v>28786</v>
      </c>
      <c r="D432" t="n">
        <v>353.1</v>
      </c>
    </row>
    <row r="433">
      <c r="A433" s="89" t="n">
        <v>28793</v>
      </c>
      <c r="D433" t="n">
        <v>353.3</v>
      </c>
    </row>
    <row r="434">
      <c r="A434" s="89" t="n">
        <v>28795</v>
      </c>
      <c r="B434" t="n">
        <v>526.5</v>
      </c>
      <c r="C434" t="n">
        <v>2013.5</v>
      </c>
      <c r="E434" t="n">
        <v>1359.1</v>
      </c>
    </row>
    <row r="435">
      <c r="A435" s="89" t="n">
        <v>28800</v>
      </c>
      <c r="D435" t="n">
        <v>355.1</v>
      </c>
    </row>
    <row r="436">
      <c r="A436" s="89" t="n">
        <v>28807</v>
      </c>
      <c r="D436" t="n">
        <v>355.2</v>
      </c>
    </row>
    <row r="437">
      <c r="A437" s="89" t="n">
        <v>28814</v>
      </c>
      <c r="D437" t="n">
        <v>355.8</v>
      </c>
    </row>
    <row r="438">
      <c r="A438" s="89" t="n">
        <v>28821</v>
      </c>
      <c r="D438" t="n">
        <v>355.3</v>
      </c>
    </row>
    <row r="439">
      <c r="A439" s="89" t="n">
        <v>28825</v>
      </c>
      <c r="B439" t="n">
        <v>526.2</v>
      </c>
      <c r="C439" t="n">
        <v>2011.8</v>
      </c>
      <c r="E439" t="n">
        <v>1366</v>
      </c>
    </row>
    <row r="440">
      <c r="A440" s="89" t="n">
        <v>28828</v>
      </c>
      <c r="D440" t="n">
        <v>357.1</v>
      </c>
    </row>
    <row r="441">
      <c r="A441" s="89" t="n">
        <v>28835</v>
      </c>
      <c r="D441" t="n">
        <v>356.8</v>
      </c>
    </row>
    <row r="442">
      <c r="A442" s="89" t="n">
        <v>28842</v>
      </c>
      <c r="D442" t="n">
        <v>356.2</v>
      </c>
    </row>
    <row r="443">
      <c r="A443" s="89" t="n">
        <v>28849</v>
      </c>
      <c r="D443" t="n">
        <v>357.7</v>
      </c>
    </row>
    <row r="444">
      <c r="A444" s="89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9" t="n">
        <v>28863</v>
      </c>
      <c r="D445" t="n">
        <v>357.1</v>
      </c>
    </row>
    <row r="446">
      <c r="A446" s="89" t="n">
        <v>28870</v>
      </c>
      <c r="D446" t="n">
        <v>359.5</v>
      </c>
    </row>
    <row r="447">
      <c r="A447" s="89" t="n">
        <v>28877</v>
      </c>
      <c r="D447" t="n">
        <v>358.7</v>
      </c>
    </row>
    <row r="448">
      <c r="A448" s="89" t="n">
        <v>28884</v>
      </c>
      <c r="D448" t="n">
        <v>358.8</v>
      </c>
    </row>
    <row r="449">
      <c r="A449" s="89" t="n">
        <v>28887</v>
      </c>
      <c r="B449" t="n">
        <v>520.1</v>
      </c>
      <c r="C449" t="n">
        <v>1991</v>
      </c>
      <c r="E449" t="n">
        <v>1377.8</v>
      </c>
    </row>
    <row r="450">
      <c r="A450" s="89" t="n">
        <v>28891</v>
      </c>
      <c r="D450" t="n">
        <v>360.6</v>
      </c>
    </row>
    <row r="451">
      <c r="A451" s="89" t="n">
        <v>28898</v>
      </c>
      <c r="D451" t="n">
        <v>359.3</v>
      </c>
    </row>
    <row r="452">
      <c r="A452" s="89" t="n">
        <v>28905</v>
      </c>
      <c r="D452" t="n">
        <v>359.1</v>
      </c>
    </row>
    <row r="453">
      <c r="A453" s="89" t="n">
        <v>28912</v>
      </c>
      <c r="D453" t="n">
        <v>360.1</v>
      </c>
    </row>
    <row r="454">
      <c r="A454" s="89" t="n">
        <v>28915</v>
      </c>
      <c r="B454" t="n">
        <v>518.6</v>
      </c>
      <c r="C454" t="n">
        <v>1985.4</v>
      </c>
      <c r="E454" t="n">
        <v>1387.8</v>
      </c>
    </row>
    <row r="455">
      <c r="A455" s="89" t="n">
        <v>28919</v>
      </c>
      <c r="D455" t="n">
        <v>361.9</v>
      </c>
    </row>
    <row r="456">
      <c r="A456" s="89" t="n">
        <v>28926</v>
      </c>
      <c r="D456" t="n">
        <v>361.2</v>
      </c>
    </row>
    <row r="457">
      <c r="A457" s="89" t="n">
        <v>28933</v>
      </c>
      <c r="D457" t="n">
        <v>361.8</v>
      </c>
    </row>
    <row r="458">
      <c r="A458" s="89" t="n">
        <v>28940</v>
      </c>
      <c r="D458" t="n">
        <v>363.2</v>
      </c>
    </row>
    <row r="459">
      <c r="A459" s="89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9" t="n">
        <v>28947</v>
      </c>
      <c r="D460" t="n">
        <v>364.2</v>
      </c>
    </row>
    <row r="461">
      <c r="A461" s="89" t="n">
        <v>28954</v>
      </c>
      <c r="D461" t="n">
        <v>365</v>
      </c>
    </row>
    <row r="462">
      <c r="A462" s="89" t="n">
        <v>28961</v>
      </c>
      <c r="D462" t="n">
        <v>368.7</v>
      </c>
    </row>
    <row r="463">
      <c r="A463" s="89" t="n">
        <v>28968</v>
      </c>
      <c r="D463" t="n">
        <v>370.2</v>
      </c>
    </row>
    <row r="464">
      <c r="A464" s="89" t="n">
        <v>28975</v>
      </c>
      <c r="D464" t="n">
        <v>369.6</v>
      </c>
    </row>
    <row r="465">
      <c r="A465" s="89" t="n">
        <v>28976</v>
      </c>
      <c r="B465" t="n">
        <v>517.6</v>
      </c>
      <c r="C465" t="n">
        <v>1975.1</v>
      </c>
      <c r="E465" t="n">
        <v>1410.2</v>
      </c>
    </row>
    <row r="466">
      <c r="A466" s="89" t="n">
        <v>28982</v>
      </c>
      <c r="D466" t="n">
        <v>368.9</v>
      </c>
    </row>
    <row r="467">
      <c r="A467" s="89" t="n">
        <v>28989</v>
      </c>
      <c r="D467" t="n">
        <v>369.1</v>
      </c>
    </row>
    <row r="468">
      <c r="A468" s="89" t="n">
        <v>28996</v>
      </c>
      <c r="D468" t="n">
        <v>369.6</v>
      </c>
    </row>
    <row r="469">
      <c r="A469" s="89" t="n">
        <v>29003</v>
      </c>
      <c r="D469" t="n">
        <v>369</v>
      </c>
    </row>
    <row r="470">
      <c r="A470" s="89" t="n">
        <v>29007</v>
      </c>
      <c r="B470" t="n">
        <v>517.2</v>
      </c>
      <c r="C470" t="n">
        <v>1970.9</v>
      </c>
      <c r="E470" t="n">
        <v>1423</v>
      </c>
    </row>
    <row r="471">
      <c r="A471" s="89" t="n">
        <v>29010</v>
      </c>
      <c r="D471" t="n">
        <v>372.4</v>
      </c>
    </row>
    <row r="472">
      <c r="A472" s="89" t="n">
        <v>29017</v>
      </c>
      <c r="D472" t="n">
        <v>372.7</v>
      </c>
    </row>
    <row r="473">
      <c r="A473" s="89" t="n">
        <v>29024</v>
      </c>
      <c r="D473" t="n">
        <v>372.2</v>
      </c>
    </row>
    <row r="474">
      <c r="A474" s="89" t="n">
        <v>29031</v>
      </c>
      <c r="D474" t="n">
        <v>374.3</v>
      </c>
    </row>
    <row r="475">
      <c r="A475" s="89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9" t="n">
        <v>29038</v>
      </c>
      <c r="D476" t="n">
        <v>374.9</v>
      </c>
    </row>
    <row r="477">
      <c r="A477" s="89" t="n">
        <v>29045</v>
      </c>
      <c r="D477" t="n">
        <v>375.7</v>
      </c>
    </row>
    <row r="478">
      <c r="A478" s="89" t="n">
        <v>29052</v>
      </c>
      <c r="D478" t="n">
        <v>377.8</v>
      </c>
    </row>
    <row r="479">
      <c r="A479" s="89" t="n">
        <v>29059</v>
      </c>
      <c r="D479" t="n">
        <v>378.3</v>
      </c>
    </row>
    <row r="480">
      <c r="A480" s="89" t="n">
        <v>29066</v>
      </c>
      <c r="D480" t="n">
        <v>378.5</v>
      </c>
    </row>
    <row r="481">
      <c r="A481" s="89" t="n">
        <v>29068</v>
      </c>
      <c r="B481" t="n">
        <v>514</v>
      </c>
      <c r="C481" t="n">
        <v>1962.8</v>
      </c>
      <c r="E481" t="n">
        <v>1446.6</v>
      </c>
    </row>
    <row r="482">
      <c r="A482" s="89" t="n">
        <v>29073</v>
      </c>
      <c r="D482" t="n">
        <v>377.7</v>
      </c>
    </row>
    <row r="483">
      <c r="A483" s="89" t="n">
        <v>29080</v>
      </c>
      <c r="D483" t="n">
        <v>378.3</v>
      </c>
    </row>
    <row r="484">
      <c r="A484" s="89" t="n">
        <v>29087</v>
      </c>
      <c r="D484" t="n">
        <v>379.9</v>
      </c>
    </row>
    <row r="485">
      <c r="A485" s="89" t="n">
        <v>29094</v>
      </c>
      <c r="D485" t="n">
        <v>379.4</v>
      </c>
    </row>
    <row r="486">
      <c r="A486" s="89" t="n">
        <v>29099</v>
      </c>
      <c r="B486" t="n">
        <v>509.8</v>
      </c>
      <c r="C486" t="n">
        <v>1954.4</v>
      </c>
      <c r="E486" t="n">
        <v>1454.1</v>
      </c>
    </row>
    <row r="487">
      <c r="A487" s="89" t="n">
        <v>29101</v>
      </c>
      <c r="D487" t="n">
        <v>379</v>
      </c>
    </row>
    <row r="488">
      <c r="A488" s="89" t="n">
        <v>29108</v>
      </c>
      <c r="D488" t="n">
        <v>378.7</v>
      </c>
    </row>
    <row r="489">
      <c r="A489" s="89" t="n">
        <v>29115</v>
      </c>
      <c r="D489" t="n">
        <v>378.1</v>
      </c>
    </row>
    <row r="490">
      <c r="A490" s="89" t="n">
        <v>29122</v>
      </c>
      <c r="D490" t="n">
        <v>379.6</v>
      </c>
    </row>
    <row r="491">
      <c r="A491" s="89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9" t="n">
        <v>29136</v>
      </c>
      <c r="D492" t="n">
        <v>380.7</v>
      </c>
    </row>
    <row r="493">
      <c r="A493" s="89" t="n">
        <v>29143</v>
      </c>
      <c r="D493" t="n">
        <v>381.7</v>
      </c>
    </row>
    <row r="494">
      <c r="A494" s="89" t="n">
        <v>29150</v>
      </c>
      <c r="D494" t="n">
        <v>380.5</v>
      </c>
    </row>
    <row r="495">
      <c r="A495" s="89" t="n">
        <v>29157</v>
      </c>
      <c r="D495" t="n">
        <v>380.9</v>
      </c>
    </row>
    <row r="496">
      <c r="A496" s="89" t="n">
        <v>29160</v>
      </c>
      <c r="B496" t="n">
        <v>501.1</v>
      </c>
      <c r="C496" t="n">
        <v>1928.8</v>
      </c>
      <c r="E496" t="n">
        <v>1465.9</v>
      </c>
    </row>
    <row r="497">
      <c r="A497" s="89" t="n">
        <v>29164</v>
      </c>
      <c r="D497" t="n">
        <v>382.3</v>
      </c>
    </row>
    <row r="498">
      <c r="A498" s="89" t="n">
        <v>29171</v>
      </c>
      <c r="D498" t="n">
        <v>381.1</v>
      </c>
    </row>
    <row r="499">
      <c r="A499" s="89" t="n">
        <v>29178</v>
      </c>
      <c r="D499" t="n">
        <v>381.5</v>
      </c>
    </row>
    <row r="500">
      <c r="A500" s="89" t="n">
        <v>29185</v>
      </c>
      <c r="D500" t="n">
        <v>380.6</v>
      </c>
    </row>
    <row r="501">
      <c r="A501" s="89" t="n">
        <v>29190</v>
      </c>
      <c r="B501" t="n">
        <v>496.5</v>
      </c>
      <c r="C501" t="n">
        <v>1916.4</v>
      </c>
      <c r="E501" t="n">
        <v>1473.7</v>
      </c>
    </row>
    <row r="502">
      <c r="A502" s="89" t="n">
        <v>29192</v>
      </c>
      <c r="D502" t="n">
        <v>379.3</v>
      </c>
    </row>
    <row r="503">
      <c r="A503" s="89" t="n">
        <v>29199</v>
      </c>
      <c r="D503" t="n">
        <v>381.2</v>
      </c>
    </row>
    <row r="504">
      <c r="A504" s="89" t="n">
        <v>29206</v>
      </c>
      <c r="D504" t="n">
        <v>381</v>
      </c>
    </row>
    <row r="505">
      <c r="A505" s="89" t="n">
        <v>29213</v>
      </c>
      <c r="D505" t="n">
        <v>382.9</v>
      </c>
    </row>
    <row r="506">
      <c r="A506" s="89" t="n">
        <v>29220</v>
      </c>
      <c r="D506" t="n">
        <v>384.2</v>
      </c>
    </row>
    <row r="507">
      <c r="A507" s="89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9" t="n">
        <v>29227</v>
      </c>
      <c r="D508" t="n">
        <v>383.7</v>
      </c>
    </row>
    <row r="509">
      <c r="A509" s="89" t="n">
        <v>29234</v>
      </c>
      <c r="D509" t="n">
        <v>385.5</v>
      </c>
    </row>
    <row r="510">
      <c r="A510" s="89" t="n">
        <v>29241</v>
      </c>
      <c r="D510" t="n">
        <v>384.8</v>
      </c>
    </row>
    <row r="511">
      <c r="A511" s="89" t="n">
        <v>29248</v>
      </c>
      <c r="D511" t="n">
        <v>387.4</v>
      </c>
    </row>
    <row r="512">
      <c r="A512" s="89" t="n">
        <v>29252</v>
      </c>
      <c r="B512" t="n">
        <v>493.8</v>
      </c>
      <c r="C512" t="n">
        <v>1891.9</v>
      </c>
      <c r="E512" t="n">
        <v>1494.6</v>
      </c>
    </row>
    <row r="513">
      <c r="A513" s="89" t="n">
        <v>29255</v>
      </c>
      <c r="D513" t="n">
        <v>390.6</v>
      </c>
    </row>
    <row r="514">
      <c r="A514" s="89" t="n">
        <v>29262</v>
      </c>
      <c r="D514" t="n">
        <v>390.3</v>
      </c>
    </row>
    <row r="515">
      <c r="A515" s="89" t="n">
        <v>29269</v>
      </c>
      <c r="D515" t="n">
        <v>390.3</v>
      </c>
    </row>
    <row r="516">
      <c r="A516" s="89" t="n">
        <v>29276</v>
      </c>
      <c r="D516" t="n">
        <v>389.3</v>
      </c>
    </row>
    <row r="517">
      <c r="A517" s="89" t="n">
        <v>29281</v>
      </c>
      <c r="B517" t="n">
        <v>484.9</v>
      </c>
      <c r="C517" t="n">
        <v>1872.4</v>
      </c>
      <c r="E517" t="n">
        <v>1499.8</v>
      </c>
    </row>
    <row r="518">
      <c r="A518" s="89" t="n">
        <v>29283</v>
      </c>
      <c r="D518" t="n">
        <v>389.4</v>
      </c>
    </row>
    <row r="519">
      <c r="A519" s="89" t="n">
        <v>29290</v>
      </c>
      <c r="D519" t="n">
        <v>388.8</v>
      </c>
    </row>
    <row r="520">
      <c r="A520" s="89" t="n">
        <v>29297</v>
      </c>
      <c r="D520" t="n">
        <v>389.2</v>
      </c>
    </row>
    <row r="521">
      <c r="A521" s="89" t="n">
        <v>29304</v>
      </c>
      <c r="D521" t="n">
        <v>388.4</v>
      </c>
    </row>
    <row r="522">
      <c r="A522" s="89" t="n">
        <v>29311</v>
      </c>
      <c r="D522" t="n">
        <v>387.1</v>
      </c>
    </row>
    <row r="523">
      <c r="A523" s="89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9" t="n">
        <v>29318</v>
      </c>
      <c r="D524" t="n">
        <v>386</v>
      </c>
    </row>
    <row r="525">
      <c r="A525" s="89" t="n">
        <v>29325</v>
      </c>
      <c r="D525" t="n">
        <v>385</v>
      </c>
    </row>
    <row r="526">
      <c r="A526" s="89" t="n">
        <v>29332</v>
      </c>
      <c r="D526" t="n">
        <v>382.8</v>
      </c>
    </row>
    <row r="527">
      <c r="A527" s="89" t="n">
        <v>29339</v>
      </c>
      <c r="D527" t="n">
        <v>381.3</v>
      </c>
    </row>
    <row r="528">
      <c r="A528" s="89" t="n">
        <v>29342</v>
      </c>
      <c r="B528" t="n">
        <v>471</v>
      </c>
      <c r="C528" t="n">
        <v>1851</v>
      </c>
      <c r="E528" t="n">
        <v>1512.3</v>
      </c>
    </row>
    <row r="529">
      <c r="A529" s="89" t="n">
        <v>29346</v>
      </c>
      <c r="D529" t="n">
        <v>383.6</v>
      </c>
    </row>
    <row r="530">
      <c r="A530" s="89" t="n">
        <v>29353</v>
      </c>
      <c r="D530" t="n">
        <v>383.5</v>
      </c>
    </row>
    <row r="531">
      <c r="A531" s="89" t="n">
        <v>29360</v>
      </c>
      <c r="D531" t="n">
        <v>384.7</v>
      </c>
    </row>
    <row r="532">
      <c r="A532" s="89" t="n">
        <v>29367</v>
      </c>
      <c r="D532" t="n">
        <v>385.8</v>
      </c>
    </row>
    <row r="533">
      <c r="A533" s="89" t="n">
        <v>29373</v>
      </c>
      <c r="B533" t="n">
        <v>471.6</v>
      </c>
      <c r="C533" t="n">
        <v>1853.6</v>
      </c>
      <c r="E533" t="n">
        <v>1529.2</v>
      </c>
    </row>
    <row r="534">
      <c r="A534" s="89" t="n">
        <v>29374</v>
      </c>
      <c r="D534" t="n">
        <v>386.8</v>
      </c>
    </row>
    <row r="535">
      <c r="A535" s="89" t="n">
        <v>29381</v>
      </c>
      <c r="D535" t="n">
        <v>387.1</v>
      </c>
    </row>
    <row r="536">
      <c r="A536" s="89" t="n">
        <v>29388</v>
      </c>
      <c r="D536" t="n">
        <v>389</v>
      </c>
    </row>
    <row r="537">
      <c r="A537" s="89" t="n">
        <v>29395</v>
      </c>
      <c r="D537" t="n">
        <v>389.9</v>
      </c>
    </row>
    <row r="538">
      <c r="A538" s="89" t="n">
        <v>29402</v>
      </c>
      <c r="D538" t="n">
        <v>391.3</v>
      </c>
    </row>
    <row r="539">
      <c r="A539" s="89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9" t="n">
        <v>29409</v>
      </c>
      <c r="D540" t="n">
        <v>391.4</v>
      </c>
    </row>
    <row r="541">
      <c r="A541" s="89" t="n">
        <v>29416</v>
      </c>
      <c r="D541" t="n">
        <v>394.2</v>
      </c>
    </row>
    <row r="542">
      <c r="A542" s="89" t="n">
        <v>29423</v>
      </c>
      <c r="D542" t="n">
        <v>393.9</v>
      </c>
    </row>
    <row r="543">
      <c r="A543" s="89" t="n">
        <v>29430</v>
      </c>
      <c r="D543" t="n">
        <v>394.6</v>
      </c>
    </row>
    <row r="544">
      <c r="A544" s="89" t="n">
        <v>29434</v>
      </c>
      <c r="B544" t="n">
        <v>479.8</v>
      </c>
      <c r="C544" t="n">
        <v>1876.8</v>
      </c>
      <c r="E544" t="n">
        <v>1561.5</v>
      </c>
    </row>
    <row r="545">
      <c r="A545" s="89" t="n">
        <v>29437</v>
      </c>
      <c r="D545" t="n">
        <v>398.8</v>
      </c>
    </row>
    <row r="546">
      <c r="A546" s="89" t="n">
        <v>29444</v>
      </c>
      <c r="D546" t="n">
        <v>398.2</v>
      </c>
    </row>
    <row r="547">
      <c r="A547" s="89" t="n">
        <v>29451</v>
      </c>
      <c r="D547" t="n">
        <v>398.3</v>
      </c>
    </row>
    <row r="548">
      <c r="A548" s="89" t="n">
        <v>29458</v>
      </c>
      <c r="D548" t="n">
        <v>399.3</v>
      </c>
    </row>
    <row r="549">
      <c r="A549" s="89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9" t="n">
        <v>29472</v>
      </c>
      <c r="D550" t="n">
        <v>403.9</v>
      </c>
    </row>
    <row r="551">
      <c r="A551" s="89" t="n">
        <v>29479</v>
      </c>
      <c r="D551" t="n">
        <v>404.7</v>
      </c>
    </row>
    <row r="552">
      <c r="A552" s="89" t="n">
        <v>29486</v>
      </c>
      <c r="D552" t="n">
        <v>405.6</v>
      </c>
    </row>
    <row r="553">
      <c r="A553" s="89" t="n">
        <v>29493</v>
      </c>
      <c r="D553" t="n">
        <v>405.3</v>
      </c>
    </row>
    <row r="554">
      <c r="A554" s="89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9" t="n">
        <v>29500</v>
      </c>
      <c r="D555" t="n">
        <v>408.2</v>
      </c>
    </row>
    <row r="556">
      <c r="A556" s="89" t="n">
        <v>29507</v>
      </c>
      <c r="D556" t="n">
        <v>408.9</v>
      </c>
    </row>
    <row r="557">
      <c r="A557" s="89" t="n">
        <v>29514</v>
      </c>
      <c r="D557" t="n">
        <v>408.6</v>
      </c>
    </row>
    <row r="558">
      <c r="A558" s="89" t="n">
        <v>29521</v>
      </c>
      <c r="D558" t="n">
        <v>409.6</v>
      </c>
    </row>
    <row r="559">
      <c r="A559" s="89" t="n">
        <v>29526</v>
      </c>
      <c r="B559" t="n">
        <v>479.8</v>
      </c>
      <c r="C559" t="n">
        <v>1864.3</v>
      </c>
      <c r="E559" t="n">
        <v>1595.8</v>
      </c>
    </row>
    <row r="560">
      <c r="A560" s="89" t="n">
        <v>29528</v>
      </c>
      <c r="D560" t="n">
        <v>409.2</v>
      </c>
    </row>
    <row r="561">
      <c r="A561" s="89" t="n">
        <v>29535</v>
      </c>
      <c r="D561" t="n">
        <v>410.4</v>
      </c>
    </row>
    <row r="562">
      <c r="A562" s="89" t="n">
        <v>29542</v>
      </c>
      <c r="D562" t="n">
        <v>411.3</v>
      </c>
    </row>
    <row r="563">
      <c r="A563" s="89" t="n">
        <v>29549</v>
      </c>
      <c r="D563" t="n">
        <v>410.8</v>
      </c>
    </row>
    <row r="564">
      <c r="A564" s="89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9" t="n">
        <v>29563</v>
      </c>
      <c r="D565" t="n">
        <v>409.6</v>
      </c>
    </row>
    <row r="566">
      <c r="A566" s="89" t="n">
        <v>29570</v>
      </c>
      <c r="D566" t="n">
        <v>410.7</v>
      </c>
    </row>
    <row r="567">
      <c r="A567" s="89" t="n">
        <v>29577</v>
      </c>
      <c r="D567" t="n">
        <v>409.9</v>
      </c>
    </row>
    <row r="568">
      <c r="A568" s="89" t="n">
        <v>29584</v>
      </c>
      <c r="D568" t="n">
        <v>404.3</v>
      </c>
    </row>
    <row r="569">
      <c r="A569" s="89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9" t="n">
        <v>29591</v>
      </c>
      <c r="D570" t="n">
        <v>407.4</v>
      </c>
    </row>
    <row r="571">
      <c r="A571" s="89" t="n">
        <v>29598</v>
      </c>
      <c r="D571" t="n">
        <v>409.4</v>
      </c>
    </row>
    <row r="572">
      <c r="A572" s="89" t="n">
        <v>29605</v>
      </c>
      <c r="D572" t="n">
        <v>413.2</v>
      </c>
    </row>
    <row r="573">
      <c r="A573" s="89" t="n">
        <v>29612</v>
      </c>
      <c r="D573" t="n">
        <v>413.8</v>
      </c>
    </row>
    <row r="574">
      <c r="A574" s="89" t="n">
        <v>29618</v>
      </c>
      <c r="B574" t="n">
        <v>471.4</v>
      </c>
      <c r="C574" t="n">
        <v>1839.4</v>
      </c>
      <c r="E574" t="n">
        <v>1618.7</v>
      </c>
    </row>
    <row r="575">
      <c r="A575" s="89" t="n">
        <v>29619</v>
      </c>
      <c r="D575" t="n">
        <v>410.8</v>
      </c>
    </row>
    <row r="576">
      <c r="A576" s="89" t="n">
        <v>29626</v>
      </c>
      <c r="D576" t="n">
        <v>413.6</v>
      </c>
    </row>
    <row r="577">
      <c r="A577" s="89" t="n">
        <v>29633</v>
      </c>
      <c r="D577" t="n">
        <v>415.3</v>
      </c>
    </row>
    <row r="578">
      <c r="A578" s="89" t="n">
        <v>29640</v>
      </c>
      <c r="D578" t="n">
        <v>416.6</v>
      </c>
    </row>
    <row r="579">
      <c r="A579" s="89" t="n">
        <v>29646</v>
      </c>
      <c r="B579" t="n">
        <v>472.9</v>
      </c>
      <c r="C579" t="n">
        <v>1847.2</v>
      </c>
      <c r="E579" t="n">
        <v>1636.6</v>
      </c>
    </row>
    <row r="580">
      <c r="A580" s="89" t="n">
        <v>29647</v>
      </c>
      <c r="D580" t="n">
        <v>414.7</v>
      </c>
    </row>
    <row r="581">
      <c r="A581" s="89" t="n">
        <v>29654</v>
      </c>
      <c r="D581" t="n">
        <v>417.4</v>
      </c>
    </row>
    <row r="582">
      <c r="A582" s="89" t="n">
        <v>29661</v>
      </c>
      <c r="D582" t="n">
        <v>419.1</v>
      </c>
    </row>
    <row r="583">
      <c r="A583" s="89" t="n">
        <v>29668</v>
      </c>
      <c r="D583" t="n">
        <v>419.2</v>
      </c>
    </row>
    <row r="584">
      <c r="A584" s="89" t="n">
        <v>29675</v>
      </c>
      <c r="D584" t="n">
        <v>421</v>
      </c>
    </row>
    <row r="585">
      <c r="A585" s="89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9" t="n">
        <v>29682</v>
      </c>
      <c r="D586" t="n">
        <v>424</v>
      </c>
    </row>
    <row r="587">
      <c r="A587" s="89" t="n">
        <v>29689</v>
      </c>
      <c r="D587" t="n">
        <v>426.1</v>
      </c>
    </row>
    <row r="588">
      <c r="A588" s="89" t="n">
        <v>29696</v>
      </c>
      <c r="D588" t="n">
        <v>429.7</v>
      </c>
    </row>
    <row r="589">
      <c r="A589" s="89" t="n">
        <v>29703</v>
      </c>
      <c r="D589" t="n">
        <v>429.2</v>
      </c>
    </row>
    <row r="590">
      <c r="A590" s="89" t="n">
        <v>29707</v>
      </c>
      <c r="B590" t="n">
        <v>473.5</v>
      </c>
      <c r="C590" t="n">
        <v>1855.3</v>
      </c>
      <c r="E590" t="n">
        <v>1664.2</v>
      </c>
    </row>
    <row r="591">
      <c r="A591" s="89" t="n">
        <v>29710</v>
      </c>
      <c r="D591" t="n">
        <v>427.6</v>
      </c>
    </row>
    <row r="592">
      <c r="A592" s="89" t="n">
        <v>29717</v>
      </c>
      <c r="D592" t="n">
        <v>425.7</v>
      </c>
    </row>
    <row r="593">
      <c r="A593" s="89" t="n">
        <v>29724</v>
      </c>
      <c r="D593" t="n">
        <v>423.6</v>
      </c>
    </row>
    <row r="594">
      <c r="A594" s="89" t="n">
        <v>29731</v>
      </c>
      <c r="D594" t="n">
        <v>423.1</v>
      </c>
    </row>
    <row r="595">
      <c r="A595" s="89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9" t="n">
        <v>29745</v>
      </c>
      <c r="D596" t="n">
        <v>423.1</v>
      </c>
    </row>
    <row r="597">
      <c r="A597" s="89" t="n">
        <v>29752</v>
      </c>
      <c r="D597" t="n">
        <v>425.4</v>
      </c>
    </row>
    <row r="598">
      <c r="A598" s="89" t="n">
        <v>29759</v>
      </c>
      <c r="D598" t="n">
        <v>426.6</v>
      </c>
    </row>
    <row r="599">
      <c r="A599" s="89" t="n">
        <v>29766</v>
      </c>
      <c r="D599" t="n">
        <v>425.2</v>
      </c>
    </row>
    <row r="600">
      <c r="A600" s="89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9" t="n">
        <v>29773</v>
      </c>
      <c r="D601" t="n">
        <v>428.8</v>
      </c>
    </row>
    <row r="602">
      <c r="A602" s="89" t="n">
        <v>29780</v>
      </c>
      <c r="D602" t="n">
        <v>426.2</v>
      </c>
    </row>
    <row r="603">
      <c r="A603" s="89" t="n">
        <v>29787</v>
      </c>
      <c r="D603" t="n">
        <v>427.4</v>
      </c>
    </row>
    <row r="604">
      <c r="A604" s="89" t="n">
        <v>29794</v>
      </c>
      <c r="D604" t="n">
        <v>426.2</v>
      </c>
    </row>
    <row r="605">
      <c r="A605" s="89" t="n">
        <v>29799</v>
      </c>
      <c r="B605" t="n">
        <v>463</v>
      </c>
      <c r="C605" t="n">
        <v>1837.6</v>
      </c>
      <c r="E605" t="n">
        <v>1694.3</v>
      </c>
    </row>
    <row r="606">
      <c r="A606" s="89" t="n">
        <v>29801</v>
      </c>
      <c r="D606" t="n">
        <v>425.9</v>
      </c>
    </row>
    <row r="607">
      <c r="A607" s="89" t="n">
        <v>29808</v>
      </c>
      <c r="D607" t="n">
        <v>429</v>
      </c>
    </row>
    <row r="608">
      <c r="A608" s="89" t="n">
        <v>29815</v>
      </c>
      <c r="D608" t="n">
        <v>426.3</v>
      </c>
    </row>
    <row r="609">
      <c r="A609" s="89" t="n">
        <v>29822</v>
      </c>
      <c r="D609" t="n">
        <v>425.8</v>
      </c>
    </row>
    <row r="610">
      <c r="A610" s="89" t="n">
        <v>29829</v>
      </c>
      <c r="D610" t="n">
        <v>427</v>
      </c>
    </row>
    <row r="611">
      <c r="A611" s="89" t="n">
        <v>29830</v>
      </c>
      <c r="B611" t="n">
        <v>458.6</v>
      </c>
      <c r="C611" t="n">
        <v>1832.4</v>
      </c>
      <c r="E611" t="n">
        <v>1706</v>
      </c>
    </row>
    <row r="612">
      <c r="A612" s="89" t="n">
        <v>29836</v>
      </c>
      <c r="D612" t="n">
        <v>425.6</v>
      </c>
    </row>
    <row r="613">
      <c r="A613" s="89" t="n">
        <v>29843</v>
      </c>
      <c r="D613" t="n">
        <v>429</v>
      </c>
    </row>
    <row r="614">
      <c r="A614" s="89" t="n">
        <v>29850</v>
      </c>
      <c r="D614" t="n">
        <v>428.3</v>
      </c>
    </row>
    <row r="615">
      <c r="A615" s="89" t="n">
        <v>29857</v>
      </c>
      <c r="D615" t="n">
        <v>424.9</v>
      </c>
    </row>
    <row r="616">
      <c r="A616" s="89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9" t="n">
        <v>29864</v>
      </c>
      <c r="D617" t="n">
        <v>427</v>
      </c>
    </row>
    <row r="618">
      <c r="A618" s="89" t="n">
        <v>29871</v>
      </c>
      <c r="D618" t="n">
        <v>428.3</v>
      </c>
    </row>
    <row r="619">
      <c r="A619" s="89" t="n">
        <v>29878</v>
      </c>
      <c r="D619" t="n">
        <v>428.9</v>
      </c>
    </row>
    <row r="620">
      <c r="A620" s="89" t="n">
        <v>29885</v>
      </c>
      <c r="D620" t="n">
        <v>428.9</v>
      </c>
    </row>
    <row r="621">
      <c r="A621" s="89" t="n">
        <v>29891</v>
      </c>
      <c r="B621" t="n">
        <v>459.8</v>
      </c>
      <c r="C621" t="n">
        <v>1850.9</v>
      </c>
      <c r="E621" t="n">
        <v>1736.1</v>
      </c>
    </row>
    <row r="622">
      <c r="A622" s="89" t="n">
        <v>29892</v>
      </c>
      <c r="D622" t="n">
        <v>428.3</v>
      </c>
    </row>
    <row r="623">
      <c r="A623" s="89" t="n">
        <v>29899</v>
      </c>
      <c r="D623" t="n">
        <v>430.6</v>
      </c>
    </row>
    <row r="624">
      <c r="A624" s="89" t="n">
        <v>29906</v>
      </c>
      <c r="D624" t="n">
        <v>431.4</v>
      </c>
    </row>
    <row r="625">
      <c r="A625" s="89" t="n">
        <v>29913</v>
      </c>
      <c r="D625" t="n">
        <v>430.4</v>
      </c>
    </row>
    <row r="626">
      <c r="A626" s="89" t="n">
        <v>29920</v>
      </c>
      <c r="D626" t="n">
        <v>433.5</v>
      </c>
    </row>
    <row r="627">
      <c r="A627" s="89" t="n">
        <v>29921</v>
      </c>
      <c r="B627" t="n">
        <v>464.1</v>
      </c>
      <c r="C627" t="n">
        <v>1865.6</v>
      </c>
      <c r="E627" t="n">
        <v>1755.5</v>
      </c>
    </row>
    <row r="628">
      <c r="A628" s="89" t="n">
        <v>29927</v>
      </c>
      <c r="D628" t="n">
        <v>436.2</v>
      </c>
    </row>
    <row r="629">
      <c r="A629" s="89" t="n">
        <v>29934</v>
      </c>
      <c r="D629" t="n">
        <v>435.1</v>
      </c>
    </row>
    <row r="630">
      <c r="A630" s="89" t="n">
        <v>29941</v>
      </c>
      <c r="D630" t="n">
        <v>437.2</v>
      </c>
    </row>
    <row r="631">
      <c r="A631" s="89" t="n">
        <v>29948</v>
      </c>
      <c r="D631" t="n">
        <v>436.7</v>
      </c>
    </row>
    <row r="632">
      <c r="A632" s="89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9" t="n">
        <v>29955</v>
      </c>
      <c r="D633" t="n">
        <v>440.2</v>
      </c>
    </row>
    <row r="634">
      <c r="A634" s="89" t="n">
        <v>29962</v>
      </c>
      <c r="D634" t="n">
        <v>442.7</v>
      </c>
    </row>
    <row r="635">
      <c r="A635" s="89" t="n">
        <v>29969</v>
      </c>
      <c r="D635" t="n">
        <v>442.8</v>
      </c>
    </row>
    <row r="636">
      <c r="A636" s="89" t="n">
        <v>29976</v>
      </c>
      <c r="D636" t="n">
        <v>442.7</v>
      </c>
    </row>
    <row r="637">
      <c r="A637" s="89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9" t="n">
        <v>29990</v>
      </c>
      <c r="D638" t="n">
        <v>441.3</v>
      </c>
    </row>
    <row r="639">
      <c r="A639" s="89" t="n">
        <v>29997</v>
      </c>
      <c r="D639" t="n">
        <v>442.3</v>
      </c>
    </row>
    <row r="640">
      <c r="A640" s="89" t="n">
        <v>30004</v>
      </c>
      <c r="D640" t="n">
        <v>441.6</v>
      </c>
    </row>
    <row r="641">
      <c r="A641" s="89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9" t="n">
        <v>30018</v>
      </c>
      <c r="D642" t="n">
        <v>442.1</v>
      </c>
    </row>
    <row r="643">
      <c r="A643" s="89" t="n">
        <v>30025</v>
      </c>
      <c r="D643" t="n">
        <v>443.4</v>
      </c>
    </row>
    <row r="644">
      <c r="A644" s="89" t="n">
        <v>30032</v>
      </c>
      <c r="D644" t="n">
        <v>442.4</v>
      </c>
    </row>
    <row r="645">
      <c r="A645" s="89" t="n">
        <v>30039</v>
      </c>
      <c r="D645" t="n">
        <v>442.4</v>
      </c>
    </row>
    <row r="646">
      <c r="A646" s="89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9" t="n">
        <v>30046</v>
      </c>
      <c r="D647" t="n">
        <v>445.2</v>
      </c>
    </row>
    <row r="648">
      <c r="A648" s="89" t="n">
        <v>30053</v>
      </c>
      <c r="D648" t="n">
        <v>447.6</v>
      </c>
    </row>
    <row r="649">
      <c r="A649" s="89" t="n">
        <v>30060</v>
      </c>
      <c r="D649" t="n">
        <v>448.5</v>
      </c>
    </row>
    <row r="650">
      <c r="A650" s="89" t="n">
        <v>30067</v>
      </c>
      <c r="D650" t="n">
        <v>447.7</v>
      </c>
    </row>
    <row r="651">
      <c r="A651" s="89" t="n">
        <v>30072</v>
      </c>
      <c r="B651" t="n">
        <v>465.8</v>
      </c>
      <c r="C651" t="n">
        <v>1893</v>
      </c>
      <c r="E651" t="n">
        <v>1815.4</v>
      </c>
    </row>
    <row r="652">
      <c r="A652" s="89" t="n">
        <v>30074</v>
      </c>
      <c r="D652" t="n">
        <v>445.3</v>
      </c>
    </row>
    <row r="653">
      <c r="A653" s="89" t="n">
        <v>30081</v>
      </c>
      <c r="D653" t="n">
        <v>447.2</v>
      </c>
    </row>
    <row r="654">
      <c r="A654" s="89" t="n">
        <v>30088</v>
      </c>
      <c r="D654" t="n">
        <v>445.9</v>
      </c>
    </row>
    <row r="655">
      <c r="A655" s="89" t="n">
        <v>30095</v>
      </c>
      <c r="D655" t="n">
        <v>447.1</v>
      </c>
    </row>
    <row r="656">
      <c r="A656" s="89" t="n">
        <v>30102</v>
      </c>
      <c r="D656" t="n">
        <v>447.4</v>
      </c>
    </row>
    <row r="657">
      <c r="A657" s="89" t="n">
        <v>30103</v>
      </c>
      <c r="B657" t="n">
        <v>461.3</v>
      </c>
      <c r="C657" t="n">
        <v>1882.5</v>
      </c>
      <c r="E657" t="n">
        <v>1826</v>
      </c>
    </row>
    <row r="658">
      <c r="A658" s="89" t="n">
        <v>30109</v>
      </c>
      <c r="D658" t="n">
        <v>448</v>
      </c>
    </row>
    <row r="659">
      <c r="A659" s="89" t="n">
        <v>30116</v>
      </c>
      <c r="D659" t="n">
        <v>449.1</v>
      </c>
    </row>
    <row r="660">
      <c r="A660" s="89" t="n">
        <v>30123</v>
      </c>
      <c r="D660" t="n">
        <v>448.3</v>
      </c>
    </row>
    <row r="661">
      <c r="A661" s="89" t="n">
        <v>30130</v>
      </c>
      <c r="D661" t="n">
        <v>445</v>
      </c>
    </row>
    <row r="662">
      <c r="A662" s="89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9" t="n">
        <v>30137</v>
      </c>
      <c r="D663" t="n">
        <v>446.1</v>
      </c>
    </row>
    <row r="664">
      <c r="A664" s="89" t="n">
        <v>30144</v>
      </c>
      <c r="D664" t="n">
        <v>449</v>
      </c>
    </row>
    <row r="665">
      <c r="A665" s="89" t="n">
        <v>30151</v>
      </c>
      <c r="D665" t="n">
        <v>447.8</v>
      </c>
    </row>
    <row r="666">
      <c r="A666" s="89" t="n">
        <v>30158</v>
      </c>
      <c r="D666" t="n">
        <v>448.4</v>
      </c>
    </row>
    <row r="667">
      <c r="A667" s="89" t="n">
        <v>30164</v>
      </c>
      <c r="B667" t="n">
        <v>462</v>
      </c>
      <c r="C667" t="n">
        <v>1888.6</v>
      </c>
      <c r="E667" t="n">
        <v>1845.2</v>
      </c>
    </row>
    <row r="668">
      <c r="A668" s="89" t="n">
        <v>30165</v>
      </c>
      <c r="D668" t="n">
        <v>448.5</v>
      </c>
    </row>
    <row r="669">
      <c r="A669" s="89" t="n">
        <v>30172</v>
      </c>
      <c r="D669" t="n">
        <v>449.6</v>
      </c>
    </row>
    <row r="670">
      <c r="A670" s="89" t="n">
        <v>30179</v>
      </c>
      <c r="D670" t="n">
        <v>451.2</v>
      </c>
    </row>
    <row r="671">
      <c r="A671" s="89" t="n">
        <v>30186</v>
      </c>
      <c r="D671" t="n">
        <v>452.3</v>
      </c>
    </row>
    <row r="672">
      <c r="A672" s="89" t="n">
        <v>30193</v>
      </c>
      <c r="D672" t="n">
        <v>453.1</v>
      </c>
    </row>
    <row r="673">
      <c r="A673" s="89" t="n">
        <v>30195</v>
      </c>
      <c r="B673" t="n">
        <v>467.7</v>
      </c>
      <c r="C673" t="n">
        <v>1902.1</v>
      </c>
      <c r="E673" t="n">
        <v>1858.4</v>
      </c>
    </row>
    <row r="674">
      <c r="A674" s="89" t="n">
        <v>30200</v>
      </c>
      <c r="D674" t="n">
        <v>454.5</v>
      </c>
    </row>
    <row r="675">
      <c r="A675" s="89" t="n">
        <v>30207</v>
      </c>
      <c r="D675" t="n">
        <v>456.6</v>
      </c>
    </row>
    <row r="676">
      <c r="A676" s="89" t="n">
        <v>30214</v>
      </c>
      <c r="D676" t="n">
        <v>458.2</v>
      </c>
    </row>
    <row r="677">
      <c r="A677" s="89" t="n">
        <v>30221</v>
      </c>
      <c r="D677" t="n">
        <v>456.6</v>
      </c>
    </row>
    <row r="678">
      <c r="A678" s="89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9" t="n">
        <v>30228</v>
      </c>
      <c r="D679" t="n">
        <v>460</v>
      </c>
    </row>
    <row r="680">
      <c r="A680" s="89" t="n">
        <v>30235</v>
      </c>
      <c r="D680" t="n">
        <v>463.3</v>
      </c>
    </row>
    <row r="681">
      <c r="A681" s="89" t="n">
        <v>30242</v>
      </c>
      <c r="D681" t="n">
        <v>463.9</v>
      </c>
    </row>
    <row r="682">
      <c r="A682" s="89" t="n">
        <v>30249</v>
      </c>
      <c r="D682" t="n">
        <v>465.5</v>
      </c>
    </row>
    <row r="683">
      <c r="A683" s="89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9" t="n">
        <v>30263</v>
      </c>
      <c r="D684" t="n">
        <v>470.4</v>
      </c>
    </row>
    <row r="685">
      <c r="A685" s="89" t="n">
        <v>30270</v>
      </c>
      <c r="D685" t="n">
        <v>472.1</v>
      </c>
    </row>
    <row r="686">
      <c r="A686" s="89" t="n">
        <v>30277</v>
      </c>
      <c r="D686" t="n">
        <v>471.9</v>
      </c>
    </row>
    <row r="687">
      <c r="A687" s="89" t="n">
        <v>30284</v>
      </c>
      <c r="D687" t="n">
        <v>471.5</v>
      </c>
    </row>
    <row r="688">
      <c r="A688" s="89" t="n">
        <v>30286</v>
      </c>
      <c r="B688" t="n">
        <v>486</v>
      </c>
      <c r="C688" t="n">
        <v>1950.8</v>
      </c>
      <c r="E688" t="n">
        <v>1905.9</v>
      </c>
    </row>
    <row r="689">
      <c r="A689" s="89" t="n">
        <v>30291</v>
      </c>
      <c r="D689" t="n">
        <v>474.2</v>
      </c>
    </row>
    <row r="690">
      <c r="A690" s="89" t="n">
        <v>30298</v>
      </c>
      <c r="D690" t="n">
        <v>477.1</v>
      </c>
    </row>
    <row r="691">
      <c r="A691" s="89" t="n">
        <v>30305</v>
      </c>
      <c r="D691" t="n">
        <v>475.2</v>
      </c>
    </row>
    <row r="692">
      <c r="A692" s="89" t="n">
        <v>30312</v>
      </c>
      <c r="D692" t="n">
        <v>473.9</v>
      </c>
    </row>
    <row r="693">
      <c r="A693" s="89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9" t="n">
        <v>30319</v>
      </c>
      <c r="D694" t="n">
        <v>472.6</v>
      </c>
    </row>
    <row r="695">
      <c r="A695" s="89" t="n">
        <v>30326</v>
      </c>
      <c r="D695" t="n">
        <v>475.3</v>
      </c>
    </row>
    <row r="696">
      <c r="A696" s="89" t="n">
        <v>30333</v>
      </c>
      <c r="D696" t="n">
        <v>477.2</v>
      </c>
    </row>
    <row r="697">
      <c r="A697" s="89" t="n">
        <v>30340</v>
      </c>
      <c r="D697" t="n">
        <v>478.4</v>
      </c>
    </row>
    <row r="698">
      <c r="A698" s="89" t="n">
        <v>30347</v>
      </c>
      <c r="D698" t="n">
        <v>479.7</v>
      </c>
    </row>
    <row r="699">
      <c r="A699" s="89" t="n">
        <v>30348</v>
      </c>
      <c r="B699" t="n">
        <v>494.2</v>
      </c>
      <c r="C699" t="n">
        <v>2037.6</v>
      </c>
      <c r="E699" t="n">
        <v>1996.8</v>
      </c>
    </row>
    <row r="700">
      <c r="A700" s="89" t="n">
        <v>30354</v>
      </c>
      <c r="D700" t="n">
        <v>482.3</v>
      </c>
    </row>
    <row r="701">
      <c r="A701" s="89" t="n">
        <v>30361</v>
      </c>
      <c r="D701" t="n">
        <v>483.4</v>
      </c>
    </row>
    <row r="702">
      <c r="A702" s="89" t="n">
        <v>30368</v>
      </c>
      <c r="D702" t="n">
        <v>483.9</v>
      </c>
    </row>
    <row r="703">
      <c r="A703" s="89" t="n">
        <v>30375</v>
      </c>
      <c r="D703" t="n">
        <v>487.5</v>
      </c>
    </row>
    <row r="704">
      <c r="A704" s="89" t="n">
        <v>30376</v>
      </c>
      <c r="B704" t="n">
        <v>500.1</v>
      </c>
      <c r="C704" t="n">
        <v>2054.2</v>
      </c>
      <c r="E704" t="n">
        <v>2015.2</v>
      </c>
    </row>
    <row r="705">
      <c r="A705" s="89" t="n">
        <v>30382</v>
      </c>
      <c r="D705" t="n">
        <v>489.6</v>
      </c>
    </row>
    <row r="706">
      <c r="A706" s="89" t="n">
        <v>30389</v>
      </c>
      <c r="D706" t="n">
        <v>489.6</v>
      </c>
    </row>
    <row r="707">
      <c r="A707" s="89" t="n">
        <v>30396</v>
      </c>
      <c r="D707" t="n">
        <v>490.9</v>
      </c>
    </row>
    <row r="708">
      <c r="A708" s="89" t="n">
        <v>30403</v>
      </c>
      <c r="D708" t="n">
        <v>491</v>
      </c>
    </row>
    <row r="709">
      <c r="A709" s="89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9" t="n">
        <v>30410</v>
      </c>
      <c r="D710" t="n">
        <v>493.4</v>
      </c>
    </row>
    <row r="711">
      <c r="A711" s="89" t="n">
        <v>30417</v>
      </c>
      <c r="D711" t="n">
        <v>493.7</v>
      </c>
    </row>
    <row r="712">
      <c r="A712" s="89" t="n">
        <v>30424</v>
      </c>
      <c r="D712" t="n">
        <v>491.2</v>
      </c>
    </row>
    <row r="713">
      <c r="A713" s="89" t="n">
        <v>30431</v>
      </c>
      <c r="D713" t="n">
        <v>492.5</v>
      </c>
    </row>
    <row r="714">
      <c r="A714" s="89" t="n">
        <v>30437</v>
      </c>
      <c r="B714" t="n">
        <v>504</v>
      </c>
      <c r="C714" t="n">
        <v>2059.6</v>
      </c>
      <c r="E714" t="n">
        <v>2043.1</v>
      </c>
    </row>
    <row r="715">
      <c r="A715" s="89" t="n">
        <v>30438</v>
      </c>
      <c r="D715" t="n">
        <v>496</v>
      </c>
    </row>
    <row r="716">
      <c r="A716" s="89" t="n">
        <v>30445</v>
      </c>
      <c r="D716" t="n">
        <v>497.5</v>
      </c>
    </row>
    <row r="717">
      <c r="A717" s="89" t="n">
        <v>30452</v>
      </c>
      <c r="D717" t="n">
        <v>501.3</v>
      </c>
    </row>
    <row r="718">
      <c r="A718" s="89" t="n">
        <v>30459</v>
      </c>
      <c r="D718" t="n">
        <v>500.9</v>
      </c>
    </row>
    <row r="719">
      <c r="A719" s="89" t="n">
        <v>30466</v>
      </c>
      <c r="D719" t="n">
        <v>501</v>
      </c>
    </row>
    <row r="720">
      <c r="A720" s="89" t="n">
        <v>30468</v>
      </c>
      <c r="B720" t="n">
        <v>507</v>
      </c>
      <c r="C720" t="n">
        <v>2065.9</v>
      </c>
      <c r="E720" t="n">
        <v>2053.5</v>
      </c>
    </row>
    <row r="721">
      <c r="A721" s="89" t="n">
        <v>30473</v>
      </c>
      <c r="D721" t="n">
        <v>502.6</v>
      </c>
    </row>
    <row r="722">
      <c r="A722" s="89" t="n">
        <v>30480</v>
      </c>
      <c r="D722" t="n">
        <v>504.2</v>
      </c>
    </row>
    <row r="723">
      <c r="A723" s="89" t="n">
        <v>30487</v>
      </c>
      <c r="D723" t="n">
        <v>504.4</v>
      </c>
    </row>
    <row r="724">
      <c r="A724" s="89" t="n">
        <v>30494</v>
      </c>
      <c r="D724" t="n">
        <v>503.9</v>
      </c>
    </row>
    <row r="725">
      <c r="A725" s="89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9" t="n">
        <v>30501</v>
      </c>
      <c r="D726" t="n">
        <v>505.1</v>
      </c>
    </row>
    <row r="727">
      <c r="A727" s="89" t="n">
        <v>30508</v>
      </c>
      <c r="D727" t="n">
        <v>508.2</v>
      </c>
    </row>
    <row r="728">
      <c r="A728" s="89" t="n">
        <v>30515</v>
      </c>
      <c r="D728" t="n">
        <v>506.8</v>
      </c>
    </row>
    <row r="729">
      <c r="A729" s="89" t="n">
        <v>30522</v>
      </c>
      <c r="D729" t="n">
        <v>508.2</v>
      </c>
    </row>
    <row r="730">
      <c r="A730" s="89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9" t="n">
        <v>30536</v>
      </c>
      <c r="D731" t="n">
        <v>509.1</v>
      </c>
    </row>
    <row r="732">
      <c r="A732" s="89" t="n">
        <v>30543</v>
      </c>
      <c r="D732" t="n">
        <v>510.8</v>
      </c>
    </row>
    <row r="733">
      <c r="A733" s="89" t="n">
        <v>30550</v>
      </c>
      <c r="D733" t="n">
        <v>510.9</v>
      </c>
    </row>
    <row r="734">
      <c r="A734" s="89" t="n">
        <v>30557</v>
      </c>
      <c r="D734" t="n">
        <v>510.6</v>
      </c>
    </row>
    <row r="735">
      <c r="A735" s="89" t="n">
        <v>30560</v>
      </c>
      <c r="B735" t="n">
        <v>510.8</v>
      </c>
      <c r="C735" t="n">
        <v>2074.9</v>
      </c>
      <c r="E735" t="n">
        <v>2083.2</v>
      </c>
    </row>
    <row r="736">
      <c r="A736" s="89" t="n">
        <v>30564</v>
      </c>
      <c r="D736" t="n">
        <v>512.3</v>
      </c>
    </row>
    <row r="737">
      <c r="A737" s="89" t="n">
        <v>30571</v>
      </c>
      <c r="D737" t="n">
        <v>511.8</v>
      </c>
    </row>
    <row r="738">
      <c r="A738" s="89" t="n">
        <v>30578</v>
      </c>
      <c r="D738" t="n">
        <v>512.3</v>
      </c>
    </row>
    <row r="739">
      <c r="A739" s="89" t="n">
        <v>30585</v>
      </c>
      <c r="D739" t="n">
        <v>514</v>
      </c>
    </row>
    <row r="740">
      <c r="A740" s="89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9" t="n">
        <v>30592</v>
      </c>
      <c r="D741" t="n">
        <v>513.8</v>
      </c>
    </row>
    <row r="742">
      <c r="A742" s="89" t="n">
        <v>30599</v>
      </c>
      <c r="D742" t="n">
        <v>517.3</v>
      </c>
    </row>
    <row r="743">
      <c r="A743" s="89" t="n">
        <v>30606</v>
      </c>
      <c r="D743" t="n">
        <v>517.7</v>
      </c>
    </row>
    <row r="744">
      <c r="A744" s="89" t="n">
        <v>30613</v>
      </c>
      <c r="D744" t="n">
        <v>518.5</v>
      </c>
    </row>
    <row r="745">
      <c r="A745" s="89" t="n">
        <v>30620</v>
      </c>
      <c r="D745" t="n">
        <v>518.4</v>
      </c>
    </row>
    <row r="746">
      <c r="A746" s="89" t="n">
        <v>30621</v>
      </c>
      <c r="B746" t="n">
        <v>513.4</v>
      </c>
      <c r="C746" t="n">
        <v>2089.3</v>
      </c>
      <c r="E746" t="n">
        <v>2112.3</v>
      </c>
    </row>
    <row r="747">
      <c r="A747" s="89" t="n">
        <v>30627</v>
      </c>
      <c r="D747" t="n">
        <v>518.9</v>
      </c>
    </row>
    <row r="748">
      <c r="A748" s="89" t="n">
        <v>30634</v>
      </c>
      <c r="D748" t="n">
        <v>519.1</v>
      </c>
    </row>
    <row r="749">
      <c r="A749" s="89" t="n">
        <v>30641</v>
      </c>
      <c r="D749" t="n">
        <v>518.8</v>
      </c>
    </row>
    <row r="750">
      <c r="A750" s="89" t="n">
        <v>30648</v>
      </c>
      <c r="D750" t="n">
        <v>518.6</v>
      </c>
    </row>
    <row r="751">
      <c r="A751" s="89" t="n">
        <v>30651</v>
      </c>
      <c r="B751" t="n">
        <v>514.2</v>
      </c>
      <c r="C751" t="n">
        <v>2094.2</v>
      </c>
      <c r="E751" t="n">
        <v>2123.5</v>
      </c>
    </row>
    <row r="752">
      <c r="A752" s="89" t="n">
        <v>30655</v>
      </c>
      <c r="D752" t="n">
        <v>520.4</v>
      </c>
    </row>
    <row r="753">
      <c r="A753" s="89" t="n">
        <v>30662</v>
      </c>
      <c r="D753" t="n">
        <v>521.6</v>
      </c>
    </row>
    <row r="754">
      <c r="A754" s="89" t="n">
        <v>30669</v>
      </c>
      <c r="D754" t="n">
        <v>522.2</v>
      </c>
    </row>
    <row r="755">
      <c r="A755" s="89" t="n">
        <v>30676</v>
      </c>
      <c r="D755" t="n">
        <v>520.6</v>
      </c>
    </row>
    <row r="756">
      <c r="A756" s="89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9" t="n">
        <v>30683</v>
      </c>
      <c r="D757" t="n">
        <v>522.2</v>
      </c>
    </row>
    <row r="758">
      <c r="A758" s="89" t="n">
        <v>30690</v>
      </c>
      <c r="D758" t="n">
        <v>525.3</v>
      </c>
    </row>
    <row r="759">
      <c r="A759" s="89" t="n">
        <v>30697</v>
      </c>
      <c r="D759" t="n">
        <v>526.3</v>
      </c>
    </row>
    <row r="760">
      <c r="A760" s="89" t="n">
        <v>30704</v>
      </c>
      <c r="D760" t="n">
        <v>525</v>
      </c>
    </row>
    <row r="761">
      <c r="A761" s="89" t="n">
        <v>30711</v>
      </c>
      <c r="D761" t="n">
        <v>524.2</v>
      </c>
    </row>
    <row r="762">
      <c r="A762" s="89" t="n">
        <v>30713</v>
      </c>
      <c r="B762" t="n">
        <v>514.1</v>
      </c>
      <c r="C762" t="n">
        <v>2103.5</v>
      </c>
      <c r="E762" t="n">
        <v>2158.2</v>
      </c>
    </row>
    <row r="763">
      <c r="A763" s="89" t="n">
        <v>30718</v>
      </c>
      <c r="D763" t="n">
        <v>526.6</v>
      </c>
    </row>
    <row r="764">
      <c r="A764" s="89" t="n">
        <v>30725</v>
      </c>
      <c r="D764" t="n">
        <v>527.1</v>
      </c>
    </row>
    <row r="765">
      <c r="A765" s="89" t="n">
        <v>30732</v>
      </c>
      <c r="D765" t="n">
        <v>528.5</v>
      </c>
    </row>
    <row r="766">
      <c r="A766" s="89" t="n">
        <v>30739</v>
      </c>
      <c r="D766" t="n">
        <v>527.4</v>
      </c>
    </row>
    <row r="767">
      <c r="A767" s="89" t="n">
        <v>30742</v>
      </c>
      <c r="B767" t="n">
        <v>516.4</v>
      </c>
      <c r="C767" t="n">
        <v>2113.9</v>
      </c>
      <c r="E767" t="n">
        <v>2175.2</v>
      </c>
    </row>
    <row r="768">
      <c r="A768" s="89" t="n">
        <v>30746</v>
      </c>
      <c r="D768" t="n">
        <v>529.4</v>
      </c>
    </row>
    <row r="769">
      <c r="A769" s="89" t="n">
        <v>30753</v>
      </c>
      <c r="D769" t="n">
        <v>530</v>
      </c>
    </row>
    <row r="770">
      <c r="A770" s="89" t="n">
        <v>30760</v>
      </c>
      <c r="D770" t="n">
        <v>531.4</v>
      </c>
    </row>
    <row r="771">
      <c r="A771" s="89" t="n">
        <v>30767</v>
      </c>
      <c r="D771" t="n">
        <v>533.3</v>
      </c>
    </row>
    <row r="772">
      <c r="A772" s="89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9" t="n">
        <v>30774</v>
      </c>
      <c r="D773" t="n">
        <v>531.8</v>
      </c>
    </row>
    <row r="774">
      <c r="A774" s="89" t="n">
        <v>30781</v>
      </c>
      <c r="D774" t="n">
        <v>533.8</v>
      </c>
    </row>
    <row r="775">
      <c r="A775" s="89" t="n">
        <v>30788</v>
      </c>
      <c r="D775" t="n">
        <v>535.5</v>
      </c>
    </row>
    <row r="776">
      <c r="A776" s="89" t="n">
        <v>30795</v>
      </c>
      <c r="D776" t="n">
        <v>534.7</v>
      </c>
    </row>
    <row r="777">
      <c r="A777" s="89" t="n">
        <v>30802</v>
      </c>
      <c r="D777" t="n">
        <v>534.5</v>
      </c>
    </row>
    <row r="778">
      <c r="A778" s="89" t="n">
        <v>30803</v>
      </c>
      <c r="B778" t="n">
        <v>518.6</v>
      </c>
      <c r="C778" t="n">
        <v>2129.6</v>
      </c>
      <c r="E778" t="n">
        <v>2204.1</v>
      </c>
    </row>
    <row r="779">
      <c r="A779" s="89" t="n">
        <v>30809</v>
      </c>
      <c r="D779" t="n">
        <v>535.4</v>
      </c>
    </row>
    <row r="780">
      <c r="A780" s="89" t="n">
        <v>30816</v>
      </c>
      <c r="D780" t="n">
        <v>537.4</v>
      </c>
    </row>
    <row r="781">
      <c r="A781" s="89" t="n">
        <v>30823</v>
      </c>
      <c r="D781" t="n">
        <v>537.1</v>
      </c>
    </row>
    <row r="782">
      <c r="A782" s="89" t="n">
        <v>30830</v>
      </c>
      <c r="D782" t="n">
        <v>536.2</v>
      </c>
    </row>
    <row r="783">
      <c r="A783" s="89" t="n">
        <v>30834</v>
      </c>
      <c r="B783" t="n">
        <v>520.9</v>
      </c>
      <c r="C783" t="n">
        <v>2136.1</v>
      </c>
      <c r="E783" t="n">
        <v>2215.1</v>
      </c>
    </row>
    <row r="784">
      <c r="A784" s="89" t="n">
        <v>30837</v>
      </c>
      <c r="D784" t="n">
        <v>539.6</v>
      </c>
    </row>
    <row r="785">
      <c r="A785" s="89" t="n">
        <v>30844</v>
      </c>
      <c r="D785" t="n">
        <v>540.2</v>
      </c>
    </row>
    <row r="786">
      <c r="A786" s="89" t="n">
        <v>30851</v>
      </c>
      <c r="D786" t="n">
        <v>539.3</v>
      </c>
    </row>
    <row r="787">
      <c r="A787" s="89" t="n">
        <v>30858</v>
      </c>
      <c r="D787" t="n">
        <v>540.3</v>
      </c>
    </row>
    <row r="788">
      <c r="A788" s="89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9" t="n">
        <v>30865</v>
      </c>
      <c r="D789" t="n">
        <v>541.1</v>
      </c>
    </row>
    <row r="790">
      <c r="A790" s="89" t="n">
        <v>30872</v>
      </c>
      <c r="D790" t="n">
        <v>539.9</v>
      </c>
    </row>
    <row r="791">
      <c r="A791" s="89" t="n">
        <v>30879</v>
      </c>
      <c r="D791" t="n">
        <v>542.2</v>
      </c>
    </row>
    <row r="792">
      <c r="A792" s="89" t="n">
        <v>30886</v>
      </c>
      <c r="D792" t="n">
        <v>541.3</v>
      </c>
    </row>
    <row r="793">
      <c r="A793" s="89" t="n">
        <v>30893</v>
      </c>
      <c r="D793" t="n">
        <v>539.7</v>
      </c>
    </row>
    <row r="794">
      <c r="A794" s="89" t="n">
        <v>30895</v>
      </c>
      <c r="B794" t="n">
        <v>518.2</v>
      </c>
      <c r="C794" t="n">
        <v>2136.4</v>
      </c>
      <c r="E794" t="n">
        <v>2230.4</v>
      </c>
    </row>
    <row r="795">
      <c r="A795" s="89" t="n">
        <v>30900</v>
      </c>
      <c r="D795" t="n">
        <v>540.5</v>
      </c>
    </row>
    <row r="796">
      <c r="A796" s="89" t="n">
        <v>30907</v>
      </c>
      <c r="D796" t="n">
        <v>541.2</v>
      </c>
    </row>
    <row r="797">
      <c r="A797" s="89" t="n">
        <v>30914</v>
      </c>
      <c r="D797" t="n">
        <v>541.3</v>
      </c>
    </row>
    <row r="798">
      <c r="A798" s="89" t="n">
        <v>30921</v>
      </c>
      <c r="D798" t="n">
        <v>540.7</v>
      </c>
    </row>
    <row r="799">
      <c r="A799" s="89" t="n">
        <v>30926</v>
      </c>
      <c r="B799" t="n">
        <v>518.7</v>
      </c>
      <c r="C799" t="n">
        <v>2143.6</v>
      </c>
      <c r="E799" t="n">
        <v>2244.4</v>
      </c>
    </row>
    <row r="800">
      <c r="A800" s="89" t="n">
        <v>30928</v>
      </c>
      <c r="D800" t="n">
        <v>541.7</v>
      </c>
    </row>
    <row r="801">
      <c r="A801" s="89" t="n">
        <v>30935</v>
      </c>
      <c r="D801" t="n">
        <v>543.4</v>
      </c>
    </row>
    <row r="802">
      <c r="A802" s="89" t="n">
        <v>30942</v>
      </c>
      <c r="D802" t="n">
        <v>542.8</v>
      </c>
    </row>
    <row r="803">
      <c r="A803" s="89" t="n">
        <v>30949</v>
      </c>
      <c r="D803" t="n">
        <v>542.8</v>
      </c>
    </row>
    <row r="804">
      <c r="A804" s="89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9" t="n">
        <v>30963</v>
      </c>
      <c r="D805" t="n">
        <v>542.2</v>
      </c>
    </row>
    <row r="806">
      <c r="A806" s="89" t="n">
        <v>30970</v>
      </c>
      <c r="D806" t="n">
        <v>545.7</v>
      </c>
    </row>
    <row r="807">
      <c r="A807" s="89" t="n">
        <v>30977</v>
      </c>
      <c r="D807" t="n">
        <v>542.1</v>
      </c>
    </row>
    <row r="808">
      <c r="A808" s="89" t="n">
        <v>30984</v>
      </c>
      <c r="D808" t="n">
        <v>544.4</v>
      </c>
    </row>
    <row r="809">
      <c r="A809" s="89" t="n">
        <v>30987</v>
      </c>
      <c r="B809" t="n">
        <v>519.9</v>
      </c>
      <c r="C809" t="n">
        <v>2166.6</v>
      </c>
      <c r="E809" t="n">
        <v>2281.4</v>
      </c>
    </row>
    <row r="810">
      <c r="A810" s="89" t="n">
        <v>30991</v>
      </c>
      <c r="D810" t="n">
        <v>546.4</v>
      </c>
    </row>
    <row r="811">
      <c r="A811" s="89" t="n">
        <v>30998</v>
      </c>
      <c r="D811" t="n">
        <v>546.7</v>
      </c>
    </row>
    <row r="812">
      <c r="A812" s="89" t="n">
        <v>31005</v>
      </c>
      <c r="D812" t="n">
        <v>549.7</v>
      </c>
    </row>
    <row r="813">
      <c r="A813" s="89" t="n">
        <v>31012</v>
      </c>
      <c r="D813" t="n">
        <v>549.1</v>
      </c>
    </row>
    <row r="814">
      <c r="A814" s="89" t="n">
        <v>31017</v>
      </c>
      <c r="B814" t="n">
        <v>522.8</v>
      </c>
      <c r="C814" t="n">
        <v>2186.2</v>
      </c>
      <c r="E814" t="n">
        <v>2306.4</v>
      </c>
    </row>
    <row r="815">
      <c r="A815" s="89" t="n">
        <v>31019</v>
      </c>
      <c r="D815" t="n">
        <v>545.1</v>
      </c>
    </row>
    <row r="816">
      <c r="A816" s="89" t="n">
        <v>31026</v>
      </c>
      <c r="D816" t="n">
        <v>549.6</v>
      </c>
    </row>
    <row r="817">
      <c r="A817" s="89" t="n">
        <v>31033</v>
      </c>
      <c r="D817" t="n">
        <v>550.6</v>
      </c>
    </row>
    <row r="818">
      <c r="A818" s="89" t="n">
        <v>31040</v>
      </c>
      <c r="D818" t="n">
        <v>554</v>
      </c>
    </row>
    <row r="819">
      <c r="A819" s="89" t="n">
        <v>31047</v>
      </c>
      <c r="D819" t="n">
        <v>555.9</v>
      </c>
    </row>
    <row r="820">
      <c r="A820" s="89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9" t="n">
        <v>31054</v>
      </c>
      <c r="D821" t="n">
        <v>554</v>
      </c>
    </row>
    <row r="822">
      <c r="A822" s="89" t="n">
        <v>31061</v>
      </c>
      <c r="D822" t="n">
        <v>555.6</v>
      </c>
    </row>
    <row r="823">
      <c r="A823" s="89" t="n">
        <v>31068</v>
      </c>
      <c r="D823" t="n">
        <v>557.5</v>
      </c>
    </row>
    <row r="824">
      <c r="A824" s="89" t="n">
        <v>31075</v>
      </c>
      <c r="D824" t="n">
        <v>558.8</v>
      </c>
    </row>
    <row r="825">
      <c r="A825" s="89" t="n">
        <v>31079</v>
      </c>
      <c r="B825" t="n">
        <v>530.2</v>
      </c>
      <c r="C825" t="n">
        <v>2214.6</v>
      </c>
      <c r="E825" t="n">
        <v>2354.1</v>
      </c>
    </row>
    <row r="826">
      <c r="A826" s="89" t="n">
        <v>31082</v>
      </c>
      <c r="D826" t="n">
        <v>561.4</v>
      </c>
    </row>
    <row r="827">
      <c r="A827" s="89" t="n">
        <v>31089</v>
      </c>
      <c r="D827" t="n">
        <v>562.4</v>
      </c>
    </row>
    <row r="828">
      <c r="A828" s="89" t="n">
        <v>31096</v>
      </c>
      <c r="D828" t="n">
        <v>563.7</v>
      </c>
    </row>
    <row r="829">
      <c r="A829" s="89" t="n">
        <v>31103</v>
      </c>
      <c r="D829" t="n">
        <v>564.9</v>
      </c>
    </row>
    <row r="830">
      <c r="A830" s="89" t="n">
        <v>31107</v>
      </c>
      <c r="B830" t="n">
        <v>530.5</v>
      </c>
      <c r="C830" t="n">
        <v>2215.5</v>
      </c>
      <c r="E830" t="n">
        <v>2366.2</v>
      </c>
    </row>
    <row r="831">
      <c r="A831" s="89" t="n">
        <v>31110</v>
      </c>
      <c r="D831" t="n">
        <v>565.7</v>
      </c>
    </row>
    <row r="832">
      <c r="A832" s="89" t="n">
        <v>31117</v>
      </c>
      <c r="D832" t="n">
        <v>565.6</v>
      </c>
    </row>
    <row r="833">
      <c r="A833" s="89" t="n">
        <v>31124</v>
      </c>
      <c r="D833" t="n">
        <v>565.1</v>
      </c>
    </row>
    <row r="834">
      <c r="A834" s="89" t="n">
        <v>31131</v>
      </c>
      <c r="D834" t="n">
        <v>567.6</v>
      </c>
    </row>
    <row r="835">
      <c r="A835" s="89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9" t="n">
        <v>31145</v>
      </c>
      <c r="D836" t="n">
        <v>567.8</v>
      </c>
    </row>
    <row r="837">
      <c r="A837" s="89" t="n">
        <v>31152</v>
      </c>
      <c r="D837" t="n">
        <v>571.2</v>
      </c>
    </row>
    <row r="838">
      <c r="A838" s="89" t="n">
        <v>31159</v>
      </c>
      <c r="D838" t="n">
        <v>572.1</v>
      </c>
    </row>
    <row r="839">
      <c r="A839" s="89" t="n">
        <v>31166</v>
      </c>
      <c r="D839" t="n">
        <v>570.4</v>
      </c>
    </row>
    <row r="840">
      <c r="A840" s="89" t="n">
        <v>31168</v>
      </c>
      <c r="B840" t="n">
        <v>536.5</v>
      </c>
      <c r="C840" t="n">
        <v>2229</v>
      </c>
      <c r="E840" t="n">
        <v>2389.5</v>
      </c>
    </row>
    <row r="841">
      <c r="A841" s="89" t="n">
        <v>31173</v>
      </c>
      <c r="D841" t="n">
        <v>571.9</v>
      </c>
    </row>
    <row r="842">
      <c r="A842" s="89" t="n">
        <v>31180</v>
      </c>
      <c r="D842" t="n">
        <v>574</v>
      </c>
    </row>
    <row r="843">
      <c r="A843" s="89" t="n">
        <v>31187</v>
      </c>
      <c r="D843" t="n">
        <v>576.4</v>
      </c>
    </row>
    <row r="844">
      <c r="A844" s="89" t="n">
        <v>31194</v>
      </c>
      <c r="D844" t="n">
        <v>577.1</v>
      </c>
    </row>
    <row r="845">
      <c r="A845" s="89" t="n">
        <v>31199</v>
      </c>
      <c r="B845" t="n">
        <v>541.7</v>
      </c>
      <c r="C845" t="n">
        <v>2244.3</v>
      </c>
      <c r="E845" t="n">
        <v>2412.6</v>
      </c>
    </row>
    <row r="846">
      <c r="A846" s="89" t="n">
        <v>31201</v>
      </c>
      <c r="D846" t="n">
        <v>575.9</v>
      </c>
    </row>
    <row r="847">
      <c r="A847" s="89" t="n">
        <v>31208</v>
      </c>
      <c r="D847" t="n">
        <v>580.5</v>
      </c>
    </row>
    <row r="848">
      <c r="A848" s="89" t="n">
        <v>31215</v>
      </c>
      <c r="D848" t="n">
        <v>581.2</v>
      </c>
    </row>
    <row r="849">
      <c r="A849" s="89" t="n">
        <v>31222</v>
      </c>
      <c r="D849" t="n">
        <v>583.6</v>
      </c>
    </row>
    <row r="850">
      <c r="A850" s="89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9" t="n">
        <v>31236</v>
      </c>
      <c r="D851" t="n">
        <v>585.7</v>
      </c>
    </row>
    <row r="852">
      <c r="A852" s="89" t="n">
        <v>31243</v>
      </c>
      <c r="D852" t="n">
        <v>588.6</v>
      </c>
    </row>
    <row r="853">
      <c r="A853" s="89" t="n">
        <v>31250</v>
      </c>
      <c r="D853" t="n">
        <v>590</v>
      </c>
    </row>
    <row r="854">
      <c r="A854" s="89" t="n">
        <v>31257</v>
      </c>
      <c r="D854" t="n">
        <v>591</v>
      </c>
    </row>
    <row r="855">
      <c r="A855" s="89" t="n">
        <v>31260</v>
      </c>
      <c r="B855" t="n">
        <v>552.5</v>
      </c>
      <c r="C855" t="n">
        <v>2265.1</v>
      </c>
      <c r="E855" t="n">
        <v>2444</v>
      </c>
    </row>
    <row r="856">
      <c r="A856" s="89" t="n">
        <v>31264</v>
      </c>
      <c r="D856" t="n">
        <v>593.6</v>
      </c>
    </row>
    <row r="857">
      <c r="A857" s="89" t="n">
        <v>31271</v>
      </c>
      <c r="D857" t="n">
        <v>594.9</v>
      </c>
    </row>
    <row r="858">
      <c r="A858" s="89" t="n">
        <v>31278</v>
      </c>
      <c r="D858" t="n">
        <v>595.7</v>
      </c>
    </row>
    <row r="859">
      <c r="A859" s="89" t="n">
        <v>31285</v>
      </c>
      <c r="D859" t="n">
        <v>598.5</v>
      </c>
    </row>
    <row r="860">
      <c r="A860" s="89" t="n">
        <v>31291</v>
      </c>
      <c r="B860" t="n">
        <v>558.1</v>
      </c>
      <c r="C860" t="n">
        <v>2272.3</v>
      </c>
      <c r="E860" t="n">
        <v>2456.4</v>
      </c>
    </row>
    <row r="861">
      <c r="A861" s="89" t="n">
        <v>31292</v>
      </c>
      <c r="D861" t="n">
        <v>598.2</v>
      </c>
    </row>
    <row r="862">
      <c r="A862" s="89" t="n">
        <v>31299</v>
      </c>
      <c r="D862" t="n">
        <v>601.3</v>
      </c>
    </row>
    <row r="863">
      <c r="A863" s="89" t="n">
        <v>31306</v>
      </c>
      <c r="D863" t="n">
        <v>601.2</v>
      </c>
    </row>
    <row r="864">
      <c r="A864" s="89" t="n">
        <v>31313</v>
      </c>
      <c r="D864" t="n">
        <v>602</v>
      </c>
    </row>
    <row r="865">
      <c r="A865" s="89" t="n">
        <v>31320</v>
      </c>
      <c r="D865" t="n">
        <v>610.3</v>
      </c>
    </row>
    <row r="866">
      <c r="A866" s="89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9" t="n">
        <v>31327</v>
      </c>
      <c r="D867" t="n">
        <v>606.2</v>
      </c>
    </row>
    <row r="868">
      <c r="A868" s="89" t="n">
        <v>31334</v>
      </c>
      <c r="D868" t="n">
        <v>605.8</v>
      </c>
    </row>
    <row r="869">
      <c r="A869" s="89" t="n">
        <v>31341</v>
      </c>
      <c r="D869" t="n">
        <v>609.5</v>
      </c>
    </row>
    <row r="870">
      <c r="A870" s="89" t="n">
        <v>31348</v>
      </c>
      <c r="D870" t="n">
        <v>608.9</v>
      </c>
    </row>
    <row r="871">
      <c r="A871" s="89" t="n">
        <v>31352</v>
      </c>
      <c r="B871" t="n">
        <v>561.7</v>
      </c>
      <c r="C871" t="n">
        <v>2273.2</v>
      </c>
      <c r="E871" t="n">
        <v>2477.8</v>
      </c>
    </row>
    <row r="872">
      <c r="A872" s="89" t="n">
        <v>31355</v>
      </c>
      <c r="D872" t="n">
        <v>609.9</v>
      </c>
    </row>
    <row r="873">
      <c r="A873" s="89" t="n">
        <v>31362</v>
      </c>
      <c r="D873" t="n">
        <v>609.3</v>
      </c>
    </row>
    <row r="874">
      <c r="A874" s="89" t="n">
        <v>31369</v>
      </c>
      <c r="D874" t="n">
        <v>611</v>
      </c>
    </row>
    <row r="875">
      <c r="A875" s="89" t="n">
        <v>31376</v>
      </c>
      <c r="D875" t="n">
        <v>614.8</v>
      </c>
    </row>
    <row r="876">
      <c r="A876" s="89" t="n">
        <v>31382</v>
      </c>
      <c r="B876" t="n">
        <v>566</v>
      </c>
      <c r="C876" t="n">
        <v>2275.9</v>
      </c>
      <c r="E876" t="n">
        <v>2492.1</v>
      </c>
    </row>
    <row r="877">
      <c r="A877" s="89" t="n">
        <v>31383</v>
      </c>
      <c r="D877" t="n">
        <v>616.2</v>
      </c>
    </row>
    <row r="878">
      <c r="A878" s="89" t="n">
        <v>31390</v>
      </c>
      <c r="D878" t="n">
        <v>618.2</v>
      </c>
    </row>
    <row r="879">
      <c r="A879" s="89" t="n">
        <v>31397</v>
      </c>
      <c r="D879" t="n">
        <v>619.5</v>
      </c>
    </row>
    <row r="880">
      <c r="A880" s="89" t="n">
        <v>31404</v>
      </c>
      <c r="D880" t="n">
        <v>622.4</v>
      </c>
    </row>
    <row r="881">
      <c r="A881" s="89" t="n">
        <v>31411</v>
      </c>
      <c r="D881" t="n">
        <v>619.9</v>
      </c>
    </row>
    <row r="882">
      <c r="A882" s="89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9" t="n">
        <v>31418</v>
      </c>
      <c r="D883" t="n">
        <v>622</v>
      </c>
    </row>
    <row r="884">
      <c r="A884" s="89" t="n">
        <v>31425</v>
      </c>
      <c r="D884" t="n">
        <v>620.1</v>
      </c>
    </row>
    <row r="885">
      <c r="A885" s="89" t="n">
        <v>31432</v>
      </c>
      <c r="D885" t="n">
        <v>620.9</v>
      </c>
    </row>
    <row r="886">
      <c r="A886" s="89" t="n">
        <v>31439</v>
      </c>
      <c r="D886" t="n">
        <v>623.4</v>
      </c>
    </row>
    <row r="887">
      <c r="A887" s="89" t="n">
        <v>31444</v>
      </c>
      <c r="B887" t="n">
        <v>569.9</v>
      </c>
      <c r="C887" t="n">
        <v>2290.7</v>
      </c>
      <c r="E887" t="n">
        <v>2512.9</v>
      </c>
    </row>
    <row r="888">
      <c r="A888" s="89" t="n">
        <v>31446</v>
      </c>
      <c r="D888" t="n">
        <v>620.3</v>
      </c>
    </row>
    <row r="889">
      <c r="A889" s="89" t="n">
        <v>31453</v>
      </c>
      <c r="D889" t="n">
        <v>624.1</v>
      </c>
    </row>
    <row r="890">
      <c r="A890" s="89" t="n">
        <v>31460</v>
      </c>
      <c r="D890" t="n">
        <v>624.4</v>
      </c>
    </row>
    <row r="891">
      <c r="A891" s="89" t="n">
        <v>31467</v>
      </c>
      <c r="D891" t="n">
        <v>627.7</v>
      </c>
    </row>
    <row r="892">
      <c r="A892" s="89" t="n">
        <v>31472</v>
      </c>
      <c r="B892" t="n">
        <v>580.7</v>
      </c>
      <c r="C892" t="n">
        <v>2321.8</v>
      </c>
      <c r="E892" t="n">
        <v>2533.1</v>
      </c>
    </row>
    <row r="893">
      <c r="A893" s="89" t="n">
        <v>31474</v>
      </c>
      <c r="D893" t="n">
        <v>627.5</v>
      </c>
    </row>
    <row r="894">
      <c r="A894" s="89" t="n">
        <v>31481</v>
      </c>
      <c r="D894" t="n">
        <v>631.7</v>
      </c>
    </row>
    <row r="895">
      <c r="A895" s="89" t="n">
        <v>31488</v>
      </c>
      <c r="D895" t="n">
        <v>633.5</v>
      </c>
    </row>
    <row r="896">
      <c r="A896" s="89" t="n">
        <v>31495</v>
      </c>
      <c r="D896" t="n">
        <v>635.2</v>
      </c>
    </row>
    <row r="897">
      <c r="A897" s="89" t="n">
        <v>31502</v>
      </c>
      <c r="D897" t="n">
        <v>636.1</v>
      </c>
    </row>
    <row r="898">
      <c r="A898" s="89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9" t="n">
        <v>31509</v>
      </c>
      <c r="D899" t="n">
        <v>639.7</v>
      </c>
    </row>
    <row r="900">
      <c r="A900" s="89" t="n">
        <v>31516</v>
      </c>
      <c r="D900" t="n">
        <v>638.1</v>
      </c>
    </row>
    <row r="901">
      <c r="A901" s="89" t="n">
        <v>31523</v>
      </c>
      <c r="D901" t="n">
        <v>640.6</v>
      </c>
    </row>
    <row r="902">
      <c r="A902" s="89" t="n">
        <v>31530</v>
      </c>
      <c r="D902" t="n">
        <v>643.3</v>
      </c>
    </row>
    <row r="903">
      <c r="A903" s="89" t="n">
        <v>31533</v>
      </c>
      <c r="B903" t="n">
        <v>598.2</v>
      </c>
      <c r="C903" t="n">
        <v>2371.4</v>
      </c>
      <c r="E903" t="n">
        <v>2584.8</v>
      </c>
    </row>
    <row r="904">
      <c r="A904" s="89" t="n">
        <v>31537</v>
      </c>
      <c r="D904" t="n">
        <v>648.2</v>
      </c>
    </row>
    <row r="905">
      <c r="A905" s="89" t="n">
        <v>31544</v>
      </c>
      <c r="D905" t="n">
        <v>650.3</v>
      </c>
    </row>
    <row r="906">
      <c r="A906" s="89" t="n">
        <v>31551</v>
      </c>
      <c r="D906" t="n">
        <v>652.2</v>
      </c>
    </row>
    <row r="907">
      <c r="A907" s="89" t="n">
        <v>31558</v>
      </c>
      <c r="D907" t="n">
        <v>654.2</v>
      </c>
    </row>
    <row r="908">
      <c r="A908" s="89" t="n">
        <v>31564</v>
      </c>
      <c r="B908" t="n">
        <v>603.8</v>
      </c>
      <c r="C908" t="n">
        <v>2381.2</v>
      </c>
      <c r="E908" t="n">
        <v>2605</v>
      </c>
    </row>
    <row r="909">
      <c r="A909" s="89" t="n">
        <v>31565</v>
      </c>
      <c r="D909" t="n">
        <v>654.9</v>
      </c>
    </row>
    <row r="910">
      <c r="A910" s="89" t="n">
        <v>31572</v>
      </c>
      <c r="D910" t="n">
        <v>658.1</v>
      </c>
    </row>
    <row r="911">
      <c r="A911" s="89" t="n">
        <v>31579</v>
      </c>
      <c r="D911" t="n">
        <v>661</v>
      </c>
    </row>
    <row r="912">
      <c r="A912" s="89" t="n">
        <v>31586</v>
      </c>
      <c r="D912" t="n">
        <v>660.8</v>
      </c>
    </row>
    <row r="913">
      <c r="A913" s="89" t="n">
        <v>31593</v>
      </c>
      <c r="D913" t="n">
        <v>664.2</v>
      </c>
    </row>
    <row r="914">
      <c r="A914" s="89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9" t="n">
        <v>31600</v>
      </c>
      <c r="D915" t="n">
        <v>665.7</v>
      </c>
    </row>
    <row r="916">
      <c r="A916" s="89" t="n">
        <v>31607</v>
      </c>
      <c r="D916" t="n">
        <v>670</v>
      </c>
    </row>
    <row r="917">
      <c r="A917" s="89" t="n">
        <v>31614</v>
      </c>
      <c r="D917" t="n">
        <v>671.5</v>
      </c>
    </row>
    <row r="918">
      <c r="A918" s="89" t="n">
        <v>31621</v>
      </c>
      <c r="D918" t="n">
        <v>672.4</v>
      </c>
    </row>
    <row r="919">
      <c r="A919" s="89" t="n">
        <v>31625</v>
      </c>
      <c r="B919" t="n">
        <v>619.3</v>
      </c>
      <c r="C919" t="n">
        <v>2414.7</v>
      </c>
      <c r="E919" t="n">
        <v>2646.5</v>
      </c>
    </row>
    <row r="920">
      <c r="A920" s="89" t="n">
        <v>31628</v>
      </c>
      <c r="D920" t="n">
        <v>674.1</v>
      </c>
    </row>
    <row r="921">
      <c r="A921" s="89" t="n">
        <v>31635</v>
      </c>
      <c r="D921" t="n">
        <v>676</v>
      </c>
    </row>
    <row r="922">
      <c r="A922" s="89" t="n">
        <v>31642</v>
      </c>
      <c r="D922" t="n">
        <v>677.5</v>
      </c>
    </row>
    <row r="923">
      <c r="A923" s="89" t="n">
        <v>31649</v>
      </c>
      <c r="D923" t="n">
        <v>679.5</v>
      </c>
    </row>
    <row r="924">
      <c r="A924" s="89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9" t="n">
        <v>31663</v>
      </c>
      <c r="D925" t="n">
        <v>685.4</v>
      </c>
    </row>
    <row r="926">
      <c r="A926" s="89" t="n">
        <v>31670</v>
      </c>
      <c r="D926" t="n">
        <v>685.1</v>
      </c>
    </row>
    <row r="927">
      <c r="A927" s="89" t="n">
        <v>31677</v>
      </c>
      <c r="D927" t="n">
        <v>688.3</v>
      </c>
    </row>
    <row r="928">
      <c r="A928" s="89" t="n">
        <v>31684</v>
      </c>
      <c r="D928" t="n">
        <v>690.6</v>
      </c>
    </row>
    <row r="929">
      <c r="A929" s="89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9" t="n">
        <v>31691</v>
      </c>
      <c r="D930" t="n">
        <v>691.2</v>
      </c>
    </row>
    <row r="931">
      <c r="A931" s="89" t="n">
        <v>31698</v>
      </c>
      <c r="D931" t="n">
        <v>691.2</v>
      </c>
    </row>
    <row r="932">
      <c r="A932" s="89" t="n">
        <v>31705</v>
      </c>
      <c r="D932" t="n">
        <v>695.9</v>
      </c>
    </row>
    <row r="933">
      <c r="A933" s="89" t="n">
        <v>31712</v>
      </c>
      <c r="D933" t="n">
        <v>698.4</v>
      </c>
    </row>
    <row r="934">
      <c r="A934" s="89" t="n">
        <v>31717</v>
      </c>
      <c r="B934" t="n">
        <v>638.9</v>
      </c>
      <c r="C934" t="n">
        <v>2446.8</v>
      </c>
      <c r="E934" t="n">
        <v>2701.3</v>
      </c>
    </row>
    <row r="935">
      <c r="A935" s="89" t="n">
        <v>31719</v>
      </c>
      <c r="D935" t="n">
        <v>698.9</v>
      </c>
    </row>
    <row r="936">
      <c r="A936" s="89" t="n">
        <v>31726</v>
      </c>
      <c r="D936" t="n">
        <v>702.8</v>
      </c>
    </row>
    <row r="937">
      <c r="A937" s="89" t="n">
        <v>31733</v>
      </c>
      <c r="D937" t="n">
        <v>704.3</v>
      </c>
    </row>
    <row r="938">
      <c r="A938" s="89" t="n">
        <v>31740</v>
      </c>
      <c r="D938" t="n">
        <v>704.3</v>
      </c>
    </row>
    <row r="939">
      <c r="A939" s="89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9" t="n">
        <v>31754</v>
      </c>
      <c r="D940" t="n">
        <v>714.6</v>
      </c>
    </row>
    <row r="941">
      <c r="A941" s="89" t="n">
        <v>31761</v>
      </c>
      <c r="D941" t="n">
        <v>718.6</v>
      </c>
    </row>
    <row r="942">
      <c r="A942" s="89" t="n">
        <v>31768</v>
      </c>
      <c r="D942" t="n">
        <v>726.6</v>
      </c>
    </row>
    <row r="943">
      <c r="A943" s="89" t="n">
        <v>31775</v>
      </c>
      <c r="D943" t="n">
        <v>735.2</v>
      </c>
    </row>
    <row r="944">
      <c r="A944" s="89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9" t="n">
        <v>31782</v>
      </c>
      <c r="D945" t="n">
        <v>742.1</v>
      </c>
    </row>
    <row r="946">
      <c r="A946" s="89" t="n">
        <v>31789</v>
      </c>
      <c r="D946" t="n">
        <v>727.9</v>
      </c>
    </row>
    <row r="947">
      <c r="A947" s="89" t="n">
        <v>31796</v>
      </c>
      <c r="D947" t="n">
        <v>725.3</v>
      </c>
    </row>
    <row r="948">
      <c r="A948" s="89" t="n">
        <v>31803</v>
      </c>
      <c r="D948" t="n">
        <v>728.5</v>
      </c>
    </row>
    <row r="949">
      <c r="A949" s="89" t="n">
        <v>31809</v>
      </c>
      <c r="B949" t="n">
        <v>653.6</v>
      </c>
      <c r="C949" t="n">
        <v>2457.5</v>
      </c>
      <c r="E949" t="n">
        <v>2747.5</v>
      </c>
    </row>
    <row r="950">
      <c r="A950" s="89" t="n">
        <v>31810</v>
      </c>
      <c r="D950" t="n">
        <v>729.9</v>
      </c>
    </row>
    <row r="951">
      <c r="A951" s="89" t="n">
        <v>31817</v>
      </c>
      <c r="D951" t="n">
        <v>730.1</v>
      </c>
    </row>
    <row r="952">
      <c r="A952" s="89" t="n">
        <v>31824</v>
      </c>
      <c r="D952" t="n">
        <v>730</v>
      </c>
    </row>
    <row r="953">
      <c r="A953" s="89" t="n">
        <v>31831</v>
      </c>
      <c r="D953" t="n">
        <v>731.7</v>
      </c>
    </row>
    <row r="954">
      <c r="A954" s="89" t="n">
        <v>31837</v>
      </c>
      <c r="B954" t="n">
        <v>654</v>
      </c>
      <c r="C954" t="n">
        <v>2454.3</v>
      </c>
      <c r="E954" t="n">
        <v>2753.7</v>
      </c>
    </row>
    <row r="955">
      <c r="A955" s="89" t="n">
        <v>31838</v>
      </c>
      <c r="D955" t="n">
        <v>731.4</v>
      </c>
    </row>
    <row r="956">
      <c r="A956" s="89" t="n">
        <v>31845</v>
      </c>
      <c r="D956" t="n">
        <v>732.2</v>
      </c>
    </row>
    <row r="957">
      <c r="A957" s="89" t="n">
        <v>31852</v>
      </c>
      <c r="D957" t="n">
        <v>733.9</v>
      </c>
    </row>
    <row r="958">
      <c r="A958" s="89" t="n">
        <v>31859</v>
      </c>
      <c r="D958" t="n">
        <v>733.8</v>
      </c>
    </row>
    <row r="959">
      <c r="A959" s="89" t="n">
        <v>31866</v>
      </c>
      <c r="D959" t="n">
        <v>735.4</v>
      </c>
    </row>
    <row r="960">
      <c r="A960" s="89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9" t="n">
        <v>31873</v>
      </c>
      <c r="D961" t="n">
        <v>737.2</v>
      </c>
    </row>
    <row r="962">
      <c r="A962" s="89" t="n">
        <v>31880</v>
      </c>
      <c r="D962" t="n">
        <v>737.8</v>
      </c>
    </row>
    <row r="963">
      <c r="A963" s="89" t="n">
        <v>31887</v>
      </c>
      <c r="D963" t="n">
        <v>749.4</v>
      </c>
    </row>
    <row r="964">
      <c r="A964" s="89" t="n">
        <v>31894</v>
      </c>
      <c r="D964" t="n">
        <v>749.9</v>
      </c>
    </row>
    <row r="965">
      <c r="A965" s="89" t="n">
        <v>31898</v>
      </c>
      <c r="B965" t="n">
        <v>660</v>
      </c>
      <c r="C965" t="n">
        <v>2453.9</v>
      </c>
      <c r="E965" t="n">
        <v>2772.9</v>
      </c>
    </row>
    <row r="966">
      <c r="A966" s="89" t="n">
        <v>31901</v>
      </c>
      <c r="D966" t="n">
        <v>745.1</v>
      </c>
    </row>
    <row r="967">
      <c r="A967" s="89" t="n">
        <v>31908</v>
      </c>
      <c r="D967" t="n">
        <v>743.3</v>
      </c>
    </row>
    <row r="968">
      <c r="A968" s="89" t="n">
        <v>31915</v>
      </c>
      <c r="D968" t="n">
        <v>744.6</v>
      </c>
    </row>
    <row r="969">
      <c r="A969" s="89" t="n">
        <v>31922</v>
      </c>
      <c r="D969" t="n">
        <v>748.2</v>
      </c>
    </row>
    <row r="970">
      <c r="A970" s="89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9" t="n">
        <v>31936</v>
      </c>
      <c r="D971" t="n">
        <v>742</v>
      </c>
    </row>
    <row r="972">
      <c r="A972" s="89" t="n">
        <v>31943</v>
      </c>
      <c r="D972" t="n">
        <v>743.4</v>
      </c>
    </row>
    <row r="973">
      <c r="A973" s="89" t="n">
        <v>31950</v>
      </c>
      <c r="D973" t="n">
        <v>744</v>
      </c>
    </row>
    <row r="974">
      <c r="A974" s="89" t="n">
        <v>31957</v>
      </c>
      <c r="D974" t="n">
        <v>742.3</v>
      </c>
    </row>
    <row r="975">
      <c r="A975" s="89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9" t="n">
        <v>31964</v>
      </c>
      <c r="D976" t="n">
        <v>745.4</v>
      </c>
    </row>
    <row r="977">
      <c r="A977" s="89" t="n">
        <v>31971</v>
      </c>
      <c r="D977" t="n">
        <v>740.6</v>
      </c>
    </row>
    <row r="978">
      <c r="A978" s="89" t="n">
        <v>31978</v>
      </c>
      <c r="D978" t="n">
        <v>742.9</v>
      </c>
    </row>
    <row r="979">
      <c r="A979" s="89" t="n">
        <v>31985</v>
      </c>
      <c r="D979" t="n">
        <v>744.5</v>
      </c>
    </row>
    <row r="980">
      <c r="A980" s="89" t="n">
        <v>31990</v>
      </c>
      <c r="B980" t="n">
        <v>651.7</v>
      </c>
      <c r="C980" t="n">
        <v>2439.4</v>
      </c>
      <c r="E980" t="n">
        <v>2788.2</v>
      </c>
    </row>
    <row r="981">
      <c r="A981" s="89" t="n">
        <v>31992</v>
      </c>
      <c r="D981" t="n">
        <v>741.4</v>
      </c>
    </row>
    <row r="982">
      <c r="A982" s="89" t="n">
        <v>31999</v>
      </c>
      <c r="D982" t="n">
        <v>743.9</v>
      </c>
    </row>
    <row r="983">
      <c r="A983" s="89" t="n">
        <v>32006</v>
      </c>
      <c r="D983" t="n">
        <v>744.8</v>
      </c>
    </row>
    <row r="984">
      <c r="A984" s="89" t="n">
        <v>32013</v>
      </c>
      <c r="D984" t="n">
        <v>746.3</v>
      </c>
    </row>
    <row r="985">
      <c r="A985" s="89" t="n">
        <v>32020</v>
      </c>
      <c r="D985" t="n">
        <v>746.2</v>
      </c>
    </row>
    <row r="986">
      <c r="A986" s="89" t="n">
        <v>32021</v>
      </c>
      <c r="B986" t="n">
        <v>651.8</v>
      </c>
      <c r="C986" t="n">
        <v>2440.7</v>
      </c>
      <c r="E986" t="n">
        <v>2799.5</v>
      </c>
    </row>
    <row r="987">
      <c r="A987" s="89" t="n">
        <v>32027</v>
      </c>
      <c r="D987" t="n">
        <v>743.5</v>
      </c>
    </row>
    <row r="988">
      <c r="A988" s="89" t="n">
        <v>32034</v>
      </c>
      <c r="D988" t="n">
        <v>746.5</v>
      </c>
    </row>
    <row r="989">
      <c r="A989" s="89" t="n">
        <v>32041</v>
      </c>
      <c r="D989" t="n">
        <v>748.8</v>
      </c>
    </row>
    <row r="990">
      <c r="A990" s="89" t="n">
        <v>32048</v>
      </c>
      <c r="D990" t="n">
        <v>749.8</v>
      </c>
    </row>
    <row r="991">
      <c r="A991" s="89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9" t="n">
        <v>32055</v>
      </c>
      <c r="D992" t="n">
        <v>753.7</v>
      </c>
    </row>
    <row r="993">
      <c r="A993" s="89" t="n">
        <v>32062</v>
      </c>
      <c r="D993" t="n">
        <v>748.9</v>
      </c>
    </row>
    <row r="994">
      <c r="A994" s="89" t="n">
        <v>32069</v>
      </c>
      <c r="D994" t="n">
        <v>755</v>
      </c>
    </row>
    <row r="995">
      <c r="A995" s="89" t="n">
        <v>32076</v>
      </c>
      <c r="D995" t="n">
        <v>765.2</v>
      </c>
    </row>
    <row r="996">
      <c r="A996" s="89" t="n">
        <v>32082</v>
      </c>
      <c r="B996" t="n">
        <v>652.7</v>
      </c>
      <c r="C996" t="n">
        <v>2442.7</v>
      </c>
      <c r="E996" t="n">
        <v>2818.9</v>
      </c>
    </row>
    <row r="997">
      <c r="A997" s="89" t="n">
        <v>32083</v>
      </c>
      <c r="D997" t="n">
        <v>758.5</v>
      </c>
    </row>
    <row r="998">
      <c r="A998" s="89" t="n">
        <v>32090</v>
      </c>
      <c r="D998" t="n">
        <v>755.4</v>
      </c>
    </row>
    <row r="999">
      <c r="A999" s="89" t="n">
        <v>32097</v>
      </c>
      <c r="D999" t="n">
        <v>752.9</v>
      </c>
    </row>
    <row r="1000">
      <c r="A1000" s="89" t="n">
        <v>32104</v>
      </c>
      <c r="D1000" t="n">
        <v>752</v>
      </c>
    </row>
    <row r="1001">
      <c r="A1001" s="89" t="n">
        <v>32111</v>
      </c>
      <c r="D1001" t="n">
        <v>751</v>
      </c>
    </row>
    <row r="1002">
      <c r="A1002" s="89" t="n">
        <v>32112</v>
      </c>
      <c r="B1002" t="n">
        <v>649</v>
      </c>
      <c r="C1002" t="n">
        <v>2445</v>
      </c>
      <c r="E1002" t="n">
        <v>2826.4</v>
      </c>
    </row>
    <row r="1003">
      <c r="A1003" s="89" t="n">
        <v>32118</v>
      </c>
      <c r="D1003" t="n">
        <v>750.5</v>
      </c>
    </row>
    <row r="1004">
      <c r="A1004" s="89" t="n">
        <v>32125</v>
      </c>
      <c r="D1004" t="n">
        <v>749.8</v>
      </c>
    </row>
    <row r="1005">
      <c r="A1005" s="89" t="n">
        <v>32132</v>
      </c>
      <c r="D1005" t="n">
        <v>749.6</v>
      </c>
    </row>
    <row r="1006">
      <c r="A1006" s="89" t="n">
        <v>32139</v>
      </c>
      <c r="D1006" t="n">
        <v>750.6</v>
      </c>
    </row>
    <row r="1007">
      <c r="A1007" s="89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9" t="n">
        <v>32146</v>
      </c>
      <c r="D1008" t="n">
        <v>751.1</v>
      </c>
    </row>
    <row r="1009">
      <c r="A1009" s="89" t="n">
        <v>32153</v>
      </c>
      <c r="D1009" t="n">
        <v>753.2</v>
      </c>
    </row>
    <row r="1010">
      <c r="A1010" s="89" t="n">
        <v>32160</v>
      </c>
      <c r="D1010" t="n">
        <v>755.8</v>
      </c>
    </row>
    <row r="1011">
      <c r="A1011" s="89" t="n">
        <v>32167</v>
      </c>
      <c r="D1011" t="n">
        <v>759</v>
      </c>
    </row>
    <row r="1012">
      <c r="A1012" s="89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9" t="n">
        <v>32181</v>
      </c>
      <c r="D1013" t="n">
        <v>756.6</v>
      </c>
    </row>
    <row r="1014">
      <c r="A1014" s="89" t="n">
        <v>32188</v>
      </c>
      <c r="D1014" t="n">
        <v>757.4</v>
      </c>
    </row>
    <row r="1015">
      <c r="A1015" s="89" t="n">
        <v>32195</v>
      </c>
      <c r="D1015" t="n">
        <v>759.8</v>
      </c>
    </row>
    <row r="1016">
      <c r="A1016" s="89" t="n">
        <v>32202</v>
      </c>
      <c r="D1016" t="n">
        <v>756.7</v>
      </c>
    </row>
    <row r="1017">
      <c r="A1017" s="89" t="n">
        <v>32203</v>
      </c>
      <c r="B1017" t="n">
        <v>653.9</v>
      </c>
      <c r="C1017" t="n">
        <v>2481.3</v>
      </c>
      <c r="E1017" t="n">
        <v>2890.7</v>
      </c>
    </row>
    <row r="1018">
      <c r="A1018" s="89" t="n">
        <v>32209</v>
      </c>
      <c r="D1018" t="n">
        <v>758.1</v>
      </c>
    </row>
    <row r="1019">
      <c r="A1019" s="89" t="n">
        <v>32216</v>
      </c>
      <c r="D1019" t="n">
        <v>760.6</v>
      </c>
    </row>
    <row r="1020">
      <c r="A1020" s="89" t="n">
        <v>32223</v>
      </c>
      <c r="D1020" t="n">
        <v>763.1</v>
      </c>
    </row>
    <row r="1021">
      <c r="A1021" s="89" t="n">
        <v>32230</v>
      </c>
      <c r="D1021" t="n">
        <v>763.7</v>
      </c>
    </row>
    <row r="1022">
      <c r="A1022" s="89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9" t="n">
        <v>32237</v>
      </c>
      <c r="D1023" t="n">
        <v>765.5</v>
      </c>
    </row>
    <row r="1024">
      <c r="A1024" s="89" t="n">
        <v>32244</v>
      </c>
      <c r="D1024" t="n">
        <v>765.8</v>
      </c>
    </row>
    <row r="1025">
      <c r="A1025" s="89" t="n">
        <v>32251</v>
      </c>
      <c r="D1025" t="n">
        <v>766.8</v>
      </c>
    </row>
    <row r="1026">
      <c r="A1026" s="89" t="n">
        <v>32258</v>
      </c>
      <c r="D1026" t="n">
        <v>772.2</v>
      </c>
    </row>
    <row r="1027">
      <c r="A1027" s="89" t="n">
        <v>32264</v>
      </c>
      <c r="B1027" t="n">
        <v>656.8</v>
      </c>
      <c r="C1027" t="n">
        <v>2490.2</v>
      </c>
      <c r="E1027" t="n">
        <v>2926</v>
      </c>
    </row>
    <row r="1028">
      <c r="A1028" s="89" t="n">
        <v>32265</v>
      </c>
      <c r="D1028" t="n">
        <v>769.6</v>
      </c>
    </row>
    <row r="1029">
      <c r="A1029" s="89" t="n">
        <v>32272</v>
      </c>
      <c r="D1029" t="n">
        <v>769.9</v>
      </c>
    </row>
    <row r="1030">
      <c r="A1030" s="89" t="n">
        <v>32279</v>
      </c>
      <c r="D1030" t="n">
        <v>771.9</v>
      </c>
    </row>
    <row r="1031">
      <c r="A1031" s="89" t="n">
        <v>32286</v>
      </c>
      <c r="D1031" t="n">
        <v>772.5</v>
      </c>
    </row>
    <row r="1032">
      <c r="A1032" s="89" t="n">
        <v>32293</v>
      </c>
      <c r="D1032" t="n">
        <v>772.7</v>
      </c>
    </row>
    <row r="1033">
      <c r="A1033" s="89" t="n">
        <v>32295</v>
      </c>
      <c r="B1033" t="n">
        <v>659.6</v>
      </c>
      <c r="C1033" t="n">
        <v>2490.2</v>
      </c>
      <c r="E1033" t="n">
        <v>2938.4</v>
      </c>
    </row>
    <row r="1034">
      <c r="A1034" s="89" t="n">
        <v>32300</v>
      </c>
      <c r="D1034" t="n">
        <v>776.4</v>
      </c>
    </row>
    <row r="1035">
      <c r="A1035" s="89" t="n">
        <v>32307</v>
      </c>
      <c r="D1035" t="n">
        <v>776.5</v>
      </c>
    </row>
    <row r="1036">
      <c r="A1036" s="89" t="n">
        <v>32314</v>
      </c>
      <c r="D1036" t="n">
        <v>780.6</v>
      </c>
    </row>
    <row r="1037">
      <c r="A1037" s="89" t="n">
        <v>32321</v>
      </c>
      <c r="D1037" t="n">
        <v>779.8</v>
      </c>
    </row>
    <row r="1038">
      <c r="A1038" s="89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9" t="n">
        <v>32328</v>
      </c>
      <c r="D1039" t="n">
        <v>777.7</v>
      </c>
    </row>
    <row r="1040">
      <c r="A1040" s="89" t="n">
        <v>32335</v>
      </c>
      <c r="D1040" t="n">
        <v>781.3</v>
      </c>
    </row>
    <row r="1041">
      <c r="A1041" s="89" t="n">
        <v>32342</v>
      </c>
      <c r="D1041" t="n">
        <v>780.3</v>
      </c>
    </row>
    <row r="1042">
      <c r="A1042" s="89" t="n">
        <v>32349</v>
      </c>
      <c r="D1042" t="n">
        <v>782.2</v>
      </c>
    </row>
    <row r="1043">
      <c r="A1043" s="89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9" t="n">
        <v>32363</v>
      </c>
      <c r="D1044" t="n">
        <v>782.2</v>
      </c>
    </row>
    <row r="1045">
      <c r="A1045" s="89" t="n">
        <v>32370</v>
      </c>
      <c r="D1045" t="n">
        <v>783.4</v>
      </c>
    </row>
    <row r="1046">
      <c r="A1046" s="89" t="n">
        <v>32377</v>
      </c>
      <c r="D1046" t="n">
        <v>783.4</v>
      </c>
    </row>
    <row r="1047">
      <c r="A1047" s="89" t="n">
        <v>32384</v>
      </c>
      <c r="D1047" t="n">
        <v>784</v>
      </c>
    </row>
    <row r="1048">
      <c r="A1048" s="89" t="n">
        <v>32387</v>
      </c>
      <c r="B1048" t="n">
        <v>655.8</v>
      </c>
      <c r="C1048" t="n">
        <v>2474.4</v>
      </c>
      <c r="E1048" t="n">
        <v>2956.9</v>
      </c>
    </row>
    <row r="1049">
      <c r="A1049" s="89" t="n">
        <v>32391</v>
      </c>
      <c r="D1049" t="n">
        <v>783.8</v>
      </c>
    </row>
    <row r="1050">
      <c r="A1050" s="89" t="n">
        <v>32398</v>
      </c>
      <c r="D1050" t="n">
        <v>782.8</v>
      </c>
    </row>
    <row r="1051">
      <c r="A1051" s="89" t="n">
        <v>32405</v>
      </c>
      <c r="D1051" t="n">
        <v>784.6</v>
      </c>
    </row>
    <row r="1052">
      <c r="A1052" s="89" t="n">
        <v>32412</v>
      </c>
      <c r="D1052" t="n">
        <v>785.1</v>
      </c>
    </row>
    <row r="1053">
      <c r="A1053" s="89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9" t="n">
        <v>32419</v>
      </c>
      <c r="D1054" t="n">
        <v>781.1</v>
      </c>
    </row>
    <row r="1055">
      <c r="A1055" s="89" t="n">
        <v>32426</v>
      </c>
      <c r="D1055" t="n">
        <v>782.3</v>
      </c>
    </row>
    <row r="1056">
      <c r="A1056" s="89" t="n">
        <v>32433</v>
      </c>
      <c r="D1056" t="n">
        <v>784</v>
      </c>
    </row>
    <row r="1057">
      <c r="A1057" s="89" t="n">
        <v>32440</v>
      </c>
      <c r="D1057" t="n">
        <v>783.1</v>
      </c>
    </row>
    <row r="1058">
      <c r="A1058" s="89" t="n">
        <v>32447</v>
      </c>
      <c r="D1058" t="n">
        <v>784.1</v>
      </c>
    </row>
    <row r="1059">
      <c r="A1059" s="89" t="n">
        <v>32448</v>
      </c>
      <c r="B1059" t="n">
        <v>652.5</v>
      </c>
      <c r="C1059" t="n">
        <v>2477.3</v>
      </c>
      <c r="E1059" t="n">
        <v>2980.2</v>
      </c>
    </row>
    <row r="1060">
      <c r="A1060" s="89" t="n">
        <v>32454</v>
      </c>
      <c r="D1060" t="n">
        <v>783.2</v>
      </c>
    </row>
    <row r="1061">
      <c r="A1061" s="89" t="n">
        <v>32461</v>
      </c>
      <c r="D1061" t="n">
        <v>784.2</v>
      </c>
    </row>
    <row r="1062">
      <c r="A1062" s="89" t="n">
        <v>32468</v>
      </c>
      <c r="D1062" t="n">
        <v>784.5</v>
      </c>
    </row>
    <row r="1063">
      <c r="A1063" s="89" t="n">
        <v>32475</v>
      </c>
      <c r="D1063" t="n">
        <v>786.9</v>
      </c>
    </row>
    <row r="1064">
      <c r="A1064" s="89" t="n">
        <v>32478</v>
      </c>
      <c r="B1064" t="n">
        <v>651.8</v>
      </c>
      <c r="C1064" t="n">
        <v>2475.7</v>
      </c>
      <c r="E1064" t="n">
        <v>2988.2</v>
      </c>
    </row>
    <row r="1065">
      <c r="A1065" s="89" t="n">
        <v>32482</v>
      </c>
      <c r="D1065" t="n">
        <v>787.5</v>
      </c>
    </row>
    <row r="1066">
      <c r="A1066" s="89" t="n">
        <v>32489</v>
      </c>
      <c r="D1066" t="n">
        <v>788.2</v>
      </c>
    </row>
    <row r="1067">
      <c r="A1067" s="89" t="n">
        <v>32496</v>
      </c>
      <c r="D1067" t="n">
        <v>786.5</v>
      </c>
    </row>
    <row r="1068">
      <c r="A1068" s="89" t="n">
        <v>32503</v>
      </c>
      <c r="D1068" t="n">
        <v>784.6</v>
      </c>
    </row>
    <row r="1069">
      <c r="A1069" s="89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9" t="n">
        <v>32510</v>
      </c>
      <c r="D1070" t="n">
        <v>787.4</v>
      </c>
    </row>
    <row r="1071">
      <c r="A1071" s="89" t="n">
        <v>32517</v>
      </c>
      <c r="D1071" t="n">
        <v>786.7</v>
      </c>
    </row>
    <row r="1072">
      <c r="A1072" s="89" t="n">
        <v>32524</v>
      </c>
      <c r="D1072" t="n">
        <v>786.2</v>
      </c>
    </row>
    <row r="1073">
      <c r="A1073" s="89" t="n">
        <v>32531</v>
      </c>
      <c r="D1073" t="n">
        <v>786.5</v>
      </c>
    </row>
    <row r="1074">
      <c r="A1074" s="89" t="n">
        <v>32538</v>
      </c>
      <c r="D1074" t="n">
        <v>783.2</v>
      </c>
    </row>
    <row r="1075">
      <c r="A1075" s="89" t="n">
        <v>32540</v>
      </c>
      <c r="B1075" t="n">
        <v>644.6</v>
      </c>
      <c r="C1075" t="n">
        <v>2460.7</v>
      </c>
      <c r="E1075" t="n">
        <v>2992.2</v>
      </c>
    </row>
    <row r="1076">
      <c r="A1076" s="89" t="n">
        <v>32545</v>
      </c>
      <c r="D1076" t="n">
        <v>784.4</v>
      </c>
    </row>
    <row r="1077">
      <c r="A1077" s="89" t="n">
        <v>32552</v>
      </c>
      <c r="D1077" t="n">
        <v>783.5</v>
      </c>
    </row>
    <row r="1078">
      <c r="A1078" s="89" t="n">
        <v>32559</v>
      </c>
      <c r="D1078" t="n">
        <v>783.5</v>
      </c>
    </row>
    <row r="1079">
      <c r="A1079" s="89" t="n">
        <v>32566</v>
      </c>
      <c r="D1079" t="n">
        <v>783.4</v>
      </c>
    </row>
    <row r="1080">
      <c r="A1080" s="89" t="n">
        <v>32568</v>
      </c>
      <c r="B1080" t="n">
        <v>640.8</v>
      </c>
      <c r="C1080" t="n">
        <v>2454.7</v>
      </c>
      <c r="E1080" t="n">
        <v>2999.7</v>
      </c>
    </row>
    <row r="1081">
      <c r="A1081" s="89" t="n">
        <v>32573</v>
      </c>
      <c r="D1081" t="n">
        <v>787.1</v>
      </c>
    </row>
    <row r="1082">
      <c r="A1082" s="89" t="n">
        <v>32580</v>
      </c>
      <c r="D1082" t="n">
        <v>782.6</v>
      </c>
    </row>
    <row r="1083">
      <c r="A1083" s="89" t="n">
        <v>32587</v>
      </c>
      <c r="D1083" t="n">
        <v>783.2</v>
      </c>
    </row>
    <row r="1084">
      <c r="A1084" s="89" t="n">
        <v>32594</v>
      </c>
      <c r="D1084" t="n">
        <v>783</v>
      </c>
    </row>
    <row r="1085">
      <c r="A1085" s="89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9" t="n">
        <v>32601</v>
      </c>
      <c r="D1086" t="n">
        <v>777.4</v>
      </c>
    </row>
    <row r="1087">
      <c r="A1087" s="89" t="n">
        <v>32608</v>
      </c>
      <c r="D1087" t="n">
        <v>776.5</v>
      </c>
    </row>
    <row r="1088">
      <c r="A1088" s="89" t="n">
        <v>32615</v>
      </c>
      <c r="D1088" t="n">
        <v>776.9</v>
      </c>
    </row>
    <row r="1089">
      <c r="A1089" s="89" t="n">
        <v>32622</v>
      </c>
      <c r="D1089" t="n">
        <v>782.3</v>
      </c>
    </row>
    <row r="1090">
      <c r="A1090" s="89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9" t="n">
        <v>32636</v>
      </c>
      <c r="D1091" t="n">
        <v>775.1</v>
      </c>
    </row>
    <row r="1092">
      <c r="A1092" s="89" t="n">
        <v>32643</v>
      </c>
      <c r="D1092" t="n">
        <v>775.7</v>
      </c>
    </row>
    <row r="1093">
      <c r="A1093" s="89" t="n">
        <v>32650</v>
      </c>
      <c r="D1093" t="n">
        <v>773.4</v>
      </c>
    </row>
    <row r="1094">
      <c r="A1094" s="89" t="n">
        <v>32657</v>
      </c>
      <c r="D1094" t="n">
        <v>774.6</v>
      </c>
    </row>
    <row r="1095">
      <c r="A1095" s="89" t="n">
        <v>32660</v>
      </c>
      <c r="B1095" t="n">
        <v>623.3</v>
      </c>
      <c r="C1095" t="n">
        <v>2439.9</v>
      </c>
      <c r="E1095" t="n">
        <v>3027.9</v>
      </c>
    </row>
    <row r="1096">
      <c r="A1096" s="89" t="n">
        <v>32664</v>
      </c>
      <c r="D1096" t="n">
        <v>775.3</v>
      </c>
    </row>
    <row r="1097">
      <c r="A1097" s="89" t="n">
        <v>32671</v>
      </c>
      <c r="D1097" t="n">
        <v>772.5</v>
      </c>
    </row>
    <row r="1098">
      <c r="A1098" s="89" t="n">
        <v>32678</v>
      </c>
      <c r="D1098" t="n">
        <v>772.7</v>
      </c>
    </row>
    <row r="1099">
      <c r="A1099" s="89" t="n">
        <v>32685</v>
      </c>
      <c r="D1099" t="n">
        <v>773.6</v>
      </c>
    </row>
    <row r="1100">
      <c r="A1100" s="89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9" t="n">
        <v>32692</v>
      </c>
      <c r="D1101" t="n">
        <v>774.3</v>
      </c>
    </row>
    <row r="1102">
      <c r="A1102" s="89" t="n">
        <v>32699</v>
      </c>
      <c r="D1102" t="n">
        <v>779.1</v>
      </c>
    </row>
    <row r="1103">
      <c r="A1103" s="89" t="n">
        <v>32706</v>
      </c>
      <c r="D1103" t="n">
        <v>777.9</v>
      </c>
    </row>
    <row r="1104">
      <c r="A1104" s="89" t="n">
        <v>32713</v>
      </c>
      <c r="D1104" t="n">
        <v>778.1</v>
      </c>
    </row>
    <row r="1105">
      <c r="A1105" s="89" t="n">
        <v>32720</v>
      </c>
      <c r="D1105" t="n">
        <v>777.3</v>
      </c>
    </row>
    <row r="1106">
      <c r="A1106" s="89" t="n">
        <v>32721</v>
      </c>
      <c r="B1106" t="n">
        <v>626</v>
      </c>
      <c r="C1106" t="n">
        <v>2469.4</v>
      </c>
      <c r="E1106" t="n">
        <v>3074.4</v>
      </c>
    </row>
    <row r="1107">
      <c r="A1107" s="89" t="n">
        <v>32727</v>
      </c>
      <c r="D1107" t="n">
        <v>778.4</v>
      </c>
    </row>
    <row r="1108">
      <c r="A1108" s="89" t="n">
        <v>32734</v>
      </c>
      <c r="D1108" t="n">
        <v>779</v>
      </c>
    </row>
    <row r="1109">
      <c r="A1109" s="89" t="n">
        <v>32741</v>
      </c>
      <c r="D1109" t="n">
        <v>780.9</v>
      </c>
    </row>
    <row r="1110">
      <c r="A1110" s="89" t="n">
        <v>32748</v>
      </c>
      <c r="D1110" t="n">
        <v>779.9</v>
      </c>
    </row>
    <row r="1111">
      <c r="A1111" s="89" t="n">
        <v>32752</v>
      </c>
      <c r="B1111" t="n">
        <v>625.8</v>
      </c>
      <c r="C1111" t="n">
        <v>2478</v>
      </c>
      <c r="E1111" t="n">
        <v>3092.5</v>
      </c>
    </row>
    <row r="1112">
      <c r="A1112" s="89" t="n">
        <v>32755</v>
      </c>
      <c r="D1112" t="n">
        <v>777.8</v>
      </c>
    </row>
    <row r="1113">
      <c r="A1113" s="89" t="n">
        <v>32762</v>
      </c>
      <c r="D1113" t="n">
        <v>781.9</v>
      </c>
    </row>
    <row r="1114">
      <c r="A1114" s="89" t="n">
        <v>32769</v>
      </c>
      <c r="D1114" t="n">
        <v>780.2</v>
      </c>
    </row>
    <row r="1115">
      <c r="A1115" s="89" t="n">
        <v>32776</v>
      </c>
      <c r="D1115" t="n">
        <v>781.2</v>
      </c>
    </row>
    <row r="1116">
      <c r="A1116" s="89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9" t="n">
        <v>32783</v>
      </c>
      <c r="D1117" t="n">
        <v>783.5</v>
      </c>
    </row>
    <row r="1118">
      <c r="A1118" s="89" t="n">
        <v>32790</v>
      </c>
      <c r="D1118" t="n">
        <v>785.2</v>
      </c>
    </row>
    <row r="1119">
      <c r="A1119" s="89" t="n">
        <v>32797</v>
      </c>
      <c r="D1119" t="n">
        <v>788.7</v>
      </c>
    </row>
    <row r="1120">
      <c r="A1120" s="89" t="n">
        <v>32804</v>
      </c>
      <c r="D1120" t="n">
        <v>787.4</v>
      </c>
    </row>
    <row r="1121">
      <c r="A1121" s="89" t="n">
        <v>32811</v>
      </c>
      <c r="D1121" t="n">
        <v>785.8</v>
      </c>
    </row>
    <row r="1122">
      <c r="A1122" s="89" t="n">
        <v>32813</v>
      </c>
      <c r="B1122" t="n">
        <v>625.8</v>
      </c>
      <c r="C1122" t="n">
        <v>2488.7</v>
      </c>
      <c r="E1122" t="n">
        <v>3133.3</v>
      </c>
    </row>
    <row r="1123">
      <c r="A1123" s="89" t="n">
        <v>32818</v>
      </c>
      <c r="D1123" t="n">
        <v>787</v>
      </c>
    </row>
    <row r="1124">
      <c r="A1124" s="89" t="n">
        <v>32825</v>
      </c>
      <c r="D1124" t="n">
        <v>785.9</v>
      </c>
    </row>
    <row r="1125">
      <c r="A1125" s="89" t="n">
        <v>32832</v>
      </c>
      <c r="D1125" t="n">
        <v>787.6</v>
      </c>
    </row>
    <row r="1126">
      <c r="A1126" s="89" t="n">
        <v>32839</v>
      </c>
      <c r="D1126" t="n">
        <v>790.7</v>
      </c>
    </row>
    <row r="1127">
      <c r="A1127" s="89" t="n">
        <v>32843</v>
      </c>
      <c r="B1127" t="n">
        <v>627.8</v>
      </c>
      <c r="C1127" t="n">
        <v>2496</v>
      </c>
      <c r="E1127" t="n">
        <v>3152.5</v>
      </c>
    </row>
    <row r="1128">
      <c r="A1128" s="89" t="n">
        <v>32846</v>
      </c>
      <c r="D1128" t="n">
        <v>789</v>
      </c>
    </row>
    <row r="1129">
      <c r="A1129" s="89" t="n">
        <v>32853</v>
      </c>
      <c r="D1129" t="n">
        <v>789.8</v>
      </c>
    </row>
    <row r="1130">
      <c r="A1130" s="89" t="n">
        <v>32860</v>
      </c>
      <c r="D1130" t="n">
        <v>790.7</v>
      </c>
    </row>
    <row r="1131">
      <c r="A1131" s="89" t="n">
        <v>32867</v>
      </c>
      <c r="D1131" t="n">
        <v>794.9</v>
      </c>
    </row>
    <row r="1132">
      <c r="A1132" s="89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9" t="n">
        <v>32881</v>
      </c>
      <c r="D1133" t="n">
        <v>793.6</v>
      </c>
    </row>
    <row r="1134">
      <c r="A1134" s="89" t="n">
        <v>32888</v>
      </c>
      <c r="D1134" t="n">
        <v>796.5</v>
      </c>
    </row>
    <row r="1135">
      <c r="A1135" s="89" t="n">
        <v>32895</v>
      </c>
      <c r="D1135" t="n">
        <v>795.1</v>
      </c>
    </row>
    <row r="1136">
      <c r="A1136" s="89" t="n">
        <v>32902</v>
      </c>
      <c r="D1136" t="n">
        <v>793.8</v>
      </c>
    </row>
    <row r="1137">
      <c r="A1137" s="89" t="n">
        <v>32905</v>
      </c>
      <c r="B1137" t="n">
        <v>623.5</v>
      </c>
      <c r="C1137" t="n">
        <v>2483.8</v>
      </c>
      <c r="E1137" t="n">
        <v>3179.2</v>
      </c>
    </row>
    <row r="1138">
      <c r="A1138" s="89" t="n">
        <v>32909</v>
      </c>
      <c r="D1138" t="n">
        <v>797.1</v>
      </c>
    </row>
    <row r="1139">
      <c r="A1139" s="89" t="n">
        <v>32916</v>
      </c>
      <c r="D1139" t="n">
        <v>796.3</v>
      </c>
    </row>
    <row r="1140">
      <c r="A1140" s="89" t="n">
        <v>32923</v>
      </c>
      <c r="D1140" t="n">
        <v>796.3</v>
      </c>
    </row>
    <row r="1141">
      <c r="A1141" s="89" t="n">
        <v>32930</v>
      </c>
      <c r="D1141" t="n">
        <v>799.8</v>
      </c>
    </row>
    <row r="1142">
      <c r="A1142" s="89" t="n">
        <v>32933</v>
      </c>
      <c r="B1142" t="n">
        <v>623.3</v>
      </c>
      <c r="C1142" t="n">
        <v>2480.6</v>
      </c>
      <c r="E1142" t="n">
        <v>3190.1</v>
      </c>
    </row>
    <row r="1143">
      <c r="A1143" s="89" t="n">
        <v>32937</v>
      </c>
      <c r="D1143" t="n">
        <v>801.6</v>
      </c>
    </row>
    <row r="1144">
      <c r="A1144" s="89" t="n">
        <v>32944</v>
      </c>
      <c r="D1144" t="n">
        <v>799.7</v>
      </c>
    </row>
    <row r="1145">
      <c r="A1145" s="89" t="n">
        <v>32951</v>
      </c>
      <c r="D1145" t="n">
        <v>799.6</v>
      </c>
    </row>
    <row r="1146">
      <c r="A1146" s="89" t="n">
        <v>32958</v>
      </c>
      <c r="D1146" t="n">
        <v>802.5</v>
      </c>
    </row>
    <row r="1147">
      <c r="A1147" s="89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9" t="n">
        <v>32965</v>
      </c>
      <c r="D1148" t="n">
        <v>802.4</v>
      </c>
    </row>
    <row r="1149">
      <c r="A1149" s="89" t="n">
        <v>32972</v>
      </c>
      <c r="D1149" t="n">
        <v>804.3</v>
      </c>
    </row>
    <row r="1150">
      <c r="A1150" s="89" t="n">
        <v>32979</v>
      </c>
      <c r="D1150" t="n">
        <v>807</v>
      </c>
    </row>
    <row r="1151">
      <c r="A1151" s="89" t="n">
        <v>32986</v>
      </c>
      <c r="D1151" t="n">
        <v>807.2</v>
      </c>
    </row>
    <row r="1152">
      <c r="A1152" s="89" t="n">
        <v>32993</v>
      </c>
      <c r="D1152" t="n">
        <v>806.5</v>
      </c>
    </row>
    <row r="1153">
      <c r="A1153" s="89" t="n">
        <v>32994</v>
      </c>
      <c r="B1153" t="n">
        <v>622.9</v>
      </c>
      <c r="C1153" t="n">
        <v>2479.2</v>
      </c>
      <c r="E1153" t="n">
        <v>3200.6</v>
      </c>
    </row>
    <row r="1154">
      <c r="A1154" s="89" t="n">
        <v>33000</v>
      </c>
      <c r="D1154" t="n">
        <v>803</v>
      </c>
    </row>
    <row r="1155">
      <c r="A1155" s="89" t="n">
        <v>33007</v>
      </c>
      <c r="D1155" t="n">
        <v>802.9</v>
      </c>
    </row>
    <row r="1156">
      <c r="A1156" s="89" t="n">
        <v>33014</v>
      </c>
      <c r="D1156" t="n">
        <v>806.2</v>
      </c>
    </row>
    <row r="1157">
      <c r="A1157" s="89" t="n">
        <v>33021</v>
      </c>
      <c r="D1157" t="n">
        <v>804.9</v>
      </c>
    </row>
    <row r="1158">
      <c r="A1158" s="89" t="n">
        <v>33025</v>
      </c>
      <c r="B1158" t="n">
        <v>622.6</v>
      </c>
      <c r="C1158" t="n">
        <v>2474</v>
      </c>
      <c r="E1158" t="n">
        <v>3213.7</v>
      </c>
    </row>
    <row r="1159">
      <c r="A1159" s="89" t="n">
        <v>33028</v>
      </c>
      <c r="D1159" t="n">
        <v>807.1</v>
      </c>
    </row>
    <row r="1160">
      <c r="A1160" s="89" t="n">
        <v>33035</v>
      </c>
      <c r="D1160" t="n">
        <v>807.7</v>
      </c>
    </row>
    <row r="1161">
      <c r="A1161" s="89" t="n">
        <v>33042</v>
      </c>
      <c r="D1161" t="n">
        <v>807.3</v>
      </c>
    </row>
    <row r="1162">
      <c r="A1162" s="89" t="n">
        <v>33049</v>
      </c>
      <c r="D1162" t="n">
        <v>810.3</v>
      </c>
    </row>
    <row r="1163">
      <c r="A1163" s="89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9" t="n">
        <v>33056</v>
      </c>
      <c r="D1164" t="n">
        <v>813.2</v>
      </c>
    </row>
    <row r="1165">
      <c r="A1165" s="89" t="n">
        <v>33063</v>
      </c>
      <c r="D1165" t="n">
        <v>808.1</v>
      </c>
    </row>
    <row r="1166">
      <c r="A1166" s="89" t="n">
        <v>33070</v>
      </c>
      <c r="D1166" t="n">
        <v>811.3</v>
      </c>
    </row>
    <row r="1167">
      <c r="A1167" s="89" t="n">
        <v>33077</v>
      </c>
      <c r="D1167" t="n">
        <v>809.3</v>
      </c>
    </row>
    <row r="1168">
      <c r="A1168" s="89" t="n">
        <v>33084</v>
      </c>
      <c r="D1168" t="n">
        <v>810.8</v>
      </c>
    </row>
    <row r="1169">
      <c r="A1169" s="89" t="n">
        <v>33086</v>
      </c>
      <c r="B1169" t="n">
        <v>619.8</v>
      </c>
      <c r="C1169" t="n">
        <v>2463.5</v>
      </c>
      <c r="E1169" t="n">
        <v>3242</v>
      </c>
    </row>
    <row r="1170">
      <c r="A1170" s="89" t="n">
        <v>33091</v>
      </c>
      <c r="D1170" t="n">
        <v>811.9</v>
      </c>
    </row>
    <row r="1171">
      <c r="A1171" s="89" t="n">
        <v>33098</v>
      </c>
      <c r="D1171" t="n">
        <v>816.1</v>
      </c>
    </row>
    <row r="1172">
      <c r="A1172" s="89" t="n">
        <v>33105</v>
      </c>
      <c r="D1172" t="n">
        <v>817.2</v>
      </c>
    </row>
    <row r="1173">
      <c r="A1173" s="89" t="n">
        <v>33112</v>
      </c>
      <c r="D1173" t="n">
        <v>816.2</v>
      </c>
    </row>
    <row r="1174">
      <c r="A1174" s="89" t="n">
        <v>33117</v>
      </c>
      <c r="B1174" t="n">
        <v>619</v>
      </c>
      <c r="C1174" t="n">
        <v>2456.3</v>
      </c>
      <c r="E1174" t="n">
        <v>3254.6</v>
      </c>
    </row>
    <row r="1175">
      <c r="A1175" s="89" t="n">
        <v>33119</v>
      </c>
      <c r="D1175" t="n">
        <v>819</v>
      </c>
    </row>
    <row r="1176">
      <c r="A1176" s="89" t="n">
        <v>33126</v>
      </c>
      <c r="D1176" t="n">
        <v>819.8</v>
      </c>
    </row>
    <row r="1177">
      <c r="A1177" s="89" t="n">
        <v>33133</v>
      </c>
      <c r="D1177" t="n">
        <v>819.2</v>
      </c>
    </row>
    <row r="1178">
      <c r="A1178" s="89" t="n">
        <v>33140</v>
      </c>
      <c r="D1178" t="n">
        <v>820.5</v>
      </c>
    </row>
    <row r="1179">
      <c r="A1179" s="89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9" t="n">
        <v>33154</v>
      </c>
      <c r="D1180" t="n">
        <v>820.5</v>
      </c>
    </row>
    <row r="1181">
      <c r="A1181" s="89" t="n">
        <v>33161</v>
      </c>
      <c r="D1181" t="n">
        <v>820.7</v>
      </c>
    </row>
    <row r="1182">
      <c r="A1182" s="89" t="n">
        <v>33168</v>
      </c>
      <c r="D1182" t="n">
        <v>817.2</v>
      </c>
    </row>
    <row r="1183">
      <c r="A1183" s="89" t="n">
        <v>33175</v>
      </c>
      <c r="D1183" t="n">
        <v>820</v>
      </c>
    </row>
    <row r="1184">
      <c r="A1184" s="89" t="n">
        <v>33178</v>
      </c>
      <c r="B1184" t="n">
        <v>614.9</v>
      </c>
      <c r="C1184" t="n">
        <v>2440.2</v>
      </c>
      <c r="E1184" t="n">
        <v>3262.6</v>
      </c>
    </row>
    <row r="1185">
      <c r="A1185" s="89" t="n">
        <v>33182</v>
      </c>
      <c r="D1185" t="n">
        <v>822</v>
      </c>
    </row>
    <row r="1186">
      <c r="A1186" s="89" t="n">
        <v>33189</v>
      </c>
      <c r="D1186" t="n">
        <v>822</v>
      </c>
    </row>
    <row r="1187">
      <c r="A1187" s="89" t="n">
        <v>33196</v>
      </c>
      <c r="D1187" t="n">
        <v>823.4</v>
      </c>
    </row>
    <row r="1188">
      <c r="A1188" s="89" t="n">
        <v>33203</v>
      </c>
      <c r="D1188" t="n">
        <v>824.5</v>
      </c>
    </row>
    <row r="1189">
      <c r="A1189" s="89" t="n">
        <v>33208</v>
      </c>
      <c r="B1189" t="n">
        <v>614.5</v>
      </c>
      <c r="C1189" t="n">
        <v>2438</v>
      </c>
      <c r="E1189" t="n">
        <v>3271.8</v>
      </c>
    </row>
    <row r="1190">
      <c r="A1190" s="89" t="n">
        <v>33210</v>
      </c>
      <c r="D1190" t="n">
        <v>815.3</v>
      </c>
    </row>
    <row r="1191">
      <c r="A1191" s="89" t="n">
        <v>33217</v>
      </c>
      <c r="D1191" t="n">
        <v>821.8</v>
      </c>
    </row>
    <row r="1192">
      <c r="A1192" s="89" t="n">
        <v>33224</v>
      </c>
      <c r="D1192" t="n">
        <v>824.2</v>
      </c>
    </row>
    <row r="1193">
      <c r="A1193" s="89" t="n">
        <v>33231</v>
      </c>
      <c r="D1193" t="n">
        <v>828.1</v>
      </c>
    </row>
    <row r="1194">
      <c r="A1194" s="89" t="n">
        <v>33238</v>
      </c>
      <c r="D1194" t="n">
        <v>828.9</v>
      </c>
    </row>
    <row r="1195">
      <c r="A1195" s="89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9" t="n">
        <v>33245</v>
      </c>
      <c r="D1196" t="n">
        <v>826.6</v>
      </c>
    </row>
    <row r="1197">
      <c r="A1197" s="89" t="n">
        <v>33252</v>
      </c>
      <c r="D1197" t="n">
        <v>825.7</v>
      </c>
    </row>
    <row r="1198">
      <c r="A1198" s="89" t="n">
        <v>33259</v>
      </c>
      <c r="D1198" t="n">
        <v>826.2</v>
      </c>
    </row>
    <row r="1199">
      <c r="A1199" s="89" t="n">
        <v>33266</v>
      </c>
      <c r="D1199" t="n">
        <v>828.4</v>
      </c>
    </row>
    <row r="1200">
      <c r="A1200" s="89" t="n">
        <v>33270</v>
      </c>
      <c r="B1200" t="n">
        <v>617.7</v>
      </c>
      <c r="C1200" t="n">
        <v>2451.4</v>
      </c>
      <c r="E1200" t="n">
        <v>3304.5</v>
      </c>
    </row>
    <row r="1201">
      <c r="A1201" s="89" t="n">
        <v>33273</v>
      </c>
      <c r="D1201" t="n">
        <v>830.9</v>
      </c>
    </row>
    <row r="1202">
      <c r="A1202" s="89" t="n">
        <v>33280</v>
      </c>
      <c r="D1202" t="n">
        <v>833.5</v>
      </c>
    </row>
    <row r="1203">
      <c r="A1203" s="89" t="n">
        <v>33287</v>
      </c>
      <c r="D1203" t="n">
        <v>832.4</v>
      </c>
    </row>
    <row r="1204">
      <c r="A1204" s="89" t="n">
        <v>33294</v>
      </c>
      <c r="D1204" t="n">
        <v>832</v>
      </c>
    </row>
    <row r="1205">
      <c r="A1205" s="89" t="n">
        <v>33298</v>
      </c>
      <c r="B1205" t="n">
        <v>622.2</v>
      </c>
      <c r="C1205" t="n">
        <v>2464.3</v>
      </c>
      <c r="E1205" t="n">
        <v>3321.9</v>
      </c>
    </row>
    <row r="1206">
      <c r="A1206" s="89" t="n">
        <v>33301</v>
      </c>
      <c r="D1206" t="n">
        <v>834.6</v>
      </c>
    </row>
    <row r="1207">
      <c r="A1207" s="89" t="n">
        <v>33308</v>
      </c>
      <c r="D1207" t="n">
        <v>836.5</v>
      </c>
    </row>
    <row r="1208">
      <c r="A1208" s="89" t="n">
        <v>33315</v>
      </c>
      <c r="D1208" t="n">
        <v>836</v>
      </c>
    </row>
    <row r="1209">
      <c r="A1209" s="89" t="n">
        <v>33322</v>
      </c>
      <c r="D1209" t="n">
        <v>840.2</v>
      </c>
    </row>
    <row r="1210">
      <c r="A1210" s="89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9" t="n">
        <v>33336</v>
      </c>
      <c r="D1211" t="n">
        <v>842.7</v>
      </c>
    </row>
    <row r="1212">
      <c r="A1212" s="89" t="n">
        <v>33343</v>
      </c>
      <c r="D1212" t="n">
        <v>845</v>
      </c>
    </row>
    <row r="1213">
      <c r="A1213" s="89" t="n">
        <v>33350</v>
      </c>
      <c r="D1213" t="n">
        <v>842.6</v>
      </c>
    </row>
    <row r="1214">
      <c r="A1214" s="89" t="n">
        <v>33357</v>
      </c>
      <c r="D1214" t="n">
        <v>841.2</v>
      </c>
    </row>
    <row r="1215">
      <c r="A1215" s="89" t="n">
        <v>33359</v>
      </c>
      <c r="B1215" t="n">
        <v>626</v>
      </c>
      <c r="C1215" t="n">
        <v>2465.3</v>
      </c>
      <c r="E1215" t="n">
        <v>3343</v>
      </c>
    </row>
    <row r="1216">
      <c r="A1216" s="89" t="n">
        <v>33364</v>
      </c>
      <c r="D1216" t="n">
        <v>846.4</v>
      </c>
    </row>
    <row r="1217">
      <c r="A1217" s="89" t="n">
        <v>33371</v>
      </c>
      <c r="D1217" t="n">
        <v>848.3</v>
      </c>
    </row>
    <row r="1218">
      <c r="A1218" s="89" t="n">
        <v>33378</v>
      </c>
      <c r="D1218" t="n">
        <v>850.8</v>
      </c>
    </row>
    <row r="1219">
      <c r="A1219" s="89" t="n">
        <v>33385</v>
      </c>
      <c r="D1219" t="n">
        <v>849.7</v>
      </c>
    </row>
    <row r="1220">
      <c r="A1220" s="89" t="n">
        <v>33390</v>
      </c>
      <c r="B1220" t="n">
        <v>629.9</v>
      </c>
      <c r="C1220" t="n">
        <v>2464.6</v>
      </c>
      <c r="E1220" t="n">
        <v>3351.9</v>
      </c>
    </row>
    <row r="1221">
      <c r="A1221" s="89" t="n">
        <v>33392</v>
      </c>
      <c r="D1221" t="n">
        <v>848.1</v>
      </c>
    </row>
    <row r="1222">
      <c r="A1222" s="89" t="n">
        <v>33399</v>
      </c>
      <c r="D1222" t="n">
        <v>855.6</v>
      </c>
    </row>
    <row r="1223">
      <c r="A1223" s="89" t="n">
        <v>33406</v>
      </c>
      <c r="D1223" t="n">
        <v>856.5</v>
      </c>
    </row>
    <row r="1224">
      <c r="A1224" s="89" t="n">
        <v>33413</v>
      </c>
      <c r="D1224" t="n">
        <v>856.1</v>
      </c>
    </row>
    <row r="1225">
      <c r="A1225" s="89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9" t="n">
        <v>33427</v>
      </c>
      <c r="D1226" t="n">
        <v>859.5</v>
      </c>
    </row>
    <row r="1227">
      <c r="A1227" s="89" t="n">
        <v>33434</v>
      </c>
      <c r="D1227" t="n">
        <v>861.4</v>
      </c>
    </row>
    <row r="1228">
      <c r="A1228" s="89" t="n">
        <v>33441</v>
      </c>
      <c r="D1228" t="n">
        <v>861.1</v>
      </c>
    </row>
    <row r="1229">
      <c r="A1229" s="89" t="n">
        <v>33448</v>
      </c>
      <c r="D1229" t="n">
        <v>862.7</v>
      </c>
    </row>
    <row r="1230">
      <c r="A1230" s="89" t="n">
        <v>33451</v>
      </c>
      <c r="B1230" t="n">
        <v>634.6</v>
      </c>
      <c r="C1230" t="n">
        <v>2456.1</v>
      </c>
      <c r="E1230" t="n">
        <v>3355</v>
      </c>
    </row>
    <row r="1231">
      <c r="A1231" s="89" t="n">
        <v>33455</v>
      </c>
      <c r="D1231" t="n">
        <v>866.3</v>
      </c>
    </row>
    <row r="1232">
      <c r="A1232" s="89" t="n">
        <v>33462</v>
      </c>
      <c r="D1232" t="n">
        <v>865.3</v>
      </c>
    </row>
    <row r="1233">
      <c r="A1233" s="89" t="n">
        <v>33469</v>
      </c>
      <c r="D1233" t="n">
        <v>865</v>
      </c>
    </row>
    <row r="1234">
      <c r="A1234" s="89" t="n">
        <v>33476</v>
      </c>
      <c r="D1234" t="n">
        <v>869.1</v>
      </c>
    </row>
    <row r="1235">
      <c r="A1235" s="89" t="n">
        <v>33482</v>
      </c>
      <c r="B1235" t="n">
        <v>634.8</v>
      </c>
      <c r="C1235" t="n">
        <v>2448.8</v>
      </c>
      <c r="E1235" t="n">
        <v>3354.9</v>
      </c>
    </row>
    <row r="1236">
      <c r="A1236" s="89" t="n">
        <v>33483</v>
      </c>
      <c r="D1236" t="n">
        <v>868.3</v>
      </c>
    </row>
    <row r="1237">
      <c r="A1237" s="89" t="n">
        <v>33490</v>
      </c>
      <c r="D1237" t="n">
        <v>870.5</v>
      </c>
    </row>
    <row r="1238">
      <c r="A1238" s="89" t="n">
        <v>33497</v>
      </c>
      <c r="D1238" t="n">
        <v>869.8</v>
      </c>
    </row>
    <row r="1239">
      <c r="A1239" s="89" t="n">
        <v>33504</v>
      </c>
      <c r="D1239" t="n">
        <v>869.5</v>
      </c>
    </row>
    <row r="1240">
      <c r="A1240" s="89" t="n">
        <v>33511</v>
      </c>
      <c r="D1240" t="n">
        <v>871.8</v>
      </c>
    </row>
    <row r="1241">
      <c r="A1241" s="89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9" t="n">
        <v>33518</v>
      </c>
      <c r="D1242" t="n">
        <v>874.6</v>
      </c>
    </row>
    <row r="1243">
      <c r="A1243" s="89" t="n">
        <v>33525</v>
      </c>
      <c r="D1243" t="n">
        <v>875.4</v>
      </c>
    </row>
    <row r="1244">
      <c r="A1244" s="89" t="n">
        <v>33532</v>
      </c>
      <c r="D1244" t="n">
        <v>879.5</v>
      </c>
    </row>
    <row r="1245">
      <c r="A1245" s="89" t="n">
        <v>33539</v>
      </c>
      <c r="D1245" t="n">
        <v>880.8</v>
      </c>
    </row>
    <row r="1246">
      <c r="A1246" s="89" t="n">
        <v>33543</v>
      </c>
      <c r="B1246" t="n">
        <v>644.1</v>
      </c>
      <c r="C1246" t="n">
        <v>2442.3</v>
      </c>
      <c r="E1246" t="n">
        <v>3365.5</v>
      </c>
    </row>
    <row r="1247">
      <c r="A1247" s="89" t="n">
        <v>33546</v>
      </c>
      <c r="D1247" t="n">
        <v>882.4</v>
      </c>
    </row>
    <row r="1248">
      <c r="A1248" s="89" t="n">
        <v>33553</v>
      </c>
      <c r="D1248" t="n">
        <v>885.8</v>
      </c>
    </row>
    <row r="1249">
      <c r="A1249" s="89" t="n">
        <v>33560</v>
      </c>
      <c r="D1249" t="n">
        <v>886.6</v>
      </c>
    </row>
    <row r="1250">
      <c r="A1250" s="89" t="n">
        <v>33567</v>
      </c>
      <c r="D1250" t="n">
        <v>887.4</v>
      </c>
    </row>
    <row r="1251">
      <c r="A1251" s="89" t="n">
        <v>33573</v>
      </c>
      <c r="B1251" t="n">
        <v>649.1</v>
      </c>
      <c r="C1251" t="n">
        <v>2440.1</v>
      </c>
      <c r="E1251" t="n">
        <v>3372.2</v>
      </c>
    </row>
    <row r="1252">
      <c r="A1252" s="89" t="n">
        <v>33574</v>
      </c>
      <c r="D1252" t="n">
        <v>896.1</v>
      </c>
    </row>
    <row r="1253">
      <c r="A1253" s="89" t="n">
        <v>33581</v>
      </c>
      <c r="D1253" t="n">
        <v>894.6</v>
      </c>
    </row>
    <row r="1254">
      <c r="A1254" s="89" t="n">
        <v>33588</v>
      </c>
      <c r="D1254" t="n">
        <v>897.6</v>
      </c>
    </row>
    <row r="1255">
      <c r="A1255" s="89" t="n">
        <v>33595</v>
      </c>
      <c r="D1255" t="n">
        <v>897.6</v>
      </c>
    </row>
    <row r="1256">
      <c r="A1256" s="89" t="n">
        <v>33602</v>
      </c>
      <c r="D1256" t="n">
        <v>897.5</v>
      </c>
    </row>
    <row r="1257">
      <c r="A1257" s="89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9" t="n">
        <v>33609</v>
      </c>
      <c r="D1258" t="n">
        <v>901.9</v>
      </c>
    </row>
    <row r="1259">
      <c r="A1259" s="89" t="n">
        <v>33616</v>
      </c>
      <c r="D1259" t="n">
        <v>906.8</v>
      </c>
    </row>
    <row r="1260">
      <c r="A1260" s="89" t="n">
        <v>33623</v>
      </c>
      <c r="D1260" t="n">
        <v>909.3</v>
      </c>
    </row>
    <row r="1261">
      <c r="A1261" s="89" t="n">
        <v>33630</v>
      </c>
      <c r="D1261" t="n">
        <v>918.2</v>
      </c>
    </row>
    <row r="1262">
      <c r="A1262" s="89" t="n">
        <v>33635</v>
      </c>
      <c r="B1262" t="n">
        <v>667.5</v>
      </c>
      <c r="C1262" t="n">
        <v>2453.1</v>
      </c>
      <c r="E1262" t="n">
        <v>3400</v>
      </c>
    </row>
    <row r="1263">
      <c r="A1263" s="89" t="n">
        <v>33637</v>
      </c>
      <c r="D1263" t="n">
        <v>917.7</v>
      </c>
    </row>
    <row r="1264">
      <c r="A1264" s="89" t="n">
        <v>33644</v>
      </c>
      <c r="D1264" t="n">
        <v>923.6</v>
      </c>
    </row>
    <row r="1265">
      <c r="A1265" s="89" t="n">
        <v>33651</v>
      </c>
      <c r="D1265" t="n">
        <v>925.4</v>
      </c>
    </row>
    <row r="1266">
      <c r="A1266" s="89" t="n">
        <v>33658</v>
      </c>
      <c r="D1266" t="n">
        <v>928.6</v>
      </c>
    </row>
    <row r="1267">
      <c r="A1267" s="89" t="n">
        <v>33664</v>
      </c>
      <c r="B1267" t="n">
        <v>673.4</v>
      </c>
      <c r="C1267" t="n">
        <v>2447.1</v>
      </c>
      <c r="E1267" t="n">
        <v>3403.9</v>
      </c>
    </row>
    <row r="1268">
      <c r="A1268" s="89" t="n">
        <v>33665</v>
      </c>
      <c r="D1268" t="n">
        <v>926.9</v>
      </c>
    </row>
    <row r="1269">
      <c r="A1269" s="89" t="n">
        <v>33672</v>
      </c>
      <c r="D1269" t="n">
        <v>933.1</v>
      </c>
    </row>
    <row r="1270">
      <c r="A1270" s="89" t="n">
        <v>33679</v>
      </c>
      <c r="D1270" t="n">
        <v>938.2</v>
      </c>
    </row>
    <row r="1271">
      <c r="A1271" s="89" t="n">
        <v>33686</v>
      </c>
      <c r="D1271" t="n">
        <v>937.9</v>
      </c>
    </row>
    <row r="1272">
      <c r="A1272" s="89" t="n">
        <v>33693</v>
      </c>
      <c r="D1272" t="n">
        <v>939.7</v>
      </c>
    </row>
    <row r="1273">
      <c r="A1273" s="89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9" t="n">
        <v>33700</v>
      </c>
      <c r="D1274" t="n">
        <v>941</v>
      </c>
    </row>
    <row r="1275">
      <c r="A1275" s="89" t="n">
        <v>33707</v>
      </c>
      <c r="D1275" t="n">
        <v>941.3</v>
      </c>
    </row>
    <row r="1276">
      <c r="A1276" s="89" t="n">
        <v>33714</v>
      </c>
      <c r="D1276" t="n">
        <v>945.7</v>
      </c>
    </row>
    <row r="1277">
      <c r="A1277" s="89" t="n">
        <v>33721</v>
      </c>
      <c r="D1277" t="n">
        <v>945.6</v>
      </c>
    </row>
    <row r="1278">
      <c r="A1278" s="89" t="n">
        <v>33725</v>
      </c>
      <c r="B1278" t="n">
        <v>680.5</v>
      </c>
      <c r="C1278" t="n">
        <v>2432.8</v>
      </c>
      <c r="E1278" t="n">
        <v>3398.6</v>
      </c>
    </row>
    <row r="1279">
      <c r="A1279" s="89" t="n">
        <v>33728</v>
      </c>
      <c r="D1279" t="n">
        <v>946.5</v>
      </c>
    </row>
    <row r="1280">
      <c r="A1280" s="89" t="n">
        <v>33735</v>
      </c>
      <c r="D1280" t="n">
        <v>949.4</v>
      </c>
    </row>
    <row r="1281">
      <c r="A1281" s="89" t="n">
        <v>33742</v>
      </c>
      <c r="D1281" t="n">
        <v>949.8</v>
      </c>
    </row>
    <row r="1282">
      <c r="A1282" s="89" t="n">
        <v>33749</v>
      </c>
      <c r="D1282" t="n">
        <v>952.3</v>
      </c>
    </row>
    <row r="1283">
      <c r="A1283" s="89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9" t="n">
        <v>33763</v>
      </c>
      <c r="D1284" t="n">
        <v>951.1</v>
      </c>
    </row>
    <row r="1285">
      <c r="A1285" s="89" t="n">
        <v>33770</v>
      </c>
      <c r="D1285" t="n">
        <v>955.6</v>
      </c>
    </row>
    <row r="1286">
      <c r="A1286" s="89" t="n">
        <v>33777</v>
      </c>
      <c r="D1286" t="n">
        <v>954.8</v>
      </c>
    </row>
    <row r="1287">
      <c r="A1287" s="89" t="n">
        <v>33784</v>
      </c>
      <c r="D1287" t="n">
        <v>955.2</v>
      </c>
    </row>
    <row r="1288">
      <c r="A1288" s="89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9" t="n">
        <v>33791</v>
      </c>
      <c r="D1289" t="n">
        <v>959.3</v>
      </c>
    </row>
    <row r="1290">
      <c r="A1290" s="89" t="n">
        <v>33798</v>
      </c>
      <c r="D1290" t="n">
        <v>960.4</v>
      </c>
    </row>
    <row r="1291">
      <c r="A1291" s="89" t="n">
        <v>33805</v>
      </c>
      <c r="D1291" t="n">
        <v>964.8</v>
      </c>
    </row>
    <row r="1292">
      <c r="A1292" s="89" t="n">
        <v>33812</v>
      </c>
      <c r="D1292" t="n">
        <v>966.8</v>
      </c>
    </row>
    <row r="1293">
      <c r="A1293" s="89" t="n">
        <v>33817</v>
      </c>
      <c r="B1293" t="n">
        <v>691.5</v>
      </c>
      <c r="C1293" t="n">
        <v>2413.9</v>
      </c>
      <c r="E1293" t="n">
        <v>3398.8</v>
      </c>
    </row>
    <row r="1294">
      <c r="A1294" s="89" t="n">
        <v>33819</v>
      </c>
      <c r="D1294" t="n">
        <v>965.8</v>
      </c>
    </row>
    <row r="1295">
      <c r="A1295" s="89" t="n">
        <v>33826</v>
      </c>
      <c r="D1295" t="n">
        <v>972.7</v>
      </c>
    </row>
    <row r="1296">
      <c r="A1296" s="89" t="n">
        <v>33833</v>
      </c>
      <c r="D1296" t="n">
        <v>972.9</v>
      </c>
    </row>
    <row r="1297">
      <c r="A1297" s="89" t="n">
        <v>33840</v>
      </c>
      <c r="D1297" t="n">
        <v>974.2</v>
      </c>
    </row>
    <row r="1298">
      <c r="A1298" s="89" t="n">
        <v>33847</v>
      </c>
      <c r="D1298" t="n">
        <v>978.5</v>
      </c>
    </row>
    <row r="1299">
      <c r="A1299" s="89" t="n">
        <v>33848</v>
      </c>
      <c r="B1299" t="n">
        <v>700.2</v>
      </c>
      <c r="C1299" t="n">
        <v>2416.9</v>
      </c>
      <c r="E1299" t="n">
        <v>3410.3</v>
      </c>
    </row>
    <row r="1300">
      <c r="A1300" s="89" t="n">
        <v>33854</v>
      </c>
      <c r="D1300" t="n">
        <v>979.3</v>
      </c>
    </row>
    <row r="1301">
      <c r="A1301" s="89" t="n">
        <v>33861</v>
      </c>
      <c r="D1301" t="n">
        <v>985.6</v>
      </c>
    </row>
    <row r="1302">
      <c r="A1302" s="89" t="n">
        <v>33868</v>
      </c>
      <c r="D1302" t="n">
        <v>990.1</v>
      </c>
    </row>
    <row r="1303">
      <c r="A1303" s="89" t="n">
        <v>33875</v>
      </c>
      <c r="D1303" t="n">
        <v>994.2</v>
      </c>
    </row>
    <row r="1304">
      <c r="A1304" s="89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9" t="n">
        <v>33882</v>
      </c>
      <c r="D1305" t="n">
        <v>997.6</v>
      </c>
    </row>
    <row r="1306">
      <c r="A1306" s="89" t="n">
        <v>33889</v>
      </c>
      <c r="D1306" t="n">
        <v>999.5</v>
      </c>
    </row>
    <row r="1307">
      <c r="A1307" s="89" t="n">
        <v>33896</v>
      </c>
      <c r="D1307" t="n">
        <v>1001</v>
      </c>
    </row>
    <row r="1308">
      <c r="A1308" s="89" t="n">
        <v>33903</v>
      </c>
      <c r="D1308" t="n">
        <v>1009.2</v>
      </c>
    </row>
    <row r="1309">
      <c r="A1309" s="89" t="n">
        <v>33909</v>
      </c>
      <c r="B1309" t="n">
        <v>714.8</v>
      </c>
      <c r="C1309" t="n">
        <v>2411.3</v>
      </c>
      <c r="E1309" t="n">
        <v>3426.5</v>
      </c>
    </row>
    <row r="1310">
      <c r="A1310" s="89" t="n">
        <v>33910</v>
      </c>
      <c r="D1310" t="n">
        <v>1011.7</v>
      </c>
    </row>
    <row r="1311">
      <c r="A1311" s="89" t="n">
        <v>33917</v>
      </c>
      <c r="D1311" t="n">
        <v>1014.8</v>
      </c>
    </row>
    <row r="1312">
      <c r="A1312" s="89" t="n">
        <v>33924</v>
      </c>
      <c r="D1312" t="n">
        <v>1017</v>
      </c>
    </row>
    <row r="1313">
      <c r="A1313" s="89" t="n">
        <v>33931</v>
      </c>
      <c r="D1313" t="n">
        <v>1014.4</v>
      </c>
    </row>
    <row r="1314">
      <c r="A1314" s="89" t="n">
        <v>33938</v>
      </c>
      <c r="D1314" t="n">
        <v>1017.9</v>
      </c>
    </row>
    <row r="1315">
      <c r="A1315" s="89" t="n">
        <v>33939</v>
      </c>
      <c r="B1315" t="n">
        <v>720.2</v>
      </c>
      <c r="C1315" t="n">
        <v>2406.7</v>
      </c>
      <c r="E1315" t="n">
        <v>3424.7</v>
      </c>
    </row>
    <row r="1316">
      <c r="A1316" s="89" t="n">
        <v>33945</v>
      </c>
      <c r="D1316" t="n">
        <v>1021.4</v>
      </c>
    </row>
    <row r="1317">
      <c r="A1317" s="89" t="n">
        <v>33952</v>
      </c>
      <c r="D1317" t="n">
        <v>1025.9</v>
      </c>
    </row>
    <row r="1318">
      <c r="A1318" s="89" t="n">
        <v>33959</v>
      </c>
      <c r="D1318" t="n">
        <v>1022.8</v>
      </c>
    </row>
    <row r="1319">
      <c r="A1319" s="89" t="n">
        <v>33966</v>
      </c>
      <c r="D1319" t="n">
        <v>1028.4</v>
      </c>
    </row>
    <row r="1320">
      <c r="A1320" s="89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9" t="n">
        <v>33973</v>
      </c>
      <c r="D1321" t="n">
        <v>1027.8</v>
      </c>
    </row>
    <row r="1322">
      <c r="A1322" s="89" t="n">
        <v>33980</v>
      </c>
      <c r="D1322" t="n">
        <v>1031.1</v>
      </c>
    </row>
    <row r="1323">
      <c r="A1323" s="89" t="n">
        <v>33987</v>
      </c>
      <c r="D1323" t="n">
        <v>1029.6</v>
      </c>
    </row>
    <row r="1324">
      <c r="A1324" s="89" t="n">
        <v>33994</v>
      </c>
      <c r="D1324" t="n">
        <v>1030.9</v>
      </c>
    </row>
    <row r="1325">
      <c r="A1325" s="89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9" t="n">
        <v>34008</v>
      </c>
      <c r="D1326" t="n">
        <v>1030</v>
      </c>
    </row>
    <row r="1327">
      <c r="A1327" s="89" t="n">
        <v>34015</v>
      </c>
      <c r="D1327" t="n">
        <v>1034.1</v>
      </c>
    </row>
    <row r="1328">
      <c r="A1328" s="89" t="n">
        <v>34022</v>
      </c>
      <c r="D1328" t="n">
        <v>1034.7</v>
      </c>
    </row>
    <row r="1329">
      <c r="A1329" s="89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9" t="n">
        <v>34036</v>
      </c>
      <c r="D1330" t="n">
        <v>1035.3</v>
      </c>
    </row>
    <row r="1331">
      <c r="A1331" s="89" t="n">
        <v>34043</v>
      </c>
      <c r="D1331" t="n">
        <v>1036.8</v>
      </c>
    </row>
    <row r="1332">
      <c r="A1332" s="89" t="n">
        <v>34050</v>
      </c>
      <c r="D1332" t="n">
        <v>1038.6</v>
      </c>
    </row>
    <row r="1333">
      <c r="A1333" s="89" t="n">
        <v>34057</v>
      </c>
      <c r="D1333" t="n">
        <v>1040.4</v>
      </c>
    </row>
    <row r="1334">
      <c r="A1334" s="89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9" t="n">
        <v>34064</v>
      </c>
      <c r="D1335" t="n">
        <v>1045.4</v>
      </c>
    </row>
    <row r="1336">
      <c r="A1336" s="89" t="n">
        <v>34071</v>
      </c>
      <c r="D1336" t="n">
        <v>1045.9</v>
      </c>
    </row>
    <row r="1337">
      <c r="A1337" s="89" t="n">
        <v>34078</v>
      </c>
      <c r="D1337" t="n">
        <v>1045.5</v>
      </c>
    </row>
    <row r="1338">
      <c r="A1338" s="89" t="n">
        <v>34085</v>
      </c>
      <c r="D1338" t="n">
        <v>1047.2</v>
      </c>
    </row>
    <row r="1339">
      <c r="A1339" s="89" t="n">
        <v>34090</v>
      </c>
      <c r="B1339" t="n">
        <v>739.2</v>
      </c>
      <c r="C1339" t="n">
        <v>2383.4</v>
      </c>
      <c r="E1339" t="n">
        <v>3436.9</v>
      </c>
    </row>
    <row r="1340">
      <c r="A1340" s="89" t="n">
        <v>34092</v>
      </c>
      <c r="D1340" t="n">
        <v>1056.3</v>
      </c>
    </row>
    <row r="1341">
      <c r="A1341" s="89" t="n">
        <v>34099</v>
      </c>
      <c r="D1341" t="n">
        <v>1064.1</v>
      </c>
    </row>
    <row r="1342">
      <c r="A1342" s="89" t="n">
        <v>34106</v>
      </c>
      <c r="D1342" t="n">
        <v>1066</v>
      </c>
    </row>
    <row r="1343">
      <c r="A1343" s="89" t="n">
        <v>34113</v>
      </c>
      <c r="D1343" t="n">
        <v>1063.6</v>
      </c>
    </row>
    <row r="1344">
      <c r="A1344" s="89" t="n">
        <v>34120</v>
      </c>
      <c r="D1344" t="n">
        <v>1073</v>
      </c>
    </row>
    <row r="1345">
      <c r="A1345" s="89" t="n">
        <v>34121</v>
      </c>
      <c r="B1345" t="n">
        <v>745</v>
      </c>
      <c r="C1345" t="n">
        <v>2385.6</v>
      </c>
      <c r="E1345" t="n">
        <v>3442.4</v>
      </c>
    </row>
    <row r="1346">
      <c r="A1346" s="89" t="n">
        <v>34127</v>
      </c>
      <c r="D1346" t="n">
        <v>1071.3</v>
      </c>
    </row>
    <row r="1347">
      <c r="A1347" s="89" t="n">
        <v>34134</v>
      </c>
      <c r="D1347" t="n">
        <v>1074.1</v>
      </c>
    </row>
    <row r="1348">
      <c r="A1348" s="89" t="n">
        <v>34141</v>
      </c>
      <c r="D1348" t="n">
        <v>1076.4</v>
      </c>
    </row>
    <row r="1349">
      <c r="A1349" s="89" t="n">
        <v>34148</v>
      </c>
      <c r="D1349" t="n">
        <v>1077.6</v>
      </c>
    </row>
    <row r="1350">
      <c r="A1350" s="89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9" t="n">
        <v>34155</v>
      </c>
      <c r="D1351" t="n">
        <v>1079.3</v>
      </c>
    </row>
    <row r="1352">
      <c r="A1352" s="89" t="n">
        <v>34162</v>
      </c>
      <c r="D1352" t="n">
        <v>1083.3</v>
      </c>
    </row>
    <row r="1353">
      <c r="A1353" s="89" t="n">
        <v>34169</v>
      </c>
      <c r="D1353" t="n">
        <v>1085.3</v>
      </c>
    </row>
    <row r="1354">
      <c r="A1354" s="89" t="n">
        <v>34176</v>
      </c>
      <c r="D1354" t="n">
        <v>1086.5</v>
      </c>
    </row>
    <row r="1355">
      <c r="A1355" s="89" t="n">
        <v>34182</v>
      </c>
      <c r="B1355" t="n">
        <v>755.7</v>
      </c>
      <c r="C1355" t="n">
        <v>2379.6</v>
      </c>
      <c r="E1355" t="n">
        <v>3445.7</v>
      </c>
    </row>
    <row r="1356">
      <c r="A1356" s="89" t="n">
        <v>34183</v>
      </c>
      <c r="D1356" t="n">
        <v>1088.3</v>
      </c>
    </row>
    <row r="1357">
      <c r="A1357" s="89" t="n">
        <v>34190</v>
      </c>
      <c r="D1357" t="n">
        <v>1092.4</v>
      </c>
    </row>
    <row r="1358">
      <c r="A1358" s="89" t="n">
        <v>34197</v>
      </c>
      <c r="D1358" t="n">
        <v>1095.4</v>
      </c>
    </row>
    <row r="1359">
      <c r="A1359" s="89" t="n">
        <v>34204</v>
      </c>
      <c r="D1359" t="n">
        <v>1093.1</v>
      </c>
    </row>
    <row r="1360">
      <c r="A1360" s="89" t="n">
        <v>34211</v>
      </c>
      <c r="D1360" t="n">
        <v>1096.8</v>
      </c>
    </row>
    <row r="1361">
      <c r="A1361" s="89" t="n">
        <v>34213</v>
      </c>
      <c r="B1361" t="n">
        <v>761.5</v>
      </c>
      <c r="C1361" t="n">
        <v>2380.8</v>
      </c>
      <c r="E1361" t="n">
        <v>3452.2</v>
      </c>
    </row>
    <row r="1362">
      <c r="A1362" s="89" t="n">
        <v>34218</v>
      </c>
      <c r="D1362" t="n">
        <v>1100.6</v>
      </c>
    </row>
    <row r="1363">
      <c r="A1363" s="89" t="n">
        <v>34225</v>
      </c>
      <c r="D1363" t="n">
        <v>1103</v>
      </c>
    </row>
    <row r="1364">
      <c r="A1364" s="89" t="n">
        <v>34232</v>
      </c>
      <c r="D1364" t="n">
        <v>1106.9</v>
      </c>
    </row>
    <row r="1365">
      <c r="A1365" s="89" t="n">
        <v>34239</v>
      </c>
      <c r="D1365" t="n">
        <v>1103.9</v>
      </c>
    </row>
    <row r="1366">
      <c r="A1366" s="89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9" t="n">
        <v>34246</v>
      </c>
      <c r="D1367" t="n">
        <v>1108.3</v>
      </c>
    </row>
    <row r="1368">
      <c r="A1368" s="89" t="n">
        <v>34253</v>
      </c>
      <c r="D1368" t="n">
        <v>1110.1</v>
      </c>
    </row>
    <row r="1369">
      <c r="A1369" s="89" t="n">
        <v>34260</v>
      </c>
      <c r="D1369" t="n">
        <v>1112.8</v>
      </c>
    </row>
    <row r="1370">
      <c r="A1370" s="89" t="n">
        <v>34267</v>
      </c>
      <c r="D1370" t="n">
        <v>1113</v>
      </c>
    </row>
    <row r="1371">
      <c r="A1371" s="89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9" t="n">
        <v>34281</v>
      </c>
      <c r="D1372" t="n">
        <v>1121.7</v>
      </c>
    </row>
    <row r="1373">
      <c r="A1373" s="89" t="n">
        <v>34288</v>
      </c>
      <c r="D1373" t="n">
        <v>1126.8</v>
      </c>
    </row>
    <row r="1374">
      <c r="A1374" s="89" t="n">
        <v>34295</v>
      </c>
      <c r="D1374" t="n">
        <v>1123.2</v>
      </c>
    </row>
    <row r="1375">
      <c r="A1375" s="89" t="n">
        <v>34302</v>
      </c>
      <c r="D1375" t="n">
        <v>1124.7</v>
      </c>
    </row>
    <row r="1376">
      <c r="A1376" s="89" t="n">
        <v>34304</v>
      </c>
      <c r="B1376" t="n">
        <v>772.1</v>
      </c>
      <c r="C1376" t="n">
        <v>2374.9</v>
      </c>
      <c r="E1376" t="n">
        <v>3474.5</v>
      </c>
    </row>
    <row r="1377">
      <c r="A1377" s="89" t="n">
        <v>34309</v>
      </c>
      <c r="D1377" t="n">
        <v>1128.1</v>
      </c>
    </row>
    <row r="1378">
      <c r="A1378" s="89" t="n">
        <v>34316</v>
      </c>
      <c r="D1378" t="n">
        <v>1129.5</v>
      </c>
    </row>
    <row r="1379">
      <c r="A1379" s="89" t="n">
        <v>34323</v>
      </c>
      <c r="D1379" t="n">
        <v>1129.5</v>
      </c>
    </row>
    <row r="1380">
      <c r="A1380" s="89" t="n">
        <v>34330</v>
      </c>
      <c r="D1380" t="n">
        <v>1131.9</v>
      </c>
    </row>
    <row r="1381">
      <c r="A1381" s="89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9" t="n">
        <v>34337</v>
      </c>
      <c r="D1382" t="n">
        <v>1128.4</v>
      </c>
    </row>
    <row r="1383">
      <c r="A1383" s="89" t="n">
        <v>34344</v>
      </c>
      <c r="D1383" t="n">
        <v>1131</v>
      </c>
    </row>
    <row r="1384">
      <c r="A1384" s="89" t="n">
        <v>34351</v>
      </c>
      <c r="D1384" t="n">
        <v>1131.3</v>
      </c>
    </row>
    <row r="1385">
      <c r="A1385" s="89" t="n">
        <v>34358</v>
      </c>
      <c r="D1385" t="n">
        <v>1132.4</v>
      </c>
    </row>
    <row r="1386">
      <c r="A1386" s="89" t="n">
        <v>34365</v>
      </c>
      <c r="D1386" t="n">
        <v>1132.7</v>
      </c>
    </row>
    <row r="1387">
      <c r="A1387" s="89" t="n">
        <v>34366</v>
      </c>
      <c r="B1387" t="n">
        <v>774.6</v>
      </c>
      <c r="C1387" t="n">
        <v>2369.3</v>
      </c>
      <c r="E1387" t="n">
        <v>3475.7</v>
      </c>
    </row>
    <row r="1388">
      <c r="A1388" s="89" t="n">
        <v>34372</v>
      </c>
      <c r="D1388" t="n">
        <v>1134.5</v>
      </c>
    </row>
    <row r="1389">
      <c r="A1389" s="89" t="n">
        <v>34379</v>
      </c>
      <c r="D1389" t="n">
        <v>1136.7</v>
      </c>
    </row>
    <row r="1390">
      <c r="A1390" s="89" t="n">
        <v>34386</v>
      </c>
      <c r="D1390" t="n">
        <v>1137.4</v>
      </c>
    </row>
    <row r="1391">
      <c r="A1391" s="89" t="n">
        <v>34393</v>
      </c>
      <c r="D1391" t="n">
        <v>1136.5</v>
      </c>
    </row>
    <row r="1392">
      <c r="A1392" s="89" t="n">
        <v>34394</v>
      </c>
      <c r="B1392" t="n">
        <v>775.1</v>
      </c>
      <c r="C1392" t="n">
        <v>2365.8</v>
      </c>
      <c r="E1392" t="n">
        <v>3480.1</v>
      </c>
    </row>
    <row r="1393">
      <c r="A1393" s="89" t="n">
        <v>34400</v>
      </c>
      <c r="D1393" t="n">
        <v>1138.3</v>
      </c>
    </row>
    <row r="1394">
      <c r="A1394" s="89" t="n">
        <v>34407</v>
      </c>
      <c r="D1394" t="n">
        <v>1139.6</v>
      </c>
    </row>
    <row r="1395">
      <c r="A1395" s="89" t="n">
        <v>34414</v>
      </c>
      <c r="D1395" t="n">
        <v>1139.2</v>
      </c>
    </row>
    <row r="1396">
      <c r="A1396" s="89" t="n">
        <v>34421</v>
      </c>
      <c r="D1396" t="n">
        <v>1141.5</v>
      </c>
    </row>
    <row r="1397">
      <c r="A1397" s="89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9" t="n">
        <v>34428</v>
      </c>
      <c r="D1398" t="n">
        <v>1144.7</v>
      </c>
    </row>
    <row r="1399">
      <c r="A1399" s="89" t="n">
        <v>34435</v>
      </c>
      <c r="D1399" t="n">
        <v>1143.8</v>
      </c>
    </row>
    <row r="1400">
      <c r="A1400" s="89" t="n">
        <v>34442</v>
      </c>
      <c r="D1400" t="n">
        <v>1139</v>
      </c>
    </row>
    <row r="1401">
      <c r="A1401" s="89" t="n">
        <v>34449</v>
      </c>
      <c r="D1401" t="n">
        <v>1137.9</v>
      </c>
    </row>
    <row r="1402">
      <c r="A1402" s="89" t="n">
        <v>34455</v>
      </c>
      <c r="B1402" t="n">
        <v>775.1</v>
      </c>
      <c r="C1402" t="n">
        <v>2366.6</v>
      </c>
      <c r="E1402" t="n">
        <v>3490.8</v>
      </c>
    </row>
    <row r="1403">
      <c r="A1403" s="89" t="n">
        <v>34456</v>
      </c>
      <c r="D1403" t="n">
        <v>1141.8</v>
      </c>
    </row>
    <row r="1404">
      <c r="A1404" s="89" t="n">
        <v>34463</v>
      </c>
      <c r="D1404" t="n">
        <v>1144.9</v>
      </c>
    </row>
    <row r="1405">
      <c r="A1405" s="89" t="n">
        <v>34470</v>
      </c>
      <c r="D1405" t="n">
        <v>1145.1</v>
      </c>
    </row>
    <row r="1406">
      <c r="A1406" s="89" t="n">
        <v>34477</v>
      </c>
      <c r="D1406" t="n">
        <v>1141.2</v>
      </c>
    </row>
    <row r="1407">
      <c r="A1407" s="89" t="n">
        <v>34484</v>
      </c>
      <c r="D1407" t="n">
        <v>1142.3</v>
      </c>
    </row>
    <row r="1408">
      <c r="A1408" s="89" t="n">
        <v>34486</v>
      </c>
      <c r="B1408" t="n">
        <v>774.3</v>
      </c>
      <c r="C1408" t="n">
        <v>2352.6</v>
      </c>
      <c r="E1408" t="n">
        <v>3479.5</v>
      </c>
    </row>
    <row r="1409">
      <c r="A1409" s="89" t="n">
        <v>34491</v>
      </c>
      <c r="D1409" t="n">
        <v>1144.3</v>
      </c>
    </row>
    <row r="1410">
      <c r="A1410" s="89" t="n">
        <v>34498</v>
      </c>
      <c r="D1410" t="n">
        <v>1145.4</v>
      </c>
    </row>
    <row r="1411">
      <c r="A1411" s="89" t="n">
        <v>34505</v>
      </c>
      <c r="D1411" t="n">
        <v>1146.4</v>
      </c>
    </row>
    <row r="1412">
      <c r="A1412" s="89" t="n">
        <v>34512</v>
      </c>
      <c r="D1412" t="n">
        <v>1145.3</v>
      </c>
    </row>
    <row r="1413">
      <c r="A1413" s="89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9" t="n">
        <v>34519</v>
      </c>
      <c r="D1414" t="n">
        <v>1143.5</v>
      </c>
    </row>
    <row r="1415">
      <c r="A1415" s="89" t="n">
        <v>34526</v>
      </c>
      <c r="D1415" t="n">
        <v>1151.5</v>
      </c>
    </row>
    <row r="1416">
      <c r="A1416" s="89" t="n">
        <v>34533</v>
      </c>
      <c r="D1416" t="n">
        <v>1151.2</v>
      </c>
    </row>
    <row r="1417">
      <c r="A1417" s="89" t="n">
        <v>34540</v>
      </c>
      <c r="D1417" t="n">
        <v>1151.4</v>
      </c>
    </row>
    <row r="1418">
      <c r="A1418" s="89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9" t="n">
        <v>34554</v>
      </c>
      <c r="D1419" t="n">
        <v>1148</v>
      </c>
    </row>
    <row r="1420">
      <c r="A1420" s="89" t="n">
        <v>34561</v>
      </c>
      <c r="D1420" t="n">
        <v>1151.6</v>
      </c>
    </row>
    <row r="1421">
      <c r="A1421" s="89" t="n">
        <v>34568</v>
      </c>
      <c r="D1421" t="n">
        <v>1150.2</v>
      </c>
    </row>
    <row r="1422">
      <c r="A1422" s="89" t="n">
        <v>34575</v>
      </c>
      <c r="D1422" t="n">
        <v>1151.6</v>
      </c>
    </row>
    <row r="1423">
      <c r="A1423" s="89" t="n">
        <v>34578</v>
      </c>
      <c r="B1423" t="n">
        <v>771.5</v>
      </c>
      <c r="C1423" t="n">
        <v>2335</v>
      </c>
      <c r="E1423" t="n">
        <v>3486.1</v>
      </c>
    </row>
    <row r="1424">
      <c r="A1424" s="89" t="n">
        <v>34582</v>
      </c>
      <c r="D1424" t="n">
        <v>1153</v>
      </c>
    </row>
    <row r="1425">
      <c r="A1425" s="89" t="n">
        <v>34589</v>
      </c>
      <c r="D1425" t="n">
        <v>1152.7</v>
      </c>
    </row>
    <row r="1426">
      <c r="A1426" s="89" t="n">
        <v>34596</v>
      </c>
      <c r="D1426" t="n">
        <v>1152.2</v>
      </c>
    </row>
    <row r="1427">
      <c r="A1427" s="89" t="n">
        <v>34603</v>
      </c>
      <c r="D1427" t="n">
        <v>1152.3</v>
      </c>
    </row>
    <row r="1428">
      <c r="A1428" s="89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9" t="n">
        <v>34610</v>
      </c>
      <c r="D1429" t="n">
        <v>1147.7</v>
      </c>
    </row>
    <row r="1430">
      <c r="A1430" s="89" t="n">
        <v>34617</v>
      </c>
      <c r="D1430" t="n">
        <v>1152.6</v>
      </c>
    </row>
    <row r="1431">
      <c r="A1431" s="89" t="n">
        <v>34624</v>
      </c>
      <c r="D1431" t="n">
        <v>1152.7</v>
      </c>
    </row>
    <row r="1432">
      <c r="A1432" s="89" t="n">
        <v>34631</v>
      </c>
      <c r="D1432" t="n">
        <v>1148.2</v>
      </c>
    </row>
    <row r="1433">
      <c r="A1433" s="89" t="n">
        <v>34638</v>
      </c>
      <c r="D1433" t="n">
        <v>1148.1</v>
      </c>
    </row>
    <row r="1434">
      <c r="A1434" s="89" t="n">
        <v>34639</v>
      </c>
      <c r="B1434" t="n">
        <v>768.3</v>
      </c>
      <c r="C1434" t="n">
        <v>2327.9</v>
      </c>
      <c r="E1434" t="n">
        <v>3487.2</v>
      </c>
    </row>
    <row r="1435">
      <c r="A1435" s="89" t="n">
        <v>34645</v>
      </c>
      <c r="D1435" t="n">
        <v>1148.2</v>
      </c>
    </row>
    <row r="1436">
      <c r="A1436" s="89" t="n">
        <v>34652</v>
      </c>
      <c r="D1436" t="n">
        <v>1151.8</v>
      </c>
    </row>
    <row r="1437">
      <c r="A1437" s="89" t="n">
        <v>34659</v>
      </c>
      <c r="D1437" t="n">
        <v>1152.4</v>
      </c>
    </row>
    <row r="1438">
      <c r="A1438" s="89" t="n">
        <v>34666</v>
      </c>
      <c r="D1438" t="n">
        <v>1151.2</v>
      </c>
    </row>
    <row r="1439">
      <c r="A1439" s="89" t="n">
        <v>34669</v>
      </c>
      <c r="B1439" t="n">
        <v>766.6</v>
      </c>
      <c r="C1439" t="n">
        <v>2322.7</v>
      </c>
      <c r="E1439" t="n">
        <v>3486.4</v>
      </c>
    </row>
    <row r="1440">
      <c r="A1440" s="89" t="n">
        <v>34673</v>
      </c>
      <c r="D1440" t="n">
        <v>1152.2</v>
      </c>
    </row>
    <row r="1441">
      <c r="A1441" s="89" t="n">
        <v>34680</v>
      </c>
      <c r="D1441" t="n">
        <v>1154.5</v>
      </c>
    </row>
    <row r="1442">
      <c r="A1442" s="89" t="n">
        <v>34687</v>
      </c>
      <c r="D1442" t="n">
        <v>1150.4</v>
      </c>
    </row>
    <row r="1443">
      <c r="A1443" s="89" t="n">
        <v>34694</v>
      </c>
      <c r="D1443" t="n">
        <v>1149.3</v>
      </c>
    </row>
    <row r="1444">
      <c r="A1444" s="89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9" t="n">
        <v>34701</v>
      </c>
      <c r="D1445" t="n">
        <v>1145.9</v>
      </c>
    </row>
    <row r="1446">
      <c r="A1446" s="89" t="n">
        <v>34708</v>
      </c>
      <c r="D1446" t="n">
        <v>1154.4</v>
      </c>
    </row>
    <row r="1447">
      <c r="A1447" s="89" t="n">
        <v>34715</v>
      </c>
      <c r="D1447" t="n">
        <v>1154.4</v>
      </c>
    </row>
    <row r="1448">
      <c r="A1448" s="89" t="n">
        <v>34722</v>
      </c>
      <c r="D1448" t="n">
        <v>1150.4</v>
      </c>
    </row>
    <row r="1449">
      <c r="A1449" s="89" t="n">
        <v>34729</v>
      </c>
      <c r="D1449" t="n">
        <v>1148</v>
      </c>
    </row>
    <row r="1450">
      <c r="A1450" s="89" t="n">
        <v>34731</v>
      </c>
      <c r="B1450" t="n">
        <v>760.4</v>
      </c>
      <c r="C1450" t="n">
        <v>2312.7</v>
      </c>
      <c r="E1450" t="n">
        <v>3489.9</v>
      </c>
    </row>
    <row r="1451">
      <c r="A1451" s="89" t="n">
        <v>34736</v>
      </c>
      <c r="D1451" t="n">
        <v>1150.5</v>
      </c>
    </row>
    <row r="1452">
      <c r="A1452" s="89" t="n">
        <v>34743</v>
      </c>
      <c r="D1452" t="n">
        <v>1148</v>
      </c>
    </row>
    <row r="1453">
      <c r="A1453" s="89" t="n">
        <v>34750</v>
      </c>
      <c r="D1453" t="n">
        <v>1145.3</v>
      </c>
    </row>
    <row r="1454">
      <c r="A1454" s="89" t="n">
        <v>34757</v>
      </c>
      <c r="D1454" t="n">
        <v>1146.2</v>
      </c>
    </row>
    <row r="1455">
      <c r="A1455" s="89" t="n">
        <v>34759</v>
      </c>
      <c r="B1455" t="n">
        <v>758.4</v>
      </c>
      <c r="C1455" t="n">
        <v>2308.9</v>
      </c>
      <c r="E1455" t="n">
        <v>3491.1</v>
      </c>
    </row>
    <row r="1456">
      <c r="A1456" s="89" t="n">
        <v>34764</v>
      </c>
      <c r="D1456" t="n">
        <v>1147.2</v>
      </c>
    </row>
    <row r="1457">
      <c r="A1457" s="89" t="n">
        <v>34771</v>
      </c>
      <c r="D1457" t="n">
        <v>1148.3</v>
      </c>
    </row>
    <row r="1458">
      <c r="A1458" s="89" t="n">
        <v>34778</v>
      </c>
      <c r="D1458" t="n">
        <v>1147.2</v>
      </c>
    </row>
    <row r="1459">
      <c r="A1459" s="89" t="n">
        <v>34785</v>
      </c>
      <c r="D1459" t="n">
        <v>1147.2</v>
      </c>
    </row>
    <row r="1460">
      <c r="A1460" s="89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9" t="n">
        <v>34792</v>
      </c>
      <c r="D1461" t="n">
        <v>1141.5</v>
      </c>
    </row>
    <row r="1462">
      <c r="A1462" s="89" t="n">
        <v>34799</v>
      </c>
      <c r="D1462" t="n">
        <v>1151.4</v>
      </c>
    </row>
    <row r="1463">
      <c r="A1463" s="89" t="n">
        <v>34806</v>
      </c>
      <c r="D1463" t="n">
        <v>1149.1</v>
      </c>
    </row>
    <row r="1464">
      <c r="A1464" s="89" t="n">
        <v>34813</v>
      </c>
      <c r="D1464" t="n">
        <v>1149.8</v>
      </c>
    </row>
    <row r="1465">
      <c r="A1465" s="89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9" t="n">
        <v>34827</v>
      </c>
      <c r="D1466" t="n">
        <v>1144.8</v>
      </c>
    </row>
    <row r="1467">
      <c r="A1467" s="89" t="n">
        <v>34834</v>
      </c>
      <c r="D1467" t="n">
        <v>1146.7</v>
      </c>
    </row>
    <row r="1468">
      <c r="A1468" s="89" t="n">
        <v>34841</v>
      </c>
      <c r="D1468" t="n">
        <v>1146</v>
      </c>
    </row>
    <row r="1469">
      <c r="A1469" s="89" t="n">
        <v>34848</v>
      </c>
      <c r="D1469" t="n">
        <v>1142.8</v>
      </c>
    </row>
    <row r="1470">
      <c r="A1470" s="89" t="n">
        <v>34851</v>
      </c>
      <c r="B1470" t="n">
        <v>750.8</v>
      </c>
      <c r="C1470" t="n">
        <v>2328.7</v>
      </c>
      <c r="E1470" t="n">
        <v>3548.9</v>
      </c>
    </row>
    <row r="1471">
      <c r="A1471" s="89" t="n">
        <v>34855</v>
      </c>
      <c r="D1471" t="n">
        <v>1145.5</v>
      </c>
    </row>
    <row r="1472">
      <c r="A1472" s="89" t="n">
        <v>34862</v>
      </c>
      <c r="D1472" t="n">
        <v>1146.3</v>
      </c>
    </row>
    <row r="1473">
      <c r="A1473" s="89" t="n">
        <v>34869</v>
      </c>
      <c r="D1473" t="n">
        <v>1143.4</v>
      </c>
    </row>
    <row r="1474">
      <c r="A1474" s="89" t="n">
        <v>34876</v>
      </c>
      <c r="D1474" t="n">
        <v>1143.8</v>
      </c>
    </row>
    <row r="1475">
      <c r="A1475" s="89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9" t="n">
        <v>34883</v>
      </c>
      <c r="D1476" t="n">
        <v>1141</v>
      </c>
    </row>
    <row r="1477">
      <c r="A1477" s="89" t="n">
        <v>34890</v>
      </c>
      <c r="D1477" t="n">
        <v>1149</v>
      </c>
    </row>
    <row r="1478">
      <c r="A1478" s="89" t="n">
        <v>34897</v>
      </c>
      <c r="D1478" t="n">
        <v>1145.5</v>
      </c>
    </row>
    <row r="1479">
      <c r="A1479" s="89" t="n">
        <v>34904</v>
      </c>
      <c r="D1479" t="n">
        <v>1143</v>
      </c>
    </row>
    <row r="1480">
      <c r="A1480" s="89" t="n">
        <v>34911</v>
      </c>
      <c r="D1480" t="n">
        <v>1146.2</v>
      </c>
    </row>
    <row r="1481">
      <c r="A1481" s="89" t="n">
        <v>34912</v>
      </c>
      <c r="B1481" t="n">
        <v>749.1</v>
      </c>
      <c r="C1481" t="n">
        <v>2347.3</v>
      </c>
      <c r="E1481" t="n">
        <v>3589</v>
      </c>
    </row>
    <row r="1482">
      <c r="A1482" s="89" t="n">
        <v>34918</v>
      </c>
      <c r="D1482" t="n">
        <v>1146</v>
      </c>
    </row>
    <row r="1483">
      <c r="A1483" s="89" t="n">
        <v>34925</v>
      </c>
      <c r="D1483" t="n">
        <v>1147.4</v>
      </c>
    </row>
    <row r="1484">
      <c r="A1484" s="89" t="n">
        <v>34932</v>
      </c>
      <c r="D1484" t="n">
        <v>1146.3</v>
      </c>
    </row>
    <row r="1485">
      <c r="A1485" s="89" t="n">
        <v>34939</v>
      </c>
      <c r="D1485" t="n">
        <v>1143.4</v>
      </c>
    </row>
    <row r="1486">
      <c r="A1486" s="89" t="n">
        <v>34943</v>
      </c>
      <c r="B1486" t="n">
        <v>745.9</v>
      </c>
      <c r="C1486" t="n">
        <v>2352.8</v>
      </c>
      <c r="E1486" t="n">
        <v>3602.1</v>
      </c>
    </row>
    <row r="1487">
      <c r="A1487" s="89" t="n">
        <v>34946</v>
      </c>
      <c r="D1487" t="n">
        <v>1142.7</v>
      </c>
    </row>
    <row r="1488">
      <c r="A1488" s="89" t="n">
        <v>34953</v>
      </c>
      <c r="D1488" t="n">
        <v>1148.6</v>
      </c>
    </row>
    <row r="1489">
      <c r="A1489" s="89" t="n">
        <v>34960</v>
      </c>
      <c r="D1489" t="n">
        <v>1142.1</v>
      </c>
    </row>
    <row r="1490">
      <c r="A1490" s="89" t="n">
        <v>34967</v>
      </c>
      <c r="D1490" t="n">
        <v>1140</v>
      </c>
    </row>
    <row r="1491">
      <c r="A1491" s="89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9" t="n">
        <v>34974</v>
      </c>
      <c r="D1492" t="n">
        <v>1133.8</v>
      </c>
    </row>
    <row r="1493">
      <c r="A1493" s="89" t="n">
        <v>34981</v>
      </c>
      <c r="D1493" t="n">
        <v>1137.3</v>
      </c>
    </row>
    <row r="1494">
      <c r="A1494" s="89" t="n">
        <v>34988</v>
      </c>
      <c r="D1494" t="n">
        <v>1141.2</v>
      </c>
    </row>
    <row r="1495">
      <c r="A1495" s="89" t="n">
        <v>34995</v>
      </c>
      <c r="D1495" t="n">
        <v>1136.1</v>
      </c>
    </row>
    <row r="1496">
      <c r="A1496" s="89" t="n">
        <v>35002</v>
      </c>
      <c r="D1496" t="n">
        <v>1135.2</v>
      </c>
    </row>
    <row r="1497">
      <c r="A1497" s="89" t="n">
        <v>35004</v>
      </c>
      <c r="B1497" t="n">
        <v>737.9</v>
      </c>
      <c r="C1497" t="n">
        <v>2355.2</v>
      </c>
      <c r="E1497" t="n">
        <v>3619.9</v>
      </c>
    </row>
    <row r="1498">
      <c r="A1498" s="89" t="n">
        <v>35009</v>
      </c>
      <c r="D1498" t="n">
        <v>1137.9</v>
      </c>
    </row>
    <row r="1499">
      <c r="A1499" s="89" t="n">
        <v>35016</v>
      </c>
      <c r="D1499" t="n">
        <v>1134.3</v>
      </c>
    </row>
    <row r="1500">
      <c r="A1500" s="89" t="n">
        <v>35023</v>
      </c>
      <c r="D1500" t="n">
        <v>1134.6</v>
      </c>
    </row>
    <row r="1501">
      <c r="A1501" s="89" t="n">
        <v>35030</v>
      </c>
      <c r="D1501" t="n">
        <v>1133.8</v>
      </c>
    </row>
    <row r="1502">
      <c r="A1502" s="89" t="n">
        <v>35034</v>
      </c>
      <c r="B1502" t="n">
        <v>732.6</v>
      </c>
      <c r="C1502" t="n">
        <v>2358.3</v>
      </c>
      <c r="E1502" t="n">
        <v>3629.5</v>
      </c>
    </row>
    <row r="1503">
      <c r="A1503" s="89" t="n">
        <v>35037</v>
      </c>
      <c r="D1503" t="n">
        <v>1125.5</v>
      </c>
    </row>
    <row r="1504">
      <c r="A1504" s="89" t="n">
        <v>35044</v>
      </c>
      <c r="D1504" t="n">
        <v>1131</v>
      </c>
    </row>
    <row r="1505">
      <c r="A1505" s="89" t="n">
        <v>35051</v>
      </c>
      <c r="D1505" t="n">
        <v>1122.7</v>
      </c>
    </row>
    <row r="1506">
      <c r="A1506" s="89" t="n">
        <v>35058</v>
      </c>
      <c r="D1506" t="n">
        <v>1127</v>
      </c>
    </row>
    <row r="1507">
      <c r="A1507" s="89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9" t="n">
        <v>35072</v>
      </c>
      <c r="D1508" t="n">
        <v>1124.9</v>
      </c>
    </row>
    <row r="1509">
      <c r="A1509" s="89" t="n">
        <v>35079</v>
      </c>
      <c r="D1509" t="n">
        <v>1129.4</v>
      </c>
    </row>
    <row r="1510">
      <c r="A1510" s="89" t="n">
        <v>35086</v>
      </c>
      <c r="D1510" t="n">
        <v>1120.8</v>
      </c>
    </row>
    <row r="1511">
      <c r="A1511" s="89" t="n">
        <v>35093</v>
      </c>
      <c r="D1511" t="n">
        <v>1117.9</v>
      </c>
    </row>
    <row r="1512">
      <c r="A1512" s="89" t="n">
        <v>35096</v>
      </c>
      <c r="B1512" t="n">
        <v>721.6</v>
      </c>
      <c r="C1512" t="n">
        <v>2362.5</v>
      </c>
      <c r="E1512" t="n">
        <v>3661.8</v>
      </c>
    </row>
    <row r="1513">
      <c r="A1513" s="89" t="n">
        <v>35100</v>
      </c>
      <c r="D1513" t="n">
        <v>1121.5</v>
      </c>
    </row>
    <row r="1514">
      <c r="A1514" s="89" t="n">
        <v>35107</v>
      </c>
      <c r="D1514" t="n">
        <v>1118.6</v>
      </c>
    </row>
    <row r="1515">
      <c r="A1515" s="89" t="n">
        <v>35114</v>
      </c>
      <c r="D1515" t="n">
        <v>1115.7</v>
      </c>
    </row>
    <row r="1516">
      <c r="A1516" s="89" t="n">
        <v>35121</v>
      </c>
      <c r="D1516" t="n">
        <v>1116.9</v>
      </c>
    </row>
    <row r="1517">
      <c r="A1517" s="89" t="n">
        <v>35125</v>
      </c>
      <c r="B1517" t="n">
        <v>721.9</v>
      </c>
      <c r="C1517" t="n">
        <v>2371</v>
      </c>
      <c r="E1517" t="n">
        <v>3686.9</v>
      </c>
    </row>
    <row r="1518">
      <c r="A1518" s="89" t="n">
        <v>35128</v>
      </c>
      <c r="D1518" t="n">
        <v>1123</v>
      </c>
    </row>
    <row r="1519">
      <c r="A1519" s="89" t="n">
        <v>35135</v>
      </c>
      <c r="D1519" t="n">
        <v>1118.7</v>
      </c>
    </row>
    <row r="1520">
      <c r="A1520" s="89" t="n">
        <v>35142</v>
      </c>
      <c r="D1520" t="n">
        <v>1120.8</v>
      </c>
    </row>
    <row r="1521">
      <c r="A1521" s="89" t="n">
        <v>35149</v>
      </c>
      <c r="D1521" t="n">
        <v>1123.2</v>
      </c>
    </row>
    <row r="1522">
      <c r="A1522" s="89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9" t="n">
        <v>35163</v>
      </c>
      <c r="D1523" t="n">
        <v>1124.1</v>
      </c>
    </row>
    <row r="1524">
      <c r="A1524" s="89" t="n">
        <v>35170</v>
      </c>
      <c r="D1524" t="n">
        <v>1130.4</v>
      </c>
    </row>
    <row r="1525">
      <c r="A1525" s="89" t="n">
        <v>35177</v>
      </c>
      <c r="D1525" t="n">
        <v>1125</v>
      </c>
    </row>
    <row r="1526">
      <c r="A1526" s="89" t="n">
        <v>35184</v>
      </c>
      <c r="D1526" t="n">
        <v>1118.6</v>
      </c>
    </row>
    <row r="1527">
      <c r="A1527" s="89" t="n">
        <v>35186</v>
      </c>
      <c r="B1527" t="n">
        <v>713.9</v>
      </c>
      <c r="C1527" t="n">
        <v>2371.9</v>
      </c>
      <c r="E1527" t="n">
        <v>3709.6</v>
      </c>
    </row>
    <row r="1528">
      <c r="A1528" s="89" t="n">
        <v>35191</v>
      </c>
      <c r="D1528" t="n">
        <v>1123</v>
      </c>
    </row>
    <row r="1529">
      <c r="A1529" s="89" t="n">
        <v>35198</v>
      </c>
      <c r="D1529" t="n">
        <v>1117.6</v>
      </c>
    </row>
    <row r="1530">
      <c r="A1530" s="89" t="n">
        <v>35205</v>
      </c>
      <c r="D1530" t="n">
        <v>1117.3</v>
      </c>
    </row>
    <row r="1531">
      <c r="A1531" s="89" t="n">
        <v>35212</v>
      </c>
      <c r="D1531" t="n">
        <v>1110.8</v>
      </c>
    </row>
    <row r="1532">
      <c r="A1532" s="89" t="n">
        <v>35217</v>
      </c>
      <c r="B1532" t="n">
        <v>711.7</v>
      </c>
      <c r="C1532" t="n">
        <v>2375.6</v>
      </c>
      <c r="E1532" t="n">
        <v>3722.5</v>
      </c>
    </row>
    <row r="1533">
      <c r="A1533" s="89" t="n">
        <v>35219</v>
      </c>
      <c r="D1533" t="n">
        <v>1114.2</v>
      </c>
    </row>
    <row r="1534">
      <c r="A1534" s="89" t="n">
        <v>35226</v>
      </c>
      <c r="D1534" t="n">
        <v>1114.9</v>
      </c>
    </row>
    <row r="1535">
      <c r="A1535" s="89" t="n">
        <v>35233</v>
      </c>
      <c r="D1535" t="n">
        <v>1114.5</v>
      </c>
    </row>
    <row r="1536">
      <c r="A1536" s="89" t="n">
        <v>35240</v>
      </c>
      <c r="D1536" t="n">
        <v>1113</v>
      </c>
    </row>
    <row r="1537">
      <c r="A1537" s="89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9" t="n">
        <v>35254</v>
      </c>
      <c r="D1538" t="n">
        <v>1109</v>
      </c>
    </row>
    <row r="1539">
      <c r="A1539" s="89" t="n">
        <v>35261</v>
      </c>
      <c r="D1539" t="n">
        <v>1115.1</v>
      </c>
    </row>
    <row r="1540">
      <c r="A1540" s="89" t="n">
        <v>35268</v>
      </c>
      <c r="D1540" t="n">
        <v>1113.1</v>
      </c>
    </row>
    <row r="1541">
      <c r="A1541" s="89" t="n">
        <v>35275</v>
      </c>
      <c r="D1541" t="n">
        <v>1112.1</v>
      </c>
    </row>
    <row r="1542">
      <c r="A1542" s="89" t="n">
        <v>35278</v>
      </c>
      <c r="B1542" t="n">
        <v>700.8</v>
      </c>
      <c r="C1542" t="n">
        <v>2381.7</v>
      </c>
      <c r="E1542" t="n">
        <v>3744</v>
      </c>
    </row>
    <row r="1543">
      <c r="A1543" s="89" t="n">
        <v>35282</v>
      </c>
      <c r="D1543" t="n">
        <v>1108.5</v>
      </c>
    </row>
    <row r="1544">
      <c r="A1544" s="89" t="n">
        <v>35289</v>
      </c>
      <c r="D1544" t="n">
        <v>1106.1</v>
      </c>
    </row>
    <row r="1545">
      <c r="A1545" s="89" t="n">
        <v>35296</v>
      </c>
      <c r="D1545" t="n">
        <v>1098.1</v>
      </c>
    </row>
    <row r="1546">
      <c r="A1546" s="89" t="n">
        <v>35303</v>
      </c>
      <c r="D1546" t="n">
        <v>1098.6</v>
      </c>
    </row>
    <row r="1547">
      <c r="A1547" s="89" t="n">
        <v>35309</v>
      </c>
      <c r="B1547" t="n">
        <v>695.1</v>
      </c>
      <c r="C1547" t="n">
        <v>2380.1</v>
      </c>
      <c r="E1547" t="n">
        <v>3753.4</v>
      </c>
    </row>
    <row r="1548">
      <c r="A1548" s="89" t="n">
        <v>35310</v>
      </c>
      <c r="D1548" t="n">
        <v>1097.9</v>
      </c>
    </row>
    <row r="1549">
      <c r="A1549" s="89" t="n">
        <v>35317</v>
      </c>
      <c r="D1549" t="n">
        <v>1103.8</v>
      </c>
    </row>
    <row r="1550">
      <c r="A1550" s="89" t="n">
        <v>35324</v>
      </c>
      <c r="D1550" t="n">
        <v>1096.7</v>
      </c>
    </row>
    <row r="1551">
      <c r="A1551" s="89" t="n">
        <v>35331</v>
      </c>
      <c r="D1551" t="n">
        <v>1091.7</v>
      </c>
    </row>
    <row r="1552">
      <c r="A1552" s="89" t="n">
        <v>35338</v>
      </c>
      <c r="D1552" t="n">
        <v>1091.8</v>
      </c>
    </row>
    <row r="1553">
      <c r="A1553" s="89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9" t="n">
        <v>35345</v>
      </c>
      <c r="D1554" t="n">
        <v>1088.5</v>
      </c>
    </row>
    <row r="1555">
      <c r="A1555" s="89" t="n">
        <v>35352</v>
      </c>
      <c r="D1555" t="n">
        <v>1091.6</v>
      </c>
    </row>
    <row r="1556">
      <c r="A1556" s="89" t="n">
        <v>35359</v>
      </c>
      <c r="D1556" t="n">
        <v>1086.7</v>
      </c>
    </row>
    <row r="1557">
      <c r="A1557" s="89" t="n">
        <v>35366</v>
      </c>
      <c r="D1557" t="n">
        <v>1077.8</v>
      </c>
    </row>
    <row r="1558">
      <c r="A1558" s="89" t="n">
        <v>35370</v>
      </c>
      <c r="B1558" t="n">
        <v>682.7</v>
      </c>
      <c r="C1558" t="n">
        <v>2391.4</v>
      </c>
      <c r="E1558" t="n">
        <v>3795.1</v>
      </c>
    </row>
    <row r="1559">
      <c r="A1559" s="89" t="n">
        <v>35373</v>
      </c>
      <c r="D1559" t="n">
        <v>1081.2</v>
      </c>
    </row>
    <row r="1560">
      <c r="A1560" s="89" t="n">
        <v>35380</v>
      </c>
      <c r="D1560" t="n">
        <v>1088.1</v>
      </c>
    </row>
    <row r="1561">
      <c r="A1561" s="89" t="n">
        <v>35387</v>
      </c>
      <c r="D1561" t="n">
        <v>1087.7</v>
      </c>
    </row>
    <row r="1562">
      <c r="A1562" s="89" t="n">
        <v>35394</v>
      </c>
      <c r="D1562" t="n">
        <v>1078.1</v>
      </c>
    </row>
    <row r="1563">
      <c r="A1563" s="89" t="n">
        <v>35400</v>
      </c>
      <c r="B1563" t="n">
        <v>679.6</v>
      </c>
      <c r="C1563" t="n">
        <v>2400.1</v>
      </c>
      <c r="E1563" t="n">
        <v>3818.6</v>
      </c>
    </row>
    <row r="1564">
      <c r="A1564" s="89" t="n">
        <v>35401</v>
      </c>
      <c r="D1564" t="n">
        <v>1081</v>
      </c>
    </row>
    <row r="1565">
      <c r="A1565" s="89" t="n">
        <v>35408</v>
      </c>
      <c r="D1565" t="n">
        <v>1091.1</v>
      </c>
    </row>
    <row r="1566">
      <c r="A1566" s="89" t="n">
        <v>35415</v>
      </c>
      <c r="D1566" t="n">
        <v>1083.9</v>
      </c>
    </row>
    <row r="1567">
      <c r="A1567" s="89" t="n">
        <v>35422</v>
      </c>
      <c r="D1567" t="n">
        <v>1080.2</v>
      </c>
    </row>
    <row r="1568">
      <c r="A1568" s="89" t="n">
        <v>35429</v>
      </c>
      <c r="D1568" t="n">
        <v>1070.7</v>
      </c>
    </row>
    <row r="1569">
      <c r="A1569" s="89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9" t="n">
        <v>35436</v>
      </c>
      <c r="D1570" t="n">
        <v>1079.6</v>
      </c>
    </row>
    <row r="1571">
      <c r="A1571" s="89" t="n">
        <v>35443</v>
      </c>
      <c r="D1571" t="n">
        <v>1089.9</v>
      </c>
    </row>
    <row r="1572">
      <c r="A1572" s="89" t="n">
        <v>35450</v>
      </c>
      <c r="D1572" t="n">
        <v>1081.7</v>
      </c>
    </row>
    <row r="1573">
      <c r="A1573" s="89" t="n">
        <v>35457</v>
      </c>
      <c r="D1573" t="n">
        <v>1075.8</v>
      </c>
    </row>
    <row r="1574">
      <c r="A1574" s="89" t="n">
        <v>35462</v>
      </c>
      <c r="B1574" t="n">
        <v>675.5</v>
      </c>
      <c r="C1574" t="n">
        <v>2408.5</v>
      </c>
      <c r="E1574" t="n">
        <v>3846.3</v>
      </c>
    </row>
    <row r="1575">
      <c r="A1575" s="89" t="n">
        <v>35464</v>
      </c>
      <c r="D1575" t="n">
        <v>1077.2</v>
      </c>
    </row>
    <row r="1576">
      <c r="A1576" s="89" t="n">
        <v>35471</v>
      </c>
      <c r="D1576" t="n">
        <v>1086.5</v>
      </c>
    </row>
    <row r="1577">
      <c r="A1577" s="89" t="n">
        <v>35478</v>
      </c>
      <c r="D1577" t="n">
        <v>1078.2</v>
      </c>
    </row>
    <row r="1578">
      <c r="A1578" s="89" t="n">
        <v>35485</v>
      </c>
      <c r="D1578" t="n">
        <v>1075.3</v>
      </c>
    </row>
    <row r="1579">
      <c r="A1579" s="89" t="n">
        <v>35490</v>
      </c>
      <c r="B1579" t="n">
        <v>671.2</v>
      </c>
      <c r="C1579" t="n">
        <v>2416.3</v>
      </c>
      <c r="E1579" t="n">
        <v>3861.2</v>
      </c>
    </row>
    <row r="1580">
      <c r="A1580" s="89" t="n">
        <v>35492</v>
      </c>
      <c r="D1580" t="n">
        <v>1073.6</v>
      </c>
    </row>
    <row r="1581">
      <c r="A1581" s="89" t="n">
        <v>35499</v>
      </c>
      <c r="D1581" t="n">
        <v>1081.3</v>
      </c>
    </row>
    <row r="1582">
      <c r="A1582" s="89" t="n">
        <v>35506</v>
      </c>
      <c r="D1582" t="n">
        <v>1075.2</v>
      </c>
    </row>
    <row r="1583">
      <c r="A1583" s="89" t="n">
        <v>35513</v>
      </c>
      <c r="D1583" t="n">
        <v>1069.4</v>
      </c>
    </row>
    <row r="1584">
      <c r="A1584" s="89" t="n">
        <v>35520</v>
      </c>
      <c r="D1584" t="n">
        <v>1063.6</v>
      </c>
    </row>
    <row r="1585">
      <c r="A1585" s="89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9" t="n">
        <v>35527</v>
      </c>
      <c r="D1586" t="n">
        <v>1069.7</v>
      </c>
    </row>
    <row r="1587">
      <c r="A1587" s="89" t="n">
        <v>35534</v>
      </c>
      <c r="D1587" t="n">
        <v>1066.6</v>
      </c>
    </row>
    <row r="1588">
      <c r="A1588" s="89" t="n">
        <v>35541</v>
      </c>
      <c r="D1588" t="n">
        <v>1064.1</v>
      </c>
    </row>
    <row r="1589">
      <c r="A1589" s="89" t="n">
        <v>35548</v>
      </c>
      <c r="D1589" t="n">
        <v>1055.5</v>
      </c>
    </row>
    <row r="1590">
      <c r="A1590" s="89" t="n">
        <v>35551</v>
      </c>
      <c r="B1590" t="n">
        <v>665.3</v>
      </c>
      <c r="C1590" t="n">
        <v>2432.3</v>
      </c>
      <c r="E1590" t="n">
        <v>3889.2</v>
      </c>
    </row>
    <row r="1591">
      <c r="A1591" s="89" t="n">
        <v>35555</v>
      </c>
      <c r="D1591" t="n">
        <v>1062.7</v>
      </c>
    </row>
    <row r="1592">
      <c r="A1592" s="89" t="n">
        <v>35562</v>
      </c>
      <c r="D1592" t="n">
        <v>1067.3</v>
      </c>
    </row>
    <row r="1593">
      <c r="A1593" s="89" t="n">
        <v>35569</v>
      </c>
      <c r="D1593" t="n">
        <v>1063.3</v>
      </c>
    </row>
    <row r="1594">
      <c r="A1594" s="89" t="n">
        <v>35576</v>
      </c>
      <c r="D1594" t="n">
        <v>1060.6</v>
      </c>
    </row>
    <row r="1595">
      <c r="A1595" s="89" t="n">
        <v>35582</v>
      </c>
      <c r="B1595" t="n">
        <v>665.5</v>
      </c>
      <c r="C1595" t="n">
        <v>2438.2</v>
      </c>
      <c r="E1595" t="n">
        <v>3906</v>
      </c>
    </row>
    <row r="1596">
      <c r="A1596" s="89" t="n">
        <v>35583</v>
      </c>
      <c r="D1596" t="n">
        <v>1065.1</v>
      </c>
    </row>
    <row r="1597">
      <c r="A1597" s="89" t="n">
        <v>35590</v>
      </c>
      <c r="D1597" t="n">
        <v>1072.3</v>
      </c>
    </row>
    <row r="1598">
      <c r="A1598" s="89" t="n">
        <v>35597</v>
      </c>
      <c r="D1598" t="n">
        <v>1068.6</v>
      </c>
    </row>
    <row r="1599">
      <c r="A1599" s="89" t="n">
        <v>35604</v>
      </c>
      <c r="D1599" t="n">
        <v>1061.7</v>
      </c>
    </row>
    <row r="1600">
      <c r="A1600" s="89" t="n">
        <v>35611</v>
      </c>
      <c r="D1600" t="n">
        <v>1062.1</v>
      </c>
    </row>
    <row r="1601">
      <c r="A1601" s="89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9" t="n">
        <v>35618</v>
      </c>
      <c r="D1602" t="n">
        <v>1065.6</v>
      </c>
    </row>
    <row r="1603">
      <c r="A1603" s="89" t="n">
        <v>35625</v>
      </c>
      <c r="D1603" t="n">
        <v>1069.3</v>
      </c>
    </row>
    <row r="1604">
      <c r="A1604" s="89" t="n">
        <v>35632</v>
      </c>
      <c r="D1604" t="n">
        <v>1064</v>
      </c>
    </row>
    <row r="1605">
      <c r="A1605" s="89" t="n">
        <v>35639</v>
      </c>
      <c r="D1605" t="n">
        <v>1060.6</v>
      </c>
    </row>
    <row r="1606">
      <c r="A1606" s="89" t="n">
        <v>35643</v>
      </c>
      <c r="B1606" t="n">
        <v>668.7</v>
      </c>
      <c r="C1606" t="n">
        <v>2461.1</v>
      </c>
      <c r="E1606" t="n">
        <v>3957.4</v>
      </c>
    </row>
    <row r="1607">
      <c r="A1607" s="89" t="n">
        <v>35646</v>
      </c>
      <c r="D1607" t="n">
        <v>1071</v>
      </c>
    </row>
    <row r="1608">
      <c r="A1608" s="89" t="n">
        <v>35653</v>
      </c>
      <c r="D1608" t="n">
        <v>1080.2</v>
      </c>
    </row>
    <row r="1609">
      <c r="A1609" s="89" t="n">
        <v>35660</v>
      </c>
      <c r="D1609" t="n">
        <v>1076.4</v>
      </c>
    </row>
    <row r="1610">
      <c r="A1610" s="89" t="n">
        <v>35667</v>
      </c>
      <c r="D1610" t="n">
        <v>1074.5</v>
      </c>
    </row>
    <row r="1611">
      <c r="A1611" s="89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9" t="n">
        <v>35681</v>
      </c>
      <c r="D1612" t="n">
        <v>1077.6</v>
      </c>
    </row>
    <row r="1613">
      <c r="A1613" s="89" t="n">
        <v>35688</v>
      </c>
      <c r="D1613" t="n">
        <v>1066.5</v>
      </c>
    </row>
    <row r="1614">
      <c r="A1614" s="89" t="n">
        <v>35695</v>
      </c>
      <c r="D1614" t="n">
        <v>1062.2</v>
      </c>
    </row>
    <row r="1615">
      <c r="A1615" s="89" t="n">
        <v>35702</v>
      </c>
      <c r="D1615" t="n">
        <v>1060.1</v>
      </c>
    </row>
    <row r="1616">
      <c r="A1616" s="89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9" t="n">
        <v>35709</v>
      </c>
      <c r="D1617" t="n">
        <v>1068.8</v>
      </c>
    </row>
    <row r="1618">
      <c r="A1618" s="89" t="n">
        <v>35716</v>
      </c>
      <c r="D1618" t="n">
        <v>1066.3</v>
      </c>
    </row>
    <row r="1619">
      <c r="A1619" s="89" t="n">
        <v>35723</v>
      </c>
      <c r="D1619" t="n">
        <v>1064.5</v>
      </c>
    </row>
    <row r="1620">
      <c r="A1620" s="89" t="n">
        <v>35730</v>
      </c>
      <c r="D1620" t="n">
        <v>1058.7</v>
      </c>
    </row>
    <row r="1621">
      <c r="A1621" s="89" t="n">
        <v>35735</v>
      </c>
      <c r="B1621" t="n">
        <v>662.3</v>
      </c>
      <c r="C1621" t="n">
        <v>2482.9</v>
      </c>
      <c r="E1621" t="n">
        <v>4014.8</v>
      </c>
    </row>
    <row r="1622">
      <c r="A1622" s="89" t="n">
        <v>35737</v>
      </c>
      <c r="D1622" t="n">
        <v>1073.1</v>
      </c>
    </row>
    <row r="1623">
      <c r="A1623" s="89" t="n">
        <v>35744</v>
      </c>
      <c r="D1623" t="n">
        <v>1075.4</v>
      </c>
    </row>
    <row r="1624">
      <c r="A1624" s="89" t="n">
        <v>35751</v>
      </c>
      <c r="D1624" t="n">
        <v>1070.4</v>
      </c>
    </row>
    <row r="1625">
      <c r="A1625" s="89" t="n">
        <v>35758</v>
      </c>
      <c r="D1625" t="n">
        <v>1066.4</v>
      </c>
    </row>
    <row r="1626">
      <c r="A1626" s="89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9" t="n">
        <v>35772</v>
      </c>
      <c r="D1627" t="n">
        <v>1072.2</v>
      </c>
    </row>
    <row r="1628">
      <c r="A1628" s="89" t="n">
        <v>35779</v>
      </c>
      <c r="D1628" t="n">
        <v>1072.9</v>
      </c>
    </row>
    <row r="1629">
      <c r="A1629" s="89" t="n">
        <v>35786</v>
      </c>
      <c r="D1629" t="n">
        <v>1070.6</v>
      </c>
    </row>
    <row r="1630">
      <c r="A1630" s="89" t="n">
        <v>35793</v>
      </c>
      <c r="D1630" t="n">
        <v>1071.4</v>
      </c>
    </row>
    <row r="1631">
      <c r="A1631" s="89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9" t="n">
        <v>35800</v>
      </c>
      <c r="D1632" t="n">
        <v>1080.9</v>
      </c>
    </row>
    <row r="1633">
      <c r="A1633" s="89" t="n">
        <v>35807</v>
      </c>
      <c r="D1633" t="n">
        <v>1078</v>
      </c>
    </row>
    <row r="1634">
      <c r="A1634" s="89" t="n">
        <v>35814</v>
      </c>
      <c r="D1634" t="n">
        <v>1070.3</v>
      </c>
    </row>
    <row r="1635">
      <c r="A1635" s="89" t="n">
        <v>35821</v>
      </c>
      <c r="D1635" t="n">
        <v>1070.9</v>
      </c>
    </row>
    <row r="1636">
      <c r="A1636" s="89" t="n">
        <v>35827</v>
      </c>
      <c r="B1636" t="n">
        <v>665.3</v>
      </c>
      <c r="C1636" t="n">
        <v>2524</v>
      </c>
      <c r="E1636" t="n">
        <v>4088.9</v>
      </c>
    </row>
    <row r="1637">
      <c r="A1637" s="89" t="n">
        <v>35828</v>
      </c>
      <c r="D1637" t="n">
        <v>1072.2</v>
      </c>
    </row>
    <row r="1638">
      <c r="A1638" s="89" t="n">
        <v>35835</v>
      </c>
      <c r="D1638" t="n">
        <v>1080.1</v>
      </c>
    </row>
    <row r="1639">
      <c r="A1639" s="89" t="n">
        <v>35842</v>
      </c>
      <c r="D1639" t="n">
        <v>1077.4</v>
      </c>
    </row>
    <row r="1640">
      <c r="A1640" s="89" t="n">
        <v>35849</v>
      </c>
      <c r="D1640" t="n">
        <v>1076.8</v>
      </c>
    </row>
    <row r="1641">
      <c r="A1641" s="89" t="n">
        <v>35855</v>
      </c>
      <c r="B1641" t="n">
        <v>664.8</v>
      </c>
      <c r="C1641" t="n">
        <v>2539.7</v>
      </c>
      <c r="E1641" t="n">
        <v>4114.3</v>
      </c>
    </row>
    <row r="1642">
      <c r="A1642" s="89" t="n">
        <v>35856</v>
      </c>
      <c r="D1642" t="n">
        <v>1079.3</v>
      </c>
    </row>
    <row r="1643">
      <c r="A1643" s="89" t="n">
        <v>35863</v>
      </c>
      <c r="D1643" t="n">
        <v>1085.8</v>
      </c>
    </row>
    <row r="1644">
      <c r="A1644" s="89" t="n">
        <v>35870</v>
      </c>
      <c r="D1644" t="n">
        <v>1081.7</v>
      </c>
    </row>
    <row r="1645">
      <c r="A1645" s="89" t="n">
        <v>35877</v>
      </c>
      <c r="D1645" t="n">
        <v>1074.4</v>
      </c>
    </row>
    <row r="1646">
      <c r="A1646" s="89" t="n">
        <v>35884</v>
      </c>
      <c r="D1646" t="n">
        <v>1064.8</v>
      </c>
    </row>
    <row r="1647">
      <c r="A1647" s="89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9" t="n">
        <v>35891</v>
      </c>
      <c r="D1648" t="n">
        <v>1079.1</v>
      </c>
    </row>
    <row r="1649">
      <c r="A1649" s="89" t="n">
        <v>35898</v>
      </c>
      <c r="D1649" t="n">
        <v>1078.2</v>
      </c>
    </row>
    <row r="1650">
      <c r="A1650" s="89" t="n">
        <v>35905</v>
      </c>
      <c r="D1650" t="n">
        <v>1079.4</v>
      </c>
    </row>
    <row r="1651">
      <c r="A1651" s="89" t="n">
        <v>35912</v>
      </c>
      <c r="D1651" t="n">
        <v>1068.5</v>
      </c>
    </row>
    <row r="1652">
      <c r="A1652" s="89" t="n">
        <v>35916</v>
      </c>
      <c r="B1652" t="n">
        <v>663.7</v>
      </c>
      <c r="C1652" t="n">
        <v>2561.1</v>
      </c>
      <c r="E1652" t="n">
        <v>4164.4</v>
      </c>
    </row>
    <row r="1653">
      <c r="A1653" s="89" t="n">
        <v>35919</v>
      </c>
      <c r="D1653" t="n">
        <v>1078.9</v>
      </c>
    </row>
    <row r="1654">
      <c r="A1654" s="89" t="n">
        <v>35926</v>
      </c>
      <c r="D1654" t="n">
        <v>1084.4</v>
      </c>
    </row>
    <row r="1655">
      <c r="A1655" s="89" t="n">
        <v>35933</v>
      </c>
      <c r="D1655" t="n">
        <v>1081.2</v>
      </c>
    </row>
    <row r="1656">
      <c r="A1656" s="89" t="n">
        <v>35940</v>
      </c>
      <c r="D1656" t="n">
        <v>1072.9</v>
      </c>
    </row>
    <row r="1657">
      <c r="A1657" s="89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9" t="n">
        <v>35954</v>
      </c>
      <c r="D1658" t="n">
        <v>1081</v>
      </c>
    </row>
    <row r="1659">
      <c r="A1659" s="89" t="n">
        <v>35961</v>
      </c>
      <c r="D1659" t="n">
        <v>1083.8</v>
      </c>
    </row>
    <row r="1660">
      <c r="A1660" s="89" t="n">
        <v>35968</v>
      </c>
      <c r="D1660" t="n">
        <v>1071.8</v>
      </c>
    </row>
    <row r="1661">
      <c r="A1661" s="89" t="n">
        <v>35975</v>
      </c>
      <c r="D1661" t="n">
        <v>1066.9</v>
      </c>
    </row>
    <row r="1662">
      <c r="A1662" s="89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9" t="n">
        <v>35982</v>
      </c>
      <c r="D1663" t="n">
        <v>1083.2</v>
      </c>
    </row>
    <row r="1664">
      <c r="A1664" s="89" t="n">
        <v>35989</v>
      </c>
      <c r="D1664" t="n">
        <v>1075</v>
      </c>
    </row>
    <row r="1665">
      <c r="A1665" s="89" t="n">
        <v>35996</v>
      </c>
      <c r="D1665" t="n">
        <v>1072.7</v>
      </c>
    </row>
    <row r="1666">
      <c r="A1666" s="89" t="n">
        <v>36003</v>
      </c>
      <c r="D1666" t="n">
        <v>1067.7</v>
      </c>
    </row>
    <row r="1667">
      <c r="A1667" s="89" t="n">
        <v>36008</v>
      </c>
      <c r="B1667" t="n">
        <v>658.4</v>
      </c>
      <c r="C1667" t="n">
        <v>2587.9</v>
      </c>
      <c r="E1667" t="n">
        <v>4228.7</v>
      </c>
    </row>
    <row r="1668">
      <c r="A1668" s="89" t="n">
        <v>36010</v>
      </c>
      <c r="D1668" t="n">
        <v>1079.8</v>
      </c>
    </row>
    <row r="1669">
      <c r="A1669" s="89" t="n">
        <v>36017</v>
      </c>
      <c r="D1669" t="n">
        <v>1084.1</v>
      </c>
    </row>
    <row r="1670">
      <c r="A1670" s="89" t="n">
        <v>36024</v>
      </c>
      <c r="D1670" t="n">
        <v>1075.4</v>
      </c>
    </row>
    <row r="1671">
      <c r="A1671" s="89" t="n">
        <v>36031</v>
      </c>
      <c r="D1671" t="n">
        <v>1072.4</v>
      </c>
    </row>
    <row r="1672">
      <c r="A1672" s="89" t="n">
        <v>36038</v>
      </c>
      <c r="D1672" t="n">
        <v>1069.8</v>
      </c>
    </row>
    <row r="1673">
      <c r="A1673" s="89" t="n">
        <v>36039</v>
      </c>
      <c r="B1673" t="n">
        <v>660.5</v>
      </c>
      <c r="C1673" t="n">
        <v>2610.2</v>
      </c>
      <c r="E1673" t="n">
        <v>4267.6</v>
      </c>
    </row>
    <row r="1674">
      <c r="A1674" s="89" t="n">
        <v>36045</v>
      </c>
      <c r="D1674" t="n">
        <v>1076.2</v>
      </c>
    </row>
    <row r="1675">
      <c r="A1675" s="89" t="n">
        <v>36052</v>
      </c>
      <c r="D1675" t="n">
        <v>1083.9</v>
      </c>
    </row>
    <row r="1676">
      <c r="A1676" s="89" t="n">
        <v>36059</v>
      </c>
      <c r="D1676" t="n">
        <v>1083.4</v>
      </c>
    </row>
    <row r="1677">
      <c r="A1677" s="89" t="n">
        <v>36066</v>
      </c>
      <c r="D1677" t="n">
        <v>1074.5</v>
      </c>
    </row>
    <row r="1678">
      <c r="A1678" s="89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9" t="n">
        <v>36073</v>
      </c>
      <c r="D1679" t="n">
        <v>1084.2</v>
      </c>
    </row>
    <row r="1680">
      <c r="A1680" s="89" t="n">
        <v>36080</v>
      </c>
      <c r="D1680" t="n">
        <v>1084</v>
      </c>
    </row>
    <row r="1681">
      <c r="A1681" s="89" t="n">
        <v>36087</v>
      </c>
      <c r="D1681" t="n">
        <v>1086.1</v>
      </c>
    </row>
    <row r="1682">
      <c r="A1682" s="89" t="n">
        <v>36094</v>
      </c>
      <c r="D1682" t="n">
        <v>1086.9</v>
      </c>
    </row>
    <row r="1683">
      <c r="A1683" s="89" t="n">
        <v>36100</v>
      </c>
      <c r="B1683" t="n">
        <v>667.2</v>
      </c>
      <c r="C1683" t="n">
        <v>2648.6</v>
      </c>
      <c r="E1683" t="n">
        <v>4346.4</v>
      </c>
    </row>
    <row r="1684">
      <c r="A1684" s="89" t="n">
        <v>36101</v>
      </c>
      <c r="D1684" t="n">
        <v>1088.9</v>
      </c>
    </row>
    <row r="1685">
      <c r="A1685" s="89" t="n">
        <v>36108</v>
      </c>
      <c r="D1685" t="n">
        <v>1096.1</v>
      </c>
    </row>
    <row r="1686">
      <c r="A1686" s="89" t="n">
        <v>36115</v>
      </c>
      <c r="D1686" t="n">
        <v>1097.2</v>
      </c>
    </row>
    <row r="1687">
      <c r="A1687" s="89" t="n">
        <v>36122</v>
      </c>
      <c r="D1687" t="n">
        <v>1092.4</v>
      </c>
    </row>
    <row r="1688">
      <c r="A1688" s="89" t="n">
        <v>36129</v>
      </c>
      <c r="D1688" t="n">
        <v>1096.1</v>
      </c>
    </row>
    <row r="1689">
      <c r="A1689" s="89" t="n">
        <v>36130</v>
      </c>
      <c r="B1689" t="n">
        <v>666.1</v>
      </c>
      <c r="C1689" t="n">
        <v>2661.3</v>
      </c>
      <c r="E1689" t="n">
        <v>4375.2</v>
      </c>
    </row>
    <row r="1690">
      <c r="A1690" s="89" t="n">
        <v>36136</v>
      </c>
      <c r="D1690" t="n">
        <v>1094.2</v>
      </c>
    </row>
    <row r="1691">
      <c r="A1691" s="89" t="n">
        <v>36143</v>
      </c>
      <c r="D1691" t="n">
        <v>1095.1</v>
      </c>
    </row>
    <row r="1692">
      <c r="A1692" s="89" t="n">
        <v>36150</v>
      </c>
      <c r="D1692" t="n">
        <v>1094.5</v>
      </c>
    </row>
    <row r="1693">
      <c r="A1693" s="89" t="n">
        <v>36157</v>
      </c>
      <c r="D1693" t="n">
        <v>1091.6</v>
      </c>
    </row>
    <row r="1694">
      <c r="A1694" s="89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9" t="n">
        <v>36164</v>
      </c>
      <c r="D1695" t="n">
        <v>1107.1</v>
      </c>
    </row>
    <row r="1696">
      <c r="A1696" s="89" t="n">
        <v>36171</v>
      </c>
      <c r="D1696" t="n">
        <v>1102.7</v>
      </c>
    </row>
    <row r="1697">
      <c r="A1697" s="89" t="n">
        <v>36178</v>
      </c>
      <c r="D1697" t="n">
        <v>1095.3</v>
      </c>
    </row>
    <row r="1698">
      <c r="A1698" s="89" t="n">
        <v>36185</v>
      </c>
      <c r="D1698" t="n">
        <v>1093.9</v>
      </c>
    </row>
    <row r="1699">
      <c r="A1699" s="89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9" t="n">
        <v>36199</v>
      </c>
      <c r="D1700" t="n">
        <v>1095.4</v>
      </c>
    </row>
    <row r="1701">
      <c r="A1701" s="89" t="n">
        <v>36206</v>
      </c>
      <c r="D1701" t="n">
        <v>1097.4</v>
      </c>
    </row>
    <row r="1702">
      <c r="A1702" s="89" t="n">
        <v>36213</v>
      </c>
      <c r="D1702" t="n">
        <v>1099.8</v>
      </c>
    </row>
    <row r="1703">
      <c r="A1703" s="89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9" t="n">
        <v>36227</v>
      </c>
      <c r="D1704" t="n">
        <v>1098.6</v>
      </c>
    </row>
    <row r="1705">
      <c r="A1705" s="89" t="n">
        <v>36234</v>
      </c>
      <c r="D1705" t="n">
        <v>1097.6</v>
      </c>
    </row>
    <row r="1706">
      <c r="A1706" s="89" t="n">
        <v>36241</v>
      </c>
      <c r="D1706" t="n">
        <v>1097.3</v>
      </c>
    </row>
    <row r="1707">
      <c r="A1707" s="89" t="n">
        <v>36248</v>
      </c>
      <c r="D1707" t="n">
        <v>1093.8</v>
      </c>
    </row>
    <row r="1708">
      <c r="A1708" s="89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9" t="n">
        <v>36255</v>
      </c>
      <c r="D1709" t="n">
        <v>1101.5</v>
      </c>
    </row>
    <row r="1710">
      <c r="A1710" s="89" t="n">
        <v>36262</v>
      </c>
      <c r="D1710" t="n">
        <v>1104.2</v>
      </c>
    </row>
    <row r="1711">
      <c r="A1711" s="89" t="n">
        <v>36269</v>
      </c>
      <c r="D1711" t="n">
        <v>1099.5</v>
      </c>
    </row>
    <row r="1712">
      <c r="A1712" s="89" t="n">
        <v>36276</v>
      </c>
      <c r="D1712" t="n">
        <v>1095.1</v>
      </c>
    </row>
    <row r="1713">
      <c r="A1713" s="89" t="n">
        <v>36281</v>
      </c>
      <c r="B1713" t="n">
        <v>664.9</v>
      </c>
      <c r="C1713" t="n">
        <v>2702</v>
      </c>
      <c r="E1713" t="n">
        <v>4485.3</v>
      </c>
    </row>
    <row r="1714">
      <c r="A1714" s="89" t="n">
        <v>36283</v>
      </c>
      <c r="D1714" t="n">
        <v>1109.2</v>
      </c>
    </row>
    <row r="1715">
      <c r="A1715" s="89" t="n">
        <v>36290</v>
      </c>
      <c r="D1715" t="n">
        <v>1109.9</v>
      </c>
    </row>
    <row r="1716">
      <c r="A1716" s="89" t="n">
        <v>36297</v>
      </c>
      <c r="D1716" t="n">
        <v>1102.9</v>
      </c>
    </row>
    <row r="1717">
      <c r="A1717" s="89" t="n">
        <v>36304</v>
      </c>
      <c r="D1717" t="n">
        <v>1099.3</v>
      </c>
    </row>
    <row r="1718">
      <c r="A1718" s="89" t="n">
        <v>36311</v>
      </c>
      <c r="D1718" t="n">
        <v>1099.2</v>
      </c>
    </row>
    <row r="1719">
      <c r="A1719" s="89" t="n">
        <v>36312</v>
      </c>
      <c r="B1719" t="n">
        <v>662.5</v>
      </c>
      <c r="C1719" t="n">
        <v>2715.2</v>
      </c>
      <c r="E1719" t="n">
        <v>4507.2</v>
      </c>
    </row>
    <row r="1720">
      <c r="A1720" s="89" t="n">
        <v>36318</v>
      </c>
      <c r="D1720" t="n">
        <v>1100.6</v>
      </c>
    </row>
    <row r="1721">
      <c r="A1721" s="89" t="n">
        <v>36325</v>
      </c>
      <c r="D1721" t="n">
        <v>1103.1</v>
      </c>
    </row>
    <row r="1722">
      <c r="A1722" s="89" t="n">
        <v>36332</v>
      </c>
      <c r="D1722" t="n">
        <v>1101.6</v>
      </c>
    </row>
    <row r="1723">
      <c r="A1723" s="89" t="n">
        <v>36339</v>
      </c>
      <c r="D1723" t="n">
        <v>1095.1</v>
      </c>
    </row>
    <row r="1724">
      <c r="A1724" s="89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9" t="n">
        <v>36346</v>
      </c>
      <c r="D1725" t="n">
        <v>1091.5</v>
      </c>
    </row>
    <row r="1726">
      <c r="A1726" s="89" t="n">
        <v>36353</v>
      </c>
      <c r="D1726" t="n">
        <v>1107.5</v>
      </c>
    </row>
    <row r="1727">
      <c r="A1727" s="89" t="n">
        <v>36360</v>
      </c>
      <c r="D1727" t="n">
        <v>1097.2</v>
      </c>
    </row>
    <row r="1728">
      <c r="A1728" s="89" t="n">
        <v>36367</v>
      </c>
      <c r="D1728" t="n">
        <v>1096.5</v>
      </c>
    </row>
    <row r="1729">
      <c r="A1729" s="89" t="n">
        <v>36373</v>
      </c>
      <c r="B1729" t="n">
        <v>657.8</v>
      </c>
      <c r="C1729" t="n">
        <v>2723.9</v>
      </c>
      <c r="E1729" t="n">
        <v>4551.7</v>
      </c>
    </row>
    <row r="1730">
      <c r="A1730" s="89" t="n">
        <v>36374</v>
      </c>
      <c r="D1730" t="n">
        <v>1099.9</v>
      </c>
    </row>
    <row r="1731">
      <c r="A1731" s="89" t="n">
        <v>36381</v>
      </c>
      <c r="D1731" t="n">
        <v>1110.9</v>
      </c>
    </row>
    <row r="1732">
      <c r="A1732" s="89" t="n">
        <v>36388</v>
      </c>
      <c r="D1732" t="n">
        <v>1106.2</v>
      </c>
    </row>
    <row r="1733">
      <c r="A1733" s="89" t="n">
        <v>36395</v>
      </c>
      <c r="D1733" t="n">
        <v>1096.9</v>
      </c>
    </row>
    <row r="1734">
      <c r="A1734" s="89" t="n">
        <v>36402</v>
      </c>
      <c r="D1734" t="n">
        <v>1082.8</v>
      </c>
    </row>
    <row r="1735">
      <c r="A1735" s="89" t="n">
        <v>36404</v>
      </c>
      <c r="B1735" t="n">
        <v>653.5</v>
      </c>
      <c r="C1735" t="n">
        <v>2722.1</v>
      </c>
      <c r="E1735" t="n">
        <v>4567.7</v>
      </c>
    </row>
    <row r="1736">
      <c r="A1736" s="89" t="n">
        <v>36409</v>
      </c>
      <c r="D1736" t="n">
        <v>1092.3</v>
      </c>
    </row>
    <row r="1737">
      <c r="A1737" s="89" t="n">
        <v>36416</v>
      </c>
      <c r="D1737" t="n">
        <v>1100.4</v>
      </c>
    </row>
    <row r="1738">
      <c r="A1738" s="89" t="n">
        <v>36423</v>
      </c>
      <c r="D1738" t="n">
        <v>1100.9</v>
      </c>
    </row>
    <row r="1739">
      <c r="A1739" s="89" t="n">
        <v>36430</v>
      </c>
      <c r="D1739" t="n">
        <v>1089.6</v>
      </c>
    </row>
    <row r="1740">
      <c r="A1740" s="89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9" t="n">
        <v>36437</v>
      </c>
      <c r="D1741" t="n">
        <v>1101</v>
      </c>
    </row>
    <row r="1742">
      <c r="A1742" s="89" t="n">
        <v>36444</v>
      </c>
      <c r="D1742" t="n">
        <v>1106.8</v>
      </c>
    </row>
    <row r="1743">
      <c r="A1743" s="89" t="n">
        <v>36451</v>
      </c>
      <c r="D1743" t="n">
        <v>1103</v>
      </c>
    </row>
    <row r="1744">
      <c r="A1744" s="89" t="n">
        <v>36458</v>
      </c>
      <c r="D1744" t="n">
        <v>1101.6</v>
      </c>
    </row>
    <row r="1745">
      <c r="A1745" s="89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9" t="n">
        <v>36472</v>
      </c>
      <c r="D1746" t="n">
        <v>1110.4</v>
      </c>
    </row>
    <row r="1747">
      <c r="A1747" s="89" t="n">
        <v>36479</v>
      </c>
      <c r="D1747" t="n">
        <v>1116.5</v>
      </c>
    </row>
    <row r="1748">
      <c r="A1748" s="89" t="n">
        <v>36486</v>
      </c>
      <c r="D1748" t="n">
        <v>1113</v>
      </c>
    </row>
    <row r="1749">
      <c r="A1749" s="89" t="n">
        <v>36493</v>
      </c>
      <c r="D1749" t="n">
        <v>1104.8</v>
      </c>
    </row>
    <row r="1750">
      <c r="A1750" s="89" t="n">
        <v>36495</v>
      </c>
      <c r="B1750" t="n">
        <v>664.8</v>
      </c>
      <c r="C1750" t="n">
        <v>2747.6</v>
      </c>
      <c r="E1750" t="n">
        <v>4638</v>
      </c>
    </row>
    <row r="1751">
      <c r="A1751" s="89" t="n">
        <v>36500</v>
      </c>
      <c r="D1751" t="n">
        <v>1110.3</v>
      </c>
    </row>
    <row r="1752">
      <c r="A1752" s="89" t="n">
        <v>36507</v>
      </c>
      <c r="D1752" t="n">
        <v>1122</v>
      </c>
    </row>
    <row r="1753">
      <c r="A1753" s="89" t="n">
        <v>36514</v>
      </c>
      <c r="D1753" t="n">
        <v>1120.5</v>
      </c>
    </row>
    <row r="1754">
      <c r="A1754" s="89" t="n">
        <v>36521</v>
      </c>
      <c r="D1754" t="n">
        <v>1126.5</v>
      </c>
    </row>
    <row r="1755">
      <c r="A1755" s="89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9" t="n">
        <v>36528</v>
      </c>
      <c r="D1756" t="n">
        <v>1138.6</v>
      </c>
    </row>
    <row r="1757">
      <c r="A1757" s="89" t="n">
        <v>36535</v>
      </c>
      <c r="D1757" t="n">
        <v>1133.4</v>
      </c>
    </row>
    <row r="1758">
      <c r="A1758" s="89" t="n">
        <v>36542</v>
      </c>
      <c r="D1758" t="n">
        <v>1125.1</v>
      </c>
    </row>
    <row r="1759">
      <c r="A1759" s="89" t="n">
        <v>36549</v>
      </c>
      <c r="D1759" t="n">
        <v>1122.3</v>
      </c>
    </row>
    <row r="1760">
      <c r="A1760" s="89" t="n">
        <v>36556</v>
      </c>
      <c r="D1760" t="n">
        <v>1108.9</v>
      </c>
    </row>
    <row r="1761">
      <c r="A1761" s="89" t="n">
        <v>36557</v>
      </c>
      <c r="B1761" t="n">
        <v>652.1</v>
      </c>
      <c r="C1761" t="n">
        <v>2752.6</v>
      </c>
      <c r="E1761" t="n">
        <v>4679.4</v>
      </c>
    </row>
    <row r="1762">
      <c r="A1762" s="89" t="n">
        <v>36563</v>
      </c>
      <c r="D1762" t="n">
        <v>1114.3</v>
      </c>
    </row>
    <row r="1763">
      <c r="A1763" s="89" t="n">
        <v>36570</v>
      </c>
      <c r="D1763" t="n">
        <v>1112.2</v>
      </c>
    </row>
    <row r="1764">
      <c r="A1764" s="89" t="n">
        <v>36577</v>
      </c>
      <c r="D1764" t="n">
        <v>1106.4</v>
      </c>
    </row>
    <row r="1765">
      <c r="A1765" s="89" t="n">
        <v>36584</v>
      </c>
      <c r="D1765" t="n">
        <v>1101.8</v>
      </c>
    </row>
    <row r="1766">
      <c r="A1766" s="89" t="n">
        <v>36586</v>
      </c>
      <c r="B1766" t="n">
        <v>647.7</v>
      </c>
      <c r="C1766" t="n">
        <v>2754.5</v>
      </c>
      <c r="E1766" t="n">
        <v>4710.2</v>
      </c>
    </row>
    <row r="1767">
      <c r="A1767" s="89" t="n">
        <v>36591</v>
      </c>
      <c r="D1767" t="n">
        <v>1107.1</v>
      </c>
    </row>
    <row r="1768">
      <c r="A1768" s="89" t="n">
        <v>36598</v>
      </c>
      <c r="D1768" t="n">
        <v>1105.5</v>
      </c>
    </row>
    <row r="1769">
      <c r="A1769" s="89" t="n">
        <v>36605</v>
      </c>
      <c r="D1769" t="n">
        <v>1106.5</v>
      </c>
    </row>
    <row r="1770">
      <c r="A1770" s="89" t="n">
        <v>36612</v>
      </c>
      <c r="D1770" t="n">
        <v>1104.9</v>
      </c>
    </row>
    <row r="1771">
      <c r="A1771" s="89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9" t="n">
        <v>36619</v>
      </c>
      <c r="D1772" t="n">
        <v>1117.8</v>
      </c>
    </row>
    <row r="1773">
      <c r="A1773" s="89" t="n">
        <v>36626</v>
      </c>
      <c r="D1773" t="n">
        <v>1121.8</v>
      </c>
    </row>
    <row r="1774">
      <c r="A1774" s="89" t="n">
        <v>36633</v>
      </c>
      <c r="D1774" t="n">
        <v>1118.2</v>
      </c>
    </row>
    <row r="1775">
      <c r="A1775" s="89" t="n">
        <v>36640</v>
      </c>
      <c r="D1775" t="n">
        <v>1114.9</v>
      </c>
    </row>
    <row r="1776">
      <c r="A1776" s="89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9" t="n">
        <v>36654</v>
      </c>
      <c r="D1777" t="n">
        <v>1106.5</v>
      </c>
    </row>
    <row r="1778">
      <c r="A1778" s="89" t="n">
        <v>36661</v>
      </c>
      <c r="D1778" t="n">
        <v>1111.2</v>
      </c>
    </row>
    <row r="1779">
      <c r="A1779" s="89" t="n">
        <v>36668</v>
      </c>
      <c r="D1779" t="n">
        <v>1105.1</v>
      </c>
    </row>
    <row r="1780">
      <c r="A1780" s="89" t="n">
        <v>36675</v>
      </c>
      <c r="D1780" t="n">
        <v>1097.8</v>
      </c>
    </row>
    <row r="1781">
      <c r="A1781" s="89" t="n">
        <v>36678</v>
      </c>
      <c r="B1781" t="n">
        <v>640.3</v>
      </c>
      <c r="C1781" t="n">
        <v>2771.1</v>
      </c>
      <c r="E1781" t="n">
        <v>4771.8</v>
      </c>
    </row>
    <row r="1782">
      <c r="A1782" s="89" t="n">
        <v>36682</v>
      </c>
      <c r="D1782" t="n">
        <v>1102</v>
      </c>
    </row>
    <row r="1783">
      <c r="A1783" s="89" t="n">
        <v>36689</v>
      </c>
      <c r="D1783" t="n">
        <v>1104.4</v>
      </c>
    </row>
    <row r="1784">
      <c r="A1784" s="89" t="n">
        <v>36696</v>
      </c>
      <c r="D1784" t="n">
        <v>1101.1</v>
      </c>
    </row>
    <row r="1785">
      <c r="A1785" s="89" t="n">
        <v>36703</v>
      </c>
      <c r="D1785" t="n">
        <v>1099</v>
      </c>
    </row>
    <row r="1786">
      <c r="A1786" s="89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9" t="n">
        <v>36710</v>
      </c>
      <c r="D1787" t="n">
        <v>1109.4</v>
      </c>
    </row>
    <row r="1788">
      <c r="A1788" s="89" t="n">
        <v>36717</v>
      </c>
      <c r="D1788" t="n">
        <v>1114.6</v>
      </c>
    </row>
    <row r="1789">
      <c r="A1789" s="89" t="n">
        <v>36724</v>
      </c>
      <c r="D1789" t="n">
        <v>1100.9</v>
      </c>
    </row>
    <row r="1790">
      <c r="A1790" s="89" t="n">
        <v>36731</v>
      </c>
      <c r="D1790" t="n">
        <v>1099.5</v>
      </c>
    </row>
    <row r="1791">
      <c r="A1791" s="89" t="n">
        <v>36738</v>
      </c>
      <c r="D1791" t="n">
        <v>1096.2</v>
      </c>
    </row>
    <row r="1792">
      <c r="A1792" s="89" t="n">
        <v>36739</v>
      </c>
      <c r="B1792" t="n">
        <v>637.1</v>
      </c>
      <c r="C1792" t="n">
        <v>2789.5</v>
      </c>
      <c r="E1792" t="n">
        <v>4817.5</v>
      </c>
    </row>
    <row r="1793">
      <c r="A1793" s="89" t="n">
        <v>36745</v>
      </c>
      <c r="D1793" t="n">
        <v>1097.9</v>
      </c>
    </row>
    <row r="1794">
      <c r="A1794" s="89" t="n">
        <v>36752</v>
      </c>
      <c r="D1794" t="n">
        <v>1100.3</v>
      </c>
    </row>
    <row r="1795">
      <c r="A1795" s="89" t="n">
        <v>36759</v>
      </c>
      <c r="D1795" t="n">
        <v>1102.2</v>
      </c>
    </row>
    <row r="1796">
      <c r="A1796" s="89" t="n">
        <v>36766</v>
      </c>
      <c r="D1796" t="n">
        <v>1101.4</v>
      </c>
    </row>
    <row r="1797">
      <c r="A1797" s="89" t="n">
        <v>36770</v>
      </c>
      <c r="B1797" t="n">
        <v>633.5</v>
      </c>
      <c r="C1797" t="n">
        <v>2795.6</v>
      </c>
      <c r="E1797" t="n">
        <v>4853.2</v>
      </c>
    </row>
    <row r="1798">
      <c r="A1798" s="89" t="n">
        <v>36773</v>
      </c>
      <c r="D1798" t="n">
        <v>1097.7</v>
      </c>
    </row>
    <row r="1799">
      <c r="A1799" s="89" t="n">
        <v>36780</v>
      </c>
      <c r="D1799" t="n">
        <v>1106.5</v>
      </c>
    </row>
    <row r="1800">
      <c r="A1800" s="89" t="n">
        <v>36787</v>
      </c>
      <c r="D1800" t="n">
        <v>1098.5</v>
      </c>
    </row>
    <row r="1801">
      <c r="A1801" s="89" t="n">
        <v>36794</v>
      </c>
      <c r="D1801" t="n">
        <v>1096.7</v>
      </c>
    </row>
    <row r="1802">
      <c r="A1802" s="89" t="n">
        <v>36800</v>
      </c>
      <c r="B1802" t="n">
        <v>631.8</v>
      </c>
      <c r="C1802" t="n">
        <v>2800</v>
      </c>
      <c r="E1802" t="n">
        <v>4869.2</v>
      </c>
      <c r="F1802" t="n">
        <v>2.134</v>
      </c>
    </row>
    <row r="1803">
      <c r="A1803" s="89" t="n">
        <v>36801</v>
      </c>
      <c r="D1803" t="n">
        <v>1097.9</v>
      </c>
    </row>
    <row r="1804">
      <c r="A1804" s="89" t="n">
        <v>36808</v>
      </c>
      <c r="D1804" t="n">
        <v>1099.9</v>
      </c>
    </row>
    <row r="1805">
      <c r="A1805" s="89" t="n">
        <v>36815</v>
      </c>
      <c r="D1805" t="n">
        <v>1100.2</v>
      </c>
    </row>
    <row r="1806">
      <c r="A1806" s="89" t="n">
        <v>36822</v>
      </c>
      <c r="D1806" t="n">
        <v>1099.3</v>
      </c>
    </row>
    <row r="1807">
      <c r="A1807" s="89" t="n">
        <v>36829</v>
      </c>
      <c r="D1807" t="n">
        <v>1096.8</v>
      </c>
    </row>
    <row r="1808">
      <c r="A1808" s="89" t="n">
        <v>36831</v>
      </c>
      <c r="B1808" t="n">
        <v>627.1</v>
      </c>
      <c r="C1808" t="n">
        <v>2801.4</v>
      </c>
      <c r="E1808" t="n">
        <v>4880.1</v>
      </c>
    </row>
    <row r="1809">
      <c r="A1809" s="89" t="n">
        <v>36836</v>
      </c>
      <c r="D1809" t="n">
        <v>1091.7</v>
      </c>
    </row>
    <row r="1810">
      <c r="A1810" s="89" t="n">
        <v>36843</v>
      </c>
      <c r="D1810" t="n">
        <v>1089.9</v>
      </c>
    </row>
    <row r="1811">
      <c r="A1811" s="89" t="n">
        <v>36850</v>
      </c>
      <c r="D1811" t="n">
        <v>1093.9</v>
      </c>
    </row>
    <row r="1812">
      <c r="A1812" s="89" t="n">
        <v>36857</v>
      </c>
      <c r="D1812" t="n">
        <v>1096.6</v>
      </c>
    </row>
    <row r="1813">
      <c r="A1813" s="89" t="n">
        <v>36861</v>
      </c>
      <c r="B1813" t="n">
        <v>623.5</v>
      </c>
      <c r="C1813" t="n">
        <v>2820.6</v>
      </c>
      <c r="E1813" t="n">
        <v>4924.7</v>
      </c>
    </row>
    <row r="1814">
      <c r="A1814" s="89" t="n">
        <v>36864</v>
      </c>
      <c r="D1814" t="n">
        <v>1086.4</v>
      </c>
    </row>
    <row r="1815">
      <c r="A1815" s="89" t="n">
        <v>36871</v>
      </c>
      <c r="D1815" t="n">
        <v>1092.9</v>
      </c>
    </row>
    <row r="1816">
      <c r="A1816" s="89" t="n">
        <v>36878</v>
      </c>
      <c r="D1816" t="n">
        <v>1084.4</v>
      </c>
    </row>
    <row r="1817">
      <c r="A1817" s="89" t="n">
        <v>36885</v>
      </c>
      <c r="D1817" t="n">
        <v>1090.1</v>
      </c>
    </row>
    <row r="1818">
      <c r="A1818" s="89" t="n">
        <v>36892</v>
      </c>
      <c r="B1818" t="n">
        <v>624.5</v>
      </c>
      <c r="C1818" t="n">
        <v>2833.3</v>
      </c>
      <c r="D1818" t="n">
        <v>1088.3</v>
      </c>
      <c r="E1818" t="n">
        <v>4975.3</v>
      </c>
      <c r="F1818" t="n">
        <v>2.086</v>
      </c>
    </row>
    <row r="1819">
      <c r="A1819" s="89" t="n">
        <v>36899</v>
      </c>
      <c r="D1819" t="n">
        <v>1094.2</v>
      </c>
    </row>
    <row r="1820">
      <c r="A1820" s="89" t="n">
        <v>36906</v>
      </c>
      <c r="D1820" t="n">
        <v>1096.2</v>
      </c>
    </row>
    <row r="1821">
      <c r="A1821" s="89" t="n">
        <v>36913</v>
      </c>
      <c r="D1821" t="n">
        <v>1101.7</v>
      </c>
    </row>
    <row r="1822">
      <c r="A1822" s="89" t="n">
        <v>36920</v>
      </c>
      <c r="D1822" t="n">
        <v>1094.8</v>
      </c>
    </row>
    <row r="1823">
      <c r="A1823" s="89" t="n">
        <v>36923</v>
      </c>
      <c r="B1823" t="n">
        <v>625.7</v>
      </c>
      <c r="C1823" t="n">
        <v>2848.6</v>
      </c>
      <c r="E1823" t="n">
        <v>5013.5</v>
      </c>
    </row>
    <row r="1824">
      <c r="A1824" s="89" t="n">
        <v>36927</v>
      </c>
      <c r="D1824" t="n">
        <v>1099.7</v>
      </c>
    </row>
    <row r="1825">
      <c r="A1825" s="89" t="n">
        <v>36934</v>
      </c>
      <c r="D1825" t="n">
        <v>1099.3</v>
      </c>
    </row>
    <row r="1826">
      <c r="A1826" s="89" t="n">
        <v>36941</v>
      </c>
      <c r="D1826" t="n">
        <v>1098.8</v>
      </c>
    </row>
    <row r="1827">
      <c r="A1827" s="89" t="n">
        <v>36948</v>
      </c>
      <c r="D1827" t="n">
        <v>1104.4</v>
      </c>
    </row>
    <row r="1828">
      <c r="A1828" s="89" t="n">
        <v>36951</v>
      </c>
      <c r="B1828" t="n">
        <v>629.7</v>
      </c>
      <c r="C1828" t="n">
        <v>2879.7</v>
      </c>
      <c r="E1828" t="n">
        <v>5071.2</v>
      </c>
    </row>
    <row r="1829">
      <c r="A1829" s="89" t="n">
        <v>36955</v>
      </c>
      <c r="D1829" t="n">
        <v>1109.3</v>
      </c>
    </row>
    <row r="1830">
      <c r="A1830" s="89" t="n">
        <v>36962</v>
      </c>
      <c r="D1830" t="n">
        <v>1108.3</v>
      </c>
    </row>
    <row r="1831">
      <c r="A1831" s="89" t="n">
        <v>36969</v>
      </c>
      <c r="D1831" t="n">
        <v>1107.7</v>
      </c>
    </row>
    <row r="1832">
      <c r="A1832" s="89" t="n">
        <v>36976</v>
      </c>
      <c r="D1832" t="n">
        <v>1106.7</v>
      </c>
    </row>
    <row r="1833">
      <c r="A1833" s="89" t="n">
        <v>36982</v>
      </c>
      <c r="B1833" t="n">
        <v>633</v>
      </c>
      <c r="C1833" t="n">
        <v>2911.1</v>
      </c>
      <c r="E1833" t="n">
        <v>5135.2</v>
      </c>
      <c r="F1833" t="n">
        <v>2.059</v>
      </c>
    </row>
    <row r="1834">
      <c r="A1834" s="89" t="n">
        <v>36983</v>
      </c>
      <c r="D1834" t="n">
        <v>1113.9</v>
      </c>
    </row>
    <row r="1835">
      <c r="A1835" s="89" t="n">
        <v>36990</v>
      </c>
      <c r="D1835" t="n">
        <v>1114.9</v>
      </c>
    </row>
    <row r="1836">
      <c r="A1836" s="89" t="n">
        <v>36997</v>
      </c>
      <c r="D1836" t="n">
        <v>1118.2</v>
      </c>
    </row>
    <row r="1837">
      <c r="A1837" s="89" t="n">
        <v>37004</v>
      </c>
      <c r="D1837" t="n">
        <v>1117.7</v>
      </c>
    </row>
    <row r="1838">
      <c r="A1838" s="89" t="n">
        <v>37011</v>
      </c>
      <c r="D1838" t="n">
        <v>1116.8</v>
      </c>
    </row>
    <row r="1839">
      <c r="A1839" s="89" t="n">
        <v>37012</v>
      </c>
      <c r="B1839" t="n">
        <v>630.9</v>
      </c>
      <c r="C1839" t="n">
        <v>2894.6</v>
      </c>
      <c r="E1839" t="n">
        <v>5132.2</v>
      </c>
    </row>
    <row r="1840">
      <c r="A1840" s="89" t="n">
        <v>37018</v>
      </c>
      <c r="D1840" t="n">
        <v>1113.9</v>
      </c>
    </row>
    <row r="1841">
      <c r="A1841" s="89" t="n">
        <v>37025</v>
      </c>
      <c r="D1841" t="n">
        <v>1117.5</v>
      </c>
    </row>
    <row r="1842">
      <c r="A1842" s="89" t="n">
        <v>37032</v>
      </c>
      <c r="D1842" t="n">
        <v>1122.3</v>
      </c>
    </row>
    <row r="1843">
      <c r="A1843" s="89" t="n">
        <v>37039</v>
      </c>
      <c r="D1843" t="n">
        <v>1117.4</v>
      </c>
    </row>
    <row r="1844">
      <c r="A1844" s="89" t="n">
        <v>37043</v>
      </c>
      <c r="B1844" t="n">
        <v>633.8</v>
      </c>
      <c r="C1844" t="n">
        <v>2910.8</v>
      </c>
      <c r="E1844" t="n">
        <v>5172.5</v>
      </c>
    </row>
    <row r="1845">
      <c r="A1845" s="89" t="n">
        <v>37046</v>
      </c>
      <c r="D1845" t="n">
        <v>1125.2</v>
      </c>
    </row>
    <row r="1846">
      <c r="A1846" s="89" t="n">
        <v>37053</v>
      </c>
      <c r="D1846" t="n">
        <v>1126.2</v>
      </c>
    </row>
    <row r="1847">
      <c r="A1847" s="89" t="n">
        <v>37060</v>
      </c>
      <c r="D1847" t="n">
        <v>1126.4</v>
      </c>
    </row>
    <row r="1848">
      <c r="A1848" s="89" t="n">
        <v>37067</v>
      </c>
      <c r="D1848" t="n">
        <v>1124.1</v>
      </c>
    </row>
    <row r="1849">
      <c r="A1849" s="89" t="n">
        <v>37073</v>
      </c>
      <c r="B1849" t="n">
        <v>642</v>
      </c>
      <c r="C1849" t="n">
        <v>2932.6</v>
      </c>
      <c r="E1849" t="n">
        <v>5202.4</v>
      </c>
      <c r="F1849" t="n">
        <v>2.014</v>
      </c>
    </row>
    <row r="1850">
      <c r="A1850" s="89" t="n">
        <v>37074</v>
      </c>
      <c r="D1850" t="n">
        <v>1129.9</v>
      </c>
    </row>
    <row r="1851">
      <c r="A1851" s="89" t="n">
        <v>37081</v>
      </c>
      <c r="D1851" t="n">
        <v>1133.9</v>
      </c>
    </row>
    <row r="1852">
      <c r="A1852" s="89" t="n">
        <v>37088</v>
      </c>
      <c r="D1852" t="n">
        <v>1142.1</v>
      </c>
    </row>
    <row r="1853">
      <c r="A1853" s="89" t="n">
        <v>37095</v>
      </c>
      <c r="D1853" t="n">
        <v>1142</v>
      </c>
    </row>
    <row r="1854">
      <c r="A1854" s="89" t="n">
        <v>37102</v>
      </c>
      <c r="D1854" t="n">
        <v>1139.4</v>
      </c>
    </row>
    <row r="1855">
      <c r="A1855" s="89" t="n">
        <v>37104</v>
      </c>
      <c r="B1855" t="n">
        <v>648.4</v>
      </c>
      <c r="C1855" t="n">
        <v>2951.7</v>
      </c>
      <c r="E1855" t="n">
        <v>5236.3</v>
      </c>
    </row>
    <row r="1856">
      <c r="A1856" s="89" t="n">
        <v>37109</v>
      </c>
      <c r="D1856" t="n">
        <v>1143.3</v>
      </c>
    </row>
    <row r="1857">
      <c r="A1857" s="89" t="n">
        <v>37116</v>
      </c>
      <c r="D1857" t="n">
        <v>1148.6</v>
      </c>
    </row>
    <row r="1858">
      <c r="A1858" s="89" t="n">
        <v>37123</v>
      </c>
      <c r="D1858" t="n">
        <v>1149.9</v>
      </c>
    </row>
    <row r="1859">
      <c r="A1859" s="89" t="n">
        <v>37130</v>
      </c>
      <c r="D1859" t="n">
        <v>1149</v>
      </c>
    </row>
    <row r="1860">
      <c r="A1860" s="89" t="n">
        <v>37135</v>
      </c>
      <c r="B1860" t="n">
        <v>677</v>
      </c>
      <c r="C1860" t="n">
        <v>3002.5</v>
      </c>
      <c r="E1860" t="n">
        <v>5347.4</v>
      </c>
    </row>
    <row r="1861">
      <c r="A1861" s="89" t="n">
        <v>37137</v>
      </c>
      <c r="D1861" t="n">
        <v>1165.5</v>
      </c>
    </row>
    <row r="1862">
      <c r="A1862" s="89" t="n">
        <v>37144</v>
      </c>
      <c r="D1862" t="n">
        <v>1167</v>
      </c>
    </row>
    <row r="1863">
      <c r="A1863" s="89" t="n">
        <v>37151</v>
      </c>
      <c r="D1863" t="n">
        <v>1292</v>
      </c>
    </row>
    <row r="1864">
      <c r="A1864" s="89" t="n">
        <v>37158</v>
      </c>
      <c r="D1864" t="n">
        <v>1206.1</v>
      </c>
    </row>
    <row r="1865">
      <c r="A1865" s="89" t="n">
        <v>37165</v>
      </c>
      <c r="B1865" t="n">
        <v>656.4</v>
      </c>
      <c r="C1865" t="n">
        <v>3004.5</v>
      </c>
      <c r="D1865" t="n">
        <v>1171.3</v>
      </c>
      <c r="E1865" t="n">
        <v>5336</v>
      </c>
      <c r="F1865" t="n">
        <v>1.98</v>
      </c>
    </row>
    <row r="1866">
      <c r="A1866" s="89" t="n">
        <v>37172</v>
      </c>
      <c r="D1866" t="n">
        <v>1166.9</v>
      </c>
    </row>
    <row r="1867">
      <c r="A1867" s="89" t="n">
        <v>37179</v>
      </c>
      <c r="D1867" t="n">
        <v>1166.7</v>
      </c>
    </row>
    <row r="1868">
      <c r="A1868" s="89" t="n">
        <v>37186</v>
      </c>
      <c r="D1868" t="n">
        <v>1167.2</v>
      </c>
    </row>
    <row r="1869">
      <c r="A1869" s="89" t="n">
        <v>37193</v>
      </c>
      <c r="D1869" t="n">
        <v>1161.2</v>
      </c>
    </row>
    <row r="1870">
      <c r="A1870" s="89" t="n">
        <v>37196</v>
      </c>
      <c r="B1870" t="n">
        <v>659.7</v>
      </c>
      <c r="C1870" t="n">
        <v>3030.8</v>
      </c>
      <c r="E1870" t="n">
        <v>5379.6</v>
      </c>
    </row>
    <row r="1871">
      <c r="A1871" s="89" t="n">
        <v>37200</v>
      </c>
      <c r="D1871" t="n">
        <v>1164.8</v>
      </c>
    </row>
    <row r="1872">
      <c r="A1872" s="89" t="n">
        <v>37207</v>
      </c>
      <c r="D1872" t="n">
        <v>1170.2</v>
      </c>
    </row>
    <row r="1873">
      <c r="A1873" s="89" t="n">
        <v>37214</v>
      </c>
      <c r="D1873" t="n">
        <v>1171.9</v>
      </c>
    </row>
    <row r="1874">
      <c r="A1874" s="89" t="n">
        <v>37221</v>
      </c>
      <c r="D1874" t="n">
        <v>1172.1</v>
      </c>
    </row>
    <row r="1875">
      <c r="A1875" s="89" t="n">
        <v>37226</v>
      </c>
      <c r="B1875" t="n">
        <v>667</v>
      </c>
      <c r="C1875" t="n">
        <v>3062.4</v>
      </c>
      <c r="E1875" t="n">
        <v>5432.7</v>
      </c>
    </row>
    <row r="1876">
      <c r="A1876" s="89" t="n">
        <v>37228</v>
      </c>
      <c r="D1876" t="n">
        <v>1176.5</v>
      </c>
    </row>
    <row r="1877">
      <c r="A1877" s="89" t="n">
        <v>37235</v>
      </c>
      <c r="D1877" t="n">
        <v>1186.3</v>
      </c>
    </row>
    <row r="1878">
      <c r="A1878" s="89" t="n">
        <v>37242</v>
      </c>
      <c r="D1878" t="n">
        <v>1183.6</v>
      </c>
    </row>
    <row r="1879">
      <c r="A1879" s="89" t="n">
        <v>37249</v>
      </c>
      <c r="D1879" t="n">
        <v>1181.7</v>
      </c>
    </row>
    <row r="1880">
      <c r="A1880" s="89" t="n">
        <v>37256</v>
      </c>
      <c r="D1880" t="n">
        <v>1184.2</v>
      </c>
    </row>
    <row r="1881">
      <c r="A1881" s="89" t="n">
        <v>37257</v>
      </c>
      <c r="B1881" t="n">
        <v>670.1</v>
      </c>
      <c r="C1881" t="n">
        <v>3068.7</v>
      </c>
      <c r="E1881" t="n">
        <v>5453</v>
      </c>
      <c r="F1881" t="n">
        <v>1.969</v>
      </c>
    </row>
    <row r="1882">
      <c r="A1882" s="89" t="n">
        <v>37263</v>
      </c>
      <c r="D1882" t="n">
        <v>1190.3</v>
      </c>
    </row>
    <row r="1883">
      <c r="A1883" s="89" t="n">
        <v>37270</v>
      </c>
      <c r="D1883" t="n">
        <v>1194.6</v>
      </c>
    </row>
    <row r="1884">
      <c r="A1884" s="89" t="n">
        <v>37277</v>
      </c>
      <c r="D1884" t="n">
        <v>1193.6</v>
      </c>
    </row>
    <row r="1885">
      <c r="A1885" s="89" t="n">
        <v>37284</v>
      </c>
      <c r="D1885" t="n">
        <v>1184.6</v>
      </c>
    </row>
    <row r="1886">
      <c r="A1886" s="89" t="n">
        <v>37288</v>
      </c>
      <c r="B1886" t="n">
        <v>668.9</v>
      </c>
      <c r="C1886" t="n">
        <v>3080</v>
      </c>
      <c r="E1886" t="n">
        <v>5482.4</v>
      </c>
    </row>
    <row r="1887">
      <c r="A1887" s="89" t="n">
        <v>37291</v>
      </c>
      <c r="D1887" t="n">
        <v>1189.5</v>
      </c>
    </row>
    <row r="1888">
      <c r="A1888" s="89" t="n">
        <v>37298</v>
      </c>
      <c r="D1888" t="n">
        <v>1190.4</v>
      </c>
    </row>
    <row r="1889">
      <c r="A1889" s="89" t="n">
        <v>37305</v>
      </c>
      <c r="D1889" t="n">
        <v>1192.4</v>
      </c>
    </row>
    <row r="1890">
      <c r="A1890" s="89" t="n">
        <v>37312</v>
      </c>
      <c r="D1890" t="n">
        <v>1189.4</v>
      </c>
    </row>
    <row r="1891">
      <c r="A1891" s="89" t="n">
        <v>37316</v>
      </c>
      <c r="B1891" t="n">
        <v>668.5</v>
      </c>
      <c r="C1891" t="n">
        <v>3078</v>
      </c>
      <c r="E1891" t="n">
        <v>5494.2</v>
      </c>
    </row>
    <row r="1892">
      <c r="A1892" s="89" t="n">
        <v>37319</v>
      </c>
      <c r="D1892" t="n">
        <v>1191.1</v>
      </c>
    </row>
    <row r="1893">
      <c r="A1893" s="89" t="n">
        <v>37326</v>
      </c>
      <c r="D1893" t="n">
        <v>1198.6</v>
      </c>
    </row>
    <row r="1894">
      <c r="A1894" s="89" t="n">
        <v>37333</v>
      </c>
      <c r="D1894" t="n">
        <v>1196.1</v>
      </c>
    </row>
    <row r="1895">
      <c r="A1895" s="89" t="n">
        <v>37340</v>
      </c>
      <c r="D1895" t="n">
        <v>1193</v>
      </c>
    </row>
    <row r="1896">
      <c r="A1896" s="89" t="n">
        <v>37347</v>
      </c>
      <c r="B1896" t="n">
        <v>662</v>
      </c>
      <c r="C1896" t="n">
        <v>3064.4</v>
      </c>
      <c r="D1896" t="n">
        <v>1185.3</v>
      </c>
      <c r="E1896" t="n">
        <v>5494.4</v>
      </c>
      <c r="F1896" t="n">
        <v>1.972</v>
      </c>
    </row>
    <row r="1897">
      <c r="A1897" s="89" t="n">
        <v>37354</v>
      </c>
      <c r="D1897" t="n">
        <v>1185.1</v>
      </c>
    </row>
    <row r="1898">
      <c r="A1898" s="89" t="n">
        <v>37361</v>
      </c>
      <c r="D1898" t="n">
        <v>1187.5</v>
      </c>
    </row>
    <row r="1899">
      <c r="A1899" s="89" t="n">
        <v>37368</v>
      </c>
      <c r="D1899" t="n">
        <v>1188</v>
      </c>
    </row>
    <row r="1900">
      <c r="A1900" s="89" t="n">
        <v>37375</v>
      </c>
      <c r="D1900" t="n">
        <v>1187.9</v>
      </c>
    </row>
    <row r="1901">
      <c r="A1901" s="89" t="n">
        <v>37377</v>
      </c>
      <c r="B1901" t="n">
        <v>662.6</v>
      </c>
      <c r="C1901" t="n">
        <v>3075.5</v>
      </c>
      <c r="E1901" t="n">
        <v>5520.6</v>
      </c>
    </row>
    <row r="1902">
      <c r="A1902" s="89" t="n">
        <v>37382</v>
      </c>
      <c r="D1902" t="n">
        <v>1181.1</v>
      </c>
    </row>
    <row r="1903">
      <c r="A1903" s="89" t="n">
        <v>37389</v>
      </c>
      <c r="D1903" t="n">
        <v>1186.1</v>
      </c>
    </row>
    <row r="1904">
      <c r="A1904" s="89" t="n">
        <v>37396</v>
      </c>
      <c r="D1904" t="n">
        <v>1188.1</v>
      </c>
    </row>
    <row r="1905">
      <c r="A1905" s="89" t="n">
        <v>37403</v>
      </c>
      <c r="D1905" t="n">
        <v>1192.2</v>
      </c>
    </row>
    <row r="1906">
      <c r="A1906" s="89" t="n">
        <v>37408</v>
      </c>
      <c r="B1906" t="n">
        <v>664.4</v>
      </c>
      <c r="C1906" t="n">
        <v>3087.8</v>
      </c>
      <c r="E1906" t="n">
        <v>5545.6</v>
      </c>
    </row>
    <row r="1907">
      <c r="A1907" s="89" t="n">
        <v>37410</v>
      </c>
      <c r="D1907" t="n">
        <v>1204.2</v>
      </c>
    </row>
    <row r="1908">
      <c r="A1908" s="89" t="n">
        <v>37417</v>
      </c>
      <c r="D1908" t="n">
        <v>1192.3</v>
      </c>
    </row>
    <row r="1909">
      <c r="A1909" s="89" t="n">
        <v>37424</v>
      </c>
      <c r="D1909" t="n">
        <v>1188.9</v>
      </c>
    </row>
    <row r="1910">
      <c r="A1910" s="89" t="n">
        <v>37431</v>
      </c>
      <c r="D1910" t="n">
        <v>1193.3</v>
      </c>
    </row>
    <row r="1911">
      <c r="A1911" s="89" t="n">
        <v>37438</v>
      </c>
      <c r="B1911" t="n">
        <v>666.2</v>
      </c>
      <c r="C1911" t="n">
        <v>3104.6</v>
      </c>
      <c r="D1911" t="n">
        <v>1194.1</v>
      </c>
      <c r="E1911" t="n">
        <v>5588.2</v>
      </c>
      <c r="F1911" t="n">
        <v>1.953</v>
      </c>
    </row>
    <row r="1912">
      <c r="A1912" s="89" t="n">
        <v>37445</v>
      </c>
      <c r="D1912" t="n">
        <v>1193.4</v>
      </c>
    </row>
    <row r="1913">
      <c r="A1913" s="89" t="n">
        <v>37452</v>
      </c>
      <c r="D1913" t="n">
        <v>1202</v>
      </c>
    </row>
    <row r="1914">
      <c r="A1914" s="89" t="n">
        <v>37459</v>
      </c>
      <c r="D1914" t="n">
        <v>1203.1</v>
      </c>
    </row>
    <row r="1915">
      <c r="A1915" s="89" t="n">
        <v>37466</v>
      </c>
      <c r="D1915" t="n">
        <v>1203.7</v>
      </c>
    </row>
    <row r="1916">
      <c r="A1916" s="89" t="n">
        <v>37469</v>
      </c>
      <c r="B1916" t="n">
        <v>657.7</v>
      </c>
      <c r="C1916" t="n">
        <v>3119.4</v>
      </c>
      <c r="E1916" t="n">
        <v>5630.6</v>
      </c>
    </row>
    <row r="1917">
      <c r="A1917" s="89" t="n">
        <v>37473</v>
      </c>
      <c r="D1917" t="n">
        <v>1181.6</v>
      </c>
    </row>
    <row r="1918">
      <c r="A1918" s="89" t="n">
        <v>37480</v>
      </c>
      <c r="D1918" t="n">
        <v>1182.1</v>
      </c>
    </row>
    <row r="1919">
      <c r="A1919" s="89" t="n">
        <v>37487</v>
      </c>
      <c r="D1919" t="n">
        <v>1182.6</v>
      </c>
    </row>
    <row r="1920">
      <c r="A1920" s="89" t="n">
        <v>37494</v>
      </c>
      <c r="D1920" t="n">
        <v>1188.8</v>
      </c>
    </row>
    <row r="1921">
      <c r="A1921" s="89" t="n">
        <v>37500</v>
      </c>
      <c r="B1921" t="n">
        <v>661.6</v>
      </c>
      <c r="C1921" t="n">
        <v>3127.8</v>
      </c>
      <c r="E1921" t="n">
        <v>5655</v>
      </c>
    </row>
    <row r="1922">
      <c r="A1922" s="89" t="n">
        <v>37501</v>
      </c>
      <c r="D1922" t="n">
        <v>1203.3</v>
      </c>
    </row>
    <row r="1923">
      <c r="A1923" s="89" t="n">
        <v>37508</v>
      </c>
      <c r="D1923" t="n">
        <v>1191.5</v>
      </c>
    </row>
    <row r="1924">
      <c r="A1924" s="89" t="n">
        <v>37515</v>
      </c>
      <c r="D1924" t="n">
        <v>1191.8</v>
      </c>
    </row>
    <row r="1925">
      <c r="A1925" s="89" t="n">
        <v>37522</v>
      </c>
      <c r="D1925" t="n">
        <v>1192.8</v>
      </c>
    </row>
    <row r="1926">
      <c r="A1926" s="89" t="n">
        <v>37529</v>
      </c>
      <c r="D1926" t="n">
        <v>1206.3</v>
      </c>
    </row>
    <row r="1927">
      <c r="A1927" s="89" t="n">
        <v>37530</v>
      </c>
      <c r="B1927" t="n">
        <v>664.5</v>
      </c>
      <c r="C1927" t="n">
        <v>3145.5</v>
      </c>
      <c r="E1927" t="n">
        <v>5699.6</v>
      </c>
      <c r="F1927" t="n">
        <v>1.927</v>
      </c>
    </row>
    <row r="1928">
      <c r="A1928" s="89" t="n">
        <v>37536</v>
      </c>
      <c r="D1928" t="n">
        <v>1188.1</v>
      </c>
    </row>
    <row r="1929">
      <c r="A1929" s="89" t="n">
        <v>37543</v>
      </c>
      <c r="D1929" t="n">
        <v>1206.7</v>
      </c>
    </row>
    <row r="1930">
      <c r="A1930" s="89" t="n">
        <v>37550</v>
      </c>
      <c r="D1930" t="n">
        <v>1207.4</v>
      </c>
    </row>
    <row r="1931">
      <c r="A1931" s="89" t="n">
        <v>37557</v>
      </c>
      <c r="D1931" t="n">
        <v>1212.1</v>
      </c>
    </row>
    <row r="1932">
      <c r="A1932" s="89" t="n">
        <v>37561</v>
      </c>
      <c r="B1932" t="n">
        <v>666.4</v>
      </c>
      <c r="C1932" t="n">
        <v>3167.9</v>
      </c>
      <c r="E1932" t="n">
        <v>5749.7</v>
      </c>
    </row>
    <row r="1933">
      <c r="A1933" s="89" t="n">
        <v>37564</v>
      </c>
      <c r="D1933" t="n">
        <v>1208</v>
      </c>
    </row>
    <row r="1934">
      <c r="A1934" s="89" t="n">
        <v>37571</v>
      </c>
      <c r="D1934" t="n">
        <v>1208.5</v>
      </c>
    </row>
    <row r="1935">
      <c r="A1935" s="89" t="n">
        <v>37578</v>
      </c>
      <c r="D1935" t="n">
        <v>1205.4</v>
      </c>
    </row>
    <row r="1936">
      <c r="A1936" s="89" t="n">
        <v>37585</v>
      </c>
      <c r="D1936" t="n">
        <v>1203.8</v>
      </c>
    </row>
    <row r="1937">
      <c r="A1937" s="89" t="n">
        <v>37591</v>
      </c>
      <c r="B1937" t="n">
        <v>671.2</v>
      </c>
      <c r="C1937" t="n">
        <v>3174.3</v>
      </c>
      <c r="E1937" t="n">
        <v>5770.9</v>
      </c>
    </row>
    <row r="1938">
      <c r="A1938" s="89" t="n">
        <v>37592</v>
      </c>
      <c r="D1938" t="n">
        <v>1226.5</v>
      </c>
    </row>
    <row r="1939">
      <c r="A1939" s="89" t="n">
        <v>37599</v>
      </c>
      <c r="D1939" t="n">
        <v>1218.8</v>
      </c>
    </row>
    <row r="1940">
      <c r="A1940" s="89" t="n">
        <v>37606</v>
      </c>
      <c r="D1940" t="n">
        <v>1217.3</v>
      </c>
    </row>
    <row r="1941">
      <c r="A1941" s="89" t="n">
        <v>37613</v>
      </c>
      <c r="D1941" t="n">
        <v>1223.4</v>
      </c>
    </row>
    <row r="1942">
      <c r="A1942" s="89" t="n">
        <v>37620</v>
      </c>
      <c r="D1942" t="n">
        <v>1220.2</v>
      </c>
    </row>
    <row r="1943">
      <c r="A1943" s="89" t="n">
        <v>37622</v>
      </c>
      <c r="B1943" t="n">
        <v>672.1</v>
      </c>
      <c r="C1943" t="n">
        <v>3178.3</v>
      </c>
      <c r="E1943" t="n">
        <v>5803.5</v>
      </c>
      <c r="F1943" t="n">
        <v>1.915</v>
      </c>
    </row>
    <row r="1944">
      <c r="A1944" s="89" t="n">
        <v>37627</v>
      </c>
      <c r="D1944" t="n">
        <v>1215.7</v>
      </c>
    </row>
    <row r="1945">
      <c r="A1945" s="89" t="n">
        <v>37634</v>
      </c>
      <c r="D1945" t="n">
        <v>1221.8</v>
      </c>
    </row>
    <row r="1946">
      <c r="A1946" s="89" t="n">
        <v>37641</v>
      </c>
      <c r="D1946" t="n">
        <v>1229.7</v>
      </c>
    </row>
    <row r="1947">
      <c r="A1947" s="89" t="n">
        <v>37648</v>
      </c>
      <c r="D1947" t="n">
        <v>1229.4</v>
      </c>
    </row>
    <row r="1948">
      <c r="A1948" s="89" t="n">
        <v>37653</v>
      </c>
      <c r="B1948" t="n">
        <v>674.4</v>
      </c>
      <c r="C1948" t="n">
        <v>3180.6</v>
      </c>
      <c r="E1948" t="n">
        <v>5839.5</v>
      </c>
    </row>
    <row r="1949">
      <c r="A1949" s="89" t="n">
        <v>37655</v>
      </c>
      <c r="D1949" t="n">
        <v>1246.6</v>
      </c>
    </row>
    <row r="1950">
      <c r="A1950" s="89" t="n">
        <v>37662</v>
      </c>
      <c r="D1950" t="n">
        <v>1234.2</v>
      </c>
    </row>
    <row r="1951">
      <c r="A1951" s="89" t="n">
        <v>37669</v>
      </c>
      <c r="D1951" t="n">
        <v>1241.1</v>
      </c>
    </row>
    <row r="1952">
      <c r="A1952" s="89" t="n">
        <v>37676</v>
      </c>
      <c r="D1952" t="n">
        <v>1231.3</v>
      </c>
    </row>
    <row r="1953">
      <c r="A1953" s="89" t="n">
        <v>37681</v>
      </c>
      <c r="B1953" t="n">
        <v>673.9</v>
      </c>
      <c r="C1953" t="n">
        <v>3186.7</v>
      </c>
      <c r="E1953" t="n">
        <v>5860.3</v>
      </c>
    </row>
    <row r="1954">
      <c r="A1954" s="89" t="n">
        <v>37683</v>
      </c>
      <c r="D1954" t="n">
        <v>1245.6</v>
      </c>
    </row>
    <row r="1955">
      <c r="A1955" s="89" t="n">
        <v>37690</v>
      </c>
      <c r="D1955" t="n">
        <v>1242.5</v>
      </c>
    </row>
    <row r="1956">
      <c r="A1956" s="89" t="n">
        <v>37697</v>
      </c>
      <c r="D1956" t="n">
        <v>1235.9</v>
      </c>
    </row>
    <row r="1957">
      <c r="A1957" s="89" t="n">
        <v>37704</v>
      </c>
      <c r="D1957" t="n">
        <v>1235.9</v>
      </c>
    </row>
    <row r="1958">
      <c r="A1958" s="89" t="n">
        <v>37711</v>
      </c>
      <c r="D1958" t="n">
        <v>1240.4</v>
      </c>
    </row>
    <row r="1959">
      <c r="A1959" s="89" t="n">
        <v>37712</v>
      </c>
      <c r="B1959" t="n">
        <v>682.3</v>
      </c>
      <c r="C1959" t="n">
        <v>3219.3</v>
      </c>
      <c r="E1959" t="n">
        <v>5897.7</v>
      </c>
      <c r="F1959" t="n">
        <v>1.901</v>
      </c>
    </row>
    <row r="1960">
      <c r="A1960" s="89" t="n">
        <v>37718</v>
      </c>
      <c r="D1960" t="n">
        <v>1235.8</v>
      </c>
    </row>
    <row r="1961">
      <c r="A1961" s="89" t="n">
        <v>37725</v>
      </c>
      <c r="D1961" t="n">
        <v>1249.9</v>
      </c>
    </row>
    <row r="1962">
      <c r="A1962" s="89" t="n">
        <v>37732</v>
      </c>
      <c r="D1962" t="n">
        <v>1255.9</v>
      </c>
    </row>
    <row r="1963">
      <c r="A1963" s="89" t="n">
        <v>37739</v>
      </c>
      <c r="D1963" t="n">
        <v>1255.4</v>
      </c>
    </row>
    <row r="1964">
      <c r="A1964" s="89" t="n">
        <v>37742</v>
      </c>
      <c r="B1964" t="n">
        <v>693.7</v>
      </c>
      <c r="C1964" t="n">
        <v>3257.5</v>
      </c>
      <c r="E1964" t="n">
        <v>5958</v>
      </c>
    </row>
    <row r="1965">
      <c r="A1965" s="89" t="n">
        <v>37746</v>
      </c>
      <c r="D1965" t="n">
        <v>1261.2</v>
      </c>
    </row>
    <row r="1966">
      <c r="A1966" s="89" t="n">
        <v>37753</v>
      </c>
      <c r="D1966" t="n">
        <v>1268.8</v>
      </c>
    </row>
    <row r="1967">
      <c r="A1967" s="89" t="n">
        <v>37760</v>
      </c>
      <c r="D1967" t="n">
        <v>1268.2</v>
      </c>
    </row>
    <row r="1968">
      <c r="A1968" s="89" t="n">
        <v>37767</v>
      </c>
      <c r="D1968" t="n">
        <v>1269.5</v>
      </c>
    </row>
    <row r="1969">
      <c r="A1969" s="89" t="n">
        <v>37773</v>
      </c>
      <c r="B1969" t="n">
        <v>699.6</v>
      </c>
      <c r="C1969" t="n">
        <v>3274</v>
      </c>
      <c r="E1969" t="n">
        <v>5994.7</v>
      </c>
    </row>
    <row r="1970">
      <c r="A1970" s="89" t="n">
        <v>37774</v>
      </c>
      <c r="D1970" t="n">
        <v>1276.4</v>
      </c>
    </row>
    <row r="1971">
      <c r="A1971" s="89" t="n">
        <v>37781</v>
      </c>
      <c r="D1971" t="n">
        <v>1279.1</v>
      </c>
    </row>
    <row r="1972">
      <c r="A1972" s="89" t="n">
        <v>37788</v>
      </c>
      <c r="D1972" t="n">
        <v>1287.6</v>
      </c>
    </row>
    <row r="1973">
      <c r="A1973" s="89" t="n">
        <v>37795</v>
      </c>
      <c r="D1973" t="n">
        <v>1276.9</v>
      </c>
    </row>
    <row r="1974">
      <c r="A1974" s="89" t="n">
        <v>37802</v>
      </c>
      <c r="D1974" t="n">
        <v>1281.7</v>
      </c>
    </row>
    <row r="1975">
      <c r="A1975" s="89" t="n">
        <v>37803</v>
      </c>
      <c r="B1975" t="n">
        <v>700.9</v>
      </c>
      <c r="C1975" t="n">
        <v>3288.7</v>
      </c>
      <c r="E1975" t="n">
        <v>6041.4</v>
      </c>
      <c r="F1975" t="n">
        <v>1.905</v>
      </c>
    </row>
    <row r="1976">
      <c r="A1976" s="89" t="n">
        <v>37809</v>
      </c>
      <c r="D1976" t="n">
        <v>1276.4</v>
      </c>
    </row>
    <row r="1977">
      <c r="A1977" s="89" t="n">
        <v>37816</v>
      </c>
      <c r="D1977" t="n">
        <v>1289.1</v>
      </c>
    </row>
    <row r="1978">
      <c r="A1978" s="89" t="n">
        <v>37823</v>
      </c>
      <c r="D1978" t="n">
        <v>1292.1</v>
      </c>
    </row>
    <row r="1979">
      <c r="A1979" s="89" t="n">
        <v>37830</v>
      </c>
      <c r="D1979" t="n">
        <v>1286.4</v>
      </c>
    </row>
    <row r="1980">
      <c r="A1980" s="89" t="n">
        <v>37834</v>
      </c>
      <c r="B1980" t="n">
        <v>702.7</v>
      </c>
      <c r="C1980" t="n">
        <v>3306</v>
      </c>
      <c r="E1980" t="n">
        <v>6099.5</v>
      </c>
    </row>
    <row r="1981">
      <c r="A1981" s="89" t="n">
        <v>37837</v>
      </c>
      <c r="D1981" t="n">
        <v>1301.4</v>
      </c>
    </row>
    <row r="1982">
      <c r="A1982" s="89" t="n">
        <v>37844</v>
      </c>
      <c r="D1982" t="n">
        <v>1295.4</v>
      </c>
    </row>
    <row r="1983">
      <c r="A1983" s="89" t="n">
        <v>37851</v>
      </c>
      <c r="D1983" t="n">
        <v>1309.5</v>
      </c>
    </row>
    <row r="1984">
      <c r="A1984" s="89" t="n">
        <v>37858</v>
      </c>
      <c r="D1984" t="n">
        <v>1288.4</v>
      </c>
    </row>
    <row r="1985">
      <c r="A1985" s="89" t="n">
        <v>37865</v>
      </c>
      <c r="B1985" t="n">
        <v>700.8</v>
      </c>
      <c r="C1985" t="n">
        <v>3280.2</v>
      </c>
      <c r="D1985" t="n">
        <v>1288.4</v>
      </c>
      <c r="E1985" t="n">
        <v>6071.6</v>
      </c>
    </row>
    <row r="1986">
      <c r="A1986" s="89" t="n">
        <v>37872</v>
      </c>
      <c r="D1986" t="n">
        <v>1295.1</v>
      </c>
    </row>
    <row r="1987">
      <c r="A1987" s="89" t="n">
        <v>37879</v>
      </c>
      <c r="D1987" t="n">
        <v>1299.9</v>
      </c>
    </row>
    <row r="1988">
      <c r="A1988" s="89" t="n">
        <v>37886</v>
      </c>
      <c r="D1988" t="n">
        <v>1299.4</v>
      </c>
    </row>
    <row r="1989">
      <c r="A1989" s="89" t="n">
        <v>37893</v>
      </c>
      <c r="D1989" t="n">
        <v>1297.1</v>
      </c>
    </row>
    <row r="1990">
      <c r="A1990" s="89" t="n">
        <v>37895</v>
      </c>
      <c r="B1990" t="n">
        <v>701.9</v>
      </c>
      <c r="C1990" t="n">
        <v>3278.8</v>
      </c>
      <c r="E1990" t="n">
        <v>6062.5</v>
      </c>
      <c r="F1990" t="n">
        <v>1.941</v>
      </c>
    </row>
    <row r="1991">
      <c r="A1991" s="89" t="n">
        <v>37900</v>
      </c>
      <c r="D1991" t="n">
        <v>1285.8</v>
      </c>
    </row>
    <row r="1992">
      <c r="A1992" s="89" t="n">
        <v>37907</v>
      </c>
      <c r="D1992" t="n">
        <v>1297</v>
      </c>
    </row>
    <row r="1993">
      <c r="A1993" s="89" t="n">
        <v>37914</v>
      </c>
      <c r="D1993" t="n">
        <v>1297.8</v>
      </c>
    </row>
    <row r="1994">
      <c r="A1994" s="89" t="n">
        <v>37921</v>
      </c>
      <c r="D1994" t="n">
        <v>1298.2</v>
      </c>
    </row>
    <row r="1995">
      <c r="A1995" s="89" t="n">
        <v>37926</v>
      </c>
      <c r="B1995" t="n">
        <v>702.2</v>
      </c>
      <c r="C1995" t="n">
        <v>3279.8</v>
      </c>
      <c r="E1995" t="n">
        <v>6067.7</v>
      </c>
    </row>
    <row r="1996">
      <c r="A1996" s="89" t="n">
        <v>37928</v>
      </c>
      <c r="D1996" t="n">
        <v>1316.5</v>
      </c>
    </row>
    <row r="1997">
      <c r="A1997" s="89" t="n">
        <v>37935</v>
      </c>
      <c r="D1997" t="n">
        <v>1306.2</v>
      </c>
    </row>
    <row r="1998">
      <c r="A1998" s="89" t="n">
        <v>37942</v>
      </c>
      <c r="D1998" t="n">
        <v>1297.7</v>
      </c>
    </row>
    <row r="1999">
      <c r="A1999" s="89" t="n">
        <v>37949</v>
      </c>
      <c r="D1999" t="n">
        <v>1293</v>
      </c>
    </row>
    <row r="2000">
      <c r="A2000" s="89" t="n">
        <v>37956</v>
      </c>
      <c r="B2000" t="n">
        <v>704.2</v>
      </c>
      <c r="C2000" t="n">
        <v>3270</v>
      </c>
      <c r="D2000" t="n">
        <v>1290.7</v>
      </c>
      <c r="E2000" t="n">
        <v>6065.9</v>
      </c>
    </row>
    <row r="2001">
      <c r="A2001" s="89" t="n">
        <v>37963</v>
      </c>
      <c r="D2001" t="n">
        <v>1304.9</v>
      </c>
    </row>
    <row r="2002">
      <c r="A2002" s="89" t="n">
        <v>37970</v>
      </c>
      <c r="D2002" t="n">
        <v>1311.8</v>
      </c>
    </row>
    <row r="2003">
      <c r="A2003" s="89" t="n">
        <v>37977</v>
      </c>
      <c r="D2003" t="n">
        <v>1308.4</v>
      </c>
    </row>
    <row r="2004">
      <c r="A2004" s="89" t="n">
        <v>37984</v>
      </c>
      <c r="D2004" t="n">
        <v>1302.8</v>
      </c>
    </row>
    <row r="2005">
      <c r="A2005" s="89" t="n">
        <v>37987</v>
      </c>
      <c r="B2005" t="n">
        <v>701</v>
      </c>
      <c r="C2005" t="n">
        <v>3260.5</v>
      </c>
      <c r="E2005" t="n">
        <v>6074.4</v>
      </c>
      <c r="F2005" t="n">
        <v>1.951</v>
      </c>
    </row>
    <row r="2006">
      <c r="A2006" s="89" t="n">
        <v>37991</v>
      </c>
      <c r="D2006" t="n">
        <v>1303</v>
      </c>
    </row>
    <row r="2007">
      <c r="A2007" s="89" t="n">
        <v>37998</v>
      </c>
      <c r="D2007" t="n">
        <v>1300.4</v>
      </c>
    </row>
    <row r="2008">
      <c r="A2008" s="89" t="n">
        <v>38005</v>
      </c>
      <c r="D2008" t="n">
        <v>1307.5</v>
      </c>
    </row>
    <row r="2009">
      <c r="A2009" s="89" t="n">
        <v>38012</v>
      </c>
      <c r="D2009" t="n">
        <v>1307.9</v>
      </c>
    </row>
    <row r="2010">
      <c r="A2010" s="89" t="n">
        <v>38018</v>
      </c>
      <c r="B2010" t="n">
        <v>707.8</v>
      </c>
      <c r="C2010" t="n">
        <v>3274.3</v>
      </c>
      <c r="E2010" t="n">
        <v>6113.2</v>
      </c>
    </row>
    <row r="2011">
      <c r="A2011" s="89" t="n">
        <v>38019</v>
      </c>
      <c r="D2011" t="n">
        <v>1312.3</v>
      </c>
    </row>
    <row r="2012">
      <c r="A2012" s="89" t="n">
        <v>38026</v>
      </c>
      <c r="D2012" t="n">
        <v>1321</v>
      </c>
    </row>
    <row r="2013">
      <c r="A2013" s="89" t="n">
        <v>38033</v>
      </c>
      <c r="D2013" t="n">
        <v>1328.2</v>
      </c>
    </row>
    <row r="2014">
      <c r="A2014" s="89" t="n">
        <v>38040</v>
      </c>
      <c r="D2014" t="n">
        <v>1320.3</v>
      </c>
    </row>
    <row r="2015">
      <c r="A2015" s="89" t="n">
        <v>38047</v>
      </c>
      <c r="B2015" t="n">
        <v>710.2</v>
      </c>
      <c r="C2015" t="n">
        <v>3286.5</v>
      </c>
      <c r="D2015" t="n">
        <v>1318.4</v>
      </c>
      <c r="E2015" t="n">
        <v>6149</v>
      </c>
    </row>
    <row r="2016">
      <c r="A2016" s="89" t="n">
        <v>38054</v>
      </c>
      <c r="D2016" t="n">
        <v>1318.5</v>
      </c>
    </row>
    <row r="2017">
      <c r="A2017" s="89" t="n">
        <v>38061</v>
      </c>
      <c r="D2017" t="n">
        <v>1329.7</v>
      </c>
    </row>
    <row r="2018">
      <c r="A2018" s="89" t="n">
        <v>38068</v>
      </c>
      <c r="D2018" t="n">
        <v>1335.8</v>
      </c>
    </row>
    <row r="2019">
      <c r="A2019" s="89" t="n">
        <v>38075</v>
      </c>
      <c r="D2019" t="n">
        <v>1334.1</v>
      </c>
    </row>
    <row r="2020">
      <c r="A2020" s="89" t="n">
        <v>38078</v>
      </c>
      <c r="B2020" t="n">
        <v>711.2</v>
      </c>
      <c r="C2020" t="n">
        <v>3303.2</v>
      </c>
      <c r="E2020" t="n">
        <v>6190.2</v>
      </c>
      <c r="F2020" t="n">
        <v>1.94</v>
      </c>
    </row>
    <row r="2021">
      <c r="A2021" s="89" t="n">
        <v>38082</v>
      </c>
      <c r="D2021" t="n">
        <v>1321.9</v>
      </c>
    </row>
    <row r="2022">
      <c r="A2022" s="89" t="n">
        <v>38089</v>
      </c>
      <c r="D2022" t="n">
        <v>1330.1</v>
      </c>
    </row>
    <row r="2023">
      <c r="A2023" s="89" t="n">
        <v>38096</v>
      </c>
      <c r="D2023" t="n">
        <v>1327.1</v>
      </c>
    </row>
    <row r="2024">
      <c r="A2024" s="89" t="n">
        <v>38103</v>
      </c>
      <c r="D2024" t="n">
        <v>1334.6</v>
      </c>
    </row>
    <row r="2025">
      <c r="A2025" s="89" t="n">
        <v>38108</v>
      </c>
      <c r="B2025" t="n">
        <v>708.4</v>
      </c>
      <c r="C2025" t="n">
        <v>3330</v>
      </c>
      <c r="E2025" t="n">
        <v>6267</v>
      </c>
    </row>
    <row r="2026">
      <c r="A2026" s="89" t="n">
        <v>38110</v>
      </c>
      <c r="D2026" t="n">
        <v>1357.7</v>
      </c>
    </row>
    <row r="2027">
      <c r="A2027" s="89" t="n">
        <v>38117</v>
      </c>
      <c r="D2027" t="n">
        <v>1328</v>
      </c>
    </row>
    <row r="2028">
      <c r="A2028" s="89" t="n">
        <v>38124</v>
      </c>
      <c r="D2028" t="n">
        <v>1336</v>
      </c>
    </row>
    <row r="2029">
      <c r="A2029" s="89" t="n">
        <v>38131</v>
      </c>
      <c r="D2029" t="n">
        <v>1335.6</v>
      </c>
    </row>
    <row r="2030">
      <c r="A2030" s="89" t="n">
        <v>38138</v>
      </c>
      <c r="D2030" t="n">
        <v>1323.1</v>
      </c>
    </row>
    <row r="2031">
      <c r="A2031" s="89" t="n">
        <v>38139</v>
      </c>
      <c r="B2031" t="n">
        <v>710.8</v>
      </c>
      <c r="C2031" t="n">
        <v>3318.9</v>
      </c>
      <c r="E2031" t="n">
        <v>6269.4</v>
      </c>
    </row>
    <row r="2032">
      <c r="A2032" s="89" t="n">
        <v>38145</v>
      </c>
      <c r="D2032" t="n">
        <v>1327.8</v>
      </c>
    </row>
    <row r="2033">
      <c r="A2033" s="89" t="n">
        <v>38152</v>
      </c>
      <c r="D2033" t="n">
        <v>1345.7</v>
      </c>
    </row>
    <row r="2034">
      <c r="A2034" s="89" t="n">
        <v>38159</v>
      </c>
      <c r="D2034" t="n">
        <v>1348</v>
      </c>
    </row>
    <row r="2035">
      <c r="A2035" s="89" t="n">
        <v>38166</v>
      </c>
      <c r="D2035" t="n">
        <v>1353</v>
      </c>
    </row>
    <row r="2036">
      <c r="A2036" s="89" t="n">
        <v>38169</v>
      </c>
      <c r="B2036" t="n">
        <v>709</v>
      </c>
      <c r="C2036" t="n">
        <v>3322.6</v>
      </c>
      <c r="E2036" t="n">
        <v>6283.1</v>
      </c>
      <c r="F2036" t="n">
        <v>1.949</v>
      </c>
    </row>
    <row r="2037">
      <c r="A2037" s="89" t="n">
        <v>38173</v>
      </c>
      <c r="D2037" t="n">
        <v>1330.1</v>
      </c>
    </row>
    <row r="2038">
      <c r="A2038" s="89" t="n">
        <v>38180</v>
      </c>
      <c r="D2038" t="n">
        <v>1341.1</v>
      </c>
    </row>
    <row r="2039">
      <c r="A2039" s="89" t="n">
        <v>38187</v>
      </c>
      <c r="D2039" t="n">
        <v>1337.2</v>
      </c>
    </row>
    <row r="2040">
      <c r="A2040" s="89" t="n">
        <v>38194</v>
      </c>
      <c r="D2040" t="n">
        <v>1347.6</v>
      </c>
    </row>
    <row r="2041">
      <c r="A2041" s="89" t="n">
        <v>38200</v>
      </c>
      <c r="B2041" t="n">
        <v>715.8</v>
      </c>
      <c r="C2041" t="n">
        <v>3334.7</v>
      </c>
      <c r="E2041" t="n">
        <v>6309.2</v>
      </c>
    </row>
    <row r="2042">
      <c r="A2042" s="89" t="n">
        <v>38201</v>
      </c>
      <c r="D2042" t="n">
        <v>1346.8</v>
      </c>
    </row>
    <row r="2043">
      <c r="A2043" s="89" t="n">
        <v>38208</v>
      </c>
      <c r="D2043" t="n">
        <v>1352</v>
      </c>
    </row>
    <row r="2044">
      <c r="A2044" s="89" t="n">
        <v>38215</v>
      </c>
      <c r="D2044" t="n">
        <v>1355.2</v>
      </c>
    </row>
    <row r="2045">
      <c r="A2045" s="89" t="n">
        <v>38222</v>
      </c>
      <c r="D2045" t="n">
        <v>1362.5</v>
      </c>
    </row>
    <row r="2046">
      <c r="A2046" s="89" t="n">
        <v>38229</v>
      </c>
      <c r="D2046" t="n">
        <v>1351.4</v>
      </c>
    </row>
    <row r="2047">
      <c r="A2047" s="89" t="n">
        <v>38231</v>
      </c>
      <c r="B2047" t="n">
        <v>717.9</v>
      </c>
      <c r="C2047" t="n">
        <v>3342.4</v>
      </c>
      <c r="E2047" t="n">
        <v>6343.9</v>
      </c>
    </row>
    <row r="2048">
      <c r="A2048" s="89" t="n">
        <v>38236</v>
      </c>
      <c r="D2048" t="n">
        <v>1342.3</v>
      </c>
    </row>
    <row r="2049">
      <c r="A2049" s="89" t="n">
        <v>38243</v>
      </c>
      <c r="D2049" t="n">
        <v>1359.9</v>
      </c>
    </row>
    <row r="2050">
      <c r="A2050" s="89" t="n">
        <v>38250</v>
      </c>
      <c r="D2050" t="n">
        <v>1372.2</v>
      </c>
    </row>
    <row r="2051">
      <c r="A2051" s="89" t="n">
        <v>38257</v>
      </c>
      <c r="D2051" t="n">
        <v>1372</v>
      </c>
    </row>
    <row r="2052">
      <c r="A2052" s="89" t="n">
        <v>38261</v>
      </c>
      <c r="B2052" t="n">
        <v>714</v>
      </c>
      <c r="C2052" t="n">
        <v>3339.7</v>
      </c>
      <c r="E2052" t="n">
        <v>6372.1</v>
      </c>
      <c r="F2052" t="n">
        <v>1.959</v>
      </c>
    </row>
    <row r="2053">
      <c r="A2053" s="89" t="n">
        <v>38264</v>
      </c>
      <c r="D2053" t="n">
        <v>1364.4</v>
      </c>
    </row>
    <row r="2054">
      <c r="A2054" s="89" t="n">
        <v>38271</v>
      </c>
      <c r="D2054" t="n">
        <v>1365.5</v>
      </c>
    </row>
    <row r="2055">
      <c r="A2055" s="89" t="n">
        <v>38278</v>
      </c>
      <c r="D2055" t="n">
        <v>1359.7</v>
      </c>
    </row>
    <row r="2056">
      <c r="A2056" s="89" t="n">
        <v>38285</v>
      </c>
      <c r="D2056" t="n">
        <v>1368.5</v>
      </c>
    </row>
    <row r="2057">
      <c r="A2057" s="89" t="n">
        <v>38292</v>
      </c>
      <c r="B2057" t="n">
        <v>716.8</v>
      </c>
      <c r="C2057" t="n">
        <v>3337.9</v>
      </c>
      <c r="D2057" t="n">
        <v>1352.8</v>
      </c>
      <c r="E2057" t="n">
        <v>6398.7</v>
      </c>
    </row>
    <row r="2058">
      <c r="A2058" s="89" t="n">
        <v>38299</v>
      </c>
      <c r="D2058" t="n">
        <v>1363.9</v>
      </c>
    </row>
    <row r="2059">
      <c r="A2059" s="89" t="n">
        <v>38306</v>
      </c>
      <c r="D2059" t="n">
        <v>1371.2</v>
      </c>
    </row>
    <row r="2060">
      <c r="A2060" s="89" t="n">
        <v>38313</v>
      </c>
      <c r="D2060" t="n">
        <v>1379.2</v>
      </c>
    </row>
    <row r="2061">
      <c r="A2061" s="89" t="n">
        <v>38320</v>
      </c>
      <c r="D2061" t="n">
        <v>1387.5</v>
      </c>
    </row>
    <row r="2062">
      <c r="A2062" s="89" t="n">
        <v>38322</v>
      </c>
      <c r="B2062" t="n">
        <v>717.8</v>
      </c>
      <c r="C2062" t="n">
        <v>3347.5</v>
      </c>
      <c r="E2062" t="n">
        <v>6417.2</v>
      </c>
    </row>
    <row r="2063">
      <c r="A2063" s="89" t="n">
        <v>38327</v>
      </c>
      <c r="D2063" t="n">
        <v>1359.6</v>
      </c>
    </row>
    <row r="2064">
      <c r="A2064" s="89" t="n">
        <v>38334</v>
      </c>
      <c r="D2064" t="n">
        <v>1369.7</v>
      </c>
    </row>
    <row r="2065">
      <c r="A2065" s="89" t="n">
        <v>38341</v>
      </c>
      <c r="D2065" t="n">
        <v>1380</v>
      </c>
    </row>
    <row r="2066">
      <c r="A2066" s="89" t="n">
        <v>38348</v>
      </c>
      <c r="D2066" t="n">
        <v>1387.5</v>
      </c>
    </row>
    <row r="2067">
      <c r="A2067" s="89" t="n">
        <v>38353</v>
      </c>
      <c r="B2067" t="n">
        <v>713.5</v>
      </c>
      <c r="C2067" t="n">
        <v>3352.5</v>
      </c>
      <c r="E2067" t="n">
        <v>6423.4</v>
      </c>
      <c r="F2067" t="n">
        <v>1.985</v>
      </c>
    </row>
    <row r="2068">
      <c r="A2068" s="89" t="n">
        <v>38355</v>
      </c>
      <c r="D2068" t="n">
        <v>1373.7</v>
      </c>
    </row>
    <row r="2069">
      <c r="A2069" s="89" t="n">
        <v>38362</v>
      </c>
      <c r="D2069" t="n">
        <v>1347.5</v>
      </c>
    </row>
    <row r="2070">
      <c r="A2070" s="89" t="n">
        <v>38369</v>
      </c>
      <c r="D2070" t="n">
        <v>1348.5</v>
      </c>
    </row>
    <row r="2071">
      <c r="A2071" s="89" t="n">
        <v>38376</v>
      </c>
      <c r="D2071" t="n">
        <v>1362.7</v>
      </c>
    </row>
    <row r="2072">
      <c r="A2072" s="89" t="n">
        <v>38383</v>
      </c>
      <c r="D2072" t="n">
        <v>1364.9</v>
      </c>
    </row>
    <row r="2073">
      <c r="A2073" s="89" t="n">
        <v>38384</v>
      </c>
      <c r="B2073" t="n">
        <v>712.6</v>
      </c>
      <c r="C2073" t="n">
        <v>3342.9</v>
      </c>
      <c r="E2073" t="n">
        <v>6431.8</v>
      </c>
    </row>
    <row r="2074">
      <c r="A2074" s="89" t="n">
        <v>38390</v>
      </c>
      <c r="D2074" t="n">
        <v>1353.7</v>
      </c>
    </row>
    <row r="2075">
      <c r="A2075" s="89" t="n">
        <v>38397</v>
      </c>
      <c r="D2075" t="n">
        <v>1368.7</v>
      </c>
    </row>
    <row r="2076">
      <c r="A2076" s="89" t="n">
        <v>38404</v>
      </c>
      <c r="D2076" t="n">
        <v>1381.5</v>
      </c>
    </row>
    <row r="2077">
      <c r="A2077" s="89" t="n">
        <v>38411</v>
      </c>
      <c r="D2077" t="n">
        <v>1380.5</v>
      </c>
    </row>
    <row r="2078">
      <c r="A2078" s="89" t="n">
        <v>38412</v>
      </c>
      <c r="B2078" t="n">
        <v>709.9</v>
      </c>
      <c r="C2078" t="n">
        <v>3335.5</v>
      </c>
      <c r="E2078" t="n">
        <v>6440.8</v>
      </c>
    </row>
    <row r="2079">
      <c r="A2079" s="89" t="n">
        <v>38418</v>
      </c>
      <c r="D2079" t="n">
        <v>1362.8</v>
      </c>
    </row>
    <row r="2080">
      <c r="A2080" s="89" t="n">
        <v>38425</v>
      </c>
      <c r="D2080" t="n">
        <v>1370.1</v>
      </c>
    </row>
    <row r="2081">
      <c r="A2081" s="89" t="n">
        <v>38432</v>
      </c>
      <c r="D2081" t="n">
        <v>1376.3</v>
      </c>
    </row>
    <row r="2082">
      <c r="A2082" s="89" t="n">
        <v>38439</v>
      </c>
      <c r="D2082" t="n">
        <v>1378.4</v>
      </c>
    </row>
    <row r="2083">
      <c r="A2083" s="89" t="n">
        <v>38443</v>
      </c>
      <c r="B2083" t="n">
        <v>701.3</v>
      </c>
      <c r="C2083" t="n">
        <v>3332.3</v>
      </c>
      <c r="E2083" t="n">
        <v>6454.7</v>
      </c>
      <c r="F2083" t="n">
        <v>1.995</v>
      </c>
    </row>
    <row r="2084">
      <c r="A2084" s="89" t="n">
        <v>38446</v>
      </c>
      <c r="D2084" t="n">
        <v>1361.1</v>
      </c>
    </row>
    <row r="2085">
      <c r="A2085" s="89" t="n">
        <v>38453</v>
      </c>
      <c r="D2085" t="n">
        <v>1355.3</v>
      </c>
    </row>
    <row r="2086">
      <c r="A2086" s="89" t="n">
        <v>38460</v>
      </c>
      <c r="D2086" t="n">
        <v>1355.1</v>
      </c>
    </row>
    <row r="2087">
      <c r="A2087" s="89" t="n">
        <v>38467</v>
      </c>
      <c r="D2087" t="n">
        <v>1361.7</v>
      </c>
    </row>
    <row r="2088">
      <c r="A2088" s="89" t="n">
        <v>38473</v>
      </c>
      <c r="B2088" t="n">
        <v>705.6</v>
      </c>
      <c r="C2088" t="n">
        <v>3343</v>
      </c>
      <c r="E2088" t="n">
        <v>6472</v>
      </c>
    </row>
    <row r="2089">
      <c r="A2089" s="89" t="n">
        <v>38474</v>
      </c>
      <c r="D2089" t="n">
        <v>1360.4</v>
      </c>
    </row>
    <row r="2090">
      <c r="A2090" s="89" t="n">
        <v>38481</v>
      </c>
      <c r="D2090" t="n">
        <v>1361.8</v>
      </c>
    </row>
    <row r="2091">
      <c r="A2091" s="89" t="n">
        <v>38488</v>
      </c>
      <c r="D2091" t="n">
        <v>1357.6</v>
      </c>
    </row>
    <row r="2092">
      <c r="A2092" s="89" t="n">
        <v>38495</v>
      </c>
      <c r="D2092" t="n">
        <v>1367.4</v>
      </c>
    </row>
    <row r="2093">
      <c r="A2093" s="89" t="n">
        <v>38502</v>
      </c>
      <c r="D2093" t="n">
        <v>1379.4</v>
      </c>
    </row>
    <row r="2094">
      <c r="A2094" s="89" t="n">
        <v>38504</v>
      </c>
      <c r="B2094" t="n">
        <v>712.5</v>
      </c>
      <c r="C2094" t="n">
        <v>3358</v>
      </c>
      <c r="E2094" t="n">
        <v>6504.4</v>
      </c>
    </row>
    <row r="2095">
      <c r="A2095" s="89" t="n">
        <v>38509</v>
      </c>
      <c r="D2095" t="n">
        <v>1361.7</v>
      </c>
    </row>
    <row r="2096">
      <c r="A2096" s="89" t="n">
        <v>38516</v>
      </c>
      <c r="D2096" t="n">
        <v>1372.6</v>
      </c>
    </row>
    <row r="2097">
      <c r="A2097" s="89" t="n">
        <v>38523</v>
      </c>
      <c r="D2097" t="n">
        <v>1389.9</v>
      </c>
    </row>
    <row r="2098">
      <c r="A2098" s="89" t="n">
        <v>38530</v>
      </c>
      <c r="D2098" t="n">
        <v>1395.5</v>
      </c>
    </row>
    <row r="2099">
      <c r="A2099" s="89" t="n">
        <v>38534</v>
      </c>
      <c r="B2099" t="n">
        <v>702.4</v>
      </c>
      <c r="C2099" t="n">
        <v>3353.5</v>
      </c>
      <c r="E2099" t="n">
        <v>6536</v>
      </c>
      <c r="F2099" t="n">
        <v>2.001</v>
      </c>
    </row>
    <row r="2100">
      <c r="A2100" s="89" t="n">
        <v>38537</v>
      </c>
      <c r="D2100" t="n">
        <v>1375.6</v>
      </c>
    </row>
    <row r="2101">
      <c r="A2101" s="89" t="n">
        <v>38544</v>
      </c>
      <c r="D2101" t="n">
        <v>1364.8</v>
      </c>
    </row>
    <row r="2102">
      <c r="A2102" s="89" t="n">
        <v>38551</v>
      </c>
      <c r="D2102" t="n">
        <v>1364.4</v>
      </c>
    </row>
    <row r="2103">
      <c r="A2103" s="89" t="n">
        <v>38558</v>
      </c>
      <c r="D2103" t="n">
        <v>1379.6</v>
      </c>
    </row>
    <row r="2104">
      <c r="A2104" s="89" t="n">
        <v>38565</v>
      </c>
      <c r="B2104" t="n">
        <v>702.6</v>
      </c>
      <c r="C2104" t="n">
        <v>3349.7</v>
      </c>
      <c r="D2104" t="n">
        <v>1362.4</v>
      </c>
      <c r="E2104" t="n">
        <v>6568.7</v>
      </c>
    </row>
    <row r="2105">
      <c r="A2105" s="89" t="n">
        <v>38572</v>
      </c>
      <c r="D2105" t="n">
        <v>1366.5</v>
      </c>
    </row>
    <row r="2106">
      <c r="A2106" s="89" t="n">
        <v>38579</v>
      </c>
      <c r="D2106" t="n">
        <v>1375.6</v>
      </c>
    </row>
    <row r="2107">
      <c r="A2107" s="89" t="n">
        <v>38586</v>
      </c>
      <c r="D2107" t="n">
        <v>1388.5</v>
      </c>
    </row>
    <row r="2108">
      <c r="A2108" s="89" t="n">
        <v>38593</v>
      </c>
      <c r="D2108" t="n">
        <v>1386.5</v>
      </c>
    </row>
    <row r="2109">
      <c r="A2109" s="89" t="n">
        <v>38596</v>
      </c>
      <c r="B2109" t="n">
        <v>693.5</v>
      </c>
      <c r="C2109" t="n">
        <v>3321.4</v>
      </c>
      <c r="E2109" t="n">
        <v>6602.9</v>
      </c>
    </row>
    <row r="2110">
      <c r="A2110" s="89" t="n">
        <v>38600</v>
      </c>
      <c r="D2110" t="n">
        <v>1364.4</v>
      </c>
    </row>
    <row r="2111">
      <c r="A2111" s="89" t="n">
        <v>38607</v>
      </c>
      <c r="D2111" t="n">
        <v>1366.9</v>
      </c>
    </row>
    <row r="2112">
      <c r="A2112" s="89" t="n">
        <v>38614</v>
      </c>
      <c r="D2112" t="n">
        <v>1380.1</v>
      </c>
    </row>
    <row r="2113">
      <c r="A2113" s="89" t="n">
        <v>38621</v>
      </c>
      <c r="D2113" t="n">
        <v>1388.5</v>
      </c>
    </row>
    <row r="2114">
      <c r="A2114" s="89" t="n">
        <v>38626</v>
      </c>
      <c r="B2114" t="n">
        <v>691.4</v>
      </c>
      <c r="C2114" t="n">
        <v>3333.5</v>
      </c>
      <c r="E2114" t="n">
        <v>6637</v>
      </c>
      <c r="F2114" t="n">
        <v>2.002</v>
      </c>
    </row>
    <row r="2115">
      <c r="A2115" s="89" t="n">
        <v>38628</v>
      </c>
      <c r="D2115" t="n">
        <v>1396.7</v>
      </c>
    </row>
    <row r="2116">
      <c r="A2116" s="89" t="n">
        <v>38635</v>
      </c>
      <c r="D2116" t="n">
        <v>1372.5</v>
      </c>
    </row>
    <row r="2117">
      <c r="A2117" s="89" t="n">
        <v>38642</v>
      </c>
      <c r="D2117" t="n">
        <v>1365.5</v>
      </c>
    </row>
    <row r="2118">
      <c r="A2118" s="89" t="n">
        <v>38649</v>
      </c>
      <c r="D2118" t="n">
        <v>1382</v>
      </c>
    </row>
    <row r="2119">
      <c r="A2119" s="89" t="n">
        <v>38656</v>
      </c>
      <c r="D2119" t="n">
        <v>1377.3</v>
      </c>
    </row>
    <row r="2120">
      <c r="A2120" s="89" t="n">
        <v>38657</v>
      </c>
      <c r="B2120" t="n">
        <v>694.6</v>
      </c>
      <c r="C2120" t="n">
        <v>3358.6</v>
      </c>
      <c r="E2120" t="n">
        <v>6653.4</v>
      </c>
    </row>
    <row r="2121">
      <c r="A2121" s="89" t="n">
        <v>38663</v>
      </c>
      <c r="D2121" t="n">
        <v>1360.5</v>
      </c>
    </row>
    <row r="2122">
      <c r="A2122" s="89" t="n">
        <v>38670</v>
      </c>
      <c r="D2122" t="n">
        <v>1370.9</v>
      </c>
    </row>
    <row r="2123">
      <c r="A2123" s="89" t="n">
        <v>38677</v>
      </c>
      <c r="D2123" t="n">
        <v>1388</v>
      </c>
    </row>
    <row r="2124">
      <c r="A2124" s="89" t="n">
        <v>38684</v>
      </c>
      <c r="D2124" t="n">
        <v>1386.3</v>
      </c>
    </row>
    <row r="2125">
      <c r="A2125" s="89" t="n">
        <v>38687</v>
      </c>
      <c r="B2125" t="n">
        <v>693.7</v>
      </c>
      <c r="C2125" t="n">
        <v>3372.1</v>
      </c>
      <c r="E2125" t="n">
        <v>6680.1</v>
      </c>
    </row>
    <row r="2126">
      <c r="A2126" s="89" t="n">
        <v>38691</v>
      </c>
      <c r="D2126" t="n">
        <v>1371.5</v>
      </c>
    </row>
    <row r="2127">
      <c r="A2127" s="89" t="n">
        <v>38698</v>
      </c>
      <c r="D2127" t="n">
        <v>1368</v>
      </c>
    </row>
    <row r="2128">
      <c r="A2128" s="89" t="n">
        <v>38705</v>
      </c>
      <c r="D2128" t="n">
        <v>1373.1</v>
      </c>
    </row>
    <row r="2129">
      <c r="A2129" s="89" t="n">
        <v>38712</v>
      </c>
      <c r="D2129" t="n">
        <v>1383</v>
      </c>
    </row>
    <row r="2130">
      <c r="A2130" s="89" t="n">
        <v>38718</v>
      </c>
      <c r="B2130" t="n">
        <v>692.2</v>
      </c>
      <c r="C2130" t="n">
        <v>3373.1</v>
      </c>
      <c r="E2130" t="n">
        <v>6722.5</v>
      </c>
      <c r="F2130" t="n">
        <v>2.017</v>
      </c>
    </row>
    <row r="2131">
      <c r="A2131" s="89" t="n">
        <v>38719</v>
      </c>
      <c r="D2131" t="n">
        <v>1375.5</v>
      </c>
    </row>
    <row r="2132">
      <c r="A2132" s="89" t="n">
        <v>38726</v>
      </c>
      <c r="D2132" t="n">
        <v>1372</v>
      </c>
    </row>
    <row r="2133">
      <c r="A2133" s="89" t="n">
        <v>38733</v>
      </c>
      <c r="D2133" t="n">
        <v>1375.8</v>
      </c>
    </row>
    <row r="2134">
      <c r="A2134" s="89" t="n">
        <v>38740</v>
      </c>
      <c r="D2134" t="n">
        <v>1383.1</v>
      </c>
    </row>
    <row r="2135">
      <c r="A2135" s="89" t="n">
        <v>38747</v>
      </c>
      <c r="D2135" t="n">
        <v>1389.8</v>
      </c>
    </row>
    <row r="2136">
      <c r="A2136" s="89" t="n">
        <v>38749</v>
      </c>
      <c r="B2136" t="n">
        <v>691.3</v>
      </c>
      <c r="C2136" t="n">
        <v>3383.6</v>
      </c>
      <c r="E2136" t="n">
        <v>6746.8</v>
      </c>
    </row>
    <row r="2137">
      <c r="A2137" s="89" t="n">
        <v>38754</v>
      </c>
      <c r="D2137" t="n">
        <v>1369.2</v>
      </c>
    </row>
    <row r="2138">
      <c r="A2138" s="89" t="n">
        <v>38761</v>
      </c>
      <c r="D2138" t="n">
        <v>1368.6</v>
      </c>
    </row>
    <row r="2139">
      <c r="A2139" s="89" t="n">
        <v>38768</v>
      </c>
      <c r="D2139" t="n">
        <v>1383.3</v>
      </c>
    </row>
    <row r="2140">
      <c r="A2140" s="89" t="n">
        <v>38775</v>
      </c>
      <c r="D2140" t="n">
        <v>1393</v>
      </c>
    </row>
    <row r="2141">
      <c r="A2141" s="89" t="n">
        <v>38777</v>
      </c>
      <c r="B2141" t="n">
        <v>692.6</v>
      </c>
      <c r="C2141" t="n">
        <v>3385.6</v>
      </c>
      <c r="E2141" t="n">
        <v>6761.1</v>
      </c>
    </row>
    <row r="2142">
      <c r="A2142" s="89" t="n">
        <v>38782</v>
      </c>
      <c r="D2142" t="n">
        <v>1366.2</v>
      </c>
    </row>
    <row r="2143">
      <c r="A2143" s="89" t="n">
        <v>38789</v>
      </c>
      <c r="D2143" t="n">
        <v>1371</v>
      </c>
    </row>
    <row r="2144">
      <c r="A2144" s="89" t="n">
        <v>38796</v>
      </c>
      <c r="D2144" t="n">
        <v>1387.9</v>
      </c>
    </row>
    <row r="2145">
      <c r="A2145" s="89" t="n">
        <v>38803</v>
      </c>
      <c r="D2145" t="n">
        <v>1394.8</v>
      </c>
    </row>
    <row r="2146">
      <c r="A2146" s="89" t="n">
        <v>38808</v>
      </c>
      <c r="B2146" t="n">
        <v>688.3</v>
      </c>
      <c r="C2146" t="n">
        <v>3387.4</v>
      </c>
      <c r="E2146" t="n">
        <v>6798.5</v>
      </c>
      <c r="F2146" t="n">
        <v>2.018</v>
      </c>
    </row>
    <row r="2147">
      <c r="A2147" s="89" t="n">
        <v>38810</v>
      </c>
      <c r="D2147" t="n">
        <v>1401.4</v>
      </c>
    </row>
    <row r="2148">
      <c r="A2148" s="89" t="n">
        <v>38817</v>
      </c>
      <c r="D2148" t="n">
        <v>1375.7</v>
      </c>
    </row>
    <row r="2149">
      <c r="A2149" s="89" t="n">
        <v>38824</v>
      </c>
      <c r="D2149" t="n">
        <v>1379.4</v>
      </c>
    </row>
    <row r="2150">
      <c r="A2150" s="89" t="n">
        <v>38831</v>
      </c>
      <c r="D2150" t="n">
        <v>1388.1</v>
      </c>
    </row>
    <row r="2151">
      <c r="A2151" s="89" t="n">
        <v>38838</v>
      </c>
      <c r="B2151" t="n">
        <v>689.1</v>
      </c>
      <c r="C2151" t="n">
        <v>3380.6</v>
      </c>
      <c r="D2151" t="n">
        <v>1372.5</v>
      </c>
      <c r="E2151" t="n">
        <v>6805.2</v>
      </c>
    </row>
    <row r="2152">
      <c r="A2152" s="89" t="n">
        <v>38845</v>
      </c>
      <c r="D2152" t="n">
        <v>1373.8</v>
      </c>
    </row>
    <row r="2153">
      <c r="A2153" s="89" t="n">
        <v>38852</v>
      </c>
      <c r="D2153" t="n">
        <v>1389.4</v>
      </c>
    </row>
    <row r="2154">
      <c r="A2154" s="89" t="n">
        <v>38859</v>
      </c>
      <c r="D2154" t="n">
        <v>1394.8</v>
      </c>
    </row>
    <row r="2155">
      <c r="A2155" s="89" t="n">
        <v>38866</v>
      </c>
      <c r="D2155" t="n">
        <v>1397.9</v>
      </c>
    </row>
    <row r="2156">
      <c r="A2156" s="89" t="n">
        <v>38869</v>
      </c>
      <c r="B2156" t="n">
        <v>681.6</v>
      </c>
      <c r="C2156" t="n">
        <v>3391.1</v>
      </c>
      <c r="E2156" t="n">
        <v>6843.2</v>
      </c>
    </row>
    <row r="2157">
      <c r="A2157" s="89" t="n">
        <v>38873</v>
      </c>
      <c r="D2157" t="n">
        <v>1369.1</v>
      </c>
    </row>
    <row r="2158">
      <c r="A2158" s="89" t="n">
        <v>38880</v>
      </c>
      <c r="D2158" t="n">
        <v>1367.7</v>
      </c>
    </row>
    <row r="2159">
      <c r="A2159" s="89" t="n">
        <v>38887</v>
      </c>
      <c r="D2159" t="n">
        <v>1370.9</v>
      </c>
    </row>
    <row r="2160">
      <c r="A2160" s="89" t="n">
        <v>38894</v>
      </c>
      <c r="D2160" t="n">
        <v>1383.6</v>
      </c>
    </row>
    <row r="2161">
      <c r="A2161" s="89" t="n">
        <v>38899</v>
      </c>
      <c r="B2161" t="n">
        <v>676.4</v>
      </c>
      <c r="C2161" t="n">
        <v>3393.1</v>
      </c>
      <c r="E2161" t="n">
        <v>6884.6</v>
      </c>
      <c r="F2161" t="n">
        <v>2.006</v>
      </c>
    </row>
    <row r="2162">
      <c r="A2162" s="89" t="n">
        <v>38901</v>
      </c>
      <c r="D2162" t="n">
        <v>1390.5</v>
      </c>
    </row>
    <row r="2163">
      <c r="A2163" s="89" t="n">
        <v>38908</v>
      </c>
      <c r="D2163" t="n">
        <v>1372.4</v>
      </c>
    </row>
    <row r="2164">
      <c r="A2164" s="89" t="n">
        <v>38915</v>
      </c>
      <c r="D2164" t="n">
        <v>1359.2</v>
      </c>
    </row>
    <row r="2165">
      <c r="A2165" s="89" t="n">
        <v>38922</v>
      </c>
      <c r="D2165" t="n">
        <v>1377.5</v>
      </c>
    </row>
    <row r="2166">
      <c r="A2166" s="89" t="n">
        <v>38929</v>
      </c>
      <c r="D2166" t="n">
        <v>1372.9</v>
      </c>
    </row>
    <row r="2167">
      <c r="A2167" s="89" t="n">
        <v>38930</v>
      </c>
      <c r="B2167" t="n">
        <v>673.4</v>
      </c>
      <c r="C2167" t="n">
        <v>3393.2</v>
      </c>
      <c r="E2167" t="n">
        <v>6915.4</v>
      </c>
    </row>
    <row r="2168">
      <c r="A2168" s="89" t="n">
        <v>38936</v>
      </c>
      <c r="D2168" t="n">
        <v>1357.2</v>
      </c>
    </row>
    <row r="2169">
      <c r="A2169" s="89" t="n">
        <v>38943</v>
      </c>
      <c r="D2169" t="n">
        <v>1364.8</v>
      </c>
    </row>
    <row r="2170">
      <c r="A2170" s="89" t="n">
        <v>38950</v>
      </c>
      <c r="D2170" t="n">
        <v>1382.8</v>
      </c>
    </row>
    <row r="2171">
      <c r="A2171" s="89" t="n">
        <v>38957</v>
      </c>
      <c r="D2171" t="n">
        <v>1384</v>
      </c>
    </row>
    <row r="2172">
      <c r="A2172" s="89" t="n">
        <v>38961</v>
      </c>
      <c r="B2172" t="n">
        <v>672.8</v>
      </c>
      <c r="C2172" t="n">
        <v>3423.4</v>
      </c>
      <c r="E2172" t="n">
        <v>6942.6</v>
      </c>
    </row>
    <row r="2173">
      <c r="A2173" s="89" t="n">
        <v>38964</v>
      </c>
      <c r="D2173" t="n">
        <v>1373.8</v>
      </c>
    </row>
    <row r="2174">
      <c r="A2174" s="89" t="n">
        <v>38971</v>
      </c>
      <c r="D2174" t="n">
        <v>1365.4</v>
      </c>
    </row>
    <row r="2175">
      <c r="A2175" s="89" t="n">
        <v>38978</v>
      </c>
      <c r="D2175" t="n">
        <v>1357.6</v>
      </c>
    </row>
    <row r="2176">
      <c r="A2176" s="89" t="n">
        <v>38985</v>
      </c>
      <c r="D2176" t="n">
        <v>1364.9</v>
      </c>
    </row>
    <row r="2177">
      <c r="A2177" s="89" t="n">
        <v>38991</v>
      </c>
      <c r="B2177" t="n">
        <v>678.7</v>
      </c>
      <c r="C2177" t="n">
        <v>3462.9</v>
      </c>
      <c r="E2177" t="n">
        <v>6991.6</v>
      </c>
      <c r="F2177" t="n">
        <v>1.997</v>
      </c>
    </row>
    <row r="2178">
      <c r="A2178" s="89" t="n">
        <v>38992</v>
      </c>
      <c r="D2178" t="n">
        <v>1364.3</v>
      </c>
    </row>
    <row r="2179">
      <c r="A2179" s="89" t="n">
        <v>38999</v>
      </c>
      <c r="D2179" t="n">
        <v>1368.1</v>
      </c>
    </row>
    <row r="2180">
      <c r="A2180" s="89" t="n">
        <v>39006</v>
      </c>
      <c r="D2180" t="n">
        <v>1360.6</v>
      </c>
    </row>
    <row r="2181">
      <c r="A2181" s="89" t="n">
        <v>39013</v>
      </c>
      <c r="D2181" t="n">
        <v>1380.3</v>
      </c>
    </row>
    <row r="2182">
      <c r="A2182" s="89" t="n">
        <v>39020</v>
      </c>
      <c r="D2182" t="n">
        <v>1376.4</v>
      </c>
    </row>
    <row r="2183">
      <c r="A2183" s="89" t="n">
        <v>39022</v>
      </c>
      <c r="B2183" t="n">
        <v>678.6</v>
      </c>
      <c r="C2183" t="n">
        <v>3478.5</v>
      </c>
      <c r="E2183" t="n">
        <v>7026.5</v>
      </c>
    </row>
    <row r="2184">
      <c r="A2184" s="89" t="n">
        <v>39027</v>
      </c>
      <c r="D2184" t="n">
        <v>1351.1</v>
      </c>
    </row>
    <row r="2185">
      <c r="A2185" s="89" t="n">
        <v>39034</v>
      </c>
      <c r="D2185" t="n">
        <v>1361.3</v>
      </c>
    </row>
    <row r="2186">
      <c r="A2186" s="89" t="n">
        <v>39041</v>
      </c>
      <c r="D2186" t="n">
        <v>1380.2</v>
      </c>
    </row>
    <row r="2187">
      <c r="A2187" s="89" t="n">
        <v>39048</v>
      </c>
      <c r="D2187" t="n">
        <v>1386.4</v>
      </c>
    </row>
    <row r="2188">
      <c r="A2188" s="89" t="n">
        <v>39052</v>
      </c>
      <c r="B2188" t="n">
        <v>672.9</v>
      </c>
      <c r="C2188" t="n">
        <v>3480.8</v>
      </c>
      <c r="E2188" t="n">
        <v>7069.5</v>
      </c>
    </row>
    <row r="2189">
      <c r="A2189" s="89" t="n">
        <v>39055</v>
      </c>
      <c r="D2189" t="n">
        <v>1374.1</v>
      </c>
    </row>
    <row r="2190">
      <c r="A2190" s="89" t="n">
        <v>39062</v>
      </c>
      <c r="D2190" t="n">
        <v>1360.3</v>
      </c>
    </row>
    <row r="2191">
      <c r="A2191" s="89" t="n">
        <v>39069</v>
      </c>
      <c r="D2191" t="n">
        <v>1359.2</v>
      </c>
    </row>
    <row r="2192">
      <c r="A2192" s="89" t="n">
        <v>39076</v>
      </c>
      <c r="D2192" t="n">
        <v>1380.4</v>
      </c>
    </row>
    <row r="2193">
      <c r="A2193" s="89" t="n">
        <v>39083</v>
      </c>
      <c r="B2193" t="n">
        <v>674.3</v>
      </c>
      <c r="C2193" t="n">
        <v>3493.7</v>
      </c>
      <c r="D2193" t="n">
        <v>1361.3</v>
      </c>
      <c r="E2193" t="n">
        <v>7107.4</v>
      </c>
      <c r="F2193" t="n">
        <v>1.994</v>
      </c>
    </row>
    <row r="2194">
      <c r="A2194" s="89" t="n">
        <v>39090</v>
      </c>
      <c r="D2194" t="n">
        <v>1355.7</v>
      </c>
    </row>
    <row r="2195">
      <c r="A2195" s="89" t="n">
        <v>39097</v>
      </c>
      <c r="D2195" t="n">
        <v>1382.9</v>
      </c>
    </row>
    <row r="2196">
      <c r="A2196" s="89" t="n">
        <v>39104</v>
      </c>
      <c r="D2196" t="n">
        <v>1373.2</v>
      </c>
    </row>
    <row r="2197">
      <c r="A2197" s="89" t="n">
        <v>39111</v>
      </c>
      <c r="D2197" t="n">
        <v>1377</v>
      </c>
    </row>
    <row r="2198">
      <c r="A2198" s="89" t="n">
        <v>39114</v>
      </c>
      <c r="B2198" t="n">
        <v>667.4</v>
      </c>
      <c r="C2198" t="n">
        <v>3487.9</v>
      </c>
      <c r="E2198" t="n">
        <v>7123.2</v>
      </c>
    </row>
    <row r="2199">
      <c r="A2199" s="89" t="n">
        <v>39118</v>
      </c>
      <c r="D2199" t="n">
        <v>1369.9</v>
      </c>
    </row>
    <row r="2200">
      <c r="A2200" s="89" t="n">
        <v>39125</v>
      </c>
      <c r="D2200" t="n">
        <v>1361.7</v>
      </c>
    </row>
    <row r="2201">
      <c r="A2201" s="89" t="n">
        <v>39132</v>
      </c>
      <c r="D2201" t="n">
        <v>1361.7</v>
      </c>
    </row>
    <row r="2202">
      <c r="A2202" s="89" t="n">
        <v>39139</v>
      </c>
      <c r="D2202" t="n">
        <v>1362</v>
      </c>
    </row>
    <row r="2203">
      <c r="A2203" s="89" t="n">
        <v>39142</v>
      </c>
      <c r="B2203" t="n">
        <v>665.7</v>
      </c>
      <c r="C2203" t="n">
        <v>3486.3</v>
      </c>
      <c r="E2203" t="n">
        <v>7156.9</v>
      </c>
    </row>
    <row r="2204">
      <c r="A2204" s="89" t="n">
        <v>39146</v>
      </c>
      <c r="D2204" t="n">
        <v>1358.6</v>
      </c>
    </row>
    <row r="2205">
      <c r="A2205" s="89" t="n">
        <v>39153</v>
      </c>
      <c r="D2205" t="n">
        <v>1363.5</v>
      </c>
    </row>
    <row r="2206">
      <c r="A2206" s="89" t="n">
        <v>39160</v>
      </c>
      <c r="D2206" t="n">
        <v>1360.2</v>
      </c>
    </row>
    <row r="2207">
      <c r="A2207" s="89" t="n">
        <v>39167</v>
      </c>
      <c r="D2207" t="n">
        <v>1373.6</v>
      </c>
    </row>
    <row r="2208">
      <c r="A2208" s="89" t="n">
        <v>39173</v>
      </c>
      <c r="B2208" t="n">
        <v>669.2</v>
      </c>
      <c r="C2208" t="n">
        <v>3511</v>
      </c>
      <c r="E2208" t="n">
        <v>7229.3</v>
      </c>
      <c r="F2208" t="n">
        <v>1.987</v>
      </c>
    </row>
    <row r="2209">
      <c r="A2209" s="89" t="n">
        <v>39174</v>
      </c>
      <c r="D2209" t="n">
        <v>1377.5</v>
      </c>
    </row>
    <row r="2210">
      <c r="A2210" s="89" t="n">
        <v>39181</v>
      </c>
      <c r="D2210" t="n">
        <v>1379.6</v>
      </c>
    </row>
    <row r="2211">
      <c r="A2211" s="89" t="n">
        <v>39188</v>
      </c>
      <c r="D2211" t="n">
        <v>1374.5</v>
      </c>
    </row>
    <row r="2212">
      <c r="A2212" s="89" t="n">
        <v>39195</v>
      </c>
      <c r="D2212" t="n">
        <v>1375.7</v>
      </c>
    </row>
    <row r="2213">
      <c r="A2213" s="89" t="n">
        <v>39202</v>
      </c>
      <c r="D2213" t="n">
        <v>1382.5</v>
      </c>
    </row>
    <row r="2214">
      <c r="A2214" s="89" t="n">
        <v>39203</v>
      </c>
      <c r="B2214" t="n">
        <v>667.9</v>
      </c>
      <c r="C2214" t="n">
        <v>3503.3</v>
      </c>
      <c r="E2214" t="n">
        <v>7243.2</v>
      </c>
    </row>
    <row r="2215">
      <c r="A2215" s="89" t="n">
        <v>39209</v>
      </c>
      <c r="D2215" t="n">
        <v>1367.2</v>
      </c>
    </row>
    <row r="2216">
      <c r="A2216" s="89" t="n">
        <v>39216</v>
      </c>
      <c r="D2216" t="n">
        <v>1382.3</v>
      </c>
    </row>
    <row r="2217">
      <c r="A2217" s="89" t="n">
        <v>39223</v>
      </c>
      <c r="D2217" t="n">
        <v>1384.1</v>
      </c>
    </row>
    <row r="2218">
      <c r="A2218" s="89" t="n">
        <v>39230</v>
      </c>
      <c r="D2218" t="n">
        <v>1388.5</v>
      </c>
    </row>
    <row r="2219">
      <c r="A2219" s="89" t="n">
        <v>39234</v>
      </c>
      <c r="B2219" t="n">
        <v>660.2</v>
      </c>
      <c r="C2219" t="n">
        <v>3511.2</v>
      </c>
      <c r="E2219" t="n">
        <v>7276.3</v>
      </c>
    </row>
    <row r="2220">
      <c r="A2220" s="89" t="n">
        <v>39237</v>
      </c>
      <c r="D2220" t="n">
        <v>1384.6</v>
      </c>
    </row>
    <row r="2221">
      <c r="A2221" s="89" t="n">
        <v>39244</v>
      </c>
      <c r="D2221" t="n">
        <v>1370.7</v>
      </c>
    </row>
    <row r="2222">
      <c r="A2222" s="89" t="n">
        <v>39251</v>
      </c>
      <c r="D2222" t="n">
        <v>1356.3</v>
      </c>
    </row>
    <row r="2223">
      <c r="A2223" s="89" t="n">
        <v>39258</v>
      </c>
      <c r="D2223" t="n">
        <v>1362.9</v>
      </c>
    </row>
    <row r="2224">
      <c r="A2224" s="89" t="n">
        <v>39264</v>
      </c>
      <c r="B2224" t="n">
        <v>660.8</v>
      </c>
      <c r="C2224" t="n">
        <v>3519.5</v>
      </c>
      <c r="E2224" t="n">
        <v>7306.6</v>
      </c>
      <c r="F2224" t="n">
        <v>1.978</v>
      </c>
    </row>
    <row r="2225">
      <c r="A2225" s="89" t="n">
        <v>39265</v>
      </c>
      <c r="D2225" t="n">
        <v>1375.8</v>
      </c>
    </row>
    <row r="2226">
      <c r="A2226" s="89" t="n">
        <v>39272</v>
      </c>
      <c r="D2226" t="n">
        <v>1370.5</v>
      </c>
    </row>
    <row r="2227">
      <c r="A2227" s="89" t="n">
        <v>39279</v>
      </c>
      <c r="D2227" t="n">
        <v>1373.5</v>
      </c>
    </row>
    <row r="2228">
      <c r="A2228" s="89" t="n">
        <v>39286</v>
      </c>
      <c r="D2228" t="n">
        <v>1373.2</v>
      </c>
    </row>
    <row r="2229">
      <c r="A2229" s="89" t="n">
        <v>39293</v>
      </c>
      <c r="D2229" t="n">
        <v>1370.4</v>
      </c>
    </row>
    <row r="2230">
      <c r="A2230" s="89" t="n">
        <v>39295</v>
      </c>
      <c r="B2230" t="n">
        <v>662.7</v>
      </c>
      <c r="C2230" t="n">
        <v>3555.1</v>
      </c>
      <c r="E2230" t="n">
        <v>7382.8</v>
      </c>
    </row>
    <row r="2231">
      <c r="A2231" s="89" t="n">
        <v>39300</v>
      </c>
      <c r="D2231" t="n">
        <v>1359.9</v>
      </c>
    </row>
    <row r="2232">
      <c r="A2232" s="89" t="n">
        <v>39307</v>
      </c>
      <c r="D2232" t="n">
        <v>1364.1</v>
      </c>
    </row>
    <row r="2233">
      <c r="A2233" s="89" t="n">
        <v>39314</v>
      </c>
      <c r="D2233" t="n">
        <v>1372.8</v>
      </c>
    </row>
    <row r="2234">
      <c r="A2234" s="89" t="n">
        <v>39321</v>
      </c>
      <c r="D2234" t="n">
        <v>1385.6</v>
      </c>
    </row>
    <row r="2235">
      <c r="A2235" s="89" t="n">
        <v>39326</v>
      </c>
      <c r="B2235" t="n">
        <v>659.7</v>
      </c>
      <c r="C2235" t="n">
        <v>3548.9</v>
      </c>
      <c r="E2235" t="n">
        <v>7401.1</v>
      </c>
    </row>
    <row r="2236">
      <c r="A2236" s="89" t="n">
        <v>39328</v>
      </c>
      <c r="D2236" t="n">
        <v>1412.6</v>
      </c>
    </row>
    <row r="2237">
      <c r="A2237" s="89" t="n">
        <v>39335</v>
      </c>
      <c r="D2237" t="n">
        <v>1382.1</v>
      </c>
    </row>
    <row r="2238">
      <c r="A2238" s="89" t="n">
        <v>39342</v>
      </c>
      <c r="D2238" t="n">
        <v>1373.5</v>
      </c>
    </row>
    <row r="2239">
      <c r="A2239" s="89" t="n">
        <v>39349</v>
      </c>
      <c r="D2239" t="n">
        <v>1365.4</v>
      </c>
    </row>
    <row r="2240">
      <c r="A2240" s="89" t="n">
        <v>39356</v>
      </c>
      <c r="B2240" t="n">
        <v>659.4</v>
      </c>
      <c r="C2240" t="n">
        <v>3544.5</v>
      </c>
      <c r="D2240" t="n">
        <v>1364.1</v>
      </c>
      <c r="E2240" t="n">
        <v>7414.8</v>
      </c>
      <c r="F2240" t="n">
        <v>1.977</v>
      </c>
    </row>
    <row r="2241">
      <c r="A2241" s="89" t="n">
        <v>39363</v>
      </c>
      <c r="D2241" t="n">
        <v>1376.8</v>
      </c>
    </row>
    <row r="2242">
      <c r="A2242" s="89" t="n">
        <v>39370</v>
      </c>
      <c r="D2242" t="n">
        <v>1382.9</v>
      </c>
    </row>
    <row r="2243">
      <c r="A2243" s="89" t="n">
        <v>39377</v>
      </c>
      <c r="D2243" t="n">
        <v>1383.1</v>
      </c>
    </row>
    <row r="2244">
      <c r="A2244" s="89" t="n">
        <v>39384</v>
      </c>
      <c r="D2244" t="n">
        <v>1379.7</v>
      </c>
    </row>
    <row r="2245">
      <c r="A2245" s="89" t="n">
        <v>39387</v>
      </c>
      <c r="B2245" t="n">
        <v>650.7</v>
      </c>
      <c r="C2245" t="n">
        <v>3528.7</v>
      </c>
      <c r="E2245" t="n">
        <v>7439.6</v>
      </c>
    </row>
    <row r="2246">
      <c r="A2246" s="89" t="n">
        <v>39391</v>
      </c>
      <c r="D2246" t="n">
        <v>1369.6</v>
      </c>
    </row>
    <row r="2247">
      <c r="A2247" s="89" t="n">
        <v>39398</v>
      </c>
      <c r="D2247" t="n">
        <v>1367.8</v>
      </c>
    </row>
    <row r="2248">
      <c r="A2248" s="89" t="n">
        <v>39405</v>
      </c>
      <c r="D2248" t="n">
        <v>1367.2</v>
      </c>
    </row>
    <row r="2249">
      <c r="A2249" s="89" t="n">
        <v>39412</v>
      </c>
      <c r="D2249" t="n">
        <v>1374.5</v>
      </c>
    </row>
    <row r="2250">
      <c r="A2250" s="89" t="n">
        <v>39417</v>
      </c>
      <c r="B2250" t="n">
        <v>649.5</v>
      </c>
      <c r="C2250" t="n">
        <v>3532.5</v>
      </c>
      <c r="E2250" t="n">
        <v>7469.4</v>
      </c>
    </row>
    <row r="2251">
      <c r="A2251" s="89" t="n">
        <v>39419</v>
      </c>
      <c r="D2251" t="n">
        <v>1384.8</v>
      </c>
    </row>
    <row r="2252">
      <c r="A2252" s="89" t="n">
        <v>39426</v>
      </c>
      <c r="D2252" t="n">
        <v>1377.6</v>
      </c>
    </row>
    <row r="2253">
      <c r="A2253" s="89" t="n">
        <v>39433</v>
      </c>
      <c r="D2253" t="n">
        <v>1365.1</v>
      </c>
    </row>
    <row r="2254">
      <c r="A2254" s="89" t="n">
        <v>39440</v>
      </c>
      <c r="D2254" t="n">
        <v>1378.1</v>
      </c>
    </row>
    <row r="2255">
      <c r="A2255" s="89" t="n">
        <v>39447</v>
      </c>
      <c r="D2255" t="n">
        <v>1367.9</v>
      </c>
    </row>
    <row r="2256">
      <c r="A2256" s="89" t="n">
        <v>39448</v>
      </c>
      <c r="B2256" t="n">
        <v>649.3</v>
      </c>
      <c r="C2256" t="n">
        <v>3536.3</v>
      </c>
      <c r="E2256" t="n">
        <v>7503.1</v>
      </c>
      <c r="F2256" t="n">
        <v>1.94</v>
      </c>
    </row>
    <row r="2257">
      <c r="A2257" s="89" t="n">
        <v>39454</v>
      </c>
      <c r="D2257" t="n">
        <v>1367.3</v>
      </c>
    </row>
    <row r="2258">
      <c r="A2258" s="89" t="n">
        <v>39461</v>
      </c>
      <c r="D2258" t="n">
        <v>1370.2</v>
      </c>
    </row>
    <row r="2259">
      <c r="A2259" s="89" t="n">
        <v>39468</v>
      </c>
      <c r="D2259" t="n">
        <v>1390</v>
      </c>
    </row>
    <row r="2260">
      <c r="A2260" s="89" t="n">
        <v>39475</v>
      </c>
      <c r="D2260" t="n">
        <v>1379.6</v>
      </c>
    </row>
    <row r="2261">
      <c r="A2261" s="89" t="n">
        <v>39479</v>
      </c>
      <c r="B2261" t="n">
        <v>649</v>
      </c>
      <c r="C2261" t="n">
        <v>3567.5</v>
      </c>
      <c r="E2261" t="n">
        <v>7587.6</v>
      </c>
    </row>
    <row r="2262">
      <c r="A2262" s="89" t="n">
        <v>39482</v>
      </c>
      <c r="D2262" t="n">
        <v>1386.1</v>
      </c>
    </row>
    <row r="2263">
      <c r="A2263" s="89" t="n">
        <v>39489</v>
      </c>
      <c r="D2263" t="n">
        <v>1374.4</v>
      </c>
    </row>
    <row r="2264">
      <c r="A2264" s="89" t="n">
        <v>39496</v>
      </c>
      <c r="D2264" t="n">
        <v>1375</v>
      </c>
    </row>
    <row r="2265">
      <c r="A2265" s="89" t="n">
        <v>39503</v>
      </c>
      <c r="D2265" t="n">
        <v>1376.9</v>
      </c>
    </row>
    <row r="2266">
      <c r="A2266" s="89" t="n">
        <v>39508</v>
      </c>
      <c r="B2266" t="n">
        <v>650.6</v>
      </c>
      <c r="C2266" t="n">
        <v>3585.6</v>
      </c>
      <c r="E2266" t="n">
        <v>7653.3</v>
      </c>
    </row>
    <row r="2267">
      <c r="A2267" s="89" t="n">
        <v>39510</v>
      </c>
      <c r="D2267" t="n">
        <v>1401</v>
      </c>
    </row>
    <row r="2268">
      <c r="A2268" s="89" t="n">
        <v>39517</v>
      </c>
      <c r="D2268" t="n">
        <v>1391.3</v>
      </c>
    </row>
    <row r="2269">
      <c r="A2269" s="89" t="n">
        <v>39524</v>
      </c>
      <c r="D2269" t="n">
        <v>1381.5</v>
      </c>
    </row>
    <row r="2270">
      <c r="A2270" s="89" t="n">
        <v>39531</v>
      </c>
      <c r="D2270" t="n">
        <v>1387.1</v>
      </c>
    </row>
    <row r="2271">
      <c r="A2271" s="89" t="n">
        <v>39538</v>
      </c>
      <c r="D2271" t="n">
        <v>1389.7</v>
      </c>
    </row>
    <row r="2272">
      <c r="A2272" s="89" t="n">
        <v>39539</v>
      </c>
      <c r="B2272" t="n">
        <v>650.4</v>
      </c>
      <c r="C2272" t="n">
        <v>3597.3</v>
      </c>
      <c r="E2272" t="n">
        <v>7696.1</v>
      </c>
      <c r="F2272" t="n">
        <v>1.928</v>
      </c>
    </row>
    <row r="2273">
      <c r="A2273" s="89" t="n">
        <v>39545</v>
      </c>
      <c r="D2273" t="n">
        <v>1374.2</v>
      </c>
    </row>
    <row r="2274">
      <c r="A2274" s="89" t="n">
        <v>39552</v>
      </c>
      <c r="D2274" t="n">
        <v>1389.2</v>
      </c>
    </row>
    <row r="2275">
      <c r="A2275" s="89" t="n">
        <v>39559</v>
      </c>
      <c r="D2275" t="n">
        <v>1403.8</v>
      </c>
    </row>
    <row r="2276">
      <c r="A2276" s="89" t="n">
        <v>39566</v>
      </c>
      <c r="D2276" t="n">
        <v>1397.7</v>
      </c>
    </row>
    <row r="2277">
      <c r="A2277" s="89" t="n">
        <v>39569</v>
      </c>
      <c r="B2277" t="n">
        <v>647.5</v>
      </c>
      <c r="C2277" t="n">
        <v>3581.8</v>
      </c>
      <c r="E2277" t="n">
        <v>7708.3</v>
      </c>
    </row>
    <row r="2278">
      <c r="A2278" s="89" t="n">
        <v>39573</v>
      </c>
      <c r="D2278" t="n">
        <v>1393.5</v>
      </c>
    </row>
    <row r="2279">
      <c r="A2279" s="89" t="n">
        <v>39580</v>
      </c>
      <c r="D2279" t="n">
        <v>1392</v>
      </c>
    </row>
    <row r="2280">
      <c r="A2280" s="89" t="n">
        <v>39587</v>
      </c>
      <c r="D2280" t="n">
        <v>1385.7</v>
      </c>
    </row>
    <row r="2281">
      <c r="A2281" s="89" t="n">
        <v>39594</v>
      </c>
      <c r="D2281" t="n">
        <v>1394</v>
      </c>
    </row>
    <row r="2282">
      <c r="A2282" s="89" t="n">
        <v>39600</v>
      </c>
      <c r="B2282" t="n">
        <v>645.9</v>
      </c>
      <c r="C2282" t="n">
        <v>3552.7</v>
      </c>
      <c r="E2282" t="n">
        <v>7725.8</v>
      </c>
    </row>
    <row r="2283">
      <c r="A2283" s="89" t="n">
        <v>39601</v>
      </c>
      <c r="D2283" t="n">
        <v>1405.2</v>
      </c>
    </row>
    <row r="2284">
      <c r="A2284" s="89" t="n">
        <v>39608</v>
      </c>
      <c r="D2284" t="n">
        <v>1410.9</v>
      </c>
    </row>
    <row r="2285">
      <c r="A2285" s="89" t="n">
        <v>39615</v>
      </c>
      <c r="D2285" t="n">
        <v>1403.7</v>
      </c>
    </row>
    <row r="2286">
      <c r="A2286" s="89" t="n">
        <v>39622</v>
      </c>
      <c r="D2286" t="n">
        <v>1398.9</v>
      </c>
    </row>
    <row r="2287">
      <c r="A2287" s="89" t="n">
        <v>39629</v>
      </c>
      <c r="D2287" t="n">
        <v>1404.6</v>
      </c>
    </row>
    <row r="2288">
      <c r="A2288" s="89" t="n">
        <v>39630</v>
      </c>
      <c r="B2288" t="n">
        <v>648.9</v>
      </c>
      <c r="C2288" t="n">
        <v>3548.6</v>
      </c>
      <c r="E2288" t="n">
        <v>7772.1</v>
      </c>
      <c r="F2288" t="n">
        <v>1.909</v>
      </c>
    </row>
    <row r="2289">
      <c r="A2289" s="89" t="n">
        <v>39636</v>
      </c>
      <c r="D2289" t="n">
        <v>1412.6</v>
      </c>
    </row>
    <row r="2290">
      <c r="A2290" s="89" t="n">
        <v>39643</v>
      </c>
      <c r="D2290" t="n">
        <v>1421.5</v>
      </c>
    </row>
    <row r="2291">
      <c r="A2291" s="89" t="n">
        <v>39650</v>
      </c>
      <c r="D2291" t="n">
        <v>1426.9</v>
      </c>
    </row>
    <row r="2292">
      <c r="A2292" s="89" t="n">
        <v>39657</v>
      </c>
      <c r="D2292" t="n">
        <v>1422.3</v>
      </c>
    </row>
    <row r="2293">
      <c r="A2293" s="89" t="n">
        <v>39661</v>
      </c>
      <c r="B2293" t="n">
        <v>643.6</v>
      </c>
      <c r="C2293" t="n">
        <v>3560.7</v>
      </c>
      <c r="E2293" t="n">
        <v>7787</v>
      </c>
    </row>
    <row r="2294">
      <c r="A2294" s="89" t="n">
        <v>39664</v>
      </c>
      <c r="D2294" t="n">
        <v>1423.5</v>
      </c>
    </row>
    <row r="2295">
      <c r="A2295" s="89" t="n">
        <v>39671</v>
      </c>
      <c r="D2295" t="n">
        <v>1412.7</v>
      </c>
    </row>
    <row r="2296">
      <c r="A2296" s="89" t="n">
        <v>39678</v>
      </c>
      <c r="D2296" t="n">
        <v>1394.4</v>
      </c>
    </row>
    <row r="2297">
      <c r="A2297" s="89" t="n">
        <v>39685</v>
      </c>
      <c r="D2297" t="n">
        <v>1404.9</v>
      </c>
    </row>
    <row r="2298">
      <c r="A2298" s="89" t="n">
        <v>39692</v>
      </c>
      <c r="B2298" t="n">
        <v>668</v>
      </c>
      <c r="C2298" t="n">
        <v>3589.5</v>
      </c>
      <c r="D2298" t="n">
        <v>1408.4</v>
      </c>
      <c r="E2298" t="n">
        <v>7856.5</v>
      </c>
    </row>
    <row r="2299">
      <c r="A2299" s="89" t="n">
        <v>39699</v>
      </c>
      <c r="D2299" t="n">
        <v>1423.9</v>
      </c>
    </row>
    <row r="2300">
      <c r="A2300" s="89" t="n">
        <v>39706</v>
      </c>
      <c r="D2300" t="n">
        <v>1437</v>
      </c>
    </row>
    <row r="2301">
      <c r="A2301" s="89" t="n">
        <v>39713</v>
      </c>
      <c r="D2301" t="n">
        <v>1490.1</v>
      </c>
    </row>
    <row r="2302">
      <c r="A2302" s="89" t="n">
        <v>39720</v>
      </c>
      <c r="D2302" t="n">
        <v>1504.6</v>
      </c>
    </row>
    <row r="2303">
      <c r="A2303" s="89" t="n">
        <v>39722</v>
      </c>
      <c r="B2303" t="n">
        <v>679.2</v>
      </c>
      <c r="C2303" t="n">
        <v>3669.7</v>
      </c>
      <c r="E2303" t="n">
        <v>7963.1</v>
      </c>
      <c r="F2303" t="n">
        <v>1.813</v>
      </c>
    </row>
    <row r="2304">
      <c r="A2304" s="89" t="n">
        <v>39727</v>
      </c>
      <c r="D2304" t="n">
        <v>1461</v>
      </c>
    </row>
    <row r="2305">
      <c r="A2305" s="89" t="n">
        <v>39734</v>
      </c>
      <c r="D2305" t="n">
        <v>1464.9</v>
      </c>
    </row>
    <row r="2306">
      <c r="A2306" s="89" t="n">
        <v>39741</v>
      </c>
      <c r="D2306" t="n">
        <v>1457.4</v>
      </c>
    </row>
    <row r="2307">
      <c r="A2307" s="89" t="n">
        <v>39748</v>
      </c>
      <c r="D2307" t="n">
        <v>1483.7</v>
      </c>
    </row>
    <row r="2308">
      <c r="A2308" s="89" t="n">
        <v>39753</v>
      </c>
      <c r="B2308" t="n">
        <v>710.6</v>
      </c>
      <c r="C2308" t="n">
        <v>3759.5</v>
      </c>
      <c r="E2308" t="n">
        <v>8013.5</v>
      </c>
    </row>
    <row r="2309">
      <c r="A2309" s="89" t="n">
        <v>39755</v>
      </c>
      <c r="D2309" t="n">
        <v>1520</v>
      </c>
    </row>
    <row r="2310">
      <c r="A2310" s="89" t="n">
        <v>39762</v>
      </c>
      <c r="D2310" t="n">
        <v>1505.5</v>
      </c>
    </row>
    <row r="2311">
      <c r="A2311" s="89" t="n">
        <v>39769</v>
      </c>
      <c r="D2311" t="n">
        <v>1506.8</v>
      </c>
    </row>
    <row r="2312">
      <c r="A2312" s="89" t="n">
        <v>39776</v>
      </c>
      <c r="D2312" t="n">
        <v>1518.3</v>
      </c>
    </row>
    <row r="2313">
      <c r="A2313" s="89" t="n">
        <v>39783</v>
      </c>
      <c r="B2313" t="n">
        <v>757.7</v>
      </c>
      <c r="C2313" t="n">
        <v>3874.1</v>
      </c>
      <c r="D2313" t="n">
        <v>1527.2</v>
      </c>
      <c r="E2313" t="n">
        <v>8189.7</v>
      </c>
    </row>
    <row r="2314">
      <c r="A2314" s="89" t="n">
        <v>39790</v>
      </c>
      <c r="D2314" t="n">
        <v>1590</v>
      </c>
    </row>
    <row r="2315">
      <c r="A2315" s="89" t="n">
        <v>39797</v>
      </c>
      <c r="D2315" t="n">
        <v>1612</v>
      </c>
    </row>
    <row r="2316">
      <c r="A2316" s="89" t="n">
        <v>39804</v>
      </c>
      <c r="D2316" t="n">
        <v>1610.2</v>
      </c>
    </row>
    <row r="2317">
      <c r="A2317" s="89" t="n">
        <v>39811</v>
      </c>
      <c r="D2317" t="n">
        <v>1597.3</v>
      </c>
    </row>
    <row r="2318">
      <c r="A2318" s="89" t="n">
        <v>39814</v>
      </c>
      <c r="B2318" t="n">
        <v>746.8</v>
      </c>
      <c r="C2318" t="n">
        <v>3902.7</v>
      </c>
      <c r="E2318" t="n">
        <v>8271.200000000001</v>
      </c>
      <c r="F2318" t="n">
        <v>1.736</v>
      </c>
    </row>
    <row r="2319">
      <c r="A2319" s="89" t="n">
        <v>39818</v>
      </c>
      <c r="D2319" t="n">
        <v>1629.7</v>
      </c>
    </row>
    <row r="2320">
      <c r="A2320" s="89" t="n">
        <v>39825</v>
      </c>
      <c r="D2320" t="n">
        <v>1609.5</v>
      </c>
    </row>
    <row r="2321">
      <c r="A2321" s="89" t="n">
        <v>39832</v>
      </c>
      <c r="D2321" t="n">
        <v>1561.1</v>
      </c>
    </row>
    <row r="2322">
      <c r="A2322" s="89" t="n">
        <v>39839</v>
      </c>
      <c r="D2322" t="n">
        <v>1555.1</v>
      </c>
    </row>
    <row r="2323">
      <c r="A2323" s="89" t="n">
        <v>39845</v>
      </c>
      <c r="B2323" t="n">
        <v>736.8</v>
      </c>
      <c r="C2323" t="n">
        <v>3902.4</v>
      </c>
      <c r="E2323" t="n">
        <v>8300.5</v>
      </c>
    </row>
    <row r="2324">
      <c r="A2324" s="89" t="n">
        <v>39846</v>
      </c>
      <c r="D2324" t="n">
        <v>1567.4</v>
      </c>
    </row>
    <row r="2325">
      <c r="A2325" s="89" t="n">
        <v>39853</v>
      </c>
      <c r="D2325" t="n">
        <v>1575.7</v>
      </c>
    </row>
    <row r="2326">
      <c r="A2326" s="89" t="n">
        <v>39860</v>
      </c>
      <c r="D2326" t="n">
        <v>1565</v>
      </c>
    </row>
    <row r="2327">
      <c r="A2327" s="89" t="n">
        <v>39867</v>
      </c>
      <c r="D2327" t="n">
        <v>1558.9</v>
      </c>
    </row>
    <row r="2328">
      <c r="A2328" s="89" t="n">
        <v>39873</v>
      </c>
      <c r="B2328" t="n">
        <v>743</v>
      </c>
      <c r="C2328" t="n">
        <v>3937.3</v>
      </c>
      <c r="E2328" t="n">
        <v>8366.5</v>
      </c>
    </row>
    <row r="2329">
      <c r="A2329" s="89" t="n">
        <v>39874</v>
      </c>
      <c r="D2329" t="n">
        <v>1570.1</v>
      </c>
    </row>
    <row r="2330">
      <c r="A2330" s="89" t="n">
        <v>39881</v>
      </c>
      <c r="D2330" t="n">
        <v>1583.8</v>
      </c>
    </row>
    <row r="2331">
      <c r="A2331" s="89" t="n">
        <v>39888</v>
      </c>
      <c r="D2331" t="n">
        <v>1575.7</v>
      </c>
    </row>
    <row r="2332">
      <c r="A2332" s="89" t="n">
        <v>39895</v>
      </c>
      <c r="D2332" t="n">
        <v>1575.1</v>
      </c>
    </row>
    <row r="2333">
      <c r="A2333" s="89" t="n">
        <v>39902</v>
      </c>
      <c r="D2333" t="n">
        <v>1572.3</v>
      </c>
    </row>
    <row r="2334">
      <c r="A2334" s="89" t="n">
        <v>39904</v>
      </c>
      <c r="B2334" t="n">
        <v>757.7</v>
      </c>
      <c r="C2334" t="n">
        <v>3934.9</v>
      </c>
      <c r="E2334" t="n">
        <v>8369.9</v>
      </c>
      <c r="F2334" t="n">
        <v>1.71</v>
      </c>
    </row>
    <row r="2335">
      <c r="A2335" s="89" t="n">
        <v>39909</v>
      </c>
      <c r="D2335" t="n">
        <v>1655.6</v>
      </c>
    </row>
    <row r="2336">
      <c r="A2336" s="89" t="n">
        <v>39916</v>
      </c>
      <c r="D2336" t="n">
        <v>1604.1</v>
      </c>
    </row>
    <row r="2337">
      <c r="A2337" s="89" t="n">
        <v>39923</v>
      </c>
      <c r="D2337" t="n">
        <v>1595.4</v>
      </c>
    </row>
    <row r="2338">
      <c r="A2338" s="89" t="n">
        <v>39930</v>
      </c>
      <c r="D2338" t="n">
        <v>1598</v>
      </c>
    </row>
    <row r="2339">
      <c r="A2339" s="89" t="n">
        <v>39934</v>
      </c>
      <c r="B2339" t="n">
        <v>759.3</v>
      </c>
      <c r="C2339" t="n">
        <v>3956.2</v>
      </c>
      <c r="E2339" t="n">
        <v>8427.6</v>
      </c>
    </row>
    <row r="2340">
      <c r="A2340" s="89" t="n">
        <v>39937</v>
      </c>
      <c r="D2340" t="n">
        <v>1611.3</v>
      </c>
    </row>
    <row r="2341">
      <c r="A2341" s="89" t="n">
        <v>39944</v>
      </c>
      <c r="D2341" t="n">
        <v>1617.5</v>
      </c>
    </row>
    <row r="2342">
      <c r="A2342" s="89" t="n">
        <v>39951</v>
      </c>
      <c r="D2342" t="n">
        <v>1617.1</v>
      </c>
    </row>
    <row r="2343">
      <c r="A2343" s="89" t="n">
        <v>39958</v>
      </c>
      <c r="D2343" t="n">
        <v>1623.4</v>
      </c>
    </row>
    <row r="2344">
      <c r="A2344" s="89" t="n">
        <v>39965</v>
      </c>
      <c r="B2344" t="n">
        <v>772.3</v>
      </c>
      <c r="C2344" t="n">
        <v>3928.1</v>
      </c>
      <c r="D2344" t="n">
        <v>1615.5</v>
      </c>
      <c r="E2344" t="n">
        <v>8437.200000000001</v>
      </c>
    </row>
    <row r="2345">
      <c r="A2345" s="89" t="n">
        <v>39972</v>
      </c>
      <c r="D2345" t="n">
        <v>1650.5</v>
      </c>
    </row>
    <row r="2346">
      <c r="A2346" s="89" t="n">
        <v>39979</v>
      </c>
      <c r="D2346" t="n">
        <v>1659.5</v>
      </c>
    </row>
    <row r="2347">
      <c r="A2347" s="89" t="n">
        <v>39986</v>
      </c>
      <c r="D2347" t="n">
        <v>1671.6</v>
      </c>
    </row>
    <row r="2348">
      <c r="A2348" s="89" t="n">
        <v>39993</v>
      </c>
      <c r="D2348" t="n">
        <v>1660.7</v>
      </c>
    </row>
    <row r="2349">
      <c r="A2349" s="89" t="n">
        <v>39995</v>
      </c>
      <c r="B2349" t="n">
        <v>774.2</v>
      </c>
      <c r="C2349" t="n">
        <v>3931.5</v>
      </c>
      <c r="E2349" t="n">
        <v>8442</v>
      </c>
      <c r="F2349" t="n">
        <v>1.712</v>
      </c>
    </row>
    <row r="2350">
      <c r="A2350" s="89" t="n">
        <v>40000</v>
      </c>
      <c r="D2350" t="n">
        <v>1653.2</v>
      </c>
    </row>
    <row r="2351">
      <c r="A2351" s="89" t="n">
        <v>40007</v>
      </c>
      <c r="D2351" t="n">
        <v>1663.9</v>
      </c>
    </row>
    <row r="2352">
      <c r="A2352" s="89" t="n">
        <v>40014</v>
      </c>
      <c r="D2352" t="n">
        <v>1662.6</v>
      </c>
    </row>
    <row r="2353">
      <c r="A2353" s="89" t="n">
        <v>40021</v>
      </c>
      <c r="D2353" t="n">
        <v>1659.2</v>
      </c>
    </row>
    <row r="2354">
      <c r="A2354" s="89" t="n">
        <v>40026</v>
      </c>
      <c r="B2354" t="n">
        <v>770.5</v>
      </c>
      <c r="C2354" t="n">
        <v>3918.3</v>
      </c>
      <c r="E2354" t="n">
        <v>8441.799999999999</v>
      </c>
    </row>
    <row r="2355">
      <c r="A2355" s="89" t="n">
        <v>40028</v>
      </c>
      <c r="D2355" t="n">
        <v>1679.3</v>
      </c>
    </row>
    <row r="2356">
      <c r="A2356" s="89" t="n">
        <v>40035</v>
      </c>
      <c r="D2356" t="n">
        <v>1669.5</v>
      </c>
    </row>
    <row r="2357">
      <c r="A2357" s="89" t="n">
        <v>40042</v>
      </c>
      <c r="D2357" t="n">
        <v>1668.9</v>
      </c>
    </row>
    <row r="2358">
      <c r="A2358" s="89" t="n">
        <v>40049</v>
      </c>
      <c r="D2358" t="n">
        <v>1649.2</v>
      </c>
    </row>
    <row r="2359">
      <c r="A2359" s="89" t="n">
        <v>40056</v>
      </c>
      <c r="D2359" t="n">
        <v>1644.2</v>
      </c>
    </row>
    <row r="2360">
      <c r="A2360" s="89" t="n">
        <v>40057</v>
      </c>
      <c r="B2360" t="n">
        <v>771.3</v>
      </c>
      <c r="C2360" t="n">
        <v>3910.4</v>
      </c>
      <c r="E2360" t="n">
        <v>8441.1</v>
      </c>
    </row>
    <row r="2361">
      <c r="A2361" s="89" t="n">
        <v>40063</v>
      </c>
      <c r="D2361" t="n">
        <v>1660.5</v>
      </c>
    </row>
    <row r="2362">
      <c r="A2362" s="89" t="n">
        <v>40070</v>
      </c>
      <c r="D2362" t="n">
        <v>1674.9</v>
      </c>
    </row>
    <row r="2363">
      <c r="A2363" s="89" t="n">
        <v>40077</v>
      </c>
      <c r="D2363" t="n">
        <v>1662.9</v>
      </c>
    </row>
    <row r="2364">
      <c r="A2364" s="89" t="n">
        <v>40084</v>
      </c>
      <c r="D2364" t="n">
        <v>1662.1</v>
      </c>
    </row>
    <row r="2365">
      <c r="A2365" s="89" t="n">
        <v>40087</v>
      </c>
      <c r="B2365" t="n">
        <v>774.9</v>
      </c>
      <c r="C2365" t="n">
        <v>3911.2</v>
      </c>
      <c r="E2365" t="n">
        <v>8468.1</v>
      </c>
      <c r="F2365" t="n">
        <v>1.726</v>
      </c>
    </row>
    <row r="2366">
      <c r="A2366" s="89" t="n">
        <v>40091</v>
      </c>
      <c r="D2366" t="n">
        <v>1662.2</v>
      </c>
    </row>
    <row r="2367">
      <c r="A2367" s="89" t="n">
        <v>40098</v>
      </c>
      <c r="D2367" t="n">
        <v>1674.6</v>
      </c>
    </row>
    <row r="2368">
      <c r="A2368" s="89" t="n">
        <v>40105</v>
      </c>
      <c r="D2368" t="n">
        <v>1680.9</v>
      </c>
    </row>
    <row r="2369">
      <c r="A2369" s="89" t="n">
        <v>40112</v>
      </c>
      <c r="D2369" t="n">
        <v>1685.4</v>
      </c>
    </row>
    <row r="2370">
      <c r="A2370" s="89" t="n">
        <v>40118</v>
      </c>
      <c r="B2370" t="n">
        <v>774.7</v>
      </c>
      <c r="C2370" t="n">
        <v>3912</v>
      </c>
      <c r="E2370" t="n">
        <v>8498.200000000001</v>
      </c>
    </row>
    <row r="2371">
      <c r="A2371" s="89" t="n">
        <v>40119</v>
      </c>
      <c r="D2371" t="n">
        <v>1682.6</v>
      </c>
    </row>
    <row r="2372">
      <c r="A2372" s="89" t="n">
        <v>40126</v>
      </c>
      <c r="D2372" t="n">
        <v>1680.4</v>
      </c>
    </row>
    <row r="2373">
      <c r="A2373" s="89" t="n">
        <v>40133</v>
      </c>
      <c r="D2373" t="n">
        <v>1680.8</v>
      </c>
    </row>
    <row r="2374">
      <c r="A2374" s="89" t="n">
        <v>40140</v>
      </c>
      <c r="D2374" t="n">
        <v>1683</v>
      </c>
    </row>
    <row r="2375">
      <c r="A2375" s="89" t="n">
        <v>40147</v>
      </c>
      <c r="D2375" t="n">
        <v>1688.2</v>
      </c>
    </row>
    <row r="2376">
      <c r="A2376" s="89" t="n">
        <v>40148</v>
      </c>
      <c r="B2376" t="n">
        <v>778.8</v>
      </c>
      <c r="C2376" t="n">
        <v>3907.6</v>
      </c>
      <c r="E2376" t="n">
        <v>8493.1</v>
      </c>
    </row>
    <row r="2377">
      <c r="A2377" s="89" t="n">
        <v>40154</v>
      </c>
      <c r="D2377" t="n">
        <v>1684.8</v>
      </c>
    </row>
    <row r="2378">
      <c r="A2378" s="89" t="n">
        <v>40161</v>
      </c>
      <c r="D2378" t="n">
        <v>1691.1</v>
      </c>
    </row>
    <row r="2379">
      <c r="A2379" s="89" t="n">
        <v>40168</v>
      </c>
      <c r="D2379" t="n">
        <v>1698.6</v>
      </c>
    </row>
    <row r="2380">
      <c r="A2380" s="89" t="n">
        <v>40175</v>
      </c>
      <c r="D2380" t="n">
        <v>1690.1</v>
      </c>
    </row>
    <row r="2381">
      <c r="A2381" s="89" t="n">
        <v>40179</v>
      </c>
      <c r="B2381" t="n">
        <v>770</v>
      </c>
      <c r="C2381" t="n">
        <v>3887.8</v>
      </c>
      <c r="E2381" t="n">
        <v>8455.4</v>
      </c>
      <c r="F2381" t="n">
        <v>1.74</v>
      </c>
    </row>
    <row r="2382">
      <c r="A2382" s="89" t="n">
        <v>40182</v>
      </c>
      <c r="D2382" t="n">
        <v>1708.6</v>
      </c>
    </row>
    <row r="2383">
      <c r="A2383" s="89" t="n">
        <v>40189</v>
      </c>
      <c r="D2383" t="n">
        <v>1665.4</v>
      </c>
    </row>
    <row r="2384">
      <c r="A2384" s="89" t="n">
        <v>40196</v>
      </c>
      <c r="D2384" t="n">
        <v>1669.7</v>
      </c>
    </row>
    <row r="2385">
      <c r="A2385" s="89" t="n">
        <v>40203</v>
      </c>
      <c r="D2385" t="n">
        <v>1672.6</v>
      </c>
    </row>
    <row r="2386">
      <c r="A2386" s="89" t="n">
        <v>40210</v>
      </c>
      <c r="B2386" t="n">
        <v>782.3</v>
      </c>
      <c r="C2386" t="n">
        <v>3914.3</v>
      </c>
      <c r="D2386" t="n">
        <v>1670.9</v>
      </c>
      <c r="E2386" t="n">
        <v>8505.1</v>
      </c>
    </row>
    <row r="2387">
      <c r="A2387" s="89" t="n">
        <v>40217</v>
      </c>
      <c r="D2387" t="n">
        <v>1688.6</v>
      </c>
    </row>
    <row r="2388">
      <c r="A2388" s="89" t="n">
        <v>40224</v>
      </c>
      <c r="D2388" t="n">
        <v>1717.2</v>
      </c>
    </row>
    <row r="2389">
      <c r="A2389" s="89" t="n">
        <v>40231</v>
      </c>
      <c r="D2389" t="n">
        <v>1702.1</v>
      </c>
    </row>
    <row r="2390">
      <c r="A2390" s="89" t="n">
        <v>40238</v>
      </c>
      <c r="B2390" t="n">
        <v>787.6</v>
      </c>
      <c r="C2390" t="n">
        <v>3911.7</v>
      </c>
      <c r="D2390" t="n">
        <v>1694.9</v>
      </c>
      <c r="E2390" t="n">
        <v>8502.200000000001</v>
      </c>
    </row>
    <row r="2391">
      <c r="A2391" s="89" t="n">
        <v>40245</v>
      </c>
      <c r="D2391" t="n">
        <v>1704.2</v>
      </c>
    </row>
    <row r="2392">
      <c r="A2392" s="89" t="n">
        <v>40252</v>
      </c>
      <c r="D2392" t="n">
        <v>1722.9</v>
      </c>
    </row>
    <row r="2393">
      <c r="A2393" s="89" t="n">
        <v>40259</v>
      </c>
      <c r="D2393" t="n">
        <v>1722.2</v>
      </c>
    </row>
    <row r="2394">
      <c r="A2394" s="89" t="n">
        <v>40266</v>
      </c>
      <c r="D2394" t="n">
        <v>1708.3</v>
      </c>
    </row>
    <row r="2395">
      <c r="A2395" s="89" t="n">
        <v>40269</v>
      </c>
      <c r="B2395" t="n">
        <v>781.5</v>
      </c>
      <c r="C2395" t="n">
        <v>3924.9</v>
      </c>
      <c r="E2395" t="n">
        <v>8532.799999999999</v>
      </c>
      <c r="F2395" t="n">
        <v>1.747</v>
      </c>
    </row>
    <row r="2396">
      <c r="A2396" s="89" t="n">
        <v>40273</v>
      </c>
      <c r="D2396" t="n">
        <v>1686</v>
      </c>
    </row>
    <row r="2397">
      <c r="A2397" s="89" t="n">
        <v>40280</v>
      </c>
      <c r="D2397" t="n">
        <v>1697.7</v>
      </c>
    </row>
    <row r="2398">
      <c r="A2398" s="89" t="n">
        <v>40287</v>
      </c>
      <c r="D2398" t="n">
        <v>1699.4</v>
      </c>
    </row>
    <row r="2399">
      <c r="A2399" s="89" t="n">
        <v>40294</v>
      </c>
      <c r="D2399" t="n">
        <v>1692.3</v>
      </c>
    </row>
    <row r="2400">
      <c r="A2400" s="89" t="n">
        <v>40299</v>
      </c>
      <c r="B2400" t="n">
        <v>787</v>
      </c>
      <c r="C2400" t="n">
        <v>3952.2</v>
      </c>
      <c r="E2400" t="n">
        <v>8587.700000000001</v>
      </c>
    </row>
    <row r="2401">
      <c r="A2401" s="89" t="n">
        <v>40301</v>
      </c>
      <c r="D2401" t="n">
        <v>1728.3</v>
      </c>
    </row>
    <row r="2402">
      <c r="A2402" s="89" t="n">
        <v>40308</v>
      </c>
      <c r="D2402" t="n">
        <v>1710.7</v>
      </c>
    </row>
    <row r="2403">
      <c r="A2403" s="89" t="n">
        <v>40315</v>
      </c>
      <c r="D2403" t="n">
        <v>1702.8</v>
      </c>
    </row>
    <row r="2404">
      <c r="A2404" s="89" t="n">
        <v>40322</v>
      </c>
      <c r="D2404" t="n">
        <v>1707.5</v>
      </c>
    </row>
    <row r="2405">
      <c r="A2405" s="89" t="n">
        <v>40329</v>
      </c>
      <c r="D2405" t="n">
        <v>1711.5</v>
      </c>
    </row>
    <row r="2406">
      <c r="A2406" s="89" t="n">
        <v>40330</v>
      </c>
      <c r="B2406" t="n">
        <v>797.2</v>
      </c>
      <c r="C2406" t="n">
        <v>3962.6</v>
      </c>
      <c r="E2406" t="n">
        <v>8606.700000000001</v>
      </c>
    </row>
    <row r="2407">
      <c r="A2407" s="89" t="n">
        <v>40336</v>
      </c>
      <c r="D2407" t="n">
        <v>1717.9</v>
      </c>
    </row>
    <row r="2408">
      <c r="A2408" s="89" t="n">
        <v>40343</v>
      </c>
      <c r="D2408" t="n">
        <v>1722.3</v>
      </c>
    </row>
    <row r="2409">
      <c r="A2409" s="89" t="n">
        <v>40350</v>
      </c>
      <c r="D2409" t="n">
        <v>1741.3</v>
      </c>
    </row>
    <row r="2410">
      <c r="A2410" s="89" t="n">
        <v>40357</v>
      </c>
      <c r="D2410" t="n">
        <v>1748.3</v>
      </c>
    </row>
    <row r="2411">
      <c r="A2411" s="89" t="n">
        <v>40360</v>
      </c>
      <c r="B2411" t="n">
        <v>792.3</v>
      </c>
      <c r="C2411" t="n">
        <v>3959.6</v>
      </c>
      <c r="E2411" t="n">
        <v>8616.299999999999</v>
      </c>
      <c r="F2411" t="n">
        <v>1.748</v>
      </c>
    </row>
    <row r="2412">
      <c r="A2412" s="89" t="n">
        <v>40364</v>
      </c>
      <c r="D2412" t="n">
        <v>1719.3</v>
      </c>
    </row>
    <row r="2413">
      <c r="A2413" s="89" t="n">
        <v>40371</v>
      </c>
      <c r="D2413" t="n">
        <v>1722.3</v>
      </c>
    </row>
    <row r="2414">
      <c r="A2414" s="89" t="n">
        <v>40378</v>
      </c>
      <c r="D2414" t="n">
        <v>1718.8</v>
      </c>
    </row>
    <row r="2415">
      <c r="A2415" s="89" t="n">
        <v>40385</v>
      </c>
      <c r="D2415" t="n">
        <v>1730.6</v>
      </c>
    </row>
    <row r="2416">
      <c r="A2416" s="89" t="n">
        <v>40391</v>
      </c>
      <c r="B2416" t="n">
        <v>802.4</v>
      </c>
      <c r="C2416" t="n">
        <v>3977</v>
      </c>
      <c r="E2416" t="n">
        <v>8666.700000000001</v>
      </c>
    </row>
    <row r="2417">
      <c r="A2417" s="89" t="n">
        <v>40392</v>
      </c>
      <c r="D2417" t="n">
        <v>1729.2</v>
      </c>
    </row>
    <row r="2418">
      <c r="A2418" s="89" t="n">
        <v>40399</v>
      </c>
      <c r="D2418" t="n">
        <v>1743.4</v>
      </c>
    </row>
    <row r="2419">
      <c r="A2419" s="89" t="n">
        <v>40406</v>
      </c>
      <c r="D2419" t="n">
        <v>1742.1</v>
      </c>
    </row>
    <row r="2420">
      <c r="A2420" s="89" t="n">
        <v>40413</v>
      </c>
      <c r="D2420" t="n">
        <v>1757.4</v>
      </c>
    </row>
    <row r="2421">
      <c r="A2421" s="89" t="n">
        <v>40420</v>
      </c>
      <c r="D2421" t="n">
        <v>1757.3</v>
      </c>
    </row>
    <row r="2422">
      <c r="A2422" s="89" t="n">
        <v>40422</v>
      </c>
      <c r="B2422" t="n">
        <v>809.2</v>
      </c>
      <c r="C2422" t="n">
        <v>3984.8</v>
      </c>
      <c r="E2422" t="n">
        <v>8697.799999999999</v>
      </c>
    </row>
    <row r="2423">
      <c r="A2423" s="89" t="n">
        <v>40427</v>
      </c>
      <c r="D2423" t="n">
        <v>1749.5</v>
      </c>
    </row>
    <row r="2424">
      <c r="A2424" s="89" t="n">
        <v>40434</v>
      </c>
      <c r="D2424" t="n">
        <v>1768.6</v>
      </c>
    </row>
    <row r="2425">
      <c r="A2425" s="89" t="n">
        <v>40441</v>
      </c>
      <c r="D2425" t="n">
        <v>1769.6</v>
      </c>
    </row>
    <row r="2426">
      <c r="A2426" s="89" t="n">
        <v>40448</v>
      </c>
      <c r="D2426" t="n">
        <v>1770.2</v>
      </c>
    </row>
    <row r="2427">
      <c r="A2427" s="89" t="n">
        <v>40452</v>
      </c>
      <c r="B2427" t="n">
        <v>812.8</v>
      </c>
      <c r="C2427" t="n">
        <v>3993.4</v>
      </c>
      <c r="E2427" t="n">
        <v>8746.9</v>
      </c>
      <c r="F2427" t="n">
        <v>1.745</v>
      </c>
    </row>
    <row r="2428">
      <c r="A2428" s="89" t="n">
        <v>40455</v>
      </c>
      <c r="D2428" t="n">
        <v>1776.2</v>
      </c>
    </row>
    <row r="2429">
      <c r="A2429" s="89" t="n">
        <v>40462</v>
      </c>
      <c r="D2429" t="n">
        <v>1789.5</v>
      </c>
    </row>
    <row r="2430">
      <c r="A2430" s="89" t="n">
        <v>40469</v>
      </c>
      <c r="D2430" t="n">
        <v>1776.5</v>
      </c>
    </row>
    <row r="2431">
      <c r="A2431" s="89" t="n">
        <v>40476</v>
      </c>
      <c r="D2431" t="n">
        <v>1789.5</v>
      </c>
    </row>
    <row r="2432">
      <c r="A2432" s="89" t="n">
        <v>40483</v>
      </c>
      <c r="B2432" t="n">
        <v>832.6</v>
      </c>
      <c r="C2432" t="n">
        <v>3992.8</v>
      </c>
      <c r="D2432" t="n">
        <v>1766.4</v>
      </c>
      <c r="E2432" t="n">
        <v>8767.700000000001</v>
      </c>
    </row>
    <row r="2433">
      <c r="A2433" s="89" t="n">
        <v>40490</v>
      </c>
      <c r="D2433" t="n">
        <v>1867.7</v>
      </c>
    </row>
    <row r="2434">
      <c r="A2434" s="89" t="n">
        <v>40497</v>
      </c>
      <c r="D2434" t="n">
        <v>1802</v>
      </c>
    </row>
    <row r="2435">
      <c r="A2435" s="89" t="n">
        <v>40504</v>
      </c>
      <c r="D2435" t="n">
        <v>1819</v>
      </c>
    </row>
    <row r="2436">
      <c r="A2436" s="89" t="n">
        <v>40511</v>
      </c>
      <c r="D2436" t="n">
        <v>1836.1</v>
      </c>
    </row>
    <row r="2437">
      <c r="A2437" s="89" t="n">
        <v>40513</v>
      </c>
      <c r="B2437" t="n">
        <v>833.1</v>
      </c>
      <c r="C2437" t="n">
        <v>3991.2</v>
      </c>
      <c r="E2437" t="n">
        <v>8799.4</v>
      </c>
    </row>
    <row r="2438">
      <c r="A2438" s="89" t="n">
        <v>40518</v>
      </c>
      <c r="D2438" t="n">
        <v>1812.3</v>
      </c>
    </row>
    <row r="2439">
      <c r="A2439" s="89" t="n">
        <v>40525</v>
      </c>
      <c r="D2439" t="n">
        <v>1829</v>
      </c>
    </row>
    <row r="2440">
      <c r="A2440" s="89" t="n">
        <v>40532</v>
      </c>
      <c r="D2440" t="n">
        <v>1840.8</v>
      </c>
    </row>
    <row r="2441">
      <c r="A2441" s="89" t="n">
        <v>40539</v>
      </c>
      <c r="D2441" t="n">
        <v>1853.6</v>
      </c>
    </row>
    <row r="2442">
      <c r="A2442" s="89" t="n">
        <v>40544</v>
      </c>
      <c r="B2442" t="n">
        <v>834.7</v>
      </c>
      <c r="C2442" t="n">
        <v>3987.8</v>
      </c>
      <c r="E2442" t="n">
        <v>8820.4</v>
      </c>
      <c r="F2442" t="n">
        <v>1.728</v>
      </c>
    </row>
    <row r="2443">
      <c r="A2443" s="89" t="n">
        <v>40546</v>
      </c>
      <c r="D2443" t="n">
        <v>1849.9</v>
      </c>
    </row>
    <row r="2444">
      <c r="A2444" s="89" t="n">
        <v>40553</v>
      </c>
      <c r="D2444" t="n">
        <v>1834.5</v>
      </c>
    </row>
    <row r="2445">
      <c r="A2445" s="89" t="n">
        <v>40560</v>
      </c>
      <c r="D2445" t="n">
        <v>1858.3</v>
      </c>
    </row>
    <row r="2446">
      <c r="A2446" s="89" t="n">
        <v>40567</v>
      </c>
      <c r="D2446" t="n">
        <v>1854.1</v>
      </c>
    </row>
    <row r="2447">
      <c r="A2447" s="89" t="n">
        <v>40574</v>
      </c>
      <c r="D2447" t="n">
        <v>1868.8</v>
      </c>
    </row>
    <row r="2448">
      <c r="A2448" s="89" t="n">
        <v>40575</v>
      </c>
      <c r="B2448" t="n">
        <v>842.8</v>
      </c>
      <c r="C2448" t="n">
        <v>4003.7</v>
      </c>
      <c r="E2448" t="n">
        <v>8884.200000000001</v>
      </c>
    </row>
    <row r="2449">
      <c r="A2449" s="89" t="n">
        <v>40581</v>
      </c>
      <c r="D2449" t="n">
        <v>1850.4</v>
      </c>
    </row>
    <row r="2450">
      <c r="A2450" s="89" t="n">
        <v>40588</v>
      </c>
      <c r="D2450" t="n">
        <v>1859.1</v>
      </c>
    </row>
    <row r="2451">
      <c r="A2451" s="89" t="n">
        <v>40595</v>
      </c>
      <c r="D2451" t="n">
        <v>1885.8</v>
      </c>
    </row>
    <row r="2452">
      <c r="A2452" s="89" t="n">
        <v>40602</v>
      </c>
      <c r="D2452" t="n">
        <v>1895.2</v>
      </c>
    </row>
    <row r="2453">
      <c r="A2453" s="89" t="n">
        <v>40603</v>
      </c>
      <c r="B2453" t="n">
        <v>850.3</v>
      </c>
      <c r="C2453" t="n">
        <v>4008.4</v>
      </c>
      <c r="E2453" t="n">
        <v>8940.6</v>
      </c>
    </row>
    <row r="2454">
      <c r="A2454" s="89" t="n">
        <v>40609</v>
      </c>
      <c r="D2454" t="n">
        <v>1875.6</v>
      </c>
    </row>
    <row r="2455">
      <c r="A2455" s="89" t="n">
        <v>40616</v>
      </c>
      <c r="D2455" t="n">
        <v>1889.6</v>
      </c>
    </row>
    <row r="2456">
      <c r="A2456" s="89" t="n">
        <v>40623</v>
      </c>
      <c r="D2456" t="n">
        <v>1901.2</v>
      </c>
    </row>
    <row r="2457">
      <c r="A2457" s="89" t="n">
        <v>40630</v>
      </c>
      <c r="D2457" t="n">
        <v>1897.1</v>
      </c>
    </row>
    <row r="2458">
      <c r="A2458" s="89" t="n">
        <v>40634</v>
      </c>
      <c r="B2458" t="n">
        <v>846.5</v>
      </c>
      <c r="C2458" t="n">
        <v>4017.1</v>
      </c>
      <c r="E2458" t="n">
        <v>9002.1</v>
      </c>
      <c r="F2458" t="n">
        <v>1.714</v>
      </c>
    </row>
    <row r="2459">
      <c r="A2459" s="89" t="n">
        <v>40637</v>
      </c>
      <c r="D2459" t="n">
        <v>1895.4</v>
      </c>
    </row>
    <row r="2460">
      <c r="A2460" s="89" t="n">
        <v>40644</v>
      </c>
      <c r="D2460" t="n">
        <v>1896.4</v>
      </c>
    </row>
    <row r="2461">
      <c r="A2461" s="89" t="n">
        <v>40651</v>
      </c>
      <c r="D2461" t="n">
        <v>1892.8</v>
      </c>
    </row>
    <row r="2462">
      <c r="A2462" s="89" t="n">
        <v>40658</v>
      </c>
      <c r="D2462" t="n">
        <v>1902.2</v>
      </c>
    </row>
    <row r="2463">
      <c r="A2463" s="89" t="n">
        <v>40664</v>
      </c>
      <c r="B2463" t="n">
        <v>863.7</v>
      </c>
      <c r="C2463" t="n">
        <v>4035.8</v>
      </c>
      <c r="E2463" t="n">
        <v>9072.700000000001</v>
      </c>
    </row>
    <row r="2464">
      <c r="A2464" s="89" t="n">
        <v>40665</v>
      </c>
      <c r="D2464" t="n">
        <v>1920.6</v>
      </c>
    </row>
    <row r="2465">
      <c r="A2465" s="89" t="n">
        <v>40672</v>
      </c>
      <c r="D2465" t="n">
        <v>1928.1</v>
      </c>
    </row>
    <row r="2466">
      <c r="A2466" s="89" t="n">
        <v>40679</v>
      </c>
      <c r="D2466" t="n">
        <v>1930.7</v>
      </c>
    </row>
    <row r="2467">
      <c r="A2467" s="89" t="n">
        <v>40686</v>
      </c>
      <c r="D2467" t="n">
        <v>1942.2</v>
      </c>
    </row>
    <row r="2468">
      <c r="A2468" s="89" t="n">
        <v>40693</v>
      </c>
      <c r="D2468" t="n">
        <v>1956.5</v>
      </c>
    </row>
    <row r="2469">
      <c r="A2469" s="89" t="n">
        <v>40695</v>
      </c>
      <c r="B2469" t="n">
        <v>873.4</v>
      </c>
      <c r="C2469" t="n">
        <v>4069.5</v>
      </c>
      <c r="E2469" t="n">
        <v>9148.4</v>
      </c>
    </row>
    <row r="2470">
      <c r="A2470" s="89" t="n">
        <v>40700</v>
      </c>
      <c r="D2470" t="n">
        <v>1936</v>
      </c>
    </row>
    <row r="2471">
      <c r="A2471" s="89" t="n">
        <v>40707</v>
      </c>
      <c r="D2471" t="n">
        <v>1951.5</v>
      </c>
    </row>
    <row r="2472">
      <c r="A2472" s="89" t="n">
        <v>40714</v>
      </c>
      <c r="D2472" t="n">
        <v>1961.5</v>
      </c>
    </row>
    <row r="2473">
      <c r="A2473" s="89" t="n">
        <v>40721</v>
      </c>
      <c r="D2473" t="n">
        <v>1959.4</v>
      </c>
    </row>
    <row r="2474">
      <c r="A2474" s="89" t="n">
        <v>40725</v>
      </c>
      <c r="B2474" t="n">
        <v>885.6</v>
      </c>
      <c r="C2474" t="n">
        <v>4132.2</v>
      </c>
      <c r="E2474" t="n">
        <v>9313.799999999999</v>
      </c>
      <c r="F2474" t="n">
        <v>1.656</v>
      </c>
    </row>
    <row r="2475">
      <c r="A2475" s="89" t="n">
        <v>40728</v>
      </c>
      <c r="D2475" t="n">
        <v>1985.7</v>
      </c>
    </row>
    <row r="2476">
      <c r="A2476" s="89" t="n">
        <v>40735</v>
      </c>
      <c r="D2476" t="n">
        <v>1983.7</v>
      </c>
    </row>
    <row r="2477">
      <c r="A2477" s="89" t="n">
        <v>40742</v>
      </c>
      <c r="D2477" t="n">
        <v>1975.8</v>
      </c>
    </row>
    <row r="2478">
      <c r="A2478" s="89" t="n">
        <v>40749</v>
      </c>
      <c r="D2478" t="n">
        <v>2001.2</v>
      </c>
    </row>
    <row r="2479">
      <c r="A2479" s="89" t="n">
        <v>40756</v>
      </c>
      <c r="B2479" t="n">
        <v>935.6</v>
      </c>
      <c r="C2479" t="n">
        <v>4203.8</v>
      </c>
      <c r="D2479" t="n">
        <v>2063.5</v>
      </c>
      <c r="E2479" t="n">
        <v>9505</v>
      </c>
    </row>
    <row r="2480">
      <c r="A2480" s="89" t="n">
        <v>40763</v>
      </c>
      <c r="D2480" t="n">
        <v>2094.4</v>
      </c>
    </row>
    <row r="2481">
      <c r="A2481" s="89" t="n">
        <v>40770</v>
      </c>
      <c r="D2481" t="n">
        <v>2109.1</v>
      </c>
    </row>
    <row r="2482">
      <c r="A2482" s="89" t="n">
        <v>40777</v>
      </c>
      <c r="D2482" t="n">
        <v>2136</v>
      </c>
    </row>
    <row r="2483">
      <c r="A2483" s="89" t="n">
        <v>40784</v>
      </c>
      <c r="D2483" t="n">
        <v>2122.4</v>
      </c>
    </row>
    <row r="2484">
      <c r="A2484" s="89" t="n">
        <v>40787</v>
      </c>
      <c r="B2484" t="n">
        <v>935.6</v>
      </c>
      <c r="C2484" t="n">
        <v>4203.9</v>
      </c>
      <c r="E2484" t="n">
        <v>9525.799999999999</v>
      </c>
    </row>
    <row r="2485">
      <c r="A2485" s="89" t="n">
        <v>40791</v>
      </c>
      <c r="D2485" t="n">
        <v>2110.1</v>
      </c>
    </row>
    <row r="2486">
      <c r="A2486" s="89" t="n">
        <v>40798</v>
      </c>
      <c r="D2486" t="n">
        <v>2118.7</v>
      </c>
    </row>
    <row r="2487">
      <c r="A2487" s="89" t="n">
        <v>40805</v>
      </c>
      <c r="D2487" t="n">
        <v>2120.9</v>
      </c>
    </row>
    <row r="2488">
      <c r="A2488" s="89" t="n">
        <v>40812</v>
      </c>
      <c r="D2488" t="n">
        <v>2128</v>
      </c>
    </row>
    <row r="2489">
      <c r="A2489" s="89" t="n">
        <v>40817</v>
      </c>
      <c r="B2489" t="n">
        <v>938.7</v>
      </c>
      <c r="C2489" t="n">
        <v>4215.9</v>
      </c>
      <c r="E2489" t="n">
        <v>9559.5</v>
      </c>
      <c r="F2489" t="n">
        <v>1.649</v>
      </c>
    </row>
    <row r="2490">
      <c r="A2490" s="89" t="n">
        <v>40819</v>
      </c>
      <c r="D2490" t="n">
        <v>2176.7</v>
      </c>
    </row>
    <row r="2491">
      <c r="A2491" s="89" t="n">
        <v>40826</v>
      </c>
      <c r="D2491" t="n">
        <v>2150.8</v>
      </c>
    </row>
    <row r="2492">
      <c r="A2492" s="89" t="n">
        <v>40833</v>
      </c>
      <c r="D2492" t="n">
        <v>2128.2</v>
      </c>
    </row>
    <row r="2493">
      <c r="A2493" s="89" t="n">
        <v>40840</v>
      </c>
      <c r="D2493" t="n">
        <v>2126.6</v>
      </c>
    </row>
    <row r="2494">
      <c r="A2494" s="89" t="n">
        <v>40847</v>
      </c>
      <c r="D2494" t="n">
        <v>2136.2</v>
      </c>
    </row>
    <row r="2495">
      <c r="A2495" s="89" t="n">
        <v>40848</v>
      </c>
      <c r="B2495" t="n">
        <v>960.5</v>
      </c>
      <c r="C2495" t="n">
        <v>4230.4</v>
      </c>
      <c r="E2495" t="n">
        <v>9610.1</v>
      </c>
    </row>
    <row r="2496">
      <c r="A2496" s="89" t="n">
        <v>40854</v>
      </c>
      <c r="D2496" t="n">
        <v>2147.3</v>
      </c>
    </row>
    <row r="2497">
      <c r="A2497" s="89" t="n">
        <v>40861</v>
      </c>
      <c r="D2497" t="n">
        <v>2171.9</v>
      </c>
    </row>
    <row r="2498">
      <c r="A2498" s="89" t="n">
        <v>40868</v>
      </c>
      <c r="D2498" t="n">
        <v>2179.4</v>
      </c>
    </row>
    <row r="2499">
      <c r="A2499" s="89" t="n">
        <v>40875</v>
      </c>
      <c r="D2499" t="n">
        <v>2171.2</v>
      </c>
    </row>
    <row r="2500">
      <c r="A2500" s="89" t="n">
        <v>40878</v>
      </c>
      <c r="B2500" t="n">
        <v>953.1</v>
      </c>
      <c r="C2500" t="n">
        <v>4250.3</v>
      </c>
      <c r="E2500" t="n">
        <v>9657.700000000001</v>
      </c>
    </row>
    <row r="2501">
      <c r="A2501" s="89" t="n">
        <v>40882</v>
      </c>
      <c r="D2501" t="n">
        <v>2158.5</v>
      </c>
    </row>
    <row r="2502">
      <c r="A2502" s="89" t="n">
        <v>40889</v>
      </c>
      <c r="D2502" t="n">
        <v>2165.7</v>
      </c>
    </row>
    <row r="2503">
      <c r="A2503" s="89" t="n">
        <v>40896</v>
      </c>
      <c r="D2503" t="n">
        <v>2149.8</v>
      </c>
    </row>
    <row r="2504">
      <c r="A2504" s="89" t="n">
        <v>40903</v>
      </c>
      <c r="D2504" t="n">
        <v>2156.3</v>
      </c>
    </row>
    <row r="2505">
      <c r="A2505" s="89" t="n">
        <v>40909</v>
      </c>
      <c r="B2505" t="n">
        <v>964.5</v>
      </c>
      <c r="C2505" t="n">
        <v>4271.2</v>
      </c>
      <c r="E2505" t="n">
        <v>9731.5</v>
      </c>
      <c r="F2505" t="n">
        <v>1.642</v>
      </c>
    </row>
    <row r="2506">
      <c r="A2506" s="89" t="n">
        <v>40910</v>
      </c>
      <c r="D2506" t="n">
        <v>2199.2</v>
      </c>
    </row>
    <row r="2507">
      <c r="A2507" s="89" t="n">
        <v>40917</v>
      </c>
      <c r="D2507" t="n">
        <v>2199.3</v>
      </c>
    </row>
    <row r="2508">
      <c r="A2508" s="89" t="n">
        <v>40924</v>
      </c>
      <c r="D2508" t="n">
        <v>2198.1</v>
      </c>
    </row>
    <row r="2509">
      <c r="A2509" s="89" t="n">
        <v>40931</v>
      </c>
      <c r="D2509" t="n">
        <v>2207.4</v>
      </c>
    </row>
    <row r="2510">
      <c r="A2510" s="89" t="n">
        <v>40938</v>
      </c>
      <c r="D2510" t="n">
        <v>2204.3</v>
      </c>
    </row>
    <row r="2511">
      <c r="A2511" s="89" t="n">
        <v>40940</v>
      </c>
      <c r="B2511" t="n">
        <v>967.8</v>
      </c>
      <c r="C2511" t="n">
        <v>4287.4</v>
      </c>
      <c r="E2511" t="n">
        <v>9789.299999999999</v>
      </c>
    </row>
    <row r="2512">
      <c r="A2512" s="89" t="n">
        <v>40945</v>
      </c>
      <c r="D2512" t="n">
        <v>2197.3</v>
      </c>
    </row>
    <row r="2513">
      <c r="A2513" s="89" t="n">
        <v>40952</v>
      </c>
      <c r="D2513" t="n">
        <v>2211.8</v>
      </c>
    </row>
    <row r="2514">
      <c r="A2514" s="89" t="n">
        <v>40959</v>
      </c>
      <c r="D2514" t="n">
        <v>2217.4</v>
      </c>
    </row>
    <row r="2515">
      <c r="A2515" s="89" t="n">
        <v>40966</v>
      </c>
      <c r="D2515" t="n">
        <v>2210.4</v>
      </c>
    </row>
    <row r="2516">
      <c r="A2516" s="89" t="n">
        <v>40969</v>
      </c>
      <c r="B2516" t="n">
        <v>975.7</v>
      </c>
      <c r="C2516" t="n">
        <v>4299.3</v>
      </c>
      <c r="E2516" t="n">
        <v>9837.1</v>
      </c>
    </row>
    <row r="2517">
      <c r="A2517" s="89" t="n">
        <v>40973</v>
      </c>
      <c r="D2517" t="n">
        <v>2213.7</v>
      </c>
    </row>
    <row r="2518">
      <c r="A2518" s="89" t="n">
        <v>40980</v>
      </c>
      <c r="D2518" t="n">
        <v>2228.9</v>
      </c>
    </row>
    <row r="2519">
      <c r="A2519" s="89" t="n">
        <v>40987</v>
      </c>
      <c r="D2519" t="n">
        <v>2227.9</v>
      </c>
    </row>
    <row r="2520">
      <c r="A2520" s="89" t="n">
        <v>40994</v>
      </c>
      <c r="D2520" t="n">
        <v>2227.2</v>
      </c>
    </row>
    <row r="2521">
      <c r="A2521" s="89" t="n">
        <v>41000</v>
      </c>
      <c r="B2521" t="n">
        <v>979.2</v>
      </c>
      <c r="C2521" t="n">
        <v>4315.2</v>
      </c>
      <c r="E2521" t="n">
        <v>9889.9</v>
      </c>
      <c r="F2521" t="n">
        <v>1.63</v>
      </c>
    </row>
    <row r="2522">
      <c r="A2522" s="89" t="n">
        <v>41001</v>
      </c>
      <c r="D2522" t="n">
        <v>2247.1</v>
      </c>
    </row>
    <row r="2523">
      <c r="A2523" s="89" t="n">
        <v>41008</v>
      </c>
      <c r="D2523" t="n">
        <v>2249.9</v>
      </c>
    </row>
    <row r="2524">
      <c r="A2524" s="89" t="n">
        <v>41015</v>
      </c>
      <c r="D2524" t="n">
        <v>2241.8</v>
      </c>
    </row>
    <row r="2525">
      <c r="A2525" s="89" t="n">
        <v>41022</v>
      </c>
      <c r="D2525" t="n">
        <v>2247.4</v>
      </c>
    </row>
    <row r="2526">
      <c r="A2526" s="89" t="n">
        <v>41029</v>
      </c>
      <c r="D2526" t="n">
        <v>2253.5</v>
      </c>
    </row>
    <row r="2527">
      <c r="A2527" s="89" t="n">
        <v>41030</v>
      </c>
      <c r="B2527" t="n">
        <v>988.3</v>
      </c>
      <c r="C2527" t="n">
        <v>4343.7</v>
      </c>
      <c r="E2527" t="n">
        <v>9934.6</v>
      </c>
    </row>
    <row r="2528">
      <c r="A2528" s="89" t="n">
        <v>41036</v>
      </c>
      <c r="D2528" t="n">
        <v>2241.3</v>
      </c>
    </row>
    <row r="2529">
      <c r="A2529" s="89" t="n">
        <v>41043</v>
      </c>
      <c r="D2529" t="n">
        <v>2267.3</v>
      </c>
    </row>
    <row r="2530">
      <c r="A2530" s="89" t="n">
        <v>41050</v>
      </c>
      <c r="D2530" t="n">
        <v>2261.9</v>
      </c>
    </row>
    <row r="2531">
      <c r="A2531" s="89" t="n">
        <v>41057</v>
      </c>
      <c r="D2531" t="n">
        <v>2256.6</v>
      </c>
    </row>
    <row r="2532">
      <c r="A2532" s="89" t="n">
        <v>41061</v>
      </c>
      <c r="B2532" t="n">
        <v>998.5</v>
      </c>
      <c r="C2532" t="n">
        <v>4375.1</v>
      </c>
      <c r="E2532" t="n">
        <v>9998.1</v>
      </c>
    </row>
    <row r="2533">
      <c r="A2533" s="89" t="n">
        <v>41064</v>
      </c>
      <c r="D2533" t="n">
        <v>2255.2</v>
      </c>
    </row>
    <row r="2534">
      <c r="A2534" s="89" t="n">
        <v>41071</v>
      </c>
      <c r="D2534" t="n">
        <v>2290.5</v>
      </c>
    </row>
    <row r="2535">
      <c r="A2535" s="89" t="n">
        <v>41078</v>
      </c>
      <c r="D2535" t="n">
        <v>2274.6</v>
      </c>
    </row>
    <row r="2536">
      <c r="A2536" s="89" t="n">
        <v>41085</v>
      </c>
      <c r="D2536" t="n">
        <v>2272.9</v>
      </c>
    </row>
    <row r="2537">
      <c r="A2537" s="89" t="n">
        <v>41091</v>
      </c>
      <c r="B2537" t="n">
        <v>1012.1</v>
      </c>
      <c r="C2537" t="n">
        <v>4398.8</v>
      </c>
      <c r="E2537" t="n">
        <v>10055.3</v>
      </c>
      <c r="F2537" t="n">
        <v>1.612</v>
      </c>
    </row>
    <row r="2538">
      <c r="A2538" s="89" t="n">
        <v>41092</v>
      </c>
      <c r="D2538" t="n">
        <v>2284.4</v>
      </c>
    </row>
    <row r="2539">
      <c r="A2539" s="89" t="n">
        <v>41099</v>
      </c>
      <c r="D2539" t="n">
        <v>2337.5</v>
      </c>
    </row>
    <row r="2540">
      <c r="A2540" s="89" t="n">
        <v>41106</v>
      </c>
      <c r="D2540" t="n">
        <v>2316.2</v>
      </c>
    </row>
    <row r="2541">
      <c r="A2541" s="89" t="n">
        <v>41113</v>
      </c>
      <c r="D2541" t="n">
        <v>2317.7</v>
      </c>
    </row>
    <row r="2542">
      <c r="A2542" s="89" t="n">
        <v>41120</v>
      </c>
      <c r="D2542" t="n">
        <v>2311.7</v>
      </c>
    </row>
    <row r="2543">
      <c r="A2543" s="89" t="n">
        <v>41122</v>
      </c>
      <c r="B2543" t="n">
        <v>1022.5</v>
      </c>
      <c r="C2543" t="n">
        <v>4399.5</v>
      </c>
      <c r="E2543" t="n">
        <v>10115.2</v>
      </c>
    </row>
    <row r="2544">
      <c r="A2544" s="89" t="n">
        <v>41127</v>
      </c>
      <c r="D2544" t="n">
        <v>2310.6</v>
      </c>
    </row>
    <row r="2545">
      <c r="A2545" s="89" t="n">
        <v>41134</v>
      </c>
      <c r="D2545" t="n">
        <v>2350</v>
      </c>
    </row>
    <row r="2546">
      <c r="A2546" s="89" t="n">
        <v>41141</v>
      </c>
      <c r="D2546" t="n">
        <v>2341.8</v>
      </c>
    </row>
    <row r="2547">
      <c r="A2547" s="89" t="n">
        <v>41148</v>
      </c>
      <c r="D2547" t="n">
        <v>2346.2</v>
      </c>
    </row>
    <row r="2548">
      <c r="A2548" s="89" t="n">
        <v>41153</v>
      </c>
      <c r="B2548" t="n">
        <v>1031.3</v>
      </c>
      <c r="C2548" t="n">
        <v>4412.3</v>
      </c>
      <c r="E2548" t="n">
        <v>10193.1</v>
      </c>
    </row>
    <row r="2549">
      <c r="A2549" s="89" t="n">
        <v>41155</v>
      </c>
      <c r="D2549" t="n">
        <v>2420.7</v>
      </c>
    </row>
    <row r="2550">
      <c r="A2550" s="89" t="n">
        <v>41162</v>
      </c>
      <c r="D2550" t="n">
        <v>2405.4</v>
      </c>
    </row>
    <row r="2551">
      <c r="A2551" s="89" t="n">
        <v>41169</v>
      </c>
      <c r="D2551" t="n">
        <v>2379.6</v>
      </c>
    </row>
    <row r="2552">
      <c r="A2552" s="89" t="n">
        <v>41176</v>
      </c>
      <c r="D2552" t="n">
        <v>2378.6</v>
      </c>
    </row>
    <row r="2553">
      <c r="A2553" s="89" t="n">
        <v>41183</v>
      </c>
      <c r="B2553" t="n">
        <v>1042.7</v>
      </c>
      <c r="C2553" t="n">
        <v>4427.8</v>
      </c>
      <c r="D2553" t="n">
        <v>2382.4</v>
      </c>
      <c r="E2553" t="n">
        <v>10256.5</v>
      </c>
      <c r="F2553" t="n">
        <v>1.588</v>
      </c>
    </row>
    <row r="2554">
      <c r="A2554" s="89" t="n">
        <v>41190</v>
      </c>
      <c r="D2554" t="n">
        <v>2422.4</v>
      </c>
    </row>
    <row r="2555">
      <c r="A2555" s="89" t="n">
        <v>41197</v>
      </c>
      <c r="D2555" t="n">
        <v>2422.2</v>
      </c>
    </row>
    <row r="2556">
      <c r="A2556" s="89" t="n">
        <v>41204</v>
      </c>
      <c r="D2556" t="n">
        <v>2417.1</v>
      </c>
    </row>
    <row r="2557">
      <c r="A2557" s="89" t="n">
        <v>41211</v>
      </c>
      <c r="D2557" t="n">
        <v>2429.4</v>
      </c>
    </row>
    <row r="2558">
      <c r="A2558" s="89" t="n">
        <v>41214</v>
      </c>
      <c r="B2558" t="n">
        <v>1053.4</v>
      </c>
      <c r="C2558" t="n">
        <v>4462.6</v>
      </c>
      <c r="E2558" t="n">
        <v>10319.8</v>
      </c>
    </row>
    <row r="2559">
      <c r="A2559" s="89" t="n">
        <v>41218</v>
      </c>
      <c r="D2559" t="n">
        <v>2430.2</v>
      </c>
    </row>
    <row r="2560">
      <c r="A2560" s="89" t="n">
        <v>41225</v>
      </c>
      <c r="D2560" t="n">
        <v>2414.8</v>
      </c>
    </row>
    <row r="2561">
      <c r="A2561" s="89" t="n">
        <v>41232</v>
      </c>
      <c r="D2561" t="n">
        <v>2420.5</v>
      </c>
    </row>
    <row r="2562">
      <c r="A2562" s="89" t="n">
        <v>41239</v>
      </c>
      <c r="D2562" t="n">
        <v>2405.2</v>
      </c>
    </row>
    <row r="2563">
      <c r="A2563" s="89" t="n">
        <v>41244</v>
      </c>
      <c r="B2563" t="n">
        <v>1063.7</v>
      </c>
      <c r="C2563" t="n">
        <v>4520.1</v>
      </c>
      <c r="E2563" t="n">
        <v>10451.5</v>
      </c>
    </row>
    <row r="2564">
      <c r="A2564" s="89" t="n">
        <v>41246</v>
      </c>
      <c r="D2564" t="n">
        <v>2467.5</v>
      </c>
    </row>
    <row r="2565">
      <c r="A2565" s="89" t="n">
        <v>41253</v>
      </c>
      <c r="D2565" t="n">
        <v>2469.3</v>
      </c>
    </row>
    <row r="2566">
      <c r="A2566" s="89" t="n">
        <v>41260</v>
      </c>
      <c r="D2566" t="n">
        <v>2438.6</v>
      </c>
    </row>
    <row r="2567">
      <c r="A2567" s="89" t="n">
        <v>41267</v>
      </c>
      <c r="D2567" t="n">
        <v>2474.4</v>
      </c>
    </row>
    <row r="2568">
      <c r="A2568" s="89" t="n">
        <v>41274</v>
      </c>
      <c r="D2568" t="n">
        <v>2459.7</v>
      </c>
    </row>
    <row r="2569">
      <c r="A2569" s="89" t="n">
        <v>41275</v>
      </c>
      <c r="B2569" t="n">
        <v>1066.8</v>
      </c>
      <c r="C2569" t="n">
        <v>4522.2</v>
      </c>
      <c r="E2569" t="n">
        <v>10477</v>
      </c>
      <c r="F2569" t="n">
        <v>1.583</v>
      </c>
    </row>
    <row r="2570">
      <c r="A2570" s="89" t="n">
        <v>41281</v>
      </c>
      <c r="D2570" t="n">
        <v>2459.6</v>
      </c>
    </row>
    <row r="2571">
      <c r="A2571" s="89" t="n">
        <v>41288</v>
      </c>
      <c r="D2571" t="n">
        <v>2480.1</v>
      </c>
    </row>
    <row r="2572">
      <c r="A2572" s="89" t="n">
        <v>41295</v>
      </c>
      <c r="D2572" t="n">
        <v>2488.5</v>
      </c>
    </row>
    <row r="2573">
      <c r="A2573" s="89" t="n">
        <v>41302</v>
      </c>
      <c r="D2573" t="n">
        <v>2465.2</v>
      </c>
    </row>
    <row r="2574">
      <c r="A2574" s="89" t="n">
        <v>41306</v>
      </c>
      <c r="B2574" t="n">
        <v>1062.1</v>
      </c>
      <c r="C2574" t="n">
        <v>4503</v>
      </c>
      <c r="E2574" t="n">
        <v>10489.1</v>
      </c>
    </row>
    <row r="2575">
      <c r="A2575" s="89" t="n">
        <v>41309</v>
      </c>
      <c r="D2575" t="n">
        <v>2474</v>
      </c>
    </row>
    <row r="2576">
      <c r="A2576" s="89" t="n">
        <v>41316</v>
      </c>
      <c r="D2576" t="n">
        <v>2484.3</v>
      </c>
    </row>
    <row r="2577">
      <c r="A2577" s="89" t="n">
        <v>41323</v>
      </c>
      <c r="D2577" t="n">
        <v>2469.4</v>
      </c>
    </row>
    <row r="2578">
      <c r="A2578" s="89" t="n">
        <v>41330</v>
      </c>
      <c r="D2578" t="n">
        <v>2465.9</v>
      </c>
    </row>
    <row r="2579">
      <c r="A2579" s="89" t="n">
        <v>41334</v>
      </c>
      <c r="B2579" t="n">
        <v>1068.6</v>
      </c>
      <c r="C2579" t="n">
        <v>4544.4</v>
      </c>
      <c r="E2579" t="n">
        <v>10555.8</v>
      </c>
    </row>
    <row r="2580">
      <c r="A2580" s="89" t="n">
        <v>41337</v>
      </c>
      <c r="D2580" t="n">
        <v>2461.8</v>
      </c>
    </row>
    <row r="2581">
      <c r="A2581" s="89" t="n">
        <v>41344</v>
      </c>
      <c r="D2581" t="n">
        <v>2468.3</v>
      </c>
    </row>
    <row r="2582">
      <c r="A2582" s="89" t="n">
        <v>41351</v>
      </c>
      <c r="D2582" t="n">
        <v>2466.8</v>
      </c>
    </row>
    <row r="2583">
      <c r="A2583" s="89" t="n">
        <v>41358</v>
      </c>
      <c r="D2583" t="n">
        <v>2488.8</v>
      </c>
    </row>
    <row r="2584">
      <c r="A2584" s="89" t="n">
        <v>41365</v>
      </c>
      <c r="B2584" t="n">
        <v>1084.2</v>
      </c>
      <c r="C2584" t="n">
        <v>4568.8</v>
      </c>
      <c r="D2584" t="n">
        <v>2511.8</v>
      </c>
      <c r="E2584" t="n">
        <v>10590.3</v>
      </c>
      <c r="F2584" t="n">
        <v>1.57</v>
      </c>
    </row>
    <row r="2585">
      <c r="A2585" s="89" t="n">
        <v>41372</v>
      </c>
      <c r="D2585" t="n">
        <v>2486.3</v>
      </c>
    </row>
    <row r="2586">
      <c r="A2586" s="89" t="n">
        <v>41379</v>
      </c>
      <c r="D2586" t="n">
        <v>2514.6</v>
      </c>
    </row>
    <row r="2587">
      <c r="A2587" s="89" t="n">
        <v>41386</v>
      </c>
      <c r="D2587" t="n">
        <v>2527.4</v>
      </c>
    </row>
    <row r="2588">
      <c r="A2588" s="89" t="n">
        <v>41393</v>
      </c>
      <c r="D2588" t="n">
        <v>2534.5</v>
      </c>
    </row>
    <row r="2589">
      <c r="A2589" s="89" t="n">
        <v>41395</v>
      </c>
      <c r="B2589" t="n">
        <v>1091.8</v>
      </c>
      <c r="C2589" t="n">
        <v>4584.1</v>
      </c>
      <c r="E2589" t="n">
        <v>10630.1</v>
      </c>
    </row>
    <row r="2590">
      <c r="A2590" s="89" t="n">
        <v>41400</v>
      </c>
      <c r="D2590" t="n">
        <v>2501.5</v>
      </c>
    </row>
    <row r="2591">
      <c r="A2591" s="89" t="n">
        <v>41407</v>
      </c>
      <c r="D2591" t="n">
        <v>2523.3</v>
      </c>
    </row>
    <row r="2592">
      <c r="A2592" s="89" t="n">
        <v>41414</v>
      </c>
      <c r="D2592" t="n">
        <v>2524.1</v>
      </c>
    </row>
    <row r="2593">
      <c r="A2593" s="89" t="n">
        <v>41421</v>
      </c>
      <c r="D2593" t="n">
        <v>2535.9</v>
      </c>
    </row>
    <row r="2594">
      <c r="A2594" s="89" t="n">
        <v>41426</v>
      </c>
      <c r="B2594" t="n">
        <v>1089.5</v>
      </c>
      <c r="C2594" t="n">
        <v>4595.7</v>
      </c>
      <c r="E2594" t="n">
        <v>10682.5</v>
      </c>
    </row>
    <row r="2595">
      <c r="A2595" s="89" t="n">
        <v>41428</v>
      </c>
      <c r="D2595" t="n">
        <v>2585.8</v>
      </c>
    </row>
    <row r="2596">
      <c r="A2596" s="89" t="n">
        <v>41435</v>
      </c>
      <c r="D2596" t="n">
        <v>2538.9</v>
      </c>
    </row>
    <row r="2597">
      <c r="A2597" s="89" t="n">
        <v>41442</v>
      </c>
      <c r="D2597" t="n">
        <v>2513.2</v>
      </c>
    </row>
    <row r="2598">
      <c r="A2598" s="89" t="n">
        <v>41449</v>
      </c>
      <c r="D2598" t="n">
        <v>2522.4</v>
      </c>
    </row>
    <row r="2599">
      <c r="A2599" s="89" t="n">
        <v>41456</v>
      </c>
      <c r="B2599" t="n">
        <v>1091.4</v>
      </c>
      <c r="C2599" t="n">
        <v>4606.7</v>
      </c>
      <c r="D2599" t="n">
        <v>2526.6</v>
      </c>
      <c r="E2599" t="n">
        <v>10728.9</v>
      </c>
      <c r="F2599" t="n">
        <v>1.568</v>
      </c>
    </row>
    <row r="2600">
      <c r="A2600" s="89" t="n">
        <v>41463</v>
      </c>
      <c r="D2600" t="n">
        <v>2526.9</v>
      </c>
    </row>
    <row r="2601">
      <c r="A2601" s="89" t="n">
        <v>41470</v>
      </c>
      <c r="D2601" t="n">
        <v>2544</v>
      </c>
    </row>
    <row r="2602">
      <c r="A2602" s="89" t="n">
        <v>41477</v>
      </c>
      <c r="D2602" t="n">
        <v>2565.6</v>
      </c>
    </row>
    <row r="2603">
      <c r="A2603" s="89" t="n">
        <v>41484</v>
      </c>
      <c r="D2603" t="n">
        <v>2552.2</v>
      </c>
    </row>
    <row r="2604">
      <c r="A2604" s="89" t="n">
        <v>41487</v>
      </c>
      <c r="B2604" t="n">
        <v>1093.9</v>
      </c>
      <c r="C2604" t="n">
        <v>4619.1</v>
      </c>
      <c r="E2604" t="n">
        <v>10783.5</v>
      </c>
    </row>
    <row r="2605">
      <c r="A2605" s="89" t="n">
        <v>41491</v>
      </c>
      <c r="D2605" t="n">
        <v>2533.6</v>
      </c>
    </row>
    <row r="2606">
      <c r="A2606" s="89" t="n">
        <v>41498</v>
      </c>
      <c r="D2606" t="n">
        <v>2545.5</v>
      </c>
    </row>
    <row r="2607">
      <c r="A2607" s="89" t="n">
        <v>41505</v>
      </c>
      <c r="D2607" t="n">
        <v>2537.8</v>
      </c>
    </row>
    <row r="2608">
      <c r="A2608" s="89" t="n">
        <v>41512</v>
      </c>
      <c r="D2608" t="n">
        <v>2562.8</v>
      </c>
    </row>
    <row r="2609">
      <c r="A2609" s="89" t="n">
        <v>41518</v>
      </c>
      <c r="B2609" t="n">
        <v>1105.2</v>
      </c>
      <c r="C2609" t="n">
        <v>4639.5</v>
      </c>
      <c r="E2609" t="n">
        <v>10835.3</v>
      </c>
    </row>
    <row r="2610">
      <c r="A2610" s="89" t="n">
        <v>41519</v>
      </c>
      <c r="D2610" t="n">
        <v>2585.5</v>
      </c>
    </row>
    <row r="2611">
      <c r="A2611" s="89" t="n">
        <v>41526</v>
      </c>
      <c r="D2611" t="n">
        <v>2581.2</v>
      </c>
    </row>
    <row r="2612">
      <c r="A2612" s="89" t="n">
        <v>41533</v>
      </c>
      <c r="D2612" t="n">
        <v>2572.1</v>
      </c>
    </row>
    <row r="2613">
      <c r="A2613" s="89" t="n">
        <v>41540</v>
      </c>
      <c r="D2613" t="n">
        <v>2590.7</v>
      </c>
    </row>
    <row r="2614">
      <c r="A2614" s="89" t="n">
        <v>41547</v>
      </c>
      <c r="D2614" t="n">
        <v>2589.9</v>
      </c>
    </row>
    <row r="2615">
      <c r="A2615" s="89" t="n">
        <v>41548</v>
      </c>
      <c r="B2615" t="n">
        <v>1121.2</v>
      </c>
      <c r="C2615" t="n">
        <v>4685.6</v>
      </c>
      <c r="E2615" t="n">
        <v>10948.7</v>
      </c>
      <c r="F2615" t="n">
        <v>1.561</v>
      </c>
    </row>
    <row r="2616">
      <c r="A2616" s="89" t="n">
        <v>41554</v>
      </c>
      <c r="D2616" t="n">
        <v>2568.8</v>
      </c>
    </row>
    <row r="2617">
      <c r="A2617" s="89" t="n">
        <v>41561</v>
      </c>
      <c r="D2617" t="n">
        <v>2641.1</v>
      </c>
    </row>
    <row r="2618">
      <c r="A2618" s="89" t="n">
        <v>41568</v>
      </c>
      <c r="D2618" t="n">
        <v>2662.6</v>
      </c>
    </row>
    <row r="2619">
      <c r="A2619" s="89" t="n">
        <v>41575</v>
      </c>
      <c r="D2619" t="n">
        <v>2625.4</v>
      </c>
    </row>
    <row r="2620">
      <c r="A2620" s="89" t="n">
        <v>41579</v>
      </c>
      <c r="B2620" t="n">
        <v>1123.7</v>
      </c>
      <c r="C2620" t="n">
        <v>4679.2</v>
      </c>
      <c r="E2620" t="n">
        <v>10954.1</v>
      </c>
    </row>
    <row r="2621">
      <c r="A2621" s="89" t="n">
        <v>41582</v>
      </c>
      <c r="D2621" t="n">
        <v>2604.8</v>
      </c>
    </row>
    <row r="2622">
      <c r="A2622" s="89" t="n">
        <v>41589</v>
      </c>
      <c r="D2622" t="n">
        <v>2615</v>
      </c>
    </row>
    <row r="2623">
      <c r="A2623" s="89" t="n">
        <v>41596</v>
      </c>
      <c r="D2623" t="n">
        <v>2622.8</v>
      </c>
    </row>
    <row r="2624">
      <c r="A2624" s="89" t="n">
        <v>41603</v>
      </c>
      <c r="D2624" t="n">
        <v>2627.9</v>
      </c>
    </row>
    <row r="2625">
      <c r="A2625" s="89" t="n">
        <v>41609</v>
      </c>
      <c r="B2625" t="n">
        <v>1134.5</v>
      </c>
      <c r="C2625" t="n">
        <v>4695.1</v>
      </c>
      <c r="E2625" t="n">
        <v>11020.3</v>
      </c>
    </row>
    <row r="2626">
      <c r="A2626" s="89" t="n">
        <v>41610</v>
      </c>
      <c r="D2626" t="n">
        <v>2654.5</v>
      </c>
    </row>
    <row r="2627">
      <c r="A2627" s="89" t="n">
        <v>41617</v>
      </c>
      <c r="D2627" t="n">
        <v>2672.8</v>
      </c>
    </row>
    <row r="2628">
      <c r="A2628" s="89" t="n">
        <v>41624</v>
      </c>
      <c r="D2628" t="n">
        <v>2656.2</v>
      </c>
    </row>
    <row r="2629">
      <c r="A2629" s="89" t="n">
        <v>41631</v>
      </c>
      <c r="D2629" t="n">
        <v>2682.7</v>
      </c>
    </row>
    <row r="2630">
      <c r="A2630" s="89" t="n">
        <v>41638</v>
      </c>
      <c r="D2630" t="n">
        <v>2648.4</v>
      </c>
    </row>
    <row r="2631">
      <c r="A2631" s="89" t="n">
        <v>41640</v>
      </c>
      <c r="B2631" t="n">
        <v>1146.1</v>
      </c>
      <c r="C2631" t="n">
        <v>4707.7</v>
      </c>
      <c r="E2631" t="n">
        <v>11076.6</v>
      </c>
      <c r="F2631" t="n">
        <v>1.537</v>
      </c>
    </row>
    <row r="2632">
      <c r="A2632" s="89" t="n">
        <v>41645</v>
      </c>
      <c r="D2632" t="n">
        <v>2668.2</v>
      </c>
    </row>
    <row r="2633">
      <c r="A2633" s="89" t="n">
        <v>41652</v>
      </c>
      <c r="D2633" t="n">
        <v>2673.9</v>
      </c>
    </row>
    <row r="2634">
      <c r="A2634" s="89" t="n">
        <v>41659</v>
      </c>
      <c r="D2634" t="n">
        <v>2704.5</v>
      </c>
    </row>
    <row r="2635">
      <c r="A2635" s="89" t="n">
        <v>41666</v>
      </c>
      <c r="D2635" t="n">
        <v>2694.1</v>
      </c>
    </row>
    <row r="2636">
      <c r="A2636" s="89" t="n">
        <v>41671</v>
      </c>
      <c r="B2636" t="n">
        <v>1158.3</v>
      </c>
      <c r="C2636" t="n">
        <v>4741.9</v>
      </c>
      <c r="E2636" t="n">
        <v>11169.3</v>
      </c>
    </row>
    <row r="2637">
      <c r="A2637" s="89" t="n">
        <v>41673</v>
      </c>
      <c r="D2637" t="n">
        <v>2766.9</v>
      </c>
    </row>
    <row r="2638">
      <c r="A2638" s="89" t="n">
        <v>41680</v>
      </c>
      <c r="D2638" t="n">
        <v>2719.4</v>
      </c>
    </row>
    <row r="2639">
      <c r="A2639" s="89" t="n">
        <v>41687</v>
      </c>
      <c r="D2639" t="n">
        <v>2711.3</v>
      </c>
    </row>
    <row r="2640">
      <c r="A2640" s="89" t="n">
        <v>41694</v>
      </c>
      <c r="D2640" t="n">
        <v>2707.1</v>
      </c>
    </row>
    <row r="2641">
      <c r="A2641" s="89" t="n">
        <v>41699</v>
      </c>
      <c r="B2641" t="n">
        <v>1167.3</v>
      </c>
      <c r="C2641" t="n">
        <v>4748.4</v>
      </c>
      <c r="E2641" t="n">
        <v>11207.6</v>
      </c>
    </row>
    <row r="2642">
      <c r="A2642" s="89" t="n">
        <v>41701</v>
      </c>
      <c r="D2642" t="n">
        <v>2764.5</v>
      </c>
    </row>
    <row r="2643">
      <c r="A2643" s="89" t="n">
        <v>41708</v>
      </c>
      <c r="D2643" t="n">
        <v>2762.5</v>
      </c>
    </row>
    <row r="2644">
      <c r="A2644" s="89" t="n">
        <v>41715</v>
      </c>
      <c r="D2644" t="n">
        <v>2740.1</v>
      </c>
    </row>
    <row r="2645">
      <c r="A2645" s="89" t="n">
        <v>41722</v>
      </c>
      <c r="D2645" t="n">
        <v>2749.5</v>
      </c>
    </row>
    <row r="2646">
      <c r="A2646" s="89" t="n">
        <v>41729</v>
      </c>
      <c r="D2646" t="n">
        <v>2762.3</v>
      </c>
    </row>
    <row r="2647">
      <c r="A2647" s="89" t="n">
        <v>41730</v>
      </c>
      <c r="B2647" t="n">
        <v>1174.7</v>
      </c>
      <c r="C2647" t="n">
        <v>4761.7</v>
      </c>
      <c r="E2647" t="n">
        <v>11259.8</v>
      </c>
      <c r="F2647" t="n">
        <v>1.542</v>
      </c>
    </row>
    <row r="2648">
      <c r="A2648" s="89" t="n">
        <v>41736</v>
      </c>
      <c r="D2648" t="n">
        <v>2739.3</v>
      </c>
    </row>
    <row r="2649">
      <c r="A2649" s="89" t="n">
        <v>41743</v>
      </c>
      <c r="D2649" t="n">
        <v>2790</v>
      </c>
    </row>
    <row r="2650">
      <c r="A2650" s="89" t="n">
        <v>41750</v>
      </c>
      <c r="D2650" t="n">
        <v>2789.5</v>
      </c>
    </row>
    <row r="2651">
      <c r="A2651" s="89" t="n">
        <v>41757</v>
      </c>
      <c r="D2651" t="n">
        <v>2793.1</v>
      </c>
    </row>
    <row r="2652">
      <c r="A2652" s="89" t="n">
        <v>41760</v>
      </c>
      <c r="B2652" t="n">
        <v>1179.4</v>
      </c>
      <c r="C2652" t="n">
        <v>4780.7</v>
      </c>
      <c r="E2652" t="n">
        <v>11326.3</v>
      </c>
    </row>
    <row r="2653">
      <c r="A2653" s="89" t="n">
        <v>41764</v>
      </c>
      <c r="D2653" t="n">
        <v>2783.9</v>
      </c>
    </row>
    <row r="2654">
      <c r="A2654" s="89" t="n">
        <v>41771</v>
      </c>
      <c r="D2654" t="n">
        <v>2798.8</v>
      </c>
    </row>
    <row r="2655">
      <c r="A2655" s="89" t="n">
        <v>41778</v>
      </c>
      <c r="D2655" t="n">
        <v>2782.3</v>
      </c>
    </row>
    <row r="2656">
      <c r="A2656" s="89" t="n">
        <v>41785</v>
      </c>
      <c r="D2656" t="n">
        <v>2792.3</v>
      </c>
    </row>
    <row r="2657">
      <c r="A2657" s="89" t="n">
        <v>41791</v>
      </c>
      <c r="B2657" t="n">
        <v>1192.7</v>
      </c>
      <c r="C2657" t="n">
        <v>4795.8</v>
      </c>
      <c r="E2657" t="n">
        <v>11377.2</v>
      </c>
    </row>
    <row r="2658">
      <c r="A2658" s="89" t="n">
        <v>41792</v>
      </c>
      <c r="D2658" t="n">
        <v>2820.5</v>
      </c>
    </row>
    <row r="2659">
      <c r="A2659" s="89" t="n">
        <v>41799</v>
      </c>
      <c r="D2659" t="n">
        <v>2831.3</v>
      </c>
    </row>
    <row r="2660">
      <c r="A2660" s="89" t="n">
        <v>41806</v>
      </c>
      <c r="D2660" t="n">
        <v>2825.5</v>
      </c>
    </row>
    <row r="2661">
      <c r="A2661" s="89" t="n">
        <v>41813</v>
      </c>
      <c r="D2661" t="n">
        <v>2829.2</v>
      </c>
    </row>
    <row r="2662">
      <c r="A2662" s="89" t="n">
        <v>41820</v>
      </c>
      <c r="D2662" t="n">
        <v>2834.5</v>
      </c>
    </row>
    <row r="2663">
      <c r="A2663" s="89" t="n">
        <v>41821</v>
      </c>
      <c r="B2663" t="n">
        <v>1195.8</v>
      </c>
      <c r="C2663" t="n">
        <v>4814.4</v>
      </c>
      <c r="E2663" t="n">
        <v>11434</v>
      </c>
      <c r="F2663" t="n">
        <v>1.548</v>
      </c>
    </row>
    <row r="2664">
      <c r="A2664" s="89" t="n">
        <v>41827</v>
      </c>
      <c r="D2664" t="n">
        <v>2812.5</v>
      </c>
    </row>
    <row r="2665">
      <c r="A2665" s="89" t="n">
        <v>41834</v>
      </c>
      <c r="D2665" t="n">
        <v>2853.2</v>
      </c>
    </row>
    <row r="2666">
      <c r="A2666" s="89" t="n">
        <v>41841</v>
      </c>
      <c r="D2666" t="n">
        <v>2860.9</v>
      </c>
    </row>
    <row r="2667">
      <c r="A2667" s="89" t="n">
        <v>41848</v>
      </c>
      <c r="D2667" t="n">
        <v>2841.4</v>
      </c>
    </row>
    <row r="2668">
      <c r="A2668" s="89" t="n">
        <v>41852</v>
      </c>
      <c r="B2668" t="n">
        <v>1180.7</v>
      </c>
      <c r="C2668" t="n">
        <v>4827.3</v>
      </c>
      <c r="E2668" t="n">
        <v>11462.9</v>
      </c>
    </row>
    <row r="2669">
      <c r="A2669" s="89" t="n">
        <v>41855</v>
      </c>
      <c r="D2669" t="n">
        <v>2841.9</v>
      </c>
    </row>
    <row r="2670">
      <c r="A2670" s="89" t="n">
        <v>41862</v>
      </c>
      <c r="D2670" t="n">
        <v>2807.8</v>
      </c>
    </row>
    <row r="2671">
      <c r="A2671" s="89" t="n">
        <v>41869</v>
      </c>
      <c r="D2671" t="n">
        <v>2781.3</v>
      </c>
    </row>
    <row r="2672">
      <c r="A2672" s="89" t="n">
        <v>41876</v>
      </c>
      <c r="D2672" t="n">
        <v>2794.1</v>
      </c>
    </row>
    <row r="2673">
      <c r="A2673" s="89" t="n">
        <v>41883</v>
      </c>
      <c r="B2673" t="n">
        <v>1204.9</v>
      </c>
      <c r="C2673" t="n">
        <v>4841.2</v>
      </c>
      <c r="D2673" t="n">
        <v>2809.6</v>
      </c>
      <c r="E2673" t="n">
        <v>11496.7</v>
      </c>
    </row>
    <row r="2674">
      <c r="A2674" s="89" t="n">
        <v>41890</v>
      </c>
      <c r="D2674" t="n">
        <v>2841</v>
      </c>
    </row>
    <row r="2675">
      <c r="A2675" s="89" t="n">
        <v>41897</v>
      </c>
      <c r="D2675" t="n">
        <v>2870.6</v>
      </c>
    </row>
    <row r="2676">
      <c r="A2676" s="89" t="n">
        <v>41904</v>
      </c>
      <c r="D2676" t="n">
        <v>2873</v>
      </c>
    </row>
    <row r="2677">
      <c r="A2677" s="89" t="n">
        <v>41911</v>
      </c>
      <c r="D2677" t="n">
        <v>2874</v>
      </c>
    </row>
    <row r="2678">
      <c r="A2678" s="89" t="n">
        <v>41913</v>
      </c>
      <c r="B2678" t="n">
        <v>1208.1</v>
      </c>
      <c r="C2678" t="n">
        <v>4868.2</v>
      </c>
      <c r="E2678" t="n">
        <v>11558.6</v>
      </c>
      <c r="F2678" t="n">
        <v>1.538</v>
      </c>
    </row>
    <row r="2679">
      <c r="A2679" s="89" t="n">
        <v>41918</v>
      </c>
      <c r="D2679" t="n">
        <v>2851.7</v>
      </c>
    </row>
    <row r="2680">
      <c r="A2680" s="89" t="n">
        <v>41925</v>
      </c>
      <c r="D2680" t="n">
        <v>2857.2</v>
      </c>
    </row>
    <row r="2681">
      <c r="A2681" s="89" t="n">
        <v>41932</v>
      </c>
      <c r="D2681" t="n">
        <v>2862.6</v>
      </c>
    </row>
    <row r="2682">
      <c r="A2682" s="89" t="n">
        <v>41939</v>
      </c>
      <c r="D2682" t="n">
        <v>2869.6</v>
      </c>
    </row>
    <row r="2683">
      <c r="A2683" s="89" t="n">
        <v>41944</v>
      </c>
      <c r="B2683" t="n">
        <v>1217.9</v>
      </c>
      <c r="C2683" t="n">
        <v>4892.6</v>
      </c>
      <c r="E2683" t="n">
        <v>11594.7</v>
      </c>
    </row>
    <row r="2684">
      <c r="A2684" s="89" t="n">
        <v>41946</v>
      </c>
      <c r="D2684" t="n">
        <v>2919.6</v>
      </c>
    </row>
    <row r="2685">
      <c r="A2685" s="89" t="n">
        <v>41953</v>
      </c>
      <c r="D2685" t="n">
        <v>2891.6</v>
      </c>
    </row>
    <row r="2686">
      <c r="A2686" s="89" t="n">
        <v>41960</v>
      </c>
      <c r="D2686" t="n">
        <v>2871.4</v>
      </c>
    </row>
    <row r="2687">
      <c r="A2687" s="89" t="n">
        <v>41967</v>
      </c>
      <c r="D2687" t="n">
        <v>2880.7</v>
      </c>
    </row>
    <row r="2688">
      <c r="A2688" s="89" t="n">
        <v>41974</v>
      </c>
      <c r="B2688" t="n">
        <v>1244.2</v>
      </c>
      <c r="C2688" t="n">
        <v>4941.3</v>
      </c>
      <c r="D2688" t="n">
        <v>2885.7</v>
      </c>
      <c r="E2688" t="n">
        <v>11674</v>
      </c>
    </row>
    <row r="2689">
      <c r="A2689" s="89" t="n">
        <v>41981</v>
      </c>
      <c r="D2689" t="n">
        <v>2929</v>
      </c>
    </row>
    <row r="2690">
      <c r="A2690" s="89" t="n">
        <v>41988</v>
      </c>
      <c r="D2690" t="n">
        <v>2944.2</v>
      </c>
    </row>
    <row r="2691">
      <c r="A2691" s="89" t="n">
        <v>41995</v>
      </c>
      <c r="D2691" t="n">
        <v>2959.7</v>
      </c>
    </row>
    <row r="2692">
      <c r="A2692" s="89" t="n">
        <v>42002</v>
      </c>
      <c r="D2692" t="n">
        <v>2937.8</v>
      </c>
    </row>
    <row r="2693">
      <c r="A2693" s="89" t="n">
        <v>42005</v>
      </c>
      <c r="B2693" t="n">
        <v>1252.8</v>
      </c>
      <c r="C2693" t="n">
        <v>5002.8</v>
      </c>
      <c r="E2693" t="n">
        <v>11743.9</v>
      </c>
      <c r="F2693" t="n">
        <v>1.52</v>
      </c>
    </row>
    <row r="2694">
      <c r="A2694" s="89" t="n">
        <v>42009</v>
      </c>
      <c r="D2694" t="n">
        <v>2934</v>
      </c>
    </row>
    <row r="2695">
      <c r="A2695" s="89" t="n">
        <v>42016</v>
      </c>
      <c r="D2695" t="n">
        <v>2930.6</v>
      </c>
    </row>
    <row r="2696">
      <c r="A2696" s="89" t="n">
        <v>42023</v>
      </c>
      <c r="D2696" t="n">
        <v>2917.8</v>
      </c>
    </row>
    <row r="2697">
      <c r="A2697" s="89" t="n">
        <v>42030</v>
      </c>
      <c r="D2697" t="n">
        <v>2935.5</v>
      </c>
    </row>
    <row r="2698">
      <c r="A2698" s="89" t="n">
        <v>42036</v>
      </c>
      <c r="B2698" t="n">
        <v>1278.7</v>
      </c>
      <c r="C2698" t="n">
        <v>5044.4</v>
      </c>
      <c r="E2698" t="n">
        <v>11871.7</v>
      </c>
    </row>
    <row r="2699">
      <c r="A2699" s="89" t="n">
        <v>42037</v>
      </c>
      <c r="D2699" t="n">
        <v>2999.4</v>
      </c>
    </row>
    <row r="2700">
      <c r="A2700" s="89" t="n">
        <v>42044</v>
      </c>
      <c r="D2700" t="n">
        <v>3002.2</v>
      </c>
    </row>
    <row r="2701">
      <c r="A2701" s="89" t="n">
        <v>42051</v>
      </c>
      <c r="D2701" t="n">
        <v>3005.6</v>
      </c>
    </row>
    <row r="2702">
      <c r="A2702" s="89" t="n">
        <v>42058</v>
      </c>
      <c r="D2702" t="n">
        <v>3006.4</v>
      </c>
    </row>
    <row r="2703">
      <c r="A2703" s="89" t="n">
        <v>42064</v>
      </c>
      <c r="B2703" t="n">
        <v>1272.2</v>
      </c>
      <c r="C2703" t="n">
        <v>5037.8</v>
      </c>
      <c r="E2703" t="n">
        <v>11888.1</v>
      </c>
    </row>
    <row r="2704">
      <c r="A2704" s="89" t="n">
        <v>42065</v>
      </c>
      <c r="D2704" t="n">
        <v>3015.5</v>
      </c>
    </row>
    <row r="2705">
      <c r="A2705" s="89" t="n">
        <v>42072</v>
      </c>
      <c r="D2705" t="n">
        <v>3013.2</v>
      </c>
    </row>
    <row r="2706">
      <c r="A2706" s="89" t="n">
        <v>42079</v>
      </c>
      <c r="D2706" t="n">
        <v>2995.8</v>
      </c>
    </row>
    <row r="2707">
      <c r="A2707" s="89" t="n">
        <v>42086</v>
      </c>
      <c r="D2707" t="n">
        <v>3000.2</v>
      </c>
    </row>
    <row r="2708">
      <c r="A2708" s="89" t="n">
        <v>42093</v>
      </c>
      <c r="D2708" t="n">
        <v>2987.5</v>
      </c>
    </row>
    <row r="2709">
      <c r="A2709" s="89" t="n">
        <v>42095</v>
      </c>
      <c r="B2709" t="n">
        <v>1270.6</v>
      </c>
      <c r="C2709" t="n">
        <v>5049.3</v>
      </c>
      <c r="E2709" t="n">
        <v>11927.6</v>
      </c>
      <c r="F2709" t="n">
        <v>1.521</v>
      </c>
    </row>
    <row r="2710">
      <c r="A2710" s="89" t="n">
        <v>42100</v>
      </c>
      <c r="D2710" t="n">
        <v>2977.8</v>
      </c>
    </row>
    <row r="2711">
      <c r="A2711" s="89" t="n">
        <v>42107</v>
      </c>
      <c r="D2711" t="n">
        <v>3014.8</v>
      </c>
    </row>
    <row r="2712">
      <c r="A2712" s="89" t="n">
        <v>42114</v>
      </c>
      <c r="D2712" t="n">
        <v>3015.8</v>
      </c>
    </row>
    <row r="2713">
      <c r="A2713" s="89" t="n">
        <v>42121</v>
      </c>
      <c r="D2713" t="n">
        <v>2994.4</v>
      </c>
    </row>
    <row r="2714">
      <c r="A2714" s="89" t="n">
        <v>42125</v>
      </c>
      <c r="B2714" t="n">
        <v>1258.9</v>
      </c>
      <c r="C2714" t="n">
        <v>5045.5</v>
      </c>
      <c r="E2714" t="n">
        <v>11957.9</v>
      </c>
    </row>
    <row r="2715">
      <c r="A2715" s="89" t="n">
        <v>42128</v>
      </c>
      <c r="D2715" t="n">
        <v>2995.3</v>
      </c>
    </row>
    <row r="2716">
      <c r="A2716" s="89" t="n">
        <v>42135</v>
      </c>
      <c r="D2716" t="n">
        <v>2997.1</v>
      </c>
    </row>
    <row r="2717">
      <c r="A2717" s="89" t="n">
        <v>42142</v>
      </c>
      <c r="D2717" t="n">
        <v>2970.3</v>
      </c>
    </row>
    <row r="2718">
      <c r="A2718" s="89" t="n">
        <v>42149</v>
      </c>
      <c r="D2718" t="n">
        <v>2994.8</v>
      </c>
    </row>
    <row r="2719">
      <c r="A2719" s="89" t="n">
        <v>42156</v>
      </c>
      <c r="B2719" t="n">
        <v>1270.9</v>
      </c>
      <c r="C2719" t="n">
        <v>5050.5</v>
      </c>
      <c r="D2719" t="n">
        <v>2977.1</v>
      </c>
      <c r="E2719" t="n">
        <v>12002.9</v>
      </c>
    </row>
    <row r="2720">
      <c r="A2720" s="89" t="n">
        <v>42163</v>
      </c>
      <c r="D2720" t="n">
        <v>2990.7</v>
      </c>
    </row>
    <row r="2721">
      <c r="A2721" s="89" t="n">
        <v>42170</v>
      </c>
      <c r="D2721" t="n">
        <v>3012.6</v>
      </c>
    </row>
    <row r="2722">
      <c r="A2722" s="89" t="n">
        <v>42177</v>
      </c>
      <c r="D2722" t="n">
        <v>3037.1</v>
      </c>
    </row>
    <row r="2723">
      <c r="A2723" s="89" t="n">
        <v>42184</v>
      </c>
      <c r="D2723" t="n">
        <v>3047.2</v>
      </c>
    </row>
    <row r="2724">
      <c r="A2724" s="89" t="n">
        <v>42186</v>
      </c>
      <c r="B2724" t="n">
        <v>1276.3</v>
      </c>
      <c r="C2724" t="n">
        <v>5063.1</v>
      </c>
      <c r="E2724" t="n">
        <v>12052</v>
      </c>
      <c r="F2724" t="n">
        <v>1.513</v>
      </c>
    </row>
    <row r="2725">
      <c r="A2725" s="89" t="n">
        <v>42191</v>
      </c>
      <c r="D2725" t="n">
        <v>3022.5</v>
      </c>
    </row>
    <row r="2726">
      <c r="A2726" s="89" t="n">
        <v>42198</v>
      </c>
      <c r="D2726" t="n">
        <v>3035.5</v>
      </c>
    </row>
    <row r="2727">
      <c r="A2727" s="89" t="n">
        <v>42205</v>
      </c>
      <c r="D2727" t="n">
        <v>3038.4</v>
      </c>
    </row>
    <row r="2728">
      <c r="A2728" s="89" t="n">
        <v>42212</v>
      </c>
      <c r="D2728" t="n">
        <v>3033.5</v>
      </c>
    </row>
    <row r="2729">
      <c r="A2729" s="89" t="n">
        <v>42217</v>
      </c>
      <c r="B2729" t="n">
        <v>1272.3</v>
      </c>
      <c r="C2729" t="n">
        <v>5083.6</v>
      </c>
      <c r="E2729" t="n">
        <v>12100.6</v>
      </c>
    </row>
    <row r="2730">
      <c r="A2730" s="89" t="n">
        <v>42219</v>
      </c>
      <c r="D2730" t="n">
        <v>3092</v>
      </c>
    </row>
    <row r="2731">
      <c r="A2731" s="89" t="n">
        <v>42226</v>
      </c>
      <c r="D2731" t="n">
        <v>3033.6</v>
      </c>
    </row>
    <row r="2732">
      <c r="A2732" s="89" t="n">
        <v>42233</v>
      </c>
      <c r="D2732" t="n">
        <v>3013.6</v>
      </c>
    </row>
    <row r="2733">
      <c r="A2733" s="89" t="n">
        <v>42240</v>
      </c>
      <c r="D2733" t="n">
        <v>3025.7</v>
      </c>
    </row>
    <row r="2734">
      <c r="A2734" s="89" t="n">
        <v>42247</v>
      </c>
      <c r="D2734" t="n">
        <v>3018.5</v>
      </c>
    </row>
    <row r="2735">
      <c r="A2735" s="89" t="n">
        <v>42248</v>
      </c>
      <c r="B2735" t="n">
        <v>1281.3</v>
      </c>
      <c r="C2735" t="n">
        <v>5117.8</v>
      </c>
      <c r="E2735" t="n">
        <v>12154.6</v>
      </c>
    </row>
    <row r="2736">
      <c r="A2736" s="89" t="n">
        <v>42254</v>
      </c>
      <c r="D2736" t="n">
        <v>3012</v>
      </c>
    </row>
    <row r="2737">
      <c r="A2737" s="89" t="n">
        <v>42261</v>
      </c>
      <c r="D2737" t="n">
        <v>3048.2</v>
      </c>
    </row>
    <row r="2738">
      <c r="A2738" s="89" t="n">
        <v>42268</v>
      </c>
      <c r="D2738" t="n">
        <v>3074.9</v>
      </c>
    </row>
    <row r="2739">
      <c r="A2739" s="89" t="n">
        <v>42275</v>
      </c>
      <c r="D2739" t="n">
        <v>3053.2</v>
      </c>
    </row>
    <row r="2740">
      <c r="A2740" s="89" t="n">
        <v>42278</v>
      </c>
      <c r="B2740" t="n">
        <v>1269.1</v>
      </c>
      <c r="C2740" t="n">
        <v>5128.7</v>
      </c>
      <c r="E2740" t="n">
        <v>12192.5</v>
      </c>
      <c r="F2740" t="n">
        <v>1.494</v>
      </c>
    </row>
    <row r="2741">
      <c r="A2741" s="89" t="n">
        <v>42282</v>
      </c>
      <c r="D2741" t="n">
        <v>3016.1</v>
      </c>
    </row>
    <row r="2742">
      <c r="A2742" s="89" t="n">
        <v>42289</v>
      </c>
      <c r="D2742" t="n">
        <v>2999.1</v>
      </c>
    </row>
    <row r="2743">
      <c r="A2743" s="89" t="n">
        <v>42296</v>
      </c>
      <c r="D2743" t="n">
        <v>2996.2</v>
      </c>
    </row>
    <row r="2744">
      <c r="A2744" s="89" t="n">
        <v>42303</v>
      </c>
      <c r="D2744" t="n">
        <v>3023.1</v>
      </c>
    </row>
    <row r="2745">
      <c r="A2745" s="89" t="n">
        <v>42309</v>
      </c>
      <c r="B2745" t="n">
        <v>1294.5</v>
      </c>
      <c r="C2745" t="n">
        <v>5158</v>
      </c>
      <c r="E2745" t="n">
        <v>12277</v>
      </c>
    </row>
    <row r="2746">
      <c r="A2746" s="89" t="n">
        <v>42310</v>
      </c>
      <c r="D2746" t="n">
        <v>3067.6</v>
      </c>
    </row>
    <row r="2747">
      <c r="A2747" s="89" t="n">
        <v>42317</v>
      </c>
      <c r="D2747" t="n">
        <v>3077.4</v>
      </c>
    </row>
    <row r="2748">
      <c r="A2748" s="89" t="n">
        <v>42324</v>
      </c>
      <c r="D2748" t="n">
        <v>3072.7</v>
      </c>
    </row>
    <row r="2749">
      <c r="A2749" s="89" t="n">
        <v>42331</v>
      </c>
      <c r="D2749" t="n">
        <v>3095.2</v>
      </c>
    </row>
    <row r="2750">
      <c r="A2750" s="89" t="n">
        <v>42338</v>
      </c>
      <c r="D2750" t="n">
        <v>3084.4</v>
      </c>
    </row>
    <row r="2751">
      <c r="A2751" s="89" t="n">
        <v>42339</v>
      </c>
      <c r="B2751" t="n">
        <v>1302.3</v>
      </c>
      <c r="C2751" t="n">
        <v>5190.1</v>
      </c>
      <c r="E2751" t="n">
        <v>12340.1</v>
      </c>
    </row>
    <row r="2752">
      <c r="A2752" s="89" t="n">
        <v>42345</v>
      </c>
      <c r="D2752" t="n">
        <v>3038.9</v>
      </c>
    </row>
    <row r="2753">
      <c r="A2753" s="89" t="n">
        <v>42352</v>
      </c>
      <c r="D2753" t="n">
        <v>3083.8</v>
      </c>
    </row>
    <row r="2754">
      <c r="A2754" s="89" t="n">
        <v>42359</v>
      </c>
      <c r="D2754" t="n">
        <v>3116.8</v>
      </c>
    </row>
    <row r="2755">
      <c r="A2755" s="89" t="n">
        <v>42366</v>
      </c>
      <c r="D2755" t="n">
        <v>3099.9</v>
      </c>
    </row>
    <row r="2756">
      <c r="A2756" s="89" t="n">
        <v>42370</v>
      </c>
      <c r="B2756" t="n">
        <v>1304.4</v>
      </c>
      <c r="C2756" t="n">
        <v>5247.8</v>
      </c>
      <c r="E2756" t="n">
        <v>12471.4</v>
      </c>
      <c r="F2756" t="n">
        <v>1.469</v>
      </c>
    </row>
    <row r="2757">
      <c r="A2757" s="89" t="n">
        <v>42373</v>
      </c>
      <c r="D2757" t="n">
        <v>3177.3</v>
      </c>
    </row>
    <row r="2758">
      <c r="A2758" s="89" t="n">
        <v>42380</v>
      </c>
      <c r="D2758" t="n">
        <v>3090.4</v>
      </c>
    </row>
    <row r="2759">
      <c r="A2759" s="89" t="n">
        <v>42387</v>
      </c>
      <c r="D2759" t="n">
        <v>3079.7</v>
      </c>
    </row>
    <row r="2760">
      <c r="A2760" s="89" t="n">
        <v>42394</v>
      </c>
      <c r="D2760" t="n">
        <v>3093.3</v>
      </c>
    </row>
    <row r="2761">
      <c r="A2761" s="89" t="n">
        <v>42401</v>
      </c>
      <c r="B2761" t="n">
        <v>1320.2</v>
      </c>
      <c r="C2761" t="n">
        <v>5288.8</v>
      </c>
      <c r="D2761" t="n">
        <v>3079.9</v>
      </c>
      <c r="E2761" t="n">
        <v>12552.3</v>
      </c>
    </row>
    <row r="2762">
      <c r="A2762" s="89" t="n">
        <v>42408</v>
      </c>
      <c r="D2762" t="n">
        <v>3084.2</v>
      </c>
    </row>
    <row r="2763">
      <c r="A2763" s="89" t="n">
        <v>42415</v>
      </c>
      <c r="D2763" t="n">
        <v>3138.4</v>
      </c>
    </row>
    <row r="2764">
      <c r="A2764" s="89" t="n">
        <v>42422</v>
      </c>
      <c r="D2764" t="n">
        <v>3134.3</v>
      </c>
    </row>
    <row r="2765">
      <c r="A2765" s="89" t="n">
        <v>42429</v>
      </c>
      <c r="D2765" t="n">
        <v>3165.8</v>
      </c>
    </row>
    <row r="2766">
      <c r="A2766" s="89" t="n">
        <v>42430</v>
      </c>
      <c r="B2766" t="n">
        <v>1326.1</v>
      </c>
      <c r="C2766" t="n">
        <v>5299.3</v>
      </c>
      <c r="E2766" t="n">
        <v>12616.6</v>
      </c>
    </row>
    <row r="2767">
      <c r="A2767" s="89" t="n">
        <v>42436</v>
      </c>
      <c r="D2767" t="n">
        <v>3107.5</v>
      </c>
    </row>
    <row r="2768">
      <c r="A2768" s="89" t="n">
        <v>42443</v>
      </c>
      <c r="D2768" t="n">
        <v>3134.2</v>
      </c>
    </row>
    <row r="2769">
      <c r="A2769" s="89" t="n">
        <v>42450</v>
      </c>
      <c r="D2769" t="n">
        <v>3174.5</v>
      </c>
    </row>
    <row r="2770">
      <c r="A2770" s="89" t="n">
        <v>42457</v>
      </c>
      <c r="D2770" t="n">
        <v>3181</v>
      </c>
    </row>
    <row r="2771">
      <c r="A2771" s="89" t="n">
        <v>42461</v>
      </c>
      <c r="B2771" t="n">
        <v>1338.6</v>
      </c>
      <c r="C2771" t="n">
        <v>5312.7</v>
      </c>
      <c r="E2771" t="n">
        <v>12697</v>
      </c>
      <c r="F2771" t="n">
        <v>1.458</v>
      </c>
    </row>
    <row r="2772">
      <c r="A2772" s="89" t="n">
        <v>42464</v>
      </c>
      <c r="D2772" t="n">
        <v>3180.7</v>
      </c>
    </row>
    <row r="2773">
      <c r="A2773" s="89" t="n">
        <v>42471</v>
      </c>
      <c r="D2773" t="n">
        <v>3198.4</v>
      </c>
    </row>
    <row r="2774">
      <c r="A2774" s="89" t="n">
        <v>42478</v>
      </c>
      <c r="D2774" t="n">
        <v>3182.4</v>
      </c>
    </row>
    <row r="2775">
      <c r="A2775" s="89" t="n">
        <v>42485</v>
      </c>
      <c r="D2775" t="n">
        <v>3203.5</v>
      </c>
    </row>
    <row r="2776">
      <c r="A2776" s="89" t="n">
        <v>42491</v>
      </c>
      <c r="B2776" t="n">
        <v>1351.4</v>
      </c>
      <c r="C2776" t="n">
        <v>5328</v>
      </c>
      <c r="E2776" t="n">
        <v>12763.7</v>
      </c>
    </row>
    <row r="2777">
      <c r="A2777" s="89" t="n">
        <v>42492</v>
      </c>
      <c r="D2777" t="n">
        <v>3242.5</v>
      </c>
    </row>
    <row r="2778">
      <c r="A2778" s="89" t="n">
        <v>42499</v>
      </c>
      <c r="D2778" t="n">
        <v>3255.3</v>
      </c>
    </row>
    <row r="2779">
      <c r="A2779" s="89" t="n">
        <v>42506</v>
      </c>
      <c r="D2779" t="n">
        <v>3236.6</v>
      </c>
    </row>
    <row r="2780">
      <c r="A2780" s="89" t="n">
        <v>42513</v>
      </c>
      <c r="D2780" t="n">
        <v>3248.8</v>
      </c>
    </row>
    <row r="2781">
      <c r="A2781" s="89" t="n">
        <v>42520</v>
      </c>
      <c r="D2781" t="n">
        <v>3218.7</v>
      </c>
    </row>
    <row r="2782">
      <c r="A2782" s="89" t="n">
        <v>42522</v>
      </c>
      <c r="B2782" t="n">
        <v>1350.5</v>
      </c>
      <c r="C2782" t="n">
        <v>5341.1</v>
      </c>
      <c r="E2782" t="n">
        <v>12830.6</v>
      </c>
    </row>
    <row r="2783">
      <c r="A2783" s="89" t="n">
        <v>42527</v>
      </c>
      <c r="D2783" t="n">
        <v>3207</v>
      </c>
    </row>
    <row r="2784">
      <c r="A2784" s="89" t="n">
        <v>42534</v>
      </c>
      <c r="D2784" t="n">
        <v>3256.1</v>
      </c>
    </row>
    <row r="2785">
      <c r="A2785" s="89" t="n">
        <v>42541</v>
      </c>
      <c r="D2785" t="n">
        <v>3270.2</v>
      </c>
    </row>
    <row r="2786">
      <c r="A2786" s="89" t="n">
        <v>42548</v>
      </c>
      <c r="D2786" t="n">
        <v>3247.8</v>
      </c>
    </row>
    <row r="2787">
      <c r="A2787" s="89" t="n">
        <v>42552</v>
      </c>
      <c r="B2787" t="n">
        <v>1350.5</v>
      </c>
      <c r="C2787" t="n">
        <v>5368.2</v>
      </c>
      <c r="E2787" t="n">
        <v>12889.1</v>
      </c>
      <c r="F2787" t="n">
        <v>1.449</v>
      </c>
    </row>
    <row r="2788">
      <c r="A2788" s="89" t="n">
        <v>42555</v>
      </c>
      <c r="D2788" t="n">
        <v>3251.2</v>
      </c>
    </row>
    <row r="2789">
      <c r="A2789" s="89" t="n">
        <v>42562</v>
      </c>
      <c r="D2789" t="n">
        <v>3260.8</v>
      </c>
    </row>
    <row r="2790">
      <c r="A2790" s="89" t="n">
        <v>42569</v>
      </c>
      <c r="D2790" t="n">
        <v>3243.4</v>
      </c>
    </row>
    <row r="2791">
      <c r="A2791" s="89" t="n">
        <v>42576</v>
      </c>
      <c r="D2791" t="n">
        <v>3253.9</v>
      </c>
    </row>
    <row r="2792">
      <c r="A2792" s="89" t="n">
        <v>42583</v>
      </c>
      <c r="B2792" t="n">
        <v>1378.4</v>
      </c>
      <c r="C2792" t="n">
        <v>5391.2</v>
      </c>
      <c r="D2792" t="n">
        <v>3232.7</v>
      </c>
      <c r="E2792" t="n">
        <v>12968.2</v>
      </c>
    </row>
    <row r="2793">
      <c r="A2793" s="89" t="n">
        <v>42590</v>
      </c>
      <c r="D2793" t="n">
        <v>3299.2</v>
      </c>
    </row>
    <row r="2794">
      <c r="A2794" s="89" t="n">
        <v>42597</v>
      </c>
      <c r="D2794" t="n">
        <v>3323.6</v>
      </c>
    </row>
    <row r="2795">
      <c r="A2795" s="89" t="n">
        <v>42604</v>
      </c>
      <c r="D2795" t="n">
        <v>3344.1</v>
      </c>
    </row>
    <row r="2796">
      <c r="A2796" s="89" t="n">
        <v>42611</v>
      </c>
      <c r="D2796" t="n">
        <v>3323.7</v>
      </c>
    </row>
    <row r="2797">
      <c r="A2797" s="89" t="n">
        <v>42614</v>
      </c>
      <c r="B2797" t="n">
        <v>1377.7</v>
      </c>
      <c r="C2797" t="n">
        <v>5401.6</v>
      </c>
      <c r="E2797" t="n">
        <v>13027.4</v>
      </c>
    </row>
    <row r="2798">
      <c r="A2798" s="89" t="n">
        <v>42618</v>
      </c>
      <c r="D2798" t="n">
        <v>3288.9</v>
      </c>
    </row>
    <row r="2799">
      <c r="A2799" s="89" t="n">
        <v>42625</v>
      </c>
      <c r="D2799" t="n">
        <v>3333.2</v>
      </c>
    </row>
    <row r="2800">
      <c r="A2800" s="89" t="n">
        <v>42632</v>
      </c>
      <c r="D2800" t="n">
        <v>3324.8</v>
      </c>
    </row>
    <row r="2801">
      <c r="A2801" s="89" t="n">
        <v>42639</v>
      </c>
      <c r="D2801" t="n">
        <v>3322.3</v>
      </c>
    </row>
    <row r="2802">
      <c r="A2802" s="89" t="n">
        <v>42644</v>
      </c>
      <c r="B2802" t="n">
        <v>1377.6</v>
      </c>
      <c r="C2802" t="n">
        <v>5418.9</v>
      </c>
      <c r="E2802" t="n">
        <v>13099.7</v>
      </c>
      <c r="F2802" t="n">
        <v>1.441</v>
      </c>
    </row>
    <row r="2803">
      <c r="A2803" s="89" t="n">
        <v>42646</v>
      </c>
      <c r="D2803" t="n">
        <v>3374.5</v>
      </c>
    </row>
    <row r="2804">
      <c r="A2804" s="89" t="n">
        <v>42653</v>
      </c>
      <c r="D2804" t="n">
        <v>3362.5</v>
      </c>
    </row>
    <row r="2805">
      <c r="A2805" s="89" t="n">
        <v>42660</v>
      </c>
      <c r="D2805" t="n">
        <v>3309.1</v>
      </c>
    </row>
    <row r="2806">
      <c r="A2806" s="89" t="n">
        <v>42667</v>
      </c>
      <c r="D2806" t="n">
        <v>3318.6</v>
      </c>
    </row>
    <row r="2807">
      <c r="A2807" s="89" t="n">
        <v>42674</v>
      </c>
      <c r="D2807" t="n">
        <v>3328.7</v>
      </c>
    </row>
    <row r="2808">
      <c r="A2808" s="89" t="n">
        <v>42675</v>
      </c>
      <c r="B2808" t="n">
        <v>1386.1</v>
      </c>
      <c r="C2808" t="n">
        <v>5443.3</v>
      </c>
      <c r="E2808" t="n">
        <v>13174.1</v>
      </c>
    </row>
    <row r="2809">
      <c r="A2809" s="89" t="n">
        <v>42681</v>
      </c>
      <c r="D2809" t="n">
        <v>3305.2</v>
      </c>
    </row>
    <row r="2810">
      <c r="A2810" s="89" t="n">
        <v>42688</v>
      </c>
      <c r="D2810" t="n">
        <v>3368</v>
      </c>
    </row>
    <row r="2811">
      <c r="A2811" s="89" t="n">
        <v>42695</v>
      </c>
      <c r="D2811" t="n">
        <v>3385.6</v>
      </c>
    </row>
    <row r="2812">
      <c r="A2812" s="89" t="n">
        <v>42702</v>
      </c>
      <c r="D2812" t="n">
        <v>3360.5</v>
      </c>
    </row>
    <row r="2813">
      <c r="A2813" s="89" t="n">
        <v>42705</v>
      </c>
      <c r="B2813" t="n">
        <v>1378.8</v>
      </c>
      <c r="C2813" t="n">
        <v>5446.1</v>
      </c>
      <c r="E2813" t="n">
        <v>13214.2</v>
      </c>
    </row>
    <row r="2814">
      <c r="A2814" s="89" t="n">
        <v>42709</v>
      </c>
      <c r="D2814" t="n">
        <v>3324.3</v>
      </c>
    </row>
    <row r="2815">
      <c r="A2815" s="89" t="n">
        <v>42716</v>
      </c>
      <c r="D2815" t="n">
        <v>3347.2</v>
      </c>
    </row>
    <row r="2816">
      <c r="A2816" s="89" t="n">
        <v>42723</v>
      </c>
      <c r="D2816" t="n">
        <v>3328.7</v>
      </c>
    </row>
    <row r="2817">
      <c r="A2817" s="89" t="n">
        <v>42730</v>
      </c>
      <c r="D2817" t="n">
        <v>3345.9</v>
      </c>
    </row>
    <row r="2818">
      <c r="A2818" s="89" t="n">
        <v>42736</v>
      </c>
      <c r="B2818" t="n">
        <v>1394.9</v>
      </c>
      <c r="C2818" t="n">
        <v>5454.7</v>
      </c>
      <c r="E2818" t="n">
        <v>13288.7</v>
      </c>
      <c r="F2818" t="n">
        <v>1.434</v>
      </c>
    </row>
    <row r="2819">
      <c r="A2819" s="89" t="n">
        <v>42737</v>
      </c>
      <c r="D2819" t="n">
        <v>3351.8</v>
      </c>
    </row>
    <row r="2820">
      <c r="A2820" s="89" t="n">
        <v>42744</v>
      </c>
      <c r="D2820" t="n">
        <v>3383.8</v>
      </c>
    </row>
    <row r="2821">
      <c r="A2821" s="89" t="n">
        <v>42751</v>
      </c>
      <c r="D2821" t="n">
        <v>3388.8</v>
      </c>
    </row>
    <row r="2822">
      <c r="A2822" s="89" t="n">
        <v>42758</v>
      </c>
      <c r="D2822" t="n">
        <v>3394.6</v>
      </c>
    </row>
    <row r="2823">
      <c r="A2823" s="89" t="n">
        <v>42765</v>
      </c>
      <c r="D2823" t="n">
        <v>3399.7</v>
      </c>
    </row>
    <row r="2824">
      <c r="A2824" s="89" t="n">
        <v>42767</v>
      </c>
      <c r="B2824" t="n">
        <v>1398.8</v>
      </c>
      <c r="C2824" t="n">
        <v>5478</v>
      </c>
      <c r="E2824" t="n">
        <v>13359.2</v>
      </c>
    </row>
    <row r="2825">
      <c r="A2825" s="89" t="n">
        <v>42772</v>
      </c>
      <c r="D2825" t="n">
        <v>3364.4</v>
      </c>
    </row>
    <row r="2826">
      <c r="A2826" s="89" t="n">
        <v>42779</v>
      </c>
      <c r="D2826" t="n">
        <v>3394.4</v>
      </c>
    </row>
    <row r="2827">
      <c r="A2827" s="89" t="n">
        <v>42786</v>
      </c>
      <c r="D2827" t="n">
        <v>3426.8</v>
      </c>
    </row>
    <row r="2828">
      <c r="A2828" s="89" t="n">
        <v>42793</v>
      </c>
      <c r="D2828" t="n">
        <v>3420.9</v>
      </c>
    </row>
    <row r="2829">
      <c r="A2829" s="89" t="n">
        <v>42795</v>
      </c>
      <c r="B2829" t="n">
        <v>1417.8</v>
      </c>
      <c r="C2829" t="n">
        <v>5508.8</v>
      </c>
      <c r="E2829" t="n">
        <v>13428.6</v>
      </c>
    </row>
    <row r="2830">
      <c r="A2830" s="89" t="n">
        <v>42800</v>
      </c>
      <c r="D2830" t="n">
        <v>3394.1</v>
      </c>
    </row>
    <row r="2831">
      <c r="A2831" s="89" t="n">
        <v>42807</v>
      </c>
      <c r="D2831" t="n">
        <v>3446.1</v>
      </c>
    </row>
    <row r="2832">
      <c r="A2832" s="89" t="n">
        <v>42814</v>
      </c>
      <c r="D2832" t="n">
        <v>3458.6</v>
      </c>
    </row>
    <row r="2833">
      <c r="A2833" s="89" t="n">
        <v>42821</v>
      </c>
      <c r="D2833" t="n">
        <v>3445.8</v>
      </c>
    </row>
    <row r="2834">
      <c r="A2834" s="89" t="n">
        <v>42826</v>
      </c>
      <c r="B2834" t="n">
        <v>1412.4</v>
      </c>
      <c r="C2834" t="n">
        <v>5521.1</v>
      </c>
      <c r="E2834" t="n">
        <v>13486.6</v>
      </c>
      <c r="F2834" t="n">
        <v>1.428</v>
      </c>
    </row>
    <row r="2835">
      <c r="A2835" s="89" t="n">
        <v>42828</v>
      </c>
      <c r="D2835" t="n">
        <v>3518.4</v>
      </c>
    </row>
    <row r="2836">
      <c r="A2836" s="89" t="n">
        <v>42835</v>
      </c>
      <c r="D2836" t="n">
        <v>3457</v>
      </c>
    </row>
    <row r="2837">
      <c r="A2837" s="89" t="n">
        <v>42842</v>
      </c>
      <c r="D2837" t="n">
        <v>3441.1</v>
      </c>
    </row>
    <row r="2838">
      <c r="A2838" s="89" t="n">
        <v>42849</v>
      </c>
      <c r="D2838" t="n">
        <v>3446.2</v>
      </c>
    </row>
    <row r="2839">
      <c r="A2839" s="89" t="n">
        <v>42856</v>
      </c>
      <c r="B2839" t="n">
        <v>1439.3</v>
      </c>
      <c r="C2839" t="n">
        <v>5546.5</v>
      </c>
      <c r="D2839" t="n">
        <v>3450.2</v>
      </c>
      <c r="E2839" t="n">
        <v>13537.3</v>
      </c>
    </row>
    <row r="2840">
      <c r="A2840" s="89" t="n">
        <v>42863</v>
      </c>
      <c r="D2840" t="n">
        <v>3502.8</v>
      </c>
    </row>
    <row r="2841">
      <c r="A2841" s="89" t="n">
        <v>42870</v>
      </c>
      <c r="D2841" t="n">
        <v>3526.1</v>
      </c>
    </row>
    <row r="2842">
      <c r="A2842" s="89" t="n">
        <v>42877</v>
      </c>
      <c r="D2842" t="n">
        <v>3538.9</v>
      </c>
    </row>
    <row r="2843">
      <c r="A2843" s="89" t="n">
        <v>42884</v>
      </c>
      <c r="D2843" t="n">
        <v>3525.2</v>
      </c>
    </row>
    <row r="2844">
      <c r="A2844" s="89" t="n">
        <v>42887</v>
      </c>
      <c r="B2844" t="n">
        <v>1441.7</v>
      </c>
      <c r="C2844" t="n">
        <v>5554.3</v>
      </c>
      <c r="E2844" t="n">
        <v>13564.7</v>
      </c>
    </row>
    <row r="2845">
      <c r="A2845" s="89" t="n">
        <v>42891</v>
      </c>
      <c r="D2845" t="n">
        <v>3489.2</v>
      </c>
    </row>
    <row r="2846">
      <c r="A2846" s="89" t="n">
        <v>42898</v>
      </c>
      <c r="D2846" t="n">
        <v>3514.5</v>
      </c>
    </row>
    <row r="2847">
      <c r="A2847" s="89" t="n">
        <v>42905</v>
      </c>
      <c r="D2847" t="n">
        <v>3512.4</v>
      </c>
    </row>
    <row r="2848">
      <c r="A2848" s="89" t="n">
        <v>42912</v>
      </c>
      <c r="D2848" t="n">
        <v>3553</v>
      </c>
    </row>
    <row r="2849">
      <c r="A2849" s="89" t="n">
        <v>42917</v>
      </c>
      <c r="B2849" t="n">
        <v>1449.9</v>
      </c>
      <c r="C2849" t="n">
        <v>5576.3</v>
      </c>
      <c r="E2849" t="n">
        <v>13621.8</v>
      </c>
      <c r="F2849" t="n">
        <v>1.431</v>
      </c>
    </row>
    <row r="2850">
      <c r="A2850" s="89" t="n">
        <v>42919</v>
      </c>
      <c r="D2850" t="n">
        <v>3580.7</v>
      </c>
    </row>
    <row r="2851">
      <c r="A2851" s="89" t="n">
        <v>42926</v>
      </c>
      <c r="D2851" t="n">
        <v>3552.4</v>
      </c>
    </row>
    <row r="2852">
      <c r="A2852" s="89" t="n">
        <v>42933</v>
      </c>
      <c r="D2852" t="n">
        <v>3519.5</v>
      </c>
    </row>
    <row r="2853">
      <c r="A2853" s="89" t="n">
        <v>42940</v>
      </c>
      <c r="D2853" t="n">
        <v>3553.4</v>
      </c>
    </row>
    <row r="2854">
      <c r="A2854" s="89" t="n">
        <v>42947</v>
      </c>
      <c r="D2854" t="n">
        <v>3567.4</v>
      </c>
    </row>
    <row r="2855">
      <c r="A2855" s="89" t="n">
        <v>42948</v>
      </c>
      <c r="B2855" t="n">
        <v>1460.1</v>
      </c>
      <c r="C2855" t="n">
        <v>5575.5</v>
      </c>
      <c r="E2855" t="n">
        <v>13671.4</v>
      </c>
    </row>
    <row r="2856">
      <c r="A2856" s="89" t="n">
        <v>42954</v>
      </c>
      <c r="D2856" t="n">
        <v>3540.5</v>
      </c>
    </row>
    <row r="2857">
      <c r="A2857" s="89" t="n">
        <v>42961</v>
      </c>
      <c r="D2857" t="n">
        <v>3582.6</v>
      </c>
    </row>
    <row r="2858">
      <c r="A2858" s="89" t="n">
        <v>42968</v>
      </c>
      <c r="D2858" t="n">
        <v>3635.1</v>
      </c>
    </row>
    <row r="2859">
      <c r="A2859" s="89" t="n">
        <v>42975</v>
      </c>
      <c r="D2859" t="n">
        <v>3597.7</v>
      </c>
    </row>
    <row r="2860">
      <c r="A2860" s="89" t="n">
        <v>42979</v>
      </c>
      <c r="B2860" t="n">
        <v>1445.3</v>
      </c>
      <c r="C2860" t="n">
        <v>5562.5</v>
      </c>
      <c r="E2860" t="n">
        <v>13714.4</v>
      </c>
    </row>
    <row r="2861">
      <c r="A2861" s="89" t="n">
        <v>42982</v>
      </c>
      <c r="D2861" t="n">
        <v>3550.7</v>
      </c>
    </row>
    <row r="2862">
      <c r="A2862" s="89" t="n">
        <v>42989</v>
      </c>
      <c r="D2862" t="n">
        <v>3588.1</v>
      </c>
    </row>
    <row r="2863">
      <c r="A2863" s="89" t="n">
        <v>42996</v>
      </c>
      <c r="D2863" t="n">
        <v>3574.8</v>
      </c>
    </row>
    <row r="2864">
      <c r="A2864" s="89" t="n">
        <v>43003</v>
      </c>
      <c r="D2864" t="n">
        <v>3568.4</v>
      </c>
    </row>
    <row r="2865">
      <c r="A2865" s="89" t="n">
        <v>43009</v>
      </c>
      <c r="B2865" t="n">
        <v>1460</v>
      </c>
      <c r="C2865" t="n">
        <v>5581.7</v>
      </c>
      <c r="E2865" t="n">
        <v>13767.6</v>
      </c>
      <c r="F2865" t="n">
        <v>1.44</v>
      </c>
    </row>
    <row r="2866">
      <c r="A2866" s="89" t="n">
        <v>43010</v>
      </c>
      <c r="D2866" t="n">
        <v>3581.7</v>
      </c>
    </row>
    <row r="2867">
      <c r="A2867" s="89" t="n">
        <v>43017</v>
      </c>
      <c r="D2867" t="n">
        <v>3618.2</v>
      </c>
    </row>
    <row r="2868">
      <c r="A2868" s="89" t="n">
        <v>43024</v>
      </c>
      <c r="D2868" t="n">
        <v>3593.9</v>
      </c>
    </row>
    <row r="2869">
      <c r="A2869" s="89" t="n">
        <v>43031</v>
      </c>
      <c r="D2869" t="n">
        <v>3612.7</v>
      </c>
    </row>
    <row r="2870">
      <c r="A2870" s="89" t="n">
        <v>43038</v>
      </c>
      <c r="D2870" t="n">
        <v>3598.9</v>
      </c>
    </row>
    <row r="2871">
      <c r="A2871" s="89" t="n">
        <v>43040</v>
      </c>
      <c r="B2871" t="n">
        <v>1468.2</v>
      </c>
      <c r="C2871" t="n">
        <v>5579.5</v>
      </c>
      <c r="E2871" t="n">
        <v>13802.4</v>
      </c>
    </row>
    <row r="2872">
      <c r="A2872" s="89" t="n">
        <v>43045</v>
      </c>
      <c r="D2872" t="n">
        <v>3591.9</v>
      </c>
    </row>
    <row r="2873">
      <c r="A2873" s="89" t="n">
        <v>43052</v>
      </c>
      <c r="D2873" t="n">
        <v>3631.3</v>
      </c>
    </row>
    <row r="2874">
      <c r="A2874" s="89" t="n">
        <v>43059</v>
      </c>
      <c r="D2874" t="n">
        <v>3644.9</v>
      </c>
    </row>
    <row r="2875">
      <c r="A2875" s="89" t="n">
        <v>43066</v>
      </c>
      <c r="D2875" t="n">
        <v>3641.9</v>
      </c>
    </row>
    <row r="2876">
      <c r="A2876" s="89" t="n">
        <v>43070</v>
      </c>
      <c r="B2876" t="n">
        <v>1460.8</v>
      </c>
      <c r="C2876" t="n">
        <v>5592.6</v>
      </c>
      <c r="E2876" t="n">
        <v>13854.8</v>
      </c>
    </row>
    <row r="2877">
      <c r="A2877" s="89" t="n">
        <v>43073</v>
      </c>
      <c r="D2877" t="n">
        <v>3619.2</v>
      </c>
    </row>
    <row r="2878">
      <c r="A2878" s="89" t="n">
        <v>43080</v>
      </c>
      <c r="D2878" t="n">
        <v>3632.1</v>
      </c>
    </row>
    <row r="2879">
      <c r="A2879" s="89" t="n">
        <v>43087</v>
      </c>
      <c r="D2879" t="n">
        <v>3608.5</v>
      </c>
    </row>
    <row r="2880">
      <c r="A2880" s="89" t="n">
        <v>43094</v>
      </c>
      <c r="D2880" t="n">
        <v>3595.6</v>
      </c>
    </row>
    <row r="2881">
      <c r="A2881" s="89" t="n">
        <v>43101</v>
      </c>
      <c r="B2881" t="n">
        <v>1474.9</v>
      </c>
      <c r="C2881" t="n">
        <v>5577.3</v>
      </c>
      <c r="D2881" t="n">
        <v>3581</v>
      </c>
      <c r="E2881" t="n">
        <v>13872</v>
      </c>
      <c r="F2881" t="n">
        <v>1.447</v>
      </c>
    </row>
    <row r="2882">
      <c r="A2882" s="89" t="n">
        <v>43108</v>
      </c>
      <c r="D2882" t="n">
        <v>3642.4</v>
      </c>
    </row>
    <row r="2883">
      <c r="A2883" s="89" t="n">
        <v>43115</v>
      </c>
      <c r="D2883" t="n">
        <v>3670.9</v>
      </c>
    </row>
    <row r="2884">
      <c r="A2884" s="89" t="n">
        <v>43122</v>
      </c>
      <c r="D2884" t="n">
        <v>3663.2</v>
      </c>
    </row>
    <row r="2885">
      <c r="A2885" s="89" t="n">
        <v>43129</v>
      </c>
      <c r="D2885" t="n">
        <v>3636.7</v>
      </c>
    </row>
    <row r="2886">
      <c r="A2886" s="89" t="n">
        <v>43132</v>
      </c>
      <c r="B2886" t="n">
        <v>1457.6</v>
      </c>
      <c r="C2886" t="n">
        <v>5581.5</v>
      </c>
      <c r="E2886" t="n">
        <v>13914.6</v>
      </c>
    </row>
    <row r="2887">
      <c r="A2887" s="89" t="n">
        <v>43136</v>
      </c>
      <c r="D2887" t="n">
        <v>3623</v>
      </c>
    </row>
    <row r="2888">
      <c r="A2888" s="89" t="n">
        <v>43143</v>
      </c>
      <c r="D2888" t="n">
        <v>3607.8</v>
      </c>
    </row>
    <row r="2889">
      <c r="A2889" s="89" t="n">
        <v>43150</v>
      </c>
      <c r="D2889" t="n">
        <v>3612.1</v>
      </c>
    </row>
    <row r="2890">
      <c r="A2890" s="89" t="n">
        <v>43157</v>
      </c>
      <c r="D2890" t="n">
        <v>3624.5</v>
      </c>
    </row>
    <row r="2891">
      <c r="A2891" s="89" t="n">
        <v>43160</v>
      </c>
      <c r="B2891" t="n">
        <v>1471.8</v>
      </c>
      <c r="C2891" t="n">
        <v>5599.3</v>
      </c>
      <c r="E2891" t="n">
        <v>13971.2</v>
      </c>
    </row>
    <row r="2892">
      <c r="A2892" s="89" t="n">
        <v>43164</v>
      </c>
      <c r="D2892" t="n">
        <v>3655.4</v>
      </c>
    </row>
    <row r="2893">
      <c r="A2893" s="89" t="n">
        <v>43171</v>
      </c>
      <c r="D2893" t="n">
        <v>3671</v>
      </c>
    </row>
    <row r="2894">
      <c r="A2894" s="89" t="n">
        <v>43178</v>
      </c>
      <c r="D2894" t="n">
        <v>3660.8</v>
      </c>
    </row>
    <row r="2895">
      <c r="A2895" s="89" t="n">
        <v>43185</v>
      </c>
      <c r="D2895" t="n">
        <v>3657.9</v>
      </c>
    </row>
    <row r="2896">
      <c r="A2896" s="89" t="n">
        <v>43191</v>
      </c>
      <c r="B2896" t="n">
        <v>1459.8</v>
      </c>
      <c r="C2896" t="n">
        <v>5594.4</v>
      </c>
      <c r="E2896" t="n">
        <v>14001.3</v>
      </c>
      <c r="F2896" t="n">
        <v>1.457</v>
      </c>
    </row>
    <row r="2897">
      <c r="A2897" s="89" t="n">
        <v>43192</v>
      </c>
      <c r="D2897" t="n">
        <v>3659.3</v>
      </c>
    </row>
    <row r="2898">
      <c r="A2898" s="89" t="n">
        <v>43199</v>
      </c>
      <c r="D2898" t="n">
        <v>3661.2</v>
      </c>
    </row>
    <row r="2899">
      <c r="A2899" s="89" t="n">
        <v>43206</v>
      </c>
      <c r="D2899" t="n">
        <v>3647.4</v>
      </c>
    </row>
    <row r="2900">
      <c r="A2900" s="89" t="n">
        <v>43213</v>
      </c>
      <c r="D2900" t="n">
        <v>3670.1</v>
      </c>
    </row>
    <row r="2901">
      <c r="A2901" s="89" t="n">
        <v>43220</v>
      </c>
      <c r="D2901" t="n">
        <v>3669.8</v>
      </c>
    </row>
    <row r="2902">
      <c r="A2902" s="89" t="n">
        <v>43221</v>
      </c>
      <c r="B2902" t="n">
        <v>1453.9</v>
      </c>
      <c r="C2902" t="n">
        <v>5608.8</v>
      </c>
      <c r="E2902" t="n">
        <v>14066</v>
      </c>
    </row>
    <row r="2903">
      <c r="A2903" s="89" t="n">
        <v>43227</v>
      </c>
      <c r="D2903" t="n">
        <v>3637.4</v>
      </c>
    </row>
    <row r="2904">
      <c r="A2904" s="89" t="n">
        <v>43234</v>
      </c>
      <c r="D2904" t="n">
        <v>3655.5</v>
      </c>
    </row>
    <row r="2905">
      <c r="A2905" s="89" t="n">
        <v>43241</v>
      </c>
      <c r="D2905" t="n">
        <v>3667</v>
      </c>
    </row>
    <row r="2906">
      <c r="A2906" s="89" t="n">
        <v>43248</v>
      </c>
      <c r="D2906" t="n">
        <v>3664.5</v>
      </c>
    </row>
    <row r="2907">
      <c r="A2907" s="89" t="n">
        <v>43252</v>
      </c>
      <c r="B2907" t="n">
        <v>1451.2</v>
      </c>
      <c r="C2907" t="n">
        <v>5624.4</v>
      </c>
      <c r="E2907" t="n">
        <v>14125.8</v>
      </c>
    </row>
    <row r="2908">
      <c r="A2908" s="89" t="n">
        <v>43255</v>
      </c>
      <c r="D2908" t="n">
        <v>3672.4</v>
      </c>
    </row>
    <row r="2909">
      <c r="A2909" s="89" t="n">
        <v>43262</v>
      </c>
      <c r="D2909" t="n">
        <v>3654.9</v>
      </c>
    </row>
    <row r="2910">
      <c r="A2910" s="89" t="n">
        <v>43269</v>
      </c>
      <c r="D2910" t="n">
        <v>3651.4</v>
      </c>
    </row>
    <row r="2911">
      <c r="A2911" s="89" t="n">
        <v>43276</v>
      </c>
      <c r="D2911" t="n">
        <v>3655.5</v>
      </c>
    </row>
    <row r="2912">
      <c r="A2912" s="89" t="n">
        <v>43282</v>
      </c>
      <c r="B2912" t="n">
        <v>1459.8</v>
      </c>
      <c r="C2912" t="n">
        <v>5631.8</v>
      </c>
      <c r="E2912" t="n">
        <v>14155.2</v>
      </c>
      <c r="F2912" t="n">
        <v>1.456</v>
      </c>
    </row>
    <row r="2913">
      <c r="A2913" s="89" t="n">
        <v>43283</v>
      </c>
      <c r="D2913" t="n">
        <v>3673.4</v>
      </c>
    </row>
    <row r="2914">
      <c r="A2914" s="89" t="n">
        <v>43290</v>
      </c>
      <c r="D2914" t="n">
        <v>3682.4</v>
      </c>
    </row>
    <row r="2915">
      <c r="A2915" s="89" t="n">
        <v>43297</v>
      </c>
      <c r="D2915" t="n">
        <v>3681.8</v>
      </c>
    </row>
    <row r="2916">
      <c r="A2916" s="89" t="n">
        <v>43304</v>
      </c>
      <c r="D2916" t="n">
        <v>3678</v>
      </c>
    </row>
    <row r="2917">
      <c r="A2917" s="89" t="n">
        <v>43311</v>
      </c>
      <c r="D2917" t="n">
        <v>3682.2</v>
      </c>
    </row>
    <row r="2918">
      <c r="A2918" s="89" t="n">
        <v>43313</v>
      </c>
      <c r="B2918" t="n">
        <v>1462.9</v>
      </c>
      <c r="C2918" t="n">
        <v>5639.9</v>
      </c>
      <c r="E2918" t="n">
        <v>14197.7</v>
      </c>
    </row>
    <row r="2919">
      <c r="A2919" s="89" t="n">
        <v>43318</v>
      </c>
      <c r="D2919" t="n">
        <v>3661.7</v>
      </c>
    </row>
    <row r="2920">
      <c r="A2920" s="89" t="n">
        <v>43325</v>
      </c>
      <c r="D2920" t="n">
        <v>3677.3</v>
      </c>
    </row>
    <row r="2921">
      <c r="A2921" s="89" t="n">
        <v>43332</v>
      </c>
      <c r="D2921" t="n">
        <v>3676.3</v>
      </c>
    </row>
    <row r="2922">
      <c r="A2922" s="89" t="n">
        <v>43339</v>
      </c>
      <c r="D2922" t="n">
        <v>3695.5</v>
      </c>
    </row>
    <row r="2923">
      <c r="A2923" s="89" t="n">
        <v>43344</v>
      </c>
      <c r="B2923" t="n">
        <v>1464.1</v>
      </c>
      <c r="C2923" t="n">
        <v>5642.1</v>
      </c>
      <c r="E2923" t="n">
        <v>14228.4</v>
      </c>
    </row>
    <row r="2924">
      <c r="A2924" s="89" t="n">
        <v>43346</v>
      </c>
      <c r="D2924" t="n">
        <v>3779.9</v>
      </c>
    </row>
    <row r="2925">
      <c r="A2925" s="89" t="n">
        <v>43353</v>
      </c>
      <c r="D2925" t="n">
        <v>3710.4</v>
      </c>
    </row>
    <row r="2926">
      <c r="A2926" s="89" t="n">
        <v>43360</v>
      </c>
      <c r="D2926" t="n">
        <v>3692</v>
      </c>
    </row>
    <row r="2927">
      <c r="A2927" s="89" t="n">
        <v>43367</v>
      </c>
      <c r="D2927" t="n">
        <v>3705</v>
      </c>
    </row>
    <row r="2928">
      <c r="A2928" s="89" t="n">
        <v>43374</v>
      </c>
      <c r="B2928" t="n">
        <v>1471.5</v>
      </c>
      <c r="C2928" t="n">
        <v>5629</v>
      </c>
      <c r="D2928" t="n">
        <v>3693.3</v>
      </c>
      <c r="E2928" t="n">
        <v>14235.8</v>
      </c>
      <c r="F2928" t="n">
        <v>1.457</v>
      </c>
    </row>
    <row r="2929">
      <c r="A2929" s="89" t="n">
        <v>43381</v>
      </c>
      <c r="D2929" t="n">
        <v>3708.8</v>
      </c>
    </row>
    <row r="2930">
      <c r="A2930" s="89" t="n">
        <v>43388</v>
      </c>
      <c r="D2930" t="n">
        <v>3723.8</v>
      </c>
    </row>
    <row r="2931">
      <c r="A2931" s="89" t="n">
        <v>43395</v>
      </c>
      <c r="D2931" t="n">
        <v>3744.8</v>
      </c>
    </row>
    <row r="2932">
      <c r="A2932" s="89" t="n">
        <v>43402</v>
      </c>
      <c r="D2932" t="n">
        <v>3729.5</v>
      </c>
    </row>
    <row r="2933">
      <c r="A2933" s="89" t="n">
        <v>43405</v>
      </c>
      <c r="B2933" t="n">
        <v>1466.8</v>
      </c>
      <c r="C2933" t="n">
        <v>5638.3</v>
      </c>
      <c r="E2933" t="n">
        <v>14254.9</v>
      </c>
    </row>
    <row r="2934">
      <c r="A2934" s="89" t="n">
        <v>43409</v>
      </c>
      <c r="D2934" t="n">
        <v>3689.9</v>
      </c>
    </row>
    <row r="2935">
      <c r="A2935" s="89" t="n">
        <v>43416</v>
      </c>
      <c r="D2935" t="n">
        <v>3687.6</v>
      </c>
    </row>
    <row r="2936">
      <c r="A2936" s="89" t="n">
        <v>43423</v>
      </c>
      <c r="D2936" t="n">
        <v>3688.5</v>
      </c>
    </row>
    <row r="2937">
      <c r="A2937" s="89" t="n">
        <v>43430</v>
      </c>
      <c r="D2937" t="n">
        <v>3692.9</v>
      </c>
    </row>
    <row r="2938">
      <c r="A2938" s="89" t="n">
        <v>43435</v>
      </c>
      <c r="B2938" t="n">
        <v>1493.6</v>
      </c>
      <c r="C2938" t="n">
        <v>5692.8</v>
      </c>
      <c r="E2938" t="n">
        <v>14373.9</v>
      </c>
    </row>
    <row r="2939">
      <c r="A2939" s="89" t="n">
        <v>43437</v>
      </c>
      <c r="D2939" t="n">
        <v>3780.7</v>
      </c>
    </row>
    <row r="2940">
      <c r="A2940" s="89" t="n">
        <v>43444</v>
      </c>
      <c r="D2940" t="n">
        <v>3770.2</v>
      </c>
    </row>
    <row r="2941">
      <c r="A2941" s="89" t="n">
        <v>43451</v>
      </c>
      <c r="D2941" t="n">
        <v>3713.2</v>
      </c>
    </row>
    <row r="2942">
      <c r="A2942" s="89" t="n">
        <v>43458</v>
      </c>
      <c r="D2942" t="n">
        <v>3761</v>
      </c>
    </row>
    <row r="2943">
      <c r="A2943" s="89" t="n">
        <v>43465</v>
      </c>
      <c r="D2943" t="n">
        <v>3744.8</v>
      </c>
    </row>
    <row r="2944">
      <c r="A2944" s="89" t="n">
        <v>43466</v>
      </c>
      <c r="B2944" t="n">
        <v>1494.6</v>
      </c>
      <c r="C2944" t="n">
        <v>5721.5</v>
      </c>
      <c r="E2944" t="n">
        <v>14443.3</v>
      </c>
      <c r="F2944" t="n">
        <v>1.45</v>
      </c>
    </row>
    <row r="2945">
      <c r="A2945" s="89" t="n">
        <v>43472</v>
      </c>
      <c r="D2945" t="n">
        <v>3722.2</v>
      </c>
    </row>
    <row r="2946">
      <c r="A2946" s="89" t="n">
        <v>43479</v>
      </c>
      <c r="D2946" t="n">
        <v>3720.3</v>
      </c>
    </row>
    <row r="2947">
      <c r="A2947" s="89" t="n">
        <v>43486</v>
      </c>
      <c r="D2947" t="n">
        <v>3757.1</v>
      </c>
    </row>
    <row r="2948">
      <c r="A2948" s="89" t="n">
        <v>43493</v>
      </c>
      <c r="D2948" t="n">
        <v>3753.4</v>
      </c>
    </row>
    <row r="2949">
      <c r="A2949" s="89" t="n">
        <v>43497</v>
      </c>
      <c r="B2949" t="n">
        <v>1495.6</v>
      </c>
      <c r="C2949" t="n">
        <v>5726.5</v>
      </c>
      <c r="E2949" t="n">
        <v>14486.2</v>
      </c>
    </row>
    <row r="2950">
      <c r="A2950" s="89" t="n">
        <v>43500</v>
      </c>
      <c r="D2950" t="n">
        <v>3792.3</v>
      </c>
    </row>
    <row r="2951">
      <c r="A2951" s="89" t="n">
        <v>43507</v>
      </c>
      <c r="D2951" t="n">
        <v>3768.8</v>
      </c>
    </row>
    <row r="2952">
      <c r="A2952" s="89" t="n">
        <v>43514</v>
      </c>
      <c r="D2952" t="n">
        <v>3757.9</v>
      </c>
    </row>
    <row r="2953">
      <c r="A2953" s="89" t="n">
        <v>43521</v>
      </c>
      <c r="D2953" t="n">
        <v>3743</v>
      </c>
    </row>
    <row r="2954">
      <c r="A2954" s="89" t="n">
        <v>43525</v>
      </c>
      <c r="B2954" t="n">
        <v>1474.1</v>
      </c>
      <c r="C2954" t="n">
        <v>5718.5</v>
      </c>
      <c r="E2954" t="n">
        <v>14533.5</v>
      </c>
    </row>
    <row r="2955">
      <c r="A2955" s="89" t="n">
        <v>43528</v>
      </c>
      <c r="D2955" t="n">
        <v>3766.8</v>
      </c>
    </row>
    <row r="2956">
      <c r="A2956" s="89" t="n">
        <v>43535</v>
      </c>
      <c r="D2956" t="n">
        <v>3736.9</v>
      </c>
    </row>
    <row r="2957">
      <c r="A2957" s="89" t="n">
        <v>43542</v>
      </c>
      <c r="D2957" t="n">
        <v>3716.7</v>
      </c>
    </row>
    <row r="2958">
      <c r="A2958" s="89" t="n">
        <v>43549</v>
      </c>
      <c r="D2958" t="n">
        <v>3728.3</v>
      </c>
    </row>
    <row r="2959">
      <c r="A2959" s="89" t="n">
        <v>43556</v>
      </c>
      <c r="B2959" t="n">
        <v>1476.8</v>
      </c>
      <c r="C2959" t="n">
        <v>5706</v>
      </c>
      <c r="D2959" t="n">
        <v>3731.6</v>
      </c>
      <c r="E2959" t="n">
        <v>14568.9</v>
      </c>
      <c r="F2959" t="n">
        <v>1.451</v>
      </c>
    </row>
    <row r="2960">
      <c r="A2960" s="89" t="n">
        <v>43563</v>
      </c>
      <c r="D2960" t="n">
        <v>3746.4</v>
      </c>
    </row>
    <row r="2961">
      <c r="A2961" s="89" t="n">
        <v>43570</v>
      </c>
      <c r="D2961" t="n">
        <v>3796.6</v>
      </c>
    </row>
    <row r="2962">
      <c r="A2962" s="89" t="n">
        <v>43577</v>
      </c>
      <c r="D2962" t="n">
        <v>3789.8</v>
      </c>
    </row>
    <row r="2963">
      <c r="A2963" s="89" t="n">
        <v>43584</v>
      </c>
      <c r="D2963" t="n">
        <v>3813.3</v>
      </c>
    </row>
    <row r="2964">
      <c r="A2964" s="89" t="n">
        <v>43586</v>
      </c>
      <c r="B2964" t="n">
        <v>1478.4</v>
      </c>
      <c r="C2964" t="n">
        <v>5744</v>
      </c>
      <c r="E2964" t="n">
        <v>14668.4</v>
      </c>
    </row>
    <row r="2965">
      <c r="A2965" s="89" t="n">
        <v>43591</v>
      </c>
      <c r="D2965" t="n">
        <v>3765.5</v>
      </c>
    </row>
    <row r="2966">
      <c r="A2966" s="89" t="n">
        <v>43598</v>
      </c>
      <c r="D2966" t="n">
        <v>3772.7</v>
      </c>
    </row>
    <row r="2967">
      <c r="A2967" s="89" t="n">
        <v>43605</v>
      </c>
      <c r="D2967" t="n">
        <v>3781.9</v>
      </c>
    </row>
    <row r="2968">
      <c r="A2968" s="89" t="n">
        <v>43612</v>
      </c>
      <c r="D2968" t="n">
        <v>3810</v>
      </c>
    </row>
    <row r="2969">
      <c r="A2969" s="89" t="n">
        <v>43617</v>
      </c>
      <c r="B2969" t="n">
        <v>1493</v>
      </c>
      <c r="C2969" t="n">
        <v>5789.2</v>
      </c>
      <c r="E2969" t="n">
        <v>14787</v>
      </c>
    </row>
    <row r="2970">
      <c r="A2970" s="89" t="n">
        <v>43619</v>
      </c>
      <c r="D2970" t="n">
        <v>3876.1</v>
      </c>
    </row>
    <row r="2971">
      <c r="A2971" s="89" t="n">
        <v>43626</v>
      </c>
      <c r="D2971" t="n">
        <v>3839.6</v>
      </c>
    </row>
    <row r="2972">
      <c r="A2972" s="89" t="n">
        <v>43633</v>
      </c>
      <c r="D2972" t="n">
        <v>3832.6</v>
      </c>
    </row>
    <row r="2973">
      <c r="A2973" s="89" t="n">
        <v>43640</v>
      </c>
      <c r="D2973" t="n">
        <v>3829.8</v>
      </c>
    </row>
    <row r="2974">
      <c r="A2974" s="89" t="n">
        <v>43647</v>
      </c>
      <c r="B2974" t="n">
        <v>1502.3</v>
      </c>
      <c r="C2974" t="n">
        <v>5805.6</v>
      </c>
      <c r="D2974" t="n">
        <v>3818.7</v>
      </c>
      <c r="E2974" t="n">
        <v>14857.9</v>
      </c>
      <c r="F2974" t="n">
        <v>1.439</v>
      </c>
    </row>
    <row r="2975">
      <c r="A2975" s="89" t="n">
        <v>43654</v>
      </c>
      <c r="D2975" t="n">
        <v>3837.4</v>
      </c>
    </row>
    <row r="2976">
      <c r="A2976" s="89" t="n">
        <v>43661</v>
      </c>
      <c r="D2976" t="n">
        <v>3856.5</v>
      </c>
    </row>
    <row r="2977">
      <c r="A2977" s="89" t="n">
        <v>43668</v>
      </c>
      <c r="D2977" t="n">
        <v>3875.4</v>
      </c>
    </row>
    <row r="2978">
      <c r="A2978" s="89" t="n">
        <v>43675</v>
      </c>
      <c r="D2978" t="n">
        <v>3872.8</v>
      </c>
    </row>
    <row r="2979">
      <c r="A2979" s="89" t="n">
        <v>43678</v>
      </c>
      <c r="B2979" t="n">
        <v>1500.9</v>
      </c>
      <c r="C2979" t="n">
        <v>5831.4</v>
      </c>
      <c r="E2979" t="n">
        <v>14935.2</v>
      </c>
    </row>
    <row r="2980">
      <c r="A2980" s="89" t="n">
        <v>43682</v>
      </c>
      <c r="D2980" t="n">
        <v>3875.1</v>
      </c>
    </row>
    <row r="2981">
      <c r="A2981" s="89" t="n">
        <v>43689</v>
      </c>
      <c r="D2981" t="n">
        <v>3861</v>
      </c>
    </row>
    <row r="2982">
      <c r="A2982" s="89" t="n">
        <v>43696</v>
      </c>
      <c r="D2982" t="n">
        <v>3832.4</v>
      </c>
    </row>
    <row r="2983">
      <c r="A2983" s="89" t="n">
        <v>43703</v>
      </c>
      <c r="D2983" t="n">
        <v>3845</v>
      </c>
    </row>
    <row r="2984">
      <c r="A2984" s="89" t="n">
        <v>43709</v>
      </c>
      <c r="B2984" t="n">
        <v>1515.5</v>
      </c>
      <c r="C2984" t="n">
        <v>5857.6</v>
      </c>
      <c r="E2984" t="n">
        <v>15026.6</v>
      </c>
    </row>
    <row r="2985">
      <c r="A2985" s="89" t="n">
        <v>43710</v>
      </c>
      <c r="D2985" t="n">
        <v>3878</v>
      </c>
    </row>
    <row r="2986">
      <c r="A2986" s="89" t="n">
        <v>43717</v>
      </c>
      <c r="D2986" t="n">
        <v>3895.9</v>
      </c>
    </row>
    <row r="2987">
      <c r="A2987" s="89" t="n">
        <v>43724</v>
      </c>
      <c r="D2987" t="n">
        <v>3895.8</v>
      </c>
    </row>
    <row r="2988">
      <c r="A2988" s="89" t="n">
        <v>43731</v>
      </c>
      <c r="D2988" t="n">
        <v>3911.1</v>
      </c>
    </row>
    <row r="2989">
      <c r="A2989" s="89" t="n">
        <v>43738</v>
      </c>
      <c r="D2989" t="n">
        <v>3928.2</v>
      </c>
    </row>
    <row r="2990">
      <c r="A2990" s="89" t="n">
        <v>43739</v>
      </c>
      <c r="B2990" t="n">
        <v>1525.4</v>
      </c>
      <c r="C2990" t="n">
        <v>5887.3</v>
      </c>
      <c r="E2990" t="n">
        <v>15153.1</v>
      </c>
      <c r="F2990" t="n">
        <v>1.423</v>
      </c>
    </row>
    <row r="2991">
      <c r="A2991" s="89" t="n">
        <v>43745</v>
      </c>
      <c r="D2991" t="n">
        <v>3893.7</v>
      </c>
    </row>
    <row r="2992">
      <c r="A2992" s="89" t="n">
        <v>43752</v>
      </c>
      <c r="D2992" t="n">
        <v>3930.6</v>
      </c>
    </row>
    <row r="2993">
      <c r="A2993" s="89" t="n">
        <v>43759</v>
      </c>
      <c r="D2993" t="n">
        <v>3929</v>
      </c>
    </row>
    <row r="2994">
      <c r="A2994" s="89" t="n">
        <v>43766</v>
      </c>
      <c r="D2994" t="n">
        <v>3934.5</v>
      </c>
    </row>
    <row r="2995">
      <c r="A2995" s="89" t="n">
        <v>43770</v>
      </c>
      <c r="B2995" t="n">
        <v>1533.2</v>
      </c>
      <c r="C2995" t="n">
        <v>5911.6</v>
      </c>
      <c r="E2995" t="n">
        <v>15251.3</v>
      </c>
    </row>
    <row r="2996">
      <c r="A2996" s="89" t="n">
        <v>43773</v>
      </c>
      <c r="D2996" t="n">
        <v>3955.3</v>
      </c>
    </row>
    <row r="2997">
      <c r="A2997" s="89" t="n">
        <v>43780</v>
      </c>
      <c r="D2997" t="n">
        <v>3955.4</v>
      </c>
    </row>
    <row r="2998">
      <c r="A2998" s="89" t="n">
        <v>43787</v>
      </c>
      <c r="D2998" t="n">
        <v>3928</v>
      </c>
    </row>
    <row r="2999">
      <c r="A2999" s="89" t="n">
        <v>43794</v>
      </c>
      <c r="D2999" t="n">
        <v>3962.5</v>
      </c>
    </row>
    <row r="3000">
      <c r="A3000" s="89" t="n">
        <v>43800</v>
      </c>
      <c r="B3000" t="n">
        <v>1553.5</v>
      </c>
      <c r="C3000" t="n">
        <v>5935.6</v>
      </c>
      <c r="E3000" t="n">
        <v>15325.8</v>
      </c>
    </row>
    <row r="3001">
      <c r="A3001" s="89" t="n">
        <v>43801</v>
      </c>
      <c r="D3001" t="n">
        <v>3953.8</v>
      </c>
    </row>
    <row r="3002">
      <c r="A3002" s="89" t="n">
        <v>43808</v>
      </c>
      <c r="D3002" t="n">
        <v>3978.4</v>
      </c>
    </row>
    <row r="3003">
      <c r="A3003" s="89" t="n">
        <v>43815</v>
      </c>
      <c r="D3003" t="n">
        <v>3992</v>
      </c>
    </row>
    <row r="3004">
      <c r="A3004" s="89" t="n">
        <v>43822</v>
      </c>
      <c r="D3004" t="n">
        <v>3999</v>
      </c>
    </row>
    <row r="3005">
      <c r="A3005" s="89" t="n">
        <v>43829</v>
      </c>
      <c r="D3005" t="n">
        <v>3963.7</v>
      </c>
    </row>
    <row r="3006">
      <c r="A3006" s="89" t="n">
        <v>43831</v>
      </c>
      <c r="B3006" t="n">
        <v>1553.7</v>
      </c>
      <c r="C3006" t="n">
        <v>5955.8</v>
      </c>
      <c r="E3006" t="n">
        <v>15406.8</v>
      </c>
      <c r="F3006" t="n">
        <v>1.374</v>
      </c>
    </row>
    <row r="3007">
      <c r="A3007" s="89" t="n">
        <v>43836</v>
      </c>
      <c r="D3007" t="n">
        <v>3948</v>
      </c>
    </row>
    <row r="3008">
      <c r="A3008" s="89" t="n">
        <v>43843</v>
      </c>
      <c r="D3008" t="n">
        <v>3949.7</v>
      </c>
    </row>
    <row r="3009">
      <c r="A3009" s="89" t="n">
        <v>43850</v>
      </c>
      <c r="D3009" t="n">
        <v>3978</v>
      </c>
    </row>
    <row r="3010">
      <c r="A3010" s="89" t="n">
        <v>43857</v>
      </c>
      <c r="D3010" t="n">
        <v>3962.2</v>
      </c>
    </row>
    <row r="3011">
      <c r="A3011" s="89" t="n">
        <v>43862</v>
      </c>
      <c r="B3011" t="n">
        <v>1556.4</v>
      </c>
      <c r="C3011" t="n">
        <v>5977.2</v>
      </c>
      <c r="E3011" t="n">
        <v>15470.4</v>
      </c>
    </row>
    <row r="3012">
      <c r="A3012" s="89" t="n">
        <v>43864</v>
      </c>
      <c r="D3012" t="n">
        <v>4081.4</v>
      </c>
    </row>
    <row r="3013">
      <c r="A3013" s="89" t="n">
        <v>43871</v>
      </c>
      <c r="D3013" t="n">
        <v>4012.8</v>
      </c>
    </row>
    <row r="3014">
      <c r="A3014" s="89" t="n">
        <v>43878</v>
      </c>
      <c r="D3014" t="n">
        <v>3983.6</v>
      </c>
    </row>
    <row r="3015">
      <c r="A3015" s="89" t="n">
        <v>43885</v>
      </c>
      <c r="D3015" t="n">
        <v>3971.4</v>
      </c>
    </row>
    <row r="3016">
      <c r="A3016" s="89" t="n">
        <v>43891</v>
      </c>
      <c r="B3016" t="n">
        <v>1659.5</v>
      </c>
      <c r="C3016" t="n">
        <v>6206.2</v>
      </c>
      <c r="E3016" t="n">
        <v>16011.4</v>
      </c>
    </row>
    <row r="3017">
      <c r="A3017" s="89" t="n">
        <v>43892</v>
      </c>
      <c r="D3017" t="n">
        <v>4028.2</v>
      </c>
    </row>
    <row r="3018">
      <c r="A3018" s="89" t="n">
        <v>43899</v>
      </c>
      <c r="D3018" t="n">
        <v>4063.6</v>
      </c>
    </row>
    <row r="3019">
      <c r="A3019" s="89" t="n">
        <v>43906</v>
      </c>
      <c r="D3019" t="n">
        <v>4126.8</v>
      </c>
    </row>
    <row r="3020">
      <c r="A3020" s="89" t="n">
        <v>43913</v>
      </c>
      <c r="D3020" t="n">
        <v>4313.6</v>
      </c>
    </row>
    <row r="3021">
      <c r="A3021" s="89" t="n">
        <v>43920</v>
      </c>
      <c r="D3021" t="n">
        <v>4513.2</v>
      </c>
    </row>
    <row r="3022">
      <c r="A3022" s="89" t="n">
        <v>43922</v>
      </c>
      <c r="B3022" t="n">
        <v>1863.6</v>
      </c>
      <c r="C3022" t="n">
        <v>6650.9</v>
      </c>
      <c r="E3022" t="n">
        <v>17039.1</v>
      </c>
      <c r="F3022" t="n">
        <v>1.1</v>
      </c>
    </row>
    <row r="3023">
      <c r="A3023" s="89" t="n">
        <v>43927</v>
      </c>
      <c r="D3023" t="n">
        <v>4591.2</v>
      </c>
    </row>
    <row r="3024">
      <c r="A3024" s="89" t="n">
        <v>43934</v>
      </c>
      <c r="D3024" t="n">
        <v>4716.8</v>
      </c>
    </row>
    <row r="3025">
      <c r="A3025" s="89" t="n">
        <v>43941</v>
      </c>
      <c r="D3025" t="n">
        <v>4850.1</v>
      </c>
    </row>
    <row r="3026">
      <c r="A3026" s="89" t="n">
        <v>43948</v>
      </c>
      <c r="D3026" t="n">
        <v>4898.5</v>
      </c>
    </row>
    <row r="3027">
      <c r="A3027" s="89" t="n">
        <v>43952</v>
      </c>
      <c r="B3027" t="n">
        <v>6353.8</v>
      </c>
      <c r="C3027" t="n">
        <v>6989.6</v>
      </c>
      <c r="E3027" t="n">
        <v>17889.2</v>
      </c>
    </row>
    <row r="3028">
      <c r="A3028" s="89" t="n">
        <v>43955</v>
      </c>
      <c r="D3028" t="n">
        <v>15982.1</v>
      </c>
    </row>
    <row r="3029">
      <c r="A3029" s="89" t="n">
        <v>43962</v>
      </c>
      <c r="D3029" t="n">
        <v>16201.3</v>
      </c>
    </row>
    <row r="3030">
      <c r="A3030" s="89" t="n">
        <v>43969</v>
      </c>
      <c r="D3030" t="n">
        <v>16292.4</v>
      </c>
    </row>
    <row r="3031">
      <c r="A3031" s="89" t="n">
        <v>43976</v>
      </c>
      <c r="D3031" t="n">
        <v>16319.7</v>
      </c>
    </row>
    <row r="3032">
      <c r="A3032" s="89" t="n">
        <v>43983</v>
      </c>
      <c r="B3032" t="n">
        <v>6445.8</v>
      </c>
      <c r="C3032" t="n">
        <v>7064.5</v>
      </c>
      <c r="D3032" t="n">
        <v>16364.1</v>
      </c>
      <c r="E3032" t="n">
        <v>18175.7</v>
      </c>
    </row>
    <row r="3033">
      <c r="A3033" s="89" t="n">
        <v>43990</v>
      </c>
      <c r="D3033" t="n">
        <v>16467</v>
      </c>
    </row>
    <row r="3034">
      <c r="A3034" s="89" t="n">
        <v>43997</v>
      </c>
      <c r="D3034" t="n">
        <v>16554.5</v>
      </c>
    </row>
    <row r="3035">
      <c r="A3035" s="89" t="n">
        <v>44004</v>
      </c>
      <c r="D3035" t="n">
        <v>16654.8</v>
      </c>
    </row>
    <row r="3036">
      <c r="A3036" s="89" t="n">
        <v>44011</v>
      </c>
      <c r="D3036" t="n">
        <v>16656.6</v>
      </c>
    </row>
    <row r="3037">
      <c r="A3037" s="89" t="n">
        <v>44013</v>
      </c>
      <c r="B3037" t="n">
        <v>6486.3</v>
      </c>
      <c r="C3037" t="n">
        <v>7082.9</v>
      </c>
      <c r="E3037" t="n">
        <v>18316.6</v>
      </c>
      <c r="F3037" t="n">
        <v>1.147</v>
      </c>
    </row>
    <row r="3038">
      <c r="A3038" s="89" t="n">
        <v>44018</v>
      </c>
      <c r="D3038" t="n">
        <v>16763.3</v>
      </c>
    </row>
    <row r="3039">
      <c r="A3039" s="89" t="n">
        <v>44025</v>
      </c>
      <c r="D3039" t="n">
        <v>16836.7</v>
      </c>
    </row>
    <row r="3040">
      <c r="A3040" s="89" t="n">
        <v>44032</v>
      </c>
      <c r="D3040" t="n">
        <v>16781.9</v>
      </c>
    </row>
    <row r="3041">
      <c r="A3041" s="89" t="n">
        <v>44039</v>
      </c>
      <c r="D3041" t="n">
        <v>16753.3</v>
      </c>
    </row>
    <row r="3042">
      <c r="A3042" s="89" t="n">
        <v>44044</v>
      </c>
      <c r="B3042" t="n">
        <v>6507.2</v>
      </c>
      <c r="C3042" t="n">
        <v>7082</v>
      </c>
      <c r="E3042" t="n">
        <v>18378.5</v>
      </c>
    </row>
    <row r="3043">
      <c r="A3043" s="89" t="n">
        <v>44046</v>
      </c>
      <c r="D3043" t="n">
        <v>16734.7</v>
      </c>
    </row>
    <row r="3044">
      <c r="A3044" s="89" t="n">
        <v>44053</v>
      </c>
      <c r="D3044" t="n">
        <v>16888.9</v>
      </c>
    </row>
    <row r="3045">
      <c r="A3045" s="89" t="n">
        <v>44060</v>
      </c>
      <c r="D3045" t="n">
        <v>16938.6</v>
      </c>
    </row>
    <row r="3046">
      <c r="A3046" s="89" t="n">
        <v>44067</v>
      </c>
      <c r="D3046" t="n">
        <v>16880.6</v>
      </c>
    </row>
    <row r="3047">
      <c r="A3047" s="89" t="n">
        <v>44074</v>
      </c>
      <c r="D3047" t="n">
        <v>16962.8</v>
      </c>
    </row>
    <row r="3048">
      <c r="A3048" s="89" t="n">
        <v>44075</v>
      </c>
      <c r="B3048" t="n">
        <v>6595</v>
      </c>
      <c r="C3048" t="n">
        <v>7150.4</v>
      </c>
      <c r="E3048" t="n">
        <v>18601.6</v>
      </c>
    </row>
    <row r="3049">
      <c r="A3049" s="89" t="n">
        <v>44081</v>
      </c>
      <c r="D3049" t="n">
        <v>17087.5</v>
      </c>
    </row>
    <row r="3050">
      <c r="A3050" s="89" t="n">
        <v>44088</v>
      </c>
      <c r="D3050" t="n">
        <v>17214.5</v>
      </c>
    </row>
    <row r="3051">
      <c r="A3051" s="89" t="n">
        <v>44095</v>
      </c>
      <c r="D3051" t="n">
        <v>17237.7</v>
      </c>
    </row>
    <row r="3052">
      <c r="A3052" s="89" t="n">
        <v>44102</v>
      </c>
      <c r="D3052" t="n">
        <v>17175</v>
      </c>
    </row>
    <row r="3053">
      <c r="A3053" s="89" t="n">
        <v>44105</v>
      </c>
      <c r="B3053" t="n">
        <v>6660</v>
      </c>
      <c r="C3053" t="n">
        <v>7197.9</v>
      </c>
      <c r="E3053" t="n">
        <v>18747.9</v>
      </c>
      <c r="F3053" t="n">
        <v>1.134</v>
      </c>
    </row>
    <row r="3054">
      <c r="A3054" s="89" t="n">
        <v>44109</v>
      </c>
      <c r="D3054" t="n">
        <v>17223.5</v>
      </c>
    </row>
    <row r="3055">
      <c r="A3055" s="89" t="n">
        <v>44116</v>
      </c>
      <c r="D3055" t="n">
        <v>17331.5</v>
      </c>
    </row>
    <row r="3056">
      <c r="A3056" s="89" t="n">
        <v>44123</v>
      </c>
      <c r="D3056" t="n">
        <v>17350.3</v>
      </c>
    </row>
    <row r="3057">
      <c r="A3057" s="89" t="n">
        <v>44130</v>
      </c>
      <c r="D3057" t="n">
        <v>17375.9</v>
      </c>
    </row>
    <row r="3058">
      <c r="A3058" s="89" t="n">
        <v>44136</v>
      </c>
      <c r="B3058" t="n">
        <v>6741</v>
      </c>
      <c r="C3058" t="n">
        <v>7265.9</v>
      </c>
      <c r="E3058" t="n">
        <v>18958.7</v>
      </c>
    </row>
    <row r="3059">
      <c r="A3059" s="89" t="n">
        <v>44137</v>
      </c>
      <c r="D3059" t="n">
        <v>17431</v>
      </c>
    </row>
    <row r="3060">
      <c r="A3060" s="89" t="n">
        <v>44144</v>
      </c>
      <c r="D3060" t="n">
        <v>17593.1</v>
      </c>
    </row>
    <row r="3061">
      <c r="A3061" s="89" t="n">
        <v>44151</v>
      </c>
      <c r="D3061" t="n">
        <v>17638.1</v>
      </c>
    </row>
    <row r="3062">
      <c r="A3062" s="89" t="n">
        <v>44158</v>
      </c>
      <c r="D3062" t="n">
        <v>17657.6</v>
      </c>
    </row>
    <row r="3063">
      <c r="A3063" s="89" t="n">
        <v>44165</v>
      </c>
      <c r="D3063" t="n">
        <v>17547.4</v>
      </c>
    </row>
    <row r="3064">
      <c r="A3064" s="89" t="n">
        <v>44166</v>
      </c>
      <c r="B3064" t="n">
        <v>6810.1</v>
      </c>
      <c r="C3064" t="n">
        <v>7313.6</v>
      </c>
      <c r="E3064" t="n">
        <v>19129.5</v>
      </c>
    </row>
    <row r="3065">
      <c r="A3065" s="89" t="n">
        <v>44172</v>
      </c>
      <c r="D3065" t="n">
        <v>17777</v>
      </c>
    </row>
    <row r="3066">
      <c r="A3066" s="89" t="n">
        <v>44179</v>
      </c>
      <c r="D3066" t="n">
        <v>17853.1</v>
      </c>
    </row>
    <row r="3067">
      <c r="A3067" s="89" t="n">
        <v>44186</v>
      </c>
      <c r="D3067" t="n">
        <v>17762.6</v>
      </c>
    </row>
    <row r="3068">
      <c r="A3068" s="89" t="n">
        <v>44193</v>
      </c>
      <c r="D3068" t="n">
        <v>17661.3</v>
      </c>
    </row>
    <row r="3069">
      <c r="A3069" s="89" t="n">
        <v>44197</v>
      </c>
      <c r="B3069" t="n">
        <v>6902.6</v>
      </c>
      <c r="C3069" t="n">
        <v>7395.5</v>
      </c>
      <c r="E3069" t="n">
        <v>19393.2</v>
      </c>
      <c r="F3069" t="n">
        <v>1.121</v>
      </c>
    </row>
    <row r="3070">
      <c r="A3070" s="89" t="n">
        <v>44200</v>
      </c>
      <c r="D3070" t="n">
        <v>17773.3</v>
      </c>
    </row>
    <row r="3071">
      <c r="A3071" s="89" t="n">
        <v>44207</v>
      </c>
      <c r="D3071" t="n">
        <v>18147.8</v>
      </c>
    </row>
    <row r="3072">
      <c r="A3072" s="89" t="n">
        <v>44214</v>
      </c>
      <c r="D3072" t="n">
        <v>18158.6</v>
      </c>
    </row>
    <row r="3073">
      <c r="A3073" s="89" t="n">
        <v>44221</v>
      </c>
      <c r="D3073" t="n">
        <v>18116.2</v>
      </c>
    </row>
    <row r="3074">
      <c r="A3074" s="89" t="n">
        <v>44228</v>
      </c>
      <c r="B3074" t="n">
        <v>6987.9</v>
      </c>
      <c r="C3074" t="n">
        <v>7472.7</v>
      </c>
      <c r="D3074" t="n">
        <v>18115.2</v>
      </c>
      <c r="E3074" t="n">
        <v>19665.3</v>
      </c>
    </row>
    <row r="3075">
      <c r="A3075" s="89" t="n">
        <v>44256</v>
      </c>
      <c r="B3075" t="n">
        <v>7050.5</v>
      </c>
      <c r="C3075" t="n">
        <v>7520.3</v>
      </c>
      <c r="E3075" t="n">
        <v>19913.2</v>
      </c>
    </row>
    <row r="3076">
      <c r="A3076" s="89" t="n">
        <v>44287</v>
      </c>
      <c r="B3076" t="n">
        <v>7093.4</v>
      </c>
      <c r="C3076" t="n">
        <v>7547.4</v>
      </c>
      <c r="E3076" t="n">
        <v>20138.8</v>
      </c>
      <c r="F3076" t="n">
        <v>1.119</v>
      </c>
    </row>
    <row r="3077">
      <c r="A3077" s="89" t="n">
        <v>44317</v>
      </c>
      <c r="B3077" t="n">
        <v>7152.8</v>
      </c>
      <c r="C3077" t="n">
        <v>7597.4</v>
      </c>
      <c r="E3077" t="n">
        <v>20402.8</v>
      </c>
    </row>
    <row r="3078">
      <c r="A3078" s="89" t="n">
        <v>44348</v>
      </c>
      <c r="B3078" t="n">
        <v>7106</v>
      </c>
      <c r="C3078" t="n">
        <v>7539.1</v>
      </c>
      <c r="E3078" t="n">
        <v>20429.5</v>
      </c>
    </row>
    <row r="3079">
      <c r="A3079" s="89" t="n">
        <v>44378</v>
      </c>
      <c r="B3079" t="n">
        <v>7132.8</v>
      </c>
      <c r="C3079" t="n">
        <v>7558.4</v>
      </c>
      <c r="E3079" t="n">
        <v>20578.9</v>
      </c>
      <c r="F3079" t="n">
        <v>1.115</v>
      </c>
    </row>
    <row r="3080">
      <c r="A3080" s="89" t="n">
        <v>44409</v>
      </c>
      <c r="B3080" t="n">
        <v>7214</v>
      </c>
      <c r="C3080" t="n">
        <v>7630.6</v>
      </c>
      <c r="E3080" t="n">
        <v>20832.5</v>
      </c>
    </row>
    <row r="3081">
      <c r="A3081" s="89" t="n">
        <v>44440</v>
      </c>
      <c r="B3081" t="n">
        <v>7249.9</v>
      </c>
      <c r="C3081" t="n">
        <v>7658.5</v>
      </c>
      <c r="E3081" t="n">
        <v>20994.8</v>
      </c>
    </row>
    <row r="3082">
      <c r="A3082" s="89" t="n">
        <v>44470</v>
      </c>
      <c r="B3082" t="n">
        <v>7257.6</v>
      </c>
      <c r="C3082" t="n">
        <v>7656.5</v>
      </c>
      <c r="E3082" t="n">
        <v>21187.5</v>
      </c>
      <c r="F3082" t="n">
        <v>1.12</v>
      </c>
    </row>
    <row r="3083">
      <c r="A3083" s="89" t="n">
        <v>44501</v>
      </c>
      <c r="B3083" t="n">
        <v>7295.3</v>
      </c>
      <c r="C3083" t="n">
        <v>7686.7</v>
      </c>
      <c r="E3083" t="n">
        <v>21436.7</v>
      </c>
    </row>
    <row r="3084">
      <c r="A3084" s="89" t="n">
        <v>44531</v>
      </c>
      <c r="B3084" t="n">
        <v>7335.4</v>
      </c>
      <c r="C3084" t="n">
        <v>7722.6</v>
      </c>
      <c r="E3084" t="n">
        <v>21638.1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theme="6"/>
    <outlinePr summaryBelow="1" summaryRight="1"/>
    <pageSetUpPr/>
  </sheetPr>
  <dimension ref="A1:AE866"/>
  <sheetViews>
    <sheetView zoomScale="130" zoomScaleNormal="130" workbookViewId="0">
      <pane xSplit="1" ySplit="1" topLeftCell="B834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/>
  <cols>
    <col width="22.6640625" customWidth="1" style="79" min="1" max="1"/>
    <col width="9.1640625" customWidth="1" style="79" min="2" max="3"/>
    <col width="10.6640625" bestFit="1" customWidth="1" style="79" min="4" max="4"/>
    <col width="9.1640625" customWidth="1" style="79" min="5" max="16"/>
    <col width="9.1640625" customWidth="1" style="79" min="17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9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9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9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9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9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9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9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9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9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9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9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9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9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9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9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9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9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9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9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9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9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9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9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9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9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9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9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9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9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9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9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9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9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9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9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9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9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9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9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9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9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9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9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9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9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9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9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9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9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9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9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9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9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9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9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9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9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9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9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9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9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9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9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9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9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9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9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9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9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9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9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9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9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9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9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9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9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9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9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9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9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9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9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9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9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9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9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9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9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9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9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9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9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9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9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9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9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2.381699</v>
      </c>
      <c r="AE98" t="n">
        <v/>
      </c>
    </row>
    <row r="99">
      <c r="A99" s="89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2.390841</v>
      </c>
      <c r="AE99" t="n">
        <v/>
      </c>
    </row>
    <row r="100">
      <c r="A100" s="89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2.403306</v>
      </c>
      <c r="AE100" t="n">
        <v/>
      </c>
    </row>
    <row r="101">
      <c r="A101" s="89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2.410785</v>
      </c>
      <c r="AE101" t="n">
        <v/>
      </c>
    </row>
    <row r="102">
      <c r="A102" s="89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2.428236</v>
      </c>
      <c r="AE102" t="n">
        <v/>
      </c>
    </row>
    <row r="103">
      <c r="A103" s="89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2.444026</v>
      </c>
      <c r="AE103" t="n">
        <v/>
      </c>
    </row>
    <row r="104">
      <c r="A104" s="89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2.453167</v>
      </c>
      <c r="AE104" t="n">
        <v/>
      </c>
    </row>
    <row r="105">
      <c r="A105" s="89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2.463139</v>
      </c>
      <c r="AE105" t="n">
        <v/>
      </c>
    </row>
    <row r="106">
      <c r="A106" s="89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2.465632</v>
      </c>
      <c r="AE106" t="n">
        <v/>
      </c>
    </row>
    <row r="107">
      <c r="A107" s="89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2.46397</v>
      </c>
      <c r="AE107" t="n">
        <v/>
      </c>
    </row>
    <row r="108">
      <c r="A108" s="89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2.468956</v>
      </c>
      <c r="AE108" t="n">
        <v/>
      </c>
    </row>
    <row r="109">
      <c r="A109" s="89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2.474773</v>
      </c>
      <c r="AE109" t="n">
        <v/>
      </c>
    </row>
    <row r="110">
      <c r="A110" s="89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2.478097</v>
      </c>
      <c r="AE110" t="n">
        <v/>
      </c>
    </row>
    <row r="111">
      <c r="A111" s="89" t="n">
        <v>21947</v>
      </c>
      <c r="B111" t="n">
        <v>0.3946056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2.480591</v>
      </c>
      <c r="AE111" t="n">
        <v/>
      </c>
    </row>
    <row r="112">
      <c r="A112" s="89" t="n">
        <v>21976</v>
      </c>
      <c r="B112" t="n">
        <v>0.3977716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2.48807</v>
      </c>
      <c r="AE112" t="n">
        <v/>
      </c>
    </row>
    <row r="113">
      <c r="A113" s="89" t="n">
        <v>22007</v>
      </c>
      <c r="B113" t="n">
        <v>0.4003493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2.493887</v>
      </c>
      <c r="AE113" t="n">
        <v/>
      </c>
    </row>
    <row r="114">
      <c r="A114" s="89" t="n">
        <v>22037</v>
      </c>
      <c r="B114" t="n">
        <v>0.4048041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2.500535</v>
      </c>
      <c r="AE114" t="n">
        <v/>
      </c>
    </row>
    <row r="115">
      <c r="A115" s="89" t="n">
        <v>22068</v>
      </c>
      <c r="B115" t="n">
        <v>0.4070456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2.512169</v>
      </c>
      <c r="AE115" t="n">
        <v/>
      </c>
    </row>
    <row r="116">
      <c r="A116" s="89" t="n">
        <v>22098</v>
      </c>
      <c r="B116" t="n">
        <v>0.4082223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2.527128</v>
      </c>
      <c r="AE116" t="n">
        <v/>
      </c>
    </row>
    <row r="117">
      <c r="A117" s="89" t="n">
        <v>22129</v>
      </c>
      <c r="B117" t="n">
        <v>0.4097073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2.550396</v>
      </c>
      <c r="AE117" t="n">
        <v/>
      </c>
    </row>
    <row r="118">
      <c r="A118" s="89" t="n">
        <v>22160</v>
      </c>
      <c r="B118" t="n">
        <v>0.4099875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2.562861</v>
      </c>
      <c r="AE118" t="n">
        <v/>
      </c>
    </row>
    <row r="119">
      <c r="A119" s="89" t="n">
        <v>22190</v>
      </c>
      <c r="B119" t="n">
        <v>0.410772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2.572003</v>
      </c>
      <c r="AE119" t="n">
        <v/>
      </c>
    </row>
    <row r="120">
      <c r="A120" s="89" t="n">
        <v>22221</v>
      </c>
      <c r="B120" t="n">
        <v>0.4103517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2.583637</v>
      </c>
      <c r="AE120" t="n">
        <v/>
      </c>
    </row>
    <row r="121">
      <c r="A121" s="89" t="n">
        <v>22251</v>
      </c>
      <c r="B121" t="n">
        <v>0.409203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2.596102</v>
      </c>
      <c r="AE121" t="n">
        <v/>
      </c>
    </row>
    <row r="122">
      <c r="A122" s="89" t="n">
        <v>22282</v>
      </c>
      <c r="B122" t="n">
        <v>0.4079142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2.610229</v>
      </c>
      <c r="AE122" t="n">
        <v/>
      </c>
    </row>
    <row r="123">
      <c r="A123" s="89" t="n">
        <v>22313</v>
      </c>
      <c r="B123" t="n">
        <v>0.4072137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2.630174</v>
      </c>
      <c r="AE123" t="n">
        <v/>
      </c>
    </row>
    <row r="124">
      <c r="A124" s="89" t="n">
        <v>22341</v>
      </c>
      <c r="B124" t="n">
        <v>0.4070456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2.645132</v>
      </c>
      <c r="AE124" t="n">
        <v/>
      </c>
    </row>
    <row r="125">
      <c r="A125" s="89" t="n">
        <v>22372</v>
      </c>
      <c r="B125" t="n">
        <v>0.4090909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2.658428</v>
      </c>
      <c r="AE125" t="n">
        <v/>
      </c>
    </row>
    <row r="126">
      <c r="A126" s="89" t="n">
        <v>22402</v>
      </c>
      <c r="B126" t="n">
        <v>0.4122009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2.677542</v>
      </c>
      <c r="AE126" t="n">
        <v/>
      </c>
    </row>
    <row r="127">
      <c r="A127" s="89" t="n">
        <v>22433</v>
      </c>
      <c r="B127" t="n">
        <v>0.413826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2.694993</v>
      </c>
      <c r="AE127" t="n">
        <v/>
      </c>
    </row>
    <row r="128">
      <c r="A128" s="89" t="n">
        <v>22463</v>
      </c>
      <c r="B128" t="n">
        <v>0.4156471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2.705796</v>
      </c>
      <c r="AE128" t="n">
        <v/>
      </c>
    </row>
    <row r="129">
      <c r="A129" s="89" t="n">
        <v>22494</v>
      </c>
      <c r="B129" t="n">
        <v>0.4170761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2.722417</v>
      </c>
      <c r="AE129" t="n">
        <v/>
      </c>
    </row>
    <row r="130">
      <c r="A130" s="89" t="n">
        <v>22525</v>
      </c>
      <c r="B130" t="n">
        <v>0.4197097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2.738206</v>
      </c>
      <c r="AE130" t="n">
        <v/>
      </c>
    </row>
    <row r="131">
      <c r="A131" s="89" t="n">
        <v>22555</v>
      </c>
      <c r="B131" t="n">
        <v>0.4231559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2.751503</v>
      </c>
      <c r="AE131" t="n">
        <v/>
      </c>
    </row>
    <row r="132">
      <c r="A132" s="89" t="n">
        <v>22586</v>
      </c>
      <c r="B132" t="n">
        <v>0.4244728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2.770616</v>
      </c>
      <c r="AE132" t="n">
        <v/>
      </c>
    </row>
    <row r="133">
      <c r="A133" s="89" t="n">
        <v>22616</v>
      </c>
      <c r="B133" t="n">
        <v>0.4264621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2.788067</v>
      </c>
      <c r="AE133" t="n">
        <v/>
      </c>
    </row>
    <row r="134">
      <c r="A134" s="89" t="n">
        <v>22647</v>
      </c>
      <c r="B134" t="n">
        <v>0.4296841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2.804688</v>
      </c>
      <c r="AE134" t="n">
        <v/>
      </c>
    </row>
    <row r="135">
      <c r="A135" s="89" t="n">
        <v>22678</v>
      </c>
      <c r="B135" t="n">
        <v>0.4324579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2.826294</v>
      </c>
      <c r="AE135" t="n">
        <v/>
      </c>
    </row>
    <row r="136">
      <c r="A136" s="89" t="n">
        <v>22706</v>
      </c>
      <c r="B136" t="n">
        <v>0.4358761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2.851225</v>
      </c>
      <c r="AE136" t="n">
        <v/>
      </c>
    </row>
    <row r="137">
      <c r="A137" s="89" t="n">
        <v>22737</v>
      </c>
      <c r="B137" t="n">
        <v>0.4392383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2.871169</v>
      </c>
      <c r="AE137" t="n">
        <v/>
      </c>
    </row>
    <row r="138">
      <c r="A138" s="89" t="n">
        <v>22767</v>
      </c>
      <c r="B138" t="n">
        <v>0.4415638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2.88779</v>
      </c>
      <c r="AE138" t="n">
        <v/>
      </c>
    </row>
    <row r="139">
      <c r="A139" s="89" t="n">
        <v>22798</v>
      </c>
      <c r="B139" t="n">
        <v>0.4440854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2.902748</v>
      </c>
      <c r="AE139" t="n">
        <v/>
      </c>
    </row>
    <row r="140">
      <c r="A140" s="89" t="n">
        <v>22828</v>
      </c>
      <c r="B140" t="n">
        <v>0.4482321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2.915213</v>
      </c>
      <c r="AE140" t="n">
        <v/>
      </c>
    </row>
    <row r="141">
      <c r="A141" s="89" t="n">
        <v>22859</v>
      </c>
      <c r="B141" t="n">
        <v>0.4506416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2.931834</v>
      </c>
      <c r="AE141" t="n">
        <v/>
      </c>
    </row>
    <row r="142">
      <c r="A142" s="89" t="n">
        <v>22890</v>
      </c>
      <c r="B142" t="n">
        <v>0.452771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2.949285</v>
      </c>
      <c r="AE142" t="n">
        <v/>
      </c>
    </row>
    <row r="143">
      <c r="A143" s="89" t="n">
        <v>22920</v>
      </c>
      <c r="B143" t="n">
        <v>0.4560211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2.968398</v>
      </c>
      <c r="AE143" t="n">
        <v/>
      </c>
    </row>
    <row r="144">
      <c r="A144" s="89" t="n">
        <v>22951</v>
      </c>
      <c r="B144" t="n">
        <v>0.4583746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2.990005</v>
      </c>
      <c r="AE144" t="n">
        <v/>
      </c>
    </row>
    <row r="145">
      <c r="A145" s="89" t="n">
        <v>22981</v>
      </c>
      <c r="B145" t="n">
        <v>0.4611484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3.014104</v>
      </c>
      <c r="AE145" t="n">
        <v/>
      </c>
    </row>
    <row r="146">
      <c r="A146" s="89" t="n">
        <v>23012</v>
      </c>
      <c r="B146" t="n">
        <v>0.4640062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3.03488</v>
      </c>
      <c r="AE146" t="n">
        <v/>
      </c>
    </row>
    <row r="147">
      <c r="A147" s="89" t="n">
        <v>23043</v>
      </c>
      <c r="B147" t="n">
        <v>0.4669761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3.057317</v>
      </c>
      <c r="AE147" t="n">
        <v/>
      </c>
    </row>
    <row r="148">
      <c r="A148" s="89" t="n">
        <v>23071</v>
      </c>
      <c r="B148" t="n">
        <v>0.4707585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3.080586</v>
      </c>
      <c r="AE148" t="n">
        <v/>
      </c>
    </row>
    <row r="149">
      <c r="A149" s="89" t="n">
        <v>23102</v>
      </c>
      <c r="B149" t="n">
        <v>0.4747931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3.102192</v>
      </c>
      <c r="AE149" t="n">
        <v/>
      </c>
    </row>
    <row r="150">
      <c r="A150" s="89" t="n">
        <v>23132</v>
      </c>
      <c r="B150" t="n">
        <v>0.4779031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3.125461</v>
      </c>
      <c r="AE150" t="n">
        <v/>
      </c>
    </row>
    <row r="151">
      <c r="A151" s="89" t="n">
        <v>23163</v>
      </c>
      <c r="B151" t="n">
        <v>0.4817416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3.144574</v>
      </c>
      <c r="AE151" t="n">
        <v/>
      </c>
    </row>
    <row r="152">
      <c r="A152" s="89" t="n">
        <v>23193</v>
      </c>
      <c r="B152" t="n">
        <v>0.4861684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3.167012</v>
      </c>
      <c r="AE152" t="n">
        <v/>
      </c>
    </row>
    <row r="153">
      <c r="A153" s="89" t="n">
        <v>23224</v>
      </c>
      <c r="B153" t="n">
        <v>0.490119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3.187787</v>
      </c>
      <c r="AE153" t="n">
        <v/>
      </c>
    </row>
    <row r="154">
      <c r="A154" s="89" t="n">
        <v>23255</v>
      </c>
      <c r="B154" t="n">
        <v>0.4941255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3.207732</v>
      </c>
      <c r="AE154" t="n">
        <v/>
      </c>
    </row>
    <row r="155">
      <c r="A155" s="89" t="n">
        <v>23285</v>
      </c>
      <c r="B155" t="n">
        <v>0.4972916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3.226845</v>
      </c>
      <c r="AE155" t="n">
        <v/>
      </c>
    </row>
    <row r="156">
      <c r="A156" s="89" t="n">
        <v>23316</v>
      </c>
      <c r="B156" t="n">
        <v>0.5021667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3.253438</v>
      </c>
      <c r="AE156" t="n">
        <v/>
      </c>
    </row>
    <row r="157">
      <c r="A157" s="89" t="n">
        <v>23346</v>
      </c>
      <c r="B157" t="n">
        <v>0.5086108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3.267565</v>
      </c>
      <c r="AE157" t="n">
        <v/>
      </c>
    </row>
    <row r="158">
      <c r="A158" s="89" t="n">
        <v>23377</v>
      </c>
      <c r="B158" t="n">
        <v>0.5132899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3.284185</v>
      </c>
      <c r="AE158" t="n">
        <v/>
      </c>
    </row>
    <row r="159">
      <c r="A159" s="89" t="n">
        <v>23408</v>
      </c>
      <c r="B159" t="n">
        <v>0.5172404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3.30413</v>
      </c>
      <c r="AE159" t="n">
        <v/>
      </c>
    </row>
    <row r="160">
      <c r="A160" s="89" t="n">
        <v>23437</v>
      </c>
      <c r="B160" t="n">
        <v>0.5237126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3.322412</v>
      </c>
      <c r="AE160" t="n">
        <v/>
      </c>
    </row>
    <row r="161">
      <c r="A161" s="89" t="n">
        <v>23468</v>
      </c>
      <c r="B161" t="n">
        <v>0.5301567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3.338202</v>
      </c>
      <c r="AE161" t="n">
        <v/>
      </c>
    </row>
    <row r="162">
      <c r="A162" s="89" t="n">
        <v>23498</v>
      </c>
      <c r="B162" t="n">
        <v>0.5353401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3.358977</v>
      </c>
      <c r="AE162" t="n">
        <v/>
      </c>
    </row>
    <row r="163">
      <c r="A163" s="89" t="n">
        <v>23529</v>
      </c>
      <c r="B163" t="n">
        <v>0.5410557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3.383077</v>
      </c>
      <c r="AE163" t="n">
        <v/>
      </c>
    </row>
    <row r="164">
      <c r="A164" s="89" t="n">
        <v>23559</v>
      </c>
      <c r="B164" t="n">
        <v>0.5457347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3.408007</v>
      </c>
      <c r="AE164" t="n">
        <v/>
      </c>
    </row>
    <row r="165">
      <c r="A165" s="89" t="n">
        <v>23590</v>
      </c>
      <c r="B165" t="n">
        <v>0.5507219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3.435431</v>
      </c>
      <c r="AE165" t="n">
        <v/>
      </c>
    </row>
    <row r="166">
      <c r="A166" s="89" t="n">
        <v>23621</v>
      </c>
      <c r="B166" t="n">
        <v>0.5552328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3.464517</v>
      </c>
      <c r="AE166" t="n">
        <v/>
      </c>
    </row>
    <row r="167">
      <c r="A167" s="89" t="n">
        <v>23651</v>
      </c>
      <c r="B167" t="n">
        <v>0.5590713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3.482799</v>
      </c>
      <c r="AE167" t="n">
        <v/>
      </c>
    </row>
    <row r="168">
      <c r="A168" s="89" t="n">
        <v>23682</v>
      </c>
      <c r="B168" t="n">
        <v>0.5636942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3.506898</v>
      </c>
      <c r="AE168" t="n">
        <v/>
      </c>
    </row>
    <row r="169">
      <c r="A169" s="89" t="n">
        <v>23712</v>
      </c>
      <c r="B169" t="n">
        <v>0.5669724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3.529336</v>
      </c>
      <c r="AE169" t="n">
        <v/>
      </c>
    </row>
    <row r="170">
      <c r="A170" s="89" t="n">
        <v>23743</v>
      </c>
      <c r="B170" t="n">
        <v>0.569438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3.552604</v>
      </c>
      <c r="AE170" t="n">
        <v/>
      </c>
    </row>
    <row r="171">
      <c r="A171" s="89" t="n">
        <v>23774</v>
      </c>
      <c r="B171" t="n">
        <v>0.5732764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3.576704</v>
      </c>
      <c r="AE171" t="n">
        <v/>
      </c>
    </row>
    <row r="172">
      <c r="A172" s="89" t="n">
        <v>23802</v>
      </c>
      <c r="B172" t="n">
        <v>0.5792162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3.599972</v>
      </c>
      <c r="AE172" t="n">
        <v/>
      </c>
    </row>
    <row r="173">
      <c r="A173" s="89" t="n">
        <v>23833</v>
      </c>
      <c r="B173" t="n">
        <v>0.5827745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3.618255</v>
      </c>
      <c r="AE173" t="n">
        <v>0.1688796</v>
      </c>
    </row>
    <row r="174">
      <c r="A174" s="89" t="n">
        <v>23863</v>
      </c>
      <c r="B174" t="n">
        <v>0.5827745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3.632382</v>
      </c>
      <c r="AE174" t="n">
        <v>0.1700512</v>
      </c>
    </row>
    <row r="175">
      <c r="A175" s="89" t="n">
        <v>23894</v>
      </c>
      <c r="B175" t="n">
        <v>0.5855764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3.657313</v>
      </c>
      <c r="AE175" t="n">
        <v>0.1692293</v>
      </c>
    </row>
    <row r="176">
      <c r="A176" s="89" t="n">
        <v>23924</v>
      </c>
      <c r="B176" t="n">
        <v>0.5883781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3.680581</v>
      </c>
      <c r="AE176" t="n">
        <v>0.1689845</v>
      </c>
    </row>
    <row r="177">
      <c r="A177" s="89" t="n">
        <v>23955</v>
      </c>
      <c r="B177" t="n">
        <v>0.5883781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3.704681</v>
      </c>
      <c r="AE177" t="n">
        <v>0.1694392</v>
      </c>
    </row>
    <row r="178">
      <c r="A178" s="89" t="n">
        <v>23986</v>
      </c>
      <c r="B178" t="n">
        <v>0.5883781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3.735429</v>
      </c>
      <c r="AE178" t="n">
        <v>0.1691419</v>
      </c>
    </row>
    <row r="179">
      <c r="A179" s="89" t="n">
        <v>24016</v>
      </c>
      <c r="B179" t="n">
        <v>0.5911799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3.76119</v>
      </c>
      <c r="AE179" t="n">
        <v>0.1697714</v>
      </c>
    </row>
    <row r="180">
      <c r="A180" s="89" t="n">
        <v>24047</v>
      </c>
      <c r="B180" t="n">
        <v>0.5939816999999999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3.786952</v>
      </c>
      <c r="AE180" t="n">
        <v>0.1707158</v>
      </c>
    </row>
    <row r="181">
      <c r="A181" s="89" t="n">
        <v>24077</v>
      </c>
      <c r="B181" t="n">
        <v>0.5967835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3.816037</v>
      </c>
      <c r="AE181" t="n">
        <v>0.1719049</v>
      </c>
    </row>
    <row r="182">
      <c r="A182" s="89" t="n">
        <v>24108</v>
      </c>
      <c r="B182" t="n">
        <v>0.5995854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3.839306</v>
      </c>
      <c r="AE182" t="n">
        <v>0.1728493</v>
      </c>
    </row>
    <row r="183">
      <c r="A183" s="89" t="n">
        <v>24139</v>
      </c>
      <c r="B183" t="n">
        <v>0.6051889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3.860912</v>
      </c>
      <c r="AE183" t="n">
        <v>0.1734264</v>
      </c>
    </row>
    <row r="184">
      <c r="A184" s="89" t="n">
        <v>24167</v>
      </c>
      <c r="B184" t="n">
        <v>0.6107925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3.882519</v>
      </c>
      <c r="AE184" t="n">
        <v>0.1738461</v>
      </c>
    </row>
    <row r="185">
      <c r="A185" s="89" t="n">
        <v>24198</v>
      </c>
      <c r="B185" t="n">
        <v>0.6107925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3.89997</v>
      </c>
      <c r="AE185" t="n">
        <v>0.1750527</v>
      </c>
    </row>
    <row r="186">
      <c r="A186" s="89" t="n">
        <v>24228</v>
      </c>
      <c r="B186" t="n">
        <v>0.6135944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3.906618</v>
      </c>
      <c r="AE186" t="n">
        <v>0.1777109</v>
      </c>
    </row>
    <row r="187">
      <c r="A187" s="89" t="n">
        <v>24259</v>
      </c>
      <c r="B187" t="n">
        <v>0.619198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3.91576</v>
      </c>
      <c r="AE187" t="n">
        <v>0.1802641</v>
      </c>
    </row>
    <row r="188">
      <c r="A188" s="89" t="n">
        <v>24289</v>
      </c>
      <c r="B188" t="n">
        <v>0.6219997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3.913267</v>
      </c>
      <c r="AE188" t="n">
        <v>0.1830796</v>
      </c>
    </row>
    <row r="189">
      <c r="A189" s="89" t="n">
        <v>24320</v>
      </c>
      <c r="B189" t="n">
        <v>0.6248015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3.927394</v>
      </c>
      <c r="AE189" t="n">
        <v>0.1844437</v>
      </c>
    </row>
    <row r="190">
      <c r="A190" s="89" t="n">
        <v>24351</v>
      </c>
      <c r="B190" t="n">
        <v>0.6304051000000001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3.950662</v>
      </c>
      <c r="AE190" t="n">
        <v>0.1855279</v>
      </c>
    </row>
    <row r="191">
      <c r="A191" s="89" t="n">
        <v>24381</v>
      </c>
      <c r="B191" t="n">
        <v>0.6360087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3.953156</v>
      </c>
      <c r="AE191" t="n">
        <v>0.1870144</v>
      </c>
    </row>
    <row r="192">
      <c r="A192" s="89" t="n">
        <v>24412</v>
      </c>
      <c r="B192" t="n">
        <v>0.6416124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3.966452</v>
      </c>
      <c r="AE192" t="n">
        <v>0.1872417</v>
      </c>
    </row>
    <row r="193">
      <c r="A193" s="89" t="n">
        <v>24442</v>
      </c>
      <c r="B193" t="n">
        <v>0.6444141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3.990551</v>
      </c>
      <c r="AE193" t="n">
        <v>0.1880112</v>
      </c>
    </row>
    <row r="194">
      <c r="A194" s="89" t="n">
        <v>24473</v>
      </c>
      <c r="B194" t="n">
        <v>0.647216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4.002185</v>
      </c>
      <c r="AE194" t="n">
        <v>0.1895151</v>
      </c>
    </row>
    <row r="195">
      <c r="A195" s="89" t="n">
        <v>24504</v>
      </c>
      <c r="B195" t="n">
        <v>0.6528196000000001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4.031271</v>
      </c>
      <c r="AE195" t="n">
        <v>0.1901447</v>
      </c>
    </row>
    <row r="196">
      <c r="A196" s="89" t="n">
        <v>24532</v>
      </c>
      <c r="B196" t="n">
        <v>0.6584231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4.069498</v>
      </c>
      <c r="AE196" t="n">
        <v>0.1908792</v>
      </c>
    </row>
    <row r="197">
      <c r="A197" s="89" t="n">
        <v>24563</v>
      </c>
      <c r="B197" t="n">
        <v>0.6584231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4.089443</v>
      </c>
      <c r="AE197" t="n">
        <v>0.1920684</v>
      </c>
    </row>
    <row r="198">
      <c r="A198" s="89" t="n">
        <v>24593</v>
      </c>
      <c r="B198" t="n">
        <v>0.661225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4.131824</v>
      </c>
      <c r="AE198" t="n">
        <v>0.1927154</v>
      </c>
    </row>
    <row r="199">
      <c r="A199" s="89" t="n">
        <v>24624</v>
      </c>
      <c r="B199" t="n">
        <v>0.6696303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4.171713</v>
      </c>
      <c r="AE199" t="n">
        <v>0.1942019</v>
      </c>
    </row>
    <row r="200">
      <c r="A200" s="89" t="n">
        <v>24654</v>
      </c>
      <c r="B200" t="n">
        <v>0.675234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4.207447</v>
      </c>
      <c r="AE200" t="n">
        <v>0.1954785</v>
      </c>
    </row>
    <row r="201">
      <c r="A201" s="89" t="n">
        <v>24685</v>
      </c>
      <c r="B201" t="n">
        <v>0.6808376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4.244843</v>
      </c>
      <c r="AE201" t="n">
        <v>0.196178</v>
      </c>
    </row>
    <row r="202">
      <c r="A202" s="89" t="n">
        <v>24716</v>
      </c>
      <c r="B202" t="n">
        <v>0.6864411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4.277253</v>
      </c>
      <c r="AE202" t="n">
        <v>0.1964753</v>
      </c>
    </row>
    <row r="203">
      <c r="A203" s="89" t="n">
        <v>24746</v>
      </c>
      <c r="B203" t="n">
        <v>0.6892430000000001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4.306338</v>
      </c>
      <c r="AE203" t="n">
        <v>0.1967201</v>
      </c>
    </row>
    <row r="204">
      <c r="A204" s="89" t="n">
        <v>24777</v>
      </c>
      <c r="B204" t="n">
        <v>0.6920447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4.331269</v>
      </c>
      <c r="AE204" t="n">
        <v>0.1986787</v>
      </c>
    </row>
    <row r="205">
      <c r="A205" s="89" t="n">
        <v>24807</v>
      </c>
      <c r="B205" t="n">
        <v>0.6976483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4.361186</v>
      </c>
      <c r="AE205" t="n">
        <v>0.2013544</v>
      </c>
    </row>
    <row r="206">
      <c r="A206" s="89" t="n">
        <v>24838</v>
      </c>
      <c r="B206" t="n">
        <v>0.703252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4.382792</v>
      </c>
      <c r="AE206" t="n">
        <v>0.2036278</v>
      </c>
    </row>
    <row r="207">
      <c r="A207" s="89" t="n">
        <v>24869</v>
      </c>
      <c r="B207" t="n">
        <v>0.7060537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4.407722</v>
      </c>
      <c r="AE207" t="n">
        <v>0.2049743</v>
      </c>
    </row>
    <row r="208">
      <c r="A208" s="89" t="n">
        <v>24898</v>
      </c>
      <c r="B208" t="n">
        <v>0.7088556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4.430991</v>
      </c>
      <c r="AE208" t="n">
        <v>0.2060061</v>
      </c>
    </row>
    <row r="209">
      <c r="A209" s="89" t="n">
        <v>24929</v>
      </c>
      <c r="B209" t="n">
        <v>0.7116573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4.451766</v>
      </c>
      <c r="AE209" t="n">
        <v>0.2080697</v>
      </c>
    </row>
    <row r="210">
      <c r="A210" s="89" t="n">
        <v>24959</v>
      </c>
      <c r="B210" t="n">
        <v>0.7144592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4.478359</v>
      </c>
      <c r="AE210" t="n">
        <v>0.2107803</v>
      </c>
    </row>
    <row r="211">
      <c r="A211" s="89" t="n">
        <v>24990</v>
      </c>
      <c r="B211" t="n">
        <v>0.7228646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4.509107</v>
      </c>
      <c r="AE211" t="n">
        <v>0.2132985</v>
      </c>
    </row>
    <row r="212">
      <c r="A212" s="89" t="n">
        <v>25020</v>
      </c>
      <c r="B212" t="n">
        <v>0.73127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4.534038</v>
      </c>
      <c r="AE212" t="n">
        <v>0.2157818</v>
      </c>
    </row>
    <row r="213">
      <c r="A213" s="89" t="n">
        <v>25051</v>
      </c>
      <c r="B213" t="n">
        <v>0.7340718000000001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4.565616</v>
      </c>
      <c r="AE213" t="n">
        <v>0.2183875</v>
      </c>
    </row>
    <row r="214">
      <c r="A214" s="89" t="n">
        <v>25082</v>
      </c>
      <c r="B214" t="n">
        <v>0.7368736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4.600519</v>
      </c>
      <c r="AE214" t="n">
        <v>0.2206959</v>
      </c>
    </row>
    <row r="215">
      <c r="A215" s="89" t="n">
        <v>25112</v>
      </c>
      <c r="B215" t="n">
        <v>0.7424771999999999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4.633759</v>
      </c>
      <c r="AE215" t="n">
        <v>0.2229518</v>
      </c>
    </row>
    <row r="216">
      <c r="A216" s="89" t="n">
        <v>25143</v>
      </c>
      <c r="B216" t="n">
        <v>0.745279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4.673649</v>
      </c>
      <c r="AE216" t="n">
        <v>0.2277959</v>
      </c>
    </row>
    <row r="217">
      <c r="A217" s="89" t="n">
        <v>25173</v>
      </c>
      <c r="B217" t="n">
        <v>0.7480808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4.710214</v>
      </c>
      <c r="AE217" t="n">
        <v>0.2299994</v>
      </c>
    </row>
    <row r="218">
      <c r="A218" s="89" t="n">
        <v>25204</v>
      </c>
      <c r="B218" t="n">
        <v>0.7564862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4.730989</v>
      </c>
      <c r="AE218" t="n">
        <v>0.2295972</v>
      </c>
    </row>
    <row r="219">
      <c r="A219" s="89" t="n">
        <v>25235</v>
      </c>
      <c r="B219" t="n">
        <v>0.7648916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4.752595</v>
      </c>
      <c r="AE219" t="n">
        <v>0.2325001</v>
      </c>
    </row>
    <row r="220">
      <c r="A220" s="89" t="n">
        <v>25263</v>
      </c>
      <c r="B220" t="n">
        <v>0.7704952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4.773371</v>
      </c>
      <c r="AE220" t="n">
        <v>0.2356304</v>
      </c>
    </row>
    <row r="221">
      <c r="A221" s="89" t="n">
        <v>25294</v>
      </c>
      <c r="B221" t="n">
        <v>0.7760988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4.784174</v>
      </c>
      <c r="AE221" t="n">
        <v>0.2371519</v>
      </c>
    </row>
    <row r="222">
      <c r="A222" s="89" t="n">
        <v>25324</v>
      </c>
      <c r="B222" t="n">
        <v>0.7817024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4.790822</v>
      </c>
      <c r="AE222" t="n">
        <v>0.2386034</v>
      </c>
    </row>
    <row r="223">
      <c r="A223" s="89" t="n">
        <v>25355</v>
      </c>
      <c r="B223" t="n">
        <v>0.7901078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4.807443</v>
      </c>
      <c r="AE223" t="n">
        <v>0.2386034</v>
      </c>
    </row>
    <row r="224">
      <c r="A224" s="89" t="n">
        <v>25385</v>
      </c>
      <c r="B224" t="n">
        <v>0.7985132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4.815753</v>
      </c>
      <c r="AE224" t="n">
        <v>0.2374492</v>
      </c>
    </row>
    <row r="225">
      <c r="A225" s="89" t="n">
        <v>25416</v>
      </c>
      <c r="B225" t="n">
        <v>0.8041168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4.820739</v>
      </c>
      <c r="AE225" t="n">
        <v>0.2387607</v>
      </c>
    </row>
    <row r="226">
      <c r="A226" s="89" t="n">
        <v>25447</v>
      </c>
      <c r="B226" t="n">
        <v>0.8069186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4.837359</v>
      </c>
      <c r="AE226" t="n">
        <v>0.2428529</v>
      </c>
    </row>
    <row r="227">
      <c r="A227" s="89" t="n">
        <v>25477</v>
      </c>
      <c r="B227" t="n">
        <v>0.8097204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4.848163</v>
      </c>
      <c r="AE227" t="n">
        <v>0.2474172</v>
      </c>
    </row>
    <row r="228">
      <c r="A228" s="89" t="n">
        <v>25508</v>
      </c>
      <c r="B228" t="n">
        <v>0.815324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4.864783</v>
      </c>
      <c r="AE228" t="n">
        <v>0.2506</v>
      </c>
    </row>
    <row r="229">
      <c r="A229" s="89" t="n">
        <v>25538</v>
      </c>
      <c r="B229" t="n">
        <v>0.8209276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4.885558</v>
      </c>
      <c r="AE229" t="n">
        <v>0.2536254</v>
      </c>
    </row>
    <row r="230">
      <c r="A230" s="89" t="n">
        <v>25569</v>
      </c>
      <c r="B230" t="n">
        <v>0.8237293999999999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4.899686</v>
      </c>
      <c r="AE230" t="n">
        <v>0.2542025</v>
      </c>
    </row>
    <row r="231">
      <c r="A231" s="89" t="n">
        <v>25600</v>
      </c>
      <c r="B231" t="n">
        <v>0.8265312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4.872262</v>
      </c>
      <c r="AE231" t="n">
        <v>0.2530658</v>
      </c>
    </row>
    <row r="232">
      <c r="A232" s="89" t="n">
        <v>25628</v>
      </c>
      <c r="B232" t="n">
        <v>0.8321348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4.880572</v>
      </c>
      <c r="AE232" t="n">
        <v>0.2554441</v>
      </c>
    </row>
    <row r="233">
      <c r="A233" s="89" t="n">
        <v>25659</v>
      </c>
      <c r="B233" t="n">
        <v>0.8349366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4.889713</v>
      </c>
      <c r="AE233" t="n">
        <v>0.2587843</v>
      </c>
    </row>
    <row r="234">
      <c r="A234" s="89" t="n">
        <v>25689</v>
      </c>
      <c r="B234" t="n">
        <v>0.8377384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4.915475</v>
      </c>
      <c r="AE234" t="n">
        <v>0.2605505</v>
      </c>
    </row>
    <row r="235">
      <c r="A235" s="89" t="n">
        <v>25720</v>
      </c>
      <c r="B235" t="n">
        <v>0.8405402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3.108004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4.946223</v>
      </c>
      <c r="AE235" t="n">
        <v>0.2629638</v>
      </c>
    </row>
    <row r="236">
      <c r="A236" s="89" t="n">
        <v>25750</v>
      </c>
      <c r="B236" t="n">
        <v>0.843342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4.978632</v>
      </c>
      <c r="AE236" t="n">
        <v>0.2652372</v>
      </c>
    </row>
    <row r="237">
      <c r="A237" s="89" t="n">
        <v>25781</v>
      </c>
      <c r="B237" t="n">
        <v>0.8461438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5.026832</v>
      </c>
      <c r="AE237" t="n">
        <v>0.266269</v>
      </c>
    </row>
    <row r="238">
      <c r="A238" s="89" t="n">
        <v>25812</v>
      </c>
      <c r="B238" t="n">
        <v>0.8489456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5.079185</v>
      </c>
      <c r="AE238" t="n">
        <v>0.2679828</v>
      </c>
    </row>
    <row r="239">
      <c r="A239" s="89" t="n">
        <v>25842</v>
      </c>
      <c r="B239" t="n">
        <v>0.8517474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5.122399</v>
      </c>
      <c r="AE239" t="n">
        <v>0.2705361</v>
      </c>
    </row>
    <row r="240">
      <c r="A240" s="89" t="n">
        <v>25873</v>
      </c>
      <c r="B240" t="n">
        <v>0.8545492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5.161457</v>
      </c>
      <c r="AE240" t="n">
        <v>0.2720575</v>
      </c>
    </row>
    <row r="241">
      <c r="A241" s="89" t="n">
        <v>25903</v>
      </c>
      <c r="B241" t="n">
        <v>0.8601528000000001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5.206332</v>
      </c>
      <c r="AE241" t="n">
        <v>0.273544</v>
      </c>
    </row>
    <row r="242">
      <c r="A242" s="89" t="n">
        <v>25934</v>
      </c>
      <c r="B242" t="n">
        <v>0.8629546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5.259517</v>
      </c>
      <c r="AE242" t="n">
        <v>0.2764819</v>
      </c>
    </row>
    <row r="243">
      <c r="A243" s="89" t="n">
        <v>25965</v>
      </c>
      <c r="B243" t="n">
        <v>0.8685581999999999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3.335764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5.326829</v>
      </c>
      <c r="AE243" t="n">
        <v>0.2787903</v>
      </c>
    </row>
    <row r="244">
      <c r="A244" s="89" t="n">
        <v>25993</v>
      </c>
      <c r="B244" t="n">
        <v>0.8769636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5.40079</v>
      </c>
      <c r="AE244" t="n">
        <v>0.2806265</v>
      </c>
    </row>
    <row r="245">
      <c r="A245" s="89" t="n">
        <v>26024</v>
      </c>
      <c r="B245" t="n">
        <v>0.8825672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5.471426</v>
      </c>
      <c r="AE245" t="n">
        <v>0.2831797</v>
      </c>
    </row>
    <row r="246">
      <c r="A246" s="89" t="n">
        <v>26054</v>
      </c>
      <c r="B246" t="n">
        <v>0.8909726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5.540401</v>
      </c>
      <c r="AE246" t="n">
        <v>0.2858379</v>
      </c>
    </row>
    <row r="247">
      <c r="A247" s="89" t="n">
        <v>26085</v>
      </c>
      <c r="B247" t="n">
        <v>0.899378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5.592755</v>
      </c>
      <c r="AE247" t="n">
        <v>0.287097</v>
      </c>
    </row>
    <row r="248">
      <c r="A248" s="89" t="n">
        <v>26115</v>
      </c>
      <c r="B248" t="n">
        <v>0.9021798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3.546548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5.647603</v>
      </c>
      <c r="AE248" t="n">
        <v>0.2871145</v>
      </c>
    </row>
    <row r="249">
      <c r="A249" s="89" t="n">
        <v>26146</v>
      </c>
      <c r="B249" t="n">
        <v>0.9077834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5.696632</v>
      </c>
      <c r="AE249" t="n">
        <v>0.2894753</v>
      </c>
    </row>
    <row r="250">
      <c r="A250" s="89" t="n">
        <v>26177</v>
      </c>
      <c r="B250" t="n">
        <v>0.9189906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3.621525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5.754804</v>
      </c>
      <c r="AE250" t="n">
        <v>0.2918012</v>
      </c>
    </row>
    <row r="251">
      <c r="A251" s="89" t="n">
        <v>26207</v>
      </c>
      <c r="B251" t="n">
        <v>0.927396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5.803834</v>
      </c>
      <c r="AE251" t="n">
        <v>0.2930428</v>
      </c>
    </row>
    <row r="252">
      <c r="A252" s="89" t="n">
        <v>26238</v>
      </c>
      <c r="B252" t="n">
        <v>0.9301978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5.855357</v>
      </c>
      <c r="AE252" t="n">
        <v>0.2951414</v>
      </c>
    </row>
    <row r="253">
      <c r="A253" s="89" t="n">
        <v>26268</v>
      </c>
      <c r="B253" t="n">
        <v>0.9358014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5.902725</v>
      </c>
      <c r="AE253" t="n">
        <v>0.2974672</v>
      </c>
    </row>
    <row r="254">
      <c r="A254" s="89" t="n">
        <v>26299</v>
      </c>
      <c r="B254" t="n">
        <v>0.9442068</v>
      </c>
      <c r="C254" t="n">
        <v/>
      </c>
      <c r="D254" t="n">
        <v>2.45598</v>
      </c>
      <c r="E254" t="n">
        <v>11.06668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5.964221</v>
      </c>
      <c r="AE254" t="n">
        <v>0.2997581</v>
      </c>
    </row>
    <row r="255">
      <c r="A255" s="89" t="n">
        <v>26330</v>
      </c>
      <c r="B255" t="n">
        <v>0.9526122</v>
      </c>
      <c r="C255" t="n">
        <v/>
      </c>
      <c r="D255" t="n">
        <v>2.454739</v>
      </c>
      <c r="E255" t="n">
        <v>11.2665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6.030702</v>
      </c>
      <c r="AE255" t="n">
        <v>0.302836</v>
      </c>
    </row>
    <row r="256">
      <c r="A256" s="89" t="n">
        <v>26359</v>
      </c>
      <c r="B256" t="n">
        <v>0.9610176</v>
      </c>
      <c r="C256" t="n">
        <v/>
      </c>
      <c r="D256" t="n">
        <v>2.484671</v>
      </c>
      <c r="E256" t="n">
        <v>11.43273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6.095521</v>
      </c>
      <c r="AE256" t="n">
        <v>0.305669</v>
      </c>
    </row>
    <row r="257">
      <c r="A257" s="89" t="n">
        <v>26390</v>
      </c>
      <c r="B257" t="n">
        <v>0.969423</v>
      </c>
      <c r="C257" t="n">
        <v/>
      </c>
      <c r="D257" t="n">
        <v>2.534867</v>
      </c>
      <c r="E257" t="n">
        <v>11.52548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3.909172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6.136241</v>
      </c>
      <c r="AE257" t="n">
        <v>0.3073828</v>
      </c>
    </row>
    <row r="258">
      <c r="A258" s="89" t="n">
        <v>26420</v>
      </c>
      <c r="B258" t="n">
        <v>0.9806302</v>
      </c>
      <c r="C258" t="n">
        <v/>
      </c>
      <c r="D258" t="n">
        <v>2.565935</v>
      </c>
      <c r="E258" t="n">
        <v>11.62796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6.176961</v>
      </c>
      <c r="AE258" t="n">
        <v>0.3094114</v>
      </c>
    </row>
    <row r="259">
      <c r="A259" s="89" t="n">
        <v>26451</v>
      </c>
      <c r="B259" t="n">
        <v>0.9918374</v>
      </c>
      <c r="C259" t="n">
        <v/>
      </c>
      <c r="D259" t="n">
        <v>2.609514</v>
      </c>
      <c r="E259" t="n">
        <v>11.75026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6.230146</v>
      </c>
      <c r="AE259" t="n">
        <v>0.313591</v>
      </c>
    </row>
    <row r="260">
      <c r="A260" s="89" t="n">
        <v>26481</v>
      </c>
      <c r="B260" t="n">
        <v>1.008648</v>
      </c>
      <c r="C260" t="n">
        <v/>
      </c>
      <c r="D260" t="n">
        <v>2.61975</v>
      </c>
      <c r="E260" t="n">
        <v>11.87952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6.311586</v>
      </c>
      <c r="AE260" t="n">
        <v>0.3195543</v>
      </c>
    </row>
    <row r="261">
      <c r="A261" s="89" t="n">
        <v>26512</v>
      </c>
      <c r="B261" t="n">
        <v>1.031063</v>
      </c>
      <c r="C261" t="n">
        <v/>
      </c>
      <c r="D261" t="n">
        <v>2.600364</v>
      </c>
      <c r="E261" t="n">
        <v>12.04478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6.38804</v>
      </c>
      <c r="AE261" t="n">
        <v>0.3257625</v>
      </c>
    </row>
    <row r="262">
      <c r="A262" s="89" t="n">
        <v>26543</v>
      </c>
      <c r="B262" t="n">
        <v>1.050675</v>
      </c>
      <c r="C262" t="n">
        <v/>
      </c>
      <c r="D262" t="n">
        <v>2.649319</v>
      </c>
      <c r="E262" t="n">
        <v>12.12963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6.467818</v>
      </c>
      <c r="AE262" t="n">
        <v>0.3313411</v>
      </c>
    </row>
    <row r="263">
      <c r="A263" s="89" t="n">
        <v>26573</v>
      </c>
      <c r="B263" t="n">
        <v>1.070288</v>
      </c>
      <c r="C263" t="n">
        <v/>
      </c>
      <c r="D263" t="n">
        <v>2.708975</v>
      </c>
      <c r="E263" t="n">
        <v>12.1813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6.539285</v>
      </c>
      <c r="AE263" t="n">
        <v>0.3348037</v>
      </c>
    </row>
    <row r="264">
      <c r="A264" s="89" t="n">
        <v>26604</v>
      </c>
      <c r="B264" t="n">
        <v>1.0899</v>
      </c>
      <c r="C264" t="n">
        <v/>
      </c>
      <c r="D264" t="n">
        <v>2.684007</v>
      </c>
      <c r="E264" t="n">
        <v>12.24675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6.597456</v>
      </c>
      <c r="AE264" t="n">
        <v>0.339298</v>
      </c>
    </row>
    <row r="265">
      <c r="A265" s="89" t="n">
        <v>26634</v>
      </c>
      <c r="B265" t="n">
        <v>1.112315</v>
      </c>
      <c r="C265" t="n">
        <v/>
      </c>
      <c r="D265" t="n">
        <v>2.746764</v>
      </c>
      <c r="E265" t="n">
        <v>12.3171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4.340171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6.667262</v>
      </c>
      <c r="AE265" t="n">
        <v>0.3462232</v>
      </c>
    </row>
    <row r="266">
      <c r="A266" s="89" t="n">
        <v>26665</v>
      </c>
      <c r="B266" t="n">
        <v>1.134729</v>
      </c>
      <c r="C266" t="n">
        <v/>
      </c>
      <c r="D266" t="n">
        <v>2.783054</v>
      </c>
      <c r="E266" t="n">
        <v>12.40012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6.733744</v>
      </c>
      <c r="AE266" t="n">
        <v>0.3501929</v>
      </c>
    </row>
    <row r="267">
      <c r="A267" s="89" t="n">
        <v>26696</v>
      </c>
      <c r="B267" t="n">
        <v>1.154342</v>
      </c>
      <c r="C267" t="n">
        <v/>
      </c>
      <c r="D267" t="n">
        <v>2.828132</v>
      </c>
      <c r="E267" t="n">
        <v>12.48208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6.765322</v>
      </c>
      <c r="AE267" t="n">
        <v>0.3530434</v>
      </c>
    </row>
    <row r="268">
      <c r="A268" s="89" t="n">
        <v>26724</v>
      </c>
      <c r="B268" t="n">
        <v>1.171153</v>
      </c>
      <c r="C268" t="n">
        <v/>
      </c>
      <c r="D268" t="n">
        <v>2.846898</v>
      </c>
      <c r="E268" t="n">
        <v>12.55029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6.775295</v>
      </c>
      <c r="AE268" t="n">
        <v>0.3598637</v>
      </c>
    </row>
    <row r="269">
      <c r="A269" s="89" t="n">
        <v>26755</v>
      </c>
      <c r="B269" t="n">
        <v>1.190765</v>
      </c>
      <c r="C269" t="n">
        <v/>
      </c>
      <c r="D269" t="n">
        <v>2.888047</v>
      </c>
      <c r="E269" t="n">
        <v>12.59013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4.52502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6.81186</v>
      </c>
      <c r="AE269" t="n">
        <v>0.3686425</v>
      </c>
    </row>
    <row r="270">
      <c r="A270" s="89" t="n">
        <v>26785</v>
      </c>
      <c r="B270" t="n">
        <v>1.218783</v>
      </c>
      <c r="C270" t="n">
        <v/>
      </c>
      <c r="D270" t="n">
        <v>2.897611</v>
      </c>
      <c r="E270" t="n">
        <v>12.67197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4.57972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6.870862</v>
      </c>
      <c r="AE270" t="n">
        <v>0.3779985</v>
      </c>
    </row>
    <row r="271">
      <c r="A271" s="89" t="n">
        <v>26816</v>
      </c>
      <c r="B271" t="n">
        <v>1.243999</v>
      </c>
      <c r="C271" t="n">
        <v/>
      </c>
      <c r="D271" t="n">
        <v>2.952821</v>
      </c>
      <c r="E271" t="n">
        <v>12.78842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6.924878</v>
      </c>
      <c r="AE271" t="n">
        <v>0.3861303</v>
      </c>
    </row>
    <row r="272">
      <c r="A272" s="89" t="n">
        <v>26846</v>
      </c>
      <c r="B272" t="n">
        <v>1.269216</v>
      </c>
      <c r="C272" t="n">
        <v/>
      </c>
      <c r="D272" t="n">
        <v>3.023746</v>
      </c>
      <c r="E272" t="n">
        <v>12.86485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6.95147</v>
      </c>
      <c r="AE272" t="n">
        <v>0.3931429</v>
      </c>
    </row>
    <row r="273">
      <c r="A273" s="89" t="n">
        <v>26877</v>
      </c>
      <c r="B273" t="n">
        <v>1.294432</v>
      </c>
      <c r="C273" t="n">
        <v/>
      </c>
      <c r="D273" t="n">
        <v>3.029536</v>
      </c>
      <c r="E273" t="n">
        <v>12.93757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4.719771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6.970584</v>
      </c>
      <c r="AE273" t="n">
        <v>0.3998757</v>
      </c>
    </row>
    <row r="274">
      <c r="A274" s="89" t="n">
        <v>26908</v>
      </c>
      <c r="B274" t="n">
        <v>1.316846</v>
      </c>
      <c r="C274" t="n">
        <v/>
      </c>
      <c r="D274" t="n">
        <v>3.086918</v>
      </c>
      <c r="E274" t="n">
        <v>13.02204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6.974739</v>
      </c>
      <c r="AE274" t="n">
        <v>0.4068883</v>
      </c>
    </row>
    <row r="275">
      <c r="A275" s="89" t="n">
        <v>26938</v>
      </c>
      <c r="B275" t="n">
        <v>1.333657</v>
      </c>
      <c r="C275" t="n">
        <v/>
      </c>
      <c r="D275" t="n">
        <v>3.153553</v>
      </c>
      <c r="E275" t="n">
        <v>13.10909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4.815968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7.002163</v>
      </c>
      <c r="AE275" t="n">
        <v>0.4123445</v>
      </c>
    </row>
    <row r="276">
      <c r="A276" s="89" t="n">
        <v>26969</v>
      </c>
      <c r="B276" t="n">
        <v>1.339261</v>
      </c>
      <c r="C276" t="n">
        <v/>
      </c>
      <c r="D276" t="n">
        <v>3.245053</v>
      </c>
      <c r="E276" t="n">
        <v>13.19371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4.867367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7.054517</v>
      </c>
      <c r="AE276" t="n">
        <v>0.4154049</v>
      </c>
    </row>
    <row r="277">
      <c r="A277" s="89" t="n">
        <v>26999</v>
      </c>
      <c r="B277" t="n">
        <v>1.350468</v>
      </c>
      <c r="C277" t="n">
        <v/>
      </c>
      <c r="D277" t="n">
        <v>3.334641</v>
      </c>
      <c r="E277" t="n">
        <v>13.26583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7.109364</v>
      </c>
      <c r="AE277" t="n">
        <v>0.4190948</v>
      </c>
    </row>
    <row r="278">
      <c r="A278" s="89" t="n">
        <v>27030</v>
      </c>
      <c r="B278" t="n">
        <v>1.367279</v>
      </c>
      <c r="C278" t="n">
        <v/>
      </c>
      <c r="D278" t="n">
        <v>3.388196</v>
      </c>
      <c r="E278" t="n">
        <v>13.31334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4.974881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7.144267</v>
      </c>
      <c r="AE278" t="n">
        <v>0.4235717</v>
      </c>
    </row>
    <row r="279">
      <c r="A279" s="89" t="n">
        <v>27061</v>
      </c>
      <c r="B279" t="n">
        <v>1.384089</v>
      </c>
      <c r="C279" t="n">
        <v/>
      </c>
      <c r="D279" t="n">
        <v>3.467238</v>
      </c>
      <c r="E279" t="n">
        <v>13.3479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5.031939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7.181663</v>
      </c>
      <c r="AE279" t="n">
        <v>0.4298848</v>
      </c>
    </row>
    <row r="280">
      <c r="A280" s="89" t="n">
        <v>27089</v>
      </c>
      <c r="B280" t="n">
        <v>1.4009</v>
      </c>
      <c r="C280" t="n">
        <v/>
      </c>
      <c r="D280" t="n">
        <v>3.545194</v>
      </c>
      <c r="E280" t="n">
        <v>13.37386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7.230693</v>
      </c>
      <c r="AE280" t="n">
        <v>0.4375444</v>
      </c>
    </row>
    <row r="281">
      <c r="A281" s="89" t="n">
        <v>27120</v>
      </c>
      <c r="B281" t="n">
        <v>1.412107</v>
      </c>
      <c r="C281" t="n">
        <v/>
      </c>
      <c r="D281" t="n">
        <v>3.598233</v>
      </c>
      <c r="E281" t="n">
        <v>13.42785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5.131908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7.253962</v>
      </c>
      <c r="AE281" t="n">
        <v>0.4440324</v>
      </c>
    </row>
    <row r="282">
      <c r="A282" s="89" t="n">
        <v>27150</v>
      </c>
      <c r="B282" t="n">
        <v>1.428918</v>
      </c>
      <c r="C282" t="n">
        <v/>
      </c>
      <c r="D282" t="n">
        <v>3.702296</v>
      </c>
      <c r="E282" t="n">
        <v>13.49049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7.268089</v>
      </c>
      <c r="AE282" t="n">
        <v>0.4505029</v>
      </c>
    </row>
    <row r="283">
      <c r="A283" s="89" t="n">
        <v>27181</v>
      </c>
      <c r="B283" t="n">
        <v>1.428918</v>
      </c>
      <c r="C283" t="n">
        <v/>
      </c>
      <c r="D283" t="n">
        <v>3.730108</v>
      </c>
      <c r="E283" t="n">
        <v>13.53282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7.294681</v>
      </c>
      <c r="AE283" t="n">
        <v>0.4575155</v>
      </c>
    </row>
    <row r="284">
      <c r="A284" s="89" t="n">
        <v>27211</v>
      </c>
      <c r="B284" t="n">
        <v>1.409306</v>
      </c>
      <c r="C284" t="n">
        <v/>
      </c>
      <c r="D284" t="n">
        <v>3.826364</v>
      </c>
      <c r="E284" t="n">
        <v>13.59688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5.273374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7.324598</v>
      </c>
      <c r="AE284" t="n">
        <v>0.4620098</v>
      </c>
    </row>
    <row r="285">
      <c r="A285" s="89" t="n">
        <v>27242</v>
      </c>
      <c r="B285" t="n">
        <v>1.392495</v>
      </c>
      <c r="C285" t="n">
        <v/>
      </c>
      <c r="D285" t="n">
        <v>3.888346</v>
      </c>
      <c r="E285" t="n">
        <v>13.7068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7.347035</v>
      </c>
      <c r="AE285" t="n">
        <v>0.4645455</v>
      </c>
    </row>
    <row r="286">
      <c r="A286" s="89" t="n">
        <v>27273</v>
      </c>
      <c r="B286" t="n">
        <v>1.386891</v>
      </c>
      <c r="C286" t="n">
        <v/>
      </c>
      <c r="D286" t="n">
        <v>3.95343</v>
      </c>
      <c r="E286" t="n">
        <v>13.81986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7.378614</v>
      </c>
      <c r="AE286" t="n">
        <v>0.4669414</v>
      </c>
    </row>
    <row r="287">
      <c r="A287" s="89" t="n">
        <v>27303</v>
      </c>
      <c r="B287" t="n">
        <v>1.403702</v>
      </c>
      <c r="C287" t="n">
        <v/>
      </c>
      <c r="D287" t="n">
        <v>3.965113</v>
      </c>
      <c r="E287" t="n">
        <v>13.90088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5.40588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7.423489</v>
      </c>
      <c r="AE287" t="n">
        <v>0.4737966</v>
      </c>
    </row>
    <row r="288">
      <c r="A288" s="89" t="n">
        <v>27334</v>
      </c>
      <c r="B288" t="n">
        <v>1.428918</v>
      </c>
      <c r="C288" t="n">
        <v/>
      </c>
      <c r="D288" t="n">
        <v>4.00161</v>
      </c>
      <c r="E288" t="n">
        <v>13.99403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7.467533</v>
      </c>
      <c r="AE288" t="n">
        <v>0.4840969</v>
      </c>
    </row>
    <row r="289">
      <c r="A289" s="89" t="n">
        <v>27364</v>
      </c>
      <c r="B289" t="n">
        <v>1.448531</v>
      </c>
      <c r="C289" t="n">
        <v/>
      </c>
      <c r="D289" t="n">
        <v>4.039503</v>
      </c>
      <c r="E289" t="n">
        <v>14.07821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5.526126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7.496619</v>
      </c>
      <c r="AE289" t="n">
        <v>0.4919489</v>
      </c>
    </row>
    <row r="290">
      <c r="A290" s="89" t="n">
        <v>27395</v>
      </c>
      <c r="B290" t="n">
        <v>1.473747</v>
      </c>
      <c r="C290" t="n">
        <v/>
      </c>
      <c r="D290" t="n">
        <v>4.093317</v>
      </c>
      <c r="E290" t="n">
        <v>14.14584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7.531522</v>
      </c>
      <c r="AE290" t="n">
        <v>0.5022492</v>
      </c>
    </row>
    <row r="291">
      <c r="A291" s="89" t="n">
        <v>27426</v>
      </c>
      <c r="B291" t="n">
        <v>1.507369</v>
      </c>
      <c r="C291" t="n">
        <v/>
      </c>
      <c r="D291" t="n">
        <v>4.138654</v>
      </c>
      <c r="E291" t="n">
        <v>14.22715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7.596341</v>
      </c>
      <c r="AE291" t="n">
        <v>0.5112554</v>
      </c>
    </row>
    <row r="292">
      <c r="A292" s="89" t="n">
        <v>27454</v>
      </c>
      <c r="B292" t="n">
        <v>1.54099</v>
      </c>
      <c r="C292" t="n">
        <v/>
      </c>
      <c r="D292" t="n">
        <v>4.173599</v>
      </c>
      <c r="E292" t="n">
        <v>14.31251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7.686922</v>
      </c>
      <c r="AE292" t="n">
        <v>0.5191249</v>
      </c>
    </row>
    <row r="293">
      <c r="A293" s="89" t="n">
        <v>27485</v>
      </c>
      <c r="B293" t="n">
        <v>1.574612</v>
      </c>
      <c r="C293" t="n">
        <v/>
      </c>
      <c r="D293" t="n">
        <v>4.186006</v>
      </c>
      <c r="E293" t="n">
        <v>14.38142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7.770855</v>
      </c>
      <c r="AE293" t="n">
        <v>0.5266796</v>
      </c>
    </row>
    <row r="294">
      <c r="A294" s="89" t="n">
        <v>27515</v>
      </c>
      <c r="B294" t="n">
        <v>1.60263</v>
      </c>
      <c r="C294" t="n">
        <v/>
      </c>
      <c r="D294" t="n">
        <v>4.200481</v>
      </c>
      <c r="E294" t="n">
        <v>14.47339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7.877225</v>
      </c>
      <c r="AE294" t="n">
        <v>0.5303696</v>
      </c>
    </row>
    <row r="295">
      <c r="A295" s="89" t="n">
        <v>27546</v>
      </c>
      <c r="B295" t="n">
        <v>1.625044</v>
      </c>
      <c r="C295" t="n">
        <v/>
      </c>
      <c r="D295" t="n">
        <v>4.283865</v>
      </c>
      <c r="E295" t="n">
        <v>14.21816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8.002708999999999</v>
      </c>
      <c r="AE295" t="n">
        <v>0.5372073000000001</v>
      </c>
    </row>
    <row r="296">
      <c r="A296" s="89" t="n">
        <v>27576</v>
      </c>
      <c r="B296" t="n">
        <v>1.655864</v>
      </c>
      <c r="C296" t="n">
        <v/>
      </c>
      <c r="D296" t="n">
        <v>4.3124</v>
      </c>
      <c r="E296" t="n">
        <v>13.91898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8.103262000000001</v>
      </c>
      <c r="AE296" t="n">
        <v>0.5477524</v>
      </c>
    </row>
    <row r="297">
      <c r="A297" s="89" t="n">
        <v>27607</v>
      </c>
      <c r="B297" t="n">
        <v>1.686684</v>
      </c>
      <c r="C297" t="n">
        <v/>
      </c>
      <c r="D297" t="n">
        <v>4.37247</v>
      </c>
      <c r="E297" t="n">
        <v>13.96477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8.169744</v>
      </c>
      <c r="AE297" t="n">
        <v>0.5580877</v>
      </c>
    </row>
    <row r="298">
      <c r="A298" s="89" t="n">
        <v>27638</v>
      </c>
      <c r="B298" t="n">
        <v>1.706297</v>
      </c>
      <c r="C298" t="n">
        <v/>
      </c>
      <c r="D298" t="n">
        <v>4.446911</v>
      </c>
      <c r="E298" t="n">
        <v>14.03895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8.239549999999999</v>
      </c>
      <c r="AE298" t="n">
        <v>0.5654326</v>
      </c>
    </row>
    <row r="299">
      <c r="A299" s="89" t="n">
        <v>27668</v>
      </c>
      <c r="B299" t="n">
        <v>1.725909</v>
      </c>
      <c r="C299" t="n">
        <v/>
      </c>
      <c r="D299" t="n">
        <v>4.498554</v>
      </c>
      <c r="E299" t="n">
        <v>14.15363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8.291903</v>
      </c>
      <c r="AE299" t="n">
        <v>0.5720255</v>
      </c>
    </row>
    <row r="300">
      <c r="A300" s="89" t="n">
        <v>27699</v>
      </c>
      <c r="B300" t="n">
        <v>1.745522</v>
      </c>
      <c r="C300" t="n">
        <v/>
      </c>
      <c r="D300" t="n">
        <v>4.505895</v>
      </c>
      <c r="E300" t="n">
        <v>14.27769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8.367526</v>
      </c>
      <c r="AE300" t="n">
        <v>0.582046</v>
      </c>
    </row>
    <row r="301">
      <c r="A301" s="89" t="n">
        <v>27729</v>
      </c>
      <c r="B301" t="n">
        <v>1.765134</v>
      </c>
      <c r="C301" t="n">
        <v/>
      </c>
      <c r="D301" t="n">
        <v>4.615644</v>
      </c>
      <c r="E301" t="n">
        <v>14.43195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8.444811</v>
      </c>
      <c r="AE301" t="n">
        <v>0.5915419</v>
      </c>
    </row>
    <row r="302">
      <c r="A302" s="89" t="n">
        <v>27760</v>
      </c>
      <c r="B302" t="n">
        <v>1.784747</v>
      </c>
      <c r="C302" t="n">
        <v/>
      </c>
      <c r="D302" t="n">
        <v>4.663979</v>
      </c>
      <c r="E302" t="n">
        <v>14.57651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8.531237000000001</v>
      </c>
      <c r="AE302" t="n">
        <v>0.5968756</v>
      </c>
    </row>
    <row r="303">
      <c r="A303" s="89" t="n">
        <v>27791</v>
      </c>
      <c r="B303" t="n">
        <v>1.793152</v>
      </c>
      <c r="C303" t="n">
        <v/>
      </c>
      <c r="D303" t="n">
        <v>4.747931</v>
      </c>
      <c r="E303" t="n">
        <v>14.66614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6.463573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8.645085999999999</v>
      </c>
      <c r="AE303" t="n">
        <v>0.6010377</v>
      </c>
    </row>
    <row r="304">
      <c r="A304" s="89" t="n">
        <v>27820</v>
      </c>
      <c r="B304" t="n">
        <v>1.80436</v>
      </c>
      <c r="C304" t="n">
        <v/>
      </c>
      <c r="D304" t="n">
        <v>4.860523</v>
      </c>
      <c r="E304" t="n">
        <v>14.76122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8.725695999999999</v>
      </c>
      <c r="AE304" t="n">
        <v>0.6047451</v>
      </c>
    </row>
    <row r="305">
      <c r="A305" s="89" t="n">
        <v>27851</v>
      </c>
      <c r="B305" t="n">
        <v>1.829576</v>
      </c>
      <c r="C305" t="n">
        <v/>
      </c>
      <c r="D305" t="n">
        <v>4.971461</v>
      </c>
      <c r="E305" t="n">
        <v>14.87307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8.815445</v>
      </c>
      <c r="AE305" t="n">
        <v>0.6095018</v>
      </c>
    </row>
    <row r="306">
      <c r="A306" s="89" t="n">
        <v>27881</v>
      </c>
      <c r="B306" t="n">
        <v>1.85199</v>
      </c>
      <c r="C306" t="n">
        <v/>
      </c>
      <c r="D306" t="n">
        <v>5.061306</v>
      </c>
      <c r="E306" t="n">
        <v>14.97462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8.90935</v>
      </c>
      <c r="AE306" t="n">
        <v>0.6139087</v>
      </c>
    </row>
    <row r="307">
      <c r="A307" s="89" t="n">
        <v>27912</v>
      </c>
      <c r="B307" t="n">
        <v>1.868801</v>
      </c>
      <c r="C307" t="n">
        <v/>
      </c>
      <c r="D307" t="n">
        <v>5.120446</v>
      </c>
      <c r="E307" t="n">
        <v>15.0561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8.955056000000001</v>
      </c>
      <c r="AE307" t="n">
        <v>0.6198371</v>
      </c>
    </row>
    <row r="308">
      <c r="A308" s="89" t="n">
        <v>27942</v>
      </c>
      <c r="B308" t="n">
        <v>1.888414</v>
      </c>
      <c r="C308" t="n">
        <v/>
      </c>
      <c r="D308" t="n">
        <v>5.185944</v>
      </c>
      <c r="E308" t="n">
        <v>15.14628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9.027355</v>
      </c>
      <c r="AE308" t="n">
        <v>0.6254507</v>
      </c>
    </row>
    <row r="309">
      <c r="A309" s="89" t="n">
        <v>27973</v>
      </c>
      <c r="B309" t="n">
        <v>2.036909</v>
      </c>
      <c r="C309" t="n">
        <v/>
      </c>
      <c r="D309" t="n">
        <v>5.287007</v>
      </c>
      <c r="E309" t="n">
        <v>15.24286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9.130402</v>
      </c>
      <c r="AE309" t="n">
        <v>0.6289657</v>
      </c>
    </row>
    <row r="310">
      <c r="A310" s="89" t="n">
        <v>28004</v>
      </c>
      <c r="B310" t="n">
        <v>2.188206</v>
      </c>
      <c r="C310" t="n">
        <v/>
      </c>
      <c r="D310" t="n">
        <v>5.288041</v>
      </c>
      <c r="E310" t="n">
        <v>15.31078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7.001143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9.230954000000001</v>
      </c>
      <c r="AE310" t="n">
        <v>0.6349815</v>
      </c>
    </row>
    <row r="311">
      <c r="A311" s="89" t="n">
        <v>28034</v>
      </c>
      <c r="B311" t="n">
        <v>2.207819</v>
      </c>
      <c r="C311" t="n">
        <v/>
      </c>
      <c r="D311" t="n">
        <v>5.396084</v>
      </c>
      <c r="E311" t="n">
        <v>15.36818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7.075648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9.348959000000001</v>
      </c>
      <c r="AE311" t="n">
        <v>0.6416968</v>
      </c>
    </row>
    <row r="312">
      <c r="A312" s="89" t="n">
        <v>28065</v>
      </c>
      <c r="B312" t="n">
        <v>2.227432</v>
      </c>
      <c r="C312" t="n">
        <v/>
      </c>
      <c r="D312" t="n">
        <v>5.463029</v>
      </c>
      <c r="E312" t="n">
        <v>15.43532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9.458653</v>
      </c>
      <c r="AE312" t="n">
        <v>0.6462961</v>
      </c>
    </row>
    <row r="313">
      <c r="A313" s="89" t="n">
        <v>28095</v>
      </c>
      <c r="B313" t="n">
        <v>2.258251</v>
      </c>
      <c r="C313" t="n">
        <v/>
      </c>
      <c r="D313" t="n">
        <v>5.540468</v>
      </c>
      <c r="E313" t="n">
        <v>15.56761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9.573335</v>
      </c>
      <c r="AE313" t="n">
        <v>0.6488668</v>
      </c>
    </row>
    <row r="314">
      <c r="A314" s="89" t="n">
        <v>28126</v>
      </c>
      <c r="B314" t="n">
        <v>2.289071</v>
      </c>
      <c r="C314" t="n">
        <v/>
      </c>
      <c r="D314" t="n">
        <v>5.612583</v>
      </c>
      <c r="E314" t="n">
        <v>15.73027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7.262383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9.683028999999999</v>
      </c>
      <c r="AE314" t="n">
        <v>0.6514025</v>
      </c>
    </row>
    <row r="315">
      <c r="A315" s="89" t="n">
        <v>28157</v>
      </c>
      <c r="B315" t="n">
        <v>2.319891</v>
      </c>
      <c r="C315" t="n">
        <v/>
      </c>
      <c r="D315" t="n">
        <v>5.676633</v>
      </c>
      <c r="E315" t="n">
        <v>15.83175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7.338303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9.786075</v>
      </c>
      <c r="AE315" t="n">
        <v>0.653571</v>
      </c>
    </row>
    <row r="316">
      <c r="A316" s="89" t="n">
        <v>28185</v>
      </c>
      <c r="B316" t="n">
        <v>2.345107</v>
      </c>
      <c r="C316" t="n">
        <v/>
      </c>
      <c r="D316" t="n">
        <v>5.755933</v>
      </c>
      <c r="E316" t="n">
        <v>15.91362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9.876657</v>
      </c>
      <c r="AE316" t="n">
        <v>0.6576982</v>
      </c>
    </row>
    <row r="317">
      <c r="A317" s="89" t="n">
        <v>28216</v>
      </c>
      <c r="B317" t="n">
        <v>2.359116</v>
      </c>
      <c r="C317" t="n">
        <v/>
      </c>
      <c r="D317" t="n">
        <v>5.828823</v>
      </c>
      <c r="E317" t="n">
        <v>16.02579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9.968899</v>
      </c>
      <c r="AE317" t="n">
        <v>0.6643435</v>
      </c>
    </row>
    <row r="318">
      <c r="A318" s="89" t="n">
        <v>28246</v>
      </c>
      <c r="B318" t="n">
        <v>2.375927</v>
      </c>
      <c r="C318" t="n">
        <v/>
      </c>
      <c r="D318" t="n">
        <v>5.965763</v>
      </c>
      <c r="E318" t="n">
        <v>16.17748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10.04702</v>
      </c>
      <c r="AE318" t="n">
        <v>0.6733846999999999</v>
      </c>
    </row>
    <row r="319">
      <c r="A319" s="89" t="n">
        <v>28277</v>
      </c>
      <c r="B319" t="n">
        <v>2.392738</v>
      </c>
      <c r="C319" t="n">
        <v/>
      </c>
      <c r="D319" t="n">
        <v>5.961576</v>
      </c>
      <c r="E319" t="n">
        <v>16.36149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10.12014</v>
      </c>
      <c r="AE319" t="n">
        <v>0.6837723999999999</v>
      </c>
    </row>
    <row r="320">
      <c r="A320" s="89" t="n">
        <v>28307</v>
      </c>
      <c r="B320" t="n">
        <v>2.403945</v>
      </c>
      <c r="C320" t="n">
        <v/>
      </c>
      <c r="D320" t="n">
        <v>6.02971</v>
      </c>
      <c r="E320" t="n">
        <v>16.52022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10.19411</v>
      </c>
      <c r="AE320" t="n">
        <v>0.6873050000000001</v>
      </c>
    </row>
    <row r="321">
      <c r="A321" s="89" t="n">
        <v>28338</v>
      </c>
      <c r="B321" t="n">
        <v>2.41235</v>
      </c>
      <c r="C321" t="n">
        <v/>
      </c>
      <c r="D321" t="n">
        <v>6.113301</v>
      </c>
      <c r="E321" t="n">
        <v>16.63925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10.2797</v>
      </c>
      <c r="AE321" t="n">
        <v>0.6887215</v>
      </c>
    </row>
    <row r="322">
      <c r="A322" s="89" t="n">
        <v>28369</v>
      </c>
      <c r="B322" t="n">
        <v>2.417954</v>
      </c>
      <c r="C322" t="n">
        <v/>
      </c>
      <c r="D322" t="n">
        <v>6.209247</v>
      </c>
      <c r="E322" t="n">
        <v>16.76123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7.918313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10.35615</v>
      </c>
      <c r="AE322" t="n">
        <v>0.6940553</v>
      </c>
    </row>
    <row r="323">
      <c r="A323" s="89" t="n">
        <v>28399</v>
      </c>
      <c r="B323" t="n">
        <v>2.426359</v>
      </c>
      <c r="C323" t="n">
        <v/>
      </c>
      <c r="D323" t="n">
        <v>6.279346</v>
      </c>
      <c r="E323" t="n">
        <v>16.88542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10.42097</v>
      </c>
      <c r="AE323" t="n">
        <v>0.6979725</v>
      </c>
    </row>
    <row r="324">
      <c r="A324" s="89" t="n">
        <v>28430</v>
      </c>
      <c r="B324" t="n">
        <v>2.44317</v>
      </c>
      <c r="C324" t="n">
        <v/>
      </c>
      <c r="D324" t="n">
        <v>6.298679</v>
      </c>
      <c r="E324" t="n">
        <v>16.96905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8.053177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10.49078</v>
      </c>
      <c r="AE324" t="n">
        <v>0.7026767</v>
      </c>
    </row>
    <row r="325">
      <c r="A325" s="89" t="n">
        <v>28460</v>
      </c>
      <c r="B325" t="n">
        <v>2.465585</v>
      </c>
      <c r="C325" t="n">
        <v/>
      </c>
      <c r="D325" t="n">
        <v>6.37281</v>
      </c>
      <c r="E325" t="n">
        <v>17.03576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8.141829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10.55643</v>
      </c>
      <c r="AE325" t="n">
        <v>0.7104938</v>
      </c>
    </row>
    <row r="326">
      <c r="A326" s="89" t="n">
        <v>28491</v>
      </c>
      <c r="B326" t="n">
        <v>2.485197</v>
      </c>
      <c r="C326" t="n">
        <v/>
      </c>
      <c r="D326" t="n">
        <v>6.434586</v>
      </c>
      <c r="E326" t="n">
        <v>17.13391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8.23944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10.63455</v>
      </c>
      <c r="AE326" t="n">
        <v>0.725988</v>
      </c>
    </row>
    <row r="327">
      <c r="A327" s="89" t="n">
        <v>28522</v>
      </c>
      <c r="B327" t="n">
        <v>2.507612</v>
      </c>
      <c r="C327" t="n">
        <v/>
      </c>
      <c r="D327" t="n">
        <v>6.485092</v>
      </c>
      <c r="E327" t="n">
        <v>17.29186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8.323848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10.68274</v>
      </c>
      <c r="AE327" t="n">
        <v>0.7392436999999999</v>
      </c>
    </row>
    <row r="328">
      <c r="A328" s="89" t="n">
        <v>28550</v>
      </c>
      <c r="B328" t="n">
        <v>2.538431</v>
      </c>
      <c r="C328" t="n">
        <v/>
      </c>
      <c r="D328" t="n">
        <v>6.576695</v>
      </c>
      <c r="E328" t="n">
        <v>17.50772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10.73842</v>
      </c>
      <c r="AE328" t="n">
        <v>0.7458366</v>
      </c>
    </row>
    <row r="329">
      <c r="A329" s="89" t="n">
        <v>28581</v>
      </c>
      <c r="B329" t="n">
        <v>2.569251</v>
      </c>
      <c r="C329" t="n">
        <v/>
      </c>
      <c r="D329" t="n">
        <v>6.706708</v>
      </c>
      <c r="E329" t="n">
        <v>17.69762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10.80657</v>
      </c>
      <c r="AE329" t="n">
        <v>0.7576758</v>
      </c>
    </row>
    <row r="330">
      <c r="A330" s="89" t="n">
        <v>28611</v>
      </c>
      <c r="B330" t="n">
        <v>2.600071</v>
      </c>
      <c r="C330" t="n">
        <v/>
      </c>
      <c r="D330" t="n">
        <v>6.759799</v>
      </c>
      <c r="E330" t="n">
        <v>17.8592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8.581787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10.8905</v>
      </c>
      <c r="AE330" t="n">
        <v>0.7710365</v>
      </c>
    </row>
    <row r="331">
      <c r="A331" s="89" t="n">
        <v>28642</v>
      </c>
      <c r="B331" t="n">
        <v>2.625287</v>
      </c>
      <c r="C331" t="n">
        <v/>
      </c>
      <c r="D331" t="n">
        <v>6.840133</v>
      </c>
      <c r="E331" t="n">
        <v>18.00848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8.685529000000001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10.95698</v>
      </c>
      <c r="AE331" t="n">
        <v>0.7820538</v>
      </c>
    </row>
    <row r="332">
      <c r="A332" s="89" t="n">
        <v>28672</v>
      </c>
      <c r="B332" t="n">
        <v>2.647702</v>
      </c>
      <c r="C332" t="n">
        <v/>
      </c>
      <c r="D332" t="n">
        <v>6.907957</v>
      </c>
      <c r="E332" t="n">
        <v>18.04591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11.00352</v>
      </c>
      <c r="AE332" t="n">
        <v>0.7945401</v>
      </c>
    </row>
    <row r="333">
      <c r="A333" s="89" t="n">
        <v>28703</v>
      </c>
      <c r="B333" t="n">
        <v>2.675719</v>
      </c>
      <c r="C333" t="n">
        <v/>
      </c>
      <c r="D333" t="n">
        <v>6.999302</v>
      </c>
      <c r="E333" t="n">
        <v>18.13406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11.08163</v>
      </c>
      <c r="AE333" t="n">
        <v>0.8112584</v>
      </c>
    </row>
    <row r="334">
      <c r="A334" s="89" t="n">
        <v>28734</v>
      </c>
      <c r="B334" t="n">
        <v>2.703737</v>
      </c>
      <c r="C334" t="n">
        <v/>
      </c>
      <c r="D334" t="n">
        <v>7.138413</v>
      </c>
      <c r="E334" t="n">
        <v>18.28124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9.012314999999999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11.1772</v>
      </c>
      <c r="AE334" t="n">
        <v>0.8056273</v>
      </c>
    </row>
    <row r="335">
      <c r="A335" s="89" t="n">
        <v>28764</v>
      </c>
      <c r="B335" t="n">
        <v>2.726152</v>
      </c>
      <c r="C335" t="n">
        <v/>
      </c>
      <c r="D335" t="n">
        <v>7.218799</v>
      </c>
      <c r="E335" t="n">
        <v>18.4427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9.1203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11.23786</v>
      </c>
      <c r="AE335" t="n">
        <v>0.8108212</v>
      </c>
    </row>
    <row r="336">
      <c r="A336" s="89" t="n">
        <v>28795</v>
      </c>
      <c r="B336" t="n">
        <v>2.748566</v>
      </c>
      <c r="C336" t="n">
        <v/>
      </c>
      <c r="D336" t="n">
        <v>7.419531</v>
      </c>
      <c r="E336" t="n">
        <v>18.65357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11.29437</v>
      </c>
      <c r="AE336" t="n">
        <v>0.8378049</v>
      </c>
    </row>
    <row r="337">
      <c r="A337" s="89" t="n">
        <v>28825</v>
      </c>
      <c r="B337" t="n">
        <v>2.773783</v>
      </c>
      <c r="C337" t="n">
        <v/>
      </c>
      <c r="D337" t="n">
        <v>7.50457</v>
      </c>
      <c r="E337" t="n">
        <v>18.79138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9.304206000000001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11.35171</v>
      </c>
      <c r="AE337" t="n">
        <v>0.8464264</v>
      </c>
    </row>
    <row r="338">
      <c r="A338" s="89" t="n">
        <v>28856</v>
      </c>
      <c r="B338" t="n">
        <v>2.807404</v>
      </c>
      <c r="C338" t="n">
        <v/>
      </c>
      <c r="D338" t="n">
        <v>7.633187</v>
      </c>
      <c r="E338" t="n">
        <v>18.90587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11.39825</v>
      </c>
      <c r="AE338" t="n">
        <v>0.8500988</v>
      </c>
    </row>
    <row r="339">
      <c r="A339" s="89" t="n">
        <v>28887</v>
      </c>
      <c r="B339" t="n">
        <v>2.849431</v>
      </c>
      <c r="C339" t="n">
        <v/>
      </c>
      <c r="D339" t="n">
        <v>7.752551</v>
      </c>
      <c r="E339" t="n">
        <v>19.01518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11.44977</v>
      </c>
      <c r="AE339" t="n">
        <v>0.8580382</v>
      </c>
    </row>
    <row r="340">
      <c r="A340" s="89" t="n">
        <v>28915</v>
      </c>
      <c r="B340" t="n">
        <v>2.885855</v>
      </c>
      <c r="C340" t="n">
        <v/>
      </c>
      <c r="D340" t="n">
        <v>7.813809</v>
      </c>
      <c r="E340" t="n">
        <v>19.14382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11.53288</v>
      </c>
      <c r="AE340" t="n">
        <v>0.8687583</v>
      </c>
    </row>
    <row r="341">
      <c r="A341" s="89" t="n">
        <v>28946</v>
      </c>
      <c r="B341" t="n">
        <v>2.922278</v>
      </c>
      <c r="C341" t="n">
        <v/>
      </c>
      <c r="D341" t="n">
        <v>7.940462</v>
      </c>
      <c r="E341" t="n">
        <v>19.2597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11.65171</v>
      </c>
      <c r="AE341" t="n">
        <v>0.8764529</v>
      </c>
    </row>
    <row r="342">
      <c r="A342" s="89" t="n">
        <v>28976</v>
      </c>
      <c r="B342" t="n">
        <v>2.953098</v>
      </c>
      <c r="C342" t="n">
        <v/>
      </c>
      <c r="D342" t="n">
        <v>8.075386</v>
      </c>
      <c r="E342" t="n">
        <v>19.36926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9.734734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11.71902</v>
      </c>
      <c r="AE342" t="n">
        <v>0.88413</v>
      </c>
    </row>
    <row r="343">
      <c r="A343" s="89" t="n">
        <v>29007</v>
      </c>
      <c r="B343" t="n">
        <v>2.97271</v>
      </c>
      <c r="C343" t="n">
        <v/>
      </c>
      <c r="D343" t="n">
        <v>8.196095</v>
      </c>
      <c r="E343" t="n">
        <v>19.51944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11.82539</v>
      </c>
      <c r="AE343" t="n">
        <v>0.8908978</v>
      </c>
    </row>
    <row r="344">
      <c r="A344" s="89" t="n">
        <v>29037</v>
      </c>
      <c r="B344" t="n">
        <v>2.989521</v>
      </c>
      <c r="C344" t="n">
        <v/>
      </c>
      <c r="D344" t="n">
        <v>8.354436</v>
      </c>
      <c r="E344" t="n">
        <v>19.72854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11.92346</v>
      </c>
      <c r="AE344" t="n">
        <v>0.8980153</v>
      </c>
    </row>
    <row r="345">
      <c r="A345" s="89" t="n">
        <v>29068</v>
      </c>
      <c r="B345" t="n">
        <v>3.011936</v>
      </c>
      <c r="C345" t="n">
        <v/>
      </c>
      <c r="D345" t="n">
        <v>8.429135</v>
      </c>
      <c r="E345" t="n">
        <v>19.90002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12.02151</v>
      </c>
      <c r="AE345" t="n">
        <v>0.9114109</v>
      </c>
    </row>
    <row r="346">
      <c r="A346" s="89" t="n">
        <v>29099</v>
      </c>
      <c r="B346" t="n">
        <v>3.037152</v>
      </c>
      <c r="C346" t="n">
        <v/>
      </c>
      <c r="D346" t="n">
        <v>8.514329</v>
      </c>
      <c r="E346" t="n">
        <v>19.95234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12.08384</v>
      </c>
      <c r="AE346" t="n">
        <v>0.9244568</v>
      </c>
    </row>
    <row r="347">
      <c r="A347" s="89" t="n">
        <v>29129</v>
      </c>
      <c r="B347" t="n">
        <v>3.062368</v>
      </c>
      <c r="C347" t="n">
        <v/>
      </c>
      <c r="D347" t="n">
        <v>8.619942</v>
      </c>
      <c r="E347" t="n">
        <v>20.06967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12.1362</v>
      </c>
      <c r="AE347" t="n">
        <v>0.9387094</v>
      </c>
    </row>
    <row r="348">
      <c r="A348" s="89" t="n">
        <v>29160</v>
      </c>
      <c r="B348" t="n">
        <v>3.098792</v>
      </c>
      <c r="C348" t="n">
        <v/>
      </c>
      <c r="D348" t="n">
        <v>8.818192</v>
      </c>
      <c r="E348" t="n">
        <v>20.24322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12.1819</v>
      </c>
      <c r="AE348" t="n">
        <v>0.956407</v>
      </c>
    </row>
    <row r="349">
      <c r="A349" s="89" t="n">
        <v>29190</v>
      </c>
      <c r="B349" t="n">
        <v>3.138017</v>
      </c>
      <c r="C349" t="n">
        <v/>
      </c>
      <c r="D349" t="n">
        <v>8.924064</v>
      </c>
      <c r="E349" t="n">
        <v>20.38059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12.24672</v>
      </c>
      <c r="AE349" t="n">
        <v>0.9731429</v>
      </c>
    </row>
    <row r="350">
      <c r="A350" s="89" t="n">
        <v>29221</v>
      </c>
      <c r="B350" t="n">
        <v>3.191251</v>
      </c>
      <c r="C350" t="n">
        <v/>
      </c>
      <c r="D350" t="n">
        <v>9.002846999999999</v>
      </c>
      <c r="E350" t="n">
        <v>20.56983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3.277178</v>
      </c>
      <c r="Y350" t="n">
        <v>2.601266</v>
      </c>
      <c r="Z350" t="n">
        <v/>
      </c>
      <c r="AA350" t="n">
        <v/>
      </c>
      <c r="AB350" t="n">
        <v>9.969514</v>
      </c>
      <c r="AC350" t="n">
        <v>6.078698e-05</v>
      </c>
      <c r="AD350" t="n">
        <v>12.32151</v>
      </c>
      <c r="AE350" t="n">
        <v>0.9872379999999999</v>
      </c>
    </row>
    <row r="351">
      <c r="A351" s="89" t="n">
        <v>29252</v>
      </c>
      <c r="B351" t="n">
        <v>3.247287</v>
      </c>
      <c r="C351" t="n">
        <v/>
      </c>
      <c r="D351" t="n">
        <v>9.156328999999999</v>
      </c>
      <c r="E351" t="n">
        <v>20.76486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0.4768333</v>
      </c>
      <c r="U351" t="n">
        <v>0.007497021</v>
      </c>
      <c r="V351" t="n">
        <v>6.933142</v>
      </c>
      <c r="W351" t="n">
        <v>2.3681</v>
      </c>
      <c r="X351" t="n">
        <v>3.313705</v>
      </c>
      <c r="Y351" t="n">
        <v>2.642431</v>
      </c>
      <c r="Z351" t="n">
        <v/>
      </c>
      <c r="AA351" t="n">
        <v/>
      </c>
      <c r="AB351" t="n">
        <v>10.2362</v>
      </c>
      <c r="AC351" t="n">
        <v>6.333899e-05</v>
      </c>
      <c r="AD351" t="n">
        <v>12.4204</v>
      </c>
      <c r="AE351" t="n">
        <v>0.998745</v>
      </c>
    </row>
    <row r="352">
      <c r="A352" s="89" t="n">
        <v>29281</v>
      </c>
      <c r="B352" t="n">
        <v>3.275305</v>
      </c>
      <c r="C352" t="n">
        <v/>
      </c>
      <c r="D352" t="n">
        <v>9.290582000000001</v>
      </c>
      <c r="E352" t="n">
        <v>20.86418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0.4884114</v>
      </c>
      <c r="U352" t="n">
        <v>0.007717619</v>
      </c>
      <c r="V352" t="n">
        <v>6.983389</v>
      </c>
      <c r="W352" t="n">
        <v>2.384577</v>
      </c>
      <c r="X352" t="n">
        <v>3.337423</v>
      </c>
      <c r="Y352" t="n">
        <v>2.673506</v>
      </c>
      <c r="Z352" t="n">
        <v/>
      </c>
      <c r="AA352" t="n">
        <v/>
      </c>
      <c r="AB352" t="n">
        <v>10.31415</v>
      </c>
      <c r="AC352" t="n">
        <v>6.417515e-05</v>
      </c>
      <c r="AD352" t="n">
        <v>12.46362</v>
      </c>
      <c r="AE352" t="n">
        <v>1.018803</v>
      </c>
    </row>
    <row r="353">
      <c r="A353" s="89" t="n">
        <v>29312</v>
      </c>
      <c r="B353" t="n">
        <v>3.294918</v>
      </c>
      <c r="C353" t="n">
        <v/>
      </c>
      <c r="D353" t="n">
        <v>9.409428999999999</v>
      </c>
      <c r="E353" t="n">
        <v>20.86298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0.4970974</v>
      </c>
      <c r="U353" t="n">
        <v>0.007916764999999999</v>
      </c>
      <c r="V353" t="n">
        <v>7.0443</v>
      </c>
      <c r="W353" t="n">
        <v>2.408262</v>
      </c>
      <c r="X353" t="n">
        <v>3.358953</v>
      </c>
      <c r="Y353" t="n">
        <v>2.714807</v>
      </c>
      <c r="Z353" t="n">
        <v/>
      </c>
      <c r="AA353" t="n">
        <v/>
      </c>
      <c r="AB353" t="n">
        <v>10.37246</v>
      </c>
      <c r="AC353" t="n">
        <v>6.611238000000001e-05</v>
      </c>
      <c r="AD353" t="n">
        <v>12.48356</v>
      </c>
      <c r="AE353" t="n">
        <v>1.029401</v>
      </c>
    </row>
    <row r="354">
      <c r="A354" s="89" t="n">
        <v>29342</v>
      </c>
      <c r="B354" t="n">
        <v>3.322936</v>
      </c>
      <c r="C354" t="n">
        <v/>
      </c>
      <c r="D354" t="n">
        <v>9.543836000000001</v>
      </c>
      <c r="E354" t="n">
        <v>20.79299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0.5086732</v>
      </c>
      <c r="U354" t="n">
        <v>0.008132708000000001</v>
      </c>
      <c r="V354" t="n">
        <v>7.156661</v>
      </c>
      <c r="W354" t="n">
        <v>2.435349</v>
      </c>
      <c r="X354" t="n">
        <v>3.391965</v>
      </c>
      <c r="Y354" t="n">
        <v>2.747632</v>
      </c>
      <c r="Z354" t="n">
        <v/>
      </c>
      <c r="AA354" t="n">
        <v/>
      </c>
      <c r="AB354" t="n">
        <v>10.44545</v>
      </c>
      <c r="AC354" t="n">
        <v>6.825525999999999e-05</v>
      </c>
      <c r="AD354" t="n">
        <v>12.56749</v>
      </c>
      <c r="AE354" t="n">
        <v>1.033476</v>
      </c>
    </row>
    <row r="355">
      <c r="A355" s="89" t="n">
        <v>29373</v>
      </c>
      <c r="B355" t="n">
        <v>3.356557</v>
      </c>
      <c r="C355" t="n">
        <v/>
      </c>
      <c r="D355" t="n">
        <v>9.675554</v>
      </c>
      <c r="E355" t="n">
        <v>20.71429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0.5191345000000001</v>
      </c>
      <c r="U355" t="n">
        <v>0.008431284000000001</v>
      </c>
      <c r="V355" t="n">
        <v>7.2332</v>
      </c>
      <c r="W355" t="n">
        <v>2.478129</v>
      </c>
      <c r="X355" t="n">
        <v>3.433078</v>
      </c>
      <c r="Y355" t="n">
        <v>2.784553</v>
      </c>
      <c r="Z355" t="n">
        <v/>
      </c>
      <c r="AA355" t="n">
        <v/>
      </c>
      <c r="AB355" t="n">
        <v>10.53694</v>
      </c>
      <c r="AC355" t="n">
        <v>7.018130000000001e-05</v>
      </c>
      <c r="AD355" t="n">
        <v>12.70794</v>
      </c>
      <c r="AE355" t="n">
        <v>1.053587</v>
      </c>
    </row>
    <row r="356">
      <c r="A356" s="89" t="n">
        <v>29403</v>
      </c>
      <c r="B356" t="n">
        <v>3.398584</v>
      </c>
      <c r="C356" t="n">
        <v/>
      </c>
      <c r="D356" t="n">
        <v>9.791093</v>
      </c>
      <c r="E356" t="n">
        <v>20.6782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0.5306271</v>
      </c>
      <c r="U356" t="n">
        <v>0.008682034999999999</v>
      </c>
      <c r="V356" t="n">
        <v>7.268801</v>
      </c>
      <c r="W356" t="n">
        <v>2.526233</v>
      </c>
      <c r="X356" t="n">
        <v>3.481021</v>
      </c>
      <c r="Y356" t="n">
        <v>2.819226</v>
      </c>
      <c r="Z356" t="n">
        <v/>
      </c>
      <c r="AA356" t="n">
        <v/>
      </c>
      <c r="AB356" t="n">
        <v>10.65679</v>
      </c>
      <c r="AC356" t="n">
        <v>7.760613e-05</v>
      </c>
      <c r="AD356" t="n">
        <v>12.84339</v>
      </c>
      <c r="AE356" t="n">
        <v>1.082564</v>
      </c>
    </row>
    <row r="357">
      <c r="A357" s="89" t="n">
        <v>29434</v>
      </c>
      <c r="B357" t="n">
        <v>3.440611</v>
      </c>
      <c r="C357" t="n">
        <v/>
      </c>
      <c r="D357" t="n">
        <v>9.776464000000001</v>
      </c>
      <c r="E357" t="n">
        <v>20.70009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0.5451885</v>
      </c>
      <c r="U357" t="n">
        <v>0.008893781</v>
      </c>
      <c r="V357" t="n">
        <v>7.373771</v>
      </c>
      <c r="W357" t="n">
        <v>2.565848</v>
      </c>
      <c r="X357" t="n">
        <v>3.526109</v>
      </c>
      <c r="Y357" t="n">
        <v>2.846071</v>
      </c>
      <c r="Z357" t="n">
        <v/>
      </c>
      <c r="AA357" t="n">
        <v/>
      </c>
      <c r="AB357" t="n">
        <v>10.74394</v>
      </c>
      <c r="AC357" t="n">
        <v>8.526421e-05</v>
      </c>
      <c r="AD357" t="n">
        <v>12.97636</v>
      </c>
      <c r="AE357" t="n">
        <v>1.106959</v>
      </c>
    </row>
    <row r="358">
      <c r="A358" s="89" t="n">
        <v>29465</v>
      </c>
      <c r="B358" t="n">
        <v>3.471431</v>
      </c>
      <c r="C358" t="n">
        <v/>
      </c>
      <c r="D358" t="n">
        <v>9.846251000000001</v>
      </c>
      <c r="E358" t="n">
        <v>20.78765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0.5536243</v>
      </c>
      <c r="U358" t="n">
        <v>0.009134246</v>
      </c>
      <c r="V358" t="n">
        <v>7.465675</v>
      </c>
      <c r="W358" t="n">
        <v>2.627764</v>
      </c>
      <c r="X358" t="n">
        <v>3.56401</v>
      </c>
      <c r="Y358" t="n">
        <v>2.879259</v>
      </c>
      <c r="Z358" t="n">
        <v/>
      </c>
      <c r="AA358" t="n">
        <v/>
      </c>
      <c r="AB358" t="n">
        <v>10.78914</v>
      </c>
      <c r="AC358" t="n">
        <v>8.951539e-05</v>
      </c>
      <c r="AD358" t="n">
        <v>13.08023</v>
      </c>
      <c r="AE358" t="n">
        <v>1.130201</v>
      </c>
    </row>
    <row r="359">
      <c r="A359" s="89" t="n">
        <v>29495</v>
      </c>
      <c r="B359" t="n">
        <v>3.510656</v>
      </c>
      <c r="C359" t="n">
        <v/>
      </c>
      <c r="D359" t="n">
        <v>9.961687</v>
      </c>
      <c r="E359" t="n">
        <v>20.8882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0.5598836</v>
      </c>
      <c r="U359" t="n">
        <v>0.009402506999999999</v>
      </c>
      <c r="V359" t="n">
        <v>7.541241</v>
      </c>
      <c r="W359" t="n">
        <v>2.667152</v>
      </c>
      <c r="X359" t="n">
        <v>3.604596</v>
      </c>
      <c r="Y359" t="n">
        <v>2.906608</v>
      </c>
      <c r="Z359" t="n">
        <v/>
      </c>
      <c r="AA359" t="n">
        <v/>
      </c>
      <c r="AB359" t="n">
        <v>10.86918</v>
      </c>
      <c r="AC359" t="n">
        <v>9.502692e-05</v>
      </c>
      <c r="AD359" t="n">
        <v>13.16998</v>
      </c>
      <c r="AE359" t="n">
        <v>1.158828</v>
      </c>
    </row>
    <row r="360">
      <c r="A360" s="89" t="n">
        <v>29526</v>
      </c>
      <c r="B360" t="n">
        <v>3.555485</v>
      </c>
      <c r="C360" t="n">
        <v/>
      </c>
      <c r="D360" t="n">
        <v>10.07826</v>
      </c>
      <c r="E360" t="n">
        <v>20.9656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0.5796322</v>
      </c>
      <c r="U360" t="n">
        <v>0.009720447</v>
      </c>
      <c r="V360" t="n">
        <v>7.639981</v>
      </c>
      <c r="W360" t="n">
        <v>2.702134</v>
      </c>
      <c r="X360" t="n">
        <v>3.646791</v>
      </c>
      <c r="Y360" t="n">
        <v>2.939041</v>
      </c>
      <c r="Z360" t="n">
        <v/>
      </c>
      <c r="AA360" t="n">
        <v/>
      </c>
      <c r="AB360" t="n">
        <v>10.98007</v>
      </c>
      <c r="AC360" t="n">
        <v>9.891860000000001e-05</v>
      </c>
      <c r="AD360" t="n">
        <v>13.26139</v>
      </c>
      <c r="AE360" t="n">
        <v>1.180198</v>
      </c>
    </row>
    <row r="361">
      <c r="A361" s="89" t="n">
        <v>29556</v>
      </c>
      <c r="B361" t="n">
        <v>3.59471</v>
      </c>
      <c r="C361" t="n">
        <v/>
      </c>
      <c r="D361" t="n">
        <v>10.19607</v>
      </c>
      <c r="E361" t="n">
        <v>21.0886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0.5970501</v>
      </c>
      <c r="U361" t="n">
        <v>0.01012419</v>
      </c>
      <c r="V361" t="n">
        <v>7.740711</v>
      </c>
      <c r="W361" t="n">
        <v>2.756258</v>
      </c>
      <c r="X361" t="n">
        <v>3.680776</v>
      </c>
      <c r="Y361" t="n">
        <v>2.980361</v>
      </c>
      <c r="Z361" t="n">
        <v/>
      </c>
      <c r="AA361" t="n">
        <v/>
      </c>
      <c r="AB361" t="n">
        <v>11.16738</v>
      </c>
      <c r="AC361" t="n">
        <v>0.0001014808</v>
      </c>
      <c r="AD361" t="n">
        <v>13.29464</v>
      </c>
      <c r="AE361" t="n">
        <v>1.198438</v>
      </c>
    </row>
    <row r="362">
      <c r="A362" s="89" t="n">
        <v>29587</v>
      </c>
      <c r="B362" t="n">
        <v>3.628332</v>
      </c>
      <c r="C362" t="n">
        <v/>
      </c>
      <c r="D362" t="n">
        <v>10.41298</v>
      </c>
      <c r="E362" t="n">
        <v>21.17146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0.6092603</v>
      </c>
      <c r="U362" t="n">
        <v>0.01045117</v>
      </c>
      <c r="V362" t="n">
        <v>7.854198</v>
      </c>
      <c r="W362" t="n">
        <v>2.978422</v>
      </c>
      <c r="X362" t="n">
        <v>3.718508</v>
      </c>
      <c r="Y362" t="n">
        <v>3.00644</v>
      </c>
      <c r="Z362" t="n">
        <v/>
      </c>
      <c r="AA362" t="n">
        <v/>
      </c>
      <c r="AB362" t="n">
        <v>11.25028</v>
      </c>
      <c r="AC362" t="n">
        <v>0.0001043509</v>
      </c>
      <c r="AD362" t="n">
        <v>13.35364</v>
      </c>
      <c r="AE362" t="n">
        <v>1.220543</v>
      </c>
    </row>
    <row r="363">
      <c r="A363" s="89" t="n">
        <v>29618</v>
      </c>
      <c r="B363" t="n">
        <v>3.65635</v>
      </c>
      <c r="C363" t="n">
        <v/>
      </c>
      <c r="D363" t="n">
        <v>10.65802</v>
      </c>
      <c r="E363" t="n">
        <v>21.20195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0.6265491</v>
      </c>
      <c r="U363" t="n">
        <v>0.01068727</v>
      </c>
      <c r="V363" t="n">
        <v>7.929842</v>
      </c>
      <c r="W363" t="n">
        <v>3.249067</v>
      </c>
      <c r="X363" t="n">
        <v>3.758339</v>
      </c>
      <c r="Y363" t="n">
        <v>3.027551</v>
      </c>
      <c r="Z363" t="n">
        <v/>
      </c>
      <c r="AA363" t="n">
        <v/>
      </c>
      <c r="AB363" t="n">
        <v>11.1776</v>
      </c>
      <c r="AC363" t="n">
        <v>0.0001083568</v>
      </c>
      <c r="AD363" t="n">
        <v>13.4517</v>
      </c>
      <c r="AE363" t="n">
        <v>1.244623</v>
      </c>
    </row>
    <row r="364">
      <c r="A364" s="89" t="n">
        <v>29646</v>
      </c>
      <c r="B364" t="n">
        <v>3.68717</v>
      </c>
      <c r="C364" t="n">
        <v/>
      </c>
      <c r="D364" t="n">
        <v>10.62111</v>
      </c>
      <c r="E364" t="n">
        <v>21.28116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0.6422647</v>
      </c>
      <c r="U364" t="n">
        <v>0.01108111</v>
      </c>
      <c r="V364" t="n">
        <v>7.914538</v>
      </c>
      <c r="W364" t="n">
        <v>3.241671</v>
      </c>
      <c r="X364" t="n">
        <v>3.803504</v>
      </c>
      <c r="Y364" t="n">
        <v>3.063752</v>
      </c>
      <c r="Z364" t="n">
        <v/>
      </c>
      <c r="AA364" t="n">
        <v/>
      </c>
      <c r="AB364" t="n">
        <v>11.23761</v>
      </c>
      <c r="AC364" t="n">
        <v>0.0001122243</v>
      </c>
      <c r="AD364" t="n">
        <v>13.60045</v>
      </c>
      <c r="AE364" t="n">
        <v>1.272674</v>
      </c>
    </row>
    <row r="365">
      <c r="A365" s="89" t="n">
        <v>29677</v>
      </c>
      <c r="B365" t="n">
        <v>3.720791</v>
      </c>
      <c r="C365" t="n">
        <v/>
      </c>
      <c r="D365" t="n">
        <v>10.68418</v>
      </c>
      <c r="E365" t="n">
        <v>21.39914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0.6546380000000001</v>
      </c>
      <c r="U365" t="n">
        <v>0.01161029</v>
      </c>
      <c r="V365" t="n">
        <v>7.989538</v>
      </c>
      <c r="W365" t="n">
        <v>3.242064</v>
      </c>
      <c r="X365" t="n">
        <v>3.868448</v>
      </c>
      <c r="Y365" t="n">
        <v>3.109676</v>
      </c>
      <c r="Z365" t="n">
        <v/>
      </c>
      <c r="AA365" t="n">
        <v/>
      </c>
      <c r="AB365" t="n">
        <v>11.43051</v>
      </c>
      <c r="AC365" t="n">
        <v>0.0001208189</v>
      </c>
      <c r="AD365" t="n">
        <v>13.78826</v>
      </c>
      <c r="AE365" t="n">
        <v>1.307247</v>
      </c>
    </row>
    <row r="366">
      <c r="A366" s="89" t="n">
        <v>29707</v>
      </c>
      <c r="B366" t="n">
        <v>3.760016</v>
      </c>
      <c r="C366" t="n">
        <v/>
      </c>
      <c r="D366" t="n">
        <v>10.69524</v>
      </c>
      <c r="E366" t="n">
        <v>21.51704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0.6670369</v>
      </c>
      <c r="U366" t="n">
        <v>0.01210499</v>
      </c>
      <c r="V366" t="n">
        <v>8.102182000000001</v>
      </c>
      <c r="W366" t="n">
        <v>3.406044</v>
      </c>
      <c r="X366" t="n">
        <v>3.909364</v>
      </c>
      <c r="Y366" t="n">
        <v>3.15709</v>
      </c>
      <c r="Z366" t="n">
        <v/>
      </c>
      <c r="AA366" t="n">
        <v/>
      </c>
      <c r="AB366" t="n">
        <v>11.55608</v>
      </c>
      <c r="AC366" t="n">
        <v>0.0001312706</v>
      </c>
      <c r="AD366" t="n">
        <v>13.82981</v>
      </c>
      <c r="AE366" t="n">
        <v>1.334598</v>
      </c>
    </row>
    <row r="367">
      <c r="A367" s="89" t="n">
        <v>29738</v>
      </c>
      <c r="B367" t="n">
        <v>3.804845</v>
      </c>
      <c r="C367" t="n">
        <v/>
      </c>
      <c r="D367" t="n">
        <v>10.89261</v>
      </c>
      <c r="E367" t="n">
        <v>21.65575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0.6781287</v>
      </c>
      <c r="U367" t="n">
        <v>0.01254493</v>
      </c>
      <c r="V367" t="n">
        <v>8.161056</v>
      </c>
      <c r="W367" t="n">
        <v>3.542017</v>
      </c>
      <c r="X367" t="n">
        <v>3.951504</v>
      </c>
      <c r="Y367" t="n">
        <v>3.200733</v>
      </c>
      <c r="Z367" t="n">
        <v/>
      </c>
      <c r="AA367" t="n">
        <v/>
      </c>
      <c r="AB367" t="n">
        <v>11.59058</v>
      </c>
      <c r="AC367" t="n">
        <v>0.0001371171</v>
      </c>
      <c r="AD367" t="n">
        <v>13.8805</v>
      </c>
      <c r="AE367" t="n">
        <v>1.348815</v>
      </c>
    </row>
    <row r="368">
      <c r="A368" s="89" t="n">
        <v>29768</v>
      </c>
      <c r="B368" t="n">
        <v>3.841269</v>
      </c>
      <c r="C368" t="n">
        <v/>
      </c>
      <c r="D368" t="n">
        <v>11.03715</v>
      </c>
      <c r="E368" t="n">
        <v>21.79733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0.6904623</v>
      </c>
      <c r="U368" t="n">
        <v>0.01296565</v>
      </c>
      <c r="V368" t="n">
        <v>8.246729</v>
      </c>
      <c r="W368" t="n">
        <v>3.634371</v>
      </c>
      <c r="X368" t="n">
        <v>4.001491</v>
      </c>
      <c r="Y368" t="n">
        <v>3.242508</v>
      </c>
      <c r="Z368" t="n">
        <v/>
      </c>
      <c r="AA368" t="n">
        <v/>
      </c>
      <c r="AB368" t="n">
        <v>11.53765</v>
      </c>
      <c r="AC368" t="n">
        <v>0.0001483281</v>
      </c>
      <c r="AD368" t="n">
        <v>13.9769</v>
      </c>
      <c r="AE368" t="n">
        <v>1.365901</v>
      </c>
    </row>
    <row r="369">
      <c r="A369" s="89" t="n">
        <v>29799</v>
      </c>
      <c r="B369" t="n">
        <v>3.869287</v>
      </c>
      <c r="C369" t="n">
        <v/>
      </c>
      <c r="D369" t="n">
        <v>11.272</v>
      </c>
      <c r="E369" t="n">
        <v>21.85016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0.7047868</v>
      </c>
      <c r="U369" t="n">
        <v>0.01336107</v>
      </c>
      <c r="V369" t="n">
        <v>8.326178000000001</v>
      </c>
      <c r="W369" t="n">
        <v>3.719534</v>
      </c>
      <c r="X369" t="n">
        <v>4.052896</v>
      </c>
      <c r="Y369" t="n">
        <v>3.286318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14.07995</v>
      </c>
      <c r="AE369" t="n">
        <v>1.381413</v>
      </c>
    </row>
    <row r="370">
      <c r="A370" s="89" t="n">
        <v>29830</v>
      </c>
      <c r="B370" t="n">
        <v>3.900106</v>
      </c>
      <c r="C370" t="n">
        <v/>
      </c>
      <c r="D370" t="n">
        <v>11.33476</v>
      </c>
      <c r="E370" t="n">
        <v>21.84356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0.7212376</v>
      </c>
      <c r="U370" t="n">
        <v>0.01380726</v>
      </c>
      <c r="V370" t="n">
        <v>8.44197</v>
      </c>
      <c r="W370" t="n">
        <v>3.783665</v>
      </c>
      <c r="X370" t="n">
        <v>4.094737</v>
      </c>
      <c r="Y370" t="n">
        <v>3.348756</v>
      </c>
      <c r="Z370" t="n">
        <v/>
      </c>
      <c r="AA370" t="n">
        <v/>
      </c>
      <c r="AB370" t="n">
        <v>11.7979</v>
      </c>
      <c r="AC370" t="n">
        <v>0.0001597777</v>
      </c>
      <c r="AD370" t="n">
        <v>14.17718</v>
      </c>
      <c r="AE370" t="n">
        <v>1.381115</v>
      </c>
    </row>
    <row r="371">
      <c r="A371" s="89" t="n">
        <v>29860</v>
      </c>
      <c r="B371" t="n">
        <v>3.93653</v>
      </c>
      <c r="C371" t="n">
        <v/>
      </c>
      <c r="D371" t="n">
        <v>11.32246</v>
      </c>
      <c r="E371" t="n">
        <v>21.82302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0.7399732</v>
      </c>
      <c r="U371" t="n">
        <v>0.01426318</v>
      </c>
      <c r="V371" t="n">
        <v>8.530984999999999</v>
      </c>
      <c r="W371" t="n">
        <v>3.860488</v>
      </c>
      <c r="X371" t="n">
        <v>4.15088</v>
      </c>
      <c r="Y371" t="n">
        <v>3.416606</v>
      </c>
      <c r="Z371" t="n">
        <v/>
      </c>
      <c r="AA371" t="n">
        <v/>
      </c>
      <c r="AB371" t="n">
        <v>11.94102</v>
      </c>
      <c r="AC371" t="n">
        <v>0.0001718742</v>
      </c>
      <c r="AD371" t="n">
        <v>14.30848</v>
      </c>
      <c r="AE371" t="n">
        <v>1.388058</v>
      </c>
    </row>
    <row r="372">
      <c r="A372" s="89" t="n">
        <v>29891</v>
      </c>
      <c r="B372" t="n">
        <v>3.972953</v>
      </c>
      <c r="C372" t="n">
        <v/>
      </c>
      <c r="D372" t="n">
        <v>11.16339</v>
      </c>
      <c r="E372" t="n">
        <v>21.81142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0.7614834</v>
      </c>
      <c r="U372" t="n">
        <v>0.01465469</v>
      </c>
      <c r="V372" t="n">
        <v>8.560876</v>
      </c>
      <c r="W372" t="n">
        <v>3.926356</v>
      </c>
      <c r="X372" t="n">
        <v>4.200143</v>
      </c>
      <c r="Y372" t="n">
        <v>3.470883</v>
      </c>
      <c r="Z372" t="n">
        <v/>
      </c>
      <c r="AA372" t="n">
        <v/>
      </c>
      <c r="AB372" t="n">
        <v>12.00661</v>
      </c>
      <c r="AC372" t="n">
        <v>0.0001850347</v>
      </c>
      <c r="AD372" t="n">
        <v>14.42731</v>
      </c>
      <c r="AE372" t="n">
        <v>1.409813</v>
      </c>
    </row>
    <row r="373">
      <c r="A373" s="89" t="n">
        <v>29921</v>
      </c>
      <c r="B373" t="n">
        <v>4.003773</v>
      </c>
      <c r="C373" t="n">
        <v/>
      </c>
      <c r="D373" t="n">
        <v>11.31062</v>
      </c>
      <c r="E373" t="n">
        <v>21.76022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0.7826077</v>
      </c>
      <c r="U373" t="n">
        <v>0.01509401</v>
      </c>
      <c r="V373" t="n">
        <v>8.603138</v>
      </c>
      <c r="W373" t="n">
        <v>3.942002</v>
      </c>
      <c r="X373" t="n">
        <v>4.262157</v>
      </c>
      <c r="Y373" t="n">
        <v>3.52548</v>
      </c>
      <c r="Z373" t="n">
        <v/>
      </c>
      <c r="AA373" t="n">
        <v/>
      </c>
      <c r="AB373" t="n">
        <v>12.33992</v>
      </c>
      <c r="AC373" t="n">
        <v>0.0001966704</v>
      </c>
      <c r="AD373" t="n">
        <v>14.58853</v>
      </c>
      <c r="AE373" t="n">
        <v>1.422631</v>
      </c>
    </row>
    <row r="374">
      <c r="A374" s="89" t="n">
        <v>29952</v>
      </c>
      <c r="B374" t="n">
        <v>4.037395</v>
      </c>
      <c r="C374" t="n">
        <v/>
      </c>
      <c r="D374" t="n">
        <v>11.24098</v>
      </c>
      <c r="E374" t="n">
        <v>21.65627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0.798534</v>
      </c>
      <c r="U374" t="n">
        <v>0.01560373</v>
      </c>
      <c r="V374" t="n">
        <v>8.690974000000001</v>
      </c>
      <c r="W374" t="n">
        <v>3.975161</v>
      </c>
      <c r="X374" t="n">
        <v>4.315474</v>
      </c>
      <c r="Y374" t="n">
        <v>3.590199</v>
      </c>
      <c r="Z374" t="n">
        <v/>
      </c>
      <c r="AA374" t="n">
        <v/>
      </c>
      <c r="AB374" t="n">
        <v>12.64484</v>
      </c>
      <c r="AC374" t="n">
        <v>0.0002068945</v>
      </c>
      <c r="AD374" t="n">
        <v>14.71235</v>
      </c>
      <c r="AE374" t="n">
        <v>1.428088</v>
      </c>
    </row>
    <row r="375">
      <c r="A375" s="89" t="n">
        <v>29983</v>
      </c>
      <c r="B375" t="n">
        <v>4.073818</v>
      </c>
      <c r="C375" t="n">
        <v/>
      </c>
      <c r="D375" t="n">
        <v>11.19616</v>
      </c>
      <c r="E375" t="n">
        <v>21.68812</v>
      </c>
      <c r="F375" t="n">
        <v/>
      </c>
      <c r="G375" t="n">
        <v/>
      </c>
      <c r="H375" t="n">
        <v>0.1771576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0.8165723</v>
      </c>
      <c r="U375" t="n">
        <v>0.01717754</v>
      </c>
      <c r="V375" t="n">
        <v>8.731602000000001</v>
      </c>
      <c r="W375" t="n">
        <v>4.022623</v>
      </c>
      <c r="X375" t="n">
        <v>4.367439</v>
      </c>
      <c r="Y375" t="n">
        <v>3.643198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14.74642</v>
      </c>
      <c r="AE375" t="n">
        <v>1.435905</v>
      </c>
    </row>
    <row r="376">
      <c r="A376" s="89" t="n">
        <v>30011</v>
      </c>
      <c r="B376" t="n">
        <v>4.10744</v>
      </c>
      <c r="C376" t="n">
        <v/>
      </c>
      <c r="D376" t="n">
        <v>11.28642</v>
      </c>
      <c r="E376" t="n">
        <v>21.74871</v>
      </c>
      <c r="F376" t="n">
        <v/>
      </c>
      <c r="G376" t="n">
        <v/>
      </c>
      <c r="H376" t="n">
        <v>0.1804272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0.8391777</v>
      </c>
      <c r="U376" t="n">
        <v>0.01864573</v>
      </c>
      <c r="V376" t="n">
        <v>8.827809</v>
      </c>
      <c r="W376" t="n">
        <v>3.954267</v>
      </c>
      <c r="X376" t="n">
        <v>4.42906</v>
      </c>
      <c r="Y376" t="n">
        <v>3.696273</v>
      </c>
      <c r="Z376" t="n">
        <v/>
      </c>
      <c r="AA376" t="n">
        <v/>
      </c>
      <c r="AB376" t="n">
        <v>12.80865</v>
      </c>
      <c r="AC376" t="n">
        <v>0.0002163111</v>
      </c>
      <c r="AD376" t="n">
        <v>14.84615</v>
      </c>
      <c r="AE376" t="n">
        <v>1.458272</v>
      </c>
    </row>
    <row r="377">
      <c r="A377" s="89" t="n">
        <v>30042</v>
      </c>
      <c r="B377" t="n">
        <v>4.149467</v>
      </c>
      <c r="C377" t="n">
        <v/>
      </c>
      <c r="D377" t="n">
        <v>11.33708</v>
      </c>
      <c r="E377" t="n">
        <v>21.77984</v>
      </c>
      <c r="F377" t="n">
        <v/>
      </c>
      <c r="G377" t="n">
        <v/>
      </c>
      <c r="H377" t="n">
        <v>0.1843336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0.8623053000000001</v>
      </c>
      <c r="U377" t="n">
        <v>0.01878851</v>
      </c>
      <c r="V377" t="n">
        <v>8.960488</v>
      </c>
      <c r="W377" t="n">
        <v>3.953799</v>
      </c>
      <c r="X377" t="n">
        <v>4.470346</v>
      </c>
      <c r="Y377" t="n">
        <v>3.748638</v>
      </c>
      <c r="Z377" t="n">
        <v/>
      </c>
      <c r="AA377" t="n">
        <v/>
      </c>
      <c r="AB377" t="n">
        <v>12.91643</v>
      </c>
      <c r="AC377" t="n">
        <v>0.0002252988</v>
      </c>
      <c r="AD377" t="n">
        <v>14.99074</v>
      </c>
      <c r="AE377" t="n">
        <v>1.469604</v>
      </c>
    </row>
    <row r="378">
      <c r="A378" s="89" t="n">
        <v>30072</v>
      </c>
      <c r="B378" t="n">
        <v>4.211106</v>
      </c>
      <c r="C378" t="n">
        <v/>
      </c>
      <c r="D378" t="n">
        <v>11.36009</v>
      </c>
      <c r="E378" t="n">
        <v>21.83899</v>
      </c>
      <c r="F378" t="n">
        <v/>
      </c>
      <c r="G378" t="n">
        <v/>
      </c>
      <c r="H378" t="n">
        <v>0.1894767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0.8858740000000001</v>
      </c>
      <c r="U378" t="n">
        <v>0.01893954</v>
      </c>
      <c r="V378" t="n">
        <v>9.040450999999999</v>
      </c>
      <c r="W378" t="n">
        <v>4.093322</v>
      </c>
      <c r="X378" t="n">
        <v>4.506177</v>
      </c>
      <c r="Y378" t="n">
        <v>3.79864</v>
      </c>
      <c r="Z378" t="n">
        <v/>
      </c>
      <c r="AA378" t="n">
        <v/>
      </c>
      <c r="AB378" t="n">
        <v>13.01475</v>
      </c>
      <c r="AC378" t="n">
        <v>0.0002337984</v>
      </c>
      <c r="AD378" t="n">
        <v>15.08631</v>
      </c>
      <c r="AE378" t="n">
        <v>1.465337</v>
      </c>
    </row>
    <row r="379">
      <c r="A379" s="89" t="n">
        <v>30103</v>
      </c>
      <c r="B379" t="n">
        <v>4.253133</v>
      </c>
      <c r="C379" t="n">
        <v/>
      </c>
      <c r="D379" t="n">
        <v>11.40667</v>
      </c>
      <c r="E379" t="n">
        <v>21.86314</v>
      </c>
      <c r="F379" t="n">
        <v/>
      </c>
      <c r="G379" t="n">
        <v/>
      </c>
      <c r="H379" t="n">
        <v>0.1929897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0.9151312</v>
      </c>
      <c r="U379" t="n">
        <v>0.01934244</v>
      </c>
      <c r="V379" t="n">
        <v>9.120132</v>
      </c>
      <c r="W379" t="n">
        <v>4.245547</v>
      </c>
      <c r="X379" t="n">
        <v>4.543792</v>
      </c>
      <c r="Y379" t="n">
        <v>3.852793</v>
      </c>
      <c r="Z379" t="n">
        <v/>
      </c>
      <c r="AA379" t="n">
        <v/>
      </c>
      <c r="AB379" t="n">
        <v>13.23277</v>
      </c>
      <c r="AC379" t="n">
        <v>0.0002380426</v>
      </c>
      <c r="AD379" t="n">
        <v>15.1744</v>
      </c>
      <c r="AE379" t="n">
        <v>1.47798</v>
      </c>
    </row>
    <row r="380">
      <c r="A380" s="89" t="n">
        <v>30133</v>
      </c>
      <c r="B380" t="n">
        <v>4.269944</v>
      </c>
      <c r="C380" t="n">
        <v/>
      </c>
      <c r="D380" t="n">
        <v>11.42765</v>
      </c>
      <c r="E380" t="n">
        <v>21.93151</v>
      </c>
      <c r="F380" t="n">
        <v/>
      </c>
      <c r="G380" t="n">
        <v/>
      </c>
      <c r="H380" t="n">
        <v>0.1952613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0.9388383</v>
      </c>
      <c r="U380" t="n">
        <v>0.01994151</v>
      </c>
      <c r="V380" t="n">
        <v>9.167441</v>
      </c>
      <c r="W380" t="n">
        <v>4.323359</v>
      </c>
      <c r="X380" t="n">
        <v>4.583911</v>
      </c>
      <c r="Y380" t="n">
        <v>3.908237</v>
      </c>
      <c r="Z380" t="n">
        <v/>
      </c>
      <c r="AA380" t="n">
        <v/>
      </c>
      <c r="AB380" t="n">
        <v>13.35188</v>
      </c>
      <c r="AC380" t="n">
        <v>0.0002471922</v>
      </c>
      <c r="AD380" t="n">
        <v>15.22011</v>
      </c>
      <c r="AE380" t="n">
        <v>1.498004</v>
      </c>
    </row>
    <row r="381">
      <c r="A381" s="89" t="n">
        <v>30164</v>
      </c>
      <c r="B381" t="n">
        <v>4.292358</v>
      </c>
      <c r="C381" t="n">
        <v/>
      </c>
      <c r="D381" t="n">
        <v>11.52427</v>
      </c>
      <c r="E381" t="n">
        <v>22.04599</v>
      </c>
      <c r="F381" t="n">
        <v/>
      </c>
      <c r="G381" t="n">
        <v/>
      </c>
      <c r="H381" t="n">
        <v>0.1968156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0.9619856</v>
      </c>
      <c r="U381" t="n">
        <v>0.02171556</v>
      </c>
      <c r="V381" t="n">
        <v>9.213243</v>
      </c>
      <c r="W381" t="n">
        <v>4.307176</v>
      </c>
      <c r="X381" t="n">
        <v>4.659572</v>
      </c>
      <c r="Y381" t="n">
        <v>3.964679</v>
      </c>
      <c r="Z381" t="n">
        <v/>
      </c>
      <c r="AA381" t="n">
        <v/>
      </c>
      <c r="AB381" t="n">
        <v>13.34699</v>
      </c>
      <c r="AC381" t="n">
        <v>0.0002580823</v>
      </c>
      <c r="AD381" t="n">
        <v>15.33395</v>
      </c>
      <c r="AE381" t="n">
        <v>1.520196</v>
      </c>
    </row>
    <row r="382">
      <c r="A382" s="89" t="n">
        <v>30195</v>
      </c>
      <c r="B382" t="n">
        <v>4.328782</v>
      </c>
      <c r="C382" t="n">
        <v/>
      </c>
      <c r="D382" t="n">
        <v>11.54795</v>
      </c>
      <c r="E382" t="n">
        <v>22.22538</v>
      </c>
      <c r="F382" t="n">
        <v/>
      </c>
      <c r="G382" t="n">
        <v/>
      </c>
      <c r="H382" t="n">
        <v>0.198518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0.9909540999999999</v>
      </c>
      <c r="U382" t="n">
        <v>0.02363807</v>
      </c>
      <c r="V382" t="n">
        <v>9.269256</v>
      </c>
      <c r="W382" t="n">
        <v>4.29113</v>
      </c>
      <c r="X382" t="n">
        <v>4.735022</v>
      </c>
      <c r="Y382" t="n">
        <v>4.019837</v>
      </c>
      <c r="Z382" t="n">
        <v/>
      </c>
      <c r="AA382" t="n">
        <v/>
      </c>
      <c r="AB382" t="n">
        <v>13.37656</v>
      </c>
      <c r="AC382" t="n">
        <v>0.0002683309</v>
      </c>
      <c r="AD382" t="n">
        <v>15.44365</v>
      </c>
      <c r="AE382" t="n">
        <v>1.548194</v>
      </c>
    </row>
    <row r="383">
      <c r="A383" s="89" t="n">
        <v>30225</v>
      </c>
      <c r="B383" t="n">
        <v>4.362403</v>
      </c>
      <c r="C383" t="n">
        <v/>
      </c>
      <c r="D383" t="n">
        <v>11.58202</v>
      </c>
      <c r="E383" t="n">
        <v>22.42946</v>
      </c>
      <c r="F383" t="n">
        <v/>
      </c>
      <c r="G383" t="n">
        <v/>
      </c>
      <c r="H383" t="n">
        <v>0.1996751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1.014064</v>
      </c>
      <c r="U383" t="n">
        <v>0.0245368</v>
      </c>
      <c r="V383" t="n">
        <v>9.317335</v>
      </c>
      <c r="W383" t="n">
        <v>4.275642</v>
      </c>
      <c r="X383" t="n">
        <v>4.786248</v>
      </c>
      <c r="Y383" t="n">
        <v>4.073986</v>
      </c>
      <c r="Z383" t="n">
        <v/>
      </c>
      <c r="AA383" t="n">
        <v/>
      </c>
      <c r="AB383" t="n">
        <v>13.42534</v>
      </c>
      <c r="AC383" t="n">
        <v>0.0002767517</v>
      </c>
      <c r="AD383" t="n">
        <v>15.53755</v>
      </c>
      <c r="AE383" t="n">
        <v>1.57147</v>
      </c>
    </row>
    <row r="384">
      <c r="A384" s="89" t="n">
        <v>30256</v>
      </c>
      <c r="B384" t="n">
        <v>4.396025</v>
      </c>
      <c r="C384" t="n">
        <v/>
      </c>
      <c r="D384" t="n">
        <v>11.61293</v>
      </c>
      <c r="E384" t="n">
        <v>22.61771</v>
      </c>
      <c r="F384" t="n">
        <v/>
      </c>
      <c r="G384" t="n">
        <v/>
      </c>
      <c r="H384" t="n">
        <v>0.201134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1.028265</v>
      </c>
      <c r="U384" t="n">
        <v>0.0254745</v>
      </c>
      <c r="V384" t="n">
        <v>9.352713</v>
      </c>
      <c r="W384" t="n">
        <v>4.358589</v>
      </c>
      <c r="X384" t="n">
        <v>4.840739</v>
      </c>
      <c r="Y384" t="n">
        <v>4.130794</v>
      </c>
      <c r="Z384" t="n">
        <v/>
      </c>
      <c r="AA384" t="n">
        <v/>
      </c>
      <c r="AB384" t="n">
        <v>13.46736</v>
      </c>
      <c r="AC384" t="n">
        <v>0.0002839949</v>
      </c>
      <c r="AD384" t="n">
        <v>15.6539</v>
      </c>
      <c r="AE384" t="n">
        <v>1.597702</v>
      </c>
    </row>
    <row r="385">
      <c r="A385" s="89" t="n">
        <v>30286</v>
      </c>
      <c r="B385" t="n">
        <v>4.449259</v>
      </c>
      <c r="C385" t="n">
        <v/>
      </c>
      <c r="D385" t="n">
        <v>11.59416</v>
      </c>
      <c r="E385" t="n">
        <v>22.7134</v>
      </c>
      <c r="F385" t="n">
        <v/>
      </c>
      <c r="G385" t="n">
        <v/>
      </c>
      <c r="H385" t="n">
        <v>0.2044357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1.036621</v>
      </c>
      <c r="U385" t="n">
        <v>0.02648265</v>
      </c>
      <c r="V385" t="n">
        <v>9.451589999999999</v>
      </c>
      <c r="W385" t="n">
        <v>4.533742</v>
      </c>
      <c r="X385" t="n">
        <v>4.908548</v>
      </c>
      <c r="Y385" t="n">
        <v>4.182588</v>
      </c>
      <c r="Z385" t="n">
        <v/>
      </c>
      <c r="AA385" t="n">
        <v/>
      </c>
      <c r="AB385" t="n">
        <v>13.52073</v>
      </c>
      <c r="AC385" t="n">
        <v>0.0002960128</v>
      </c>
      <c r="AD385" t="n">
        <v>15.83838</v>
      </c>
      <c r="AE385" t="n">
        <v>1.629302</v>
      </c>
    </row>
    <row r="386">
      <c r="A386" s="89" t="n">
        <v>30317</v>
      </c>
      <c r="B386" t="n">
        <v>4.494088</v>
      </c>
      <c r="C386" t="n">
        <v/>
      </c>
      <c r="D386" t="n">
        <v>11.6701</v>
      </c>
      <c r="E386" t="n">
        <v>22.75543</v>
      </c>
      <c r="F386" t="n">
        <v/>
      </c>
      <c r="G386" t="n">
        <v/>
      </c>
      <c r="H386" t="n">
        <v>0.2080037</v>
      </c>
      <c r="I386" t="n">
        <v/>
      </c>
      <c r="J386" t="n">
        <v/>
      </c>
      <c r="K386" t="n">
        <v>12.12848</v>
      </c>
      <c r="L386" t="n">
        <v>14.22731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0.02095743</v>
      </c>
      <c r="S386" t="n">
        <v>30.8223</v>
      </c>
      <c r="T386" t="n">
        <v>1.056316</v>
      </c>
      <c r="U386" t="n">
        <v>0.02744468</v>
      </c>
      <c r="V386" t="n">
        <v>9.511203</v>
      </c>
      <c r="W386" t="n">
        <v>4.695979</v>
      </c>
      <c r="X386" t="n">
        <v>5.014716</v>
      </c>
      <c r="Y386" t="n">
        <v>4.238477</v>
      </c>
      <c r="Z386" t="n">
        <v/>
      </c>
      <c r="AA386" t="n">
        <v/>
      </c>
      <c r="AB386" t="n">
        <v>13.72822</v>
      </c>
      <c r="AC386" t="n">
        <v>0.0003022324</v>
      </c>
      <c r="AD386" t="n">
        <v>16.28298</v>
      </c>
      <c r="AE386" t="n">
        <v>1.660343</v>
      </c>
    </row>
    <row r="387">
      <c r="A387" s="89" t="n">
        <v>30348</v>
      </c>
      <c r="B387" t="n">
        <v>4.536115</v>
      </c>
      <c r="C387" t="n">
        <v/>
      </c>
      <c r="D387" t="n">
        <v>11.70009</v>
      </c>
      <c r="E387" t="n">
        <v>22.87497</v>
      </c>
      <c r="F387" t="n">
        <v/>
      </c>
      <c r="G387" t="n">
        <v/>
      </c>
      <c r="H387" t="n">
        <v>0.2107508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0.02273216</v>
      </c>
      <c r="S387" t="n">
        <v>30.9859</v>
      </c>
      <c r="T387" t="n">
        <v>1.079212</v>
      </c>
      <c r="U387" t="n">
        <v>0.02837446</v>
      </c>
      <c r="V387" t="n">
        <v>9.577389</v>
      </c>
      <c r="W387" t="n">
        <v>4.831162</v>
      </c>
      <c r="X387" t="n">
        <v>5.09297</v>
      </c>
      <c r="Y387" t="n">
        <v>4.289293</v>
      </c>
      <c r="Z387" t="n">
        <v/>
      </c>
      <c r="AA387" t="n">
        <v/>
      </c>
      <c r="AB387" t="n">
        <v>13.93952</v>
      </c>
      <c r="AC387" t="n">
        <v>0.0003019425</v>
      </c>
      <c r="AD387" t="n">
        <v>16.59378</v>
      </c>
      <c r="AE387" t="n">
        <v>1.6896</v>
      </c>
    </row>
    <row r="388">
      <c r="A388" s="89" t="n">
        <v>30376</v>
      </c>
      <c r="B388" t="n">
        <v>4.608962</v>
      </c>
      <c r="C388" t="n">
        <v/>
      </c>
      <c r="D388" t="n">
        <v>11.6761</v>
      </c>
      <c r="E388" t="n">
        <v>23.05199</v>
      </c>
      <c r="F388" t="n">
        <v/>
      </c>
      <c r="G388" t="n">
        <v/>
      </c>
      <c r="H388" t="n">
        <v>0.2120904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0.0245674</v>
      </c>
      <c r="S388" t="n">
        <v>31.1495</v>
      </c>
      <c r="T388" t="n">
        <v>1.096242</v>
      </c>
      <c r="U388" t="n">
        <v>0.02923939</v>
      </c>
      <c r="V388" t="n">
        <v>9.659592999999999</v>
      </c>
      <c r="W388" t="n">
        <v>4.734241</v>
      </c>
      <c r="X388" t="n">
        <v>5.14768</v>
      </c>
      <c r="Y388" t="n">
        <v>4.341461</v>
      </c>
      <c r="Z388" t="n">
        <v/>
      </c>
      <c r="AA388" t="n">
        <v/>
      </c>
      <c r="AB388" t="n">
        <v>14.04092</v>
      </c>
      <c r="AC388" t="n">
        <v>0.0003089869</v>
      </c>
      <c r="AD388" t="n">
        <v>16.74669</v>
      </c>
      <c r="AE388" t="n">
        <v>1.720186</v>
      </c>
    </row>
    <row r="389">
      <c r="A389" s="89" t="n">
        <v>30407</v>
      </c>
      <c r="B389" t="n">
        <v>4.670602</v>
      </c>
      <c r="C389" t="n">
        <v/>
      </c>
      <c r="D389" t="n">
        <v>11.63878</v>
      </c>
      <c r="E389" t="n">
        <v>23.21208</v>
      </c>
      <c r="F389" t="n">
        <v/>
      </c>
      <c r="G389" t="n">
        <v/>
      </c>
      <c r="H389" t="n">
        <v>0.2164105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0.02605076</v>
      </c>
      <c r="S389" t="n">
        <v>31.37854</v>
      </c>
      <c r="T389" t="n">
        <v>1.117585</v>
      </c>
      <c r="U389" t="n">
        <v>0.03025216</v>
      </c>
      <c r="V389" t="n">
        <v>9.706</v>
      </c>
      <c r="W389" t="n">
        <v>4.561956</v>
      </c>
      <c r="X389" t="n">
        <v>5.197642</v>
      </c>
      <c r="Y389" t="n">
        <v>4.383633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16.85804</v>
      </c>
      <c r="AE389" t="n">
        <v>1.749233</v>
      </c>
    </row>
    <row r="390">
      <c r="A390" s="89" t="n">
        <v>30437</v>
      </c>
      <c r="B390" t="n">
        <v>4.718232</v>
      </c>
      <c r="C390" t="n">
        <v/>
      </c>
      <c r="D390" t="n">
        <v>11.6043</v>
      </c>
      <c r="E390" t="n">
        <v>23.3881</v>
      </c>
      <c r="F390" t="n">
        <v/>
      </c>
      <c r="G390" t="n">
        <v/>
      </c>
      <c r="H390" t="n">
        <v>0.2239967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0.02812095</v>
      </c>
      <c r="S390" t="n">
        <v>31.57486</v>
      </c>
      <c r="T390" t="n">
        <v>1.139085</v>
      </c>
      <c r="U390" t="n">
        <v>0.03150535</v>
      </c>
      <c r="V390" t="n">
        <v>9.781976</v>
      </c>
      <c r="W390" t="n">
        <v>4.63286</v>
      </c>
      <c r="X390" t="n">
        <v>5.253428</v>
      </c>
      <c r="Y390" t="n">
        <v>4.435042</v>
      </c>
      <c r="Z390" t="n">
        <v/>
      </c>
      <c r="AA390" t="n">
        <v/>
      </c>
      <c r="AB390" t="n">
        <v>14.03833</v>
      </c>
      <c r="AC390" t="n">
        <v>0.0003241502</v>
      </c>
      <c r="AD390" t="n">
        <v>16.97854</v>
      </c>
      <c r="AE390" t="n">
        <v>1.775587</v>
      </c>
    </row>
    <row r="391">
      <c r="A391" s="89" t="n">
        <v>30468</v>
      </c>
      <c r="B391" t="n">
        <v>4.77707</v>
      </c>
      <c r="C391" t="n">
        <v/>
      </c>
      <c r="D391" t="n">
        <v>11.57338</v>
      </c>
      <c r="E391" t="n">
        <v>23.57176</v>
      </c>
      <c r="F391" t="n">
        <v/>
      </c>
      <c r="G391" t="n">
        <v/>
      </c>
      <c r="H391" t="n">
        <v>0.2301046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0.03042645</v>
      </c>
      <c r="S391" t="n">
        <v>31.78754</v>
      </c>
      <c r="T391" t="n">
        <v>1.157779</v>
      </c>
      <c r="U391" t="n">
        <v>0.03301629</v>
      </c>
      <c r="V391" t="n">
        <v>9.873263</v>
      </c>
      <c r="W391" t="n">
        <v>4.756926</v>
      </c>
      <c r="X391" t="n">
        <v>5.310591</v>
      </c>
      <c r="Y391" t="n">
        <v>4.475329</v>
      </c>
      <c r="Z391" t="n">
        <v/>
      </c>
      <c r="AA391" t="n">
        <v/>
      </c>
      <c r="AB391" t="n">
        <v>14.15845</v>
      </c>
      <c r="AC391" t="n">
        <v>0.0003323121</v>
      </c>
      <c r="AD391" t="n">
        <v>17.06497</v>
      </c>
      <c r="AE391" t="n">
        <v>1.802956</v>
      </c>
    </row>
    <row r="392">
      <c r="A392" s="89" t="n">
        <v>30498</v>
      </c>
      <c r="B392" t="n">
        <v>4.824701</v>
      </c>
      <c r="C392" t="n">
        <v/>
      </c>
      <c r="D392" t="n">
        <v>11.59494</v>
      </c>
      <c r="E392" t="n">
        <v>23.69643</v>
      </c>
      <c r="F392" t="n">
        <v/>
      </c>
      <c r="G392" t="n">
        <v/>
      </c>
      <c r="H392" t="n">
        <v>0.2363022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0.03285351</v>
      </c>
      <c r="S392" t="n">
        <v>31.93478</v>
      </c>
      <c r="T392" t="n">
        <v>1.176036</v>
      </c>
      <c r="U392" t="n">
        <v>0.03484663</v>
      </c>
      <c r="V392" t="n">
        <v>10.03738</v>
      </c>
      <c r="W392" t="n">
        <v>4.855741</v>
      </c>
      <c r="X392" t="n">
        <v>5.371374</v>
      </c>
      <c r="Y392" t="n">
        <v>4.519748</v>
      </c>
      <c r="Z392" t="n">
        <v/>
      </c>
      <c r="AA392" t="n">
        <v/>
      </c>
      <c r="AB392" t="n">
        <v>14.31264</v>
      </c>
      <c r="AC392" t="n">
        <v>0.0003389236</v>
      </c>
      <c r="AD392" t="n">
        <v>17.15887</v>
      </c>
      <c r="AE392" t="n">
        <v>1.815022</v>
      </c>
    </row>
    <row r="393">
      <c r="A393" s="89" t="n">
        <v>30529</v>
      </c>
      <c r="B393" t="n">
        <v>4.872331</v>
      </c>
      <c r="C393" t="n">
        <v/>
      </c>
      <c r="D393" t="n">
        <v>11.6548</v>
      </c>
      <c r="E393" t="n">
        <v>23.83766</v>
      </c>
      <c r="F393" t="n">
        <v/>
      </c>
      <c r="G393" t="n">
        <v/>
      </c>
      <c r="H393" t="n">
        <v>0.2426254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0.03660771</v>
      </c>
      <c r="S393" t="n">
        <v>32.11474</v>
      </c>
      <c r="T393" t="n">
        <v>1.194269</v>
      </c>
      <c r="U393" t="n">
        <v>0.03670263</v>
      </c>
      <c r="V393" t="n">
        <v>10.14108</v>
      </c>
      <c r="W393" t="n">
        <v>4.96856</v>
      </c>
      <c r="X393" t="n">
        <v>5.430591</v>
      </c>
      <c r="Y393" t="n">
        <v>4.588013</v>
      </c>
      <c r="Z393" t="n">
        <v/>
      </c>
      <c r="AA393" t="n">
        <v/>
      </c>
      <c r="AB393" t="n">
        <v>14.42652</v>
      </c>
      <c r="AC393" t="n">
        <v>0.0003417805</v>
      </c>
      <c r="AD393" t="n">
        <v>17.23532</v>
      </c>
      <c r="AE393" t="n">
        <v>1.826285</v>
      </c>
    </row>
    <row r="394">
      <c r="A394" s="89" t="n">
        <v>30560</v>
      </c>
      <c r="B394" t="n">
        <v>4.922764</v>
      </c>
      <c r="C394" t="n">
        <v/>
      </c>
      <c r="D394" t="n">
        <v>11.70934</v>
      </c>
      <c r="E394" t="n">
        <v>23.9619</v>
      </c>
      <c r="F394" t="n">
        <v/>
      </c>
      <c r="G394" t="n">
        <v/>
      </c>
      <c r="H394" t="n">
        <v>0.2478349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0.04088593</v>
      </c>
      <c r="S394" t="n">
        <v>32.32742</v>
      </c>
      <c r="T394" t="n">
        <v>1.21007</v>
      </c>
      <c r="U394" t="n">
        <v>0.03831557</v>
      </c>
      <c r="V394" t="n">
        <v>10.13828</v>
      </c>
      <c r="W394" t="n">
        <v>5.081468</v>
      </c>
      <c r="X394" t="n">
        <v>5.487486</v>
      </c>
      <c r="Y394" t="n">
        <v>4.645791</v>
      </c>
      <c r="Z394" t="n">
        <v/>
      </c>
      <c r="AA394" t="n">
        <v/>
      </c>
      <c r="AB394" t="n">
        <v>14.5254</v>
      </c>
      <c r="AC394" t="n">
        <v>0.0003440433</v>
      </c>
      <c r="AD394" t="n">
        <v>17.31178</v>
      </c>
      <c r="AE394" t="n">
        <v>1.857658</v>
      </c>
    </row>
    <row r="395">
      <c r="A395" s="89" t="n">
        <v>30590</v>
      </c>
      <c r="B395" t="n">
        <v>4.970394</v>
      </c>
      <c r="C395" t="n">
        <v/>
      </c>
      <c r="D395" t="n">
        <v>11.72867</v>
      </c>
      <c r="E395" t="n">
        <v>23.9701</v>
      </c>
      <c r="F395" t="n">
        <v/>
      </c>
      <c r="G395" t="n">
        <v/>
      </c>
      <c r="H395" t="n">
        <v>0.2550661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0.04735332</v>
      </c>
      <c r="S395" t="n">
        <v>32.52374</v>
      </c>
      <c r="T395" t="n">
        <v>1.227073</v>
      </c>
      <c r="U395" t="n">
        <v>0.0400954</v>
      </c>
      <c r="V395" t="n">
        <v>10.17922</v>
      </c>
      <c r="W395" t="n">
        <v>5.1701</v>
      </c>
      <c r="X395" t="n">
        <v>5.559956</v>
      </c>
      <c r="Y395" t="n">
        <v>4.715034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17.44557</v>
      </c>
      <c r="AE395" t="n">
        <v>1.872959</v>
      </c>
    </row>
    <row r="396">
      <c r="A396" s="89" t="n">
        <v>30621</v>
      </c>
      <c r="B396" t="n">
        <v>5.020827</v>
      </c>
      <c r="C396" t="n">
        <v/>
      </c>
      <c r="D396" t="n">
        <v>11.72687</v>
      </c>
      <c r="E396" t="n">
        <v>24.05365</v>
      </c>
      <c r="F396" t="n">
        <v/>
      </c>
      <c r="G396" t="n">
        <v/>
      </c>
      <c r="H396" t="n">
        <v>0.263099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0.05619687</v>
      </c>
      <c r="S396" t="n">
        <v>32.65462</v>
      </c>
      <c r="T396" t="n">
        <v>1.24715</v>
      </c>
      <c r="U396" t="n">
        <v>0.04204137</v>
      </c>
      <c r="V396" t="n">
        <v>10.26783</v>
      </c>
      <c r="W396" t="n">
        <v>5.283453</v>
      </c>
      <c r="X396" t="n">
        <v>5.632593</v>
      </c>
      <c r="Y396" t="n">
        <v>4.800676</v>
      </c>
      <c r="Z396" t="n">
        <v/>
      </c>
      <c r="AA396" t="n">
        <v/>
      </c>
      <c r="AB396" t="n">
        <v>14.53533</v>
      </c>
      <c r="AC396" t="n">
        <v>0.0003664137</v>
      </c>
      <c r="AD396" t="n">
        <v>17.55361</v>
      </c>
      <c r="AE396" t="n">
        <v>1.87985</v>
      </c>
    </row>
    <row r="397">
      <c r="A397" s="89" t="n">
        <v>30651</v>
      </c>
      <c r="B397" t="n">
        <v>5.082466</v>
      </c>
      <c r="C397" t="n">
        <v/>
      </c>
      <c r="D397" t="n">
        <v>11.76745</v>
      </c>
      <c r="E397" t="n">
        <v>24.22371</v>
      </c>
      <c r="F397" t="n">
        <v/>
      </c>
      <c r="G397" t="n">
        <v/>
      </c>
      <c r="H397" t="n">
        <v>0.2669038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0.06448279</v>
      </c>
      <c r="S397" t="n">
        <v>32.96547</v>
      </c>
      <c r="T397" t="n">
        <v>1.265856</v>
      </c>
      <c r="U397" t="n">
        <v>0.04396788</v>
      </c>
      <c r="V397" t="n">
        <v>10.37255</v>
      </c>
      <c r="W397" t="n">
        <v>5.417884</v>
      </c>
      <c r="X397" t="n">
        <v>5.709736</v>
      </c>
      <c r="Y397" t="n">
        <v>4.874714</v>
      </c>
      <c r="Z397" t="n">
        <v/>
      </c>
      <c r="AA397" t="n">
        <v/>
      </c>
      <c r="AB397" t="n">
        <v>14.54432</v>
      </c>
      <c r="AC397" t="n">
        <v>0.0003764761</v>
      </c>
      <c r="AD397" t="n">
        <v>17.64668</v>
      </c>
      <c r="AE397" t="n">
        <v>1.902024</v>
      </c>
    </row>
    <row r="398">
      <c r="A398" s="89" t="n">
        <v>30682</v>
      </c>
      <c r="B398" t="n">
        <v>5.146908</v>
      </c>
      <c r="C398" t="n">
        <v/>
      </c>
      <c r="D398" t="n">
        <v>11.77427</v>
      </c>
      <c r="E398" t="n">
        <v>24.34656</v>
      </c>
      <c r="F398" t="n">
        <v/>
      </c>
      <c r="G398" t="n">
        <v/>
      </c>
      <c r="H398" t="n">
        <v>0.2689271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0.07367181</v>
      </c>
      <c r="S398" t="n">
        <v>33.1536</v>
      </c>
      <c r="T398" t="n">
        <v>1.281726</v>
      </c>
      <c r="U398" t="n">
        <v>0.04600075</v>
      </c>
      <c r="V398" t="n">
        <v>10.4756</v>
      </c>
      <c r="W398" t="n">
        <v>5.528678</v>
      </c>
      <c r="X398" t="n">
        <v>5.787604</v>
      </c>
      <c r="Y398" t="n">
        <v>4.988683</v>
      </c>
      <c r="Z398" t="n">
        <v/>
      </c>
      <c r="AA398" t="n">
        <v/>
      </c>
      <c r="AB398" t="n">
        <v>14.53624</v>
      </c>
      <c r="AC398" t="n">
        <v>0.0003840756</v>
      </c>
      <c r="AD398" t="n">
        <v>17.76884</v>
      </c>
      <c r="AE398" t="n">
        <v>1.932313</v>
      </c>
    </row>
    <row r="399">
      <c r="A399" s="89" t="n">
        <v>30713</v>
      </c>
      <c r="B399" t="n">
        <v>5.214151</v>
      </c>
      <c r="C399" t="n">
        <v/>
      </c>
      <c r="D399" t="n">
        <v>11.77618</v>
      </c>
      <c r="E399" t="n">
        <v>24.48341</v>
      </c>
      <c r="F399" t="n">
        <v/>
      </c>
      <c r="G399" t="n">
        <v/>
      </c>
      <c r="H399" t="n">
        <v>0.2721754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0.08497962000000001</v>
      </c>
      <c r="S399" t="n">
        <v>33.37447</v>
      </c>
      <c r="T399" t="n">
        <v>1.297711</v>
      </c>
      <c r="U399" t="n">
        <v>0.04815287</v>
      </c>
      <c r="V399" t="n">
        <v>10.59868</v>
      </c>
      <c r="W399" t="n">
        <v>5.622452</v>
      </c>
      <c r="X399" t="n">
        <v>5.859575</v>
      </c>
      <c r="Y399" t="n">
        <v>5.106152</v>
      </c>
      <c r="Z399" t="n">
        <v/>
      </c>
      <c r="AA399" t="n">
        <v/>
      </c>
      <c r="AB399" t="n">
        <v>14.55841</v>
      </c>
      <c r="AC399" t="n">
        <v>0.0003937122</v>
      </c>
      <c r="AD399" t="n">
        <v>17.93504</v>
      </c>
      <c r="AE399" t="n">
        <v>1.963669</v>
      </c>
    </row>
    <row r="400">
      <c r="A400" s="89" t="n">
        <v>30742</v>
      </c>
      <c r="B400" t="n">
        <v>5.272989</v>
      </c>
      <c r="C400" t="n">
        <v/>
      </c>
      <c r="D400" t="n">
        <v>11.84494</v>
      </c>
      <c r="E400" t="n">
        <v>24.61698</v>
      </c>
      <c r="F400" t="n">
        <v/>
      </c>
      <c r="G400" t="n">
        <v/>
      </c>
      <c r="H400" t="n">
        <v>0.2758665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0.09761741</v>
      </c>
      <c r="S400" t="n">
        <v>33.66077</v>
      </c>
      <c r="T400" t="n">
        <v>1.306639</v>
      </c>
      <c r="U400" t="n">
        <v>0.05049831</v>
      </c>
      <c r="V400" t="n">
        <v>10.73885</v>
      </c>
      <c r="W400" t="n">
        <v>5.529034</v>
      </c>
      <c r="X400" t="n">
        <v>5.936124</v>
      </c>
      <c r="Y400" t="n">
        <v>5.19681</v>
      </c>
      <c r="Z400" t="n">
        <v/>
      </c>
      <c r="AA400" t="n">
        <v/>
      </c>
      <c r="AB400" t="n">
        <v>14.6418</v>
      </c>
      <c r="AC400" t="n">
        <v>0.0004106298</v>
      </c>
      <c r="AD400" t="n">
        <v>18.07632</v>
      </c>
      <c r="AE400" t="n">
        <v>1.979425</v>
      </c>
    </row>
    <row r="401">
      <c r="A401" s="89" t="n">
        <v>30773</v>
      </c>
      <c r="B401" t="n">
        <v>5.306611</v>
      </c>
      <c r="C401" t="n">
        <v/>
      </c>
      <c r="D401" t="n">
        <v>11.91581</v>
      </c>
      <c r="E401" t="n">
        <v>24.73698</v>
      </c>
      <c r="F401" t="n">
        <v/>
      </c>
      <c r="G401" t="n">
        <v/>
      </c>
      <c r="H401" t="n">
        <v>0.280459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0.1130234</v>
      </c>
      <c r="S401" t="n">
        <v>33.74257</v>
      </c>
      <c r="T401" t="n">
        <v>1.322852</v>
      </c>
      <c r="U401" t="n">
        <v>0.05289715</v>
      </c>
      <c r="V401" t="n">
        <v>10.87809</v>
      </c>
      <c r="W401" t="n">
        <v>5.535796</v>
      </c>
      <c r="X401" t="n">
        <v>6.004313</v>
      </c>
      <c r="Y401" t="n">
        <v>5.377778</v>
      </c>
      <c r="Z401" t="n">
        <v/>
      </c>
      <c r="AA401" t="n">
        <v/>
      </c>
      <c r="AB401" t="n">
        <v>14.73688</v>
      </c>
      <c r="AC401" t="n">
        <v>0.0004252506</v>
      </c>
      <c r="AD401" t="n">
        <v>18.21343</v>
      </c>
      <c r="AE401" t="n">
        <v>2.003243</v>
      </c>
    </row>
    <row r="402">
      <c r="A402" s="89" t="n">
        <v>30803</v>
      </c>
      <c r="B402" t="n">
        <v>5.33743</v>
      </c>
      <c r="C402" t="n">
        <v/>
      </c>
      <c r="D402" t="n">
        <v>12.0115</v>
      </c>
      <c r="E402" t="n">
        <v>24.86688</v>
      </c>
      <c r="F402" t="n">
        <v/>
      </c>
      <c r="G402" t="n">
        <v/>
      </c>
      <c r="H402" t="n">
        <v>0.2840043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0.1299396</v>
      </c>
      <c r="S402" t="n">
        <v>33.97979</v>
      </c>
      <c r="T402" t="n">
        <v>1.354004</v>
      </c>
      <c r="U402" t="n">
        <v>0.05522592</v>
      </c>
      <c r="V402" t="n">
        <v>11.00437</v>
      </c>
      <c r="W402" t="n">
        <v>5.743718</v>
      </c>
      <c r="X402" t="n">
        <v>6.072849</v>
      </c>
      <c r="Y402" t="n">
        <v>5.589424</v>
      </c>
      <c r="Z402" t="n">
        <v/>
      </c>
      <c r="AA402" t="n">
        <v/>
      </c>
      <c r="AB402" t="n">
        <v>14.67159</v>
      </c>
      <c r="AC402" t="n">
        <v>0.0004385066</v>
      </c>
      <c r="AD402" t="n">
        <v>18.31648</v>
      </c>
      <c r="AE402" t="n">
        <v>2.03376</v>
      </c>
    </row>
    <row r="403">
      <c r="A403" s="89" t="n">
        <v>30834</v>
      </c>
      <c r="B403" t="n">
        <v>5.379457</v>
      </c>
      <c r="C403" t="n">
        <v/>
      </c>
      <c r="D403" t="n">
        <v>12.13097</v>
      </c>
      <c r="E403" t="n">
        <v>24.98396</v>
      </c>
      <c r="F403" t="n">
        <v/>
      </c>
      <c r="G403" t="n">
        <v/>
      </c>
      <c r="H403" t="n">
        <v>0.2874759</v>
      </c>
      <c r="I403" t="n">
        <v/>
      </c>
      <c r="J403" t="n">
        <v/>
      </c>
      <c r="K403" t="n">
        <v>16.39417</v>
      </c>
      <c r="L403" t="n">
        <v>15.66175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0.1477956</v>
      </c>
      <c r="S403" t="n">
        <v>34.20883</v>
      </c>
      <c r="T403" t="n">
        <v>1.383955</v>
      </c>
      <c r="U403" t="n">
        <v>0.05764965</v>
      </c>
      <c r="V403" t="n">
        <v>11.12586</v>
      </c>
      <c r="W403" t="n">
        <v>5.851186</v>
      </c>
      <c r="X403" t="n">
        <v>6.145213</v>
      </c>
      <c r="Y403" t="n">
        <v>5.760461</v>
      </c>
      <c r="Z403" t="n">
        <v/>
      </c>
      <c r="AA403" t="n">
        <v/>
      </c>
      <c r="AB403" t="n">
        <v>14.50934</v>
      </c>
      <c r="AC403" t="n">
        <v>0.0004595496</v>
      </c>
      <c r="AD403" t="n">
        <v>18.40789</v>
      </c>
      <c r="AE403" t="n">
        <v>2.056511</v>
      </c>
    </row>
    <row r="404">
      <c r="A404" s="89" t="n">
        <v>30864</v>
      </c>
      <c r="B404" t="n">
        <v>5.435493</v>
      </c>
      <c r="C404" t="n">
        <v/>
      </c>
      <c r="D404" t="n">
        <v>12.23715</v>
      </c>
      <c r="E404" t="n">
        <v>25.09446</v>
      </c>
      <c r="F404" t="n">
        <v/>
      </c>
      <c r="G404" t="n">
        <v/>
      </c>
      <c r="H404" t="n">
        <v>0.2922639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0.1693513</v>
      </c>
      <c r="S404" t="n">
        <v>34.4215</v>
      </c>
      <c r="T404" t="n">
        <v>1.415264</v>
      </c>
      <c r="U404" t="n">
        <v>0.06000213</v>
      </c>
      <c r="V404" t="n">
        <v>11.26769</v>
      </c>
      <c r="W404" t="n">
        <v>5.984647</v>
      </c>
      <c r="X404" t="n">
        <v>6.212059</v>
      </c>
      <c r="Y404" t="n">
        <v>5.949071</v>
      </c>
      <c r="Z404" t="n">
        <v/>
      </c>
      <c r="AA404" t="n">
        <v/>
      </c>
      <c r="AB404" t="n">
        <v>14.54618</v>
      </c>
      <c r="AC404" t="n">
        <v>0.0004737034</v>
      </c>
      <c r="AD404" t="n">
        <v>18.4777</v>
      </c>
      <c r="AE404" t="n">
        <v>2.086888</v>
      </c>
    </row>
    <row r="405">
      <c r="A405" s="89" t="n">
        <v>30895</v>
      </c>
      <c r="B405" t="n">
        <v>5.50834</v>
      </c>
      <c r="C405" t="n">
        <v/>
      </c>
      <c r="D405" t="n">
        <v>12.24976</v>
      </c>
      <c r="E405" t="n">
        <v>25.23694</v>
      </c>
      <c r="F405" t="n">
        <v/>
      </c>
      <c r="G405" t="n">
        <v/>
      </c>
      <c r="H405" t="n">
        <v>0.2979365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0.1977201</v>
      </c>
      <c r="S405" t="n">
        <v>34.64237</v>
      </c>
      <c r="T405" t="n">
        <v>1.434372</v>
      </c>
      <c r="U405" t="n">
        <v>0.06244386</v>
      </c>
      <c r="V405" t="n">
        <v>11.39157</v>
      </c>
      <c r="W405" t="n">
        <v>6.211764</v>
      </c>
      <c r="X405" t="n">
        <v>6.27974</v>
      </c>
      <c r="Y405" t="n">
        <v>6.076604</v>
      </c>
      <c r="Z405" t="n">
        <v/>
      </c>
      <c r="AA405" t="n">
        <v/>
      </c>
      <c r="AB405" t="n">
        <v>14.68725</v>
      </c>
      <c r="AC405" t="n">
        <v>0.0004858874</v>
      </c>
      <c r="AD405" t="n">
        <v>18.53504</v>
      </c>
      <c r="AE405" t="n">
        <v>2.115113</v>
      </c>
    </row>
    <row r="406">
      <c r="A406" s="89" t="n">
        <v>30926</v>
      </c>
      <c r="B406" t="n">
        <v>5.575583</v>
      </c>
      <c r="C406" t="n">
        <v/>
      </c>
      <c r="D406" t="n">
        <v>12.2998</v>
      </c>
      <c r="E406" t="n">
        <v>25.37943</v>
      </c>
      <c r="F406" t="n">
        <v/>
      </c>
      <c r="G406" t="n">
        <v/>
      </c>
      <c r="H406" t="n">
        <v>0.3065812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0.2353792</v>
      </c>
      <c r="S406" t="n">
        <v>34.90413</v>
      </c>
      <c r="T406" t="n">
        <v>1.453959</v>
      </c>
      <c r="U406" t="n">
        <v>0.06494071</v>
      </c>
      <c r="V406" t="n">
        <v>11.59661</v>
      </c>
      <c r="W406" t="n">
        <v>6.415709</v>
      </c>
      <c r="X406" t="n">
        <v>6.366007</v>
      </c>
      <c r="Y406" t="n">
        <v>6.196012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18.65138</v>
      </c>
      <c r="AE406" t="n">
        <v>2.145367</v>
      </c>
    </row>
    <row r="407">
      <c r="A407" s="89" t="n">
        <v>30956</v>
      </c>
      <c r="B407" t="n">
        <v>5.634421</v>
      </c>
      <c r="C407" t="n">
        <v/>
      </c>
      <c r="D407" t="n">
        <v>12.42925</v>
      </c>
      <c r="E407" t="n">
        <v>25.49077</v>
      </c>
      <c r="F407" t="n">
        <v/>
      </c>
      <c r="G407" t="n">
        <v/>
      </c>
      <c r="H407" t="n">
        <v>0.3143494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0.2814425</v>
      </c>
      <c r="S407" t="n">
        <v>35.07591</v>
      </c>
      <c r="T407" t="n">
        <v>1.48205</v>
      </c>
      <c r="U407" t="n">
        <v>0.06739870000000001</v>
      </c>
      <c r="V407" t="n">
        <v>11.79886</v>
      </c>
      <c r="W407" t="n">
        <v>6.567493</v>
      </c>
      <c r="X407" t="n">
        <v>6.452154</v>
      </c>
      <c r="Y407" t="n">
        <v>6.33351</v>
      </c>
      <c r="Z407" t="n">
        <v/>
      </c>
      <c r="AA407" t="n">
        <v/>
      </c>
      <c r="AB407" t="n">
        <v>14.83623</v>
      </c>
      <c r="AC407" t="n">
        <v>0.0005169691</v>
      </c>
      <c r="AD407" t="n">
        <v>18.77188</v>
      </c>
      <c r="AE407" t="n">
        <v>2.185746</v>
      </c>
    </row>
    <row r="408">
      <c r="A408" s="89" t="n">
        <v>30987</v>
      </c>
      <c r="B408" t="n">
        <v>5.71007</v>
      </c>
      <c r="C408" t="n">
        <v/>
      </c>
      <c r="D408" t="n">
        <v>12.38179</v>
      </c>
      <c r="E408" t="n">
        <v>25.55677</v>
      </c>
      <c r="F408" t="n">
        <v/>
      </c>
      <c r="G408" t="n">
        <v/>
      </c>
      <c r="H408" t="n">
        <v>0.3202533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0.3354224</v>
      </c>
      <c r="S408" t="n">
        <v>35.30495</v>
      </c>
      <c r="T408" t="n">
        <v>1.504928</v>
      </c>
      <c r="U408" t="n">
        <v>0.07034174</v>
      </c>
      <c r="V408" t="n">
        <v>11.94015</v>
      </c>
      <c r="W408" t="n">
        <v>6.693426</v>
      </c>
      <c r="X408" t="n">
        <v>6.560379</v>
      </c>
      <c r="Y408" t="n">
        <v>6.457189</v>
      </c>
      <c r="Z408" t="n">
        <v/>
      </c>
      <c r="AA408" t="n">
        <v/>
      </c>
      <c r="AB408" t="n">
        <v>14.97422</v>
      </c>
      <c r="AC408" t="n">
        <v>0.0005386524</v>
      </c>
      <c r="AD408" t="n">
        <v>18.95886</v>
      </c>
      <c r="AE408" t="n">
        <v>2.232456</v>
      </c>
    </row>
    <row r="409">
      <c r="A409" s="89" t="n">
        <v>31017</v>
      </c>
      <c r="B409" t="n">
        <v>5.794124</v>
      </c>
      <c r="C409" t="n">
        <v/>
      </c>
      <c r="D409" t="n">
        <v>12.5423</v>
      </c>
      <c r="E409" t="n">
        <v>25.8788</v>
      </c>
      <c r="F409" t="n">
        <v/>
      </c>
      <c r="G409" t="n">
        <v/>
      </c>
      <c r="H409" t="n">
        <v>0.3286207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0.3871266</v>
      </c>
      <c r="S409" t="n">
        <v>35.49309</v>
      </c>
      <c r="T409" t="n">
        <v>1.531744</v>
      </c>
      <c r="U409" t="n">
        <v>0.07434909000000001</v>
      </c>
      <c r="V409" t="n">
        <v>12.2685</v>
      </c>
      <c r="W409" t="n">
        <v>6.804257</v>
      </c>
      <c r="X409" t="n">
        <v>6.687786</v>
      </c>
      <c r="Y409" t="n">
        <v>6.557995</v>
      </c>
      <c r="Z409" t="n">
        <v/>
      </c>
      <c r="AA409" t="n">
        <v/>
      </c>
      <c r="AB409" t="n">
        <v>15.26634</v>
      </c>
      <c r="AC409" t="n">
        <v>0.0005629532</v>
      </c>
      <c r="AD409" t="n">
        <v>19.16661</v>
      </c>
      <c r="AE409" t="n">
        <v>2.256379</v>
      </c>
    </row>
    <row r="410">
      <c r="A410" s="89" t="n">
        <v>31048</v>
      </c>
      <c r="B410" t="n">
        <v>5.886583</v>
      </c>
      <c r="C410" t="n">
        <v/>
      </c>
      <c r="D410" t="n">
        <v>12.59736</v>
      </c>
      <c r="E410" t="n">
        <v>26.23501</v>
      </c>
      <c r="F410" t="n">
        <v/>
      </c>
      <c r="G410" t="n">
        <v/>
      </c>
      <c r="H410" t="n">
        <v>0.3373622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0.4360271</v>
      </c>
      <c r="S410" t="n">
        <v>35.77121</v>
      </c>
      <c r="T410" t="n">
        <v>1.560289</v>
      </c>
      <c r="U410" t="n">
        <v>0.07779700000000001</v>
      </c>
      <c r="V410" t="n">
        <v>12.43956</v>
      </c>
      <c r="W410" t="n">
        <v>6.899369</v>
      </c>
      <c r="X410" t="n">
        <v>6.804028</v>
      </c>
      <c r="Y410" t="n">
        <v>6.693007</v>
      </c>
      <c r="Z410" t="n">
        <v/>
      </c>
      <c r="AA410" t="n">
        <v/>
      </c>
      <c r="AB410" t="n">
        <v>15.27805</v>
      </c>
      <c r="AC410" t="n">
        <v>0.0005776518</v>
      </c>
      <c r="AD410" t="n">
        <v>19.38268</v>
      </c>
      <c r="AE410" t="n">
        <v>2.268393</v>
      </c>
    </row>
    <row r="411">
      <c r="A411" s="89" t="n">
        <v>31079</v>
      </c>
      <c r="B411" t="n">
        <v>5.976241</v>
      </c>
      <c r="C411" t="n">
        <v/>
      </c>
      <c r="D411" t="n">
        <v>12.68333</v>
      </c>
      <c r="E411" t="n">
        <v>26.36601</v>
      </c>
      <c r="F411" t="n">
        <v/>
      </c>
      <c r="G411" t="n">
        <v/>
      </c>
      <c r="H411" t="n">
        <v>0.3437996</v>
      </c>
      <c r="I411" t="n">
        <v/>
      </c>
      <c r="J411" t="n">
        <v/>
      </c>
      <c r="K411" t="n">
        <v>18.19077</v>
      </c>
      <c r="L411" t="n">
        <v>16.77268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0.4852949</v>
      </c>
      <c r="S411" t="n">
        <v>36.01661</v>
      </c>
      <c r="T411" t="n">
        <v>1.585165</v>
      </c>
      <c r="U411" t="n">
        <v>0.07987536000000001</v>
      </c>
      <c r="V411" t="n">
        <v>12.40736</v>
      </c>
      <c r="W411" t="n">
        <v>6.971493</v>
      </c>
      <c r="X411" t="n">
        <v>6.880911</v>
      </c>
      <c r="Y411" t="n">
        <v>6.814953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19.56301</v>
      </c>
      <c r="AE411" t="n">
        <v>2.292946</v>
      </c>
    </row>
    <row r="412">
      <c r="A412" s="89" t="n">
        <v>31107</v>
      </c>
      <c r="B412" t="n">
        <v>6.051889</v>
      </c>
      <c r="C412" t="n">
        <v/>
      </c>
      <c r="D412" t="n">
        <v>12.70561</v>
      </c>
      <c r="E412" t="n">
        <v>26.52586</v>
      </c>
      <c r="F412" t="n">
        <v/>
      </c>
      <c r="G412" t="n">
        <v/>
      </c>
      <c r="H412" t="n">
        <v>0.3509829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0.5413828000000001</v>
      </c>
      <c r="S412" t="n">
        <v>36.28655</v>
      </c>
      <c r="T412" t="n">
        <v>1.612284</v>
      </c>
      <c r="U412" t="n">
        <v>0.08260018</v>
      </c>
      <c r="V412" t="n">
        <v>12.57775</v>
      </c>
      <c r="W412" t="n">
        <v>7.069933</v>
      </c>
      <c r="X412" t="n">
        <v>6.94981</v>
      </c>
      <c r="Y412" t="n">
        <v>6.964487</v>
      </c>
      <c r="Z412" t="n">
        <v/>
      </c>
      <c r="AA412" t="n">
        <v/>
      </c>
      <c r="AB412" t="n">
        <v>15.00089</v>
      </c>
      <c r="AC412" t="n">
        <v>0.0006310740999999999</v>
      </c>
      <c r="AD412" t="n">
        <v>19.66356</v>
      </c>
      <c r="AE412" t="n">
        <v>2.30538</v>
      </c>
    </row>
    <row r="413">
      <c r="A413" s="89" t="n">
        <v>31138</v>
      </c>
      <c r="B413" t="n">
        <v>6.124736</v>
      </c>
      <c r="C413" t="n">
        <v/>
      </c>
      <c r="D413" t="n">
        <v>12.78915</v>
      </c>
      <c r="E413" t="n">
        <v>26.65285</v>
      </c>
      <c r="F413" t="n">
        <v/>
      </c>
      <c r="G413" t="n">
        <v/>
      </c>
      <c r="H413" t="n">
        <v>0.3577576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0.6177485</v>
      </c>
      <c r="S413" t="n">
        <v>36.58921</v>
      </c>
      <c r="T413" t="n">
        <v>1.636716</v>
      </c>
      <c r="U413" t="n">
        <v>0.08567561</v>
      </c>
      <c r="V413" t="n">
        <v>12.65944</v>
      </c>
      <c r="W413" t="n">
        <v>7.278556</v>
      </c>
      <c r="X413" t="n">
        <v>7.020614</v>
      </c>
      <c r="Y413" t="n">
        <v>7.103551</v>
      </c>
      <c r="Z413" t="n">
        <v/>
      </c>
      <c r="AA413" t="n">
        <v/>
      </c>
      <c r="AB413" t="n">
        <v>15.01838</v>
      </c>
      <c r="AC413" t="n">
        <v>0.0006572407</v>
      </c>
      <c r="AD413" t="n">
        <v>19.74002</v>
      </c>
      <c r="AE413" t="n">
        <v>2.322098</v>
      </c>
    </row>
    <row r="414">
      <c r="A414" s="89" t="n">
        <v>31168</v>
      </c>
      <c r="B414" t="n">
        <v>6.200385</v>
      </c>
      <c r="C414" t="n">
        <v/>
      </c>
      <c r="D414" t="n">
        <v>12.87574</v>
      </c>
      <c r="E414" t="n">
        <v>26.80603</v>
      </c>
      <c r="F414" t="n">
        <v/>
      </c>
      <c r="G414" t="n">
        <v/>
      </c>
      <c r="H414" t="n">
        <v>0.3644272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0.6879579</v>
      </c>
      <c r="S414" t="n">
        <v>36.82643</v>
      </c>
      <c r="T414" t="n">
        <v>1.652595</v>
      </c>
      <c r="U414" t="n">
        <v>0.08909824</v>
      </c>
      <c r="V414" t="n">
        <v>12.72197</v>
      </c>
      <c r="W414" t="n">
        <v>7.52564</v>
      </c>
      <c r="X414" t="n">
        <v>7.098621</v>
      </c>
      <c r="Y414" t="n">
        <v>7.227101</v>
      </c>
      <c r="Z414" t="n">
        <v/>
      </c>
      <c r="AA414" t="n">
        <v/>
      </c>
      <c r="AB414" t="n">
        <v>15.01582</v>
      </c>
      <c r="AC414" t="n">
        <v>0.0006831919</v>
      </c>
      <c r="AD414" t="n">
        <v>19.85719</v>
      </c>
      <c r="AE414" t="n">
        <v>2.353052</v>
      </c>
    </row>
    <row r="415">
      <c r="A415" s="89" t="n">
        <v>31199</v>
      </c>
      <c r="B415" t="n">
        <v>6.245214</v>
      </c>
      <c r="C415" t="n">
        <v/>
      </c>
      <c r="D415" t="n">
        <v>12.91471</v>
      </c>
      <c r="E415" t="n">
        <v>26.91879</v>
      </c>
      <c r="F415" t="n">
        <v/>
      </c>
      <c r="G415" t="n">
        <v/>
      </c>
      <c r="H415" t="n">
        <v>0.3731406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0.7561407999999999</v>
      </c>
      <c r="S415" t="n">
        <v>37.04729</v>
      </c>
      <c r="T415" t="n">
        <v>1.673925</v>
      </c>
      <c r="U415" t="n">
        <v>0.09239435</v>
      </c>
      <c r="V415" t="n">
        <v>12.90263</v>
      </c>
      <c r="W415" t="n">
        <v>7.774296</v>
      </c>
      <c r="X415" t="n">
        <v>7.185892</v>
      </c>
      <c r="Y415" t="n">
        <v>7.35193</v>
      </c>
      <c r="Z415" t="n">
        <v/>
      </c>
      <c r="AA415" t="n">
        <v/>
      </c>
      <c r="AB415" t="n">
        <v>14.84312</v>
      </c>
      <c r="AC415" t="n">
        <v>0.0007116221</v>
      </c>
      <c r="AD415" t="n">
        <v>20.04915</v>
      </c>
      <c r="AE415" t="n">
        <v>2.388814</v>
      </c>
    </row>
    <row r="416">
      <c r="A416" s="89" t="n">
        <v>31229</v>
      </c>
      <c r="B416" t="n">
        <v>6.329268</v>
      </c>
      <c r="C416" t="n">
        <v/>
      </c>
      <c r="D416" t="n">
        <v>12.98011</v>
      </c>
      <c r="E416" t="n">
        <v>26.9481</v>
      </c>
      <c r="F416" t="n">
        <v/>
      </c>
      <c r="G416" t="n">
        <v/>
      </c>
      <c r="H416" t="n">
        <v>0.3834677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0.9078904</v>
      </c>
      <c r="S416" t="n">
        <v>37.29269</v>
      </c>
      <c r="T416" t="n">
        <v>1.703007</v>
      </c>
      <c r="U416" t="n">
        <v>0.09603361000000001</v>
      </c>
      <c r="V416" t="n">
        <v>13.08079</v>
      </c>
      <c r="W416" t="n">
        <v>8.104157000000001</v>
      </c>
      <c r="X416" t="n">
        <v>7.277556</v>
      </c>
      <c r="Y416" t="n">
        <v>7.497736</v>
      </c>
      <c r="Z416" t="n">
        <v/>
      </c>
      <c r="AA416" t="n">
        <v/>
      </c>
      <c r="AB416" t="n">
        <v>14.84823</v>
      </c>
      <c r="AC416" t="n">
        <v>0.0007405478</v>
      </c>
      <c r="AD416" t="n">
        <v>20.1896</v>
      </c>
      <c r="AE416" t="n">
        <v>2.417302</v>
      </c>
    </row>
    <row r="417">
      <c r="A417" s="89" t="n">
        <v>31260</v>
      </c>
      <c r="B417" t="n">
        <v>6.446943</v>
      </c>
      <c r="C417" t="n">
        <v/>
      </c>
      <c r="D417" t="n">
        <v>13.04788</v>
      </c>
      <c r="E417" t="n">
        <v>27.00077</v>
      </c>
      <c r="F417" t="n">
        <v/>
      </c>
      <c r="G417" t="n">
        <v/>
      </c>
      <c r="H417" t="n">
        <v>0.3956846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1.025001</v>
      </c>
      <c r="S417" t="n">
        <v>37.52991</v>
      </c>
      <c r="T417" t="n">
        <v>1.737114</v>
      </c>
      <c r="U417" t="n">
        <v>0.1004015</v>
      </c>
      <c r="V417" t="n">
        <v>13.29608</v>
      </c>
      <c r="W417" t="n">
        <v>8.299205000000001</v>
      </c>
      <c r="X417" t="n">
        <v>7.371878</v>
      </c>
      <c r="Y417" t="n">
        <v>7.660719</v>
      </c>
      <c r="Z417" t="n">
        <v/>
      </c>
      <c r="AA417" t="n">
        <v/>
      </c>
      <c r="AB417" t="n">
        <v>14.93588</v>
      </c>
      <c r="AC417" t="n">
        <v>0.0007754273</v>
      </c>
      <c r="AD417" t="n">
        <v>20.31009</v>
      </c>
      <c r="AE417" t="n">
        <v>2.441767</v>
      </c>
    </row>
    <row r="418">
      <c r="A418" s="89" t="n">
        <v>31291</v>
      </c>
      <c r="B418" t="n">
        <v>6.525393</v>
      </c>
      <c r="C418" t="n">
        <v/>
      </c>
      <c r="D418" t="n">
        <v>13.13421</v>
      </c>
      <c r="E418" t="n">
        <v>27.13457</v>
      </c>
      <c r="F418" t="n">
        <v/>
      </c>
      <c r="G418" t="n">
        <v/>
      </c>
      <c r="H418" t="n">
        <v>0.4045058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1.047182</v>
      </c>
      <c r="S418" t="n">
        <v>37.79985</v>
      </c>
      <c r="T418" t="n">
        <v>1.765668</v>
      </c>
      <c r="U418" t="n">
        <v>0.1042746</v>
      </c>
      <c r="V418" t="n">
        <v>13.47439</v>
      </c>
      <c r="W418" t="n">
        <v>8.423455000000001</v>
      </c>
      <c r="X418" t="n">
        <v>7.450898</v>
      </c>
      <c r="Y418" t="n">
        <v>7.796371</v>
      </c>
      <c r="Z418" t="n">
        <v/>
      </c>
      <c r="AA418" t="n">
        <v/>
      </c>
      <c r="AB418" t="n">
        <v>14.86674</v>
      </c>
      <c r="AC418" t="n">
        <v>0.0008090641</v>
      </c>
      <c r="AD418" t="n">
        <v>20.41314</v>
      </c>
      <c r="AE418" t="n">
        <v>2.448098</v>
      </c>
    </row>
    <row r="419">
      <c r="A419" s="89" t="n">
        <v>31321</v>
      </c>
      <c r="B419" t="n">
        <v>6.587033</v>
      </c>
      <c r="C419" t="n">
        <v/>
      </c>
      <c r="D419" t="n">
        <v>13.21072</v>
      </c>
      <c r="E419" t="n">
        <v>27.31643</v>
      </c>
      <c r="F419" t="n">
        <v/>
      </c>
      <c r="G419" t="n">
        <v/>
      </c>
      <c r="H419" t="n">
        <v>0.4144617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1.077023</v>
      </c>
      <c r="S419" t="n">
        <v>38.11887</v>
      </c>
      <c r="T419" t="n">
        <v>1.795073</v>
      </c>
      <c r="U419" t="n">
        <v>0.1070225</v>
      </c>
      <c r="V419" t="n">
        <v>13.57277</v>
      </c>
      <c r="W419" t="n">
        <v>8.562561000000001</v>
      </c>
      <c r="X419" t="n">
        <v>7.516615</v>
      </c>
      <c r="Y419" t="n">
        <v>7.924687</v>
      </c>
      <c r="Z419" t="n">
        <v/>
      </c>
      <c r="AA419" t="n">
        <v/>
      </c>
      <c r="AB419" t="n">
        <v>14.89697</v>
      </c>
      <c r="AC419" t="n">
        <v>0.0008267501</v>
      </c>
      <c r="AD419" t="n">
        <v>20.50954</v>
      </c>
      <c r="AE419" t="n">
        <v>2.460811</v>
      </c>
    </row>
    <row r="420">
      <c r="A420" s="89" t="n">
        <v>31352</v>
      </c>
      <c r="B420" t="n">
        <v>6.634664</v>
      </c>
      <c r="C420" t="n">
        <v/>
      </c>
      <c r="D420" t="n">
        <v>13.30217</v>
      </c>
      <c r="E420" t="n">
        <v>27.43832</v>
      </c>
      <c r="F420" t="n">
        <v/>
      </c>
      <c r="G420" t="n">
        <v/>
      </c>
      <c r="H420" t="n">
        <v>0.4280553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1.115094</v>
      </c>
      <c r="S420" t="n">
        <v>38.44608</v>
      </c>
      <c r="T420" t="n">
        <v>1.828698</v>
      </c>
      <c r="U420" t="n">
        <v>0.1095315</v>
      </c>
      <c r="V420" t="n">
        <v>13.68146</v>
      </c>
      <c r="W420" t="n">
        <v>8.717511999999999</v>
      </c>
      <c r="X420" t="n">
        <v>7.578914</v>
      </c>
      <c r="Y420" t="n">
        <v>8.106688999999999</v>
      </c>
      <c r="Z420" t="n">
        <v/>
      </c>
      <c r="AA420" t="n">
        <v/>
      </c>
      <c r="AB420" t="n">
        <v>14.93735</v>
      </c>
      <c r="AC420" t="n">
        <v>0.0008429034</v>
      </c>
      <c r="AD420" t="n">
        <v>20.59098</v>
      </c>
      <c r="AE420" t="n">
        <v>2.485801</v>
      </c>
    </row>
    <row r="421">
      <c r="A421" s="89" t="n">
        <v>31382</v>
      </c>
      <c r="B421" t="n">
        <v>6.673889</v>
      </c>
      <c r="C421" t="n">
        <v/>
      </c>
      <c r="D421" t="n">
        <v>13.37899</v>
      </c>
      <c r="E421" t="n">
        <v>27.60261</v>
      </c>
      <c r="F421" t="n">
        <v/>
      </c>
      <c r="G421" t="n">
        <v/>
      </c>
      <c r="H421" t="n">
        <v>0.4399588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1.142723</v>
      </c>
      <c r="S421" t="n">
        <v>38.77327</v>
      </c>
      <c r="T421" t="n">
        <v>1.876257</v>
      </c>
      <c r="U421" t="n">
        <v>0.1409878</v>
      </c>
      <c r="V421" t="n">
        <v>14.03137</v>
      </c>
      <c r="W421" t="n">
        <v>8.897497</v>
      </c>
      <c r="X421" t="n">
        <v>7.836039</v>
      </c>
      <c r="Y421" t="n">
        <v>8.364015</v>
      </c>
      <c r="Z421" t="n">
        <v/>
      </c>
      <c r="AA421" t="n">
        <v/>
      </c>
      <c r="AB421" t="n">
        <v>15.21611</v>
      </c>
      <c r="AC421" t="n">
        <v>0.0008679832</v>
      </c>
      <c r="AD421" t="n">
        <v>20.70981</v>
      </c>
      <c r="AE421" t="n">
        <v>2.508238</v>
      </c>
    </row>
    <row r="422">
      <c r="A422" s="89" t="n">
        <v>31413</v>
      </c>
      <c r="B422" t="n">
        <v>6.693501</v>
      </c>
      <c r="C422" t="n">
        <v/>
      </c>
      <c r="D422" t="n">
        <v>13.54829</v>
      </c>
      <c r="E422" t="n">
        <v>27.78797</v>
      </c>
      <c r="F422" t="n">
        <v/>
      </c>
      <c r="G422" t="n">
        <v/>
      </c>
      <c r="H422" t="n">
        <v>0.4525957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1.149931</v>
      </c>
      <c r="S422" t="n">
        <v>38.9696</v>
      </c>
      <c r="T422" t="n">
        <v>1.926982</v>
      </c>
      <c r="U422" t="n">
        <v>0.1715862</v>
      </c>
      <c r="V422" t="n">
        <v>14.1522</v>
      </c>
      <c r="W422" t="n">
        <v>9.031952</v>
      </c>
      <c r="X422" t="n">
        <v>8.079449</v>
      </c>
      <c r="Y422" t="n">
        <v>8.670309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20.79292</v>
      </c>
      <c r="AE422" t="n">
        <v>2.52779</v>
      </c>
    </row>
    <row r="423">
      <c r="A423" s="89" t="n">
        <v>31444</v>
      </c>
      <c r="B423" t="n">
        <v>6.70751</v>
      </c>
      <c r="C423" t="n">
        <v/>
      </c>
      <c r="D423" t="n">
        <v>13.62376</v>
      </c>
      <c r="E423" t="n">
        <v>27.92073</v>
      </c>
      <c r="F423" t="n">
        <v>0.7170138</v>
      </c>
      <c r="G423" t="n">
        <v/>
      </c>
      <c r="H423" t="n">
        <v>0.4649194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1.172369</v>
      </c>
      <c r="S423" t="n">
        <v>39.22318</v>
      </c>
      <c r="T423" t="n">
        <v>1.964593</v>
      </c>
      <c r="U423" t="n">
        <v>0.1727196</v>
      </c>
      <c r="V423" t="n">
        <v>13.98903</v>
      </c>
      <c r="W423" t="n">
        <v>9.190341</v>
      </c>
      <c r="X423" t="n">
        <v>8.132376000000001</v>
      </c>
      <c r="Y423" t="n">
        <v>8.893837</v>
      </c>
      <c r="Z423" t="n">
        <v/>
      </c>
      <c r="AA423" t="n">
        <v/>
      </c>
      <c r="AB423" t="n">
        <v>15.3806</v>
      </c>
      <c r="AC423" t="n">
        <v>0.0009405538</v>
      </c>
      <c r="AD423" t="n">
        <v>20.88267</v>
      </c>
      <c r="AE423" t="n">
        <v>2.56579</v>
      </c>
    </row>
    <row r="424">
      <c r="A424" s="89" t="n">
        <v>31472</v>
      </c>
      <c r="B424" t="n">
        <v>6.766348</v>
      </c>
      <c r="C424" t="n">
        <v/>
      </c>
      <c r="D424" t="n">
        <v>13.78438</v>
      </c>
      <c r="E424" t="n">
        <v>27.91823</v>
      </c>
      <c r="F424" t="n">
        <v>0.7378309</v>
      </c>
      <c r="G424" t="n">
        <v/>
      </c>
      <c r="H424" t="n">
        <v>0.4761226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1.195952</v>
      </c>
      <c r="S424" t="n">
        <v>39.49311</v>
      </c>
      <c r="T424" t="n">
        <v>2.006434</v>
      </c>
      <c r="U424" t="n">
        <v>0.1733179</v>
      </c>
      <c r="V424" t="n">
        <v>13.97229</v>
      </c>
      <c r="W424" t="n">
        <v>9.428877</v>
      </c>
      <c r="X424" t="n">
        <v>8.210049</v>
      </c>
      <c r="Y424" t="n">
        <v>9.060174</v>
      </c>
      <c r="Z424" t="n">
        <v/>
      </c>
      <c r="AA424" t="n">
        <v/>
      </c>
      <c r="AB424" t="n">
        <v>15.44312</v>
      </c>
      <c r="AC424" t="n">
        <v>0.0009972499000000001</v>
      </c>
      <c r="AD424" t="n">
        <v>21.05053</v>
      </c>
      <c r="AE424" t="n">
        <v>2.581127</v>
      </c>
    </row>
    <row r="425">
      <c r="A425" s="89" t="n">
        <v>31503</v>
      </c>
      <c r="B425" t="n">
        <v>6.875619</v>
      </c>
      <c r="C425" t="n">
        <v/>
      </c>
      <c r="D425" t="n">
        <v>13.94215</v>
      </c>
      <c r="E425" t="n">
        <v>28.04147</v>
      </c>
      <c r="F425" t="n">
        <v>0.7677375</v>
      </c>
      <c r="G425" t="n">
        <v/>
      </c>
      <c r="H425" t="n">
        <v>0.4846632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1.199109</v>
      </c>
      <c r="S425" t="n">
        <v>39.69762</v>
      </c>
      <c r="T425" t="n">
        <v>2.051267</v>
      </c>
      <c r="U425" t="n">
        <v>0.1738291</v>
      </c>
      <c r="V425" t="n">
        <v>14.01908</v>
      </c>
      <c r="W425" t="n">
        <v>9.660170000000001</v>
      </c>
      <c r="X425" t="n">
        <v>8.293066</v>
      </c>
      <c r="Y425" t="n">
        <v>9.261685999999999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21.25579</v>
      </c>
      <c r="AE425" t="n">
        <v>2.586356</v>
      </c>
    </row>
    <row r="426">
      <c r="A426" s="89" t="n">
        <v>31533</v>
      </c>
      <c r="B426" t="n">
        <v>6.965276</v>
      </c>
      <c r="C426" t="n">
        <v/>
      </c>
      <c r="D426" t="n">
        <v>13.8231</v>
      </c>
      <c r="E426" t="n">
        <v>28.31984</v>
      </c>
      <c r="F426" t="n">
        <v>0.7869343</v>
      </c>
      <c r="G426" t="n">
        <v/>
      </c>
      <c r="H426" t="n">
        <v>0.4943854</v>
      </c>
      <c r="I426" t="n">
        <v/>
      </c>
      <c r="J426" t="n">
        <v/>
      </c>
      <c r="K426" t="n">
        <v>22.20981</v>
      </c>
      <c r="L426" t="n">
        <v>18.07651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1.187873</v>
      </c>
      <c r="S426" t="n">
        <v>39.93484</v>
      </c>
      <c r="T426" t="n">
        <v>2.093079</v>
      </c>
      <c r="U426" t="n">
        <v>0.1747761</v>
      </c>
      <c r="V426" t="n">
        <v>14.11022</v>
      </c>
      <c r="W426" t="n">
        <v>9.786033</v>
      </c>
      <c r="X426" t="n">
        <v>8.372468</v>
      </c>
      <c r="Y426" t="n">
        <v>9.464444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21.48017</v>
      </c>
      <c r="AE426" t="n">
        <v>2.621122</v>
      </c>
    </row>
    <row r="427">
      <c r="A427" s="89" t="n">
        <v>31564</v>
      </c>
      <c r="B427" t="n">
        <v>7.015709</v>
      </c>
      <c r="C427" t="n">
        <v/>
      </c>
      <c r="D427" t="n">
        <v>13.85003</v>
      </c>
      <c r="E427" t="n">
        <v>28.56799</v>
      </c>
      <c r="F427" t="n">
        <v>0.7948619</v>
      </c>
      <c r="G427" t="n">
        <v/>
      </c>
      <c r="H427" t="n">
        <v>0.506934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1.175309</v>
      </c>
      <c r="S427" t="n">
        <v>40.26204</v>
      </c>
      <c r="T427" t="n">
        <v>2.131275</v>
      </c>
      <c r="U427" t="n">
        <v>0.1756083</v>
      </c>
      <c r="V427" t="n">
        <v>14.19369</v>
      </c>
      <c r="W427" t="n">
        <v>9.847531999999999</v>
      </c>
      <c r="X427" t="n">
        <v>8.447405</v>
      </c>
      <c r="Y427" t="n">
        <v>9.644773000000001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21.64804</v>
      </c>
      <c r="AE427" t="n">
        <v>2.637805</v>
      </c>
    </row>
    <row r="428">
      <c r="A428" s="89" t="n">
        <v>31594</v>
      </c>
      <c r="B428" t="n">
        <v>7.057736</v>
      </c>
      <c r="C428" t="n">
        <v/>
      </c>
      <c r="D428" t="n">
        <v>13.94996</v>
      </c>
      <c r="E428" t="n">
        <v>28.84381</v>
      </c>
      <c r="F428" t="n">
        <v>0.810804</v>
      </c>
      <c r="G428" t="n">
        <v/>
      </c>
      <c r="H428" t="n">
        <v>0.5173832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1.184724</v>
      </c>
      <c r="S428" t="n">
        <v>40.55652</v>
      </c>
      <c r="T428" t="n">
        <v>2.171296</v>
      </c>
      <c r="U428" t="n">
        <v>0.176451</v>
      </c>
      <c r="V428" t="n">
        <v>14.2236</v>
      </c>
      <c r="W428" t="n">
        <v>9.905913999999999</v>
      </c>
      <c r="X428" t="n">
        <v>8.521696</v>
      </c>
      <c r="Y428" t="n">
        <v>9.83052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21.82753</v>
      </c>
      <c r="AE428" t="n">
        <v>2.652845</v>
      </c>
    </row>
    <row r="429">
      <c r="A429" s="89" t="n">
        <v>31625</v>
      </c>
      <c r="B429" t="n">
        <v>7.105366</v>
      </c>
      <c r="C429" t="n">
        <v/>
      </c>
      <c r="D429" t="n">
        <v>14.06839</v>
      </c>
      <c r="E429" t="n">
        <v>29.00286</v>
      </c>
      <c r="F429" t="n">
        <v>0.8301354</v>
      </c>
      <c r="G429" t="n">
        <v/>
      </c>
      <c r="H429" t="n">
        <v>0.5253901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1.21972</v>
      </c>
      <c r="S429" t="n">
        <v>40.82646</v>
      </c>
      <c r="T429" t="n">
        <v>2.211868</v>
      </c>
      <c r="U429" t="n">
        <v>0.1834797</v>
      </c>
      <c r="V429" t="n">
        <v>14.26584</v>
      </c>
      <c r="W429" t="n">
        <v>10.02725</v>
      </c>
      <c r="X429" t="n">
        <v>8.612144000000001</v>
      </c>
      <c r="Y429" t="n">
        <v>10.0519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21.99291</v>
      </c>
      <c r="AE429" t="n">
        <v>2.673428</v>
      </c>
    </row>
    <row r="430">
      <c r="A430" s="89" t="n">
        <v>31656</v>
      </c>
      <c r="B430" t="n">
        <v>7.138988</v>
      </c>
      <c r="C430" t="n">
        <v/>
      </c>
      <c r="D430" t="n">
        <v>14.16599</v>
      </c>
      <c r="E430" t="n">
        <v>29.11378</v>
      </c>
      <c r="F430" t="n">
        <v>0.851989</v>
      </c>
      <c r="G430" t="n">
        <v/>
      </c>
      <c r="H430" t="n">
        <v>0.5323655</v>
      </c>
      <c r="I430" t="n">
        <v/>
      </c>
      <c r="J430" t="n">
        <v/>
      </c>
      <c r="K430" t="n">
        <v>22.33207</v>
      </c>
      <c r="L430" t="n">
        <v>18.45783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1.256799</v>
      </c>
      <c r="S430" t="n">
        <v>41.1373</v>
      </c>
      <c r="T430" t="n">
        <v>2.257599</v>
      </c>
      <c r="U430" t="n">
        <v>0.1954433</v>
      </c>
      <c r="V430" t="n">
        <v>14.26829</v>
      </c>
      <c r="W430" t="n">
        <v>10.22722</v>
      </c>
      <c r="X430" t="n">
        <v>8.721204999999999</v>
      </c>
      <c r="Y430" t="n">
        <v>10.30914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22.16991</v>
      </c>
      <c r="AE430" t="n">
        <v>2.694466</v>
      </c>
    </row>
    <row r="431">
      <c r="A431" s="89" t="n">
        <v>31686</v>
      </c>
      <c r="B431" t="n">
        <v>7.181015</v>
      </c>
      <c r="C431" t="n">
        <v/>
      </c>
      <c r="D431" t="n">
        <v>14.35587</v>
      </c>
      <c r="E431" t="n">
        <v>29.30439</v>
      </c>
      <c r="F431" t="n">
        <v>0.8753348</v>
      </c>
      <c r="G431" t="n">
        <v/>
      </c>
      <c r="H431" t="n">
        <v>0.542006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1.292101</v>
      </c>
      <c r="S431" t="n">
        <v>41.36634</v>
      </c>
      <c r="T431" t="n">
        <v>2.304375</v>
      </c>
      <c r="U431" t="n">
        <v>0.2092311</v>
      </c>
      <c r="V431" t="n">
        <v>14.35822</v>
      </c>
      <c r="W431" t="n">
        <v>10.48647</v>
      </c>
      <c r="X431" t="n">
        <v>8.8361</v>
      </c>
      <c r="Y431" t="n">
        <v>10.55264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22.33279</v>
      </c>
      <c r="AE431" t="n">
        <v>2.718616</v>
      </c>
    </row>
    <row r="432">
      <c r="A432" s="89" t="n">
        <v>31717</v>
      </c>
      <c r="B432" t="n">
        <v>7.211835</v>
      </c>
      <c r="C432" t="n">
        <v/>
      </c>
      <c r="D432" t="n">
        <v>14.54585</v>
      </c>
      <c r="E432" t="n">
        <v>29.47783</v>
      </c>
      <c r="F432" t="n">
        <v>0.9016253</v>
      </c>
      <c r="G432" t="n">
        <v/>
      </c>
      <c r="H432" t="n">
        <v>0.5543148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1.321403</v>
      </c>
      <c r="S432" t="n">
        <v>41.61174</v>
      </c>
      <c r="T432" t="n">
        <v>2.352932</v>
      </c>
      <c r="U432" t="n">
        <v>0.2249735</v>
      </c>
      <c r="V432" t="n">
        <v>14.5099</v>
      </c>
      <c r="W432" t="n">
        <v>10.74393</v>
      </c>
      <c r="X432" t="n">
        <v>8.949854999999999</v>
      </c>
      <c r="Y432" t="n">
        <v>10.84351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22.44831</v>
      </c>
      <c r="AE432" t="n">
        <v>2.739654</v>
      </c>
    </row>
    <row r="433">
      <c r="A433" s="89" t="n">
        <v>31747</v>
      </c>
      <c r="B433" t="n">
        <v>7.253862</v>
      </c>
      <c r="C433" t="n">
        <v/>
      </c>
      <c r="D433" t="n">
        <v>14.76731</v>
      </c>
      <c r="E433" t="n">
        <v>29.66596</v>
      </c>
      <c r="F433" t="n">
        <v>0.9221378</v>
      </c>
      <c r="G433" t="n">
        <v/>
      </c>
      <c r="H433" t="n">
        <v>0.5672933</v>
      </c>
      <c r="I433" t="n">
        <v/>
      </c>
      <c r="J433" t="n">
        <v/>
      </c>
      <c r="K433" t="n">
        <v>22.65631</v>
      </c>
      <c r="L433" t="n">
        <v>19.1398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1.35144</v>
      </c>
      <c r="S433" t="n">
        <v>42.0371</v>
      </c>
      <c r="T433" t="n">
        <v>2.402038</v>
      </c>
      <c r="U433" t="n">
        <v>0.2405682</v>
      </c>
      <c r="V433" t="n">
        <v>14.58352</v>
      </c>
      <c r="W433" t="n">
        <v>10.97117</v>
      </c>
      <c r="X433" t="n">
        <v>9.095696999999999</v>
      </c>
      <c r="Y433" t="n">
        <v>11.155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22.67019</v>
      </c>
      <c r="AE433" t="n">
        <v>2.750794</v>
      </c>
    </row>
    <row r="434">
      <c r="A434" s="89" t="n">
        <v>31778</v>
      </c>
      <c r="B434" t="n">
        <v>7.343519</v>
      </c>
      <c r="C434" t="n">
        <v/>
      </c>
      <c r="D434" t="n">
        <v>14.87117</v>
      </c>
      <c r="E434" t="n">
        <v>29.87621</v>
      </c>
      <c r="F434" t="n">
        <v>0.9416072</v>
      </c>
      <c r="G434" t="n">
        <v/>
      </c>
      <c r="H434" t="n">
        <v>0.5791849999999999</v>
      </c>
      <c r="I434" t="n">
        <v/>
      </c>
      <c r="J434" t="n">
        <v/>
      </c>
      <c r="K434" t="n">
        <v>22.63851</v>
      </c>
      <c r="L434" t="n">
        <v>19.34158</v>
      </c>
      <c r="M434" t="n">
        <v>9.223307</v>
      </c>
      <c r="N434" t="n">
        <v/>
      </c>
      <c r="O434" t="n">
        <v/>
      </c>
      <c r="P434" t="n">
        <v>1.260513</v>
      </c>
      <c r="Q434" t="n">
        <v>3.097813</v>
      </c>
      <c r="R434" t="n">
        <v>1.402343</v>
      </c>
      <c r="S434" t="n">
        <v>42.35612</v>
      </c>
      <c r="T434" t="n">
        <v>2.4574</v>
      </c>
      <c r="U434" t="n">
        <v>0.2566681</v>
      </c>
      <c r="V434" t="n">
        <v>14.61435</v>
      </c>
      <c r="W434" t="n">
        <v>11.23449</v>
      </c>
      <c r="X434" t="n">
        <v>9.218716000000001</v>
      </c>
      <c r="Y434" t="n">
        <v>11.43599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22.80232</v>
      </c>
      <c r="AE434" t="n">
        <v>2.747471</v>
      </c>
    </row>
    <row r="435">
      <c r="A435" s="89" t="n">
        <v>31809</v>
      </c>
      <c r="B435" t="n">
        <v>7.42197</v>
      </c>
      <c r="C435" t="n">
        <v/>
      </c>
      <c r="D435" t="n">
        <v>15.09531</v>
      </c>
      <c r="E435" t="n">
        <v>30.03304</v>
      </c>
      <c r="F435" t="n">
        <v>0.9675662</v>
      </c>
      <c r="G435" t="n">
        <v/>
      </c>
      <c r="H435" t="n">
        <v>0.5923535</v>
      </c>
      <c r="I435" t="n">
        <v/>
      </c>
      <c r="J435" t="n">
        <v/>
      </c>
      <c r="K435" t="n">
        <v>22.56106</v>
      </c>
      <c r="L435" t="n">
        <v>19.25452</v>
      </c>
      <c r="M435" t="n">
        <v>11.16492</v>
      </c>
      <c r="N435" t="n">
        <v/>
      </c>
      <c r="O435" t="n">
        <v/>
      </c>
      <c r="P435" t="n">
        <v>1.280062</v>
      </c>
      <c r="Q435" t="n">
        <v>3.176628</v>
      </c>
      <c r="R435" t="n">
        <v>1.45122</v>
      </c>
      <c r="S435" t="n">
        <v>42.66696</v>
      </c>
      <c r="T435" t="n">
        <v>2.513592</v>
      </c>
      <c r="U435" t="n">
        <v>0.2750925</v>
      </c>
      <c r="V435" t="n">
        <v>14.76739</v>
      </c>
      <c r="W435" t="n">
        <v>11.52059</v>
      </c>
      <c r="X435" t="n">
        <v>9.460082</v>
      </c>
      <c r="Y435" t="n">
        <v>11.65036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22.83224</v>
      </c>
      <c r="AE435" t="n">
        <v>2.765116</v>
      </c>
    </row>
    <row r="436">
      <c r="A436" s="89" t="n">
        <v>31837</v>
      </c>
      <c r="B436" t="n">
        <v>7.455592</v>
      </c>
      <c r="C436" t="n">
        <v/>
      </c>
      <c r="D436" t="n">
        <v>15.20393</v>
      </c>
      <c r="E436" t="n">
        <v>30.28381</v>
      </c>
      <c r="F436" t="n">
        <v>0.9955277</v>
      </c>
      <c r="G436" t="n">
        <v/>
      </c>
      <c r="H436" t="n">
        <v>0.6068230999999999</v>
      </c>
      <c r="I436" t="n">
        <v/>
      </c>
      <c r="J436" t="n">
        <v/>
      </c>
      <c r="K436" t="n">
        <v>22.76226</v>
      </c>
      <c r="L436" t="n">
        <v>19.28458</v>
      </c>
      <c r="M436" t="n">
        <v>11.32877</v>
      </c>
      <c r="N436" t="n">
        <v/>
      </c>
      <c r="O436" t="n">
        <v/>
      </c>
      <c r="P436" t="n">
        <v>1.295625</v>
      </c>
      <c r="Q436" t="n">
        <v>3.294622</v>
      </c>
      <c r="R436" t="n">
        <v>1.499365</v>
      </c>
      <c r="S436" t="n">
        <v>43.11686</v>
      </c>
      <c r="T436" t="n">
        <v>2.593944</v>
      </c>
      <c r="U436" t="n">
        <v>0.2968611</v>
      </c>
      <c r="V436" t="n">
        <v>14.9351</v>
      </c>
      <c r="W436" t="n">
        <v>11.62466</v>
      </c>
      <c r="X436" t="n">
        <v>9.568885</v>
      </c>
      <c r="Y436" t="n">
        <v>11.84412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22.88376</v>
      </c>
      <c r="AE436" t="n">
        <v>2.803257</v>
      </c>
    </row>
    <row r="437">
      <c r="A437" s="89" t="n">
        <v>31868</v>
      </c>
      <c r="B437" t="n">
        <v>7.480808</v>
      </c>
      <c r="C437" t="n">
        <v/>
      </c>
      <c r="D437" t="n">
        <v>15.35627</v>
      </c>
      <c r="E437" t="n">
        <v>30.57079</v>
      </c>
      <c r="F437" t="n">
        <v>1.026427</v>
      </c>
      <c r="G437" t="n">
        <v/>
      </c>
      <c r="H437" t="n">
        <v>0.6235852</v>
      </c>
      <c r="I437" t="n">
        <v/>
      </c>
      <c r="J437" t="n">
        <v/>
      </c>
      <c r="K437" t="n">
        <v>22.9657</v>
      </c>
      <c r="L437" t="n">
        <v>19.39494</v>
      </c>
      <c r="M437" t="n">
        <v>11.51287</v>
      </c>
      <c r="N437" t="n">
        <v/>
      </c>
      <c r="O437" t="n">
        <v/>
      </c>
      <c r="P437" t="n">
        <v>1.311164</v>
      </c>
      <c r="Q437" t="n">
        <v>3.401168</v>
      </c>
      <c r="R437" t="n">
        <v>1.557123</v>
      </c>
      <c r="S437" t="n">
        <v>43.58313</v>
      </c>
      <c r="T437" t="n">
        <v>2.673598</v>
      </c>
      <c r="U437" t="n">
        <v>0.3216515</v>
      </c>
      <c r="V437" t="n">
        <v>15.06556</v>
      </c>
      <c r="W437" t="n">
        <v>11.53679</v>
      </c>
      <c r="X437" t="n">
        <v>9.706115</v>
      </c>
      <c r="Y437" t="n">
        <v>12.0103</v>
      </c>
      <c r="Z437" t="n">
        <v/>
      </c>
      <c r="AA437" t="n">
        <v/>
      </c>
      <c r="AB437" t="n">
        <v>17.0949</v>
      </c>
      <c r="AC437" t="n">
        <v>0.001515242</v>
      </c>
      <c r="AD437" t="n">
        <v>23.0001</v>
      </c>
      <c r="AE437" t="n">
        <v>2.843322</v>
      </c>
    </row>
    <row r="438">
      <c r="A438" s="89" t="n">
        <v>31898</v>
      </c>
      <c r="B438" t="n">
        <v>7.56206</v>
      </c>
      <c r="C438" t="n">
        <v/>
      </c>
      <c r="D438" t="n">
        <v>15.5004</v>
      </c>
      <c r="E438" t="n">
        <v>30.75797</v>
      </c>
      <c r="F438" t="n">
        <v>1.058663</v>
      </c>
      <c r="G438" t="n">
        <v/>
      </c>
      <c r="H438" t="n">
        <v>0.6407281</v>
      </c>
      <c r="I438" t="n">
        <v/>
      </c>
      <c r="J438" t="n">
        <v/>
      </c>
      <c r="K438" t="n">
        <v>23.04919</v>
      </c>
      <c r="L438" t="n">
        <v>19.5495</v>
      </c>
      <c r="M438" t="n">
        <v>11.67343</v>
      </c>
      <c r="N438" t="n">
        <v/>
      </c>
      <c r="O438" t="n">
        <v/>
      </c>
      <c r="P438" t="n">
        <v>1.32282</v>
      </c>
      <c r="Q438" t="n">
        <v>3.530192</v>
      </c>
      <c r="R438" t="n">
        <v>1.606737</v>
      </c>
      <c r="S438" t="n">
        <v>44.00031</v>
      </c>
      <c r="T438" t="n">
        <v>2.727451</v>
      </c>
      <c r="U438" t="n">
        <v>0.3485421</v>
      </c>
      <c r="V438" t="n">
        <v>15.08597</v>
      </c>
      <c r="W438" t="n">
        <v>11.53573</v>
      </c>
      <c r="X438" t="n">
        <v>9.833256</v>
      </c>
      <c r="Y438" t="n">
        <v>12.19604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23.04331</v>
      </c>
      <c r="AE438" t="n">
        <v>2.881165</v>
      </c>
    </row>
    <row r="439">
      <c r="A439" s="89" t="n">
        <v>31929</v>
      </c>
      <c r="B439" t="n">
        <v>7.662925</v>
      </c>
      <c r="C439" t="n">
        <v/>
      </c>
      <c r="D439" t="n">
        <v>15.63961</v>
      </c>
      <c r="E439" t="n">
        <v>30.99412</v>
      </c>
      <c r="F439" t="n">
        <v>1.092345</v>
      </c>
      <c r="G439" t="n">
        <v/>
      </c>
      <c r="H439" t="n">
        <v>0.6533234999999999</v>
      </c>
      <c r="I439" t="n">
        <v/>
      </c>
      <c r="J439" t="n">
        <v/>
      </c>
      <c r="K439" t="n">
        <v>23.31146</v>
      </c>
      <c r="L439" t="n">
        <v>19.7154</v>
      </c>
      <c r="M439" t="n">
        <v>11.78799</v>
      </c>
      <c r="N439" t="n">
        <v/>
      </c>
      <c r="O439" t="n">
        <v/>
      </c>
      <c r="P439" t="n">
        <v>1.336125</v>
      </c>
      <c r="Q439" t="n">
        <v>3.6236</v>
      </c>
      <c r="R439" t="n">
        <v>1.648894</v>
      </c>
      <c r="S439" t="n">
        <v>44.38477</v>
      </c>
      <c r="T439" t="n">
        <v>2.782616</v>
      </c>
      <c r="U439" t="n">
        <v>0.3790073</v>
      </c>
      <c r="V439" t="n">
        <v>15.16761</v>
      </c>
      <c r="W439" t="n">
        <v>11.68109</v>
      </c>
      <c r="X439" t="n">
        <v>9.956051</v>
      </c>
      <c r="Y439" t="n">
        <v>12.4718</v>
      </c>
      <c r="Z439" t="n">
        <v/>
      </c>
      <c r="AA439" t="n">
        <v/>
      </c>
      <c r="AB439" t="n">
        <v>17.54369</v>
      </c>
      <c r="AC439" t="n">
        <v>0.0016218</v>
      </c>
      <c r="AD439" t="n">
        <v>23.05744</v>
      </c>
      <c r="AE439" t="n">
        <v>2.901853</v>
      </c>
    </row>
    <row r="440">
      <c r="A440" s="89" t="n">
        <v>31959</v>
      </c>
      <c r="B440" t="n">
        <v>7.758186</v>
      </c>
      <c r="C440" t="n">
        <v/>
      </c>
      <c r="D440" t="n">
        <v>15.73628</v>
      </c>
      <c r="E440" t="n">
        <v>31.33548</v>
      </c>
      <c r="F440" t="n">
        <v>1.124549</v>
      </c>
      <c r="G440" t="n">
        <v/>
      </c>
      <c r="H440" t="n">
        <v>0.6667187</v>
      </c>
      <c r="I440" t="n">
        <v/>
      </c>
      <c r="J440" t="n">
        <v/>
      </c>
      <c r="K440" t="n">
        <v>23.43208</v>
      </c>
      <c r="L440" t="n">
        <v>19.81458</v>
      </c>
      <c r="M440" t="n">
        <v>11.95055</v>
      </c>
      <c r="N440" t="n">
        <v/>
      </c>
      <c r="O440" t="n">
        <v/>
      </c>
      <c r="P440" t="n">
        <v>1.355901</v>
      </c>
      <c r="Q440" t="n">
        <v>3.749668</v>
      </c>
      <c r="R440" t="n">
        <v>1.683899</v>
      </c>
      <c r="S440" t="n">
        <v>44.79377</v>
      </c>
      <c r="T440" t="n">
        <v>2.836942</v>
      </c>
      <c r="U440" t="n">
        <v>0.4130578</v>
      </c>
      <c r="V440" t="n">
        <v>15.52818</v>
      </c>
      <c r="W440" t="n">
        <v>11.77384</v>
      </c>
      <c r="X440" t="n">
        <v>10.09885</v>
      </c>
      <c r="Y440" t="n">
        <v>12.80997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23.09401</v>
      </c>
      <c r="AE440" t="n">
        <v>2.945625</v>
      </c>
    </row>
    <row r="441">
      <c r="A441" s="89" t="n">
        <v>31990</v>
      </c>
      <c r="B441" t="n">
        <v>7.847844</v>
      </c>
      <c r="C441" t="n">
        <v/>
      </c>
      <c r="D441" t="n">
        <v>15.7781</v>
      </c>
      <c r="E441" t="n">
        <v>31.67595</v>
      </c>
      <c r="F441" t="n">
        <v>1.151617</v>
      </c>
      <c r="G441" t="n">
        <v/>
      </c>
      <c r="H441" t="n">
        <v>0.6827718</v>
      </c>
      <c r="I441" t="n">
        <v/>
      </c>
      <c r="J441" t="n">
        <v/>
      </c>
      <c r="K441" t="n">
        <v>23.48534</v>
      </c>
      <c r="L441" t="n">
        <v>19.86186</v>
      </c>
      <c r="M441" t="n">
        <v>12.12972</v>
      </c>
      <c r="N441" t="n">
        <v/>
      </c>
      <c r="O441" t="n">
        <v/>
      </c>
      <c r="P441" t="n">
        <v>1.376741</v>
      </c>
      <c r="Q441" t="n">
        <v>3.866318</v>
      </c>
      <c r="R441" t="n">
        <v>1.701931</v>
      </c>
      <c r="S441" t="n">
        <v>45.24367</v>
      </c>
      <c r="T441" t="n">
        <v>2.895226</v>
      </c>
      <c r="U441" t="n">
        <v>0.4472899</v>
      </c>
      <c r="V441" t="n">
        <v>15.73751</v>
      </c>
      <c r="W441" t="n">
        <v>11.84956</v>
      </c>
      <c r="X441" t="n">
        <v>10.24954</v>
      </c>
      <c r="Y441" t="n">
        <v>13.12334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23.17046</v>
      </c>
      <c r="AE441" t="n">
        <v>2.977523</v>
      </c>
    </row>
    <row r="442">
      <c r="A442" s="89" t="n">
        <v>32021</v>
      </c>
      <c r="B442" t="n">
        <v>7.926294</v>
      </c>
      <c r="C442" t="n">
        <v/>
      </c>
      <c r="D442" t="n">
        <v>15.87105</v>
      </c>
      <c r="E442" t="n">
        <v>31.9916</v>
      </c>
      <c r="F442" t="n">
        <v>1.180915</v>
      </c>
      <c r="G442" t="n">
        <v/>
      </c>
      <c r="H442" t="n">
        <v>0.7047715</v>
      </c>
      <c r="I442" t="n">
        <v/>
      </c>
      <c r="J442" t="n">
        <v/>
      </c>
      <c r="K442" t="n">
        <v>23.4671</v>
      </c>
      <c r="L442" t="n">
        <v>19.96626</v>
      </c>
      <c r="M442" t="n">
        <v>12.21361</v>
      </c>
      <c r="N442" t="n">
        <v/>
      </c>
      <c r="O442" t="n">
        <v/>
      </c>
      <c r="P442" t="n">
        <v>1.397702</v>
      </c>
      <c r="Q442" t="n">
        <v>3.924559</v>
      </c>
      <c r="R442" t="n">
        <v>1.71059</v>
      </c>
      <c r="S442" t="n">
        <v>45.70175</v>
      </c>
      <c r="T442" t="n">
        <v>2.940574</v>
      </c>
      <c r="U442" t="n">
        <v>0.4813524</v>
      </c>
      <c r="V442" t="n">
        <v>15.82284</v>
      </c>
      <c r="W442" t="n">
        <v>12.04193</v>
      </c>
      <c r="X442" t="n">
        <v>10.39531</v>
      </c>
      <c r="Y442" t="n">
        <v>13.25473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23.26437</v>
      </c>
      <c r="AE442" t="n">
        <v>3.026629</v>
      </c>
    </row>
    <row r="443">
      <c r="A443" s="89" t="n">
        <v>32051</v>
      </c>
      <c r="B443" t="n">
        <v>8.015950999999999</v>
      </c>
      <c r="C443" t="n">
        <v/>
      </c>
      <c r="D443" t="n">
        <v>15.99786</v>
      </c>
      <c r="E443" t="n">
        <v>32.33082</v>
      </c>
      <c r="F443" t="n">
        <v>1.21286</v>
      </c>
      <c r="G443" t="n">
        <v/>
      </c>
      <c r="H443" t="n">
        <v>0.7230472</v>
      </c>
      <c r="I443" t="n">
        <v/>
      </c>
      <c r="J443" t="n">
        <v/>
      </c>
      <c r="K443" t="n">
        <v>23.46243</v>
      </c>
      <c r="L443" t="n">
        <v>20.09508</v>
      </c>
      <c r="M443" t="n">
        <v>12.35499</v>
      </c>
      <c r="N443" t="n">
        <v/>
      </c>
      <c r="O443" t="n">
        <v/>
      </c>
      <c r="P443" t="n">
        <v>1.417164</v>
      </c>
      <c r="Q443" t="n">
        <v>3.984225</v>
      </c>
      <c r="R443" t="n">
        <v>1.713417</v>
      </c>
      <c r="S443" t="n">
        <v>46.08621</v>
      </c>
      <c r="T443" t="n">
        <v>3.009511</v>
      </c>
      <c r="U443" t="n">
        <v>0.5169406</v>
      </c>
      <c r="V443" t="n">
        <v>16.16628</v>
      </c>
      <c r="W443" t="n">
        <v>12.34059</v>
      </c>
      <c r="X443" t="n">
        <v>10.55536</v>
      </c>
      <c r="Y443" t="n">
        <v>13.49248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23.39151</v>
      </c>
      <c r="AE443" t="n">
        <v>3.092645</v>
      </c>
    </row>
    <row r="444">
      <c r="A444" s="89" t="n">
        <v>32082</v>
      </c>
      <c r="B444" t="n">
        <v>8.12242</v>
      </c>
      <c r="C444" t="n">
        <v/>
      </c>
      <c r="D444" t="n">
        <v>15.83517</v>
      </c>
      <c r="E444" t="n">
        <v>32.67075</v>
      </c>
      <c r="F444" t="n">
        <v>1.246058</v>
      </c>
      <c r="G444" t="n">
        <v/>
      </c>
      <c r="H444" t="n">
        <v>0.7301823</v>
      </c>
      <c r="I444" t="n">
        <v/>
      </c>
      <c r="J444" t="n">
        <v/>
      </c>
      <c r="K444" t="n">
        <v>23.59049</v>
      </c>
      <c r="L444" t="n">
        <v>20.2728</v>
      </c>
      <c r="M444" t="n">
        <v>12.50261</v>
      </c>
      <c r="N444" t="n">
        <v/>
      </c>
      <c r="O444" t="n">
        <v/>
      </c>
      <c r="P444" t="n">
        <v>1.432946</v>
      </c>
      <c r="Q444" t="n">
        <v>4.059226</v>
      </c>
      <c r="R444" t="n">
        <v>1.736922</v>
      </c>
      <c r="S444" t="n">
        <v>46.62609</v>
      </c>
      <c r="T444" t="n">
        <v>3.085485</v>
      </c>
      <c r="U444" t="n">
        <v>0.5472872</v>
      </c>
      <c r="V444" t="n">
        <v>16.61929</v>
      </c>
      <c r="W444" t="n">
        <v>12.54499</v>
      </c>
      <c r="X444" t="n">
        <v>10.6873</v>
      </c>
      <c r="Y444" t="n">
        <v>13.87024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23.42558</v>
      </c>
      <c r="AE444" t="n">
        <v>3.167388</v>
      </c>
    </row>
    <row r="445">
      <c r="A445" s="89" t="n">
        <v>32112</v>
      </c>
      <c r="B445" t="n">
        <v>8.198069</v>
      </c>
      <c r="C445" t="n">
        <v/>
      </c>
      <c r="D445" t="n">
        <v>15.96451</v>
      </c>
      <c r="E445" t="n">
        <v>32.94631</v>
      </c>
      <c r="F445" t="n">
        <v>1.284101</v>
      </c>
      <c r="G445" t="n">
        <v/>
      </c>
      <c r="H445" t="n">
        <v>0.7394136</v>
      </c>
      <c r="I445" t="n">
        <v/>
      </c>
      <c r="J445" t="n">
        <v/>
      </c>
      <c r="K445" t="n">
        <v>23.6166</v>
      </c>
      <c r="L445" t="n">
        <v>20.67437</v>
      </c>
      <c r="M445" t="n">
        <v>12.61747</v>
      </c>
      <c r="N445" t="n">
        <v/>
      </c>
      <c r="O445" t="n">
        <v/>
      </c>
      <c r="P445" t="n">
        <v>1.450064</v>
      </c>
      <c r="Q445" t="n">
        <v>4.14712</v>
      </c>
      <c r="R445" t="n">
        <v>1.769589</v>
      </c>
      <c r="S445" t="n">
        <v>46.91239</v>
      </c>
      <c r="T445" t="n">
        <v>3.134233</v>
      </c>
      <c r="U445" t="n">
        <v>0.5772753</v>
      </c>
      <c r="V445" t="n">
        <v>16.85977</v>
      </c>
      <c r="W445" t="n">
        <v>12.68686</v>
      </c>
      <c r="X445" t="n">
        <v>10.82521</v>
      </c>
      <c r="Y445" t="n">
        <v>14.1494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23.48791</v>
      </c>
      <c r="AE445" t="n">
        <v>3.23169</v>
      </c>
    </row>
    <row r="446">
      <c r="A446" s="89" t="n">
        <v>32143</v>
      </c>
      <c r="B446" t="n">
        <v>8.234491999999999</v>
      </c>
      <c r="C446" t="n">
        <v/>
      </c>
      <c r="D446" t="n">
        <v>16.02024</v>
      </c>
      <c r="E446" t="n">
        <v>33.18246</v>
      </c>
      <c r="F446" t="n">
        <v>1.322988</v>
      </c>
      <c r="G446" t="n">
        <v/>
      </c>
      <c r="H446" t="n">
        <v>0.7529377</v>
      </c>
      <c r="I446" t="n">
        <v/>
      </c>
      <c r="J446" t="n">
        <v/>
      </c>
      <c r="K446" t="n">
        <v>23.64436</v>
      </c>
      <c r="L446" t="n">
        <v>20.89334</v>
      </c>
      <c r="M446" t="n">
        <v>12.7817</v>
      </c>
      <c r="N446" t="n">
        <v/>
      </c>
      <c r="O446" t="n">
        <v/>
      </c>
      <c r="P446" t="n">
        <v>1.470109</v>
      </c>
      <c r="Q446" t="n">
        <v>4.252719</v>
      </c>
      <c r="R446" t="n">
        <v>1.785518</v>
      </c>
      <c r="S446" t="n">
        <v>47.34593</v>
      </c>
      <c r="T446" t="n">
        <v>3.190313</v>
      </c>
      <c r="U446" t="n">
        <v>0.6119086</v>
      </c>
      <c r="V446" t="n">
        <v>17.2906</v>
      </c>
      <c r="W446" t="n">
        <v>12.772</v>
      </c>
      <c r="X446" t="n">
        <v>10.99746</v>
      </c>
      <c r="Y446" t="n">
        <v>14.43501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23.66242</v>
      </c>
      <c r="AE446" t="n">
        <v>3.270601</v>
      </c>
    </row>
    <row r="447">
      <c r="A447" s="89" t="n">
        <v>32174</v>
      </c>
      <c r="B447" t="n">
        <v>8.279320999999999</v>
      </c>
      <c r="C447" t="n">
        <v/>
      </c>
      <c r="D447" t="n">
        <v>16.10781</v>
      </c>
      <c r="E447" t="n">
        <v>33.4363</v>
      </c>
      <c r="F447" t="n">
        <v>1.348459</v>
      </c>
      <c r="G447" t="n">
        <v/>
      </c>
      <c r="H447" t="n">
        <v>0.7670198</v>
      </c>
      <c r="I447" t="n">
        <v/>
      </c>
      <c r="J447" t="n">
        <v/>
      </c>
      <c r="K447" t="n">
        <v>23.62288</v>
      </c>
      <c r="L447" t="n">
        <v>20.81351</v>
      </c>
      <c r="M447" t="n">
        <v>12.90561</v>
      </c>
      <c r="N447" t="n">
        <v/>
      </c>
      <c r="O447" t="n">
        <v/>
      </c>
      <c r="P447" t="n">
        <v>1.48905</v>
      </c>
      <c r="Q447" t="n">
        <v>4.319077</v>
      </c>
      <c r="R447" t="n">
        <v>1.811664</v>
      </c>
      <c r="S447" t="n">
        <v>47.84491</v>
      </c>
      <c r="T447" t="n">
        <v>3.260391</v>
      </c>
      <c r="U447" t="n">
        <v>0.6583872</v>
      </c>
      <c r="V447" t="n">
        <v>17.57699</v>
      </c>
      <c r="W447" t="n">
        <v>12.89683</v>
      </c>
      <c r="X447" t="n">
        <v>11.1399</v>
      </c>
      <c r="Y447" t="n">
        <v>14.63463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23.85356</v>
      </c>
      <c r="AE447" t="n">
        <v>3.329814</v>
      </c>
    </row>
    <row r="448">
      <c r="A448" s="89" t="n">
        <v>32203</v>
      </c>
      <c r="B448" t="n">
        <v>8.354969000000001</v>
      </c>
      <c r="C448" t="n">
        <v/>
      </c>
      <c r="D448" t="n">
        <v>16.28347</v>
      </c>
      <c r="E448" t="n">
        <v>33.64347</v>
      </c>
      <c r="F448" t="n">
        <v>1.377442</v>
      </c>
      <c r="G448" t="n">
        <v/>
      </c>
      <c r="H448" t="n">
        <v>0.7785161</v>
      </c>
      <c r="I448" t="n">
        <v/>
      </c>
      <c r="J448" t="n">
        <v/>
      </c>
      <c r="K448" t="n">
        <v>23.45168</v>
      </c>
      <c r="L448" t="n">
        <v>20.7864</v>
      </c>
      <c r="M448" t="n">
        <v>13.08579</v>
      </c>
      <c r="N448" t="n">
        <v/>
      </c>
      <c r="O448" t="n">
        <v/>
      </c>
      <c r="P448" t="n">
        <v>1.505517</v>
      </c>
      <c r="Q448" t="n">
        <v>4.396917</v>
      </c>
      <c r="R448" t="n">
        <v>1.853042</v>
      </c>
      <c r="S448" t="n">
        <v>48.19665</v>
      </c>
      <c r="T448" t="n">
        <v>3.324317</v>
      </c>
      <c r="U448" t="n">
        <v>0.7171009</v>
      </c>
      <c r="V448" t="n">
        <v>17.69511</v>
      </c>
      <c r="W448" t="n">
        <v>13.92068</v>
      </c>
      <c r="X448" t="n">
        <v>11.29651</v>
      </c>
      <c r="Y448" t="n">
        <v>14.86172</v>
      </c>
      <c r="Z448" t="n">
        <v/>
      </c>
      <c r="AA448" t="n">
        <v/>
      </c>
      <c r="AB448" t="n">
        <v>17.78161</v>
      </c>
      <c r="AC448" t="n">
        <v>0.002265637</v>
      </c>
      <c r="AD448" t="n">
        <v>24.02225</v>
      </c>
      <c r="AE448" t="n">
        <v>3.40356</v>
      </c>
    </row>
    <row r="449">
      <c r="A449" s="89" t="n">
        <v>32234</v>
      </c>
      <c r="B449" t="n">
        <v>8.444627000000001</v>
      </c>
      <c r="C449" t="n">
        <v/>
      </c>
      <c r="D449" t="n">
        <v>16.47195</v>
      </c>
      <c r="E449" t="n">
        <v>33.93316</v>
      </c>
      <c r="F449" t="n">
        <v>1.420816</v>
      </c>
      <c r="G449" t="n">
        <v/>
      </c>
      <c r="H449" t="n">
        <v>0.7894871</v>
      </c>
      <c r="I449" t="n">
        <v/>
      </c>
      <c r="J449" t="n">
        <v/>
      </c>
      <c r="K449" t="n">
        <v>23.48208</v>
      </c>
      <c r="L449" t="n">
        <v>20.90091</v>
      </c>
      <c r="M449" t="n">
        <v>13.25289</v>
      </c>
      <c r="N449" t="n">
        <v/>
      </c>
      <c r="O449" t="n">
        <v/>
      </c>
      <c r="P449" t="n">
        <v>1.522268</v>
      </c>
      <c r="Q449" t="n">
        <v>4.450884</v>
      </c>
      <c r="R449" t="n">
        <v>1.892419</v>
      </c>
      <c r="S449" t="n">
        <v>48.56475</v>
      </c>
      <c r="T449" t="n">
        <v>3.399235</v>
      </c>
      <c r="U449" t="n">
        <v>0.7598406</v>
      </c>
      <c r="V449" t="n">
        <v>17.88847</v>
      </c>
      <c r="W449" t="n">
        <v>14.69014</v>
      </c>
      <c r="X449" t="n">
        <v>11.4385</v>
      </c>
      <c r="Y449" t="n">
        <v>15.1521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24.18846</v>
      </c>
      <c r="AE449" t="n">
        <v>3.464925</v>
      </c>
    </row>
    <row r="450">
      <c r="A450" s="89" t="n">
        <v>32264</v>
      </c>
      <c r="B450" t="n">
        <v>8.525879</v>
      </c>
      <c r="C450" t="n">
        <v/>
      </c>
      <c r="D450" t="n">
        <v>16.63433</v>
      </c>
      <c r="E450" t="n">
        <v>34.29292</v>
      </c>
      <c r="F450" t="n">
        <v>1.464424</v>
      </c>
      <c r="G450" t="n">
        <v/>
      </c>
      <c r="H450" t="n">
        <v>0.8047681</v>
      </c>
      <c r="I450" t="n">
        <v/>
      </c>
      <c r="J450" t="n">
        <v/>
      </c>
      <c r="K450" t="n">
        <v>23.74325</v>
      </c>
      <c r="L450" t="n">
        <v>21.10526</v>
      </c>
      <c r="M450" t="n">
        <v>13.34977</v>
      </c>
      <c r="N450" t="n">
        <v/>
      </c>
      <c r="O450" t="n">
        <v/>
      </c>
      <c r="P450" t="n">
        <v>1.542621</v>
      </c>
      <c r="Q450" t="n">
        <v>4.491276</v>
      </c>
      <c r="R450" t="n">
        <v>1.918558</v>
      </c>
      <c r="S450" t="n">
        <v>49.07191</v>
      </c>
      <c r="T450" t="n">
        <v>3.48647</v>
      </c>
      <c r="U450" t="n">
        <v>0.7906901</v>
      </c>
      <c r="V450" t="n">
        <v>17.91864</v>
      </c>
      <c r="W450" t="n">
        <v>14.54165</v>
      </c>
      <c r="X450" t="n">
        <v>11.56433</v>
      </c>
      <c r="Y450" t="n">
        <v>15.49793</v>
      </c>
      <c r="Z450" t="n">
        <v/>
      </c>
      <c r="AA450" t="n">
        <v/>
      </c>
      <c r="AB450" t="n">
        <v>17.87968</v>
      </c>
      <c r="AC450" t="n">
        <v>0.00242129</v>
      </c>
      <c r="AD450" t="n">
        <v>24.31561</v>
      </c>
      <c r="AE450" t="n">
        <v>3.521463</v>
      </c>
    </row>
    <row r="451">
      <c r="A451" s="89" t="n">
        <v>32295</v>
      </c>
      <c r="B451" t="n">
        <v>8.632348</v>
      </c>
      <c r="C451" t="n">
        <v/>
      </c>
      <c r="D451" t="n">
        <v>16.90051</v>
      </c>
      <c r="E451" t="n">
        <v>34.41161</v>
      </c>
      <c r="F451" t="n">
        <v>1.496286</v>
      </c>
      <c r="G451" t="n">
        <v/>
      </c>
      <c r="H451" t="n">
        <v>0.826087</v>
      </c>
      <c r="I451" t="n">
        <v/>
      </c>
      <c r="J451" t="n">
        <v/>
      </c>
      <c r="K451" t="n">
        <v>24.00524</v>
      </c>
      <c r="L451" t="n">
        <v>21.27416</v>
      </c>
      <c r="M451" t="n">
        <v>13.54964</v>
      </c>
      <c r="N451" t="n">
        <v/>
      </c>
      <c r="O451" t="n">
        <v/>
      </c>
      <c r="P451" t="n">
        <v>1.548043</v>
      </c>
      <c r="Q451" t="n">
        <v>4.611727</v>
      </c>
      <c r="R451" t="n">
        <v>1.947271</v>
      </c>
      <c r="S451" t="n">
        <v>49.44001</v>
      </c>
      <c r="T451" t="n">
        <v>3.565141</v>
      </c>
      <c r="U451" t="n">
        <v>0.8149745</v>
      </c>
      <c r="V451" t="n">
        <v>17.97002</v>
      </c>
      <c r="W451" t="n">
        <v>14.63362</v>
      </c>
      <c r="X451" t="n">
        <v>11.68273</v>
      </c>
      <c r="Y451" t="n">
        <v>15.85116</v>
      </c>
      <c r="Z451" t="n">
        <v/>
      </c>
      <c r="AA451" t="n">
        <v/>
      </c>
      <c r="AB451" t="n">
        <v>18.0264</v>
      </c>
      <c r="AC451" t="n">
        <v>0.002513368</v>
      </c>
      <c r="AD451" t="n">
        <v>24.41865</v>
      </c>
      <c r="AE451" t="n">
        <v>3.60182</v>
      </c>
    </row>
    <row r="452">
      <c r="A452" s="89" t="n">
        <v>32325</v>
      </c>
      <c r="B452" t="n">
        <v>8.727608999999999</v>
      </c>
      <c r="C452" t="n">
        <v/>
      </c>
      <c r="D452" t="n">
        <v>17.09669</v>
      </c>
      <c r="E452" t="n">
        <v>34.60744</v>
      </c>
      <c r="F452" t="n">
        <v>1.524239</v>
      </c>
      <c r="G452" t="n">
        <v/>
      </c>
      <c r="H452" t="n">
        <v>0.8420612</v>
      </c>
      <c r="I452" t="n">
        <v/>
      </c>
      <c r="J452" t="n">
        <v/>
      </c>
      <c r="K452" t="n">
        <v>24.33787</v>
      </c>
      <c r="L452" t="n">
        <v>21.45646</v>
      </c>
      <c r="M452" t="n">
        <v>13.82039</v>
      </c>
      <c r="N452" t="n">
        <v/>
      </c>
      <c r="O452" t="n">
        <v/>
      </c>
      <c r="P452" t="n">
        <v>1.580273</v>
      </c>
      <c r="Q452" t="n">
        <v>4.739569</v>
      </c>
      <c r="R452" t="n">
        <v>1.990802</v>
      </c>
      <c r="S452" t="n">
        <v>49.82448</v>
      </c>
      <c r="T452" t="n">
        <v>3.644418</v>
      </c>
      <c r="U452" t="n">
        <v>0.8242766</v>
      </c>
      <c r="V452" t="n">
        <v>17.95637</v>
      </c>
      <c r="W452" t="n">
        <v>14.76795</v>
      </c>
      <c r="X452" t="n">
        <v>11.78042</v>
      </c>
      <c r="Y452" t="n">
        <v>16.21564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24.49178</v>
      </c>
      <c r="AE452" t="n">
        <v>3.671613</v>
      </c>
    </row>
    <row r="453">
      <c r="A453" s="89" t="n">
        <v>32356</v>
      </c>
      <c r="B453" t="n">
        <v>8.803258</v>
      </c>
      <c r="C453" t="n">
        <v/>
      </c>
      <c r="D453" t="n">
        <v>17.37352</v>
      </c>
      <c r="E453" t="n">
        <v>34.8749</v>
      </c>
      <c r="F453" t="n">
        <v>1.564574</v>
      </c>
      <c r="G453" t="n">
        <v/>
      </c>
      <c r="H453" t="n">
        <v>0.8564345</v>
      </c>
      <c r="I453" t="n">
        <v/>
      </c>
      <c r="J453" t="n">
        <v/>
      </c>
      <c r="K453" t="n">
        <v>24.46678</v>
      </c>
      <c r="L453" t="n">
        <v>21.5388</v>
      </c>
      <c r="M453" t="n">
        <v>14.05585</v>
      </c>
      <c r="N453" t="n">
        <v/>
      </c>
      <c r="O453" t="n">
        <v/>
      </c>
      <c r="P453" t="n">
        <v>1.624457</v>
      </c>
      <c r="Q453" t="n">
        <v>4.820896</v>
      </c>
      <c r="R453" t="n">
        <v>2.034417</v>
      </c>
      <c r="S453" t="n">
        <v>50.25802</v>
      </c>
      <c r="T453" t="n">
        <v>3.729973</v>
      </c>
      <c r="U453" t="n">
        <v>0.8294367</v>
      </c>
      <c r="V453" t="n">
        <v>17.83703</v>
      </c>
      <c r="W453" t="n">
        <v>14.78829</v>
      </c>
      <c r="X453" t="n">
        <v>11.87492</v>
      </c>
      <c r="Y453" t="n">
        <v>16.47714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24.53167</v>
      </c>
      <c r="AE453" t="n">
        <v>3.750116</v>
      </c>
    </row>
    <row r="454">
      <c r="A454" s="89" t="n">
        <v>32387</v>
      </c>
      <c r="B454" t="n">
        <v>8.918132</v>
      </c>
      <c r="C454" t="n">
        <v/>
      </c>
      <c r="D454" t="n">
        <v>17.49154</v>
      </c>
      <c r="E454" t="n">
        <v>34.94967</v>
      </c>
      <c r="F454" t="n">
        <v>1.604468</v>
      </c>
      <c r="G454" t="n">
        <v/>
      </c>
      <c r="H454" t="n">
        <v>0.8743211</v>
      </c>
      <c r="I454" t="n">
        <v/>
      </c>
      <c r="J454" t="n">
        <v/>
      </c>
      <c r="K454" t="n">
        <v>24.49899</v>
      </c>
      <c r="L454" t="n">
        <v>21.58034</v>
      </c>
      <c r="M454" t="n">
        <v>14.26276</v>
      </c>
      <c r="N454" t="n">
        <v/>
      </c>
      <c r="O454" t="n">
        <v/>
      </c>
      <c r="P454" t="n">
        <v>1.635664</v>
      </c>
      <c r="Q454" t="n">
        <v>4.942592</v>
      </c>
      <c r="R454" t="n">
        <v>2.066204</v>
      </c>
      <c r="S454" t="n">
        <v>50.62612</v>
      </c>
      <c r="T454" t="n">
        <v>3.815063</v>
      </c>
      <c r="U454" t="n">
        <v>0.8445106</v>
      </c>
      <c r="V454" t="n">
        <v>17.84242</v>
      </c>
      <c r="W454" t="n">
        <v>14.66895</v>
      </c>
      <c r="X454" t="n">
        <v>11.97233</v>
      </c>
      <c r="Y454" t="n">
        <v>16.89142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24.57239</v>
      </c>
      <c r="AE454" t="n">
        <v>3.849744</v>
      </c>
    </row>
    <row r="455">
      <c r="A455" s="89" t="n">
        <v>32417</v>
      </c>
      <c r="B455" t="n">
        <v>9.089041</v>
      </c>
      <c r="C455" t="n">
        <v/>
      </c>
      <c r="D455" t="n">
        <v>17.59172</v>
      </c>
      <c r="E455" t="n">
        <v>34.96038</v>
      </c>
      <c r="F455" t="n">
        <v>1.63967</v>
      </c>
      <c r="G455" t="n">
        <v/>
      </c>
      <c r="H455" t="n">
        <v>0.8877696</v>
      </c>
      <c r="I455" t="n">
        <v/>
      </c>
      <c r="J455" t="n">
        <v/>
      </c>
      <c r="K455" t="n">
        <v>24.56776</v>
      </c>
      <c r="L455" t="n">
        <v>21.7571</v>
      </c>
      <c r="M455" t="n">
        <v>14.4264</v>
      </c>
      <c r="N455" t="n">
        <v/>
      </c>
      <c r="O455" t="n">
        <v/>
      </c>
      <c r="P455" t="n">
        <v>1.650658</v>
      </c>
      <c r="Q455" t="n">
        <v>5.047574</v>
      </c>
      <c r="R455" t="n">
        <v>2.052427</v>
      </c>
      <c r="S455" t="n">
        <v>51.07602</v>
      </c>
      <c r="T455" t="n">
        <v>3.900852</v>
      </c>
      <c r="U455" t="n">
        <v>0.8570874000000001</v>
      </c>
      <c r="V455" t="n">
        <v>17.92791</v>
      </c>
      <c r="W455" t="n">
        <v>14.74822</v>
      </c>
      <c r="X455" t="n">
        <v>12.07486</v>
      </c>
      <c r="Y455" t="n">
        <v>17.10683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24.64219</v>
      </c>
      <c r="AE455" t="n">
        <v>3.93323</v>
      </c>
    </row>
    <row r="456">
      <c r="A456" s="89" t="n">
        <v>32448</v>
      </c>
      <c r="B456" t="n">
        <v>9.276762</v>
      </c>
      <c r="C456" t="n">
        <v/>
      </c>
      <c r="D456" t="n">
        <v>17.74691</v>
      </c>
      <c r="E456" t="n">
        <v>35.02381</v>
      </c>
      <c r="F456" t="n">
        <v>1.660002</v>
      </c>
      <c r="G456" t="n">
        <v/>
      </c>
      <c r="H456" t="n">
        <v>0.9109581</v>
      </c>
      <c r="I456" t="n">
        <v/>
      </c>
      <c r="J456" t="n">
        <v/>
      </c>
      <c r="K456" t="n">
        <v>24.49643</v>
      </c>
      <c r="L456" t="n">
        <v>21.98185</v>
      </c>
      <c r="M456" t="n">
        <v>14.54294</v>
      </c>
      <c r="N456" t="n">
        <v/>
      </c>
      <c r="O456" t="n">
        <v/>
      </c>
      <c r="P456" t="n">
        <v>1.672618</v>
      </c>
      <c r="Q456" t="n">
        <v>5.072921</v>
      </c>
      <c r="R456" t="n">
        <v>2.003129</v>
      </c>
      <c r="S456" t="n">
        <v>51.44412</v>
      </c>
      <c r="T456" t="n">
        <v>3.972041</v>
      </c>
      <c r="U456" t="n">
        <v>0.8717667</v>
      </c>
      <c r="V456" t="n">
        <v>17.71589</v>
      </c>
      <c r="W456" t="n">
        <v>14.7825</v>
      </c>
      <c r="X456" t="n">
        <v>12.18871</v>
      </c>
      <c r="Y456" t="n">
        <v>17.11197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24.76602</v>
      </c>
      <c r="AE456" t="n">
        <v>3.99421</v>
      </c>
    </row>
    <row r="457">
      <c r="A457" s="89" t="n">
        <v>32478</v>
      </c>
      <c r="B457" t="n">
        <v>9.47569</v>
      </c>
      <c r="C457" t="n">
        <v/>
      </c>
      <c r="D457" t="n">
        <v>17.85356</v>
      </c>
      <c r="E457" t="n">
        <v>35.01396</v>
      </c>
      <c r="F457" t="n">
        <v>1.69486</v>
      </c>
      <c r="G457" t="n">
        <v/>
      </c>
      <c r="H457" t="n">
        <v>0.9283437</v>
      </c>
      <c r="I457" t="n">
        <v/>
      </c>
      <c r="J457" t="n">
        <v/>
      </c>
      <c r="K457" t="n">
        <v>24.75491</v>
      </c>
      <c r="L457" t="n">
        <v>22.4078</v>
      </c>
      <c r="M457" t="n">
        <v>14.72137</v>
      </c>
      <c r="N457" t="n">
        <v/>
      </c>
      <c r="O457" t="n">
        <v/>
      </c>
      <c r="P457" t="n">
        <v>1.723676</v>
      </c>
      <c r="Q457" t="n">
        <v>5.142262</v>
      </c>
      <c r="R457" t="n">
        <v>1.969198</v>
      </c>
      <c r="S457" t="n">
        <v>51.84494</v>
      </c>
      <c r="T457" t="n">
        <v>4.036476</v>
      </c>
      <c r="U457" t="n">
        <v>0.8925168</v>
      </c>
      <c r="V457" t="n">
        <v>17.66353</v>
      </c>
      <c r="W457" t="n">
        <v>14.66795</v>
      </c>
      <c r="X457" t="n">
        <v>12.2995</v>
      </c>
      <c r="Y457" t="n">
        <v>17.41344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24.8325</v>
      </c>
      <c r="AE457" t="n">
        <v>4.072049</v>
      </c>
    </row>
    <row r="458">
      <c r="A458" s="89" t="n">
        <v>32509</v>
      </c>
      <c r="B458" t="n">
        <v>9.702636</v>
      </c>
      <c r="C458" t="n">
        <v/>
      </c>
      <c r="D458" t="n">
        <v>18.02043</v>
      </c>
      <c r="E458" t="n">
        <v>35.1754</v>
      </c>
      <c r="F458" t="n">
        <v>1.756355</v>
      </c>
      <c r="G458" t="n">
        <v/>
      </c>
      <c r="H458" t="n">
        <v>0.9387645999999999</v>
      </c>
      <c r="I458" t="n">
        <v/>
      </c>
      <c r="J458" t="n">
        <v/>
      </c>
      <c r="K458" t="n">
        <v>22.49386</v>
      </c>
      <c r="L458" t="n">
        <v>22.64933</v>
      </c>
      <c r="M458" t="n">
        <v>14.93174</v>
      </c>
      <c r="N458" t="n">
        <v/>
      </c>
      <c r="O458" t="n">
        <v/>
      </c>
      <c r="P458" t="n">
        <v>1.751553</v>
      </c>
      <c r="Q458" t="n">
        <v>5.248433</v>
      </c>
      <c r="R458" t="n">
        <v>2.019896</v>
      </c>
      <c r="S458" t="n">
        <v>51.984</v>
      </c>
      <c r="T458" t="n">
        <v>4.093265</v>
      </c>
      <c r="U458" t="n">
        <v>0.9219609</v>
      </c>
      <c r="V458" t="n">
        <v>17.90216</v>
      </c>
      <c r="W458" t="n">
        <v>14.77255</v>
      </c>
      <c r="X458" t="n">
        <v>12.39017</v>
      </c>
      <c r="Y458" t="n">
        <v>17.79816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24.86158</v>
      </c>
      <c r="AE458" t="n">
        <v>4.157389</v>
      </c>
    </row>
    <row r="459">
      <c r="A459" s="89" t="n">
        <v>32540</v>
      </c>
      <c r="B459" t="n">
        <v>9.918374</v>
      </c>
      <c r="C459" t="n">
        <v/>
      </c>
      <c r="D459" t="n">
        <v>18.11782</v>
      </c>
      <c r="E459" t="n">
        <v>35.55895</v>
      </c>
      <c r="F459" t="n">
        <v>1.810393</v>
      </c>
      <c r="G459" t="n">
        <v/>
      </c>
      <c r="H459" t="n">
        <v>0.9603487000000001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15.15617</v>
      </c>
      <c r="N459" t="n">
        <v/>
      </c>
      <c r="O459" t="n">
        <v/>
      </c>
      <c r="P459" t="n">
        <v>1.747706</v>
      </c>
      <c r="Q459" t="n">
        <v>5.357343</v>
      </c>
      <c r="R459" t="n">
        <v>2.121355</v>
      </c>
      <c r="S459" t="n">
        <v>52.76928</v>
      </c>
      <c r="T459" t="n">
        <v>4.161708</v>
      </c>
      <c r="U459" t="n">
        <v>0.9565951</v>
      </c>
      <c r="V459" t="n">
        <v>17.94696</v>
      </c>
      <c r="W459" t="n">
        <v>15.0218</v>
      </c>
      <c r="X459" t="n">
        <v>12.50331</v>
      </c>
      <c r="Y459" t="n">
        <v>18.13383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24.86574</v>
      </c>
      <c r="AE459" t="n">
        <v>4.230803</v>
      </c>
    </row>
    <row r="460">
      <c r="A460" s="89" t="n">
        <v>32568</v>
      </c>
      <c r="B460" t="n">
        <v>10.1145</v>
      </c>
      <c r="C460" t="n">
        <v/>
      </c>
      <c r="D460" t="n">
        <v>18.39496</v>
      </c>
      <c r="E460" t="n">
        <v>35.84479</v>
      </c>
      <c r="F460" t="n">
        <v>1.865373</v>
      </c>
      <c r="G460" t="n">
        <v/>
      </c>
      <c r="H460" t="n">
        <v>0.9857556</v>
      </c>
      <c r="I460" t="n">
        <v/>
      </c>
      <c r="J460" t="n">
        <v/>
      </c>
      <c r="K460" t="n">
        <v>20.56858</v>
      </c>
      <c r="L460" t="n">
        <v>22.67284</v>
      </c>
      <c r="M460" t="n">
        <v>15.40806</v>
      </c>
      <c r="N460" t="n">
        <v/>
      </c>
      <c r="O460" t="n">
        <v/>
      </c>
      <c r="P460" t="n">
        <v>1.769631</v>
      </c>
      <c r="Q460" t="n">
        <v>5.43048</v>
      </c>
      <c r="R460" t="n">
        <v>2.190952</v>
      </c>
      <c r="S460" t="n">
        <v>53.18646</v>
      </c>
      <c r="T460" t="n">
        <v>4.250242</v>
      </c>
      <c r="U460" t="n">
        <v>0.9809871</v>
      </c>
      <c r="V460" t="n">
        <v>17.97729</v>
      </c>
      <c r="W460" t="n">
        <v>15.24085</v>
      </c>
      <c r="X460" t="n">
        <v>12.62397</v>
      </c>
      <c r="Y460" t="n">
        <v>18.42307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24.92806</v>
      </c>
      <c r="AE460" t="n">
        <v>4.313013</v>
      </c>
    </row>
    <row r="461">
      <c r="A461" s="89" t="n">
        <v>32599</v>
      </c>
      <c r="B461" t="n">
        <v>10.29662</v>
      </c>
      <c r="C461" t="n">
        <v/>
      </c>
      <c r="D461" t="n">
        <v>18.52952</v>
      </c>
      <c r="E461" t="n">
        <v>36.01554</v>
      </c>
      <c r="F461" t="n">
        <v>1.917063</v>
      </c>
      <c r="G461" t="n">
        <v/>
      </c>
      <c r="H461" t="n">
        <v>1.004367</v>
      </c>
      <c r="I461" t="n">
        <v/>
      </c>
      <c r="J461" t="n">
        <v/>
      </c>
      <c r="K461" t="n">
        <v>20.10524</v>
      </c>
      <c r="L461" t="n">
        <v>22.84181</v>
      </c>
      <c r="M461" t="n">
        <v>15.59632</v>
      </c>
      <c r="N461" t="n">
        <v/>
      </c>
      <c r="O461" t="n">
        <v/>
      </c>
      <c r="P461" t="n">
        <v>1.800939</v>
      </c>
      <c r="Q461" t="n">
        <v>5.563546</v>
      </c>
      <c r="R461" t="n">
        <v>2.250354</v>
      </c>
      <c r="S461" t="n">
        <v>53.48094</v>
      </c>
      <c r="T461" t="n">
        <v>4.326796</v>
      </c>
      <c r="U461" t="n">
        <v>1.020793</v>
      </c>
      <c r="V461" t="n">
        <v>18.20759</v>
      </c>
      <c r="W461" t="n">
        <v>15.21931</v>
      </c>
      <c r="X461" t="n">
        <v>12.73112</v>
      </c>
      <c r="Y461" t="n">
        <v>18.70654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24.98042</v>
      </c>
      <c r="AE461" t="n">
        <v>4.350664</v>
      </c>
    </row>
    <row r="462">
      <c r="A462" s="89" t="n">
        <v>32629</v>
      </c>
      <c r="B462" t="n">
        <v>10.45632</v>
      </c>
      <c r="C462" t="n">
        <v/>
      </c>
      <c r="D462" t="n">
        <v>18.76137</v>
      </c>
      <c r="E462" t="n">
        <v>36.22506</v>
      </c>
      <c r="F462" t="n">
        <v>1.973503</v>
      </c>
      <c r="G462" t="n">
        <v/>
      </c>
      <c r="H462" t="n">
        <v>1.035285</v>
      </c>
      <c r="I462" t="n">
        <v/>
      </c>
      <c r="J462" t="n">
        <v/>
      </c>
      <c r="K462" t="n">
        <v>19.84241</v>
      </c>
      <c r="L462" t="n">
        <v>23.01213</v>
      </c>
      <c r="M462" t="n">
        <v>15.7839</v>
      </c>
      <c r="N462" t="n">
        <v/>
      </c>
      <c r="O462" t="n">
        <v/>
      </c>
      <c r="P462" t="n">
        <v>1.829601</v>
      </c>
      <c r="Q462" t="n">
        <v>5.669227</v>
      </c>
      <c r="R462" t="n">
        <v>2.305821</v>
      </c>
      <c r="S462" t="n">
        <v>53.75089</v>
      </c>
      <c r="T462" t="n">
        <v>4.407647</v>
      </c>
      <c r="U462" t="n">
        <v>1.056403</v>
      </c>
      <c r="V462" t="n">
        <v>18.62574</v>
      </c>
      <c r="W462" t="n">
        <v>15.25783</v>
      </c>
      <c r="X462" t="n">
        <v>12.83665</v>
      </c>
      <c r="Y462" t="n">
        <v>19.06005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25.02696</v>
      </c>
      <c r="AE462" t="n">
        <v>4.421157</v>
      </c>
    </row>
    <row r="463">
      <c r="A463" s="89" t="n">
        <v>32660</v>
      </c>
      <c r="B463" t="n">
        <v>10.66646</v>
      </c>
      <c r="C463" t="n">
        <v/>
      </c>
      <c r="D463" t="n">
        <v>18.96448</v>
      </c>
      <c r="E463" t="n">
        <v>36.49818</v>
      </c>
      <c r="F463" t="n">
        <v>2.052754</v>
      </c>
      <c r="G463" t="n">
        <v/>
      </c>
      <c r="H463" t="n">
        <v>1.075283</v>
      </c>
      <c r="I463" t="n">
        <v/>
      </c>
      <c r="J463" t="n">
        <v/>
      </c>
      <c r="K463" t="n">
        <v>20.02153</v>
      </c>
      <c r="L463" t="n">
        <v>23.22037</v>
      </c>
      <c r="M463" t="n">
        <v>16.19059</v>
      </c>
      <c r="N463" t="n">
        <v/>
      </c>
      <c r="O463" t="n">
        <v/>
      </c>
      <c r="P463" t="n">
        <v>1.857993</v>
      </c>
      <c r="Q463" t="n">
        <v>5.760977</v>
      </c>
      <c r="R463" t="n">
        <v>2.348957</v>
      </c>
      <c r="S463" t="n">
        <v>54.20897</v>
      </c>
      <c r="T463" t="n">
        <v>4.497259</v>
      </c>
      <c r="U463" t="n">
        <v>1.092513</v>
      </c>
      <c r="V463" t="n">
        <v>18.83692</v>
      </c>
      <c r="W463" t="n">
        <v>15.42736</v>
      </c>
      <c r="X463" t="n">
        <v>12.9898</v>
      </c>
      <c r="Y463" t="n">
        <v>19.37958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25.16241</v>
      </c>
      <c r="AE463" t="n">
        <v>4.547734</v>
      </c>
    </row>
    <row r="464">
      <c r="A464" s="89" t="n">
        <v>32690</v>
      </c>
      <c r="B464" t="n">
        <v>10.899</v>
      </c>
      <c r="C464" t="n">
        <v/>
      </c>
      <c r="D464" t="n">
        <v>19.10344</v>
      </c>
      <c r="E464" t="n">
        <v>36.61799</v>
      </c>
      <c r="F464" t="n">
        <v>2.121398</v>
      </c>
      <c r="G464" t="n">
        <v/>
      </c>
      <c r="H464" t="n">
        <v>1.109588</v>
      </c>
      <c r="I464" t="n">
        <v/>
      </c>
      <c r="J464" t="n">
        <v/>
      </c>
      <c r="K464" t="n">
        <v>20.13582</v>
      </c>
      <c r="L464" t="n">
        <v>23.49319</v>
      </c>
      <c r="M464" t="n">
        <v>16.51599</v>
      </c>
      <c r="N464" t="n">
        <v/>
      </c>
      <c r="O464" t="n">
        <v/>
      </c>
      <c r="P464" t="n">
        <v>1.8845</v>
      </c>
      <c r="Q464" t="n">
        <v>5.854302</v>
      </c>
      <c r="R464" t="n">
        <v>2.383319</v>
      </c>
      <c r="S464" t="n">
        <v>54.68341</v>
      </c>
      <c r="T464" t="n">
        <v>4.594714</v>
      </c>
      <c r="U464" t="n">
        <v>1.157504</v>
      </c>
      <c r="V464" t="n">
        <v>18.84729</v>
      </c>
      <c r="W464" t="n">
        <v>15.61483</v>
      </c>
      <c r="X464" t="n">
        <v>13.17666</v>
      </c>
      <c r="Y464" t="n">
        <v>19.61235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25.36601</v>
      </c>
      <c r="AE464" t="n">
        <v>4.634595</v>
      </c>
    </row>
    <row r="465">
      <c r="A465" s="89" t="n">
        <v>32721</v>
      </c>
      <c r="B465" t="n">
        <v>11.09793</v>
      </c>
      <c r="C465" t="n">
        <v/>
      </c>
      <c r="D465" t="n">
        <v>19.32986</v>
      </c>
      <c r="E465" t="n">
        <v>36.73188</v>
      </c>
      <c r="F465" t="n">
        <v>2.174546</v>
      </c>
      <c r="G465" t="n">
        <v/>
      </c>
      <c r="H465" t="n">
        <v>1.148206</v>
      </c>
      <c r="I465" t="n">
        <v/>
      </c>
      <c r="J465" t="n">
        <v/>
      </c>
      <c r="K465" t="n">
        <v>19.95938</v>
      </c>
      <c r="L465" t="n">
        <v>23.58497</v>
      </c>
      <c r="M465" t="n">
        <v>16.71379</v>
      </c>
      <c r="N465" t="n">
        <v/>
      </c>
      <c r="O465" t="n">
        <v/>
      </c>
      <c r="P465" t="n">
        <v>1.912364</v>
      </c>
      <c r="Q465" t="n">
        <v>5.940197</v>
      </c>
      <c r="R465" t="n">
        <v>2.404739</v>
      </c>
      <c r="S465" t="n">
        <v>55.12513</v>
      </c>
      <c r="T465" t="n">
        <v>4.683237</v>
      </c>
      <c r="U465" t="n">
        <v>1.208756</v>
      </c>
      <c r="V465" t="n">
        <v>19.06669</v>
      </c>
      <c r="W465" t="n">
        <v>15.77112</v>
      </c>
      <c r="X465" t="n">
        <v>13.3383</v>
      </c>
      <c r="Y465" t="n">
        <v>19.93411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25.54884</v>
      </c>
      <c r="AE465" t="n">
        <v>4.719499</v>
      </c>
    </row>
    <row r="466">
      <c r="A466" s="89" t="n">
        <v>32752</v>
      </c>
      <c r="B466" t="n">
        <v>11.2072</v>
      </c>
      <c r="C466" t="n">
        <v/>
      </c>
      <c r="D466" t="n">
        <v>19.49901</v>
      </c>
      <c r="E466" t="n">
        <v>36.89173</v>
      </c>
      <c r="F466" t="n">
        <v>2.242032</v>
      </c>
      <c r="G466" t="n">
        <v/>
      </c>
      <c r="H466" t="n">
        <v>1.170778</v>
      </c>
      <c r="I466" t="n">
        <v/>
      </c>
      <c r="J466" t="n">
        <v/>
      </c>
      <c r="K466" t="n">
        <v>20.14634</v>
      </c>
      <c r="L466" t="n">
        <v>23.63899</v>
      </c>
      <c r="M466" t="n">
        <v>16.97448</v>
      </c>
      <c r="N466" t="n">
        <v/>
      </c>
      <c r="O466" t="n">
        <v/>
      </c>
      <c r="P466" t="n">
        <v>1.942242</v>
      </c>
      <c r="Q466" t="n">
        <v>6.058738</v>
      </c>
      <c r="R466" t="n">
        <v>2.452152</v>
      </c>
      <c r="S466" t="n">
        <v>55.50141</v>
      </c>
      <c r="T466" t="n">
        <v>4.768384</v>
      </c>
      <c r="U466" t="n">
        <v>1.241866</v>
      </c>
      <c r="V466" t="n">
        <v>19.178</v>
      </c>
      <c r="W466" t="n">
        <v>15.96184</v>
      </c>
      <c r="X466" t="n">
        <v>13.47997</v>
      </c>
      <c r="Y466" t="n">
        <v>20.25807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25.69925</v>
      </c>
      <c r="AE466" t="n">
        <v>4.777978</v>
      </c>
    </row>
    <row r="467">
      <c r="A467" s="89" t="n">
        <v>32782</v>
      </c>
      <c r="B467" t="n">
        <v>11.26324</v>
      </c>
      <c r="C467" t="n">
        <v/>
      </c>
      <c r="D467" t="n">
        <v>19.6772</v>
      </c>
      <c r="E467" t="n">
        <v>36.97316</v>
      </c>
      <c r="F467" t="n">
        <v>2.306187</v>
      </c>
      <c r="G467" t="n">
        <v/>
      </c>
      <c r="H467" t="n">
        <v>1.183045</v>
      </c>
      <c r="I467" t="n">
        <v/>
      </c>
      <c r="J467" t="n">
        <v/>
      </c>
      <c r="K467" t="n">
        <v>20.29394</v>
      </c>
      <c r="L467" t="n">
        <v>23.79332</v>
      </c>
      <c r="M467" t="n">
        <v>17.22863</v>
      </c>
      <c r="N467" t="n">
        <v/>
      </c>
      <c r="O467" t="n">
        <v/>
      </c>
      <c r="P467" t="n">
        <v>1.97581</v>
      </c>
      <c r="Q467" t="n">
        <v>6.180325</v>
      </c>
      <c r="R467" t="n">
        <v>2.500836</v>
      </c>
      <c r="S467" t="n">
        <v>55.91859</v>
      </c>
      <c r="T467" t="n">
        <v>4.858843</v>
      </c>
      <c r="U467" t="n">
        <v>1.281769</v>
      </c>
      <c r="V467" t="n">
        <v>19.18657</v>
      </c>
      <c r="W467" t="n">
        <v>16.05169</v>
      </c>
      <c r="X467" t="n">
        <v>13.64134</v>
      </c>
      <c r="Y467" t="n">
        <v>20.59917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25.87875</v>
      </c>
      <c r="AE467" t="n">
        <v>4.861185</v>
      </c>
    </row>
    <row r="468">
      <c r="A468" s="89" t="n">
        <v>32813</v>
      </c>
      <c r="B468" t="n">
        <v>11.3585</v>
      </c>
      <c r="C468" t="n">
        <v/>
      </c>
      <c r="D468" t="n">
        <v>19.95155</v>
      </c>
      <c r="E468" t="n">
        <v>37.04495</v>
      </c>
      <c r="F468" t="n">
        <v>2.367185</v>
      </c>
      <c r="G468" t="n">
        <v/>
      </c>
      <c r="H468" t="n">
        <v>1.20843</v>
      </c>
      <c r="I468" t="n">
        <v/>
      </c>
      <c r="J468" t="n">
        <v/>
      </c>
      <c r="K468" t="n">
        <v>20.40583</v>
      </c>
      <c r="L468" t="n">
        <v>23.99078</v>
      </c>
      <c r="M468" t="n">
        <v>17.43809</v>
      </c>
      <c r="N468" t="n">
        <v/>
      </c>
      <c r="O468" t="n">
        <v/>
      </c>
      <c r="P468" t="n">
        <v>2.008104</v>
      </c>
      <c r="Q468" t="n">
        <v>6.34579</v>
      </c>
      <c r="R468" t="n">
        <v>2.529098</v>
      </c>
      <c r="S468" t="n">
        <v>56.46665</v>
      </c>
      <c r="T468" t="n">
        <v>5.005185</v>
      </c>
      <c r="U468" t="n">
        <v>1.324292</v>
      </c>
      <c r="V468" t="n">
        <v>19.34149</v>
      </c>
      <c r="W468" t="n">
        <v>16.01685</v>
      </c>
      <c r="X468" t="n">
        <v>13.80878</v>
      </c>
      <c r="Y468" t="n">
        <v>21.10622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26.03831</v>
      </c>
      <c r="AE468" t="n">
        <v>4.951719</v>
      </c>
    </row>
    <row r="469">
      <c r="A469" s="89" t="n">
        <v>32843</v>
      </c>
      <c r="B469" t="n">
        <v>11.45096</v>
      </c>
      <c r="C469" t="n">
        <v/>
      </c>
      <c r="D469" t="n">
        <v>20.16629</v>
      </c>
      <c r="E469" t="n">
        <v>37.08093</v>
      </c>
      <c r="F469" t="n">
        <v>2.460021</v>
      </c>
      <c r="G469" t="n">
        <v/>
      </c>
      <c r="H469" t="n">
        <v>1.235766</v>
      </c>
      <c r="I469" t="n">
        <v/>
      </c>
      <c r="J469" t="n">
        <v/>
      </c>
      <c r="K469" t="n">
        <v>20.75683</v>
      </c>
      <c r="L469" t="n">
        <v>24.60379</v>
      </c>
      <c r="M469" t="n">
        <v>17.65471</v>
      </c>
      <c r="N469" t="n">
        <v/>
      </c>
      <c r="O469" t="n">
        <v/>
      </c>
      <c r="P469" t="n">
        <v>2.035583</v>
      </c>
      <c r="Q469" t="n">
        <v>6.499479</v>
      </c>
      <c r="R469" t="n">
        <v>2.55595</v>
      </c>
      <c r="S469" t="n">
        <v>57.39099</v>
      </c>
      <c r="T469" t="n">
        <v>5.194031</v>
      </c>
      <c r="U469" t="n">
        <v>1.37142</v>
      </c>
      <c r="V469" t="n">
        <v>19.37458</v>
      </c>
      <c r="W469" t="n">
        <v>15.89918</v>
      </c>
      <c r="X469" t="n">
        <v>13.98649</v>
      </c>
      <c r="Y469" t="n">
        <v>21.61455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26.19786</v>
      </c>
      <c r="AE469" t="n">
        <v>5.006159</v>
      </c>
    </row>
    <row r="470">
      <c r="A470" s="89" t="n">
        <v>32874</v>
      </c>
      <c r="B470" t="n">
        <v>11.55182</v>
      </c>
      <c r="C470" t="n">
        <v/>
      </c>
      <c r="D470" t="n">
        <v>20.33032</v>
      </c>
      <c r="E470" t="n">
        <v>37.05554</v>
      </c>
      <c r="F470" t="n">
        <v>2.537006</v>
      </c>
      <c r="G470" t="n">
        <v/>
      </c>
      <c r="H470" t="n">
        <v>1.261037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17.93717</v>
      </c>
      <c r="N470" t="n">
        <v>3.72217</v>
      </c>
      <c r="O470" t="n">
        <v/>
      </c>
      <c r="P470" t="n">
        <v>2.062484</v>
      </c>
      <c r="Q470" t="n">
        <v>6.589669</v>
      </c>
      <c r="R470" t="n">
        <v>2.586612</v>
      </c>
      <c r="S470" t="n">
        <v>57.97177</v>
      </c>
      <c r="T470" t="n">
        <v>5.31759</v>
      </c>
      <c r="U470" t="n">
        <v>1.410608</v>
      </c>
      <c r="V470" t="n">
        <v>19.35483</v>
      </c>
      <c r="W470" t="n">
        <v>15.91531</v>
      </c>
      <c r="X470" t="n">
        <v>14.15293</v>
      </c>
      <c r="Y470" t="n">
        <v>22.00463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26.3167</v>
      </c>
      <c r="AE470" t="n">
        <v>5.114146</v>
      </c>
    </row>
    <row r="471">
      <c r="A471" s="89" t="n">
        <v>32905</v>
      </c>
      <c r="B471" t="n">
        <v>11.6751</v>
      </c>
      <c r="C471" t="n">
        <v/>
      </c>
      <c r="D471" t="n">
        <v>20.44772</v>
      </c>
      <c r="E471" t="n">
        <v>37.02631</v>
      </c>
      <c r="F471" t="n">
        <v>2.602846</v>
      </c>
      <c r="G471" t="n">
        <v>0.936452</v>
      </c>
      <c r="H471" t="n">
        <v>1.297734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18.13556</v>
      </c>
      <c r="N471" t="n">
        <v>3.847624</v>
      </c>
      <c r="O471" t="n">
        <v>1.361583</v>
      </c>
      <c r="P471" t="n">
        <v>2.089263</v>
      </c>
      <c r="Q471" t="n">
        <v>6.712185</v>
      </c>
      <c r="R471" t="n">
        <v>2.632705</v>
      </c>
      <c r="S471" t="n">
        <v>59.08426</v>
      </c>
      <c r="T471" t="n">
        <v>5.403422</v>
      </c>
      <c r="U471" t="n">
        <v>1.444117</v>
      </c>
      <c r="V471" t="n">
        <v>19.45727</v>
      </c>
      <c r="W471" t="n">
        <v>15.97168</v>
      </c>
      <c r="X471" t="n">
        <v>14.30618</v>
      </c>
      <c r="Y471" t="n">
        <v>22.30065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26.41974</v>
      </c>
      <c r="AE471" t="n">
        <v>5.183817</v>
      </c>
    </row>
    <row r="472">
      <c r="A472" s="89" t="n">
        <v>32933</v>
      </c>
      <c r="B472" t="n">
        <v>11.79838</v>
      </c>
      <c r="C472" t="n">
        <v/>
      </c>
      <c r="D472" t="n">
        <v>20.53741</v>
      </c>
      <c r="E472" t="n">
        <v>36.9603</v>
      </c>
      <c r="F472" t="n">
        <v>2.698117</v>
      </c>
      <c r="G472" t="n">
        <v>0.9548662</v>
      </c>
      <c r="H472" t="n">
        <v>1.334219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18.36296</v>
      </c>
      <c r="N472" t="n">
        <v>3.973886</v>
      </c>
      <c r="O472" t="n">
        <v>1.438037</v>
      </c>
      <c r="P472" t="n">
        <v>2.118918</v>
      </c>
      <c r="Q472" t="n">
        <v>6.892989</v>
      </c>
      <c r="R472" t="n">
        <v>2.696224</v>
      </c>
      <c r="S472" t="n">
        <v>59.46872</v>
      </c>
      <c r="T472" t="n">
        <v>5.507432</v>
      </c>
      <c r="U472" t="n">
        <v>1.490892</v>
      </c>
      <c r="V472" t="n">
        <v>19.65489</v>
      </c>
      <c r="W472" t="n">
        <v>15.99402</v>
      </c>
      <c r="X472" t="n">
        <v>14.41892</v>
      </c>
      <c r="Y472" t="n">
        <v>22.69281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26.51032</v>
      </c>
      <c r="AE472" t="n">
        <v>5.207583</v>
      </c>
    </row>
    <row r="473">
      <c r="A473" s="89" t="n">
        <v>32964</v>
      </c>
      <c r="B473" t="n">
        <v>11.93007</v>
      </c>
      <c r="C473" t="n">
        <v/>
      </c>
      <c r="D473" t="n">
        <v>20.73095</v>
      </c>
      <c r="E473" t="n">
        <v>36.86821</v>
      </c>
      <c r="F473" t="n">
        <v>2.785278</v>
      </c>
      <c r="G473" t="n">
        <v>0.9743054</v>
      </c>
      <c r="H473" t="n">
        <v>1.367595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18.58242</v>
      </c>
      <c r="N473" t="n">
        <v>4.100955</v>
      </c>
      <c r="O473" t="n">
        <v>1.5416</v>
      </c>
      <c r="P473" t="n">
        <v>2.155439</v>
      </c>
      <c r="Q473" t="n">
        <v>6.972162</v>
      </c>
      <c r="R473" t="n">
        <v>2.779339</v>
      </c>
      <c r="S473" t="n">
        <v>60.51576</v>
      </c>
      <c r="T473" t="n">
        <v>5.619563</v>
      </c>
      <c r="U473" t="n">
        <v>1.536594</v>
      </c>
      <c r="V473" t="n">
        <v>19.74269</v>
      </c>
      <c r="W473" t="n">
        <v>16.25387</v>
      </c>
      <c r="X473" t="n">
        <v>14.57812</v>
      </c>
      <c r="Y473" t="n">
        <v>23.004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26.60589</v>
      </c>
      <c r="AE473" t="n">
        <v>5.269875</v>
      </c>
    </row>
    <row r="474">
      <c r="A474" s="89" t="n">
        <v>32994</v>
      </c>
      <c r="B474" t="n">
        <v>12.03093</v>
      </c>
      <c r="C474" t="n">
        <v/>
      </c>
      <c r="D474" t="n">
        <v>20.89757</v>
      </c>
      <c r="E474" t="n">
        <v>36.82397</v>
      </c>
      <c r="F474" t="n">
        <v>2.868018</v>
      </c>
      <c r="G474" t="n">
        <v>0.99508</v>
      </c>
      <c r="H474" t="n">
        <v>1.386149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18.71492</v>
      </c>
      <c r="N474" t="n">
        <v>4.228833</v>
      </c>
      <c r="O474" t="n">
        <v>1.569356</v>
      </c>
      <c r="P474" t="n">
        <v>2.18222</v>
      </c>
      <c r="Q474" t="n">
        <v>7.055731</v>
      </c>
      <c r="R474" t="n">
        <v>2.851522</v>
      </c>
      <c r="S474" t="n">
        <v>60.81842</v>
      </c>
      <c r="T474" t="n">
        <v>5.746354</v>
      </c>
      <c r="U474" t="n">
        <v>1.583569</v>
      </c>
      <c r="V474" t="n">
        <v>19.84506</v>
      </c>
      <c r="W474" t="n">
        <v>16.44296</v>
      </c>
      <c r="X474" t="n">
        <v>14.66709</v>
      </c>
      <c r="Y474" t="n">
        <v>23.34441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26.59758</v>
      </c>
      <c r="AE474" t="n">
        <v>5.336678</v>
      </c>
    </row>
    <row r="475">
      <c r="A475" s="89" t="n">
        <v>33025</v>
      </c>
      <c r="B475" t="n">
        <v>12.09537</v>
      </c>
      <c r="C475" t="n">
        <v/>
      </c>
      <c r="D475" t="n">
        <v>20.97041</v>
      </c>
      <c r="E475" t="n">
        <v>36.88106</v>
      </c>
      <c r="F475" t="n">
        <v>2.951337</v>
      </c>
      <c r="G475" t="n">
        <v>1.016636</v>
      </c>
      <c r="H475" t="n">
        <v>1.405189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18.87738</v>
      </c>
      <c r="N475" t="n">
        <v>4.357248</v>
      </c>
      <c r="O475" t="n">
        <v>1.590602</v>
      </c>
      <c r="P475" t="n">
        <v>2.198584</v>
      </c>
      <c r="Q475" t="n">
        <v>7.166275</v>
      </c>
      <c r="R475" t="n">
        <v>2.915987</v>
      </c>
      <c r="S475" t="n">
        <v>60.9902</v>
      </c>
      <c r="T475" t="n">
        <v>5.863138</v>
      </c>
      <c r="U475" t="n">
        <v>1.640134</v>
      </c>
      <c r="V475" t="n">
        <v>20.15364</v>
      </c>
      <c r="W475" t="n">
        <v>16.34025</v>
      </c>
      <c r="X475" t="n">
        <v>14.78477</v>
      </c>
      <c r="Y475" t="n">
        <v>23.73717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26.70645</v>
      </c>
      <c r="AE475" t="n">
        <v>5.361125</v>
      </c>
    </row>
    <row r="476">
      <c r="A476" s="89" t="n">
        <v>33055</v>
      </c>
      <c r="B476" t="n">
        <v>12.14581</v>
      </c>
      <c r="C476" t="n">
        <v/>
      </c>
      <c r="D476" t="n">
        <v>21.12011</v>
      </c>
      <c r="E476" t="n">
        <v>36.91725</v>
      </c>
      <c r="F476" t="n">
        <v>3.032523</v>
      </c>
      <c r="G476" t="n">
        <v>1.042472</v>
      </c>
      <c r="H476" t="n">
        <v>1.446048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18.985</v>
      </c>
      <c r="N476" t="n">
        <v>4.486472</v>
      </c>
      <c r="O476" t="n">
        <v>1.648504</v>
      </c>
      <c r="P476" t="n">
        <v>2.222058</v>
      </c>
      <c r="Q476" t="n">
        <v>7.212004</v>
      </c>
      <c r="R476" t="n">
        <v>2.975412</v>
      </c>
      <c r="S476" t="n">
        <v>61.33376</v>
      </c>
      <c r="T476" t="n">
        <v>5.969015</v>
      </c>
      <c r="U476" t="n">
        <v>1.698425</v>
      </c>
      <c r="V476" t="n">
        <v>20.32719</v>
      </c>
      <c r="W476" t="n">
        <v>16.14572</v>
      </c>
      <c r="X476" t="n">
        <v>14.9054</v>
      </c>
      <c r="Y476" t="n">
        <v>23.93937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26.79619</v>
      </c>
      <c r="AE476" t="n">
        <v>5.373787</v>
      </c>
    </row>
    <row r="477">
      <c r="A477" s="89" t="n">
        <v>33086</v>
      </c>
      <c r="B477" t="n">
        <v>12.21585</v>
      </c>
      <c r="C477" t="n">
        <v/>
      </c>
      <c r="D477" t="n">
        <v>21.25359</v>
      </c>
      <c r="E477" t="n">
        <v>37.03731</v>
      </c>
      <c r="F477" t="n">
        <v>3.123254</v>
      </c>
      <c r="G477" t="n">
        <v>1.0689</v>
      </c>
      <c r="H477" t="n">
        <v>1.485598</v>
      </c>
      <c r="I477" t="n">
        <v/>
      </c>
      <c r="J477" t="n">
        <v>10.96382</v>
      </c>
      <c r="K477" t="n">
        <v>21.49126</v>
      </c>
      <c r="L477" t="n">
        <v>26.38314</v>
      </c>
      <c r="M477" t="n">
        <v>19.07302</v>
      </c>
      <c r="N477" t="n">
        <v>4.616503</v>
      </c>
      <c r="O477" t="n">
        <v>1.686617</v>
      </c>
      <c r="P477" t="n">
        <v>2.241195</v>
      </c>
      <c r="Q477" t="n">
        <v>7.277062</v>
      </c>
      <c r="R477" t="n">
        <v>3.048524</v>
      </c>
      <c r="S477" t="n">
        <v>61.66096</v>
      </c>
      <c r="T477" t="n">
        <v>6.08043</v>
      </c>
      <c r="U477" t="n">
        <v>1.755306</v>
      </c>
      <c r="V477" t="n">
        <v>20.36525</v>
      </c>
      <c r="W477" t="n">
        <v>16.33568</v>
      </c>
      <c r="X477" t="n">
        <v>15.0335</v>
      </c>
      <c r="Y477" t="n">
        <v>24.06745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26.94162</v>
      </c>
      <c r="AE477" t="n">
        <v>5.404513</v>
      </c>
    </row>
    <row r="478">
      <c r="A478" s="89" t="n">
        <v>33117</v>
      </c>
      <c r="B478" t="n">
        <v>12.34754</v>
      </c>
      <c r="C478" t="n">
        <v/>
      </c>
      <c r="D478" t="n">
        <v>21.39513</v>
      </c>
      <c r="E478" t="n">
        <v>37.40493</v>
      </c>
      <c r="F478" t="n">
        <v>3.217586</v>
      </c>
      <c r="G478" t="n">
        <v>1.092539</v>
      </c>
      <c r="H478" t="n">
        <v>1.528064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19.25322</v>
      </c>
      <c r="N478" t="n">
        <v>4.747341</v>
      </c>
      <c r="O478" t="n">
        <v>1.730471</v>
      </c>
      <c r="P478" t="n">
        <v>2.266864</v>
      </c>
      <c r="Q478" t="n">
        <v>7.382695</v>
      </c>
      <c r="R478" t="n">
        <v>3.10876</v>
      </c>
      <c r="S478" t="n">
        <v>62.0536</v>
      </c>
      <c r="T478" t="n">
        <v>6.193816</v>
      </c>
      <c r="U478" t="n">
        <v>1.804872</v>
      </c>
      <c r="V478" t="n">
        <v>20.40226</v>
      </c>
      <c r="W478" t="n">
        <v>16.74463</v>
      </c>
      <c r="X478" t="n">
        <v>15.15867</v>
      </c>
      <c r="Y478" t="n">
        <v>24.23914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27.04633</v>
      </c>
      <c r="AE478" t="n">
        <v>5.403096</v>
      </c>
    </row>
    <row r="479">
      <c r="A479" s="89" t="n">
        <v>33147</v>
      </c>
      <c r="B479" t="n">
        <v>12.45681</v>
      </c>
      <c r="C479" t="n">
        <v/>
      </c>
      <c r="D479" t="n">
        <v>21.51424</v>
      </c>
      <c r="E479" t="n">
        <v>37.58594</v>
      </c>
      <c r="F479" t="n">
        <v>3.325178</v>
      </c>
      <c r="G479" t="n">
        <v>1.118628</v>
      </c>
      <c r="H479" t="n">
        <v>1.569293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19.38198</v>
      </c>
      <c r="N479" t="n">
        <v>4.879257</v>
      </c>
      <c r="O479" t="n">
        <v>1.766847</v>
      </c>
      <c r="P479" t="n">
        <v>2.295778</v>
      </c>
      <c r="Q479" t="n">
        <v>7.495289</v>
      </c>
      <c r="R479" t="n">
        <v>3.143032</v>
      </c>
      <c r="S479" t="n">
        <v>62.34808</v>
      </c>
      <c r="T479" t="n">
        <v>6.32373</v>
      </c>
      <c r="U479" t="n">
        <v>1.86196</v>
      </c>
      <c r="V479" t="n">
        <v>20.32588</v>
      </c>
      <c r="W479" t="n">
        <v>16.85504</v>
      </c>
      <c r="X479" t="n">
        <v>15.25893</v>
      </c>
      <c r="Y479" t="n">
        <v>24.43565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27.08539</v>
      </c>
      <c r="AE479" t="n">
        <v>5.410931</v>
      </c>
    </row>
    <row r="480">
      <c r="A480" s="89" t="n">
        <v>33178</v>
      </c>
      <c r="B480" t="n">
        <v>12.56047</v>
      </c>
      <c r="C480" t="n">
        <v/>
      </c>
      <c r="D480" t="n">
        <v>21.63417</v>
      </c>
      <c r="E480" t="n">
        <v>37.58518</v>
      </c>
      <c r="F480" t="n">
        <v>3.441226</v>
      </c>
      <c r="G480" t="n">
        <v>1.144827</v>
      </c>
      <c r="H480" t="n">
        <v>1.595764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19.50461</v>
      </c>
      <c r="N480" t="n">
        <v>5.01198</v>
      </c>
      <c r="O480" t="n">
        <v>1.810111</v>
      </c>
      <c r="P480" t="n">
        <v>2.324341</v>
      </c>
      <c r="Q480" t="n">
        <v>7.585234</v>
      </c>
      <c r="R480" t="n">
        <v>3.194356</v>
      </c>
      <c r="S480" t="n">
        <v>62.02088</v>
      </c>
      <c r="T480" t="n">
        <v>6.496475</v>
      </c>
      <c r="U480" t="n">
        <v>1.934631</v>
      </c>
      <c r="V480" t="n">
        <v>20.25237</v>
      </c>
      <c r="W480" t="n">
        <v>16.94505</v>
      </c>
      <c r="X480" t="n">
        <v>15.34208</v>
      </c>
      <c r="Y480" t="n">
        <v>24.7238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27.11281</v>
      </c>
      <c r="AE480" t="n">
        <v>5.52308</v>
      </c>
    </row>
    <row r="481">
      <c r="A481" s="89" t="n">
        <v>33208</v>
      </c>
      <c r="B481" t="n">
        <v>12.67535</v>
      </c>
      <c r="C481" t="n">
        <v/>
      </c>
      <c r="D481" t="n">
        <v>21.79866</v>
      </c>
      <c r="E481" t="n">
        <v>37.79787</v>
      </c>
      <c r="F481" t="n">
        <v>3.553864</v>
      </c>
      <c r="G481" t="n">
        <v>1.169261</v>
      </c>
      <c r="H481" t="n">
        <v>1.626675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19.60086</v>
      </c>
      <c r="N481" t="n">
        <v>5.160922</v>
      </c>
      <c r="O481" t="n">
        <v>1.869222</v>
      </c>
      <c r="P481" t="n">
        <v>2.354901</v>
      </c>
      <c r="Q481" t="n">
        <v>7.566935</v>
      </c>
      <c r="R481" t="n">
        <v>3.279783</v>
      </c>
      <c r="S481" t="n">
        <v>62.23356</v>
      </c>
      <c r="T481" t="n">
        <v>6.651142</v>
      </c>
      <c r="U481" t="n">
        <v>1.994534</v>
      </c>
      <c r="V481" t="n">
        <v>20.2807</v>
      </c>
      <c r="W481" t="n">
        <v>17.40953</v>
      </c>
      <c r="X481" t="n">
        <v>15.47034</v>
      </c>
      <c r="Y481" t="n">
        <v>24.97201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27.18927</v>
      </c>
      <c r="AE481" t="n">
        <v>5.629301</v>
      </c>
    </row>
    <row r="482">
      <c r="A482" s="89" t="n">
        <v>33239</v>
      </c>
      <c r="B482" t="n">
        <v>12.66694</v>
      </c>
      <c r="C482" t="n">
        <v/>
      </c>
      <c r="D482" t="n">
        <v>21.95178</v>
      </c>
      <c r="E482" t="n">
        <v>37.901</v>
      </c>
      <c r="F482" t="n">
        <v>3.655895</v>
      </c>
      <c r="G482" t="n">
        <v>1.194355</v>
      </c>
      <c r="H482" t="n">
        <v>1.658027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19.65831</v>
      </c>
      <c r="N482" t="n">
        <v>5.27656</v>
      </c>
      <c r="O482" t="n">
        <v>1.913423</v>
      </c>
      <c r="P482" t="n">
        <v>2.378565</v>
      </c>
      <c r="Q482" t="n">
        <v>7.50345</v>
      </c>
      <c r="R482" t="n">
        <v>3.43899</v>
      </c>
      <c r="S482" t="n">
        <v>62.36444</v>
      </c>
      <c r="T482" t="n">
        <v>6.762905</v>
      </c>
      <c r="U482" t="n">
        <v>2.032381</v>
      </c>
      <c r="V482" t="n">
        <v>20.41824</v>
      </c>
      <c r="W482" t="n">
        <v>17.55264</v>
      </c>
      <c r="X482" t="n">
        <v>15.57806</v>
      </c>
      <c r="Y482" t="n">
        <v>25.2622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27.3214</v>
      </c>
      <c r="AE482" t="n">
        <v>5.667232</v>
      </c>
    </row>
    <row r="483">
      <c r="A483" s="89" t="n">
        <v>33270</v>
      </c>
      <c r="B483" t="n">
        <v>12.6025</v>
      </c>
      <c r="C483" t="n">
        <v/>
      </c>
      <c r="D483" t="n">
        <v>22.08273</v>
      </c>
      <c r="E483" t="n">
        <v>37.82836</v>
      </c>
      <c r="F483" t="n">
        <v>3.747555</v>
      </c>
      <c r="G483" t="n">
        <v>1.219399</v>
      </c>
      <c r="H483" t="n">
        <v>1.68033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19.72359</v>
      </c>
      <c r="N483" t="n">
        <v>5.371303</v>
      </c>
      <c r="O483" t="n">
        <v>1.934546</v>
      </c>
      <c r="P483" t="n">
        <v>2.411737</v>
      </c>
      <c r="Q483" t="n">
        <v>7.583294</v>
      </c>
      <c r="R483" t="n">
        <v>3.565928</v>
      </c>
      <c r="S483" t="n">
        <v>62.51168</v>
      </c>
      <c r="T483" t="n">
        <v>6.889515</v>
      </c>
      <c r="U483" t="n">
        <v>2.079064</v>
      </c>
      <c r="V483" t="n">
        <v>20.60383</v>
      </c>
      <c r="W483" t="n">
        <v>17.26489</v>
      </c>
      <c r="X483" t="n">
        <v>15.67456</v>
      </c>
      <c r="Y483" t="n">
        <v>25.78236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27.46101</v>
      </c>
      <c r="AE483" t="n">
        <v>5.836951</v>
      </c>
    </row>
    <row r="484">
      <c r="A484" s="89" t="n">
        <v>33298</v>
      </c>
      <c r="B484" t="n">
        <v>12.62211</v>
      </c>
      <c r="C484" t="n">
        <v/>
      </c>
      <c r="D484" t="n">
        <v>22.20633</v>
      </c>
      <c r="E484" t="n">
        <v>37.83947</v>
      </c>
      <c r="F484" t="n">
        <v>3.833224</v>
      </c>
      <c r="G484" t="n">
        <v>1.243399</v>
      </c>
      <c r="H484" t="n">
        <v>1.70067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19.79823</v>
      </c>
      <c r="N484" t="n">
        <v>5.488802</v>
      </c>
      <c r="O484" t="n">
        <v>1.911813</v>
      </c>
      <c r="P484" t="n">
        <v>2.445956</v>
      </c>
      <c r="Q484" t="n">
        <v>7.735173</v>
      </c>
      <c r="R484" t="n">
        <v>3.633026</v>
      </c>
      <c r="S484" t="n">
        <v>62.6262</v>
      </c>
      <c r="T484" t="n">
        <v>7.025607</v>
      </c>
      <c r="U484" t="n">
        <v>2.142543</v>
      </c>
      <c r="V484" t="n">
        <v>20.75665</v>
      </c>
      <c r="W484" t="n">
        <v>17.17398</v>
      </c>
      <c r="X484" t="n">
        <v>15.79337</v>
      </c>
      <c r="Y484" t="n">
        <v>26.57956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27.60561</v>
      </c>
      <c r="AE484" t="n">
        <v>5.975489</v>
      </c>
    </row>
    <row r="485">
      <c r="A485" s="89" t="n">
        <v>33329</v>
      </c>
      <c r="B485" t="n">
        <v>12.65013</v>
      </c>
      <c r="C485" t="n">
        <v/>
      </c>
      <c r="D485" t="n">
        <v>22.28584</v>
      </c>
      <c r="E485" t="n">
        <v>37.87432</v>
      </c>
      <c r="F485" t="n">
        <v>3.922998</v>
      </c>
      <c r="G485" t="n">
        <v>1.264193</v>
      </c>
      <c r="H485" t="n">
        <v>1.734346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19.91029</v>
      </c>
      <c r="N485" t="n">
        <v>5.598585</v>
      </c>
      <c r="O485" t="n">
        <v>1.918892</v>
      </c>
      <c r="P485" t="n">
        <v>2.474186</v>
      </c>
      <c r="Q485" t="n">
        <v>7.842461</v>
      </c>
      <c r="R485" t="n">
        <v>3.695356</v>
      </c>
      <c r="S485" t="n">
        <v>62.82252</v>
      </c>
      <c r="T485" t="n">
        <v>7.148883</v>
      </c>
      <c r="U485" t="n">
        <v>2.204623</v>
      </c>
      <c r="V485" t="n">
        <v>20.89923</v>
      </c>
      <c r="W485" t="n">
        <v>17.19172</v>
      </c>
      <c r="X485" t="n">
        <v>15.90788</v>
      </c>
      <c r="Y485" t="n">
        <v>27.26435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27.69286</v>
      </c>
      <c r="AE485" t="n">
        <v>6.003644</v>
      </c>
    </row>
    <row r="486">
      <c r="A486" s="89" t="n">
        <v>33359</v>
      </c>
      <c r="B486" t="n">
        <v>12.70056</v>
      </c>
      <c r="C486" t="n">
        <v/>
      </c>
      <c r="D486" t="n">
        <v>22.43544</v>
      </c>
      <c r="E486" t="n">
        <v>37.96265</v>
      </c>
      <c r="F486" t="n">
        <v>4.016781</v>
      </c>
      <c r="G486" t="n">
        <v>1.286682</v>
      </c>
      <c r="H486" t="n">
        <v>1.782152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19.98442</v>
      </c>
      <c r="N486" t="n">
        <v>5.756001</v>
      </c>
      <c r="O486" t="n">
        <v>1.973093</v>
      </c>
      <c r="P486" t="n">
        <v>2.513268</v>
      </c>
      <c r="Q486" t="n">
        <v>7.930514</v>
      </c>
      <c r="R486" t="n">
        <v>3.760077</v>
      </c>
      <c r="S486" t="n">
        <v>62.96976</v>
      </c>
      <c r="T486" t="n">
        <v>7.254159</v>
      </c>
      <c r="U486" t="n">
        <v>2.270242</v>
      </c>
      <c r="V486" t="n">
        <v>20.94503</v>
      </c>
      <c r="W486" t="n">
        <v>17.29126</v>
      </c>
      <c r="X486" t="n">
        <v>16.02565</v>
      </c>
      <c r="Y486" t="n">
        <v>27.65826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27.78095</v>
      </c>
      <c r="AE486" t="n">
        <v>6.117157</v>
      </c>
    </row>
    <row r="487">
      <c r="A487" s="89" t="n">
        <v>33390</v>
      </c>
      <c r="B487" t="n">
        <v>12.77061</v>
      </c>
      <c r="C487" t="n">
        <v/>
      </c>
      <c r="D487" t="n">
        <v>22.41445</v>
      </c>
      <c r="E487" t="n">
        <v>38.07423</v>
      </c>
      <c r="F487" t="n">
        <v>4.119725</v>
      </c>
      <c r="G487" t="n">
        <v>1.314026</v>
      </c>
      <c r="H487" t="n">
        <v>1.811605</v>
      </c>
      <c r="I487" t="n">
        <v/>
      </c>
      <c r="J487" t="n">
        <v>14.18794</v>
      </c>
      <c r="K487" t="n">
        <v>23.30735</v>
      </c>
      <c r="L487" t="n">
        <v>28.24823</v>
      </c>
      <c r="M487" t="n">
        <v>20.02426</v>
      </c>
      <c r="N487" t="n">
        <v>5.89714</v>
      </c>
      <c r="O487" t="n">
        <v>2.016941</v>
      </c>
      <c r="P487" t="n">
        <v>2.543087</v>
      </c>
      <c r="Q487" t="n">
        <v>7.988161</v>
      </c>
      <c r="R487" t="n">
        <v>3.792223</v>
      </c>
      <c r="S487" t="n">
        <v>63.10882</v>
      </c>
      <c r="T487" t="n">
        <v>7.365927</v>
      </c>
      <c r="U487" t="n">
        <v>2.320424</v>
      </c>
      <c r="V487" t="n">
        <v>20.91187</v>
      </c>
      <c r="W487" t="n">
        <v>17.55813</v>
      </c>
      <c r="X487" t="n">
        <v>16.12337</v>
      </c>
      <c r="Y487" t="n">
        <v>28.09251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27.85491</v>
      </c>
      <c r="AE487" t="n">
        <v>6.19587</v>
      </c>
    </row>
    <row r="488">
      <c r="A488" s="89" t="n">
        <v>33420</v>
      </c>
      <c r="B488" t="n">
        <v>12.80983</v>
      </c>
      <c r="C488" t="n">
        <v/>
      </c>
      <c r="D488" t="n">
        <v>22.39233</v>
      </c>
      <c r="E488" t="n">
        <v>38.18285</v>
      </c>
      <c r="F488" t="n">
        <v>4.247941</v>
      </c>
      <c r="G488" t="n">
        <v>1.342134</v>
      </c>
      <c r="H488" t="n">
        <v>1.815964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20.03483</v>
      </c>
      <c r="N488" t="n">
        <v>6.010439</v>
      </c>
      <c r="O488" t="n">
        <v>2.091114</v>
      </c>
      <c r="P488" t="n">
        <v>2.562158</v>
      </c>
      <c r="Q488" t="n">
        <v>8.067864</v>
      </c>
      <c r="R488" t="n">
        <v>3.783186</v>
      </c>
      <c r="S488" t="n">
        <v>63.33786</v>
      </c>
      <c r="T488" t="n">
        <v>7.503667</v>
      </c>
      <c r="U488" t="n">
        <v>2.363013</v>
      </c>
      <c r="V488" t="n">
        <v>21.00706</v>
      </c>
      <c r="W488" t="n">
        <v>17.61871</v>
      </c>
      <c r="X488" t="n">
        <v>16.20835</v>
      </c>
      <c r="Y488" t="n">
        <v>28.48021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27.88981</v>
      </c>
      <c r="AE488" t="n">
        <v>6.173241</v>
      </c>
    </row>
    <row r="489">
      <c r="A489" s="89" t="n">
        <v>33451</v>
      </c>
      <c r="B489" t="n">
        <v>12.84906</v>
      </c>
      <c r="C489" t="n">
        <v/>
      </c>
      <c r="D489" t="n">
        <v>22.34906</v>
      </c>
      <c r="E489" t="n">
        <v>38.28791</v>
      </c>
      <c r="F489" t="n">
        <v>4.39203</v>
      </c>
      <c r="G489" t="n">
        <v>1.371477</v>
      </c>
      <c r="H489" t="n">
        <v>1.818802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20.04688</v>
      </c>
      <c r="N489" t="n">
        <v>6.135788</v>
      </c>
      <c r="O489" t="n">
        <v>2.120657</v>
      </c>
      <c r="P489" t="n">
        <v>2.593009</v>
      </c>
      <c r="Q489" t="n">
        <v>8.189533000000001</v>
      </c>
      <c r="R489" t="n">
        <v>3.848878</v>
      </c>
      <c r="S489" t="n">
        <v>63.32968</v>
      </c>
      <c r="T489" t="n">
        <v>7.664024</v>
      </c>
      <c r="U489" t="n">
        <v>2.419734</v>
      </c>
      <c r="V489" t="n">
        <v>21.12787</v>
      </c>
      <c r="W489" t="n">
        <v>17.4857</v>
      </c>
      <c r="X489" t="n">
        <v>16.28013</v>
      </c>
      <c r="Y489" t="n">
        <v>29.05094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27.88067</v>
      </c>
      <c r="AE489" t="n">
        <v>6.173661</v>
      </c>
    </row>
    <row r="490">
      <c r="A490" s="89" t="n">
        <v>33482</v>
      </c>
      <c r="B490" t="n">
        <v>12.9079</v>
      </c>
      <c r="C490" t="n">
        <v/>
      </c>
      <c r="D490" t="n">
        <v>22.47344</v>
      </c>
      <c r="E490" t="n">
        <v>38.33513</v>
      </c>
      <c r="F490" t="n">
        <v>4.538535</v>
      </c>
      <c r="G490" t="n">
        <v>1.40165</v>
      </c>
      <c r="H490" t="n">
        <v>1.875208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20.08502</v>
      </c>
      <c r="N490" t="n">
        <v>6.266993</v>
      </c>
      <c r="O490" t="n">
        <v>2.114997</v>
      </c>
      <c r="P490" t="n">
        <v>2.631315</v>
      </c>
      <c r="Q490" t="n">
        <v>8.287991</v>
      </c>
      <c r="R490" t="n">
        <v>3.876416</v>
      </c>
      <c r="S490" t="n">
        <v>63.50146</v>
      </c>
      <c r="T490" t="n">
        <v>7.814988</v>
      </c>
      <c r="U490" t="n">
        <v>2.442573</v>
      </c>
      <c r="V490" t="n">
        <v>21.83629</v>
      </c>
      <c r="W490" t="n">
        <v>17.52026</v>
      </c>
      <c r="X490" t="n">
        <v>16.37032</v>
      </c>
      <c r="Y490" t="n">
        <v>29.767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27.87984</v>
      </c>
      <c r="AE490" t="n">
        <v>6.224445</v>
      </c>
    </row>
    <row r="491">
      <c r="A491" s="89" t="n">
        <v>33512</v>
      </c>
      <c r="B491" t="n">
        <v>12.93311</v>
      </c>
      <c r="C491" t="n">
        <v/>
      </c>
      <c r="D491" t="n">
        <v>22.6356</v>
      </c>
      <c r="E491" t="n">
        <v>38.43585</v>
      </c>
      <c r="F491" t="n">
        <v>4.671726</v>
      </c>
      <c r="G491" t="n">
        <v>1.424415</v>
      </c>
      <c r="H491" t="n">
        <v>1.975306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20.11431</v>
      </c>
      <c r="N491" t="n">
        <v>6.415822</v>
      </c>
      <c r="O491" t="n">
        <v>2.149671</v>
      </c>
      <c r="P491" t="n">
        <v>2.680513</v>
      </c>
      <c r="Q491" t="n">
        <v>8.353813000000001</v>
      </c>
      <c r="R491" t="n">
        <v>3.871948</v>
      </c>
      <c r="S491" t="n">
        <v>63.64052</v>
      </c>
      <c r="T491" t="n">
        <v>7.899872</v>
      </c>
      <c r="U491" t="n">
        <v>2.482954</v>
      </c>
      <c r="V491" t="n">
        <v>22.32757</v>
      </c>
      <c r="W491" t="n">
        <v>17.72756</v>
      </c>
      <c r="X491" t="n">
        <v>16.48228</v>
      </c>
      <c r="Y491" t="n">
        <v>30.27245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27.92306</v>
      </c>
      <c r="AE491" t="n">
        <v>6.251044</v>
      </c>
    </row>
    <row r="492">
      <c r="A492" s="89" t="n">
        <v>33543</v>
      </c>
      <c r="B492" t="n">
        <v>12.9107</v>
      </c>
      <c r="C492" t="n">
        <v/>
      </c>
      <c r="D492" t="n">
        <v>22.70545</v>
      </c>
      <c r="E492" t="n">
        <v>38.4815</v>
      </c>
      <c r="F492" t="n">
        <v>4.80686</v>
      </c>
      <c r="G492" t="n">
        <v>1.447612</v>
      </c>
      <c r="H492" t="n">
        <v>2.068149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20.13505</v>
      </c>
      <c r="N492" t="n">
        <v>6.608044</v>
      </c>
      <c r="O492" t="n">
        <v>2.17834</v>
      </c>
      <c r="P492" t="n">
        <v>2.743272</v>
      </c>
      <c r="Q492" t="n">
        <v>8.412444000000001</v>
      </c>
      <c r="R492" t="n">
        <v>4.015701</v>
      </c>
      <c r="S492" t="n">
        <v>63.61598</v>
      </c>
      <c r="T492" t="n">
        <v>8.035803</v>
      </c>
      <c r="U492" t="n">
        <v>2.561093</v>
      </c>
      <c r="V492" t="n">
        <v>22.29456</v>
      </c>
      <c r="W492" t="n">
        <v>17.82046</v>
      </c>
      <c r="X492" t="n">
        <v>16.58681</v>
      </c>
      <c r="Y492" t="n">
        <v>30.50873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27.96793</v>
      </c>
      <c r="AE492" t="n">
        <v>6.326346</v>
      </c>
    </row>
    <row r="493">
      <c r="A493" s="89" t="n">
        <v>33573</v>
      </c>
      <c r="B493" t="n">
        <v>12.94152</v>
      </c>
      <c r="C493" t="n">
        <v/>
      </c>
      <c r="D493" t="n">
        <v>22.81406</v>
      </c>
      <c r="E493" t="n">
        <v>38.65637</v>
      </c>
      <c r="F493" t="n">
        <v>4.933028</v>
      </c>
      <c r="G493" t="n">
        <v>1.478785</v>
      </c>
      <c r="H493" t="n">
        <v>2.148947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20.18342</v>
      </c>
      <c r="N493" t="n">
        <v>6.923194</v>
      </c>
      <c r="O493" t="n">
        <v>2.204942</v>
      </c>
      <c r="P493" t="n">
        <v>2.792468</v>
      </c>
      <c r="Q493" t="n">
        <v>8.500567</v>
      </c>
      <c r="R493" t="n">
        <v>4.476696</v>
      </c>
      <c r="S493" t="n">
        <v>63.61598</v>
      </c>
      <c r="T493" t="n">
        <v>8.243186</v>
      </c>
      <c r="U493" t="n">
        <v>2.593085</v>
      </c>
      <c r="V493" t="n">
        <v>22.62472</v>
      </c>
      <c r="W493" t="n">
        <v>17.90046</v>
      </c>
      <c r="X493" t="n">
        <v>16.68785</v>
      </c>
      <c r="Y493" t="n">
        <v>30.54958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28.02361</v>
      </c>
      <c r="AE493" t="n">
        <v>6.3644</v>
      </c>
    </row>
    <row r="494">
      <c r="A494" s="89" t="n">
        <v>33604</v>
      </c>
      <c r="B494" t="n">
        <v>12.98915</v>
      </c>
      <c r="C494" t="n">
        <v/>
      </c>
      <c r="D494" t="n">
        <v>22.90912</v>
      </c>
      <c r="E494" t="n">
        <v>38.66642</v>
      </c>
      <c r="F494" t="n">
        <v>5.056484</v>
      </c>
      <c r="G494" t="n">
        <v>1.512678</v>
      </c>
      <c r="H494" t="n">
        <v>2.232512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20.29461</v>
      </c>
      <c r="N494" t="n">
        <v>7.224833</v>
      </c>
      <c r="O494" t="n">
        <v>2.239434</v>
      </c>
      <c r="P494" t="n">
        <v>2.831384</v>
      </c>
      <c r="Q494" t="n">
        <v>8.575295000000001</v>
      </c>
      <c r="R494" t="n">
        <v>4.966001</v>
      </c>
      <c r="S494" t="n">
        <v>63.62416</v>
      </c>
      <c r="T494" t="n">
        <v>8.366213</v>
      </c>
      <c r="U494" t="n">
        <v>2.599951</v>
      </c>
      <c r="V494" t="n">
        <v>22.76298</v>
      </c>
      <c r="W494" t="n">
        <v>18.21936</v>
      </c>
      <c r="X494" t="n">
        <v>16.79748</v>
      </c>
      <c r="Y494" t="n">
        <v>30.19955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28.0984</v>
      </c>
      <c r="AE494" t="n">
        <v>6.395913</v>
      </c>
    </row>
    <row r="495">
      <c r="A495" s="89" t="n">
        <v>33635</v>
      </c>
      <c r="B495" t="n">
        <v>13.01997</v>
      </c>
      <c r="C495" t="n">
        <v/>
      </c>
      <c r="D495" t="n">
        <v>23.01986</v>
      </c>
      <c r="E495" t="n">
        <v>38.53617</v>
      </c>
      <c r="F495" t="n">
        <v>5.200384</v>
      </c>
      <c r="G495" t="n">
        <v>1.547107</v>
      </c>
      <c r="H495" t="n">
        <v>2.306984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20.41515</v>
      </c>
      <c r="N495" t="n">
        <v>7.372275</v>
      </c>
      <c r="O495" t="n">
        <v>2.263876</v>
      </c>
      <c r="P495" t="n">
        <v>2.877242</v>
      </c>
      <c r="Q495" t="n">
        <v>8.598919</v>
      </c>
      <c r="R495" t="n">
        <v>5.217452</v>
      </c>
      <c r="S495" t="n">
        <v>63.54236</v>
      </c>
      <c r="T495" t="n">
        <v>8.474778000000001</v>
      </c>
      <c r="U495" t="n">
        <v>2.635613</v>
      </c>
      <c r="V495" t="n">
        <v>22.86904</v>
      </c>
      <c r="W495" t="n">
        <v>18.5097</v>
      </c>
      <c r="X495" t="n">
        <v>16.9101</v>
      </c>
      <c r="Y495" t="n">
        <v>30.07585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28.25463</v>
      </c>
      <c r="AE495" t="n">
        <v>6.525148</v>
      </c>
    </row>
    <row r="496">
      <c r="A496" s="89" t="n">
        <v>33664</v>
      </c>
      <c r="B496" t="n">
        <v>13.00876</v>
      </c>
      <c r="C496" t="n">
        <v/>
      </c>
      <c r="D496" t="n">
        <v>23.20239</v>
      </c>
      <c r="E496" t="n">
        <v>38.56611</v>
      </c>
      <c r="F496" t="n">
        <v>5.316297</v>
      </c>
      <c r="G496" t="n">
        <v>1.577881</v>
      </c>
      <c r="H496" t="n">
        <v>2.385778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20.49091</v>
      </c>
      <c r="N496" t="n">
        <v>7.508822</v>
      </c>
      <c r="O496" t="n">
        <v>2.305664</v>
      </c>
      <c r="P496" t="n">
        <v>2.916583</v>
      </c>
      <c r="Q496" t="n">
        <v>8.602059000000001</v>
      </c>
      <c r="R496" t="n">
        <v>5.372983</v>
      </c>
      <c r="S496" t="n">
        <v>63.7305</v>
      </c>
      <c r="T496" t="n">
        <v>8.624682</v>
      </c>
      <c r="U496" t="n">
        <v>2.670815</v>
      </c>
      <c r="V496" t="n">
        <v>22.80292</v>
      </c>
      <c r="W496" t="n">
        <v>18.82857</v>
      </c>
      <c r="X496" t="n">
        <v>17.00002</v>
      </c>
      <c r="Y496" t="n">
        <v>30.2991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28.28704</v>
      </c>
      <c r="AE496" t="n">
        <v>6.534084</v>
      </c>
    </row>
    <row r="497">
      <c r="A497" s="89" t="n">
        <v>33695</v>
      </c>
      <c r="B497" t="n">
        <v>13.03117</v>
      </c>
      <c r="C497" t="n">
        <v/>
      </c>
      <c r="D497" t="n">
        <v>23.21014</v>
      </c>
      <c r="E497" t="n">
        <v>38.68985</v>
      </c>
      <c r="F497" t="n">
        <v>5.422208</v>
      </c>
      <c r="G497" t="n">
        <v>1.622136</v>
      </c>
      <c r="H497" t="n">
        <v>2.470984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20.53939</v>
      </c>
      <c r="N497" t="n">
        <v>7.758142</v>
      </c>
      <c r="O497" t="n">
        <v>2.370161</v>
      </c>
      <c r="P497" t="n">
        <v>2.947616</v>
      </c>
      <c r="Q497" t="n">
        <v>8.637072</v>
      </c>
      <c r="R497" t="n">
        <v>5.531381</v>
      </c>
      <c r="S497" t="n">
        <v>63.61598</v>
      </c>
      <c r="T497" t="n">
        <v>8.778430999999999</v>
      </c>
      <c r="U497" t="n">
        <v>2.701557</v>
      </c>
      <c r="V497" t="n">
        <v>22.74905</v>
      </c>
      <c r="W497" t="n">
        <v>18.95553</v>
      </c>
      <c r="X497" t="n">
        <v>17.04989</v>
      </c>
      <c r="Y497" t="n">
        <v>30.43236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28.25214</v>
      </c>
      <c r="AE497" t="n">
        <v>6.57852</v>
      </c>
    </row>
    <row r="498">
      <c r="A498" s="89" t="n">
        <v>33725</v>
      </c>
      <c r="B498" t="n">
        <v>13.12083</v>
      </c>
      <c r="C498" t="n">
        <v/>
      </c>
      <c r="D498" t="n">
        <v>23.24876</v>
      </c>
      <c r="E498" t="n">
        <v>38.92315</v>
      </c>
      <c r="F498" t="n">
        <v>5.534326</v>
      </c>
      <c r="G498" t="n">
        <v>1.669094</v>
      </c>
      <c r="H498" t="n">
        <v>2.537199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20.50239</v>
      </c>
      <c r="N498" t="n">
        <v>7.951969</v>
      </c>
      <c r="O498" t="n">
        <v>2.439597</v>
      </c>
      <c r="P498" t="n">
        <v>2.993605</v>
      </c>
      <c r="Q498" t="n">
        <v>8.687632000000001</v>
      </c>
      <c r="R498" t="n">
        <v>5.627271</v>
      </c>
      <c r="S498" t="n">
        <v>63.45238</v>
      </c>
      <c r="T498" t="n">
        <v>8.910647000000001</v>
      </c>
      <c r="U498" t="n">
        <v>2.745855</v>
      </c>
      <c r="V498" t="n">
        <v>23.04223</v>
      </c>
      <c r="W498" t="n">
        <v>18.83998</v>
      </c>
      <c r="X498" t="n">
        <v>17.10954</v>
      </c>
      <c r="Y498" t="n">
        <v>30.7571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28.243</v>
      </c>
      <c r="AE498" t="n">
        <v>6.6182</v>
      </c>
    </row>
    <row r="499">
      <c r="A499" s="89" t="n">
        <v>33756</v>
      </c>
      <c r="B499" t="n">
        <v>13.16006</v>
      </c>
      <c r="C499" t="n">
        <v/>
      </c>
      <c r="D499" t="n">
        <v>23.3764</v>
      </c>
      <c r="E499" t="n">
        <v>39.03709</v>
      </c>
      <c r="F499" t="n">
        <v>5.667751</v>
      </c>
      <c r="G499" t="n">
        <v>1.703734</v>
      </c>
      <c r="H499" t="n">
        <v>2.613029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20.50648</v>
      </c>
      <c r="N499" t="n">
        <v>8.11834</v>
      </c>
      <c r="O499" t="n">
        <v>2.483678</v>
      </c>
      <c r="P499" t="n">
        <v>3.044239</v>
      </c>
      <c r="Q499" t="n">
        <v>8.666492</v>
      </c>
      <c r="R499" t="n">
        <v>5.656137</v>
      </c>
      <c r="S499" t="n">
        <v>63.526</v>
      </c>
      <c r="T499" t="n">
        <v>9.041857</v>
      </c>
      <c r="U499" t="n">
        <v>2.775203</v>
      </c>
      <c r="V499" t="n">
        <v>23.17638</v>
      </c>
      <c r="W499" t="n">
        <v>18.70082</v>
      </c>
      <c r="X499" t="n">
        <v>17.16854</v>
      </c>
      <c r="Y499" t="n">
        <v>31.11116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28.19979</v>
      </c>
      <c r="AE499" t="n">
        <v>6.589136</v>
      </c>
    </row>
    <row r="500">
      <c r="A500" s="89" t="n">
        <v>33786</v>
      </c>
      <c r="B500" t="n">
        <v>13.21609</v>
      </c>
      <c r="C500" t="n">
        <v/>
      </c>
      <c r="D500" t="n">
        <v>23.54596</v>
      </c>
      <c r="E500" t="n">
        <v>39.05744</v>
      </c>
      <c r="F500" t="n">
        <v>5.819061</v>
      </c>
      <c r="G500" t="n">
        <v>1.736459</v>
      </c>
      <c r="H500" t="n">
        <v>2.668515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20.5871</v>
      </c>
      <c r="N500" t="n">
        <v>8.324648</v>
      </c>
      <c r="O500" t="n">
        <v>2.503967</v>
      </c>
      <c r="P500" t="n">
        <v>3.087719</v>
      </c>
      <c r="Q500" t="n">
        <v>8.76732</v>
      </c>
      <c r="R500" t="n">
        <v>5.726929</v>
      </c>
      <c r="S500" t="n">
        <v>63.4033</v>
      </c>
      <c r="T500" t="n">
        <v>9.174115</v>
      </c>
      <c r="U500" t="n">
        <v>2.834255</v>
      </c>
      <c r="V500" t="n">
        <v>23.3115</v>
      </c>
      <c r="W500" t="n">
        <v>18.68005</v>
      </c>
      <c r="X500" t="n">
        <v>17.24636</v>
      </c>
      <c r="Y500" t="n">
        <v>31.4787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28.20394</v>
      </c>
      <c r="AE500" t="n">
        <v>6.68287</v>
      </c>
    </row>
    <row r="501">
      <c r="A501" s="89" t="n">
        <v>33817</v>
      </c>
      <c r="B501" t="n">
        <v>13.32536</v>
      </c>
      <c r="C501" t="n">
        <v/>
      </c>
      <c r="D501" t="n">
        <v>23.6405</v>
      </c>
      <c r="E501" t="n">
        <v>39.07546</v>
      </c>
      <c r="F501" t="n">
        <v>5.934134</v>
      </c>
      <c r="G501" t="n">
        <v>1.771986</v>
      </c>
      <c r="H501" t="n">
        <v>2.682822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20.61311</v>
      </c>
      <c r="N501" t="n">
        <v>8.517340000000001</v>
      </c>
      <c r="O501" t="n">
        <v>2.5298</v>
      </c>
      <c r="P501" t="n">
        <v>3.125258</v>
      </c>
      <c r="Q501" t="n">
        <v>8.794103</v>
      </c>
      <c r="R501" t="n">
        <v>5.803829</v>
      </c>
      <c r="S501" t="n">
        <v>63.42784</v>
      </c>
      <c r="T501" t="n">
        <v>9.311157</v>
      </c>
      <c r="U501" t="n">
        <v>2.877285</v>
      </c>
      <c r="V501" t="n">
        <v>23.54208</v>
      </c>
      <c r="W501" t="n">
        <v>18.76402</v>
      </c>
      <c r="X501" t="n">
        <v>17.33581</v>
      </c>
      <c r="Y501" t="n">
        <v>31.79176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28.24466</v>
      </c>
      <c r="AE501" t="n">
        <v>6.740597</v>
      </c>
    </row>
    <row r="502">
      <c r="A502" s="89" t="n">
        <v>33848</v>
      </c>
      <c r="B502" t="n">
        <v>13.3814</v>
      </c>
      <c r="C502" t="n">
        <v/>
      </c>
      <c r="D502" t="n">
        <v>23.72203</v>
      </c>
      <c r="E502" t="n">
        <v>39.16491</v>
      </c>
      <c r="F502" t="n">
        <v>6.021388</v>
      </c>
      <c r="G502" t="n">
        <v>1.811641</v>
      </c>
      <c r="H502" t="n">
        <v>2.737974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20.6982</v>
      </c>
      <c r="N502" t="n">
        <v>8.685425</v>
      </c>
      <c r="O502" t="n">
        <v>2.566596</v>
      </c>
      <c r="P502" t="n">
        <v>3.144758</v>
      </c>
      <c r="Q502" t="n">
        <v>8.722004</v>
      </c>
      <c r="R502" t="n">
        <v>6.018304</v>
      </c>
      <c r="S502" t="n">
        <v>63.3215</v>
      </c>
      <c r="T502" t="n">
        <v>9.492910999999999</v>
      </c>
      <c r="U502" t="n">
        <v>2.899365</v>
      </c>
      <c r="V502" t="n">
        <v>23.65923</v>
      </c>
      <c r="W502" t="n">
        <v>18.82891</v>
      </c>
      <c r="X502" t="n">
        <v>17.42443</v>
      </c>
      <c r="Y502" t="n">
        <v>31.94034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28.34023</v>
      </c>
      <c r="AE502" t="n">
        <v>6.778983</v>
      </c>
    </row>
    <row r="503">
      <c r="A503" s="89" t="n">
        <v>33878</v>
      </c>
      <c r="B503" t="n">
        <v>13.3786</v>
      </c>
      <c r="C503" t="n">
        <v/>
      </c>
      <c r="D503" t="n">
        <v>23.86336</v>
      </c>
      <c r="E503" t="n">
        <v>39.14379</v>
      </c>
      <c r="F503" t="n">
        <v>6.115942</v>
      </c>
      <c r="G503" t="n">
        <v>1.854434</v>
      </c>
      <c r="H503" t="n">
        <v>2.826669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20.91167</v>
      </c>
      <c r="N503" t="n">
        <v>8.804592</v>
      </c>
      <c r="O503" t="n">
        <v>2.618265</v>
      </c>
      <c r="P503" t="n">
        <v>3.181611</v>
      </c>
      <c r="Q503" t="n">
        <v>8.752135000000001</v>
      </c>
      <c r="R503" t="n">
        <v>6.089159</v>
      </c>
      <c r="S503" t="n">
        <v>63.37058</v>
      </c>
      <c r="T503" t="n">
        <v>9.673721</v>
      </c>
      <c r="U503" t="n">
        <v>2.960435</v>
      </c>
      <c r="V503" t="n">
        <v>23.7615</v>
      </c>
      <c r="W503" t="n">
        <v>18.91908</v>
      </c>
      <c r="X503" t="n">
        <v>17.54078</v>
      </c>
      <c r="Y503" t="n">
        <v>32.1538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28.45242</v>
      </c>
      <c r="AE503" t="n">
        <v>6.825378</v>
      </c>
    </row>
    <row r="504">
      <c r="A504" s="89" t="n">
        <v>33909</v>
      </c>
      <c r="B504" t="n">
        <v>13.41502</v>
      </c>
      <c r="C504" t="n">
        <v/>
      </c>
      <c r="D504" t="n">
        <v>24.09832</v>
      </c>
      <c r="E504" t="n">
        <v>39.24086</v>
      </c>
      <c r="F504" t="n">
        <v>6.227587</v>
      </c>
      <c r="G504" t="n">
        <v>1.898727</v>
      </c>
      <c r="H504" t="n">
        <v>2.8952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21.02527</v>
      </c>
      <c r="N504" t="n">
        <v>8.926295</v>
      </c>
      <c r="O504" t="n">
        <v>2.674046</v>
      </c>
      <c r="P504" t="n">
        <v>3.22471</v>
      </c>
      <c r="Q504" t="n">
        <v>8.777243</v>
      </c>
      <c r="R504" t="n">
        <v>6.090273</v>
      </c>
      <c r="S504" t="n">
        <v>63.41148</v>
      </c>
      <c r="T504" t="n">
        <v>9.840911999999999</v>
      </c>
      <c r="U504" t="n">
        <v>3.021608</v>
      </c>
      <c r="V504" t="n">
        <v>23.90055</v>
      </c>
      <c r="W504" t="n">
        <v>19.08778</v>
      </c>
      <c r="X504" t="n">
        <v>17.63719</v>
      </c>
      <c r="Y504" t="n">
        <v>32.34644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28.47485</v>
      </c>
      <c r="AE504" t="n">
        <v>6.887897</v>
      </c>
    </row>
    <row r="505">
      <c r="A505" s="89" t="n">
        <v>33939</v>
      </c>
      <c r="B505" t="n">
        <v>13.47666</v>
      </c>
      <c r="C505" t="n">
        <v/>
      </c>
      <c r="D505" t="n">
        <v>24.10555</v>
      </c>
      <c r="E505" t="n">
        <v>39.49576</v>
      </c>
      <c r="F505" t="n">
        <v>6.335655</v>
      </c>
      <c r="G505" t="n">
        <v>1.940652</v>
      </c>
      <c r="H505" t="n">
        <v>2.9874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20.98202</v>
      </c>
      <c r="N505" t="n">
        <v>9.020199</v>
      </c>
      <c r="O505" t="n">
        <v>2.690278</v>
      </c>
      <c r="P505" t="n">
        <v>3.246403</v>
      </c>
      <c r="Q505" t="n">
        <v>8.829141999999999</v>
      </c>
      <c r="R505" t="n">
        <v>6.245804</v>
      </c>
      <c r="S505" t="n">
        <v>63.54236</v>
      </c>
      <c r="T505" t="n">
        <v>10.0116</v>
      </c>
      <c r="U505" t="n">
        <v>3.069907</v>
      </c>
      <c r="V505" t="n">
        <v>24.38677</v>
      </c>
      <c r="W505" t="n">
        <v>19.08506</v>
      </c>
      <c r="X505" t="n">
        <v>17.71383</v>
      </c>
      <c r="Y505" t="n">
        <v>32.56775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28.45989</v>
      </c>
      <c r="AE505" t="n">
        <v>6.916996</v>
      </c>
    </row>
    <row r="506">
      <c r="A506" s="89" t="n">
        <v>33970</v>
      </c>
      <c r="B506" t="n">
        <v>13.56071</v>
      </c>
      <c r="C506" t="n">
        <v/>
      </c>
      <c r="D506" t="n">
        <v>24.18113</v>
      </c>
      <c r="E506" t="n">
        <v>39.58134</v>
      </c>
      <c r="F506" t="n">
        <v>6.501351</v>
      </c>
      <c r="G506" t="n">
        <v>2.074899</v>
      </c>
      <c r="H506" t="n">
        <v>3.064526</v>
      </c>
      <c r="I506" t="n">
        <v/>
      </c>
      <c r="J506" t="n">
        <v>16.91379</v>
      </c>
      <c r="K506" t="n">
        <v>25.64733</v>
      </c>
      <c r="L506" t="n">
        <v>32.21137</v>
      </c>
      <c r="M506" t="n">
        <v>20.95651</v>
      </c>
      <c r="N506" t="n">
        <v>9.139176000000001</v>
      </c>
      <c r="O506" t="n">
        <v>2.701066</v>
      </c>
      <c r="P506" t="n">
        <v>3.275181</v>
      </c>
      <c r="Q506" t="n">
        <v>8.854608000000001</v>
      </c>
      <c r="R506" t="n">
        <v>6.433946</v>
      </c>
      <c r="S506" t="n">
        <v>63.58326</v>
      </c>
      <c r="T506" t="n">
        <v>10.18838</v>
      </c>
      <c r="U506" t="n">
        <v>3.143966</v>
      </c>
      <c r="V506" t="n">
        <v>24.62577</v>
      </c>
      <c r="W506" t="n">
        <v>18.96963</v>
      </c>
      <c r="X506" t="n">
        <v>17.79443</v>
      </c>
      <c r="Y506" t="n">
        <v>32.86001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28.41336</v>
      </c>
      <c r="AE506" t="n">
        <v>6.841939</v>
      </c>
    </row>
    <row r="507">
      <c r="A507" s="89" t="n">
        <v>34001</v>
      </c>
      <c r="B507" t="n">
        <v>13.66158</v>
      </c>
      <c r="C507" t="n">
        <v/>
      </c>
      <c r="D507" t="n">
        <v>24.3174</v>
      </c>
      <c r="E507" t="n">
        <v>39.66636</v>
      </c>
      <c r="F507" t="n">
        <v>6.633216</v>
      </c>
      <c r="G507" t="n">
        <v>2.211827</v>
      </c>
      <c r="H507" t="n">
        <v>3.134194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21.02736</v>
      </c>
      <c r="N507" t="n">
        <v>9.307642</v>
      </c>
      <c r="O507" t="n">
        <v>2.753246</v>
      </c>
      <c r="P507" t="n">
        <v>3.306375</v>
      </c>
      <c r="Q507" t="n">
        <v>8.875814</v>
      </c>
      <c r="R507" t="n">
        <v>6.598189</v>
      </c>
      <c r="S507" t="n">
        <v>63.72232</v>
      </c>
      <c r="T507" t="n">
        <v>10.35079</v>
      </c>
      <c r="U507" t="n">
        <v>3.225786</v>
      </c>
      <c r="V507" t="n">
        <v>24.45052</v>
      </c>
      <c r="W507" t="n">
        <v>19.03575</v>
      </c>
      <c r="X507" t="n">
        <v>17.87424</v>
      </c>
      <c r="Y507" t="n">
        <v>33.16171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28.37513</v>
      </c>
      <c r="AE507" t="n">
        <v>6.843863</v>
      </c>
    </row>
    <row r="508">
      <c r="A508" s="89" t="n">
        <v>34029</v>
      </c>
      <c r="B508" t="n">
        <v>13.73443</v>
      </c>
      <c r="C508" t="n">
        <v/>
      </c>
      <c r="D508" t="n">
        <v>24.41769</v>
      </c>
      <c r="E508" t="n">
        <v>39.95182</v>
      </c>
      <c r="F508" t="n">
        <v>6.68051</v>
      </c>
      <c r="G508" t="n">
        <v>2.256151</v>
      </c>
      <c r="H508" t="n">
        <v>3.220094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21.10268</v>
      </c>
      <c r="N508" t="n">
        <v>9.434657</v>
      </c>
      <c r="O508" t="n">
        <v>2.818631</v>
      </c>
      <c r="P508" t="n">
        <v>3.342468</v>
      </c>
      <c r="Q508" t="n">
        <v>8.860041000000001</v>
      </c>
      <c r="R508" t="n">
        <v>6.674175</v>
      </c>
      <c r="S508" t="n">
        <v>63.61598</v>
      </c>
      <c r="T508" t="n">
        <v>10.50279</v>
      </c>
      <c r="U508" t="n">
        <v>3.283189</v>
      </c>
      <c r="V508" t="n">
        <v>24.39298</v>
      </c>
      <c r="W508" t="n">
        <v>19.03161</v>
      </c>
      <c r="X508" t="n">
        <v>17.93146</v>
      </c>
      <c r="Y508" t="n">
        <v>33.32414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28.35186</v>
      </c>
      <c r="AE508" t="n">
        <v>6.8727</v>
      </c>
    </row>
    <row r="509">
      <c r="A509" s="89" t="n">
        <v>34060</v>
      </c>
      <c r="B509" t="n">
        <v>13.77085</v>
      </c>
      <c r="C509" t="n">
        <v/>
      </c>
      <c r="D509" t="n">
        <v>24.41061</v>
      </c>
      <c r="E509" t="n">
        <v>40.1515</v>
      </c>
      <c r="F509" t="n">
        <v>6.822307</v>
      </c>
      <c r="G509" t="n">
        <v>2.291844</v>
      </c>
      <c r="H509" t="n">
        <v>3.293049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21.11696</v>
      </c>
      <c r="N509" t="n">
        <v>9.563959000000001</v>
      </c>
      <c r="O509" t="n">
        <v>2.844302</v>
      </c>
      <c r="P509" t="n">
        <v>3.411236</v>
      </c>
      <c r="Q509" t="n">
        <v>8.862294</v>
      </c>
      <c r="R509" t="n">
        <v>6.757572</v>
      </c>
      <c r="S509" t="n">
        <v>63.86956</v>
      </c>
      <c r="T509" t="n">
        <v>10.64273</v>
      </c>
      <c r="U509" t="n">
        <v>3.357902</v>
      </c>
      <c r="V509" t="n">
        <v>24.4296</v>
      </c>
      <c r="W509" t="n">
        <v>19.11148</v>
      </c>
      <c r="X509" t="n">
        <v>18.01093</v>
      </c>
      <c r="Y509" t="n">
        <v>33.37564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28.34854</v>
      </c>
      <c r="AE509" t="n">
        <v>6.872333</v>
      </c>
    </row>
    <row r="510">
      <c r="A510" s="89" t="n">
        <v>34090</v>
      </c>
      <c r="B510" t="n">
        <v>13.79887</v>
      </c>
      <c r="C510" t="n">
        <v/>
      </c>
      <c r="D510" t="n">
        <v>24.44012</v>
      </c>
      <c r="E510" t="n">
        <v>40.09433</v>
      </c>
      <c r="F510" t="n">
        <v>6.998036</v>
      </c>
      <c r="G510" t="n">
        <v>2.330029</v>
      </c>
      <c r="H510" t="n">
        <v>3.388735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21.13156</v>
      </c>
      <c r="N510" t="n">
        <v>9.680028</v>
      </c>
      <c r="O510" t="n">
        <v>2.843684</v>
      </c>
      <c r="P510" t="n">
        <v>3.466968</v>
      </c>
      <c r="Q510" t="n">
        <v>8.869861999999999</v>
      </c>
      <c r="R510" t="n">
        <v>6.85403</v>
      </c>
      <c r="S510" t="n">
        <v>64.1395</v>
      </c>
      <c r="T510" t="n">
        <v>10.79194</v>
      </c>
      <c r="U510" t="n">
        <v>3.436906</v>
      </c>
      <c r="V510" t="n">
        <v>24.53684</v>
      </c>
      <c r="W510" t="n">
        <v>19.34547</v>
      </c>
      <c r="X510" t="n">
        <v>18.1645</v>
      </c>
      <c r="Y510" t="n">
        <v>33.44787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28.56128</v>
      </c>
      <c r="AE510" t="n">
        <v>6.879258</v>
      </c>
    </row>
    <row r="511">
      <c r="A511" s="89" t="n">
        <v>34121</v>
      </c>
      <c r="B511" t="n">
        <v>13.91094</v>
      </c>
      <c r="C511" t="n">
        <v/>
      </c>
      <c r="D511" t="n">
        <v>24.4836</v>
      </c>
      <c r="E511" t="n">
        <v>40.12416</v>
      </c>
      <c r="F511" t="n">
        <v>7.127446</v>
      </c>
      <c r="G511" t="n">
        <v>2.376665</v>
      </c>
      <c r="H511" t="n">
        <v>3.512841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21.20302</v>
      </c>
      <c r="N511" t="n">
        <v>9.747745</v>
      </c>
      <c r="O511" t="n">
        <v>2.875759</v>
      </c>
      <c r="P511" t="n">
        <v>3.490485</v>
      </c>
      <c r="Q511" t="n">
        <v>8.937452</v>
      </c>
      <c r="R511" t="n">
        <v>6.946791</v>
      </c>
      <c r="S511" t="n">
        <v>64.27856</v>
      </c>
      <c r="T511" t="n">
        <v>10.96939</v>
      </c>
      <c r="U511" t="n">
        <v>3.520147</v>
      </c>
      <c r="V511" t="n">
        <v>24.64669</v>
      </c>
      <c r="W511" t="n">
        <v>19.53069</v>
      </c>
      <c r="X511" t="n">
        <v>18.25815</v>
      </c>
      <c r="Y511" t="n">
        <v>33.57378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28.60699</v>
      </c>
      <c r="AE511" t="n">
        <v>6.853918</v>
      </c>
    </row>
    <row r="512">
      <c r="A512" s="89" t="n">
        <v>34151</v>
      </c>
      <c r="B512" t="n">
        <v>14.02862</v>
      </c>
      <c r="C512" t="n">
        <v/>
      </c>
      <c r="D512" t="n">
        <v>24.5522</v>
      </c>
      <c r="E512" t="n">
        <v>40.38581</v>
      </c>
      <c r="F512" t="n">
        <v>7.262348</v>
      </c>
      <c r="G512" t="n">
        <v>2.38158</v>
      </c>
      <c r="H512" t="n">
        <v>3.673202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21.34278</v>
      </c>
      <c r="N512" t="n">
        <v>9.881387</v>
      </c>
      <c r="O512" t="n">
        <v>2.93056</v>
      </c>
      <c r="P512" t="n">
        <v>3.526952</v>
      </c>
      <c r="Q512" t="n">
        <v>9.141386000000001</v>
      </c>
      <c r="R512" t="n">
        <v>7.04441</v>
      </c>
      <c r="S512" t="n">
        <v>64.27039000000001</v>
      </c>
      <c r="T512" t="n">
        <v>11.1583</v>
      </c>
      <c r="U512" t="n">
        <v>3.598607</v>
      </c>
      <c r="V512" t="n">
        <v>24.7487</v>
      </c>
      <c r="W512" t="n">
        <v>19.99483</v>
      </c>
      <c r="X512" t="n">
        <v>18.33388</v>
      </c>
      <c r="Y512" t="n">
        <v>33.85451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28.60366</v>
      </c>
      <c r="AE512" t="n">
        <v>6.848654</v>
      </c>
    </row>
    <row r="513">
      <c r="A513" s="89" t="n">
        <v>34182</v>
      </c>
      <c r="B513" t="n">
        <v>14.03702</v>
      </c>
      <c r="C513" t="n">
        <v/>
      </c>
      <c r="D513" t="n">
        <v>24.55509</v>
      </c>
      <c r="E513" t="n">
        <v>40.66637</v>
      </c>
      <c r="F513" t="n">
        <v>7.391126</v>
      </c>
      <c r="G513" t="n">
        <v>2.391276</v>
      </c>
      <c r="H513" t="n">
        <v>3.821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21.45719</v>
      </c>
      <c r="N513" t="n">
        <v>9.994849</v>
      </c>
      <c r="O513" t="n">
        <v>3.009543</v>
      </c>
      <c r="P513" t="n">
        <v>3.577121</v>
      </c>
      <c r="Q513" t="n">
        <v>9.220406000000001</v>
      </c>
      <c r="R513" t="n">
        <v>7.199467</v>
      </c>
      <c r="S513" t="n">
        <v>64.40945000000001</v>
      </c>
      <c r="T513" t="n">
        <v>11.37093</v>
      </c>
      <c r="U513" t="n">
        <v>3.652821</v>
      </c>
      <c r="V513" t="n">
        <v>24.80101</v>
      </c>
      <c r="W513" t="n">
        <v>20.28486</v>
      </c>
      <c r="X513" t="n">
        <v>18.43002</v>
      </c>
      <c r="Y513" t="n">
        <v>34.04822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28.63441</v>
      </c>
      <c r="AE513" t="n">
        <v>6.949873</v>
      </c>
    </row>
    <row r="514">
      <c r="A514" s="89" t="n">
        <v>34213</v>
      </c>
      <c r="B514" t="n">
        <v>14.07344</v>
      </c>
      <c r="C514" t="n">
        <v/>
      </c>
      <c r="D514" t="n">
        <v>24.65911</v>
      </c>
      <c r="E514" t="n">
        <v>40.81391</v>
      </c>
      <c r="F514" t="n">
        <v>7.53058</v>
      </c>
      <c r="G514" t="n">
        <v>2.44537</v>
      </c>
      <c r="H514" t="n">
        <v>3.926342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21.50597</v>
      </c>
      <c r="N514" t="n">
        <v>10.09275</v>
      </c>
      <c r="O514" t="n">
        <v>3.087968</v>
      </c>
      <c r="P514" t="n">
        <v>3.615468</v>
      </c>
      <c r="Q514" t="n">
        <v>9.144838</v>
      </c>
      <c r="R514" t="n">
        <v>7.394462</v>
      </c>
      <c r="S514" t="n">
        <v>64.40945000000001</v>
      </c>
      <c r="T514" t="n">
        <v>11.49055</v>
      </c>
      <c r="U514" t="n">
        <v>3.714485</v>
      </c>
      <c r="V514" t="n">
        <v>24.7827</v>
      </c>
      <c r="W514" t="n">
        <v>20.16297</v>
      </c>
      <c r="X514" t="n">
        <v>18.52579</v>
      </c>
      <c r="Y514" t="n">
        <v>34.26584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28.68843</v>
      </c>
      <c r="AE514" t="n">
        <v>7.082903</v>
      </c>
    </row>
    <row r="515">
      <c r="A515" s="89" t="n">
        <v>34243</v>
      </c>
      <c r="B515" t="n">
        <v>14.1659</v>
      </c>
      <c r="C515" t="n">
        <v/>
      </c>
      <c r="D515" t="n">
        <v>24.76658</v>
      </c>
      <c r="E515" t="n">
        <v>41.06517</v>
      </c>
      <c r="F515" t="n">
        <v>7.692958</v>
      </c>
      <c r="G515" t="n">
        <v>2.523816</v>
      </c>
      <c r="H515" t="n">
        <v>4.040804</v>
      </c>
      <c r="I515" t="n">
        <v/>
      </c>
      <c r="J515" t="n">
        <v>18.54488</v>
      </c>
      <c r="K515" t="n">
        <v>28.64165</v>
      </c>
      <c r="L515" t="n">
        <v>33.02144</v>
      </c>
      <c r="M515" t="n">
        <v>21.60697</v>
      </c>
      <c r="N515" t="n">
        <v>10.19202</v>
      </c>
      <c r="O515" t="n">
        <v>3.138422</v>
      </c>
      <c r="P515" t="n">
        <v>3.646096</v>
      </c>
      <c r="Q515" t="n">
        <v>9.119567</v>
      </c>
      <c r="R515" t="n">
        <v>7.600535</v>
      </c>
      <c r="S515" t="n">
        <v>64.52396</v>
      </c>
      <c r="T515" t="n">
        <v>11.59745</v>
      </c>
      <c r="U515" t="n">
        <v>3.769654</v>
      </c>
      <c r="V515" t="n">
        <v>24.72516</v>
      </c>
      <c r="W515" t="n">
        <v>20.18353</v>
      </c>
      <c r="X515" t="n">
        <v>18.62634</v>
      </c>
      <c r="Y515" t="n">
        <v>34.70121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28.72582</v>
      </c>
      <c r="AE515" t="n">
        <v>7.156177</v>
      </c>
    </row>
    <row r="516">
      <c r="A516" s="89" t="n">
        <v>34274</v>
      </c>
      <c r="B516" t="n">
        <v>14.23315</v>
      </c>
      <c r="C516" t="n">
        <v/>
      </c>
      <c r="D516" t="n">
        <v>24.73675</v>
      </c>
      <c r="E516" t="n">
        <v>41.36685</v>
      </c>
      <c r="F516" t="n">
        <v>7.829247</v>
      </c>
      <c r="G516" t="n">
        <v>2.605726</v>
      </c>
      <c r="H516" t="n">
        <v>4.181262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21.77107</v>
      </c>
      <c r="N516" t="n">
        <v>10.26221</v>
      </c>
      <c r="O516" t="n">
        <v>3.190482</v>
      </c>
      <c r="P516" t="n">
        <v>3.698002</v>
      </c>
      <c r="Q516" t="n">
        <v>9.179973</v>
      </c>
      <c r="R516" t="n">
        <v>7.837463</v>
      </c>
      <c r="S516" t="n">
        <v>64.46671000000001</v>
      </c>
      <c r="T516" t="n">
        <v>11.75766</v>
      </c>
      <c r="U516" t="n">
        <v>3.783435</v>
      </c>
      <c r="V516" t="n">
        <v>24.70162</v>
      </c>
      <c r="W516" t="n">
        <v>20.31519</v>
      </c>
      <c r="X516" t="n">
        <v>18.73036</v>
      </c>
      <c r="Y516" t="n">
        <v>35.17036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28.83718</v>
      </c>
      <c r="AE516" t="n">
        <v>7.254843</v>
      </c>
    </row>
    <row r="517">
      <c r="A517" s="89" t="n">
        <v>34304</v>
      </c>
      <c r="B517" t="n">
        <v>14.29479</v>
      </c>
      <c r="C517" t="n">
        <v/>
      </c>
      <c r="D517" t="n">
        <v>24.79899</v>
      </c>
      <c r="E517" t="n">
        <v>41.53017</v>
      </c>
      <c r="F517" t="n">
        <v>7.971923</v>
      </c>
      <c r="G517" t="n">
        <v>2.6642</v>
      </c>
      <c r="H517" t="n">
        <v>4.316201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21.94078</v>
      </c>
      <c r="N517" t="n">
        <v>10.39161</v>
      </c>
      <c r="O517" t="n">
        <v>3.248031</v>
      </c>
      <c r="P517" t="n">
        <v>3.765539</v>
      </c>
      <c r="Q517" t="n">
        <v>9.312113999999999</v>
      </c>
      <c r="R517" t="n">
        <v>8.093139000000001</v>
      </c>
      <c r="S517" t="n">
        <v>64.54031999999999</v>
      </c>
      <c r="T517" t="n">
        <v>11.91662</v>
      </c>
      <c r="U517" t="n">
        <v>3.844779</v>
      </c>
      <c r="V517" t="n">
        <v>24.631</v>
      </c>
      <c r="W517" t="n">
        <v>20.45062</v>
      </c>
      <c r="X517" t="n">
        <v>18.83414</v>
      </c>
      <c r="Y517" t="n">
        <v>35.47553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28.87374</v>
      </c>
      <c r="AE517" t="n">
        <v>7.359367</v>
      </c>
    </row>
    <row r="518">
      <c r="A518" s="89" t="n">
        <v>34335</v>
      </c>
      <c r="B518" t="n">
        <v>14.40686</v>
      </c>
      <c r="C518" t="n">
        <v/>
      </c>
      <c r="D518" t="n">
        <v>24.96447</v>
      </c>
      <c r="E518" t="n">
        <v>41.77111</v>
      </c>
      <c r="F518" t="n">
        <v>8.117302</v>
      </c>
      <c r="G518" t="n">
        <v>2.720741</v>
      </c>
      <c r="H518" t="n">
        <v>4.466726</v>
      </c>
      <c r="I518" t="n">
        <v/>
      </c>
      <c r="J518" t="n">
        <v>19.84448</v>
      </c>
      <c r="K518" t="n">
        <v>29.66182</v>
      </c>
      <c r="L518" t="n">
        <v>34.27485</v>
      </c>
      <c r="M518" t="n">
        <v>22.06284</v>
      </c>
      <c r="N518" t="n">
        <v>10.51924</v>
      </c>
      <c r="O518" t="n">
        <v>3.306293</v>
      </c>
      <c r="P518" t="n">
        <v>3.836406</v>
      </c>
      <c r="Q518" t="n">
        <v>9.396003</v>
      </c>
      <c r="R518" t="n">
        <v>8.278418</v>
      </c>
      <c r="S518" t="n">
        <v>64.61395</v>
      </c>
      <c r="T518" t="n">
        <v>12.14748</v>
      </c>
      <c r="U518" t="n">
        <v>3.94185</v>
      </c>
      <c r="V518" t="n">
        <v>24.65977</v>
      </c>
      <c r="W518" t="n">
        <v>20.23956</v>
      </c>
      <c r="X518" t="n">
        <v>18.96902</v>
      </c>
      <c r="Y518" t="n">
        <v>35.976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28.87707</v>
      </c>
      <c r="AE518" t="n">
        <v>7.424003</v>
      </c>
    </row>
    <row r="519">
      <c r="A519" s="89" t="n">
        <v>34366</v>
      </c>
      <c r="B519" t="n">
        <v>14.52453</v>
      </c>
      <c r="C519" t="n">
        <v/>
      </c>
      <c r="D519" t="n">
        <v>24.93309</v>
      </c>
      <c r="E519" t="n">
        <v>42.17281</v>
      </c>
      <c r="F519" t="n">
        <v>8.245856</v>
      </c>
      <c r="G519" t="n">
        <v>2.778686</v>
      </c>
      <c r="H519" t="n">
        <v>4.618948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22.18202</v>
      </c>
      <c r="N519" t="n">
        <v>10.61094</v>
      </c>
      <c r="O519" t="n">
        <v>3.404782</v>
      </c>
      <c r="P519" t="n">
        <v>3.905887</v>
      </c>
      <c r="Q519" t="n">
        <v>9.383606</v>
      </c>
      <c r="R519" t="n">
        <v>8.471401999999999</v>
      </c>
      <c r="S519" t="n">
        <v>64.70393</v>
      </c>
      <c r="T519" t="n">
        <v>12.40753</v>
      </c>
      <c r="U519" t="n">
        <v>4.043735</v>
      </c>
      <c r="V519" t="n">
        <v>24.69116</v>
      </c>
      <c r="W519" t="n">
        <v>20.24284</v>
      </c>
      <c r="X519" t="n">
        <v>19.09489</v>
      </c>
      <c r="Y519" t="n">
        <v>36.37667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28.88371</v>
      </c>
      <c r="AE519" t="n">
        <v>7.548603</v>
      </c>
    </row>
    <row r="520">
      <c r="A520" s="89" t="n">
        <v>34394</v>
      </c>
      <c r="B520" t="n">
        <v>14.64781</v>
      </c>
      <c r="C520" t="n">
        <v/>
      </c>
      <c r="D520" t="n">
        <v>24.92435</v>
      </c>
      <c r="E520" t="n">
        <v>42.3858</v>
      </c>
      <c r="F520" t="n">
        <v>8.37176</v>
      </c>
      <c r="G520" t="n">
        <v>2.835952</v>
      </c>
      <c r="H520" t="n">
        <v>4.741372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22.32758</v>
      </c>
      <c r="N520" t="n">
        <v>10.72482</v>
      </c>
      <c r="O520" t="n">
        <v>3.459284</v>
      </c>
      <c r="P520" t="n">
        <v>3.960797</v>
      </c>
      <c r="Q520" t="n">
        <v>9.502678</v>
      </c>
      <c r="R520" t="n">
        <v>8.825664</v>
      </c>
      <c r="S520" t="n">
        <v>64.86752</v>
      </c>
      <c r="T520" t="n">
        <v>12.63853</v>
      </c>
      <c r="U520" t="n">
        <v>4.123775</v>
      </c>
      <c r="V520" t="n">
        <v>24.95533</v>
      </c>
      <c r="W520" t="n">
        <v>20.84425</v>
      </c>
      <c r="X520" t="n">
        <v>19.2184</v>
      </c>
      <c r="Y520" t="n">
        <v>36.51466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28.92028</v>
      </c>
      <c r="AE520" t="n">
        <v>7.690009</v>
      </c>
    </row>
    <row r="521">
      <c r="A521" s="89" t="n">
        <v>34425</v>
      </c>
      <c r="B521" t="n">
        <v>14.7879</v>
      </c>
      <c r="C521" t="n">
        <v/>
      </c>
      <c r="D521" t="n">
        <v>25.14571</v>
      </c>
      <c r="E521" t="n">
        <v>42.43375</v>
      </c>
      <c r="F521" t="n">
        <v>8.460214000000001</v>
      </c>
      <c r="G521" t="n">
        <v>2.928112</v>
      </c>
      <c r="H521" t="n">
        <v>4.878918</v>
      </c>
      <c r="I521" t="n">
        <v/>
      </c>
      <c r="J521" t="n">
        <v>20.80084</v>
      </c>
      <c r="K521" t="n">
        <v>29.78154</v>
      </c>
      <c r="L521" t="n">
        <v>34.26828</v>
      </c>
      <c r="M521" t="n">
        <v>22.36516</v>
      </c>
      <c r="N521" t="n">
        <v>10.8917</v>
      </c>
      <c r="O521" t="n">
        <v>3.476745</v>
      </c>
      <c r="P521" t="n">
        <v>4.026421</v>
      </c>
      <c r="Q521" t="n">
        <v>9.546569999999999</v>
      </c>
      <c r="R521" t="n">
        <v>9.016235999999999</v>
      </c>
      <c r="S521" t="n">
        <v>65.17019000000001</v>
      </c>
      <c r="T521" t="n">
        <v>12.89873</v>
      </c>
      <c r="U521" t="n">
        <v>4.072993</v>
      </c>
      <c r="V521" t="n">
        <v>25.19858</v>
      </c>
      <c r="W521" t="n">
        <v>21.06191</v>
      </c>
      <c r="X521" t="n">
        <v>19.35921</v>
      </c>
      <c r="Y521" t="n">
        <v>36.92077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28.93025</v>
      </c>
      <c r="AE521" t="n">
        <v>7.754941</v>
      </c>
    </row>
    <row r="522">
      <c r="A522" s="89" t="n">
        <v>34455</v>
      </c>
      <c r="B522" t="n">
        <v>14.89998</v>
      </c>
      <c r="C522" t="n">
        <v/>
      </c>
      <c r="D522" t="n">
        <v>25.23597</v>
      </c>
      <c r="E522" t="n">
        <v>42.50515</v>
      </c>
      <c r="F522" t="n">
        <v>8.552633999999999</v>
      </c>
      <c r="G522" t="n">
        <v>3.023266</v>
      </c>
      <c r="H522" t="n">
        <v>5.057787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22.43818</v>
      </c>
      <c r="N522" t="n">
        <v>11.04298</v>
      </c>
      <c r="O522" t="n">
        <v>3.518213</v>
      </c>
      <c r="P522" t="n">
        <v>4.093244</v>
      </c>
      <c r="Q522" t="n">
        <v>9.437055000000001</v>
      </c>
      <c r="R522" t="n">
        <v>9.076665</v>
      </c>
      <c r="S522" t="n">
        <v>65.22745</v>
      </c>
      <c r="T522" t="n">
        <v>13.19034</v>
      </c>
      <c r="U522" t="n">
        <v>4.054078</v>
      </c>
      <c r="V522" t="n">
        <v>25.24043</v>
      </c>
      <c r="W522" t="n">
        <v>21.03008</v>
      </c>
      <c r="X522" t="n">
        <v>19.52918</v>
      </c>
      <c r="Y522" t="n">
        <v>37.32877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29.0092</v>
      </c>
      <c r="AE522" t="n">
        <v>7.866181</v>
      </c>
    </row>
    <row r="523">
      <c r="A523" s="89" t="n">
        <v>34486</v>
      </c>
      <c r="B523" t="n">
        <v>14.98123</v>
      </c>
      <c r="C523" t="n">
        <v/>
      </c>
      <c r="D523" t="n">
        <v>25.43205</v>
      </c>
      <c r="E523" t="n">
        <v>42.57487</v>
      </c>
      <c r="F523" t="n">
        <v>8.653027</v>
      </c>
      <c r="G523" t="n">
        <v>3.083249</v>
      </c>
      <c r="H523" t="n">
        <v>5.203945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22.5228</v>
      </c>
      <c r="N523" t="n">
        <v>11.18503</v>
      </c>
      <c r="O523" t="n">
        <v>3.540255</v>
      </c>
      <c r="P523" t="n">
        <v>4.142064</v>
      </c>
      <c r="Q523" t="n">
        <v>9.433172000000001</v>
      </c>
      <c r="R523" t="n">
        <v>9.318080999999999</v>
      </c>
      <c r="S523" t="n">
        <v>65.26835</v>
      </c>
      <c r="T523" t="n">
        <v>13.45282</v>
      </c>
      <c r="U523" t="n">
        <v>4.137399</v>
      </c>
      <c r="V523" t="n">
        <v>25.4863</v>
      </c>
      <c r="W523" t="n">
        <v>21.17017</v>
      </c>
      <c r="X523" t="n">
        <v>19.6571</v>
      </c>
      <c r="Y523" t="n">
        <v>37.53341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28.91529</v>
      </c>
      <c r="AE523" t="n">
        <v>7.918225</v>
      </c>
    </row>
    <row r="524">
      <c r="A524" s="89" t="n">
        <v>34516</v>
      </c>
      <c r="B524" t="n">
        <v>15.04287</v>
      </c>
      <c r="C524" t="n">
        <v/>
      </c>
      <c r="D524" t="n">
        <v>25.62828</v>
      </c>
      <c r="E524" t="n">
        <v>42.57529</v>
      </c>
      <c r="F524" t="n">
        <v>8.771359</v>
      </c>
      <c r="G524" t="n">
        <v>3.174273</v>
      </c>
      <c r="H524" t="n">
        <v>5.347446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22.52909</v>
      </c>
      <c r="N524" t="n">
        <v>11.27498</v>
      </c>
      <c r="O524" t="n">
        <v>3.572779</v>
      </c>
      <c r="P524" t="n">
        <v>4.208702</v>
      </c>
      <c r="Q524" t="n">
        <v>9.449413</v>
      </c>
      <c r="R524" t="n">
        <v>9.553063999999999</v>
      </c>
      <c r="S524" t="n">
        <v>65.59555</v>
      </c>
      <c r="T524" t="n">
        <v>13.66862</v>
      </c>
      <c r="U524" t="n">
        <v>4.22351</v>
      </c>
      <c r="V524" t="n">
        <v>25.60138</v>
      </c>
      <c r="W524" t="n">
        <v>21.27758</v>
      </c>
      <c r="X524" t="n">
        <v>19.86225</v>
      </c>
      <c r="Y524" t="n">
        <v>37.69778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28.98759</v>
      </c>
      <c r="AE524" t="n">
        <v>7.954127</v>
      </c>
    </row>
    <row r="525">
      <c r="A525" s="89" t="n">
        <v>34547</v>
      </c>
      <c r="B525" t="n">
        <v>15.14373</v>
      </c>
      <c r="C525" t="n">
        <v>2.731764</v>
      </c>
      <c r="D525" t="n">
        <v>25.81309</v>
      </c>
      <c r="E525" t="n">
        <v>42.52618</v>
      </c>
      <c r="F525" t="n">
        <v>8.935891</v>
      </c>
      <c r="G525" t="n">
        <v>3.272449</v>
      </c>
      <c r="H525" t="n">
        <v>5.527534</v>
      </c>
      <c r="I525" t="n">
        <v/>
      </c>
      <c r="J525" t="n">
        <v>22.00949</v>
      </c>
      <c r="K525" t="n">
        <v>29.14133</v>
      </c>
      <c r="L525" t="n">
        <v>34.32076</v>
      </c>
      <c r="M525" t="n">
        <v>22.58616</v>
      </c>
      <c r="N525" t="n">
        <v>11.39024</v>
      </c>
      <c r="O525" t="n">
        <v>3.630134</v>
      </c>
      <c r="P525" t="n">
        <v>4.264457</v>
      </c>
      <c r="Q525" t="n">
        <v>9.451738000000001</v>
      </c>
      <c r="R525" t="n">
        <v>9.729811</v>
      </c>
      <c r="S525" t="n">
        <v>65.71007</v>
      </c>
      <c r="T525" t="n">
        <v>13.88248</v>
      </c>
      <c r="U525" t="n">
        <v>4.327377</v>
      </c>
      <c r="V525" t="n">
        <v>25.60661</v>
      </c>
      <c r="W525" t="n">
        <v>21.37614</v>
      </c>
      <c r="X525" t="n">
        <v>19.994</v>
      </c>
      <c r="Y525" t="n">
        <v>38.01585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28.96682</v>
      </c>
      <c r="AE525" t="n">
        <v>8.062306</v>
      </c>
    </row>
    <row r="526">
      <c r="A526" s="89" t="n">
        <v>34578</v>
      </c>
      <c r="B526" t="n">
        <v>15.19977</v>
      </c>
      <c r="C526" t="n">
        <v>2.874224</v>
      </c>
      <c r="D526" t="n">
        <v>25.89425</v>
      </c>
      <c r="E526" t="n">
        <v>42.6335</v>
      </c>
      <c r="F526" t="n">
        <v>9.110007</v>
      </c>
      <c r="G526" t="n">
        <v>3.345148</v>
      </c>
      <c r="H526" t="n">
        <v>5.708652</v>
      </c>
      <c r="I526" t="n">
        <v/>
      </c>
      <c r="J526" t="n">
        <v>22.16497</v>
      </c>
      <c r="K526" t="n">
        <v>28.79664</v>
      </c>
      <c r="L526" t="n">
        <v>34.19673</v>
      </c>
      <c r="M526" t="n">
        <v>22.70085</v>
      </c>
      <c r="N526" t="n">
        <v>11.53687</v>
      </c>
      <c r="O526" t="n">
        <v>3.699441</v>
      </c>
      <c r="P526" t="n">
        <v>4.337437</v>
      </c>
      <c r="Q526" t="n">
        <v>9.486117</v>
      </c>
      <c r="R526" t="n">
        <v>9.872097999999999</v>
      </c>
      <c r="S526" t="n">
        <v>65.98000999999999</v>
      </c>
      <c r="T526" t="n">
        <v>14.13488</v>
      </c>
      <c r="U526" t="n">
        <v>4.437713</v>
      </c>
      <c r="V526" t="n">
        <v>25.75047</v>
      </c>
      <c r="W526" t="n">
        <v>21.47886</v>
      </c>
      <c r="X526" t="n">
        <v>20.13384</v>
      </c>
      <c r="Y526" t="n">
        <v>38.31871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28.97014</v>
      </c>
      <c r="AE526" t="n">
        <v>8.108701999999999</v>
      </c>
    </row>
    <row r="527">
      <c r="A527" s="89" t="n">
        <v>34608</v>
      </c>
      <c r="B527" t="n">
        <v>15.29783</v>
      </c>
      <c r="C527" t="n">
        <v>3.011426</v>
      </c>
      <c r="D527" t="n">
        <v>25.91845</v>
      </c>
      <c r="E527" t="n">
        <v>42.77293</v>
      </c>
      <c r="F527" t="n">
        <v>9.345655000000001</v>
      </c>
      <c r="G527" t="n">
        <v>3.424112</v>
      </c>
      <c r="H527" t="n">
        <v>5.874862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22.77085</v>
      </c>
      <c r="N527" t="n">
        <v>11.66636</v>
      </c>
      <c r="O527" t="n">
        <v>3.757281</v>
      </c>
      <c r="P527" t="n">
        <v>4.435031</v>
      </c>
      <c r="Q527" t="n">
        <v>9.530014</v>
      </c>
      <c r="R527" t="n">
        <v>10.0147</v>
      </c>
      <c r="S527" t="n">
        <v>66.10271</v>
      </c>
      <c r="T527" t="n">
        <v>14.35621</v>
      </c>
      <c r="U527" t="n">
        <v>4.515057</v>
      </c>
      <c r="V527" t="n">
        <v>25.78447</v>
      </c>
      <c r="W527" t="n">
        <v>21.58343</v>
      </c>
      <c r="X527" t="n">
        <v>20.26332</v>
      </c>
      <c r="Y527" t="n">
        <v>38.63092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28.95518</v>
      </c>
      <c r="AE527" t="n">
        <v>8.192432999999999</v>
      </c>
    </row>
    <row r="528">
      <c r="A528" s="89" t="n">
        <v>34639</v>
      </c>
      <c r="B528" t="n">
        <v>15.49116</v>
      </c>
      <c r="C528" t="n">
        <v>3.132388</v>
      </c>
      <c r="D528" t="n">
        <v>25.97733</v>
      </c>
      <c r="E528" t="n">
        <v>42.91948</v>
      </c>
      <c r="F528" t="n">
        <v>9.522462000000001</v>
      </c>
      <c r="G528" t="n">
        <v>3.506343</v>
      </c>
      <c r="H528" t="n">
        <v>6.016412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22.872</v>
      </c>
      <c r="N528" t="n">
        <v>11.86837</v>
      </c>
      <c r="O528" t="n">
        <v>3.814572</v>
      </c>
      <c r="P528" t="n">
        <v>4.49903</v>
      </c>
      <c r="Q528" t="n">
        <v>9.559862000000001</v>
      </c>
      <c r="R528" t="n">
        <v>10.16016</v>
      </c>
      <c r="S528" t="n">
        <v>66.19269</v>
      </c>
      <c r="T528" t="n">
        <v>14.59548</v>
      </c>
      <c r="U528" t="n">
        <v>4.539572</v>
      </c>
      <c r="V528" t="n">
        <v>25.81063</v>
      </c>
      <c r="W528" t="n">
        <v>21.71699</v>
      </c>
      <c r="X528" t="n">
        <v>20.38137</v>
      </c>
      <c r="Y528" t="n">
        <v>39.05559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28.97928</v>
      </c>
      <c r="AE528" t="n">
        <v>8.306296</v>
      </c>
    </row>
    <row r="529">
      <c r="A529" s="89" t="n">
        <v>34669</v>
      </c>
      <c r="B529" t="n">
        <v>15.65366</v>
      </c>
      <c r="C529" t="n">
        <v>3.262094</v>
      </c>
      <c r="D529" t="n">
        <v>26.0649</v>
      </c>
      <c r="E529" t="n">
        <v>43.1185</v>
      </c>
      <c r="F529" t="n">
        <v>9.614050000000001</v>
      </c>
      <c r="G529" t="n">
        <v>3.583316</v>
      </c>
      <c r="H529" t="n">
        <v>6.168618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23.01167</v>
      </c>
      <c r="N529" t="n">
        <v>11.90056</v>
      </c>
      <c r="O529" t="n">
        <v>3.893908</v>
      </c>
      <c r="P529" t="n">
        <v>4.548928</v>
      </c>
      <c r="Q529" t="n">
        <v>9.590674999999999</v>
      </c>
      <c r="R529" t="n">
        <v>10.202</v>
      </c>
      <c r="S529" t="n">
        <v>66.38083</v>
      </c>
      <c r="T529" t="n">
        <v>14.89881</v>
      </c>
      <c r="U529" t="n">
        <v>4.643118</v>
      </c>
      <c r="V529" t="n">
        <v>25.85771</v>
      </c>
      <c r="W529" t="n">
        <v>22.03489</v>
      </c>
      <c r="X529" t="n">
        <v>20.50366</v>
      </c>
      <c r="Y529" t="n">
        <v>39.22496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28.97263</v>
      </c>
      <c r="AE529" t="n">
        <v>8.439641</v>
      </c>
    </row>
    <row r="530">
      <c r="A530" s="89" t="n">
        <v>34700</v>
      </c>
      <c r="B530" t="n">
        <v>15.7209</v>
      </c>
      <c r="C530" t="n">
        <v>3.400568</v>
      </c>
      <c r="D530" t="n">
        <v>26.13629</v>
      </c>
      <c r="E530" t="n">
        <v>43.10541</v>
      </c>
      <c r="F530" t="n">
        <v>9.748739</v>
      </c>
      <c r="G530" t="n">
        <v>3.678381</v>
      </c>
      <c r="H530" t="n">
        <v>6.317819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23.10771</v>
      </c>
      <c r="N530" t="n">
        <v>11.92529</v>
      </c>
      <c r="O530" t="n">
        <v>3.986418</v>
      </c>
      <c r="P530" t="n">
        <v>4.585485</v>
      </c>
      <c r="Q530" t="n">
        <v>9.585978000000001</v>
      </c>
      <c r="R530" t="n">
        <v>10.21282</v>
      </c>
      <c r="S530" t="n">
        <v>66.57715</v>
      </c>
      <c r="T530" t="n">
        <v>15.01891</v>
      </c>
      <c r="U530" t="n">
        <v>4.750486</v>
      </c>
      <c r="V530" t="n">
        <v>25.77662</v>
      </c>
      <c r="W530" t="n">
        <v>22.39903</v>
      </c>
      <c r="X530" t="n">
        <v>20.66548</v>
      </c>
      <c r="Y530" t="n">
        <v>39.35686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29.02249</v>
      </c>
      <c r="AE530" t="n">
        <v>8.473846</v>
      </c>
    </row>
    <row r="531">
      <c r="A531" s="89" t="n">
        <v>34731</v>
      </c>
      <c r="B531" t="n">
        <v>15.75172</v>
      </c>
      <c r="C531" t="n">
        <v>3.530016</v>
      </c>
      <c r="D531" t="n">
        <v>26.13784</v>
      </c>
      <c r="E531" t="n">
        <v>42.9701</v>
      </c>
      <c r="F531" t="n">
        <v>9.897829</v>
      </c>
      <c r="G531" t="n">
        <v>3.775278</v>
      </c>
      <c r="H531" t="n">
        <v>6.464534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23.25348</v>
      </c>
      <c r="N531" t="n">
        <v>12.09283</v>
      </c>
      <c r="O531" t="n">
        <v>4.085904</v>
      </c>
      <c r="P531" t="n">
        <v>4.628234</v>
      </c>
      <c r="Q531" t="n">
        <v>9.587081</v>
      </c>
      <c r="R531" t="n">
        <v>10.36238</v>
      </c>
      <c r="S531" t="n">
        <v>66.87981000000001</v>
      </c>
      <c r="T531" t="n">
        <v>15.09808</v>
      </c>
      <c r="U531" t="n">
        <v>4.76458</v>
      </c>
      <c r="V531" t="n">
        <v>25.8891</v>
      </c>
      <c r="W531" t="n">
        <v>22.74401</v>
      </c>
      <c r="X531" t="n">
        <v>20.75971</v>
      </c>
      <c r="Y531" t="n">
        <v>39.60699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29.00172</v>
      </c>
      <c r="AE531" t="n">
        <v>8.436336000000001</v>
      </c>
    </row>
    <row r="532">
      <c r="A532" s="89" t="n">
        <v>34759</v>
      </c>
      <c r="B532" t="n">
        <v>15.88061</v>
      </c>
      <c r="C532" t="n">
        <v>3.600063</v>
      </c>
      <c r="D532" t="n">
        <v>26.2922</v>
      </c>
      <c r="E532" t="n">
        <v>42.86706</v>
      </c>
      <c r="F532" t="n">
        <v>10.07043</v>
      </c>
      <c r="G532" t="n">
        <v>3.852797</v>
      </c>
      <c r="H532" t="n">
        <v>6.65705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23.53128</v>
      </c>
      <c r="N532" t="n">
        <v>12.26583</v>
      </c>
      <c r="O532" t="n">
        <v>4.17741</v>
      </c>
      <c r="P532" t="n">
        <v>4.764046</v>
      </c>
      <c r="Q532" t="n">
        <v>9.615411</v>
      </c>
      <c r="R532" t="n">
        <v>10.5807</v>
      </c>
      <c r="S532" t="n">
        <v>67.02705</v>
      </c>
      <c r="T532" t="n">
        <v>15.32363</v>
      </c>
      <c r="U532" t="n">
        <v>4.850297</v>
      </c>
      <c r="V532" t="n">
        <v>26.07742</v>
      </c>
      <c r="W532" t="n">
        <v>22.99413</v>
      </c>
      <c r="X532" t="n">
        <v>20.89686</v>
      </c>
      <c r="Y532" t="n">
        <v>40.00695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29.01169</v>
      </c>
      <c r="AE532" t="n">
        <v>8.548607000000001</v>
      </c>
    </row>
    <row r="533">
      <c r="A533" s="89" t="n">
        <v>34790</v>
      </c>
      <c r="B533" t="n">
        <v>16.01229</v>
      </c>
      <c r="C533" t="n">
        <v>3.644683</v>
      </c>
      <c r="D533" t="n">
        <v>26.43033</v>
      </c>
      <c r="E533" t="n">
        <v>42.78522</v>
      </c>
      <c r="F533" t="n">
        <v>10.24099</v>
      </c>
      <c r="G533" t="n">
        <v>3.93343</v>
      </c>
      <c r="H533" t="n">
        <v>6.856443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23.72336</v>
      </c>
      <c r="N533" t="n">
        <v>12.41145</v>
      </c>
      <c r="O533" t="n">
        <v>4.238122</v>
      </c>
      <c r="P533" t="n">
        <v>4.822098</v>
      </c>
      <c r="Q533" t="n">
        <v>9.597218</v>
      </c>
      <c r="R533" t="n">
        <v>10.79768</v>
      </c>
      <c r="S533" t="n">
        <v>67.10885</v>
      </c>
      <c r="T533" t="n">
        <v>15.54006</v>
      </c>
      <c r="U533" t="n">
        <v>4.895271</v>
      </c>
      <c r="V533" t="n">
        <v>26.28928</v>
      </c>
      <c r="W533" t="n">
        <v>23.11274</v>
      </c>
      <c r="X533" t="n">
        <v>21.03815</v>
      </c>
      <c r="Y533" t="n">
        <v>40.59649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29.079</v>
      </c>
      <c r="AE533" t="n">
        <v>8.783345000000001</v>
      </c>
    </row>
    <row r="534">
      <c r="A534" s="89" t="n">
        <v>34820</v>
      </c>
      <c r="B534" t="n">
        <v>16.09915</v>
      </c>
      <c r="C534" t="n">
        <v>3.732823</v>
      </c>
      <c r="D534" t="n">
        <v>26.57368</v>
      </c>
      <c r="E534" t="n">
        <v>43.01034</v>
      </c>
      <c r="F534" t="n">
        <v>10.43724</v>
      </c>
      <c r="G534" t="n">
        <v>4.014471</v>
      </c>
      <c r="H534" t="n">
        <v>7.030957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23.82262</v>
      </c>
      <c r="N534" t="n">
        <v>12.52541</v>
      </c>
      <c r="O534" t="n">
        <v>4.291777</v>
      </c>
      <c r="P534" t="n">
        <v>4.806061</v>
      </c>
      <c r="Q534" t="n">
        <v>9.601129999999999</v>
      </c>
      <c r="R534" t="n">
        <v>11.02869</v>
      </c>
      <c r="S534" t="n">
        <v>67.20701</v>
      </c>
      <c r="T534" t="n">
        <v>15.76341</v>
      </c>
      <c r="U534" t="n">
        <v>4.910354</v>
      </c>
      <c r="V534" t="n">
        <v>26.50376</v>
      </c>
      <c r="W534" t="n">
        <v>23.23631</v>
      </c>
      <c r="X534" t="n">
        <v>21.20884</v>
      </c>
      <c r="Y534" t="n">
        <v>41.17422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29.28676</v>
      </c>
      <c r="AE534" t="n">
        <v>9.045225</v>
      </c>
    </row>
    <row r="535">
      <c r="A535" s="89" t="n">
        <v>34851</v>
      </c>
      <c r="B535" t="n">
        <v>16.14678</v>
      </c>
      <c r="C535" t="n">
        <v>3.823047</v>
      </c>
      <c r="D535" t="n">
        <v>26.72949</v>
      </c>
      <c r="E535" t="n">
        <v>43.28071</v>
      </c>
      <c r="F535" t="n">
        <v>10.65419</v>
      </c>
      <c r="G535" t="n">
        <v>4.090871</v>
      </c>
      <c r="H535" t="n">
        <v>7.197276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23.99669</v>
      </c>
      <c r="N535" t="n">
        <v>12.70839</v>
      </c>
      <c r="O535" t="n">
        <v>4.383917</v>
      </c>
      <c r="P535" t="n">
        <v>4.858943</v>
      </c>
      <c r="Q535" t="n">
        <v>9.658422</v>
      </c>
      <c r="R535" t="n">
        <v>11.21854</v>
      </c>
      <c r="S535" t="n">
        <v>67.32153</v>
      </c>
      <c r="T535" t="n">
        <v>16.0016</v>
      </c>
      <c r="U535" t="n">
        <v>4.988491</v>
      </c>
      <c r="V535" t="n">
        <v>26.59792</v>
      </c>
      <c r="W535" t="n">
        <v>23.37521</v>
      </c>
      <c r="X535" t="n">
        <v>21.3961</v>
      </c>
      <c r="Y535" t="n">
        <v>41.74086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29.49202</v>
      </c>
      <c r="AE535" t="n">
        <v>9.2211</v>
      </c>
    </row>
    <row r="536">
      <c r="A536" s="89" t="n">
        <v>34881</v>
      </c>
      <c r="B536" t="n">
        <v>16.20842</v>
      </c>
      <c r="C536" t="n">
        <v>3.966213</v>
      </c>
      <c r="D536" t="n">
        <v>26.9051</v>
      </c>
      <c r="E536" t="n">
        <v>43.41705</v>
      </c>
      <c r="F536" t="n">
        <v>10.76532</v>
      </c>
      <c r="G536" t="n">
        <v>4.18152</v>
      </c>
      <c r="H536" t="n">
        <v>7.330173</v>
      </c>
      <c r="I536" t="n">
        <v/>
      </c>
      <c r="J536" t="n">
        <v>25.56504</v>
      </c>
      <c r="K536" t="n">
        <v>28.76387</v>
      </c>
      <c r="L536" t="n">
        <v>35.41512</v>
      </c>
      <c r="M536" t="n">
        <v>24.23396</v>
      </c>
      <c r="N536" t="n">
        <v>12.91949</v>
      </c>
      <c r="O536" t="n">
        <v>4.495667</v>
      </c>
      <c r="P536" t="n">
        <v>4.904411</v>
      </c>
      <c r="Q536" t="n">
        <v>9.660066</v>
      </c>
      <c r="R536" t="n">
        <v>11.43182</v>
      </c>
      <c r="S536" t="n">
        <v>67.37879</v>
      </c>
      <c r="T536" t="n">
        <v>16.24304</v>
      </c>
      <c r="U536" t="n">
        <v>5.032389</v>
      </c>
      <c r="V536" t="n">
        <v>26.66854</v>
      </c>
      <c r="W536" t="n">
        <v>23.45288</v>
      </c>
      <c r="X536" t="n">
        <v>21.56635</v>
      </c>
      <c r="Y536" t="n">
        <v>42.2859</v>
      </c>
      <c r="Z536" t="n">
        <v>8.576559</v>
      </c>
      <c r="AA536" t="n">
        <v>0.4661649</v>
      </c>
      <c r="AB536" t="n">
        <v>26.57784</v>
      </c>
      <c r="AC536" t="n">
        <v>0.1642164</v>
      </c>
      <c r="AD536" t="n">
        <v>29.64576</v>
      </c>
      <c r="AE536" t="n">
        <v>9.308574</v>
      </c>
    </row>
    <row r="537">
      <c r="A537" s="89" t="n">
        <v>34912</v>
      </c>
      <c r="B537" t="n">
        <v>16.3401</v>
      </c>
      <c r="C537" t="n">
        <v>4.172592</v>
      </c>
      <c r="D537" t="n">
        <v>27.04142</v>
      </c>
      <c r="E537" t="n">
        <v>43.67855</v>
      </c>
      <c r="F537" t="n">
        <v>10.88548</v>
      </c>
      <c r="G537" t="n">
        <v>4.277171</v>
      </c>
      <c r="H537" t="n">
        <v>7.436007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24.52649</v>
      </c>
      <c r="N537" t="n">
        <v>13.09751</v>
      </c>
      <c r="O537" t="n">
        <v>4.601474</v>
      </c>
      <c r="P537" t="n">
        <v>4.962574</v>
      </c>
      <c r="Q537" t="n">
        <v>9.686919</v>
      </c>
      <c r="R537" t="n">
        <v>11.62739</v>
      </c>
      <c r="S537" t="n">
        <v>67.55875</v>
      </c>
      <c r="T537" t="n">
        <v>16.48168</v>
      </c>
      <c r="U537" t="n">
        <v>5.095764</v>
      </c>
      <c r="V537" t="n">
        <v>26.84379</v>
      </c>
      <c r="W537" t="n">
        <v>23.55938</v>
      </c>
      <c r="X537" t="n">
        <v>21.76791</v>
      </c>
      <c r="Y537" t="n">
        <v>42.65257</v>
      </c>
      <c r="Z537" t="n">
        <v>8.815132999999999</v>
      </c>
      <c r="AA537" t="n">
        <v>0.4843619</v>
      </c>
      <c r="AB537" t="n">
        <v>26.74956</v>
      </c>
      <c r="AC537" t="n">
        <v>0.1726184</v>
      </c>
      <c r="AD537" t="n">
        <v>29.82526</v>
      </c>
      <c r="AE537" t="n">
        <v>9.338862000000001</v>
      </c>
    </row>
    <row r="538">
      <c r="A538" s="89" t="n">
        <v>34943</v>
      </c>
      <c r="B538" t="n">
        <v>16.50821</v>
      </c>
      <c r="C538" t="n">
        <v>4.321382</v>
      </c>
      <c r="D538" t="n">
        <v>27.16973</v>
      </c>
      <c r="E538" t="n">
        <v>43.91418</v>
      </c>
      <c r="F538" t="n">
        <v>11.11331</v>
      </c>
      <c r="G538" t="n">
        <v>4.363658</v>
      </c>
      <c r="H538" t="n">
        <v>7.639474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24.73658</v>
      </c>
      <c r="N538" t="n">
        <v>13.3496</v>
      </c>
      <c r="O538" t="n">
        <v>4.694549</v>
      </c>
      <c r="P538" t="n">
        <v>5.037403</v>
      </c>
      <c r="Q538" t="n">
        <v>9.764265</v>
      </c>
      <c r="R538" t="n">
        <v>11.83056</v>
      </c>
      <c r="S538" t="n">
        <v>67.80415000000001</v>
      </c>
      <c r="T538" t="n">
        <v>16.75093</v>
      </c>
      <c r="U538" t="n">
        <v>5.186029</v>
      </c>
      <c r="V538" t="n">
        <v>26.87779</v>
      </c>
      <c r="W538" t="n">
        <v>23.86822</v>
      </c>
      <c r="X538" t="n">
        <v>21.94475</v>
      </c>
      <c r="Y538" t="n">
        <v>43.09883</v>
      </c>
      <c r="Z538" t="n">
        <v>9.037318000000001</v>
      </c>
      <c r="AA538" t="n">
        <v>0.5149488</v>
      </c>
      <c r="AB538" t="n">
        <v>26.98697</v>
      </c>
      <c r="AC538" t="n">
        <v>0.1798101</v>
      </c>
      <c r="AD538" t="n">
        <v>29.93412</v>
      </c>
      <c r="AE538" t="n">
        <v>9.387548000000001</v>
      </c>
    </row>
    <row r="539">
      <c r="A539" s="89" t="n">
        <v>34973</v>
      </c>
      <c r="B539" t="n">
        <v>16.68472</v>
      </c>
      <c r="C539" t="n">
        <v>4.439803</v>
      </c>
      <c r="D539" t="n">
        <v>27.15934</v>
      </c>
      <c r="E539" t="n">
        <v>44.09539</v>
      </c>
      <c r="F539" t="n">
        <v>11.24747</v>
      </c>
      <c r="G539" t="n">
        <v>4.451643</v>
      </c>
      <c r="H539" t="n">
        <v>7.910765</v>
      </c>
      <c r="I539" t="n">
        <v/>
      </c>
      <c r="J539" t="n">
        <v>27.51003</v>
      </c>
      <c r="K539" t="n">
        <v>28.95426</v>
      </c>
      <c r="L539" t="n">
        <v>35.65859</v>
      </c>
      <c r="M539" t="n">
        <v>24.9387</v>
      </c>
      <c r="N539" t="n">
        <v>13.5932</v>
      </c>
      <c r="O539" t="n">
        <v>4.788361</v>
      </c>
      <c r="P539" t="n">
        <v>5.1109</v>
      </c>
      <c r="Q539" t="n">
        <v>9.77097</v>
      </c>
      <c r="R539" t="n">
        <v>12.04128</v>
      </c>
      <c r="S539" t="n">
        <v>67.88594999999999</v>
      </c>
      <c r="T539" t="n">
        <v>17.05043</v>
      </c>
      <c r="U539" t="n">
        <v>5.294719</v>
      </c>
      <c r="V539" t="n">
        <v>27.34598</v>
      </c>
      <c r="W539" t="n">
        <v>24.20768</v>
      </c>
      <c r="X539" t="n">
        <v>22.10395</v>
      </c>
      <c r="Y539" t="n">
        <v>43.67135</v>
      </c>
      <c r="Z539" t="n">
        <v>9.24896</v>
      </c>
      <c r="AA539" t="n">
        <v>0.5366938</v>
      </c>
      <c r="AB539" t="n">
        <v>27.17811</v>
      </c>
      <c r="AC539" t="n">
        <v>0.1863189</v>
      </c>
      <c r="AD539" t="n">
        <v>30.02803</v>
      </c>
      <c r="AE539" t="n">
        <v>9.426302</v>
      </c>
    </row>
    <row r="540">
      <c r="A540" s="89" t="n">
        <v>35004</v>
      </c>
      <c r="B540" t="n">
        <v>16.83322</v>
      </c>
      <c r="C540" t="n">
        <v>4.601034</v>
      </c>
      <c r="D540" t="n">
        <v>27.38886</v>
      </c>
      <c r="E540" t="n">
        <v>44.25584</v>
      </c>
      <c r="F540" t="n">
        <v>11.39327</v>
      </c>
      <c r="G540" t="n">
        <v>4.541477</v>
      </c>
      <c r="H540" t="n">
        <v>8.012881999999999</v>
      </c>
      <c r="I540" t="n">
        <v/>
      </c>
      <c r="J540" t="n">
        <v>28.04542</v>
      </c>
      <c r="K540" t="n">
        <v>29.03315</v>
      </c>
      <c r="L540" t="n">
        <v>35.87891</v>
      </c>
      <c r="M540" t="n">
        <v>25.13872</v>
      </c>
      <c r="N540" t="n">
        <v>13.78581</v>
      </c>
      <c r="O540" t="n">
        <v>4.893163</v>
      </c>
      <c r="P540" t="n">
        <v>5.158834</v>
      </c>
      <c r="Q540" t="n">
        <v>9.727136</v>
      </c>
      <c r="R540" t="n">
        <v>12.26816</v>
      </c>
      <c r="S540" t="n">
        <v>68.31131000000001</v>
      </c>
      <c r="T540" t="n">
        <v>17.37582</v>
      </c>
      <c r="U540" t="n">
        <v>5.448874</v>
      </c>
      <c r="V540" t="n">
        <v>27.92402</v>
      </c>
      <c r="W540" t="n">
        <v>24.56487</v>
      </c>
      <c r="X540" t="n">
        <v>22.32019</v>
      </c>
      <c r="Y540" t="n">
        <v>44.07953</v>
      </c>
      <c r="Z540" t="n">
        <v>9.498862000000001</v>
      </c>
      <c r="AA540" t="n">
        <v>0.5475883</v>
      </c>
      <c r="AB540" t="n">
        <v>27.28294</v>
      </c>
      <c r="AC540" t="n">
        <v>0.1980051</v>
      </c>
      <c r="AD540" t="n">
        <v>30.08204</v>
      </c>
      <c r="AE540" t="n">
        <v>9.440257000000001</v>
      </c>
    </row>
    <row r="541">
      <c r="A541" s="89" t="n">
        <v>35034</v>
      </c>
      <c r="B541" t="n">
        <v>17.02374</v>
      </c>
      <c r="C541" t="n">
        <v>4.775141</v>
      </c>
      <c r="D541" t="n">
        <v>27.45669</v>
      </c>
      <c r="E541" t="n">
        <v>44.41164</v>
      </c>
      <c r="F541" t="n">
        <v>11.58544</v>
      </c>
      <c r="G541" t="n">
        <v>4.630622</v>
      </c>
      <c r="H541" t="n">
        <v>8.039967000000001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25.62246</v>
      </c>
      <c r="N541" t="n">
        <v>14.04984</v>
      </c>
      <c r="O541" t="n">
        <v>4.987531</v>
      </c>
      <c r="P541" t="n">
        <v>5.206399</v>
      </c>
      <c r="Q541" t="n">
        <v>9.769175000000001</v>
      </c>
      <c r="R541" t="n">
        <v>12.48645</v>
      </c>
      <c r="S541" t="n">
        <v>68.48309</v>
      </c>
      <c r="T541" t="n">
        <v>17.62312</v>
      </c>
      <c r="U541" t="n">
        <v>5.59952</v>
      </c>
      <c r="V541" t="n">
        <v>28.11232</v>
      </c>
      <c r="W541" t="n">
        <v>24.83197</v>
      </c>
      <c r="X541" t="n">
        <v>22.56988</v>
      </c>
      <c r="Y541" t="n">
        <v>44.57845</v>
      </c>
      <c r="Z541" t="n">
        <v>9.720267</v>
      </c>
      <c r="AA541" t="n">
        <v>0.5427224</v>
      </c>
      <c r="AB541" t="n">
        <v>27.32328</v>
      </c>
      <c r="AC541" t="n">
        <v>0.2145036</v>
      </c>
      <c r="AD541" t="n">
        <v>30.16182</v>
      </c>
      <c r="AE541" t="n">
        <v>9.638271</v>
      </c>
    </row>
    <row r="542">
      <c r="A542" s="89" t="n">
        <v>35065</v>
      </c>
      <c r="B542" t="n">
        <v>17.17504</v>
      </c>
      <c r="C542" t="n">
        <v>4.901226</v>
      </c>
      <c r="D542" t="n">
        <v>27.61694</v>
      </c>
      <c r="E542" t="n">
        <v>44.81156</v>
      </c>
      <c r="F542" t="n">
        <v>11.74377</v>
      </c>
      <c r="G542" t="n">
        <v>4.738368</v>
      </c>
      <c r="H542" t="n">
        <v>8.139726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26.42799</v>
      </c>
      <c r="N542" t="n">
        <v>14.33198</v>
      </c>
      <c r="O542" t="n">
        <v>5.067066</v>
      </c>
      <c r="P542" t="n">
        <v>5.27354</v>
      </c>
      <c r="Q542" t="n">
        <v>9.899778</v>
      </c>
      <c r="R542" t="n">
        <v>12.67265</v>
      </c>
      <c r="S542" t="n">
        <v>68.61398</v>
      </c>
      <c r="T542" t="n">
        <v>17.7853</v>
      </c>
      <c r="U542" t="n">
        <v>5.742058</v>
      </c>
      <c r="V542" t="n">
        <v>28.48972</v>
      </c>
      <c r="W542" t="n">
        <v>24.92008</v>
      </c>
      <c r="X542" t="n">
        <v>22.86373</v>
      </c>
      <c r="Y542" t="n">
        <v>44.96269</v>
      </c>
      <c r="Z542" t="n">
        <v>9.970124</v>
      </c>
      <c r="AA542" t="n">
        <v>0.5727406</v>
      </c>
      <c r="AB542" t="n">
        <v>27.48259</v>
      </c>
      <c r="AC542" t="n">
        <v>0.2313573</v>
      </c>
      <c r="AD542" t="n">
        <v>30.31473</v>
      </c>
      <c r="AE542" t="n">
        <v>9.861188</v>
      </c>
    </row>
    <row r="543">
      <c r="A543" s="89" t="n">
        <v>35096</v>
      </c>
      <c r="B543" t="n">
        <v>17.2647</v>
      </c>
      <c r="C543" t="n">
        <v>4.997753</v>
      </c>
      <c r="D543" t="n">
        <v>27.86973</v>
      </c>
      <c r="E543" t="n">
        <v>45.23521</v>
      </c>
      <c r="F543" t="n">
        <v>11.94461</v>
      </c>
      <c r="G543" t="n">
        <v>4.847794</v>
      </c>
      <c r="H543" t="n">
        <v>8.303293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26.92245</v>
      </c>
      <c r="N543" t="n">
        <v>14.65207</v>
      </c>
      <c r="O543" t="n">
        <v>5.178958</v>
      </c>
      <c r="P543" t="n">
        <v>5.337564</v>
      </c>
      <c r="Q543" t="n">
        <v>9.973144</v>
      </c>
      <c r="R543" t="n">
        <v>12.90934</v>
      </c>
      <c r="S543" t="n">
        <v>68.73667</v>
      </c>
      <c r="T543" t="n">
        <v>18.06084</v>
      </c>
      <c r="U543" t="n">
        <v>5.871922</v>
      </c>
      <c r="V543" t="n">
        <v>29.01365</v>
      </c>
      <c r="W543" t="n">
        <v>25.05894</v>
      </c>
      <c r="X543" t="n">
        <v>23.07333</v>
      </c>
      <c r="Y543" t="n">
        <v>45.31557</v>
      </c>
      <c r="Z543" t="n">
        <v>10.26811</v>
      </c>
      <c r="AA543" t="n">
        <v>0.6122772</v>
      </c>
      <c r="AB543" t="n">
        <v>27.82173</v>
      </c>
      <c r="AC543" t="n">
        <v>0.2465764</v>
      </c>
      <c r="AD543" t="n">
        <v>30.43024</v>
      </c>
      <c r="AE543" t="n">
        <v>10.03222</v>
      </c>
    </row>
    <row r="544">
      <c r="A544" s="89" t="n">
        <v>35125</v>
      </c>
      <c r="B544" t="n">
        <v>17.37116</v>
      </c>
      <c r="C544" t="n">
        <v>5.113463</v>
      </c>
      <c r="D544" t="n">
        <v>27.91548</v>
      </c>
      <c r="E544" t="n">
        <v>45.62819</v>
      </c>
      <c r="F544" t="n">
        <v>12.15402</v>
      </c>
      <c r="G544" t="n">
        <v>4.938909</v>
      </c>
      <c r="H544" t="n">
        <v>8.498863999999999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27.12733</v>
      </c>
      <c r="N544" t="n">
        <v>14.9353</v>
      </c>
      <c r="O544" t="n">
        <v>5.332672</v>
      </c>
      <c r="P544" t="n">
        <v>5.44497</v>
      </c>
      <c r="Q544" t="n">
        <v>10.02459</v>
      </c>
      <c r="R544" t="n">
        <v>13.18844</v>
      </c>
      <c r="S544" t="n">
        <v>69.05569</v>
      </c>
      <c r="T544" t="n">
        <v>18.40527</v>
      </c>
      <c r="U544" t="n">
        <v>6.012116</v>
      </c>
      <c r="V544" t="n">
        <v>29.45537</v>
      </c>
      <c r="W544" t="n">
        <v>25.3563</v>
      </c>
      <c r="X544" t="n">
        <v>23.30136</v>
      </c>
      <c r="Y544" t="n">
        <v>46.10658</v>
      </c>
      <c r="Z544" t="n">
        <v>10.51237</v>
      </c>
      <c r="AA544" t="n">
        <v>0.6243107</v>
      </c>
      <c r="AB544" t="n">
        <v>28.34458</v>
      </c>
      <c r="AC544" t="n">
        <v>0.2598142</v>
      </c>
      <c r="AD544" t="n">
        <v>30.63966</v>
      </c>
      <c r="AE544" t="n">
        <v>10.25181</v>
      </c>
    </row>
    <row r="545">
      <c r="A545" s="89" t="n">
        <v>35156</v>
      </c>
      <c r="B545" t="n">
        <v>17.46642</v>
      </c>
      <c r="C545" t="n">
        <v>5.229693</v>
      </c>
      <c r="D545" t="n">
        <v>27.99147</v>
      </c>
      <c r="E545" t="n">
        <v>45.99216</v>
      </c>
      <c r="F545" t="n">
        <v>12.33966</v>
      </c>
      <c r="G545" t="n">
        <v>5.044221</v>
      </c>
      <c r="H545" t="n">
        <v>8.668649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27.37819</v>
      </c>
      <c r="N545" t="n">
        <v>15.16907</v>
      </c>
      <c r="O545" t="n">
        <v>5.475049</v>
      </c>
      <c r="P545" t="n">
        <v>5.532153</v>
      </c>
      <c r="Q545" t="n">
        <v>10.10721</v>
      </c>
      <c r="R545" t="n">
        <v>13.47158</v>
      </c>
      <c r="S545" t="n">
        <v>69.08023</v>
      </c>
      <c r="T545" t="n">
        <v>18.68413</v>
      </c>
      <c r="U545" t="n">
        <v>6.190065</v>
      </c>
      <c r="V545" t="n">
        <v>29.57449</v>
      </c>
      <c r="W545" t="n">
        <v>25.68765</v>
      </c>
      <c r="X545" t="n">
        <v>23.49886</v>
      </c>
      <c r="Y545" t="n">
        <v>46.79316</v>
      </c>
      <c r="Z545" t="n">
        <v>10.78925</v>
      </c>
      <c r="AA545" t="n">
        <v>0.6410842</v>
      </c>
      <c r="AB545" t="n">
        <v>28.80081</v>
      </c>
      <c r="AC545" t="n">
        <v>0.2777974</v>
      </c>
      <c r="AD545" t="n">
        <v>30.72941</v>
      </c>
      <c r="AE545" t="n">
        <v>10.39616</v>
      </c>
    </row>
    <row r="546">
      <c r="A546" s="89" t="n">
        <v>35186</v>
      </c>
      <c r="B546" t="n">
        <v>17.51966</v>
      </c>
      <c r="C546" t="n">
        <v>5.350815</v>
      </c>
      <c r="D546" t="n">
        <v>28.20182</v>
      </c>
      <c r="E546" t="n">
        <v>46.11616</v>
      </c>
      <c r="F546" t="n">
        <v>12.48433</v>
      </c>
      <c r="G546" t="n">
        <v>5.149949</v>
      </c>
      <c r="H546" t="n">
        <v>8.811945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27.53238</v>
      </c>
      <c r="N546" t="n">
        <v>15.45139</v>
      </c>
      <c r="O546" t="n">
        <v>5.58922</v>
      </c>
      <c r="P546" t="n">
        <v>5.561161</v>
      </c>
      <c r="Q546" t="n">
        <v>10.17305</v>
      </c>
      <c r="R546" t="n">
        <v>13.83053</v>
      </c>
      <c r="S546" t="n">
        <v>69.36653</v>
      </c>
      <c r="T546" t="n">
        <v>18.91904</v>
      </c>
      <c r="U546" t="n">
        <v>6.359149</v>
      </c>
      <c r="V546" t="n">
        <v>29.55785</v>
      </c>
      <c r="W546" t="n">
        <v>26.29074</v>
      </c>
      <c r="X546" t="n">
        <v>23.71518</v>
      </c>
      <c r="Y546" t="n">
        <v>47.4837</v>
      </c>
      <c r="Z546" t="n">
        <v>11.04136</v>
      </c>
      <c r="AA546" t="n">
        <v>0.6571045</v>
      </c>
      <c r="AB546" t="n">
        <v>29.15482</v>
      </c>
      <c r="AC546" t="n">
        <v>0.2990035</v>
      </c>
      <c r="AD546" t="n">
        <v>30.82747</v>
      </c>
      <c r="AE546" t="n">
        <v>10.5149</v>
      </c>
    </row>
    <row r="547">
      <c r="A547" s="89" t="n">
        <v>35217</v>
      </c>
      <c r="B547" t="n">
        <v>17.61492</v>
      </c>
      <c r="C547" t="n">
        <v>5.445518</v>
      </c>
      <c r="D547" t="n">
        <v>28.2821</v>
      </c>
      <c r="E547" t="n">
        <v>46.31037</v>
      </c>
      <c r="F547" t="n">
        <v>12.66634</v>
      </c>
      <c r="G547" t="n">
        <v>5.237608</v>
      </c>
      <c r="H547" t="n">
        <v>8.965020000000001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27.78526</v>
      </c>
      <c r="N547" t="n">
        <v>15.73596</v>
      </c>
      <c r="O547" t="n">
        <v>5.691286</v>
      </c>
      <c r="P547" t="n">
        <v>5.631154</v>
      </c>
      <c r="Q547" t="n">
        <v>10.18427</v>
      </c>
      <c r="R547" t="n">
        <v>14.1878</v>
      </c>
      <c r="S547" t="n">
        <v>69.67738</v>
      </c>
      <c r="T547" t="n">
        <v>19.12877</v>
      </c>
      <c r="U547" t="n">
        <v>6.48078</v>
      </c>
      <c r="V547" t="n">
        <v>29.52497</v>
      </c>
      <c r="W547" t="n">
        <v>26.82611</v>
      </c>
      <c r="X547" t="n">
        <v>23.91018</v>
      </c>
      <c r="Y547" t="n">
        <v>48.28898</v>
      </c>
      <c r="Z547" t="n">
        <v>11.21425</v>
      </c>
      <c r="AA547" t="n">
        <v>0.6689642</v>
      </c>
      <c r="AB547" t="n">
        <v>29.31986</v>
      </c>
      <c r="AC547" t="n">
        <v>0.3173686</v>
      </c>
      <c r="AD547" t="n">
        <v>30.93467</v>
      </c>
      <c r="AE547" t="n">
        <v>10.79649</v>
      </c>
    </row>
    <row r="548">
      <c r="A548" s="89" t="n">
        <v>35247</v>
      </c>
      <c r="B548" t="n">
        <v>17.80544</v>
      </c>
      <c r="C548" t="n">
        <v>5.533557</v>
      </c>
      <c r="D548" t="n">
        <v>28.29709</v>
      </c>
      <c r="E548" t="n">
        <v>46.59097</v>
      </c>
      <c r="F548" t="n">
        <v>12.92787</v>
      </c>
      <c r="G548" t="n">
        <v>5.333181</v>
      </c>
      <c r="H548" t="n">
        <v>9.167672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28.16896</v>
      </c>
      <c r="N548" t="n">
        <v>15.98214</v>
      </c>
      <c r="O548" t="n">
        <v>5.784675</v>
      </c>
      <c r="P548" t="n">
        <v>5.713132</v>
      </c>
      <c r="Q548" t="n">
        <v>10.17818</v>
      </c>
      <c r="R548" t="n">
        <v>14.4342</v>
      </c>
      <c r="S548" t="n">
        <v>69.81644</v>
      </c>
      <c r="T548" t="n">
        <v>19.33988</v>
      </c>
      <c r="U548" t="n">
        <v>6.608271</v>
      </c>
      <c r="V548" t="n">
        <v>29.6206</v>
      </c>
      <c r="W548" t="n">
        <v>26.85933</v>
      </c>
      <c r="X548" t="n">
        <v>24.10201</v>
      </c>
      <c r="Y548" t="n">
        <v>48.62912</v>
      </c>
      <c r="Z548" t="n">
        <v>11.39647</v>
      </c>
      <c r="AA548" t="n">
        <v>0.6968648</v>
      </c>
      <c r="AB548" t="n">
        <v>29.48055</v>
      </c>
      <c r="AC548" t="n">
        <v>0.3336817</v>
      </c>
      <c r="AD548" t="n">
        <v>31.05683</v>
      </c>
      <c r="AE548" t="n">
        <v>11.03579</v>
      </c>
    </row>
    <row r="549">
      <c r="A549" s="89" t="n">
        <v>35278</v>
      </c>
      <c r="B549" t="n">
        <v>17.95114</v>
      </c>
      <c r="C549" t="n">
        <v>5.637239</v>
      </c>
      <c r="D549" t="n">
        <v>28.3827</v>
      </c>
      <c r="E549" t="n">
        <v>46.76915</v>
      </c>
      <c r="F549" t="n">
        <v>13.24098</v>
      </c>
      <c r="G549" t="n">
        <v>5.433381</v>
      </c>
      <c r="H549" t="n">
        <v>9.371166000000001</v>
      </c>
      <c r="I549" t="n">
        <v/>
      </c>
      <c r="J549" t="n">
        <v>30.6578</v>
      </c>
      <c r="K549" t="n">
        <v>30.89207</v>
      </c>
      <c r="L549" t="n">
        <v>37.30008</v>
      </c>
      <c r="M549" t="n">
        <v>28.41325</v>
      </c>
      <c r="N549" t="n">
        <v>16.2717</v>
      </c>
      <c r="O549" t="n">
        <v>5.848485</v>
      </c>
      <c r="P549" t="n">
        <v>5.774502</v>
      </c>
      <c r="Q549" t="n">
        <v>10.22822</v>
      </c>
      <c r="R549" t="n">
        <v>14.75103</v>
      </c>
      <c r="S549" t="n">
        <v>69.96368</v>
      </c>
      <c r="T549" t="n">
        <v>19.64149</v>
      </c>
      <c r="U549" t="n">
        <v>6.746043</v>
      </c>
      <c r="V549" t="n">
        <v>29.611</v>
      </c>
      <c r="W549" t="n">
        <v>26.84695</v>
      </c>
      <c r="X549" t="n">
        <v>24.29368</v>
      </c>
      <c r="Y549" t="n">
        <v>48.84361</v>
      </c>
      <c r="Z549" t="n">
        <v>11.57491</v>
      </c>
      <c r="AA549" t="n">
        <v>0.7359232999999999</v>
      </c>
      <c r="AB549" t="n">
        <v>29.68313</v>
      </c>
      <c r="AC549" t="n">
        <v>0.3579074</v>
      </c>
      <c r="AD549" t="n">
        <v>31.11417</v>
      </c>
      <c r="AE549" t="n">
        <v>11.12465</v>
      </c>
    </row>
    <row r="550">
      <c r="A550" s="89" t="n">
        <v>35309</v>
      </c>
      <c r="B550" t="n">
        <v>17.96795</v>
      </c>
      <c r="C550" t="n">
        <v>5.741098</v>
      </c>
      <c r="D550" t="n">
        <v>28.39598</v>
      </c>
      <c r="E550" t="n">
        <v>47.04311</v>
      </c>
      <c r="F550" t="n">
        <v>13.43531</v>
      </c>
      <c r="G550" t="n">
        <v>5.529379</v>
      </c>
      <c r="H550" t="n">
        <v>9.570679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28.66116</v>
      </c>
      <c r="N550" t="n">
        <v>16.53506</v>
      </c>
      <c r="O550" t="n">
        <v>5.923763</v>
      </c>
      <c r="P550" t="n">
        <v>5.842963</v>
      </c>
      <c r="Q550" t="n">
        <v>10.28307</v>
      </c>
      <c r="R550" t="n">
        <v>15.04625</v>
      </c>
      <c r="S550" t="n">
        <v>70.11909</v>
      </c>
      <c r="T550" t="n">
        <v>19.89165</v>
      </c>
      <c r="U550" t="n">
        <v>6.899707</v>
      </c>
      <c r="V550" t="n">
        <v>29.53881</v>
      </c>
      <c r="W550" t="n">
        <v>27.00853</v>
      </c>
      <c r="X550" t="n">
        <v>24.50978</v>
      </c>
      <c r="Y550" t="n">
        <v>49.39907</v>
      </c>
      <c r="Z550" t="n">
        <v>11.78214</v>
      </c>
      <c r="AA550" t="n">
        <v>0.7547626</v>
      </c>
      <c r="AB550" t="n">
        <v>29.86357</v>
      </c>
      <c r="AC550" t="n">
        <v>0.3877662</v>
      </c>
      <c r="AD550" t="n">
        <v>31.19228</v>
      </c>
      <c r="AE550" t="n">
        <v>11.20199</v>
      </c>
    </row>
    <row r="551">
      <c r="A551" s="89" t="n">
        <v>35339</v>
      </c>
      <c r="B551" t="n">
        <v>18.12485</v>
      </c>
      <c r="C551" t="n">
        <v>5.836198</v>
      </c>
      <c r="D551" t="n">
        <v>28.63383</v>
      </c>
      <c r="E551" t="n">
        <v>47.30403</v>
      </c>
      <c r="F551" t="n">
        <v>13.55807</v>
      </c>
      <c r="G551" t="n">
        <v>5.612128</v>
      </c>
      <c r="H551" t="n">
        <v>9.749146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28.87113</v>
      </c>
      <c r="N551" t="n">
        <v>16.77698</v>
      </c>
      <c r="O551" t="n">
        <v>6.077827</v>
      </c>
      <c r="P551" t="n">
        <v>5.897906</v>
      </c>
      <c r="Q551" t="n">
        <v>10.27889</v>
      </c>
      <c r="R551" t="n">
        <v>15.27591</v>
      </c>
      <c r="S551" t="n">
        <v>70.38903999999999</v>
      </c>
      <c r="T551" t="n">
        <v>20.06806</v>
      </c>
      <c r="U551" t="n">
        <v>7.080871</v>
      </c>
      <c r="V551" t="n">
        <v>29.73864</v>
      </c>
      <c r="W551" t="n">
        <v>27.66727</v>
      </c>
      <c r="X551" t="n">
        <v>24.76553</v>
      </c>
      <c r="Y551" t="n">
        <v>50.00566</v>
      </c>
      <c r="Z551" t="n">
        <v>12.01356</v>
      </c>
      <c r="AA551" t="n">
        <v>0.7660859</v>
      </c>
      <c r="AB551" t="n">
        <v>29.99244</v>
      </c>
      <c r="AC551" t="n">
        <v>0.4158096</v>
      </c>
      <c r="AD551" t="n">
        <v>31.33688</v>
      </c>
      <c r="AE551" t="n">
        <v>11.31463</v>
      </c>
    </row>
    <row r="552">
      <c r="A552" s="89" t="n">
        <v>35370</v>
      </c>
      <c r="B552" t="n">
        <v>18.40783</v>
      </c>
      <c r="C552" t="n">
        <v>5.956506</v>
      </c>
      <c r="D552" t="n">
        <v>28.72161</v>
      </c>
      <c r="E552" t="n">
        <v>47.55402</v>
      </c>
      <c r="F552" t="n">
        <v>13.70026</v>
      </c>
      <c r="G552" t="n">
        <v>5.692238</v>
      </c>
      <c r="H552" t="n">
        <v>9.853106</v>
      </c>
      <c r="I552" t="n">
        <v/>
      </c>
      <c r="J552" t="n">
        <v>30.84556</v>
      </c>
      <c r="K552" t="n">
        <v>32.00305</v>
      </c>
      <c r="L552" t="n">
        <v>37.57868</v>
      </c>
      <c r="M552" t="n">
        <v>29.27368</v>
      </c>
      <c r="N552" t="n">
        <v>17.05252</v>
      </c>
      <c r="O552" t="n">
        <v>6.27933</v>
      </c>
      <c r="P552" t="n">
        <v>5.962363</v>
      </c>
      <c r="Q552" t="n">
        <v>10.31674</v>
      </c>
      <c r="R552" t="n">
        <v>15.508</v>
      </c>
      <c r="S552" t="n">
        <v>70.47083000000001</v>
      </c>
      <c r="T552" t="n">
        <v>20.38077</v>
      </c>
      <c r="U552" t="n">
        <v>7.204772</v>
      </c>
      <c r="V552" t="n">
        <v>29.89644</v>
      </c>
      <c r="W552" t="n">
        <v>27.92607</v>
      </c>
      <c r="X552" t="n">
        <v>25.02016</v>
      </c>
      <c r="Y552" t="n">
        <v>50.44313</v>
      </c>
      <c r="Z552" t="n">
        <v>12.23526</v>
      </c>
      <c r="AA552" t="n">
        <v>0.7715630999999999</v>
      </c>
      <c r="AB552" t="n">
        <v>30.18898</v>
      </c>
      <c r="AC552" t="n">
        <v>0.4461176</v>
      </c>
      <c r="AD552" t="n">
        <v>31.49561</v>
      </c>
      <c r="AE552" t="n">
        <v>11.34333</v>
      </c>
    </row>
    <row r="553">
      <c r="A553" s="89" t="n">
        <v>35400</v>
      </c>
      <c r="B553" t="n">
        <v>18.56193</v>
      </c>
      <c r="C553" t="n">
        <v>6.11346</v>
      </c>
      <c r="D553" t="n">
        <v>28.8479</v>
      </c>
      <c r="E553" t="n">
        <v>47.65002</v>
      </c>
      <c r="F553" t="n">
        <v>13.79819</v>
      </c>
      <c r="G553" t="n">
        <v>5.784771</v>
      </c>
      <c r="H553" t="n">
        <v>10.16216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29.53921</v>
      </c>
      <c r="N553" t="n">
        <v>17.27218</v>
      </c>
      <c r="O553" t="n">
        <v>6.4574</v>
      </c>
      <c r="P553" t="n">
        <v>6.050006</v>
      </c>
      <c r="Q553" t="n">
        <v>10.45908</v>
      </c>
      <c r="R553" t="n">
        <v>15.74824</v>
      </c>
      <c r="S553" t="n">
        <v>70.50355999999999</v>
      </c>
      <c r="T553" t="n">
        <v>20.66747</v>
      </c>
      <c r="U553" t="n">
        <v>7.326551</v>
      </c>
      <c r="V553" t="n">
        <v>29.97258</v>
      </c>
      <c r="W553" t="n">
        <v>27.6258</v>
      </c>
      <c r="X553" t="n">
        <v>25.28553</v>
      </c>
      <c r="Y553" t="n">
        <v>51.04574</v>
      </c>
      <c r="Z553" t="n">
        <v>12.51805</v>
      </c>
      <c r="AA553" t="n">
        <v>0.7536651</v>
      </c>
      <c r="AB553" t="n">
        <v>30.45578</v>
      </c>
      <c r="AC553" t="n">
        <v>0.4823274</v>
      </c>
      <c r="AD553" t="n">
        <v>31.66513</v>
      </c>
      <c r="AE553" t="n">
        <v>11.37834</v>
      </c>
    </row>
    <row r="554">
      <c r="A554" s="89" t="n">
        <v>35431</v>
      </c>
      <c r="B554" t="n">
        <v>18.6712</v>
      </c>
      <c r="C554" t="n">
        <v>6.282371</v>
      </c>
      <c r="D554" t="n">
        <v>28.90378</v>
      </c>
      <c r="E554" t="n">
        <v>47.94678</v>
      </c>
      <c r="F554" t="n">
        <v>14.00836</v>
      </c>
      <c r="G554" t="n">
        <v>5.889438</v>
      </c>
      <c r="H554" t="n">
        <v>10.4795</v>
      </c>
      <c r="I554" t="n">
        <v/>
      </c>
      <c r="J554" t="n">
        <v>31.33547</v>
      </c>
      <c r="K554" t="n">
        <v>32.44167</v>
      </c>
      <c r="L554" t="n">
        <v>38.39735</v>
      </c>
      <c r="M554" t="n">
        <v>29.82654</v>
      </c>
      <c r="N554" t="n">
        <v>17.44381</v>
      </c>
      <c r="O554" t="n">
        <v>6.598531</v>
      </c>
      <c r="P554" t="n">
        <v>6.157489</v>
      </c>
      <c r="Q554" t="n">
        <v>10.50854</v>
      </c>
      <c r="R554" t="n">
        <v>16.07993</v>
      </c>
      <c r="S554" t="n">
        <v>70.64261999999999</v>
      </c>
      <c r="T554" t="n">
        <v>20.89485</v>
      </c>
      <c r="U554" t="n">
        <v>7.479947</v>
      </c>
      <c r="V554" t="n">
        <v>29.94015</v>
      </c>
      <c r="W554" t="n">
        <v>27.73085</v>
      </c>
      <c r="X554" t="n">
        <v>25.53039</v>
      </c>
      <c r="Y554" t="n">
        <v>51.72221</v>
      </c>
      <c r="Z554" t="n">
        <v>12.78282</v>
      </c>
      <c r="AA554" t="n">
        <v>0.7640824000000001</v>
      </c>
      <c r="AB554" t="n">
        <v>30.09051</v>
      </c>
      <c r="AC554" t="n">
        <v>0.5164651</v>
      </c>
      <c r="AD554" t="n">
        <v>31.78314</v>
      </c>
      <c r="AE554" t="n">
        <v>11.65893</v>
      </c>
    </row>
    <row r="555">
      <c r="A555" s="89" t="n">
        <v>35462</v>
      </c>
      <c r="B555" t="n">
        <v>18.80008</v>
      </c>
      <c r="C555" t="n">
        <v>6.410391</v>
      </c>
      <c r="D555" t="n">
        <v>29.15843</v>
      </c>
      <c r="E555" t="n">
        <v>48.59116</v>
      </c>
      <c r="F555" t="n">
        <v>14.28699</v>
      </c>
      <c r="G555" t="n">
        <v>5.991261</v>
      </c>
      <c r="H555" t="n">
        <v>10.58291</v>
      </c>
      <c r="I555" t="n">
        <v/>
      </c>
      <c r="J555" t="n">
        <v>31.16679</v>
      </c>
      <c r="K555" t="n">
        <v>32.74386</v>
      </c>
      <c r="L555" t="n">
        <v>38.25387</v>
      </c>
      <c r="M555" t="n">
        <v>30.31375</v>
      </c>
      <c r="N555" t="n">
        <v>17.61122</v>
      </c>
      <c r="O555" t="n">
        <v>6.718781</v>
      </c>
      <c r="P555" t="n">
        <v>6.260836</v>
      </c>
      <c r="Q555" t="n">
        <v>10.57753</v>
      </c>
      <c r="R555" t="n">
        <v>16.41746</v>
      </c>
      <c r="S555" t="n">
        <v>70.6917</v>
      </c>
      <c r="T555" t="n">
        <v>21.18698</v>
      </c>
      <c r="U555" t="n">
        <v>7.645288</v>
      </c>
      <c r="V555" t="n">
        <v>29.69232</v>
      </c>
      <c r="W555" t="n">
        <v>27.85063</v>
      </c>
      <c r="X555" t="n">
        <v>25.72057</v>
      </c>
      <c r="Y555" t="n">
        <v>52.27209</v>
      </c>
      <c r="Z555" t="n">
        <v>12.98265</v>
      </c>
      <c r="AA555" t="n">
        <v>0.7933573</v>
      </c>
      <c r="AB555" t="n">
        <v>29.95451</v>
      </c>
      <c r="AC555" t="n">
        <v>0.5456225</v>
      </c>
      <c r="AD555" t="n">
        <v>31.88037</v>
      </c>
      <c r="AE555" t="n">
        <v>11.86963</v>
      </c>
    </row>
    <row r="556">
      <c r="A556" s="89" t="n">
        <v>35490</v>
      </c>
      <c r="B556" t="n">
        <v>18.91496</v>
      </c>
      <c r="C556" t="n">
        <v>6.501035</v>
      </c>
      <c r="D556" t="n">
        <v>29.41634</v>
      </c>
      <c r="E556" t="n">
        <v>48.65209</v>
      </c>
      <c r="F556" t="n">
        <v>14.49251</v>
      </c>
      <c r="G556" t="n">
        <v>6.080154</v>
      </c>
      <c r="H556" t="n">
        <v>10.71132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30.54671</v>
      </c>
      <c r="N556" t="n">
        <v>17.76651</v>
      </c>
      <c r="O556" t="n">
        <v>6.824524</v>
      </c>
      <c r="P556" t="n">
        <v>6.354182</v>
      </c>
      <c r="Q556" t="n">
        <v>10.64474</v>
      </c>
      <c r="R556" t="n">
        <v>16.65975</v>
      </c>
      <c r="S556" t="n">
        <v>70.91256</v>
      </c>
      <c r="T556" t="n">
        <v>21.40636</v>
      </c>
      <c r="U556" t="n">
        <v>7.843302</v>
      </c>
      <c r="V556" t="n">
        <v>29.59722</v>
      </c>
      <c r="W556" t="n">
        <v>27.8828</v>
      </c>
      <c r="X556" t="n">
        <v>25.92969</v>
      </c>
      <c r="Y556" t="n">
        <v>52.82116</v>
      </c>
      <c r="Z556" t="n">
        <v>13.22568</v>
      </c>
      <c r="AA556" t="n">
        <v>0.806127</v>
      </c>
      <c r="AB556" t="n">
        <v>30.3448</v>
      </c>
      <c r="AC556" t="n">
        <v>0.5767538</v>
      </c>
      <c r="AD556" t="n">
        <v>32.00419</v>
      </c>
      <c r="AE556" t="n">
        <v>12.01822</v>
      </c>
    </row>
    <row r="557">
      <c r="A557" s="89" t="n">
        <v>35521</v>
      </c>
      <c r="B557" t="n">
        <v>19.02983</v>
      </c>
      <c r="C557" t="n">
        <v>6.601151</v>
      </c>
      <c r="D557" t="n">
        <v>29.38351</v>
      </c>
      <c r="E557" t="n">
        <v>48.60591</v>
      </c>
      <c r="F557" t="n">
        <v>14.73913</v>
      </c>
      <c r="G557" t="n">
        <v>6.176091</v>
      </c>
      <c r="H557" t="n">
        <v>10.91912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30.65005</v>
      </c>
      <c r="N557" t="n">
        <v>17.9419</v>
      </c>
      <c r="O557" t="n">
        <v>6.913844</v>
      </c>
      <c r="P557" t="n">
        <v>6.42922</v>
      </c>
      <c r="Q557" t="n">
        <v>10.74691</v>
      </c>
      <c r="R557" t="n">
        <v>16.85908</v>
      </c>
      <c r="S557" t="n">
        <v>71.33792</v>
      </c>
      <c r="T557" t="n">
        <v>21.6094</v>
      </c>
      <c r="U557" t="n">
        <v>8.059464999999999</v>
      </c>
      <c r="V557" t="n">
        <v>29.69263</v>
      </c>
      <c r="W557" t="n">
        <v>28.16994</v>
      </c>
      <c r="X557" t="n">
        <v>26.13503</v>
      </c>
      <c r="Y557" t="n">
        <v>53.36908</v>
      </c>
      <c r="Z557" t="n">
        <v>13.53003</v>
      </c>
      <c r="AA557" t="n">
        <v>0.8238381</v>
      </c>
      <c r="AB557" t="n">
        <v>30.32062</v>
      </c>
      <c r="AC557" t="n">
        <v>0.606689</v>
      </c>
      <c r="AD557" t="n">
        <v>32.13715</v>
      </c>
      <c r="AE557" t="n">
        <v>12.1566</v>
      </c>
    </row>
    <row r="558">
      <c r="A558" s="89" t="n">
        <v>35551</v>
      </c>
      <c r="B558" t="n">
        <v>19.17833</v>
      </c>
      <c r="C558" t="n">
        <v>6.701097</v>
      </c>
      <c r="D558" t="n">
        <v>29.39566</v>
      </c>
      <c r="E558" t="n">
        <v>48.8822</v>
      </c>
      <c r="F558" t="n">
        <v>15.01555</v>
      </c>
      <c r="G558" t="n">
        <v>6.271111</v>
      </c>
      <c r="H558" t="n">
        <v>11.11711</v>
      </c>
      <c r="I558" t="n">
        <v/>
      </c>
      <c r="J558" t="n">
        <v>31.87966</v>
      </c>
      <c r="K558" t="n">
        <v>32.8327</v>
      </c>
      <c r="L558" t="n">
        <v>38.61497</v>
      </c>
      <c r="M558" t="n">
        <v>30.79831</v>
      </c>
      <c r="N558" t="n">
        <v>18.25899</v>
      </c>
      <c r="O558" t="n">
        <v>6.994459</v>
      </c>
      <c r="P558" t="n">
        <v>6.495253</v>
      </c>
      <c r="Q558" t="n">
        <v>10.86526</v>
      </c>
      <c r="R558" t="n">
        <v>17.07006</v>
      </c>
      <c r="S558" t="n">
        <v>71.45244</v>
      </c>
      <c r="T558" t="n">
        <v>21.91797</v>
      </c>
      <c r="U558" t="n">
        <v>8.253190999999999</v>
      </c>
      <c r="V558" t="n">
        <v>29.81617</v>
      </c>
      <c r="W558" t="n">
        <v>28.37377</v>
      </c>
      <c r="X558" t="n">
        <v>26.31369</v>
      </c>
      <c r="Y558" t="n">
        <v>54.07401</v>
      </c>
      <c r="Z558" t="n">
        <v>13.86675</v>
      </c>
      <c r="AA558" t="n">
        <v>0.8479068</v>
      </c>
      <c r="AB558" t="n">
        <v>30.32071</v>
      </c>
      <c r="AC558" t="n">
        <v>0.6342878</v>
      </c>
      <c r="AD558" t="n">
        <v>32.23604</v>
      </c>
      <c r="AE558" t="n">
        <v>12.23977</v>
      </c>
    </row>
    <row r="559">
      <c r="A559" s="89" t="n">
        <v>35582</v>
      </c>
      <c r="B559" t="n">
        <v>19.2932</v>
      </c>
      <c r="C559" t="n">
        <v>6.814373</v>
      </c>
      <c r="D559" t="n">
        <v>29.45434</v>
      </c>
      <c r="E559" t="n">
        <v>49.00355</v>
      </c>
      <c r="F559" t="n">
        <v>15.23941</v>
      </c>
      <c r="G559" t="n">
        <v>6.350216</v>
      </c>
      <c r="H559" t="n">
        <v>11.35559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31.35866</v>
      </c>
      <c r="N559" t="n">
        <v>18.56129</v>
      </c>
      <c r="O559" t="n">
        <v>7.104663</v>
      </c>
      <c r="P559" t="n">
        <v>6.591904</v>
      </c>
      <c r="Q559" t="n">
        <v>10.84021</v>
      </c>
      <c r="R559" t="n">
        <v>17.44647</v>
      </c>
      <c r="S559" t="n">
        <v>71.72238</v>
      </c>
      <c r="T559" t="n">
        <v>22.21436</v>
      </c>
      <c r="U559" t="n">
        <v>8.466509</v>
      </c>
      <c r="V559" t="n">
        <v>30.05842</v>
      </c>
      <c r="W559" t="n">
        <v>28.39077</v>
      </c>
      <c r="X559" t="n">
        <v>26.56314</v>
      </c>
      <c r="Y559" t="n">
        <v>54.78514</v>
      </c>
      <c r="Z559" t="n">
        <v>14.18745</v>
      </c>
      <c r="AA559" t="n">
        <v>0.8650798</v>
      </c>
      <c r="AB559" t="n">
        <v>30.60115</v>
      </c>
      <c r="AC559" t="n">
        <v>0.6678741</v>
      </c>
      <c r="AD559" t="n">
        <v>32.37482</v>
      </c>
      <c r="AE559" t="n">
        <v>12.39816</v>
      </c>
    </row>
    <row r="560">
      <c r="A560" s="89" t="n">
        <v>35612</v>
      </c>
      <c r="B560" t="n">
        <v>19.36604</v>
      </c>
      <c r="C560" t="n">
        <v>6.925105</v>
      </c>
      <c r="D560" t="n">
        <v>29.4226</v>
      </c>
      <c r="E560" t="n">
        <v>49.00799</v>
      </c>
      <c r="F560" t="n">
        <v>15.44487</v>
      </c>
      <c r="G560" t="n">
        <v>6.417188</v>
      </c>
      <c r="H560" t="n">
        <v>11.65414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32.03393</v>
      </c>
      <c r="N560" t="n">
        <v>18.89883</v>
      </c>
      <c r="O560" t="n">
        <v>7.220211</v>
      </c>
      <c r="P560" t="n">
        <v>6.673553</v>
      </c>
      <c r="Q560" t="n">
        <v>10.92542</v>
      </c>
      <c r="R560" t="n">
        <v>17.7264</v>
      </c>
      <c r="S560" t="n">
        <v>71.96778</v>
      </c>
      <c r="T560" t="n">
        <v>22.481</v>
      </c>
      <c r="U560" t="n">
        <v>8.677898000000001</v>
      </c>
      <c r="V560" t="n">
        <v>30.35822</v>
      </c>
      <c r="W560" t="n">
        <v>28.59347</v>
      </c>
      <c r="X560" t="n">
        <v>26.83459</v>
      </c>
      <c r="Y560" t="n">
        <v>55.43475</v>
      </c>
      <c r="Z560" t="n">
        <v>14.56986</v>
      </c>
      <c r="AA560" t="n">
        <v>0.8966795</v>
      </c>
      <c r="AB560" t="n">
        <v>30.65915</v>
      </c>
      <c r="AC560" t="n">
        <v>0.7129062</v>
      </c>
      <c r="AD560" t="n">
        <v>32.52441</v>
      </c>
      <c r="AE560" t="n">
        <v>12.54763</v>
      </c>
    </row>
    <row r="561">
      <c r="A561" s="89" t="n">
        <v>35643</v>
      </c>
      <c r="B561" t="n">
        <v>19.43329</v>
      </c>
      <c r="C561" t="n">
        <v>7.033722</v>
      </c>
      <c r="D561" t="n">
        <v>29.65926</v>
      </c>
      <c r="E561" t="n">
        <v>48.9846</v>
      </c>
      <c r="F561" t="n">
        <v>15.57421</v>
      </c>
      <c r="G561" t="n">
        <v>6.49408</v>
      </c>
      <c r="H561" t="n">
        <v>11.86852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32.3969</v>
      </c>
      <c r="N561" t="n">
        <v>19.21565</v>
      </c>
      <c r="O561" t="n">
        <v>7.380085</v>
      </c>
      <c r="P561" t="n">
        <v>6.733028</v>
      </c>
      <c r="Q561" t="n">
        <v>11.01565</v>
      </c>
      <c r="R561" t="n">
        <v>17.87726</v>
      </c>
      <c r="S561" t="n">
        <v>72.205</v>
      </c>
      <c r="T561" t="n">
        <v>22.73847</v>
      </c>
      <c r="U561" t="n">
        <v>8.869699000000001</v>
      </c>
      <c r="V561" t="n">
        <v>30.5852</v>
      </c>
      <c r="W561" t="n">
        <v>29.04001</v>
      </c>
      <c r="X561" t="n">
        <v>27.14618</v>
      </c>
      <c r="Y561" t="n">
        <v>56.07962</v>
      </c>
      <c r="Z561" t="n">
        <v>14.87917</v>
      </c>
      <c r="AA561" t="n">
        <v>0.9482781</v>
      </c>
      <c r="AB561" t="n">
        <v>30.73143</v>
      </c>
      <c r="AC561" t="n">
        <v>0.7659566</v>
      </c>
      <c r="AD561" t="n">
        <v>32.8028</v>
      </c>
      <c r="AE561" t="n">
        <v>12.70568</v>
      </c>
    </row>
    <row r="562">
      <c r="A562" s="89" t="n">
        <v>35674</v>
      </c>
      <c r="B562" t="n">
        <v>19.46411</v>
      </c>
      <c r="C562" t="n">
        <v>7.150209</v>
      </c>
      <c r="D562" t="n">
        <v>29.80214</v>
      </c>
      <c r="E562" t="n">
        <v>49.01237</v>
      </c>
      <c r="F562" t="n">
        <v>15.8124</v>
      </c>
      <c r="G562" t="n">
        <v>6.587339</v>
      </c>
      <c r="H562" t="n">
        <v>12.10756</v>
      </c>
      <c r="I562" t="n">
        <v/>
      </c>
      <c r="J562" t="n">
        <v>32.95923</v>
      </c>
      <c r="K562" t="n">
        <v>33.32341</v>
      </c>
      <c r="L562" t="n">
        <v>38.949</v>
      </c>
      <c r="M562" t="n">
        <v>31.63608</v>
      </c>
      <c r="N562" t="n">
        <v>19.45397</v>
      </c>
      <c r="O562" t="n">
        <v>7.535261</v>
      </c>
      <c r="P562" t="n">
        <v>6.807507</v>
      </c>
      <c r="Q562" t="n">
        <v>11.09088</v>
      </c>
      <c r="R562" t="n">
        <v>18.11724</v>
      </c>
      <c r="S562" t="n">
        <v>72.34406</v>
      </c>
      <c r="T562" t="n">
        <v>23.02811</v>
      </c>
      <c r="U562" t="n">
        <v>9.039892</v>
      </c>
      <c r="V562" t="n">
        <v>30.93669</v>
      </c>
      <c r="W562" t="n">
        <v>29.58066</v>
      </c>
      <c r="X562" t="n">
        <v>27.31526</v>
      </c>
      <c r="Y562" t="n">
        <v>56.51514</v>
      </c>
      <c r="Z562" t="n">
        <v>15.12022</v>
      </c>
      <c r="AA562" t="n">
        <v>0.9761696</v>
      </c>
      <c r="AB562" t="n">
        <v>30.76234</v>
      </c>
      <c r="AC562" t="n">
        <v>0.8213317</v>
      </c>
      <c r="AD562" t="n">
        <v>32.93327</v>
      </c>
      <c r="AE562" t="n">
        <v>13.03506</v>
      </c>
    </row>
    <row r="563">
      <c r="A563" s="89" t="n">
        <v>35704</v>
      </c>
      <c r="B563" t="n">
        <v>19.54816</v>
      </c>
      <c r="C563" t="n">
        <v>7.269639</v>
      </c>
      <c r="D563" t="n">
        <v>30.00246</v>
      </c>
      <c r="E563" t="n">
        <v>49.15188</v>
      </c>
      <c r="F563" t="n">
        <v>16.13426</v>
      </c>
      <c r="G563" t="n">
        <v>6.707353</v>
      </c>
      <c r="H563" t="n">
        <v>12.41401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31.33507</v>
      </c>
      <c r="N563" t="n">
        <v>19.87755</v>
      </c>
      <c r="O563" t="n">
        <v>7.729321</v>
      </c>
      <c r="P563" t="n">
        <v>6.900248</v>
      </c>
      <c r="Q563" t="n">
        <v>11.21893</v>
      </c>
      <c r="R563" t="n">
        <v>18.34581</v>
      </c>
      <c r="S563" t="n">
        <v>72.55674</v>
      </c>
      <c r="T563" t="n">
        <v>23.31734</v>
      </c>
      <c r="U563" t="n">
        <v>9.197709</v>
      </c>
      <c r="V563" t="n">
        <v>31.14988</v>
      </c>
      <c r="W563" t="n">
        <v>29.61273</v>
      </c>
      <c r="X563" t="n">
        <v>27.54548</v>
      </c>
      <c r="Y563" t="n">
        <v>56.77938</v>
      </c>
      <c r="Z563" t="n">
        <v>15.49076</v>
      </c>
      <c r="AA563" t="n">
        <v>0.9924404999999999</v>
      </c>
      <c r="AB563" t="n">
        <v>30.71762</v>
      </c>
      <c r="AC563" t="n">
        <v>0.8797743</v>
      </c>
      <c r="AD563" t="n">
        <v>33.09199</v>
      </c>
      <c r="AE563" t="n">
        <v>13.35068</v>
      </c>
    </row>
    <row r="564">
      <c r="A564" s="89" t="n">
        <v>35735</v>
      </c>
      <c r="B564" t="n">
        <v>19.67705</v>
      </c>
      <c r="C564" t="n">
        <v>7.337827</v>
      </c>
      <c r="D564" t="n">
        <v>30.10957</v>
      </c>
      <c r="E564" t="n">
        <v>49.13153</v>
      </c>
      <c r="F564" t="n">
        <v>16.33817</v>
      </c>
      <c r="G564" t="n">
        <v>6.820851</v>
      </c>
      <c r="H564" t="n">
        <v>12.72331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32.01254</v>
      </c>
      <c r="N564" t="n">
        <v>20.14909</v>
      </c>
      <c r="O564" t="n">
        <v>7.756963</v>
      </c>
      <c r="P564" t="n">
        <v>7.008625</v>
      </c>
      <c r="Q564" t="n">
        <v>11.31841</v>
      </c>
      <c r="R564" t="n">
        <v>18.63769</v>
      </c>
      <c r="S564" t="n">
        <v>72.7367</v>
      </c>
      <c r="T564" t="n">
        <v>23.45551</v>
      </c>
      <c r="U564" t="n">
        <v>9.389153</v>
      </c>
      <c r="V564" t="n">
        <v>31.17156</v>
      </c>
      <c r="W564" t="n">
        <v>29.46295</v>
      </c>
      <c r="X564" t="n">
        <v>27.84447</v>
      </c>
      <c r="Y564" t="n">
        <v>57.19596</v>
      </c>
      <c r="Z564" t="n">
        <v>15.87218</v>
      </c>
      <c r="AA564" t="n">
        <v>1.007941</v>
      </c>
      <c r="AB564" t="n">
        <v>30.77787</v>
      </c>
      <c r="AC564" t="n">
        <v>0.9361539</v>
      </c>
      <c r="AD564" t="n">
        <v>33.27897</v>
      </c>
      <c r="AE564" t="n">
        <v>13.42824</v>
      </c>
    </row>
    <row r="565">
      <c r="A565" s="89" t="n">
        <v>35765</v>
      </c>
      <c r="B565" t="n">
        <v>19.78071</v>
      </c>
      <c r="C565" t="n">
        <v>7.361204</v>
      </c>
      <c r="D565" t="n">
        <v>30.46363</v>
      </c>
      <c r="E565" t="n">
        <v>49.10416</v>
      </c>
      <c r="F565" t="n">
        <v>16.56314</v>
      </c>
      <c r="G565" t="n">
        <v>6.896974</v>
      </c>
      <c r="H565" t="n">
        <v>13.03609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32.3857</v>
      </c>
      <c r="N565" t="n">
        <v>20.4829</v>
      </c>
      <c r="O565" t="n">
        <v>7.851746</v>
      </c>
      <c r="P565" t="n">
        <v>7.115165</v>
      </c>
      <c r="Q565" t="n">
        <v>11.43372</v>
      </c>
      <c r="R565" t="n">
        <v>18.95205</v>
      </c>
      <c r="S565" t="n">
        <v>73.1866</v>
      </c>
      <c r="T565" t="n">
        <v>23.71634</v>
      </c>
      <c r="U565" t="n">
        <v>9.591018999999999</v>
      </c>
      <c r="V565" t="n">
        <v>31.03409</v>
      </c>
      <c r="W565" t="n">
        <v>29.58231</v>
      </c>
      <c r="X565" t="n">
        <v>28.11212</v>
      </c>
      <c r="Y565" t="n">
        <v>57.943</v>
      </c>
      <c r="Z565" t="n">
        <v>16.14701</v>
      </c>
      <c r="AA565" t="n">
        <v>0.9743901</v>
      </c>
      <c r="AB565" t="n">
        <v>30.84664</v>
      </c>
      <c r="AC565" t="n">
        <v>0.9816454999999999</v>
      </c>
      <c r="AD565" t="n">
        <v>33.43022</v>
      </c>
      <c r="AE565" t="n">
        <v>13.42329</v>
      </c>
    </row>
    <row r="566">
      <c r="A566" s="89" t="n">
        <v>35796</v>
      </c>
      <c r="B566" t="n">
        <v>19.88998</v>
      </c>
      <c r="C566" t="n">
        <v>7.387067</v>
      </c>
      <c r="D566" t="n">
        <v>30.39307</v>
      </c>
      <c r="E566" t="n">
        <v>49.1539</v>
      </c>
      <c r="F566" t="n">
        <v>16.57145</v>
      </c>
      <c r="G566" t="n">
        <v>6.920873</v>
      </c>
      <c r="H566" t="n">
        <v>13.23762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32.79834</v>
      </c>
      <c r="N566" t="n">
        <v>20.5124</v>
      </c>
      <c r="O566" t="n">
        <v>9.1999</v>
      </c>
      <c r="P566" t="n">
        <v>7.197979</v>
      </c>
      <c r="Q566" t="n">
        <v>11.57543</v>
      </c>
      <c r="R566" t="n">
        <v>19.16651</v>
      </c>
      <c r="S566" t="n">
        <v>73.60378</v>
      </c>
      <c r="T566" t="n">
        <v>24.04098</v>
      </c>
      <c r="U566" t="n">
        <v>9.818723</v>
      </c>
      <c r="V566" t="n">
        <v>31.14287</v>
      </c>
      <c r="W566" t="n">
        <v>29.94646</v>
      </c>
      <c r="X566" t="n">
        <v>28.38799</v>
      </c>
      <c r="Y566" t="n">
        <v>58.8338</v>
      </c>
      <c r="Z566" t="n">
        <v>16.36671</v>
      </c>
      <c r="AA566" t="n">
        <v>0.9779279</v>
      </c>
      <c r="AB566" t="n">
        <v>30.87088</v>
      </c>
      <c r="AC566" t="n">
        <v>1.032217</v>
      </c>
      <c r="AD566" t="n">
        <v>33.62384</v>
      </c>
      <c r="AE566" t="n">
        <v>13.67108</v>
      </c>
    </row>
    <row r="567">
      <c r="A567" s="89" t="n">
        <v>35827</v>
      </c>
      <c r="B567" t="n">
        <v>19.98244</v>
      </c>
      <c r="C567" t="n">
        <v>7.451105</v>
      </c>
      <c r="D567" t="n">
        <v>30.32312</v>
      </c>
      <c r="E567" t="n">
        <v>49.23856</v>
      </c>
      <c r="F567" t="n">
        <v>16.51372</v>
      </c>
      <c r="G567" t="n">
        <v>6.944488</v>
      </c>
      <c r="H567" t="n">
        <v>13.3694</v>
      </c>
      <c r="I567" t="n">
        <v/>
      </c>
      <c r="J567" t="n">
        <v>33.08538</v>
      </c>
      <c r="K567" t="n">
        <v>34.63265</v>
      </c>
      <c r="L567" t="n">
        <v>40.19446</v>
      </c>
      <c r="M567" t="n">
        <v>33.08442</v>
      </c>
      <c r="N567" t="n">
        <v>20.42009</v>
      </c>
      <c r="O567" t="n">
        <v>10.13579</v>
      </c>
      <c r="P567" t="n">
        <v>7.301435</v>
      </c>
      <c r="Q567" t="n">
        <v>11.71373</v>
      </c>
      <c r="R567" t="n">
        <v>19.40174</v>
      </c>
      <c r="S567" t="n">
        <v>73.9637</v>
      </c>
      <c r="T567" t="n">
        <v>24.25415</v>
      </c>
      <c r="U567" t="n">
        <v>10.04383</v>
      </c>
      <c r="V567" t="n">
        <v>31.54311</v>
      </c>
      <c r="W567" t="n">
        <v>30.11696</v>
      </c>
      <c r="X567" t="n">
        <v>28.64504</v>
      </c>
      <c r="Y567" t="n">
        <v>59.66916</v>
      </c>
      <c r="Z567" t="n">
        <v>16.59349</v>
      </c>
      <c r="AA567" t="n">
        <v>0.9872590999999999</v>
      </c>
      <c r="AB567" t="n">
        <v>30.91277</v>
      </c>
      <c r="AC567" t="n">
        <v>1.08533</v>
      </c>
      <c r="AD567" t="n">
        <v>33.89559</v>
      </c>
      <c r="AE567" t="n">
        <v>14.03724</v>
      </c>
    </row>
    <row r="568">
      <c r="A568" s="89" t="n">
        <v>35855</v>
      </c>
      <c r="B568" t="n">
        <v>20.05529</v>
      </c>
      <c r="C568" t="n">
        <v>7.60801</v>
      </c>
      <c r="D568" t="n">
        <v>30.26952</v>
      </c>
      <c r="E568" t="n">
        <v>49.47493</v>
      </c>
      <c r="F568" t="n">
        <v>16.72823</v>
      </c>
      <c r="G568" t="n">
        <v>7.014352</v>
      </c>
      <c r="H568" t="n">
        <v>13.58192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33.26126</v>
      </c>
      <c r="N568" t="n">
        <v>20.99388</v>
      </c>
      <c r="O568" t="n">
        <v>10.21984</v>
      </c>
      <c r="P568" t="n">
        <v>7.467092</v>
      </c>
      <c r="Q568" t="n">
        <v>11.86561</v>
      </c>
      <c r="R568" t="n">
        <v>19.39985</v>
      </c>
      <c r="S568" t="n">
        <v>74.06187</v>
      </c>
      <c r="T568" t="n">
        <v>24.55891</v>
      </c>
      <c r="U568" t="n">
        <v>10.25363</v>
      </c>
      <c r="V568" t="n">
        <v>31.65472</v>
      </c>
      <c r="W568" t="n">
        <v>30.05574</v>
      </c>
      <c r="X568" t="n">
        <v>28.86468</v>
      </c>
      <c r="Y568" t="n">
        <v>60.59551</v>
      </c>
      <c r="Z568" t="n">
        <v>16.7987</v>
      </c>
      <c r="AA568" t="n">
        <v>0.9615623</v>
      </c>
      <c r="AB568" t="n">
        <v>30.70568</v>
      </c>
      <c r="AC568" t="n">
        <v>1.149293</v>
      </c>
      <c r="AD568" t="n">
        <v>34.1075</v>
      </c>
      <c r="AE568" t="n">
        <v>14.07536</v>
      </c>
    </row>
    <row r="569">
      <c r="A569" s="89" t="n">
        <v>35886</v>
      </c>
      <c r="B569" t="n">
        <v>20.15895</v>
      </c>
      <c r="C569" t="n">
        <v>7.760133</v>
      </c>
      <c r="D569" t="n">
        <v>30.24915</v>
      </c>
      <c r="E569" t="n">
        <v>49.56324</v>
      </c>
      <c r="F569" t="n">
        <v>16.93982</v>
      </c>
      <c r="G569" t="n">
        <v>7.097529</v>
      </c>
      <c r="H569" t="n">
        <v>13.74391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33.41057</v>
      </c>
      <c r="N569" t="n">
        <v>21.5415</v>
      </c>
      <c r="O569" t="n">
        <v>10.50697</v>
      </c>
      <c r="P569" t="n">
        <v>7.595877</v>
      </c>
      <c r="Q569" t="n">
        <v>12.02549</v>
      </c>
      <c r="R569" t="n">
        <v>19.55944</v>
      </c>
      <c r="S569" t="n">
        <v>74.23363999999999</v>
      </c>
      <c r="T569" t="n">
        <v>24.83018</v>
      </c>
      <c r="U569" t="n">
        <v>10.44661</v>
      </c>
      <c r="V569" t="n">
        <v>31.69126</v>
      </c>
      <c r="W569" t="n">
        <v>30.11765</v>
      </c>
      <c r="X569" t="n">
        <v>29.11859</v>
      </c>
      <c r="Y569" t="n">
        <v>61.45626</v>
      </c>
      <c r="Z569" t="n">
        <v>17.05557</v>
      </c>
      <c r="AA569" t="n">
        <v>0.9701213</v>
      </c>
      <c r="AB569" t="n">
        <v>30.61753</v>
      </c>
      <c r="AC569" t="n">
        <v>1.236946</v>
      </c>
      <c r="AD569" t="n">
        <v>34.3219</v>
      </c>
      <c r="AE569" t="n">
        <v>14.14124</v>
      </c>
    </row>
    <row r="570">
      <c r="A570" s="89" t="n">
        <v>35916</v>
      </c>
      <c r="B570" t="n">
        <v>20.28504</v>
      </c>
      <c r="C570" t="n">
        <v>7.874351</v>
      </c>
      <c r="D570" t="n">
        <v>30.47009</v>
      </c>
      <c r="E570" t="n">
        <v>49.31932</v>
      </c>
      <c r="F570" t="n">
        <v>17.09086</v>
      </c>
      <c r="G570" t="n">
        <v>7.183857</v>
      </c>
      <c r="H570" t="n">
        <v>13.95141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33.69211</v>
      </c>
      <c r="N570" t="n">
        <v>21.88139</v>
      </c>
      <c r="O570" t="n">
        <v>10.94937</v>
      </c>
      <c r="P570" t="n">
        <v>7.678203</v>
      </c>
      <c r="Q570" t="n">
        <v>12.19087</v>
      </c>
      <c r="R570" t="n">
        <v>19.96221</v>
      </c>
      <c r="S570" t="n">
        <v>74.54449</v>
      </c>
      <c r="T570" t="n">
        <v>24.96289</v>
      </c>
      <c r="U570" t="n">
        <v>10.67014</v>
      </c>
      <c r="V570" t="n">
        <v>31.95716</v>
      </c>
      <c r="W570" t="n">
        <v>30.19068</v>
      </c>
      <c r="X570" t="n">
        <v>29.41084</v>
      </c>
      <c r="Y570" t="n">
        <v>61.72843</v>
      </c>
      <c r="Z570" t="n">
        <v>17.44366</v>
      </c>
      <c r="AA570" t="n">
        <v>0.980861</v>
      </c>
      <c r="AB570" t="n">
        <v>31.0512</v>
      </c>
      <c r="AC570" t="n">
        <v>1.326741</v>
      </c>
      <c r="AD570" t="n">
        <v>34.52051</v>
      </c>
      <c r="AE570" t="n">
        <v>14.20739</v>
      </c>
    </row>
    <row r="571">
      <c r="A571" s="89" t="n">
        <v>35947</v>
      </c>
      <c r="B571" t="n">
        <v>20.42513</v>
      </c>
      <c r="C571" t="n">
        <v>7.993677</v>
      </c>
      <c r="D571" t="n">
        <v>30.71585</v>
      </c>
      <c r="E571" t="n">
        <v>49.27682</v>
      </c>
      <c r="F571" t="n">
        <v>17.20771</v>
      </c>
      <c r="G571" t="n">
        <v>7.236238</v>
      </c>
      <c r="H571" t="n">
        <v>14.15832</v>
      </c>
      <c r="I571" t="n">
        <v/>
      </c>
      <c r="J571" t="n">
        <v>34.16201</v>
      </c>
      <c r="K571" t="n">
        <v>35.10186</v>
      </c>
      <c r="L571" t="n">
        <v>41.02007</v>
      </c>
      <c r="M571" t="n">
        <v>33.97687</v>
      </c>
      <c r="N571" t="n">
        <v>22.18481</v>
      </c>
      <c r="O571" t="n">
        <v>12.16559</v>
      </c>
      <c r="P571" t="n">
        <v>7.781397</v>
      </c>
      <c r="Q571" t="n">
        <v>12.35153</v>
      </c>
      <c r="R571" t="n">
        <v>20.18848</v>
      </c>
      <c r="S571" t="n">
        <v>74.60175</v>
      </c>
      <c r="T571" t="n">
        <v>25.27601</v>
      </c>
      <c r="U571" t="n">
        <v>10.90117</v>
      </c>
      <c r="V571" t="n">
        <v>32.0402</v>
      </c>
      <c r="W571" t="n">
        <v>30.31744</v>
      </c>
      <c r="X571" t="n">
        <v>29.67048</v>
      </c>
      <c r="Y571" t="n">
        <v>61.8128</v>
      </c>
      <c r="Z571" t="n">
        <v>17.88143</v>
      </c>
      <c r="AA571" t="n">
        <v>0.9896983</v>
      </c>
      <c r="AB571" t="n">
        <v>31.50948</v>
      </c>
      <c r="AC571" t="n">
        <v>1.417856</v>
      </c>
      <c r="AD571" t="n">
        <v>34.68505</v>
      </c>
      <c r="AE571" t="n">
        <v>14.32232</v>
      </c>
    </row>
    <row r="572">
      <c r="A572" s="89" t="n">
        <v>35977</v>
      </c>
      <c r="B572" t="n">
        <v>20.65768</v>
      </c>
      <c r="C572" t="n">
        <v>8.110134</v>
      </c>
      <c r="D572" t="n">
        <v>30.71518</v>
      </c>
      <c r="E572" t="n">
        <v>49.51382</v>
      </c>
      <c r="F572" t="n">
        <v>17.26659</v>
      </c>
      <c r="G572" t="n">
        <v>7.387268</v>
      </c>
      <c r="H572" t="n">
        <v>14.23178</v>
      </c>
      <c r="I572" t="n">
        <v/>
      </c>
      <c r="J572" t="n">
        <v>34.46564</v>
      </c>
      <c r="K572" t="n">
        <v>35.29499</v>
      </c>
      <c r="L572" t="n">
        <v>41.08395</v>
      </c>
      <c r="M572" t="n">
        <v>34.30387</v>
      </c>
      <c r="N572" t="n">
        <v>22.52107</v>
      </c>
      <c r="O572" t="n">
        <v>12.83269</v>
      </c>
      <c r="P572" t="n">
        <v>7.901356</v>
      </c>
      <c r="Q572" t="n">
        <v>12.49437</v>
      </c>
      <c r="R572" t="n">
        <v>20.54152</v>
      </c>
      <c r="S572" t="n">
        <v>74.96984999999999</v>
      </c>
      <c r="T572" t="n">
        <v>25.68337</v>
      </c>
      <c r="U572" t="n">
        <v>11.10265</v>
      </c>
      <c r="V572" t="n">
        <v>31.96642</v>
      </c>
      <c r="W572" t="n">
        <v>30.32456</v>
      </c>
      <c r="X572" t="n">
        <v>29.95123</v>
      </c>
      <c r="Y572" t="n">
        <v>62.22884</v>
      </c>
      <c r="Z572" t="n">
        <v>18.25863</v>
      </c>
      <c r="AA572" t="n">
        <v>0.9913246999999999</v>
      </c>
      <c r="AB572" t="n">
        <v>32.07583</v>
      </c>
      <c r="AC572" t="n">
        <v>1.511153</v>
      </c>
      <c r="AD572" t="n">
        <v>34.84877</v>
      </c>
      <c r="AE572" t="n">
        <v>14.52445</v>
      </c>
    </row>
    <row r="573">
      <c r="A573" s="89" t="n">
        <v>36008</v>
      </c>
      <c r="B573" t="n">
        <v>20.87341</v>
      </c>
      <c r="C573" t="n">
        <v>8.196434</v>
      </c>
      <c r="D573" t="n">
        <v>30.74253</v>
      </c>
      <c r="E573" t="n">
        <v>49.6382</v>
      </c>
      <c r="F573" t="n">
        <v>17.35775</v>
      </c>
      <c r="G573" t="n">
        <v>7.561605</v>
      </c>
      <c r="H573" t="n">
        <v>14.36001</v>
      </c>
      <c r="I573" t="n">
        <v/>
      </c>
      <c r="J573" t="n">
        <v>34.85875</v>
      </c>
      <c r="K573" t="n">
        <v>35.48505</v>
      </c>
      <c r="L573" t="n">
        <v>40.99918</v>
      </c>
      <c r="M573" t="n">
        <v>34.56421</v>
      </c>
      <c r="N573" t="n">
        <v>22.89484</v>
      </c>
      <c r="O573" t="n">
        <v>12.58121</v>
      </c>
      <c r="P573" t="n">
        <v>8.079919</v>
      </c>
      <c r="Q573" t="n">
        <v>12.626</v>
      </c>
      <c r="R573" t="n">
        <v>20.88403</v>
      </c>
      <c r="S573" t="n">
        <v>75.30522999999999</v>
      </c>
      <c r="T573" t="n">
        <v>25.88301</v>
      </c>
      <c r="U573" t="n">
        <v>11.2934</v>
      </c>
      <c r="V573" t="n">
        <v>32.04104</v>
      </c>
      <c r="W573" t="n">
        <v>30.12686</v>
      </c>
      <c r="X573" t="n">
        <v>30.21177</v>
      </c>
      <c r="Y573" t="n">
        <v>62.75081</v>
      </c>
      <c r="Z573" t="n">
        <v>18.67018</v>
      </c>
      <c r="AA573" t="n">
        <v>0.9988477</v>
      </c>
      <c r="AB573" t="n">
        <v>32.28146</v>
      </c>
      <c r="AC573" t="n">
        <v>1.569285</v>
      </c>
      <c r="AD573" t="n">
        <v>35.05652</v>
      </c>
      <c r="AE573" t="n">
        <v>14.65954</v>
      </c>
    </row>
    <row r="574">
      <c r="A574" s="89" t="n">
        <v>36039</v>
      </c>
      <c r="B574" t="n">
        <v>21.01631</v>
      </c>
      <c r="C574" t="n">
        <v>8.091495999999999</v>
      </c>
      <c r="D574" t="n">
        <v>30.79283</v>
      </c>
      <c r="E574" t="n">
        <v>49.54644</v>
      </c>
      <c r="F574" t="n">
        <v>17.44327</v>
      </c>
      <c r="G574" t="n">
        <v>7.640779</v>
      </c>
      <c r="H574" t="n">
        <v>14.36398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34.71742</v>
      </c>
      <c r="N574" t="n">
        <v>23.13205</v>
      </c>
      <c r="O574" t="n">
        <v>12.57286</v>
      </c>
      <c r="P574" t="n">
        <v>8.246589</v>
      </c>
      <c r="Q574" t="n">
        <v>12.78166</v>
      </c>
      <c r="R574" t="n">
        <v>21.16863</v>
      </c>
      <c r="S574" t="n">
        <v>75.56699</v>
      </c>
      <c r="T574" t="n">
        <v>26.08514</v>
      </c>
      <c r="U574" t="n">
        <v>11.46706</v>
      </c>
      <c r="V574" t="n">
        <v>32.06657</v>
      </c>
      <c r="W574" t="n">
        <v>29.84823</v>
      </c>
      <c r="X574" t="n">
        <v>30.55387</v>
      </c>
      <c r="Y574" t="n">
        <v>63.26051</v>
      </c>
      <c r="Z574" t="n">
        <v>19.01336</v>
      </c>
      <c r="AA574" t="n">
        <v>1.000605</v>
      </c>
      <c r="AB574" t="n">
        <v>32.20287</v>
      </c>
      <c r="AC574" t="n">
        <v>1.706612</v>
      </c>
      <c r="AD574" t="n">
        <v>35.37979</v>
      </c>
      <c r="AE574" t="n">
        <v>14.85731</v>
      </c>
    </row>
    <row r="575">
      <c r="A575" s="89" t="n">
        <v>36069</v>
      </c>
      <c r="B575" t="n">
        <v>21.12277</v>
      </c>
      <c r="C575" t="n">
        <v>7.957313</v>
      </c>
      <c r="D575" t="n">
        <v>31.04608</v>
      </c>
      <c r="E575" t="n">
        <v>49.48099</v>
      </c>
      <c r="F575" t="n">
        <v>17.5113</v>
      </c>
      <c r="G575" t="n">
        <v>7.760871</v>
      </c>
      <c r="H575" t="n">
        <v>14.25376</v>
      </c>
      <c r="I575" t="n">
        <v/>
      </c>
      <c r="J575" t="n">
        <v>34.94823</v>
      </c>
      <c r="K575" t="n">
        <v>36.02051</v>
      </c>
      <c r="L575" t="n">
        <v>41.04992</v>
      </c>
      <c r="M575" t="n">
        <v>34.88266</v>
      </c>
      <c r="N575" t="n">
        <v>23.27033</v>
      </c>
      <c r="O575" t="n">
        <v>12.519</v>
      </c>
      <c r="P575" t="n">
        <v>8.376474999999999</v>
      </c>
      <c r="Q575" t="n">
        <v>12.97385</v>
      </c>
      <c r="R575" t="n">
        <v>21.59096</v>
      </c>
      <c r="S575" t="n">
        <v>75.69786999999999</v>
      </c>
      <c r="T575" t="n">
        <v>26.33555</v>
      </c>
      <c r="U575" t="n">
        <v>11.65709</v>
      </c>
      <c r="V575" t="n">
        <v>32.03026</v>
      </c>
      <c r="W575" t="n">
        <v>29.87235</v>
      </c>
      <c r="X575" t="n">
        <v>30.83001</v>
      </c>
      <c r="Y575" t="n">
        <v>64.4375</v>
      </c>
      <c r="Z575" t="n">
        <v>19.11622</v>
      </c>
      <c r="AA575" t="n">
        <v>1.10588</v>
      </c>
      <c r="AB575" t="n">
        <v>32.41929</v>
      </c>
      <c r="AC575" t="n">
        <v>1.77298</v>
      </c>
      <c r="AD575" t="n">
        <v>35.71302</v>
      </c>
      <c r="AE575" t="n">
        <v>14.90598</v>
      </c>
    </row>
    <row r="576">
      <c r="A576" s="89" t="n">
        <v>36100</v>
      </c>
      <c r="B576" t="n">
        <v>21.19562</v>
      </c>
      <c r="C576" t="n">
        <v>8.025218000000001</v>
      </c>
      <c r="D576" t="n">
        <v>30.8896</v>
      </c>
      <c r="E576" t="n">
        <v>49.75825</v>
      </c>
      <c r="F576" t="n">
        <v>17.61495</v>
      </c>
      <c r="G576" t="n">
        <v>7.871076</v>
      </c>
      <c r="H576" t="n">
        <v>14.22639</v>
      </c>
      <c r="I576" t="n">
        <v/>
      </c>
      <c r="J576" t="n">
        <v>34.95849</v>
      </c>
      <c r="K576" t="n">
        <v>35.92303</v>
      </c>
      <c r="L576" t="n">
        <v>41.3429</v>
      </c>
      <c r="M576" t="n">
        <v>34.95115</v>
      </c>
      <c r="N576" t="n">
        <v>23.52872</v>
      </c>
      <c r="O576" t="n">
        <v>12.54263</v>
      </c>
      <c r="P576" t="n">
        <v>8.477225000000001</v>
      </c>
      <c r="Q576" t="n">
        <v>13.17164</v>
      </c>
      <c r="R576" t="n">
        <v>21.93848</v>
      </c>
      <c r="S576" t="n">
        <v>76.17231</v>
      </c>
      <c r="T576" t="n">
        <v>26.44159</v>
      </c>
      <c r="U576" t="n">
        <v>11.88545</v>
      </c>
      <c r="V576" t="n">
        <v>32.04324</v>
      </c>
      <c r="W576" t="n">
        <v>30.2343</v>
      </c>
      <c r="X576" t="n">
        <v>31.04033</v>
      </c>
      <c r="Y576" t="n">
        <v>65.86424</v>
      </c>
      <c r="Z576" t="n">
        <v>19.29577</v>
      </c>
      <c r="AA576" t="n">
        <v>1.206182</v>
      </c>
      <c r="AB576" t="n">
        <v>32.5724</v>
      </c>
      <c r="AC576" t="n">
        <v>1.756922</v>
      </c>
      <c r="AD576" t="n">
        <v>36.0338</v>
      </c>
      <c r="AE576" t="n">
        <v>15.02374</v>
      </c>
    </row>
    <row r="577">
      <c r="A577" s="89" t="n">
        <v>36130</v>
      </c>
      <c r="B577" t="n">
        <v>21.3189</v>
      </c>
      <c r="C577" t="n">
        <v>8.129832</v>
      </c>
      <c r="D577" t="n">
        <v>31.40303</v>
      </c>
      <c r="E577" t="n">
        <v>49.66499</v>
      </c>
      <c r="F577" t="n">
        <v>17.71566</v>
      </c>
      <c r="G577" t="n">
        <v>7.913418</v>
      </c>
      <c r="H577" t="n">
        <v>14.21041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35.10276</v>
      </c>
      <c r="N577" t="n">
        <v>23.8379</v>
      </c>
      <c r="O577" t="n">
        <v>12.93419</v>
      </c>
      <c r="P577" t="n">
        <v>8.552349</v>
      </c>
      <c r="Q577" t="n">
        <v>13.36471</v>
      </c>
      <c r="R577" t="n">
        <v>22.18513</v>
      </c>
      <c r="S577" t="n">
        <v>76.42589</v>
      </c>
      <c r="T577" t="n">
        <v>26.79921</v>
      </c>
      <c r="U577" t="n">
        <v>12.15017</v>
      </c>
      <c r="V577" t="n">
        <v>32.19729</v>
      </c>
      <c r="W577" t="n">
        <v>30.17796</v>
      </c>
      <c r="X577" t="n">
        <v>31.33723</v>
      </c>
      <c r="Y577" t="n">
        <v>66.84820999999999</v>
      </c>
      <c r="Z577" t="n">
        <v>19.88132</v>
      </c>
      <c r="AA577" t="n">
        <v>1.202484</v>
      </c>
      <c r="AB577" t="n">
        <v>32.1797</v>
      </c>
      <c r="AC577" t="n">
        <v>1.83922</v>
      </c>
      <c r="AD577" t="n">
        <v>36.27396</v>
      </c>
      <c r="AE577" t="n">
        <v>15.26544</v>
      </c>
    </row>
    <row r="578">
      <c r="A578" s="89" t="n">
        <v>36161</v>
      </c>
      <c r="B578" t="n">
        <v>21.49822</v>
      </c>
      <c r="C578" t="n">
        <v>8.226063</v>
      </c>
      <c r="D578" t="n">
        <v>30.95815</v>
      </c>
      <c r="E578" t="n">
        <v>49.45854</v>
      </c>
      <c r="F578" t="n">
        <v>17.86307</v>
      </c>
      <c r="G578" t="n">
        <v>7.931219</v>
      </c>
      <c r="H578" t="n">
        <v>14.32236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35.12101</v>
      </c>
      <c r="N578" t="n">
        <v>24.15303</v>
      </c>
      <c r="O578" t="n">
        <v>13.39988</v>
      </c>
      <c r="P578" t="n">
        <v>8.667878999999999</v>
      </c>
      <c r="Q578" t="n">
        <v>13.55872</v>
      </c>
      <c r="R578" t="n">
        <v>22.52358</v>
      </c>
      <c r="S578" t="n">
        <v>76.61403</v>
      </c>
      <c r="T578" t="n">
        <v>27.29881</v>
      </c>
      <c r="U578" t="n">
        <v>12.39581</v>
      </c>
      <c r="V578" t="n">
        <v>32.56162</v>
      </c>
      <c r="W578" t="n">
        <v>30.2201</v>
      </c>
      <c r="X578" t="n">
        <v>31.62987</v>
      </c>
      <c r="Y578" t="n">
        <v>67.80618</v>
      </c>
      <c r="Z578" t="n">
        <v>20.62853</v>
      </c>
      <c r="AA578" t="n">
        <v>1.308076</v>
      </c>
      <c r="AB578" t="n">
        <v>34.83103</v>
      </c>
      <c r="AC578" t="n">
        <v>1.921589</v>
      </c>
      <c r="AD578" t="n">
        <v>36.50166</v>
      </c>
      <c r="AE578" t="n">
        <v>15.41798</v>
      </c>
    </row>
    <row r="579">
      <c r="A579" s="89" t="n">
        <v>36192</v>
      </c>
      <c r="B579" t="n">
        <v>21.64951</v>
      </c>
      <c r="C579" t="n">
        <v>8.372356999999999</v>
      </c>
      <c r="D579" t="n">
        <v>30.97221</v>
      </c>
      <c r="E579" t="n">
        <v>49.80178</v>
      </c>
      <c r="F579" t="n">
        <v>18.01229</v>
      </c>
      <c r="G579" t="n">
        <v>8.053982</v>
      </c>
      <c r="H579" t="n">
        <v>14.56317</v>
      </c>
      <c r="I579" t="n">
        <v/>
      </c>
      <c r="J579" t="n">
        <v>36.33436</v>
      </c>
      <c r="K579" t="n">
        <v>36.00417</v>
      </c>
      <c r="L579" t="n">
        <v>42.02087</v>
      </c>
      <c r="M579" t="n">
        <v>35.01503</v>
      </c>
      <c r="N579" t="n">
        <v>24.53523</v>
      </c>
      <c r="O579" t="n">
        <v>13.79843</v>
      </c>
      <c r="P579" t="n">
        <v>8.793066</v>
      </c>
      <c r="Q579" t="n">
        <v>13.74295</v>
      </c>
      <c r="R579" t="n">
        <v>22.79083</v>
      </c>
      <c r="S579" t="n">
        <v>76.79398999999999</v>
      </c>
      <c r="T579" t="n">
        <v>27.50473</v>
      </c>
      <c r="U579" t="n">
        <v>12.67777</v>
      </c>
      <c r="V579" t="n">
        <v>32.813</v>
      </c>
      <c r="W579" t="n">
        <v>30.89733</v>
      </c>
      <c r="X579" t="n">
        <v>31.90558</v>
      </c>
      <c r="Y579" t="n">
        <v>68.62264999999999</v>
      </c>
      <c r="Z579" t="n">
        <v>21.26293</v>
      </c>
      <c r="AA579" t="n">
        <v>1.413123</v>
      </c>
      <c r="AB579" t="n">
        <v>37.86425</v>
      </c>
      <c r="AC579" t="n">
        <v>2.024119</v>
      </c>
      <c r="AD579" t="n">
        <v>36.69113</v>
      </c>
      <c r="AE579" t="n">
        <v>15.20859</v>
      </c>
    </row>
    <row r="580">
      <c r="A580" s="89" t="n">
        <v>36220</v>
      </c>
      <c r="B580" t="n">
        <v>21.82323</v>
      </c>
      <c r="C580" t="n">
        <v>8.528294000000001</v>
      </c>
      <c r="D580" t="n">
        <v>31.10155</v>
      </c>
      <c r="E580" t="n">
        <v>50.00064</v>
      </c>
      <c r="F580" t="n">
        <v>18.07036</v>
      </c>
      <c r="G580" t="n">
        <v>8.214312</v>
      </c>
      <c r="H580" t="n">
        <v>14.6542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35.01601</v>
      </c>
      <c r="N580" t="n">
        <v>24.72241</v>
      </c>
      <c r="O580" t="n">
        <v>13.98854</v>
      </c>
      <c r="P580" t="n">
        <v>8.949646</v>
      </c>
      <c r="Q580" t="n">
        <v>13.91555</v>
      </c>
      <c r="R580" t="n">
        <v>23.07537</v>
      </c>
      <c r="S580" t="n">
        <v>77.11301</v>
      </c>
      <c r="T580" t="n">
        <v>27.66449</v>
      </c>
      <c r="U580" t="n">
        <v>12.99342</v>
      </c>
      <c r="V580" t="n">
        <v>32.93926</v>
      </c>
      <c r="W580" t="n">
        <v>31.05005</v>
      </c>
      <c r="X580" t="n">
        <v>32.11745</v>
      </c>
      <c r="Y580" t="n">
        <v>68.90804</v>
      </c>
      <c r="Z580" t="n">
        <v>21.69757</v>
      </c>
      <c r="AA580" t="n">
        <v>1.44406</v>
      </c>
      <c r="AB580" t="n">
        <v>37.776</v>
      </c>
      <c r="AC580" t="n">
        <v>2.162853</v>
      </c>
      <c r="AD580" t="n">
        <v>36.74764</v>
      </c>
      <c r="AE580" t="n">
        <v>15.13043</v>
      </c>
    </row>
    <row r="581">
      <c r="A581" s="89" t="n">
        <v>36251</v>
      </c>
      <c r="B581" t="n">
        <v>22.05297</v>
      </c>
      <c r="C581" t="n">
        <v>8.671156999999999</v>
      </c>
      <c r="D581" t="n">
        <v>31.35568</v>
      </c>
      <c r="E581" t="n">
        <v>49.97768</v>
      </c>
      <c r="F581" t="n">
        <v>18.15389</v>
      </c>
      <c r="G581" t="n">
        <v>8.263121</v>
      </c>
      <c r="H581" t="n">
        <v>14.71439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35.07244</v>
      </c>
      <c r="N581" t="n">
        <v>24.73637</v>
      </c>
      <c r="O581" t="n">
        <v>14.12927</v>
      </c>
      <c r="P581" t="n">
        <v>9.056244</v>
      </c>
      <c r="Q581" t="n">
        <v>14.08532</v>
      </c>
      <c r="R581" t="n">
        <v>23.49814</v>
      </c>
      <c r="S581" t="n">
        <v>77.20299</v>
      </c>
      <c r="T581" t="n">
        <v>27.88473</v>
      </c>
      <c r="U581" t="n">
        <v>13.18569</v>
      </c>
      <c r="V581" t="n">
        <v>33.18238</v>
      </c>
      <c r="W581" t="n">
        <v>30.69409</v>
      </c>
      <c r="X581" t="n">
        <v>32.37196</v>
      </c>
      <c r="Y581" t="n">
        <v>68.77424999999999</v>
      </c>
      <c r="Z581" t="n">
        <v>21.89099</v>
      </c>
      <c r="AA581" t="n">
        <v>1.489843</v>
      </c>
      <c r="AB581" t="n">
        <v>38.03074</v>
      </c>
      <c r="AC581" t="n">
        <v>2.301165</v>
      </c>
      <c r="AD581" t="n">
        <v>36.98531</v>
      </c>
      <c r="AE581" t="n">
        <v>15.30618</v>
      </c>
    </row>
    <row r="582">
      <c r="A582" s="89" t="n">
        <v>36281</v>
      </c>
      <c r="B582" t="n">
        <v>22.29113</v>
      </c>
      <c r="C582" t="n">
        <v>8.798527</v>
      </c>
      <c r="D582" t="n">
        <v>31.49474</v>
      </c>
      <c r="E582" t="n">
        <v>50.00264</v>
      </c>
      <c r="F582" t="n">
        <v>18.48404</v>
      </c>
      <c r="G582" t="n">
        <v>8.333735000000001</v>
      </c>
      <c r="H582" t="n">
        <v>14.7984</v>
      </c>
      <c r="I582" t="n">
        <v/>
      </c>
      <c r="J582" t="n">
        <v>37.16018</v>
      </c>
      <c r="K582" t="n">
        <v>36.57549</v>
      </c>
      <c r="L582" t="n">
        <v>42.55935</v>
      </c>
      <c r="M582" t="n">
        <v>35.16426</v>
      </c>
      <c r="N582" t="n">
        <v>24.97696</v>
      </c>
      <c r="O582" t="n">
        <v>14.31181</v>
      </c>
      <c r="P582" t="n">
        <v>9.122043</v>
      </c>
      <c r="Q582" t="n">
        <v>14.26329</v>
      </c>
      <c r="R582" t="n">
        <v>23.83499</v>
      </c>
      <c r="S582" t="n">
        <v>77.48111</v>
      </c>
      <c r="T582" t="n">
        <v>28.00601</v>
      </c>
      <c r="U582" t="n">
        <v>13.38374</v>
      </c>
      <c r="V582" t="n">
        <v>33.20445</v>
      </c>
      <c r="W582" t="n">
        <v>30.27276</v>
      </c>
      <c r="X582" t="n">
        <v>32.64933</v>
      </c>
      <c r="Y582" t="n">
        <v>68.69853000000001</v>
      </c>
      <c r="Z582" t="n">
        <v>22.07282</v>
      </c>
      <c r="AA582" t="n">
        <v>1.557884</v>
      </c>
      <c r="AB582" t="n">
        <v>39.18481</v>
      </c>
      <c r="AC582" t="n">
        <v>2.457563</v>
      </c>
      <c r="AD582" t="n">
        <v>37.18725</v>
      </c>
      <c r="AE582" t="n">
        <v>15.25159</v>
      </c>
    </row>
    <row r="583">
      <c r="A583" s="89" t="n">
        <v>36312</v>
      </c>
      <c r="B583" t="n">
        <v>22.49846</v>
      </c>
      <c r="C583" t="n">
        <v>8.933215000000001</v>
      </c>
      <c r="D583" t="n">
        <v>31.70276</v>
      </c>
      <c r="E583" t="n">
        <v>50.03154</v>
      </c>
      <c r="F583" t="n">
        <v>18.89281</v>
      </c>
      <c r="G583" t="n">
        <v>8.436983</v>
      </c>
      <c r="H583" t="n">
        <v>14.83329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35.24501</v>
      </c>
      <c r="N583" t="n">
        <v>25.17166</v>
      </c>
      <c r="O583" t="n">
        <v>14.2508</v>
      </c>
      <c r="P583" t="n">
        <v>9.221332</v>
      </c>
      <c r="Q583" t="n">
        <v>14.45124</v>
      </c>
      <c r="R583" t="n">
        <v>24.06947</v>
      </c>
      <c r="S583" t="n">
        <v>77.77558999999999</v>
      </c>
      <c r="T583" t="n">
        <v>28.17287</v>
      </c>
      <c r="U583" t="n">
        <v>13.60325</v>
      </c>
      <c r="V583" t="n">
        <v>33.53511</v>
      </c>
      <c r="W583" t="n">
        <v>30.28488</v>
      </c>
      <c r="X583" t="n">
        <v>32.91136</v>
      </c>
      <c r="Y583" t="n">
        <v>68.75587</v>
      </c>
      <c r="Z583" t="n">
        <v>22.32683</v>
      </c>
      <c r="AA583" t="n">
        <v>1.638034</v>
      </c>
      <c r="AB583" t="n">
        <v>39.97429</v>
      </c>
      <c r="AC583" t="n">
        <v>2.598006</v>
      </c>
      <c r="AD583" t="n">
        <v>37.36841</v>
      </c>
      <c r="AE583" t="n">
        <v>15.4435</v>
      </c>
    </row>
    <row r="584">
      <c r="A584" s="89" t="n">
        <v>36342</v>
      </c>
      <c r="B584" t="n">
        <v>22.65536</v>
      </c>
      <c r="C584" t="n">
        <v>9.085259000000001</v>
      </c>
      <c r="D584" t="n">
        <v>31.85014</v>
      </c>
      <c r="E584" t="n">
        <v>50.11339</v>
      </c>
      <c r="F584" t="n">
        <v>19.02491</v>
      </c>
      <c r="G584" t="n">
        <v>8.455183</v>
      </c>
      <c r="H584" t="n">
        <v>14.84363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35.3168</v>
      </c>
      <c r="N584" t="n">
        <v>25.2946</v>
      </c>
      <c r="O584" t="n">
        <v>14.20318</v>
      </c>
      <c r="P584" t="n">
        <v>9.353161999999999</v>
      </c>
      <c r="Q584" t="n">
        <v>14.64447</v>
      </c>
      <c r="R584" t="n">
        <v>24.41767</v>
      </c>
      <c r="S584" t="n">
        <v>77.91464999999999</v>
      </c>
      <c r="T584" t="n">
        <v>28.29239</v>
      </c>
      <c r="U584" t="n">
        <v>13.83837</v>
      </c>
      <c r="V584" t="n">
        <v>34.19626</v>
      </c>
      <c r="W584" t="n">
        <v>30.85591</v>
      </c>
      <c r="X584" t="n">
        <v>33.15108</v>
      </c>
      <c r="Y584" t="n">
        <v>68.89046</v>
      </c>
      <c r="Z584" t="n">
        <v>22.48635</v>
      </c>
      <c r="AA584" t="n">
        <v>1.710348</v>
      </c>
      <c r="AB584" t="n">
        <v>40.1792</v>
      </c>
      <c r="AC584" t="n">
        <v>2.701561</v>
      </c>
      <c r="AD584" t="n">
        <v>37.59445</v>
      </c>
      <c r="AE584" t="n">
        <v>15.72112</v>
      </c>
    </row>
    <row r="585">
      <c r="A585" s="89" t="n">
        <v>36373</v>
      </c>
      <c r="B585" t="n">
        <v>22.78985</v>
      </c>
      <c r="C585" t="n">
        <v>9.215401</v>
      </c>
      <c r="D585" t="n">
        <v>32.02813</v>
      </c>
      <c r="E585" t="n">
        <v>50.16301</v>
      </c>
      <c r="F585" t="n">
        <v>19.01729</v>
      </c>
      <c r="G585" t="n">
        <v>8.513522999999999</v>
      </c>
      <c r="H585" t="n">
        <v>14.91102</v>
      </c>
      <c r="I585" t="n">
        <v/>
      </c>
      <c r="J585" t="n">
        <v>37.44327</v>
      </c>
      <c r="K585" t="n">
        <v>36.98897</v>
      </c>
      <c r="L585" t="n">
        <v>42.92964</v>
      </c>
      <c r="M585" t="n">
        <v>35.4221</v>
      </c>
      <c r="N585" t="n">
        <v>25.60997</v>
      </c>
      <c r="O585" t="n">
        <v>14.50524</v>
      </c>
      <c r="P585" t="n">
        <v>9.500515</v>
      </c>
      <c r="Q585" t="n">
        <v>14.83462</v>
      </c>
      <c r="R585" t="n">
        <v>24.83895</v>
      </c>
      <c r="S585" t="n">
        <v>78.00463000000001</v>
      </c>
      <c r="T585" t="n">
        <v>28.2859</v>
      </c>
      <c r="U585" t="n">
        <v>14.11893</v>
      </c>
      <c r="V585" t="n">
        <v>34.53746</v>
      </c>
      <c r="W585" t="n">
        <v>31.23355</v>
      </c>
      <c r="X585" t="n">
        <v>33.38649</v>
      </c>
      <c r="Y585" t="n">
        <v>69.18261</v>
      </c>
      <c r="Z585" t="n">
        <v>22.67171</v>
      </c>
      <c r="AA585" t="n">
        <v>1.779875</v>
      </c>
      <c r="AB585" t="n">
        <v>40.64315</v>
      </c>
      <c r="AC585" t="n">
        <v>2.845474</v>
      </c>
      <c r="AD585" t="n">
        <v>37.73822</v>
      </c>
      <c r="AE585" t="n">
        <v>15.75097</v>
      </c>
    </row>
    <row r="586">
      <c r="A586" s="89" t="n">
        <v>36404</v>
      </c>
      <c r="B586" t="n">
        <v>22.94394</v>
      </c>
      <c r="C586" t="n">
        <v>9.365049000000001</v>
      </c>
      <c r="D586" t="n">
        <v>32.0059</v>
      </c>
      <c r="E586" t="n">
        <v>50.18118</v>
      </c>
      <c r="F586" t="n">
        <v>19.17825</v>
      </c>
      <c r="G586" t="n">
        <v>8.703583</v>
      </c>
      <c r="H586" t="n">
        <v>14.99314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35.42453</v>
      </c>
      <c r="N586" t="n">
        <v>25.90882</v>
      </c>
      <c r="O586" t="n">
        <v>14.88413</v>
      </c>
      <c r="P586" t="n">
        <v>9.623896999999999</v>
      </c>
      <c r="Q586" t="n">
        <v>15.01057</v>
      </c>
      <c r="R586" t="n">
        <v>25.19901</v>
      </c>
      <c r="S586" t="n">
        <v>78.02099</v>
      </c>
      <c r="T586" t="n">
        <v>28.31395</v>
      </c>
      <c r="U586" t="n">
        <v>14.37713</v>
      </c>
      <c r="V586" t="n">
        <v>34.53555</v>
      </c>
      <c r="W586" t="n">
        <v>31.38915</v>
      </c>
      <c r="X586" t="n">
        <v>33.59827</v>
      </c>
      <c r="Y586" t="n">
        <v>69.65644</v>
      </c>
      <c r="Z586" t="n">
        <v>23.05414</v>
      </c>
      <c r="AA586" t="n">
        <v>1.834026</v>
      </c>
      <c r="AB586" t="n">
        <v>40.8618</v>
      </c>
      <c r="AC586" t="n">
        <v>3.007553</v>
      </c>
      <c r="AD586" t="n">
        <v>37.87118</v>
      </c>
      <c r="AE586" t="n">
        <v>15.99471</v>
      </c>
    </row>
    <row r="587">
      <c r="A587" s="89" t="n">
        <v>36434</v>
      </c>
      <c r="B587" t="n">
        <v>23.12886</v>
      </c>
      <c r="C587" t="n">
        <v>9.544271</v>
      </c>
      <c r="D587" t="n">
        <v>32.4527</v>
      </c>
      <c r="E587" t="n">
        <v>50.07017</v>
      </c>
      <c r="F587" t="n">
        <v>19.38785</v>
      </c>
      <c r="G587" t="n">
        <v>8.776474</v>
      </c>
      <c r="H587" t="n">
        <v>15.02303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35.37786</v>
      </c>
      <c r="N587" t="n">
        <v>26.12522</v>
      </c>
      <c r="O587" t="n">
        <v>14.84825</v>
      </c>
      <c r="P587" t="n">
        <v>9.752648000000001</v>
      </c>
      <c r="Q587" t="n">
        <v>15.17673</v>
      </c>
      <c r="R587" t="n">
        <v>25.55581</v>
      </c>
      <c r="S587" t="n">
        <v>78.27457</v>
      </c>
      <c r="T587" t="n">
        <v>28.46472</v>
      </c>
      <c r="U587" t="n">
        <v>14.57652</v>
      </c>
      <c r="V587" t="n">
        <v>34.90571</v>
      </c>
      <c r="W587" t="n">
        <v>31.41692</v>
      </c>
      <c r="X587" t="n">
        <v>33.87181</v>
      </c>
      <c r="Y587" t="n">
        <v>70.33071</v>
      </c>
      <c r="Z587" t="n">
        <v>23.45243</v>
      </c>
      <c r="AA587" t="n">
        <v>1.883655</v>
      </c>
      <c r="AB587" t="n">
        <v>41.27076</v>
      </c>
      <c r="AC587" t="n">
        <v>3.180906</v>
      </c>
      <c r="AD587" t="n">
        <v>38.06813</v>
      </c>
      <c r="AE587" t="n">
        <v>16.30217</v>
      </c>
    </row>
    <row r="588">
      <c r="A588" s="89" t="n">
        <v>36465</v>
      </c>
      <c r="B588" t="n">
        <v>23.31939</v>
      </c>
      <c r="C588" t="n">
        <v>9.695145</v>
      </c>
      <c r="D588" t="n">
        <v>32.6783</v>
      </c>
      <c r="E588" t="n">
        <v>49.91248</v>
      </c>
      <c r="F588" t="n">
        <v>19.57263</v>
      </c>
      <c r="G588" t="n">
        <v>8.795945</v>
      </c>
      <c r="H588" t="n">
        <v>15.07083</v>
      </c>
      <c r="I588" t="n">
        <v/>
      </c>
      <c r="J588" t="n">
        <v>38.17961</v>
      </c>
      <c r="K588" t="n">
        <v>37.1091</v>
      </c>
      <c r="L588" t="n">
        <v>43.4009</v>
      </c>
      <c r="M588" t="n">
        <v>35.70214</v>
      </c>
      <c r="N588" t="n">
        <v>26.39353</v>
      </c>
      <c r="O588" t="n">
        <v>14.70467</v>
      </c>
      <c r="P588" t="n">
        <v>9.855180000000001</v>
      </c>
      <c r="Q588" t="n">
        <v>15.34073</v>
      </c>
      <c r="R588" t="n">
        <v>25.82645</v>
      </c>
      <c r="S588" t="n">
        <v>78.34001000000001</v>
      </c>
      <c r="T588" t="n">
        <v>28.61735</v>
      </c>
      <c r="U588" t="n">
        <v>14.77014</v>
      </c>
      <c r="V588" t="n">
        <v>35.30903</v>
      </c>
      <c r="W588" t="n">
        <v>31.33285</v>
      </c>
      <c r="X588" t="n">
        <v>34.16451</v>
      </c>
      <c r="Y588" t="n">
        <v>70.81955000000001</v>
      </c>
      <c r="Z588" t="n">
        <v>23.88944</v>
      </c>
      <c r="AA588" t="n">
        <v>1.948516</v>
      </c>
      <c r="AB588" t="n">
        <v>41.62099</v>
      </c>
      <c r="AC588" t="n">
        <v>3.397039</v>
      </c>
      <c r="AD588" t="n">
        <v>38.22602</v>
      </c>
      <c r="AE588" t="n">
        <v>16.51804</v>
      </c>
    </row>
    <row r="589">
      <c r="A589" s="89" t="n">
        <v>36495</v>
      </c>
      <c r="B589" t="n">
        <v>23.41465</v>
      </c>
      <c r="C589" t="n">
        <v>9.969006</v>
      </c>
      <c r="D589" t="n">
        <v>32.89997</v>
      </c>
      <c r="E589" t="n">
        <v>49.83994</v>
      </c>
      <c r="F589" t="n">
        <v>19.77931</v>
      </c>
      <c r="G589" t="n">
        <v>8.952579</v>
      </c>
      <c r="H589" t="n">
        <v>15.12354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35.98988</v>
      </c>
      <c r="N589" t="n">
        <v>26.85672</v>
      </c>
      <c r="O589" t="n">
        <v>14.74371</v>
      </c>
      <c r="P589" t="n">
        <v>10.04146</v>
      </c>
      <c r="Q589" t="n">
        <v>15.50191</v>
      </c>
      <c r="R589" t="n">
        <v>26.13113</v>
      </c>
      <c r="S589" t="n">
        <v>78.60177</v>
      </c>
      <c r="T589" t="n">
        <v>28.61973</v>
      </c>
      <c r="U589" t="n">
        <v>14.90413</v>
      </c>
      <c r="V589" t="n">
        <v>35.53172</v>
      </c>
      <c r="W589" t="n">
        <v>31.46424</v>
      </c>
      <c r="X589" t="n">
        <v>34.48875</v>
      </c>
      <c r="Y589" t="n">
        <v>70.89776999999999</v>
      </c>
      <c r="Z589" t="n">
        <v>24.29217</v>
      </c>
      <c r="AA589" t="n">
        <v>1.983633</v>
      </c>
      <c r="AB589" t="n">
        <v>41.1742</v>
      </c>
      <c r="AC589" t="n">
        <v>3.633562</v>
      </c>
      <c r="AD589" t="n">
        <v>38.45456</v>
      </c>
      <c r="AE589" t="n">
        <v>16.83222</v>
      </c>
    </row>
    <row r="590">
      <c r="A590" s="89" t="n">
        <v>36526</v>
      </c>
      <c r="B590" t="n">
        <v>23.44547</v>
      </c>
      <c r="C590" t="n">
        <v>10.24938</v>
      </c>
      <c r="D590" t="n">
        <v>33.02388</v>
      </c>
      <c r="E590" t="n">
        <v>49.70052</v>
      </c>
      <c r="F590" t="n">
        <v>19.88669</v>
      </c>
      <c r="G590" t="n">
        <v>9.088729000000001</v>
      </c>
      <c r="H590" t="n">
        <v>15.29268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35.92948</v>
      </c>
      <c r="N590" t="n">
        <v>27.25684</v>
      </c>
      <c r="O590" t="n">
        <v>14.80523</v>
      </c>
      <c r="P590" t="n">
        <v>10.1776</v>
      </c>
      <c r="Q590" t="n">
        <v>15.6591</v>
      </c>
      <c r="R590" t="n">
        <v>26.62013</v>
      </c>
      <c r="S590" t="n">
        <v>78.62631</v>
      </c>
      <c r="T590" t="n">
        <v>28.72981</v>
      </c>
      <c r="U590" t="n">
        <v>15.12249</v>
      </c>
      <c r="V590" t="n">
        <v>35.72271</v>
      </c>
      <c r="W590" t="n">
        <v>31.50834</v>
      </c>
      <c r="X590" t="n">
        <v>34.76026</v>
      </c>
      <c r="Y590" t="n">
        <v>72.08253999999999</v>
      </c>
      <c r="Z590" t="n">
        <v>24.32207</v>
      </c>
      <c r="AA590" t="n">
        <v>2.097112</v>
      </c>
      <c r="AB590" t="n">
        <v>41.58322</v>
      </c>
      <c r="AC590" t="n">
        <v>3.858876</v>
      </c>
      <c r="AD590" t="n">
        <v>38.68973</v>
      </c>
      <c r="AE590" t="n">
        <v>16.98082</v>
      </c>
    </row>
    <row r="591">
      <c r="A591" s="89" t="n">
        <v>36557</v>
      </c>
      <c r="B591" t="n">
        <v>23.52112</v>
      </c>
      <c r="C591" t="n">
        <v>10.41877</v>
      </c>
      <c r="D591" t="n">
        <v>33.32624</v>
      </c>
      <c r="E591" t="n">
        <v>49.44541</v>
      </c>
      <c r="F591" t="n">
        <v>19.98463</v>
      </c>
      <c r="G591" t="n">
        <v>9.173444</v>
      </c>
      <c r="H591" t="n">
        <v>15.20976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36.16468</v>
      </c>
      <c r="N591" t="n">
        <v>27.6404</v>
      </c>
      <c r="O591" t="n">
        <v>14.98777</v>
      </c>
      <c r="P591" t="n">
        <v>10.25099</v>
      </c>
      <c r="Q591" t="n">
        <v>15.81323</v>
      </c>
      <c r="R591" t="n">
        <v>26.96834</v>
      </c>
      <c r="S591" t="n">
        <v>78.77355</v>
      </c>
      <c r="T591" t="n">
        <v>28.92856</v>
      </c>
      <c r="U591" t="n">
        <v>15.44941</v>
      </c>
      <c r="V591" t="n">
        <v>35.90107</v>
      </c>
      <c r="W591" t="n">
        <v>31.50061</v>
      </c>
      <c r="X591" t="n">
        <v>34.97271</v>
      </c>
      <c r="Y591" t="n">
        <v>73.59171000000001</v>
      </c>
      <c r="Z591" t="n">
        <v>24.3294</v>
      </c>
      <c r="AA591" t="n">
        <v>2.219911</v>
      </c>
      <c r="AB591" t="n">
        <v>42.87687</v>
      </c>
      <c r="AC591" t="n">
        <v>4.045871</v>
      </c>
      <c r="AD591" t="n">
        <v>38.80026</v>
      </c>
      <c r="AE591" t="n">
        <v>16.96754</v>
      </c>
    </row>
    <row r="592">
      <c r="A592" s="89" t="n">
        <v>36586</v>
      </c>
      <c r="B592" t="n">
        <v>23.62478</v>
      </c>
      <c r="C592" t="n">
        <v>10.5752</v>
      </c>
      <c r="D592" t="n">
        <v>33.65058</v>
      </c>
      <c r="E592" t="n">
        <v>49.20711</v>
      </c>
      <c r="F592" t="n">
        <v>20.13134</v>
      </c>
      <c r="G592" t="n">
        <v>9.256809000000001</v>
      </c>
      <c r="H592" t="n">
        <v>15.03858</v>
      </c>
      <c r="I592" t="n">
        <v/>
      </c>
      <c r="J592" t="n">
        <v>39.33252</v>
      </c>
      <c r="K592" t="n">
        <v>37.55172</v>
      </c>
      <c r="L592" t="n">
        <v>44.8322</v>
      </c>
      <c r="M592" t="n">
        <v>36.82928</v>
      </c>
      <c r="N592" t="n">
        <v>28.24787</v>
      </c>
      <c r="O592" t="n">
        <v>15.15074</v>
      </c>
      <c r="P592" t="n">
        <v>10.35824</v>
      </c>
      <c r="Q592" t="n">
        <v>15.96292</v>
      </c>
      <c r="R592" t="n">
        <v>27.43673</v>
      </c>
      <c r="S592" t="n">
        <v>78.83899</v>
      </c>
      <c r="T592" t="n">
        <v>29.16991</v>
      </c>
      <c r="U592" t="n">
        <v>15.66273</v>
      </c>
      <c r="V592" t="n">
        <v>36.33215</v>
      </c>
      <c r="W592" t="n">
        <v>31.46038</v>
      </c>
      <c r="X592" t="n">
        <v>35.26143</v>
      </c>
      <c r="Y592" t="n">
        <v>73.98551999999999</v>
      </c>
      <c r="Z592" t="n">
        <v>24.66117</v>
      </c>
      <c r="AA592" t="n">
        <v>2.304609</v>
      </c>
      <c r="AB592" t="n">
        <v>43.52835</v>
      </c>
      <c r="AC592" t="n">
        <v>4.182989</v>
      </c>
      <c r="AD592" t="n">
        <v>39.05621</v>
      </c>
      <c r="AE592" t="n">
        <v>16.88393</v>
      </c>
    </row>
    <row r="593">
      <c r="A593" s="89" t="n">
        <v>36617</v>
      </c>
      <c r="B593" t="n">
        <v>23.78168</v>
      </c>
      <c r="C593" t="n">
        <v>10.71917</v>
      </c>
      <c r="D593" t="n">
        <v>33.81078</v>
      </c>
      <c r="E593" t="n">
        <v>49.06364</v>
      </c>
      <c r="F593" t="n">
        <v>20.28727</v>
      </c>
      <c r="G593" t="n">
        <v>9.347498999999999</v>
      </c>
      <c r="H593" t="n">
        <v>15.09527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37.2961</v>
      </c>
      <c r="N593" t="n">
        <v>28.83706</v>
      </c>
      <c r="O593" t="n">
        <v>15.32567</v>
      </c>
      <c r="P593" t="n">
        <v>10.45477</v>
      </c>
      <c r="Q593" t="n">
        <v>16.10706</v>
      </c>
      <c r="R593" t="n">
        <v>27.89109</v>
      </c>
      <c r="S593" t="n">
        <v>79.02713</v>
      </c>
      <c r="T593" t="n">
        <v>29.34756</v>
      </c>
      <c r="U593" t="n">
        <v>15.90492</v>
      </c>
      <c r="V593" t="n">
        <v>36.78896</v>
      </c>
      <c r="W593" t="n">
        <v>31.44389</v>
      </c>
      <c r="X593" t="n">
        <v>35.62491</v>
      </c>
      <c r="Y593" t="n">
        <v>74.03278</v>
      </c>
      <c r="Z593" t="n">
        <v>25.1083</v>
      </c>
      <c r="AA593" t="n">
        <v>2.410746</v>
      </c>
      <c r="AB593" t="n">
        <v>43.80904</v>
      </c>
      <c r="AC593" t="n">
        <v>4.311923</v>
      </c>
      <c r="AD593" t="n">
        <v>39.51992</v>
      </c>
      <c r="AE593" t="n">
        <v>16.86954</v>
      </c>
    </row>
    <row r="594">
      <c r="A594" s="89" t="n">
        <v>36647</v>
      </c>
      <c r="B594" t="n">
        <v>23.98061</v>
      </c>
      <c r="C594" t="n">
        <v>10.89985</v>
      </c>
      <c r="D594" t="n">
        <v>33.69101</v>
      </c>
      <c r="E594" t="n">
        <v>49.09152</v>
      </c>
      <c r="F594" t="n">
        <v>20.48655</v>
      </c>
      <c r="G594" t="n">
        <v>9.437249</v>
      </c>
      <c r="H594" t="n">
        <v>15.13559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37.75796</v>
      </c>
      <c r="N594" t="n">
        <v>29.26016</v>
      </c>
      <c r="O594" t="n">
        <v>15.53429</v>
      </c>
      <c r="P594" t="n">
        <v>10.57086</v>
      </c>
      <c r="Q594" t="n">
        <v>16.24347</v>
      </c>
      <c r="R594" t="n">
        <v>28.13522</v>
      </c>
      <c r="S594" t="n">
        <v>79.04349999999999</v>
      </c>
      <c r="T594" t="n">
        <v>29.46776</v>
      </c>
      <c r="U594" t="n">
        <v>16.15365</v>
      </c>
      <c r="V594" t="n">
        <v>37.14052</v>
      </c>
      <c r="W594" t="n">
        <v>31.6638</v>
      </c>
      <c r="X594" t="n">
        <v>35.72923</v>
      </c>
      <c r="Y594" t="n">
        <v>74.31332</v>
      </c>
      <c r="Z594" t="n">
        <v>25.4723</v>
      </c>
      <c r="AA594" t="n">
        <v>2.474025</v>
      </c>
      <c r="AB594" t="n">
        <v>43.85705</v>
      </c>
      <c r="AC594" t="n">
        <v>4.472923</v>
      </c>
      <c r="AD594" t="n">
        <v>39.41604</v>
      </c>
      <c r="AE594" t="n">
        <v>16.79181</v>
      </c>
    </row>
    <row r="595">
      <c r="A595" s="89" t="n">
        <v>36678</v>
      </c>
      <c r="B595" t="n">
        <v>24.14312</v>
      </c>
      <c r="C595" t="n">
        <v>11.23231</v>
      </c>
      <c r="D595" t="n">
        <v>33.74601</v>
      </c>
      <c r="E595" t="n">
        <v>48.93593</v>
      </c>
      <c r="F595" t="n">
        <v>20.71616</v>
      </c>
      <c r="G595" t="n">
        <v>9.532495000000001</v>
      </c>
      <c r="H595" t="n">
        <v>15.14665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38.32078</v>
      </c>
      <c r="N595" t="n">
        <v>29.55659</v>
      </c>
      <c r="O595" t="n">
        <v>15.67749</v>
      </c>
      <c r="P595" t="n">
        <v>10.70087</v>
      </c>
      <c r="Q595" t="n">
        <v>16.37674</v>
      </c>
      <c r="R595" t="n">
        <v>28.45018</v>
      </c>
      <c r="S595" t="n">
        <v>79.12529000000001</v>
      </c>
      <c r="T595" t="n">
        <v>29.64621</v>
      </c>
      <c r="U595" t="n">
        <v>16.37621</v>
      </c>
      <c r="V595" t="n">
        <v>37.46064</v>
      </c>
      <c r="W595" t="n">
        <v>31.58727</v>
      </c>
      <c r="X595" t="n">
        <v>35.96111</v>
      </c>
      <c r="Y595" t="n">
        <v>74.88599000000001</v>
      </c>
      <c r="Z595" t="n">
        <v>26.30262</v>
      </c>
      <c r="AA595" t="n">
        <v>2.547308</v>
      </c>
      <c r="AB595" t="n">
        <v>43.66156</v>
      </c>
      <c r="AC595" t="n">
        <v>4.62368</v>
      </c>
      <c r="AD595" t="n">
        <v>39.56396</v>
      </c>
      <c r="AE595" t="n">
        <v>16.78275</v>
      </c>
    </row>
    <row r="596">
      <c r="A596" s="89" t="n">
        <v>36708</v>
      </c>
      <c r="B596" t="n">
        <v>24.29161</v>
      </c>
      <c r="C596" t="n">
        <v>11.48851</v>
      </c>
      <c r="D596" t="n">
        <v>34.24042</v>
      </c>
      <c r="E596" t="n">
        <v>48.79198</v>
      </c>
      <c r="F596" t="n">
        <v>20.93748</v>
      </c>
      <c r="G596" t="n">
        <v>9.590356999999999</v>
      </c>
      <c r="H596" t="n">
        <v>15.24416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38.4719</v>
      </c>
      <c r="N596" t="n">
        <v>29.84271</v>
      </c>
      <c r="O596" t="n">
        <v>15.74661</v>
      </c>
      <c r="P596" t="n">
        <v>10.82681</v>
      </c>
      <c r="Q596" t="n">
        <v>16.5167</v>
      </c>
      <c r="R596" t="n">
        <v>28.81733</v>
      </c>
      <c r="S596" t="n">
        <v>79.14165</v>
      </c>
      <c r="T596" t="n">
        <v>29.86377</v>
      </c>
      <c r="U596" t="n">
        <v>16.63985</v>
      </c>
      <c r="V596" t="n">
        <v>37.82044</v>
      </c>
      <c r="W596" t="n">
        <v>31.61743</v>
      </c>
      <c r="X596" t="n">
        <v>36.15979</v>
      </c>
      <c r="Y596" t="n">
        <v>75.31493</v>
      </c>
      <c r="Z596" t="n">
        <v>26.60752</v>
      </c>
      <c r="AA596" t="n">
        <v>2.671422</v>
      </c>
      <c r="AB596" t="n">
        <v>43.49865</v>
      </c>
      <c r="AC596" t="n">
        <v>4.796945</v>
      </c>
      <c r="AD596" t="n">
        <v>39.70939</v>
      </c>
      <c r="AE596" t="n">
        <v>16.86931</v>
      </c>
    </row>
    <row r="597">
      <c r="A597" s="89" t="n">
        <v>36739</v>
      </c>
      <c r="B597" t="n">
        <v>24.46812</v>
      </c>
      <c r="C597" t="n">
        <v>11.55662</v>
      </c>
      <c r="D597" t="n">
        <v>34.71808</v>
      </c>
      <c r="E597" t="n">
        <v>49.00823</v>
      </c>
      <c r="F597" t="n">
        <v>21.15743</v>
      </c>
      <c r="G597" t="n">
        <v>9.658023999999999</v>
      </c>
      <c r="H597" t="n">
        <v>15.30837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38.62959</v>
      </c>
      <c r="N597" t="n">
        <v>30.48001</v>
      </c>
      <c r="O597" t="n">
        <v>15.82708</v>
      </c>
      <c r="P597" t="n">
        <v>10.91949</v>
      </c>
      <c r="Q597" t="n">
        <v>16.66068</v>
      </c>
      <c r="R597" t="n">
        <v>29.12802</v>
      </c>
      <c r="S597" t="n">
        <v>79.28072</v>
      </c>
      <c r="T597" t="n">
        <v>30.03107</v>
      </c>
      <c r="U597" t="n">
        <v>16.83659</v>
      </c>
      <c r="V597" t="n">
        <v>38.16745</v>
      </c>
      <c r="W597" t="n">
        <v>31.88256</v>
      </c>
      <c r="X597" t="n">
        <v>36.37737</v>
      </c>
      <c r="Y597" t="n">
        <v>75.50381</v>
      </c>
      <c r="Z597" t="n">
        <v>26.25238</v>
      </c>
      <c r="AA597" t="n">
        <v>2.853307</v>
      </c>
      <c r="AB597" t="n">
        <v>43.4716</v>
      </c>
      <c r="AC597" t="n">
        <v>4.900766</v>
      </c>
      <c r="AD597" t="n">
        <v>39.94374</v>
      </c>
      <c r="AE597" t="n">
        <v>16.96329</v>
      </c>
    </row>
    <row r="598">
      <c r="A598" s="89" t="n">
        <v>36770</v>
      </c>
      <c r="B598" t="n">
        <v>24.60822</v>
      </c>
      <c r="C598" t="n">
        <v>11.64507</v>
      </c>
      <c r="D598" t="n">
        <v>34.87865</v>
      </c>
      <c r="E598" t="n">
        <v>49.01292</v>
      </c>
      <c r="F598" t="n">
        <v>21.32627</v>
      </c>
      <c r="G598" t="n">
        <v>9.836717999999999</v>
      </c>
      <c r="H598" t="n">
        <v>15.3531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38.77137</v>
      </c>
      <c r="N598" t="n">
        <v>31.28325</v>
      </c>
      <c r="O598" t="n">
        <v>15.87882</v>
      </c>
      <c r="P598" t="n">
        <v>11.04442</v>
      </c>
      <c r="Q598" t="n">
        <v>16.81042</v>
      </c>
      <c r="R598" t="n">
        <v>29.35763</v>
      </c>
      <c r="S598" t="n">
        <v>79.46066999999999</v>
      </c>
      <c r="T598" t="n">
        <v>30.1693</v>
      </c>
      <c r="U598" t="n">
        <v>17.04598</v>
      </c>
      <c r="V598" t="n">
        <v>38.81308</v>
      </c>
      <c r="W598" t="n">
        <v>32.12715</v>
      </c>
      <c r="X598" t="n">
        <v>36.61946</v>
      </c>
      <c r="Y598" t="n">
        <v>75.64976</v>
      </c>
      <c r="Z598" t="n">
        <v>26.47404</v>
      </c>
      <c r="AA598" t="n">
        <v>2.97456</v>
      </c>
      <c r="AB598" t="n">
        <v>43.46398</v>
      </c>
      <c r="AC598" t="n">
        <v>4.953609</v>
      </c>
      <c r="AD598" t="n">
        <v>40.23958</v>
      </c>
      <c r="AE598" t="n">
        <v>17.28932</v>
      </c>
    </row>
    <row r="599">
      <c r="A599" s="89" t="n">
        <v>36800</v>
      </c>
      <c r="B599" t="n">
        <v>24.72029</v>
      </c>
      <c r="C599" t="n">
        <v>11.77426</v>
      </c>
      <c r="D599" t="n">
        <v>34.91581</v>
      </c>
      <c r="E599" t="n">
        <v>48.92141</v>
      </c>
      <c r="F599" t="n">
        <v>21.46337</v>
      </c>
      <c r="G599" t="n">
        <v>9.914134000000001</v>
      </c>
      <c r="H599" t="n">
        <v>15.53224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38.99096</v>
      </c>
      <c r="N599" t="n">
        <v>31.7566</v>
      </c>
      <c r="O599" t="n">
        <v>16.16256</v>
      </c>
      <c r="P599" t="n">
        <v>11.21075</v>
      </c>
      <c r="Q599" t="n">
        <v>16.98198</v>
      </c>
      <c r="R599" t="n">
        <v>29.6339</v>
      </c>
      <c r="S599" t="n">
        <v>79.62428</v>
      </c>
      <c r="T599" t="n">
        <v>30.34956</v>
      </c>
      <c r="U599" t="n">
        <v>17.30095</v>
      </c>
      <c r="V599" t="n">
        <v>38.98443</v>
      </c>
      <c r="W599" t="n">
        <v>32.2446</v>
      </c>
      <c r="X599" t="n">
        <v>36.79558</v>
      </c>
      <c r="Y599" t="n">
        <v>75.9943</v>
      </c>
      <c r="Z599" t="n">
        <v>26.90085</v>
      </c>
      <c r="AA599" t="n">
        <v>3.089769</v>
      </c>
      <c r="AB599" t="n">
        <v>43.27105</v>
      </c>
      <c r="AC599" t="n">
        <v>5.050842</v>
      </c>
      <c r="AD599" t="n">
        <v>40.37255</v>
      </c>
      <c r="AE599" t="n">
        <v>17.50104</v>
      </c>
    </row>
    <row r="600">
      <c r="A600" s="89" t="n">
        <v>36831</v>
      </c>
      <c r="B600" t="n">
        <v>24.62502</v>
      </c>
      <c r="C600" t="n">
        <v>11.93291</v>
      </c>
      <c r="D600" t="n">
        <v>35.00835</v>
      </c>
      <c r="E600" t="n">
        <v>49.03458</v>
      </c>
      <c r="F600" t="n">
        <v>21.68741</v>
      </c>
      <c r="G600" t="n">
        <v>9.937536</v>
      </c>
      <c r="H600" t="n">
        <v>15.71453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39.43319</v>
      </c>
      <c r="N600" t="n">
        <v>32.08625</v>
      </c>
      <c r="O600" t="n">
        <v>16.52471</v>
      </c>
      <c r="P600" t="n">
        <v>11.44868</v>
      </c>
      <c r="Q600" t="n">
        <v>17.17207</v>
      </c>
      <c r="R600" t="n">
        <v>30.15674</v>
      </c>
      <c r="S600" t="n">
        <v>79.657</v>
      </c>
      <c r="T600" t="n">
        <v>30.51486</v>
      </c>
      <c r="U600" t="n">
        <v>17.45423</v>
      </c>
      <c r="V600" t="n">
        <v>39.06706</v>
      </c>
      <c r="W600" t="n">
        <v>32.16275</v>
      </c>
      <c r="X600" t="n">
        <v>36.95524</v>
      </c>
      <c r="Y600" t="n">
        <v>76.2607</v>
      </c>
      <c r="Z600" t="n">
        <v>27.37924</v>
      </c>
      <c r="AA600" t="n">
        <v>3.199127</v>
      </c>
      <c r="AB600" t="n">
        <v>43.38767</v>
      </c>
      <c r="AC600" t="n">
        <v>5.158082</v>
      </c>
      <c r="AD600" t="n">
        <v>40.4623</v>
      </c>
      <c r="AE600" t="n">
        <v>17.51664</v>
      </c>
    </row>
    <row r="601">
      <c r="A601" s="89" t="n">
        <v>36861</v>
      </c>
      <c r="B601" t="n">
        <v>24.51575</v>
      </c>
      <c r="C601" t="n">
        <v>12.03767</v>
      </c>
      <c r="D601" t="n">
        <v>35.53879</v>
      </c>
      <c r="E601" t="n">
        <v>49.16519</v>
      </c>
      <c r="F601" t="n">
        <v>22.01447</v>
      </c>
      <c r="G601" t="n">
        <v>10.06958</v>
      </c>
      <c r="H601" t="n">
        <v>15.75013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39.83975</v>
      </c>
      <c r="N601" t="n">
        <v>32.16941</v>
      </c>
      <c r="O601" t="n">
        <v>16.79229</v>
      </c>
      <c r="P601" t="n">
        <v>11.70729</v>
      </c>
      <c r="Q601" t="n">
        <v>17.35549</v>
      </c>
      <c r="R601" t="n">
        <v>30.73425</v>
      </c>
      <c r="S601" t="n">
        <v>79.6161</v>
      </c>
      <c r="T601" t="n">
        <v>30.72503</v>
      </c>
      <c r="U601" t="n">
        <v>18.81943</v>
      </c>
      <c r="V601" t="n">
        <v>39.40491</v>
      </c>
      <c r="W601" t="n">
        <v>32.23411</v>
      </c>
      <c r="X601" t="n">
        <v>37.40232</v>
      </c>
      <c r="Y601" t="n">
        <v>76.51814</v>
      </c>
      <c r="Z601" t="n">
        <v>27.5067</v>
      </c>
      <c r="AA601" t="n">
        <v>3.183748</v>
      </c>
      <c r="AB601" t="n">
        <v>43.33724</v>
      </c>
      <c r="AC601" t="n">
        <v>5.268686</v>
      </c>
      <c r="AD601" t="n">
        <v>40.83376</v>
      </c>
      <c r="AE601" t="n">
        <v>17.77198</v>
      </c>
    </row>
    <row r="602">
      <c r="A602" s="89" t="n">
        <v>36892</v>
      </c>
      <c r="B602" t="n">
        <v>24.70348</v>
      </c>
      <c r="C602" t="n">
        <v>12.14762</v>
      </c>
      <c r="D602" t="n">
        <v>35.59762</v>
      </c>
      <c r="E602" t="n">
        <v>49.42978</v>
      </c>
      <c r="F602" t="n">
        <v>22.31392</v>
      </c>
      <c r="G602" t="n">
        <v>10.25101</v>
      </c>
      <c r="H602" t="n">
        <v>15.7868</v>
      </c>
      <c r="I602" t="n">
        <v/>
      </c>
      <c r="J602" t="n">
        <v>41.72195</v>
      </c>
      <c r="K602" t="n">
        <v>35.88235</v>
      </c>
      <c r="L602" t="n">
        <v>46.85897</v>
      </c>
      <c r="M602" t="n">
        <v>40.34381</v>
      </c>
      <c r="N602" t="n">
        <v>32.30064</v>
      </c>
      <c r="O602" t="n">
        <v>16.95088</v>
      </c>
      <c r="P602" t="n">
        <v>11.84291</v>
      </c>
      <c r="Q602" t="n">
        <v>17.52728</v>
      </c>
      <c r="R602" t="n">
        <v>31.11142</v>
      </c>
      <c r="S602" t="n">
        <v>79.75516</v>
      </c>
      <c r="T602" t="n">
        <v>31.00089</v>
      </c>
      <c r="U602" t="n">
        <v>20.08912</v>
      </c>
      <c r="V602" t="n">
        <v>39.65475</v>
      </c>
      <c r="W602" t="n">
        <v>32.42273</v>
      </c>
      <c r="X602" t="n">
        <v>37.87357</v>
      </c>
      <c r="Y602" t="n">
        <v>76.62809</v>
      </c>
      <c r="Z602" t="n">
        <v>27.60328</v>
      </c>
      <c r="AA602" t="n">
        <v>3.332895</v>
      </c>
      <c r="AB602" t="n">
        <v>43.14142</v>
      </c>
      <c r="AC602" t="n">
        <v>5.389837</v>
      </c>
      <c r="AD602" t="n">
        <v>41.25426</v>
      </c>
      <c r="AE602" t="n">
        <v>18.23247</v>
      </c>
    </row>
    <row r="603">
      <c r="A603" s="89" t="n">
        <v>36923</v>
      </c>
      <c r="B603" t="n">
        <v>24.99206</v>
      </c>
      <c r="C603" t="n">
        <v>12.28403</v>
      </c>
      <c r="D603" t="n">
        <v>35.56929</v>
      </c>
      <c r="E603" t="n">
        <v>49.71889</v>
      </c>
      <c r="F603" t="n">
        <v>22.43443</v>
      </c>
      <c r="G603" t="n">
        <v>10.34532</v>
      </c>
      <c r="H603" t="n">
        <v>15.96878</v>
      </c>
      <c r="I603" t="n">
        <v>12.03437</v>
      </c>
      <c r="J603" t="n">
        <v>42.09893</v>
      </c>
      <c r="K603" t="n">
        <v>36.69334</v>
      </c>
      <c r="L603" t="n">
        <v>47.50601</v>
      </c>
      <c r="M603" t="n">
        <v>40.51472</v>
      </c>
      <c r="N603" t="n">
        <v>32.78321</v>
      </c>
      <c r="O603" t="n">
        <v>17.17239</v>
      </c>
      <c r="P603" t="n">
        <v>11.93126</v>
      </c>
      <c r="Q603" t="n">
        <v>17.70635</v>
      </c>
      <c r="R603" t="n">
        <v>31.83021</v>
      </c>
      <c r="S603" t="n">
        <v>79.9024</v>
      </c>
      <c r="T603" t="n">
        <v>31.19163</v>
      </c>
      <c r="U603" t="n">
        <v>20.20574</v>
      </c>
      <c r="V603" t="n">
        <v>40.14575</v>
      </c>
      <c r="W603" t="n">
        <v>32.57542</v>
      </c>
      <c r="X603" t="n">
        <v>38.21002</v>
      </c>
      <c r="Y603" t="n">
        <v>76.8252</v>
      </c>
      <c r="Z603" t="n">
        <v>27.94683</v>
      </c>
      <c r="AA603" t="n">
        <v>3.466518</v>
      </c>
      <c r="AB603" t="n">
        <v>42.77682</v>
      </c>
      <c r="AC603" t="n">
        <v>5.858421</v>
      </c>
      <c r="AD603" t="n">
        <v>41.57254</v>
      </c>
      <c r="AE603" t="n">
        <v>18.50105</v>
      </c>
    </row>
    <row r="604">
      <c r="A604" s="89" t="n">
        <v>36951</v>
      </c>
      <c r="B604" t="n">
        <v>25.27785</v>
      </c>
      <c r="C604" t="n">
        <v>12.39118</v>
      </c>
      <c r="D604" t="n">
        <v>35.73911</v>
      </c>
      <c r="E604" t="n">
        <v>49.73908</v>
      </c>
      <c r="F604" t="n">
        <v>22.51456</v>
      </c>
      <c r="G604" t="n">
        <v>10.40606</v>
      </c>
      <c r="H604" t="n">
        <v>16.05872</v>
      </c>
      <c r="I604" t="n">
        <v>12.41521</v>
      </c>
      <c r="J604" t="n">
        <v>42.22361</v>
      </c>
      <c r="K604" t="n">
        <v>37.14583</v>
      </c>
      <c r="L604" t="n">
        <v>47.80643</v>
      </c>
      <c r="M604" t="n">
        <v>40.86245</v>
      </c>
      <c r="N604" t="n">
        <v>33.27374</v>
      </c>
      <c r="O604" t="n">
        <v>17.58519</v>
      </c>
      <c r="P604" t="n">
        <v>12.06677</v>
      </c>
      <c r="Q604" t="n">
        <v>17.90319</v>
      </c>
      <c r="R604" t="n">
        <v>32.40155</v>
      </c>
      <c r="S604" t="n">
        <v>79.96783000000001</v>
      </c>
      <c r="T604" t="n">
        <v>31.35076</v>
      </c>
      <c r="U604" t="n">
        <v>20.45307</v>
      </c>
      <c r="V604" t="n">
        <v>40.44921</v>
      </c>
      <c r="W604" t="n">
        <v>32.93687</v>
      </c>
      <c r="X604" t="n">
        <v>38.70614</v>
      </c>
      <c r="Y604" t="n">
        <v>77.58262999999999</v>
      </c>
      <c r="Z604" t="n">
        <v>28.32005</v>
      </c>
      <c r="AA604" t="n">
        <v>3.519042</v>
      </c>
      <c r="AB604" t="n">
        <v>42.64083</v>
      </c>
      <c r="AC604" t="n">
        <v>6.641609</v>
      </c>
      <c r="AD604" t="n">
        <v>42.05286</v>
      </c>
      <c r="AE604" t="n">
        <v>18.79444</v>
      </c>
    </row>
    <row r="605">
      <c r="A605" s="89" t="n">
        <v>36982</v>
      </c>
      <c r="B605" t="n">
        <v>25.53281</v>
      </c>
      <c r="C605" t="n">
        <v>12.51655</v>
      </c>
      <c r="D605" t="n">
        <v>35.60424</v>
      </c>
      <c r="E605" t="n">
        <v>49.93486</v>
      </c>
      <c r="F605" t="n">
        <v>22.72969</v>
      </c>
      <c r="G605" t="n">
        <v>10.53976</v>
      </c>
      <c r="H605" t="n">
        <v>16.06217</v>
      </c>
      <c r="I605" t="n">
        <v>12.47037</v>
      </c>
      <c r="J605" t="n">
        <v>42.64311</v>
      </c>
      <c r="K605" t="n">
        <v>37.22532</v>
      </c>
      <c r="L605" t="n">
        <v>48.22163</v>
      </c>
      <c r="M605" t="n">
        <v>41.38956</v>
      </c>
      <c r="N605" t="n">
        <v>33.7018</v>
      </c>
      <c r="O605" t="n">
        <v>18.05527</v>
      </c>
      <c r="P605" t="n">
        <v>12.22381</v>
      </c>
      <c r="Q605" t="n">
        <v>18.10699</v>
      </c>
      <c r="R605" t="n">
        <v>32.53864</v>
      </c>
      <c r="S605" t="n">
        <v>80.1069</v>
      </c>
      <c r="T605" t="n">
        <v>31.63425</v>
      </c>
      <c r="U605" t="n">
        <v>20.71972</v>
      </c>
      <c r="V605" t="n">
        <v>40.52355</v>
      </c>
      <c r="W605" t="n">
        <v>33.28064</v>
      </c>
      <c r="X605" t="n">
        <v>39.18365</v>
      </c>
      <c r="Y605" t="n">
        <v>78.11436999999999</v>
      </c>
      <c r="Z605" t="n">
        <v>28.68064</v>
      </c>
      <c r="AA605" t="n">
        <v>3.64467</v>
      </c>
      <c r="AB605" t="n">
        <v>43.09443</v>
      </c>
      <c r="AC605" t="n">
        <v>7.212993</v>
      </c>
      <c r="AD605" t="n">
        <v>42.58472</v>
      </c>
      <c r="AE605" t="n">
        <v>19.01258</v>
      </c>
    </row>
    <row r="606">
      <c r="A606" s="89" t="n">
        <v>37012</v>
      </c>
      <c r="B606" t="n">
        <v>25.81579</v>
      </c>
      <c r="C606" t="n">
        <v>12.69376</v>
      </c>
      <c r="D606" t="n">
        <v>35.79391</v>
      </c>
      <c r="E606" t="n">
        <v>50.34973</v>
      </c>
      <c r="F606" t="n">
        <v>22.94073</v>
      </c>
      <c r="G606" t="n">
        <v>10.60825</v>
      </c>
      <c r="H606" t="n">
        <v>16.13927</v>
      </c>
      <c r="I606" t="n">
        <v>12.49998</v>
      </c>
      <c r="J606" t="n">
        <v>43.69921</v>
      </c>
      <c r="K606" t="n">
        <v>37.1704</v>
      </c>
      <c r="L606" t="n">
        <v>48.61637</v>
      </c>
      <c r="M606" t="n">
        <v>41.45915</v>
      </c>
      <c r="N606" t="n">
        <v>34.191</v>
      </c>
      <c r="O606" t="n">
        <v>18.21255</v>
      </c>
      <c r="P606" t="n">
        <v>12.41516</v>
      </c>
      <c r="Q606" t="n">
        <v>18.31321</v>
      </c>
      <c r="R606" t="n">
        <v>32.8256</v>
      </c>
      <c r="S606" t="n">
        <v>80.26231</v>
      </c>
      <c r="T606" t="n">
        <v>32.04032</v>
      </c>
      <c r="U606" t="n">
        <v>21.00297</v>
      </c>
      <c r="V606" t="n">
        <v>40.86562</v>
      </c>
      <c r="W606" t="n">
        <v>33.48443</v>
      </c>
      <c r="X606" t="n">
        <v>39.36173</v>
      </c>
      <c r="Y606" t="n">
        <v>78.49745</v>
      </c>
      <c r="Z606" t="n">
        <v>28.87013</v>
      </c>
      <c r="AA606" t="n">
        <v>3.721144</v>
      </c>
      <c r="AB606" t="n">
        <v>43.39737</v>
      </c>
      <c r="AC606" t="n">
        <v>7.556115</v>
      </c>
      <c r="AD606" t="n">
        <v>42.55729</v>
      </c>
      <c r="AE606" t="n">
        <v>19.1279</v>
      </c>
    </row>
    <row r="607">
      <c r="A607" s="89" t="n">
        <v>37043</v>
      </c>
      <c r="B607" t="n">
        <v>26.11558</v>
      </c>
      <c r="C607" t="n">
        <v>12.90087</v>
      </c>
      <c r="D607" t="n">
        <v>35.77985</v>
      </c>
      <c r="E607" t="n">
        <v>50.56481</v>
      </c>
      <c r="F607" t="n">
        <v>23.14607</v>
      </c>
      <c r="G607" t="n">
        <v>10.89423</v>
      </c>
      <c r="H607" t="n">
        <v>16.26719</v>
      </c>
      <c r="I607" t="n">
        <v>12.60939</v>
      </c>
      <c r="J607" t="n">
        <v>44.39595</v>
      </c>
      <c r="K607" t="n">
        <v>37.57505</v>
      </c>
      <c r="L607" t="n">
        <v>48.9962</v>
      </c>
      <c r="M607" t="n">
        <v>41.56751</v>
      </c>
      <c r="N607" t="n">
        <v>34.52109</v>
      </c>
      <c r="O607" t="n">
        <v>18.19461</v>
      </c>
      <c r="P607" t="n">
        <v>12.59801</v>
      </c>
      <c r="Q607" t="n">
        <v>18.52725</v>
      </c>
      <c r="R607" t="n">
        <v>33.16478</v>
      </c>
      <c r="S607" t="n">
        <v>80.41773000000001</v>
      </c>
      <c r="T607" t="n">
        <v>32.42965</v>
      </c>
      <c r="U607" t="n">
        <v>21.23309</v>
      </c>
      <c r="V607" t="n">
        <v>41.18037</v>
      </c>
      <c r="W607" t="n">
        <v>33.70679</v>
      </c>
      <c r="X607" t="n">
        <v>39.70031</v>
      </c>
      <c r="Y607" t="n">
        <v>78.8359</v>
      </c>
      <c r="Z607" t="n">
        <v>29.0166</v>
      </c>
      <c r="AA607" t="n">
        <v>3.799994</v>
      </c>
      <c r="AB607" t="n">
        <v>44.47362</v>
      </c>
      <c r="AC607" t="n">
        <v>7.915514</v>
      </c>
      <c r="AD607" t="n">
        <v>42.89136</v>
      </c>
      <c r="AE607" t="n">
        <v>19.32523</v>
      </c>
    </row>
    <row r="608">
      <c r="A608" s="89" t="n">
        <v>37073</v>
      </c>
      <c r="B608" t="n">
        <v>26.20524</v>
      </c>
      <c r="C608" t="n">
        <v>13.10984</v>
      </c>
      <c r="D608" t="n">
        <v>35.86008</v>
      </c>
      <c r="E608" t="n">
        <v>50.5257</v>
      </c>
      <c r="F608" t="n">
        <v>23.4532</v>
      </c>
      <c r="G608" t="n">
        <v>11.25603</v>
      </c>
      <c r="H608" t="n">
        <v>16.37467</v>
      </c>
      <c r="I608" t="n">
        <v>12.68925</v>
      </c>
      <c r="J608" t="n">
        <v>44.63211</v>
      </c>
      <c r="K608" t="n">
        <v>37.82822</v>
      </c>
      <c r="L608" t="n">
        <v>49.16439</v>
      </c>
      <c r="M608" t="n">
        <v>41.95359</v>
      </c>
      <c r="N608" t="n">
        <v>34.71293</v>
      </c>
      <c r="O608" t="n">
        <v>18.00672</v>
      </c>
      <c r="P608" t="n">
        <v>12.73767</v>
      </c>
      <c r="Q608" t="n">
        <v>18.74914</v>
      </c>
      <c r="R608" t="n">
        <v>33.41966</v>
      </c>
      <c r="S608" t="n">
        <v>80.54044</v>
      </c>
      <c r="T608" t="n">
        <v>32.76342</v>
      </c>
      <c r="U608" t="n">
        <v>21.44032</v>
      </c>
      <c r="V608" t="n">
        <v>41.28309</v>
      </c>
      <c r="W608" t="n">
        <v>33.91681</v>
      </c>
      <c r="X608" t="n">
        <v>39.97996</v>
      </c>
      <c r="Y608" t="n">
        <v>79.11442</v>
      </c>
      <c r="Z608" t="n">
        <v>29.33099</v>
      </c>
      <c r="AA608" t="n">
        <v>3.906139</v>
      </c>
      <c r="AB608" t="n">
        <v>44.76649</v>
      </c>
      <c r="AC608" t="n">
        <v>8.193991</v>
      </c>
      <c r="AD608" t="n">
        <v>43.14067</v>
      </c>
      <c r="AE608" t="n">
        <v>19.64384</v>
      </c>
    </row>
    <row r="609">
      <c r="A609" s="89" t="n">
        <v>37104</v>
      </c>
      <c r="B609" t="n">
        <v>26.36775</v>
      </c>
      <c r="C609" t="n">
        <v>13.28222</v>
      </c>
      <c r="D609" t="n">
        <v>36.05383</v>
      </c>
      <c r="E609" t="n">
        <v>50.47309</v>
      </c>
      <c r="F609" t="n">
        <v>23.76042</v>
      </c>
      <c r="G609" t="n">
        <v>11.37259</v>
      </c>
      <c r="H609" t="n">
        <v>16.5151</v>
      </c>
      <c r="I609" t="n">
        <v>12.82327</v>
      </c>
      <c r="J609" t="n">
        <v>45.12789</v>
      </c>
      <c r="K609" t="n">
        <v>38.18191</v>
      </c>
      <c r="L609" t="n">
        <v>49.14432</v>
      </c>
      <c r="M609" t="n">
        <v>42.45184</v>
      </c>
      <c r="N609" t="n">
        <v>35.27395</v>
      </c>
      <c r="O609" t="n">
        <v>17.81947</v>
      </c>
      <c r="P609" t="n">
        <v>12.86392</v>
      </c>
      <c r="Q609" t="n">
        <v>18.98635</v>
      </c>
      <c r="R609" t="n">
        <v>33.71201</v>
      </c>
      <c r="S609" t="n">
        <v>80.6386</v>
      </c>
      <c r="T609" t="n">
        <v>33.30824</v>
      </c>
      <c r="U609" t="n">
        <v>21.78383</v>
      </c>
      <c r="V609" t="n">
        <v>41.58705</v>
      </c>
      <c r="W609" t="n">
        <v>34.07694</v>
      </c>
      <c r="X609" t="n">
        <v>40.34296</v>
      </c>
      <c r="Y609" t="n">
        <v>79.71471</v>
      </c>
      <c r="Z609" t="n">
        <v>29.75009</v>
      </c>
      <c r="AA609" t="n">
        <v>4.075173</v>
      </c>
      <c r="AB609" t="n">
        <v>44.34686</v>
      </c>
      <c r="AC609" t="n">
        <v>8.651270999999999</v>
      </c>
      <c r="AD609" t="n">
        <v>43.42238</v>
      </c>
      <c r="AE609" t="n">
        <v>20.15175</v>
      </c>
    </row>
    <row r="610">
      <c r="A610" s="89" t="n">
        <v>37135</v>
      </c>
      <c r="B610" t="n">
        <v>26.7656</v>
      </c>
      <c r="C610" t="n">
        <v>13.3756</v>
      </c>
      <c r="D610" t="n">
        <v>36.64093</v>
      </c>
      <c r="E610" t="n">
        <v>50.58603</v>
      </c>
      <c r="F610" t="n">
        <v>23.98676</v>
      </c>
      <c r="G610" t="n">
        <v>11.46328</v>
      </c>
      <c r="H610" t="n">
        <v>16.65218</v>
      </c>
      <c r="I610" t="n">
        <v>13.32538</v>
      </c>
      <c r="J610" t="n">
        <v>45.18363</v>
      </c>
      <c r="K610" t="n">
        <v>38.84314</v>
      </c>
      <c r="L610" t="n">
        <v>49.39537</v>
      </c>
      <c r="M610" t="n">
        <v>42.76671</v>
      </c>
      <c r="N610" t="n">
        <v>35.87138</v>
      </c>
      <c r="O610" t="n">
        <v>18.04942</v>
      </c>
      <c r="P610" t="n">
        <v>12.97775</v>
      </c>
      <c r="Q610" t="n">
        <v>19.23208</v>
      </c>
      <c r="R610" t="n">
        <v>34.23746</v>
      </c>
      <c r="S610" t="n">
        <v>80.81037999999999</v>
      </c>
      <c r="T610" t="n">
        <v>33.68334</v>
      </c>
      <c r="U610" t="n">
        <v>22.15535</v>
      </c>
      <c r="V610" t="n">
        <v>41.94164</v>
      </c>
      <c r="W610" t="n">
        <v>34.46535</v>
      </c>
      <c r="X610" t="n">
        <v>41.07316</v>
      </c>
      <c r="Y610" t="n">
        <v>80.41482999999999</v>
      </c>
      <c r="Z610" t="n">
        <v>30.04326</v>
      </c>
      <c r="AA610" t="n">
        <v>4.19066</v>
      </c>
      <c r="AB610" t="n">
        <v>45.01808</v>
      </c>
      <c r="AC610" t="n">
        <v>9.299973</v>
      </c>
      <c r="AD610" t="n">
        <v>44.34565</v>
      </c>
      <c r="AE610" t="n">
        <v>20.24841</v>
      </c>
    </row>
    <row r="611">
      <c r="A611" s="89" t="n">
        <v>37165</v>
      </c>
      <c r="B611" t="n">
        <v>27.16066</v>
      </c>
      <c r="C611" t="n">
        <v>13.42283</v>
      </c>
      <c r="D611" t="n">
        <v>36.66957</v>
      </c>
      <c r="E611" t="n">
        <v>51.00224</v>
      </c>
      <c r="F611" t="n">
        <v>24.25337</v>
      </c>
      <c r="G611" t="n">
        <v>11.56228</v>
      </c>
      <c r="H611" t="n">
        <v>16.89548</v>
      </c>
      <c r="I611" t="n">
        <v>13.83919</v>
      </c>
      <c r="J611" t="n">
        <v>45.07508</v>
      </c>
      <c r="K611" t="n">
        <v>39.073</v>
      </c>
      <c r="L611" t="n">
        <v>49.76244</v>
      </c>
      <c r="M611" t="n">
        <v>43.11422</v>
      </c>
      <c r="N611" t="n">
        <v>36.38968</v>
      </c>
      <c r="O611" t="n">
        <v>18.43945</v>
      </c>
      <c r="P611" t="n">
        <v>13.08113</v>
      </c>
      <c r="Q611" t="n">
        <v>19.45749</v>
      </c>
      <c r="R611" t="n">
        <v>34.58754</v>
      </c>
      <c r="S611" t="n">
        <v>80.89216999999999</v>
      </c>
      <c r="T611" t="n">
        <v>33.71078</v>
      </c>
      <c r="U611" t="n">
        <v>22.4266</v>
      </c>
      <c r="V611" t="n">
        <v>42.14647</v>
      </c>
      <c r="W611" t="n">
        <v>34.82935</v>
      </c>
      <c r="X611" t="n">
        <v>41.24888</v>
      </c>
      <c r="Y611" t="n">
        <v>80.52399</v>
      </c>
      <c r="Z611" t="n">
        <v>30.26114</v>
      </c>
      <c r="AA611" t="n">
        <v>4.310132</v>
      </c>
      <c r="AB611" t="n">
        <v>45.61308</v>
      </c>
      <c r="AC611" t="n">
        <v>9.709228</v>
      </c>
      <c r="AD611" t="n">
        <v>44.25091</v>
      </c>
      <c r="AE611" t="n">
        <v>20.14819</v>
      </c>
    </row>
    <row r="612">
      <c r="A612" s="89" t="n">
        <v>37196</v>
      </c>
      <c r="B612" t="n">
        <v>27.52769</v>
      </c>
      <c r="C612" t="n">
        <v>13.44038</v>
      </c>
      <c r="D612" t="n">
        <v>36.85267</v>
      </c>
      <c r="E612" t="n">
        <v>51.56265</v>
      </c>
      <c r="F612" t="n">
        <v>24.46409</v>
      </c>
      <c r="G612" t="n">
        <v>11.69509</v>
      </c>
      <c r="H612" t="n">
        <v>17.07296</v>
      </c>
      <c r="I612" t="n">
        <v>14.12175</v>
      </c>
      <c r="J612" t="n">
        <v>45.54887</v>
      </c>
      <c r="K612" t="n">
        <v>39.37552</v>
      </c>
      <c r="L612" t="n">
        <v>50.14285</v>
      </c>
      <c r="M612" t="n">
        <v>43.53108</v>
      </c>
      <c r="N612" t="n">
        <v>36.70481</v>
      </c>
      <c r="O612" t="n">
        <v>18.80783</v>
      </c>
      <c r="P612" t="n">
        <v>13.23063</v>
      </c>
      <c r="Q612" t="n">
        <v>19.65967</v>
      </c>
      <c r="R612" t="n">
        <v>34.71225</v>
      </c>
      <c r="S612" t="n">
        <v>81.03122999999999</v>
      </c>
      <c r="T612" t="n">
        <v>33.87506</v>
      </c>
      <c r="U612" t="n">
        <v>22.76315</v>
      </c>
      <c r="V612" t="n">
        <v>42.34332</v>
      </c>
      <c r="W612" t="n">
        <v>34.62373</v>
      </c>
      <c r="X612" t="n">
        <v>41.54692</v>
      </c>
      <c r="Y612" t="n">
        <v>80.54441</v>
      </c>
      <c r="Z612" t="n">
        <v>30.09591</v>
      </c>
      <c r="AA612" t="n">
        <v>4.449825</v>
      </c>
      <c r="AB612" t="n">
        <v>45.84876</v>
      </c>
      <c r="AC612" t="n">
        <v>9.810295</v>
      </c>
      <c r="AD612" t="n">
        <v>44.61323</v>
      </c>
      <c r="AE612" t="n">
        <v>20.35557</v>
      </c>
    </row>
    <row r="613">
      <c r="A613" s="89" t="n">
        <v>37226</v>
      </c>
      <c r="B613" t="n">
        <v>27.81347</v>
      </c>
      <c r="C613" t="n">
        <v>13.51516</v>
      </c>
      <c r="D613" t="n">
        <v>37.06855</v>
      </c>
      <c r="E613" t="n">
        <v>51.86499</v>
      </c>
      <c r="F613" t="n">
        <v>24.50289</v>
      </c>
      <c r="G613" t="n">
        <v>11.86114</v>
      </c>
      <c r="H613" t="n">
        <v>17.09824</v>
      </c>
      <c r="I613" t="n">
        <v>14.40571</v>
      </c>
      <c r="J613" t="n">
        <v>46.36295</v>
      </c>
      <c r="K613" t="n">
        <v>38.89782</v>
      </c>
      <c r="L613" t="n">
        <v>50.88322</v>
      </c>
      <c r="M613" t="n">
        <v>43.70367</v>
      </c>
      <c r="N613" t="n">
        <v>37.14001</v>
      </c>
      <c r="O613" t="n">
        <v>19.00093</v>
      </c>
      <c r="P613" t="n">
        <v>13.40002</v>
      </c>
      <c r="Q613" t="n">
        <v>19.863</v>
      </c>
      <c r="R613" t="n">
        <v>34.87486</v>
      </c>
      <c r="S613" t="n">
        <v>81.19484</v>
      </c>
      <c r="T613" t="n">
        <v>34.34196</v>
      </c>
      <c r="U613" t="n">
        <v>22.75622</v>
      </c>
      <c r="V613" t="n">
        <v>42.65719</v>
      </c>
      <c r="W613" t="n">
        <v>34.44542</v>
      </c>
      <c r="X613" t="n">
        <v>41.79189</v>
      </c>
      <c r="Y613" t="n">
        <v>80.75888</v>
      </c>
      <c r="Z613" t="n">
        <v>29.9631</v>
      </c>
      <c r="AA613" t="n">
        <v>4.401947</v>
      </c>
      <c r="AB613" t="n">
        <v>44.45295</v>
      </c>
      <c r="AC613" t="n">
        <v>9.840127000000001</v>
      </c>
      <c r="AD613" t="n">
        <v>45.0545</v>
      </c>
      <c r="AE613" t="n">
        <v>20.63359</v>
      </c>
    </row>
    <row r="614">
      <c r="A614" s="89" t="n">
        <v>37257</v>
      </c>
      <c r="B614" t="n">
        <v>28.07684</v>
      </c>
      <c r="C614" t="n">
        <v>13.62537</v>
      </c>
      <c r="D614" t="n">
        <v>37.34414</v>
      </c>
      <c r="E614" t="n">
        <v>51.65888</v>
      </c>
      <c r="F614" t="n">
        <v>24.63652</v>
      </c>
      <c r="G614" t="n">
        <v>11.98398</v>
      </c>
      <c r="H614" t="n">
        <v>17.11007</v>
      </c>
      <c r="I614" t="n">
        <v>14.61095</v>
      </c>
      <c r="J614" t="n">
        <v>43.05083</v>
      </c>
      <c r="K614" t="n">
        <v>37.96696</v>
      </c>
      <c r="L614" t="n">
        <v>51.29074</v>
      </c>
      <c r="M614" t="n">
        <v>43.44186</v>
      </c>
      <c r="N614" t="n">
        <v>37.61158</v>
      </c>
      <c r="O614" t="n">
        <v>19.16416</v>
      </c>
      <c r="P614" t="n">
        <v>13.51709</v>
      </c>
      <c r="Q614" t="n">
        <v>20.07222</v>
      </c>
      <c r="R614" t="n">
        <v>34.71232</v>
      </c>
      <c r="S614" t="n">
        <v>81.40752000000001</v>
      </c>
      <c r="T614" t="n">
        <v>34.88559</v>
      </c>
      <c r="U614" t="n">
        <v>22.5799</v>
      </c>
      <c r="V614" t="n">
        <v>43.27732</v>
      </c>
      <c r="W614" t="n">
        <v>34.597</v>
      </c>
      <c r="X614" t="n">
        <v>41.81142</v>
      </c>
      <c r="Y614" t="n">
        <v>81.00668</v>
      </c>
      <c r="Z614" t="n">
        <v>30.11077</v>
      </c>
      <c r="AA614" t="n">
        <v>4.545566</v>
      </c>
      <c r="AB614" t="n">
        <v>43.03252</v>
      </c>
      <c r="AC614" t="n">
        <v>9.646126000000001</v>
      </c>
      <c r="AD614" t="n">
        <v>45.22403</v>
      </c>
      <c r="AE614" t="n">
        <v>21.43809</v>
      </c>
    </row>
    <row r="615">
      <c r="A615" s="89" t="n">
        <v>37288</v>
      </c>
      <c r="B615" t="n">
        <v>28.29258</v>
      </c>
      <c r="C615" t="n">
        <v>13.65496</v>
      </c>
      <c r="D615" t="n">
        <v>37.54259</v>
      </c>
      <c r="E615" t="n">
        <v>51.46964</v>
      </c>
      <c r="F615" t="n">
        <v>24.84077</v>
      </c>
      <c r="G615" t="n">
        <v>12.12253</v>
      </c>
      <c r="H615" t="n">
        <v>17.14953</v>
      </c>
      <c r="I615" t="n">
        <v>14.82286</v>
      </c>
      <c r="J615" t="n">
        <v>39.34455</v>
      </c>
      <c r="K615" t="n">
        <v>37.72788</v>
      </c>
      <c r="L615" t="n">
        <v>51.21761</v>
      </c>
      <c r="M615" t="n">
        <v>43.2836</v>
      </c>
      <c r="N615" t="n">
        <v>37.22809</v>
      </c>
      <c r="O615" t="n">
        <v>19.25134</v>
      </c>
      <c r="P615" t="n">
        <v>13.6293</v>
      </c>
      <c r="Q615" t="n">
        <v>20.27951</v>
      </c>
      <c r="R615" t="n">
        <v>34.46246</v>
      </c>
      <c r="S615" t="n">
        <v>81.51385000000001</v>
      </c>
      <c r="T615" t="n">
        <v>35.43342</v>
      </c>
      <c r="U615" t="n">
        <v>22.69387</v>
      </c>
      <c r="V615" t="n">
        <v>43.64259</v>
      </c>
      <c r="W615" t="n">
        <v>34.79866</v>
      </c>
      <c r="X615" t="n">
        <v>41.95351</v>
      </c>
      <c r="Y615" t="n">
        <v>81.16746999999999</v>
      </c>
      <c r="Z615" t="n">
        <v>30.14452</v>
      </c>
      <c r="AA615" t="n">
        <v>4.687017</v>
      </c>
      <c r="AB615" t="n">
        <v>42.95807</v>
      </c>
      <c r="AC615" t="n">
        <v>9.743899000000001</v>
      </c>
      <c r="AD615" t="n">
        <v>45.46835</v>
      </c>
      <c r="AE615" t="n">
        <v>22.24947</v>
      </c>
    </row>
    <row r="616">
      <c r="A616" s="89" t="n">
        <v>37316</v>
      </c>
      <c r="B616" t="n">
        <v>28.56436</v>
      </c>
      <c r="C616" t="n">
        <v>13.82331</v>
      </c>
      <c r="D616" t="n">
        <v>37.66599</v>
      </c>
      <c r="E616" t="n">
        <v>51.687</v>
      </c>
      <c r="F616" t="n">
        <v>24.93953</v>
      </c>
      <c r="G616" t="n">
        <v>12.29036</v>
      </c>
      <c r="H616" t="n">
        <v>17.27797</v>
      </c>
      <c r="I616" t="n">
        <v>15.02391</v>
      </c>
      <c r="J616" t="n">
        <v>39.22802</v>
      </c>
      <c r="K616" t="n">
        <v>37.69255</v>
      </c>
      <c r="L616" t="n">
        <v>51.39721</v>
      </c>
      <c r="M616" t="n">
        <v>43.54881</v>
      </c>
      <c r="N616" t="n">
        <v>36.79662</v>
      </c>
      <c r="O616" t="n">
        <v>19.26406</v>
      </c>
      <c r="P616" t="n">
        <v>13.76843</v>
      </c>
      <c r="Q616" t="n">
        <v>20.49522</v>
      </c>
      <c r="R616" t="n">
        <v>34.60742</v>
      </c>
      <c r="S616" t="n">
        <v>81.67746</v>
      </c>
      <c r="T616" t="n">
        <v>35.93269</v>
      </c>
      <c r="U616" t="n">
        <v>22.89443</v>
      </c>
      <c r="V616" t="n">
        <v>43.66885</v>
      </c>
      <c r="W616" t="n">
        <v>35.49131</v>
      </c>
      <c r="X616" t="n">
        <v>42.13647</v>
      </c>
      <c r="Y616" t="n">
        <v>81.25797</v>
      </c>
      <c r="Z616" t="n">
        <v>29.91855</v>
      </c>
      <c r="AA616" t="n">
        <v>4.655916</v>
      </c>
      <c r="AB616" t="n">
        <v>43.35147</v>
      </c>
      <c r="AC616" t="n">
        <v>10.06746</v>
      </c>
      <c r="AD616" t="n">
        <v>45.56807</v>
      </c>
      <c r="AE616" t="n">
        <v>22.55109</v>
      </c>
    </row>
    <row r="617">
      <c r="A617" s="89" t="n">
        <v>37347</v>
      </c>
      <c r="B617" t="n">
        <v>28.36543</v>
      </c>
      <c r="C617" t="n">
        <v>14.0436</v>
      </c>
      <c r="D617" t="n">
        <v>37.77217</v>
      </c>
      <c r="E617" t="n">
        <v>51.81912</v>
      </c>
      <c r="F617" t="n">
        <v>24.96644</v>
      </c>
      <c r="G617" t="n">
        <v>12.41944</v>
      </c>
      <c r="H617" t="n">
        <v>17.44406</v>
      </c>
      <c r="I617" t="n">
        <v>15.15069</v>
      </c>
      <c r="J617" t="n">
        <v>39.3511</v>
      </c>
      <c r="K617" t="n">
        <v>37.92851</v>
      </c>
      <c r="L617" t="n">
        <v>51.75271</v>
      </c>
      <c r="M617" t="n">
        <v>43.66843</v>
      </c>
      <c r="N617" t="n">
        <v>37.14596</v>
      </c>
      <c r="O617" t="n">
        <v>19.22425</v>
      </c>
      <c r="P617" t="n">
        <v>13.94097</v>
      </c>
      <c r="Q617" t="n">
        <v>20.7202</v>
      </c>
      <c r="R617" t="n">
        <v>34.92268</v>
      </c>
      <c r="S617" t="n">
        <v>81.79198</v>
      </c>
      <c r="T617" t="n">
        <v>36.25457</v>
      </c>
      <c r="U617" t="n">
        <v>23.06218</v>
      </c>
      <c r="V617" t="n">
        <v>43.81077</v>
      </c>
      <c r="W617" t="n">
        <v>35.93718</v>
      </c>
      <c r="X617" t="n">
        <v>42.22323</v>
      </c>
      <c r="Y617" t="n">
        <v>81.68604999999999</v>
      </c>
      <c r="Z617" t="n">
        <v>29.65802</v>
      </c>
      <c r="AA617" t="n">
        <v>4.768116</v>
      </c>
      <c r="AB617" t="n">
        <v>44.17275</v>
      </c>
      <c r="AC617" t="n">
        <v>10.1795</v>
      </c>
      <c r="AD617" t="n">
        <v>45.5689</v>
      </c>
      <c r="AE617" t="n">
        <v>22.7908</v>
      </c>
    </row>
    <row r="618">
      <c r="A618" s="89" t="n">
        <v>37377</v>
      </c>
      <c r="B618" t="n">
        <v>28.07684</v>
      </c>
      <c r="C618" t="n">
        <v>14.10855</v>
      </c>
      <c r="D618" t="n">
        <v>37.77383</v>
      </c>
      <c r="E618" t="n">
        <v>51.8063</v>
      </c>
      <c r="F618" t="n">
        <v>24.99984</v>
      </c>
      <c r="G618" t="n">
        <v>12.56541</v>
      </c>
      <c r="H618" t="n">
        <v>17.58697</v>
      </c>
      <c r="I618" t="n">
        <v>15.33903</v>
      </c>
      <c r="J618" t="n">
        <v>39.91948</v>
      </c>
      <c r="K618" t="n">
        <v>38.17521</v>
      </c>
      <c r="L618" t="n">
        <v>52.13582</v>
      </c>
      <c r="M618" t="n">
        <v>43.86644</v>
      </c>
      <c r="N618" t="n">
        <v>37.54813</v>
      </c>
      <c r="O618" t="n">
        <v>19.1845</v>
      </c>
      <c r="P618" t="n">
        <v>14.35914</v>
      </c>
      <c r="Q618" t="n">
        <v>20.94656</v>
      </c>
      <c r="R618" t="n">
        <v>35.26123</v>
      </c>
      <c r="S618" t="n">
        <v>81.90649999999999</v>
      </c>
      <c r="T618" t="n">
        <v>36.45675</v>
      </c>
      <c r="U618" t="n">
        <v>23.16734</v>
      </c>
      <c r="V618" t="n">
        <v>43.89497</v>
      </c>
      <c r="W618" t="n">
        <v>35.85844</v>
      </c>
      <c r="X618" t="n">
        <v>42.42711</v>
      </c>
      <c r="Y618" t="n">
        <v>82.0986</v>
      </c>
      <c r="Z618" t="n">
        <v>29.83765</v>
      </c>
      <c r="AA618" t="n">
        <v>4.88066</v>
      </c>
      <c r="AB618" t="n">
        <v>44.46016</v>
      </c>
      <c r="AC618" t="n">
        <v>10.56251</v>
      </c>
      <c r="AD618" t="n">
        <v>45.78414</v>
      </c>
      <c r="AE618" t="n">
        <v>23.32313</v>
      </c>
    </row>
    <row r="619">
      <c r="A619" s="89" t="n">
        <v>37408</v>
      </c>
      <c r="B619" t="n">
        <v>27.99559</v>
      </c>
      <c r="C619" t="n">
        <v>14.12953</v>
      </c>
      <c r="D619" t="n">
        <v>37.8843</v>
      </c>
      <c r="E619" t="n">
        <v>52.06571</v>
      </c>
      <c r="F619" t="n">
        <v>25.11459</v>
      </c>
      <c r="G619" t="n">
        <v>12.73287</v>
      </c>
      <c r="H619" t="n">
        <v>17.61712</v>
      </c>
      <c r="I619" t="n">
        <v>15.39455</v>
      </c>
      <c r="J619" t="n">
        <v>39.55446</v>
      </c>
      <c r="K619" t="n">
        <v>38.42575</v>
      </c>
      <c r="L619" t="n">
        <v>52.43296</v>
      </c>
      <c r="M619" t="n">
        <v>43.99841</v>
      </c>
      <c r="N619" t="n">
        <v>37.6489</v>
      </c>
      <c r="O619" t="n">
        <v>19.24552</v>
      </c>
      <c r="P619" t="n">
        <v>14.70696</v>
      </c>
      <c r="Q619" t="n">
        <v>21.18389</v>
      </c>
      <c r="R619" t="n">
        <v>35.47168</v>
      </c>
      <c r="S619" t="n">
        <v>81.97194</v>
      </c>
      <c r="T619" t="n">
        <v>36.66856</v>
      </c>
      <c r="U619" t="n">
        <v>23.28827</v>
      </c>
      <c r="V619" t="n">
        <v>44.43647</v>
      </c>
      <c r="W619" t="n">
        <v>36.35333</v>
      </c>
      <c r="X619" t="n">
        <v>42.64322</v>
      </c>
      <c r="Y619" t="n">
        <v>82.45679</v>
      </c>
      <c r="Z619" t="n">
        <v>30.00146</v>
      </c>
      <c r="AA619" t="n">
        <v>4.998621</v>
      </c>
      <c r="AB619" t="n">
        <v>44.82401</v>
      </c>
      <c r="AC619" t="n">
        <v>11.05595</v>
      </c>
      <c r="AD619" t="n">
        <v>45.99106</v>
      </c>
      <c r="AE619" t="n">
        <v>23.51177</v>
      </c>
    </row>
    <row r="620">
      <c r="A620" s="89" t="n">
        <v>37438</v>
      </c>
      <c r="B620" t="n">
        <v>28.08805</v>
      </c>
      <c r="C620" t="n">
        <v>14.15167</v>
      </c>
      <c r="D620" t="n">
        <v>38.33947</v>
      </c>
      <c r="E620" t="n">
        <v>52.6111</v>
      </c>
      <c r="F620" t="n">
        <v>25.25047</v>
      </c>
      <c r="G620" t="n">
        <v>12.8969</v>
      </c>
      <c r="H620" t="n">
        <v>17.72286</v>
      </c>
      <c r="I620" t="n">
        <v>15.51388</v>
      </c>
      <c r="J620" t="n">
        <v>39.25058</v>
      </c>
      <c r="K620" t="n">
        <v>38.91029</v>
      </c>
      <c r="L620" t="n">
        <v>52.49494</v>
      </c>
      <c r="M620" t="n">
        <v>43.96695</v>
      </c>
      <c r="N620" t="n">
        <v>37.86024</v>
      </c>
      <c r="O620" t="n">
        <v>19.48095</v>
      </c>
      <c r="P620" t="n">
        <v>14.81467</v>
      </c>
      <c r="Q620" t="n">
        <v>21.42385</v>
      </c>
      <c r="R620" t="n">
        <v>35.26553</v>
      </c>
      <c r="S620" t="n">
        <v>82.08646</v>
      </c>
      <c r="T620" t="n">
        <v>37.01486</v>
      </c>
      <c r="U620" t="n">
        <v>23.44107</v>
      </c>
      <c r="V620" t="n">
        <v>44.86679</v>
      </c>
      <c r="W620" t="n">
        <v>36.74871</v>
      </c>
      <c r="X620" t="n">
        <v>42.95538</v>
      </c>
      <c r="Y620" t="n">
        <v>82.77997000000001</v>
      </c>
      <c r="Z620" t="n">
        <v>30.06733</v>
      </c>
      <c r="AA620" t="n">
        <v>5.136999</v>
      </c>
      <c r="AB620" t="n">
        <v>45.34597</v>
      </c>
      <c r="AC620" t="n">
        <v>11.63259</v>
      </c>
      <c r="AD620" t="n">
        <v>46.34508</v>
      </c>
      <c r="AE620" t="n">
        <v>23.44507</v>
      </c>
    </row>
    <row r="621">
      <c r="A621" s="89" t="n">
        <v>37469</v>
      </c>
      <c r="B621" t="n">
        <v>28.56156</v>
      </c>
      <c r="C621" t="n">
        <v>14.24639</v>
      </c>
      <c r="D621" t="n">
        <v>38.61056</v>
      </c>
      <c r="E621" t="n">
        <v>52.87617</v>
      </c>
      <c r="F621" t="n">
        <v>25.37091</v>
      </c>
      <c r="G621" t="n">
        <v>13.08132</v>
      </c>
      <c r="H621" t="n">
        <v>17.8901</v>
      </c>
      <c r="I621" t="n">
        <v>15.91767</v>
      </c>
      <c r="J621" t="n">
        <v>39.98293</v>
      </c>
      <c r="K621" t="n">
        <v>39.31642</v>
      </c>
      <c r="L621" t="n">
        <v>52.52822</v>
      </c>
      <c r="M621" t="n">
        <v>44.23838</v>
      </c>
      <c r="N621" t="n">
        <v>38.4039</v>
      </c>
      <c r="O621" t="n">
        <v>19.75083</v>
      </c>
      <c r="P621" t="n">
        <v>14.97889</v>
      </c>
      <c r="Q621" t="n">
        <v>21.64597</v>
      </c>
      <c r="R621" t="n">
        <v>35.24582</v>
      </c>
      <c r="S621" t="n">
        <v>82.19280000000001</v>
      </c>
      <c r="T621" t="n">
        <v>37.43527</v>
      </c>
      <c r="U621" t="n">
        <v>23.53311</v>
      </c>
      <c r="V621" t="n">
        <v>44.80066</v>
      </c>
      <c r="W621" t="n">
        <v>36.96954</v>
      </c>
      <c r="X621" t="n">
        <v>43.25872</v>
      </c>
      <c r="Y621" t="n">
        <v>83.10699</v>
      </c>
      <c r="Z621" t="n">
        <v>30.10386</v>
      </c>
      <c r="AA621" t="n">
        <v>5.315539</v>
      </c>
      <c r="AB621" t="n">
        <v>46.31201</v>
      </c>
      <c r="AC621" t="n">
        <v>11.87934</v>
      </c>
      <c r="AD621" t="n">
        <v>46.69826</v>
      </c>
      <c r="AE621" t="n">
        <v>23.7985</v>
      </c>
    </row>
    <row r="622">
      <c r="A622" s="89" t="n">
        <v>37500</v>
      </c>
      <c r="B622" t="n">
        <v>28.83333</v>
      </c>
      <c r="C622" t="n">
        <v>14.42759</v>
      </c>
      <c r="D622" t="n">
        <v>38.90093</v>
      </c>
      <c r="E622" t="n">
        <v>53.00994</v>
      </c>
      <c r="F622" t="n">
        <v>25.52034</v>
      </c>
      <c r="G622" t="n">
        <v>13.29609</v>
      </c>
      <c r="H622" t="n">
        <v>18.06643</v>
      </c>
      <c r="I622" t="n">
        <v>16.32814</v>
      </c>
      <c r="J622" t="n">
        <v>40.28891</v>
      </c>
      <c r="K622" t="n">
        <v>39.81149</v>
      </c>
      <c r="L622" t="n">
        <v>52.81079</v>
      </c>
      <c r="M622" t="n">
        <v>44.66748</v>
      </c>
      <c r="N622" t="n">
        <v>38.7102</v>
      </c>
      <c r="O622" t="n">
        <v>19.89743</v>
      </c>
      <c r="P622" t="n">
        <v>15.12812</v>
      </c>
      <c r="Q622" t="n">
        <v>21.85909</v>
      </c>
      <c r="R622" t="n">
        <v>35.64313</v>
      </c>
      <c r="S622" t="n">
        <v>82.27460000000001</v>
      </c>
      <c r="T622" t="n">
        <v>37.92768</v>
      </c>
      <c r="U622" t="n">
        <v>23.52755</v>
      </c>
      <c r="V622" t="n">
        <v>44.66327</v>
      </c>
      <c r="W622" t="n">
        <v>37.20802</v>
      </c>
      <c r="X622" t="n">
        <v>43.44137</v>
      </c>
      <c r="Y622" t="n">
        <v>83.56022</v>
      </c>
      <c r="Z622" t="n">
        <v>29.9701</v>
      </c>
      <c r="AA622" t="n">
        <v>5.446287</v>
      </c>
      <c r="AB622" t="n">
        <v>46.52808</v>
      </c>
      <c r="AC622" t="n">
        <v>11.87021</v>
      </c>
      <c r="AD622" t="n">
        <v>46.9002</v>
      </c>
      <c r="AE622" t="n">
        <v>23.92123</v>
      </c>
    </row>
    <row r="623">
      <c r="A623" s="89" t="n">
        <v>37530</v>
      </c>
      <c r="B623" t="n">
        <v>29.00704</v>
      </c>
      <c r="C623" t="n">
        <v>14.61328</v>
      </c>
      <c r="D623" t="n">
        <v>38.91799</v>
      </c>
      <c r="E623" t="n">
        <v>53.17479</v>
      </c>
      <c r="F623" t="n">
        <v>25.64198</v>
      </c>
      <c r="G623" t="n">
        <v>13.50192</v>
      </c>
      <c r="H623" t="n">
        <v>18.22438</v>
      </c>
      <c r="I623" t="n">
        <v>16.69757</v>
      </c>
      <c r="J623" t="n">
        <v>40.7126</v>
      </c>
      <c r="K623" t="n">
        <v>40.35091</v>
      </c>
      <c r="L623" t="n">
        <v>53.12785</v>
      </c>
      <c r="M623" t="n">
        <v>45.03913</v>
      </c>
      <c r="N623" t="n">
        <v>39.11733</v>
      </c>
      <c r="O623" t="n">
        <v>19.9039</v>
      </c>
      <c r="P623" t="n">
        <v>15.26559</v>
      </c>
      <c r="Q623" t="n">
        <v>22.08961</v>
      </c>
      <c r="R623" t="n">
        <v>35.90771</v>
      </c>
      <c r="S623" t="n">
        <v>82.38094</v>
      </c>
      <c r="T623" t="n">
        <v>38.33908</v>
      </c>
      <c r="U623" t="n">
        <v>23.57153</v>
      </c>
      <c r="V623" t="n">
        <v>45.10368</v>
      </c>
      <c r="W623" t="n">
        <v>37.31771</v>
      </c>
      <c r="X623" t="n">
        <v>43.70641</v>
      </c>
      <c r="Y623" t="n">
        <v>84.00282</v>
      </c>
      <c r="Z623" t="n">
        <v>29.83474</v>
      </c>
      <c r="AA623" t="n">
        <v>5.58518</v>
      </c>
      <c r="AB623" t="n">
        <v>46.15462</v>
      </c>
      <c r="AC623" t="n">
        <v>12.01448</v>
      </c>
      <c r="AD623" t="n">
        <v>47.27083</v>
      </c>
      <c r="AE623" t="n">
        <v>24.17066</v>
      </c>
    </row>
    <row r="624">
      <c r="A624" s="89" t="n">
        <v>37561</v>
      </c>
      <c r="B624" t="n">
        <v>29.29563</v>
      </c>
      <c r="C624" t="n">
        <v>14.76997</v>
      </c>
      <c r="D624" t="n">
        <v>39.11195</v>
      </c>
      <c r="E624" t="n">
        <v>53.35261</v>
      </c>
      <c r="F624" t="n">
        <v>25.90485</v>
      </c>
      <c r="G624" t="n">
        <v>13.67663</v>
      </c>
      <c r="H624" t="n">
        <v>18.30331</v>
      </c>
      <c r="I624" t="n">
        <v>17.01267</v>
      </c>
      <c r="J624" t="n">
        <v>41.34471</v>
      </c>
      <c r="K624" t="n">
        <v>41.04187</v>
      </c>
      <c r="L624" t="n">
        <v>53.56095</v>
      </c>
      <c r="M624" t="n">
        <v>45.33109</v>
      </c>
      <c r="N624" t="n">
        <v>39.9603</v>
      </c>
      <c r="O624" t="n">
        <v>19.9094</v>
      </c>
      <c r="P624" t="n">
        <v>15.42774</v>
      </c>
      <c r="Q624" t="n">
        <v>22.36234</v>
      </c>
      <c r="R624" t="n">
        <v>36.0265</v>
      </c>
      <c r="S624" t="n">
        <v>82.44638</v>
      </c>
      <c r="T624" t="n">
        <v>38.5853</v>
      </c>
      <c r="U624" t="n">
        <v>24.17541</v>
      </c>
      <c r="V624" t="n">
        <v>45.59497</v>
      </c>
      <c r="W624" t="n">
        <v>37.81037</v>
      </c>
      <c r="X624" t="n">
        <v>44.05516</v>
      </c>
      <c r="Y624" t="n">
        <v>84.12770999999999</v>
      </c>
      <c r="Z624" t="n">
        <v>29.79882</v>
      </c>
      <c r="AA624" t="n">
        <v>5.732094</v>
      </c>
      <c r="AB624" t="n">
        <v>46.08729</v>
      </c>
      <c r="AC624" t="n">
        <v>12.05636</v>
      </c>
      <c r="AD624" t="n">
        <v>47.68717</v>
      </c>
      <c r="AE624" t="n">
        <v>24.52938</v>
      </c>
    </row>
    <row r="625">
      <c r="A625" s="89" t="n">
        <v>37591</v>
      </c>
      <c r="B625" t="n">
        <v>29.63745</v>
      </c>
      <c r="C625" t="n">
        <v>14.89646</v>
      </c>
      <c r="D625" t="n">
        <v>39.11542</v>
      </c>
      <c r="E625" t="n">
        <v>53.82495</v>
      </c>
      <c r="F625" t="n">
        <v>26.09511</v>
      </c>
      <c r="G625" t="n">
        <v>13.87623</v>
      </c>
      <c r="H625" t="n">
        <v>18.44079</v>
      </c>
      <c r="I625" t="n">
        <v>17.25659</v>
      </c>
      <c r="J625" t="n">
        <v>41.41206</v>
      </c>
      <c r="K625" t="n">
        <v>42.05749</v>
      </c>
      <c r="L625" t="n">
        <v>54.33384</v>
      </c>
      <c r="M625" t="n">
        <v>45.44546</v>
      </c>
      <c r="N625" t="n">
        <v>40.74615</v>
      </c>
      <c r="O625" t="n">
        <v>19.93968</v>
      </c>
      <c r="P625" t="n">
        <v>15.57108</v>
      </c>
      <c r="Q625" t="n">
        <v>22.68001</v>
      </c>
      <c r="R625" t="n">
        <v>36.35795</v>
      </c>
      <c r="S625" t="n">
        <v>82.34822</v>
      </c>
      <c r="T625" t="n">
        <v>38.89667</v>
      </c>
      <c r="U625" t="n">
        <v>24.5085</v>
      </c>
      <c r="V625" t="n">
        <v>45.82195</v>
      </c>
      <c r="W625" t="n">
        <v>38.43751</v>
      </c>
      <c r="X625" t="n">
        <v>44.24999</v>
      </c>
      <c r="Y625" t="n">
        <v>84.48291999999999</v>
      </c>
      <c r="Z625" t="n">
        <v>29.822</v>
      </c>
      <c r="AA625" t="n">
        <v>5.705218</v>
      </c>
      <c r="AB625" t="n">
        <v>46.08027</v>
      </c>
      <c r="AC625" t="n">
        <v>12.24594</v>
      </c>
      <c r="AD625" t="n">
        <v>47.86418</v>
      </c>
      <c r="AE625" t="n">
        <v>24.56773</v>
      </c>
    </row>
    <row r="626">
      <c r="A626" s="89" t="n">
        <v>37622</v>
      </c>
      <c r="B626" t="n">
        <v>29.95685</v>
      </c>
      <c r="C626" t="n">
        <v>15.0383</v>
      </c>
      <c r="D626" t="n">
        <v>39.23514</v>
      </c>
      <c r="E626" t="n">
        <v>54.22981</v>
      </c>
      <c r="F626" t="n">
        <v>26.2291</v>
      </c>
      <c r="G626" t="n">
        <v>14.17564</v>
      </c>
      <c r="H626" t="n">
        <v>18.64165</v>
      </c>
      <c r="I626" t="n">
        <v>17.63522</v>
      </c>
      <c r="J626" t="n">
        <v>41.43931</v>
      </c>
      <c r="K626" t="n">
        <v>43.41941</v>
      </c>
      <c r="L626" t="n">
        <v>54.76494</v>
      </c>
      <c r="M626" t="n">
        <v>45.37081</v>
      </c>
      <c r="N626" t="n">
        <v>41.51116</v>
      </c>
      <c r="O626" t="n">
        <v>19.98559</v>
      </c>
      <c r="P626" t="n">
        <v>15.69335</v>
      </c>
      <c r="Q626" t="n">
        <v>22.99959</v>
      </c>
      <c r="R626" t="n">
        <v>36.82055</v>
      </c>
      <c r="S626" t="n">
        <v>82.3973</v>
      </c>
      <c r="T626" t="n">
        <v>39.17318</v>
      </c>
      <c r="U626" t="n">
        <v>24.50071</v>
      </c>
      <c r="V626" t="n">
        <v>46.23803</v>
      </c>
      <c r="W626" t="n">
        <v>38.67625</v>
      </c>
      <c r="X626" t="n">
        <v>44.4854</v>
      </c>
      <c r="Y626" t="n">
        <v>85.17361</v>
      </c>
      <c r="Z626" t="n">
        <v>29.90573</v>
      </c>
      <c r="AA626" t="n">
        <v>6.015642</v>
      </c>
      <c r="AB626" t="n">
        <v>46.36288</v>
      </c>
      <c r="AC626" t="n">
        <v>12.61259</v>
      </c>
      <c r="AD626" t="n">
        <v>48.13509</v>
      </c>
      <c r="AE626" t="n">
        <v>24.88339</v>
      </c>
    </row>
    <row r="627">
      <c r="A627" s="89" t="n">
        <v>37653</v>
      </c>
      <c r="B627" t="n">
        <v>30.20901</v>
      </c>
      <c r="C627" t="n">
        <v>15.22538</v>
      </c>
      <c r="D627" t="n">
        <v>38.96493</v>
      </c>
      <c r="E627" t="n">
        <v>54.66755</v>
      </c>
      <c r="F627" t="n">
        <v>26.6062</v>
      </c>
      <c r="G627" t="n">
        <v>14.39742</v>
      </c>
      <c r="H627" t="n">
        <v>18.88776</v>
      </c>
      <c r="I627" t="n">
        <v>18.00898</v>
      </c>
      <c r="J627" t="n">
        <v>41.54031</v>
      </c>
      <c r="K627" t="n">
        <v>44.778</v>
      </c>
      <c r="L627" t="n">
        <v>54.94232</v>
      </c>
      <c r="M627" t="n">
        <v>45.66001</v>
      </c>
      <c r="N627" t="n">
        <v>41.9916</v>
      </c>
      <c r="O627" t="n">
        <v>20.18415</v>
      </c>
      <c r="P627" t="n">
        <v>15.80506</v>
      </c>
      <c r="Q627" t="n">
        <v>23.30667</v>
      </c>
      <c r="R627" t="n">
        <v>37.22454</v>
      </c>
      <c r="S627" t="n">
        <v>82.45456</v>
      </c>
      <c r="T627" t="n">
        <v>39.30263</v>
      </c>
      <c r="U627" t="n">
        <v>24.64912</v>
      </c>
      <c r="V627" t="n">
        <v>46.29919</v>
      </c>
      <c r="W627" t="n">
        <v>38.85704</v>
      </c>
      <c r="X627" t="n">
        <v>44.73151</v>
      </c>
      <c r="Y627" t="n">
        <v>85.66110999999999</v>
      </c>
      <c r="Z627" t="n">
        <v>30.04069</v>
      </c>
      <c r="AA627" t="n">
        <v>6.290739</v>
      </c>
      <c r="AB627" t="n">
        <v>46.68241</v>
      </c>
      <c r="AC627" t="n">
        <v>12.84485</v>
      </c>
      <c r="AD627" t="n">
        <v>48.43592</v>
      </c>
      <c r="AE627" t="n">
        <v>25.30822</v>
      </c>
    </row>
    <row r="628">
      <c r="A628" s="89" t="n">
        <v>37681</v>
      </c>
      <c r="B628" t="n">
        <v>30.48639</v>
      </c>
      <c r="C628" t="n">
        <v>15.40434</v>
      </c>
      <c r="D628" t="n">
        <v>39.51295</v>
      </c>
      <c r="E628" t="n">
        <v>55.48373</v>
      </c>
      <c r="F628" t="n">
        <v>26.9396</v>
      </c>
      <c r="G628" t="n">
        <v>14.5409</v>
      </c>
      <c r="H628" t="n">
        <v>19.11282</v>
      </c>
      <c r="I628" t="n">
        <v>18.27628</v>
      </c>
      <c r="J628" t="n">
        <v>41.47478</v>
      </c>
      <c r="K628" t="n">
        <v>44.75307</v>
      </c>
      <c r="L628" t="n">
        <v>55.33726</v>
      </c>
      <c r="M628" t="n">
        <v>45.87745</v>
      </c>
      <c r="N628" t="n">
        <v>42.06986</v>
      </c>
      <c r="O628" t="n">
        <v>20.35237</v>
      </c>
      <c r="P628" t="n">
        <v>15.84547</v>
      </c>
      <c r="Q628" t="n">
        <v>23.65201</v>
      </c>
      <c r="R628" t="n">
        <v>37.34597</v>
      </c>
      <c r="S628" t="n">
        <v>82.45456</v>
      </c>
      <c r="T628" t="n">
        <v>39.34498</v>
      </c>
      <c r="U628" t="n">
        <v>24.51815</v>
      </c>
      <c r="V628" t="n">
        <v>46.15046</v>
      </c>
      <c r="W628" t="n">
        <v>38.94387</v>
      </c>
      <c r="X628" t="n">
        <v>44.88429</v>
      </c>
      <c r="Y628" t="n">
        <v>86.15522</v>
      </c>
      <c r="Z628" t="n">
        <v>30.09305</v>
      </c>
      <c r="AA628" t="n">
        <v>6.34192</v>
      </c>
      <c r="AB628" t="n">
        <v>47.05596</v>
      </c>
      <c r="AC628" t="n">
        <v>12.9497</v>
      </c>
      <c r="AD628" t="n">
        <v>48.60877</v>
      </c>
      <c r="AE628" t="n">
        <v>25.47596</v>
      </c>
    </row>
    <row r="629">
      <c r="A629" s="89" t="n">
        <v>37712</v>
      </c>
      <c r="B629" t="n">
        <v>30.83662</v>
      </c>
      <c r="C629" t="n">
        <v>15.5704</v>
      </c>
      <c r="D629" t="n">
        <v>39.85553</v>
      </c>
      <c r="E629" t="n">
        <v>56.34685</v>
      </c>
      <c r="F629" t="n">
        <v>27.08218</v>
      </c>
      <c r="G629" t="n">
        <v>14.75948</v>
      </c>
      <c r="H629" t="n">
        <v>19.23285</v>
      </c>
      <c r="I629" t="n">
        <v>18.59514</v>
      </c>
      <c r="J629" t="n">
        <v>41.77652</v>
      </c>
      <c r="K629" t="n">
        <v>44.90879</v>
      </c>
      <c r="L629" t="n">
        <v>55.96</v>
      </c>
      <c r="M629" t="n">
        <v>45.96625</v>
      </c>
      <c r="N629" t="n">
        <v>42.32056</v>
      </c>
      <c r="O629" t="n">
        <v>20.43512</v>
      </c>
      <c r="P629" t="n">
        <v>15.96908</v>
      </c>
      <c r="Q629" t="n">
        <v>24.04226</v>
      </c>
      <c r="R629" t="n">
        <v>37.20296</v>
      </c>
      <c r="S629" t="n">
        <v>82.49545999999999</v>
      </c>
      <c r="T629" t="n">
        <v>39.41184</v>
      </c>
      <c r="U629" t="n">
        <v>24.47899</v>
      </c>
      <c r="V629" t="n">
        <v>46.17019</v>
      </c>
      <c r="W629" t="n">
        <v>38.85934</v>
      </c>
      <c r="X629" t="n">
        <v>45.06549</v>
      </c>
      <c r="Y629" t="n">
        <v>86.65845</v>
      </c>
      <c r="Z629" t="n">
        <v>30.09495</v>
      </c>
      <c r="AA629" t="n">
        <v>6.600636</v>
      </c>
      <c r="AB629" t="n">
        <v>47.02227</v>
      </c>
      <c r="AC629" t="n">
        <v>12.86963</v>
      </c>
      <c r="AD629" t="n">
        <v>48.91791</v>
      </c>
      <c r="AE629" t="n">
        <v>25.95471</v>
      </c>
    </row>
    <row r="630">
      <c r="A630" s="89" t="n">
        <v>37742</v>
      </c>
      <c r="B630" t="n">
        <v>31.29051</v>
      </c>
      <c r="C630" t="n">
        <v>15.76187</v>
      </c>
      <c r="D630" t="n">
        <v>40.31242</v>
      </c>
      <c r="E630" t="n">
        <v>56.70258</v>
      </c>
      <c r="F630" t="n">
        <v>27.1135</v>
      </c>
      <c r="G630" t="n">
        <v>15.02575</v>
      </c>
      <c r="H630" t="n">
        <v>19.43424</v>
      </c>
      <c r="I630" t="n">
        <v>18.93185</v>
      </c>
      <c r="J630" t="n">
        <v>42.11084</v>
      </c>
      <c r="K630" t="n">
        <v>46.08746</v>
      </c>
      <c r="L630" t="n">
        <v>56.57998</v>
      </c>
      <c r="M630" t="n">
        <v>46.05993</v>
      </c>
      <c r="N630" t="n">
        <v>42.86671</v>
      </c>
      <c r="O630" t="n">
        <v>20.57021</v>
      </c>
      <c r="P630" t="n">
        <v>16.21034</v>
      </c>
      <c r="Q630" t="n">
        <v>24.43196</v>
      </c>
      <c r="R630" t="n">
        <v>37.22245</v>
      </c>
      <c r="S630" t="n">
        <v>82.66724000000001</v>
      </c>
      <c r="T630" t="n">
        <v>39.50718</v>
      </c>
      <c r="U630" t="n">
        <v>24.64578</v>
      </c>
      <c r="V630" t="n">
        <v>46.39353</v>
      </c>
      <c r="W630" t="n">
        <v>38.89518</v>
      </c>
      <c r="X630" t="n">
        <v>45.37864</v>
      </c>
      <c r="Y630" t="n">
        <v>87.24518999999999</v>
      </c>
      <c r="Z630" t="n">
        <v>30.1843</v>
      </c>
      <c r="AA630" t="n">
        <v>6.749576</v>
      </c>
      <c r="AB630" t="n">
        <v>46.99745</v>
      </c>
      <c r="AC630" t="n">
        <v>12.73953</v>
      </c>
      <c r="AD630" t="n">
        <v>49.41735</v>
      </c>
      <c r="AE630" t="n">
        <v>26.52759</v>
      </c>
    </row>
    <row r="631">
      <c r="A631" s="89" t="n">
        <v>37773</v>
      </c>
      <c r="B631" t="n">
        <v>31.60711</v>
      </c>
      <c r="C631" t="n">
        <v>15.99581</v>
      </c>
      <c r="D631" t="n">
        <v>40.68896</v>
      </c>
      <c r="E631" t="n">
        <v>56.77898</v>
      </c>
      <c r="F631" t="n">
        <v>27.02415</v>
      </c>
      <c r="G631" t="n">
        <v>15.32131</v>
      </c>
      <c r="H631" t="n">
        <v>19.78614</v>
      </c>
      <c r="I631" t="n">
        <v>19.33514</v>
      </c>
      <c r="J631" t="n">
        <v>41.89084</v>
      </c>
      <c r="K631" t="n">
        <v>46.46999</v>
      </c>
      <c r="L631" t="n">
        <v>56.7838</v>
      </c>
      <c r="M631" t="n">
        <v>46.30034</v>
      </c>
      <c r="N631" t="n">
        <v>43.55024</v>
      </c>
      <c r="O631" t="n">
        <v>20.6298</v>
      </c>
      <c r="P631" t="n">
        <v>16.42286</v>
      </c>
      <c r="Q631" t="n">
        <v>24.79387</v>
      </c>
      <c r="R631" t="n">
        <v>37.31554</v>
      </c>
      <c r="S631" t="n">
        <v>82.80629999999999</v>
      </c>
      <c r="T631" t="n">
        <v>39.70007</v>
      </c>
      <c r="U631" t="n">
        <v>24.55582</v>
      </c>
      <c r="V631" t="n">
        <v>46.4687</v>
      </c>
      <c r="W631" t="n">
        <v>39.19223</v>
      </c>
      <c r="X631" t="n">
        <v>45.58254</v>
      </c>
      <c r="Y631" t="n">
        <v>88.00367</v>
      </c>
      <c r="Z631" t="n">
        <v>30.39019</v>
      </c>
      <c r="AA631" t="n">
        <v>6.870031</v>
      </c>
      <c r="AB631" t="n">
        <v>46.92306</v>
      </c>
      <c r="AC631" t="n">
        <v>12.741</v>
      </c>
      <c r="AD631" t="n">
        <v>49.72234</v>
      </c>
      <c r="AE631" t="n">
        <v>26.84214</v>
      </c>
    </row>
    <row r="632">
      <c r="A632" s="89" t="n">
        <v>37803</v>
      </c>
      <c r="B632" t="n">
        <v>31.44461</v>
      </c>
      <c r="C632" t="n">
        <v>16.30222</v>
      </c>
      <c r="D632" t="n">
        <v>41.06479</v>
      </c>
      <c r="E632" t="n">
        <v>56.98402</v>
      </c>
      <c r="F632" t="n">
        <v>26.88024</v>
      </c>
      <c r="G632" t="n">
        <v>15.57001</v>
      </c>
      <c r="H632" t="n">
        <v>20.02544</v>
      </c>
      <c r="I632" t="n">
        <v>19.69566</v>
      </c>
      <c r="J632" t="n">
        <v>42.33925</v>
      </c>
      <c r="K632" t="n">
        <v>46.59403</v>
      </c>
      <c r="L632" t="n">
        <v>56.81773</v>
      </c>
      <c r="M632" t="n">
        <v>46.84468</v>
      </c>
      <c r="N632" t="n">
        <v>44.10162</v>
      </c>
      <c r="O632" t="n">
        <v>20.7093</v>
      </c>
      <c r="P632" t="n">
        <v>16.60148</v>
      </c>
      <c r="Q632" t="n">
        <v>25.14957</v>
      </c>
      <c r="R632" t="n">
        <v>37.49957</v>
      </c>
      <c r="S632" t="n">
        <v>82.90446</v>
      </c>
      <c r="T632" t="n">
        <v>39.94252</v>
      </c>
      <c r="U632" t="n">
        <v>24.71745</v>
      </c>
      <c r="V632" t="n">
        <v>46.58696</v>
      </c>
      <c r="W632" t="n">
        <v>39.58644</v>
      </c>
      <c r="X632" t="n">
        <v>45.86994</v>
      </c>
      <c r="Y632" t="n">
        <v>88.70895</v>
      </c>
      <c r="Z632" t="n">
        <v>30.54515</v>
      </c>
      <c r="AA632" t="n">
        <v>7.15608</v>
      </c>
      <c r="AB632" t="n">
        <v>46.69656</v>
      </c>
      <c r="AC632" t="n">
        <v>12.88372</v>
      </c>
      <c r="AD632" t="n">
        <v>50.11042</v>
      </c>
      <c r="AE632" t="n">
        <v>27.08926</v>
      </c>
    </row>
    <row r="633">
      <c r="A633" s="89" t="n">
        <v>37834</v>
      </c>
      <c r="B633" t="n">
        <v>31.62392</v>
      </c>
      <c r="C633" t="n">
        <v>16.65354</v>
      </c>
      <c r="D633" t="n">
        <v>40.89936</v>
      </c>
      <c r="E633" t="n">
        <v>57.3092</v>
      </c>
      <c r="F633" t="n">
        <v>26.90771</v>
      </c>
      <c r="G633" t="n">
        <v>15.84684</v>
      </c>
      <c r="H633" t="n">
        <v>20.18749</v>
      </c>
      <c r="I633" t="n">
        <v>19.83903</v>
      </c>
      <c r="J633" t="n">
        <v>43.22275</v>
      </c>
      <c r="K633" t="n">
        <v>46.80818</v>
      </c>
      <c r="L633" t="n">
        <v>56.84973</v>
      </c>
      <c r="M633" t="n">
        <v>47.13161</v>
      </c>
      <c r="N633" t="n">
        <v>44.12336</v>
      </c>
      <c r="O633" t="n">
        <v>20.88192</v>
      </c>
      <c r="P633" t="n">
        <v>16.7388</v>
      </c>
      <c r="Q633" t="n">
        <v>25.53171</v>
      </c>
      <c r="R633" t="n">
        <v>37.85791</v>
      </c>
      <c r="S633" t="n">
        <v>83.1335</v>
      </c>
      <c r="T633" t="n">
        <v>40.11639</v>
      </c>
      <c r="U633" t="n">
        <v>25.17798</v>
      </c>
      <c r="V633" t="n">
        <v>46.99208</v>
      </c>
      <c r="W633" t="n">
        <v>39.7575</v>
      </c>
      <c r="X633" t="n">
        <v>46.21133</v>
      </c>
      <c r="Y633" t="n">
        <v>89.34896000000001</v>
      </c>
      <c r="Z633" t="n">
        <v>30.65388</v>
      </c>
      <c r="AA633" t="n">
        <v>7.48486</v>
      </c>
      <c r="AB633" t="n">
        <v>46.54638</v>
      </c>
      <c r="AC633" t="n">
        <v>12.96383</v>
      </c>
      <c r="AD633" t="n">
        <v>50.59407</v>
      </c>
      <c r="AE633" t="n">
        <v>27.10007</v>
      </c>
    </row>
    <row r="634">
      <c r="A634" s="89" t="n">
        <v>37865</v>
      </c>
      <c r="B634" t="n">
        <v>32.18148</v>
      </c>
      <c r="C634" t="n">
        <v>16.96867</v>
      </c>
      <c r="D634" t="n">
        <v>41.07316</v>
      </c>
      <c r="E634" t="n">
        <v>57.88093</v>
      </c>
      <c r="F634" t="n">
        <v>27.04711</v>
      </c>
      <c r="G634" t="n">
        <v>16.0943</v>
      </c>
      <c r="H634" t="n">
        <v>20.3233</v>
      </c>
      <c r="I634" t="n">
        <v>20.00916</v>
      </c>
      <c r="J634" t="n">
        <v>43.41062</v>
      </c>
      <c r="K634" t="n">
        <v>46.55619</v>
      </c>
      <c r="L634" t="n">
        <v>56.80082</v>
      </c>
      <c r="M634" t="n">
        <v>47.42967</v>
      </c>
      <c r="N634" t="n">
        <v>44.42935</v>
      </c>
      <c r="O634" t="n">
        <v>21.01863</v>
      </c>
      <c r="P634" t="n">
        <v>16.87585</v>
      </c>
      <c r="Q634" t="n">
        <v>25.94106</v>
      </c>
      <c r="R634" t="n">
        <v>38.17586</v>
      </c>
      <c r="S634" t="n">
        <v>83.0108</v>
      </c>
      <c r="T634" t="n">
        <v>40.29062</v>
      </c>
      <c r="U634" t="n">
        <v>25.41706</v>
      </c>
      <c r="V634" t="n">
        <v>46.92962</v>
      </c>
      <c r="W634" t="n">
        <v>40.30029</v>
      </c>
      <c r="X634" t="n">
        <v>46.22318</v>
      </c>
      <c r="Y634" t="n">
        <v>89.80315</v>
      </c>
      <c r="Z634" t="n">
        <v>30.86336</v>
      </c>
      <c r="AA634" t="n">
        <v>7.648009</v>
      </c>
      <c r="AB634" t="n">
        <v>46.79406</v>
      </c>
      <c r="AC634" t="n">
        <v>13.10701</v>
      </c>
      <c r="AD634" t="n">
        <v>50.36056</v>
      </c>
      <c r="AE634" t="n">
        <v>27.23716</v>
      </c>
    </row>
    <row r="635">
      <c r="A635" s="89" t="n">
        <v>37895</v>
      </c>
      <c r="B635" t="n">
        <v>32.50649</v>
      </c>
      <c r="C635" t="n">
        <v>17.24505</v>
      </c>
      <c r="D635" t="n">
        <v>41.27275</v>
      </c>
      <c r="E635" t="n">
        <v>58.31902</v>
      </c>
      <c r="F635" t="n">
        <v>27.03794</v>
      </c>
      <c r="G635" t="n">
        <v>16.30474</v>
      </c>
      <c r="H635" t="n">
        <v>20.32869</v>
      </c>
      <c r="I635" t="n">
        <v>20.17421</v>
      </c>
      <c r="J635" t="n">
        <v>43.43303</v>
      </c>
      <c r="K635" t="n">
        <v>47.45485</v>
      </c>
      <c r="L635" t="n">
        <v>56.99654</v>
      </c>
      <c r="M635" t="n">
        <v>47.78901</v>
      </c>
      <c r="N635" t="n">
        <v>45.196</v>
      </c>
      <c r="O635" t="n">
        <v>21.1572</v>
      </c>
      <c r="P635" t="n">
        <v>17.10302</v>
      </c>
      <c r="Q635" t="n">
        <v>26.35884</v>
      </c>
      <c r="R635" t="n">
        <v>38.40533</v>
      </c>
      <c r="S635" t="n">
        <v>83.0517</v>
      </c>
      <c r="T635" t="n">
        <v>40.4411</v>
      </c>
      <c r="U635" t="n">
        <v>25.48916</v>
      </c>
      <c r="V635" t="n">
        <v>46.93705</v>
      </c>
      <c r="W635" t="n">
        <v>41.1644</v>
      </c>
      <c r="X635" t="n">
        <v>46.3456</v>
      </c>
      <c r="Y635" t="n">
        <v>90.19627</v>
      </c>
      <c r="Z635" t="n">
        <v>31.17385</v>
      </c>
      <c r="AA635" t="n">
        <v>7.910292</v>
      </c>
      <c r="AB635" t="n">
        <v>47.16284</v>
      </c>
      <c r="AC635" t="n">
        <v>13.56899</v>
      </c>
      <c r="AD635" t="n">
        <v>50.2841</v>
      </c>
      <c r="AE635" t="n">
        <v>27.59534</v>
      </c>
    </row>
    <row r="636">
      <c r="A636" s="89" t="n">
        <v>37926</v>
      </c>
      <c r="B636" t="n">
        <v>32.76986</v>
      </c>
      <c r="C636" t="n">
        <v>17.59354</v>
      </c>
      <c r="D636" t="n">
        <v>41.68337</v>
      </c>
      <c r="E636" t="n">
        <v>58.23829</v>
      </c>
      <c r="F636" t="n">
        <v>26.89993</v>
      </c>
      <c r="G636" t="n">
        <v>16.50522</v>
      </c>
      <c r="H636" t="n">
        <v>20.38209</v>
      </c>
      <c r="I636" t="n">
        <v>20.48746</v>
      </c>
      <c r="J636" t="n">
        <v>43.70603</v>
      </c>
      <c r="K636" t="n">
        <v>48.99732</v>
      </c>
      <c r="L636" t="n">
        <v>57.47628</v>
      </c>
      <c r="M636" t="n">
        <v>48.2095</v>
      </c>
      <c r="N636" t="n">
        <v>45.81691</v>
      </c>
      <c r="O636" t="n">
        <v>21.42838</v>
      </c>
      <c r="P636" t="n">
        <v>17.32626</v>
      </c>
      <c r="Q636" t="n">
        <v>26.74733</v>
      </c>
      <c r="R636" t="n">
        <v>38.61375</v>
      </c>
      <c r="S636" t="n">
        <v>83.08441999999999</v>
      </c>
      <c r="T636" t="n">
        <v>40.47655</v>
      </c>
      <c r="U636" t="n">
        <v>25.35578</v>
      </c>
      <c r="V636" t="n">
        <v>47.17633</v>
      </c>
      <c r="W636" t="n">
        <v>41.87666</v>
      </c>
      <c r="X636" t="n">
        <v>46.51118</v>
      </c>
      <c r="Y636" t="n">
        <v>90.70366</v>
      </c>
      <c r="Z636" t="n">
        <v>31.47654</v>
      </c>
      <c r="AA636" t="n">
        <v>8.087740999999999</v>
      </c>
      <c r="AB636" t="n">
        <v>47.45575</v>
      </c>
      <c r="AC636" t="n">
        <v>14.05024</v>
      </c>
      <c r="AD636" t="n">
        <v>50.32732</v>
      </c>
      <c r="AE636" t="n">
        <v>27.86004</v>
      </c>
    </row>
    <row r="637">
      <c r="A637" s="89" t="n">
        <v>37956</v>
      </c>
      <c r="B637" t="n">
        <v>33.10047</v>
      </c>
      <c r="C637" t="n">
        <v>18.00484</v>
      </c>
      <c r="D637" t="n">
        <v>41.79007</v>
      </c>
      <c r="E637" t="n">
        <v>58.1003</v>
      </c>
      <c r="F637" t="n">
        <v>26.93054</v>
      </c>
      <c r="G637" t="n">
        <v>16.66751</v>
      </c>
      <c r="H637" t="n">
        <v>20.67949</v>
      </c>
      <c r="I637" t="n">
        <v>21.25356</v>
      </c>
      <c r="J637" t="n">
        <v>44.10286</v>
      </c>
      <c r="K637" t="n">
        <v>48.28476</v>
      </c>
      <c r="L637" t="n">
        <v>58.00396</v>
      </c>
      <c r="M637" t="n">
        <v>48.84501</v>
      </c>
      <c r="N637" t="n">
        <v>46.08216</v>
      </c>
      <c r="O637" t="n">
        <v>21.55904</v>
      </c>
      <c r="P637" t="n">
        <v>17.51785</v>
      </c>
      <c r="Q637" t="n">
        <v>27.09871</v>
      </c>
      <c r="R637" t="n">
        <v>38.6646</v>
      </c>
      <c r="S637" t="n">
        <v>83.12532</v>
      </c>
      <c r="T637" t="n">
        <v>40.57589</v>
      </c>
      <c r="U637" t="n">
        <v>25.73104</v>
      </c>
      <c r="V637" t="n">
        <v>47.13068</v>
      </c>
      <c r="W637" t="n">
        <v>42.42301</v>
      </c>
      <c r="X637" t="n">
        <v>46.64612</v>
      </c>
      <c r="Y637" t="n">
        <v>91.11848000000001</v>
      </c>
      <c r="Z637" t="n">
        <v>31.60649</v>
      </c>
      <c r="AA637" t="n">
        <v>7.919743</v>
      </c>
      <c r="AB637" t="n">
        <v>47.75187</v>
      </c>
      <c r="AC637" t="n">
        <v>14.27344</v>
      </c>
      <c r="AD637" t="n">
        <v>50.31153</v>
      </c>
      <c r="AE637" t="n">
        <v>27.99366</v>
      </c>
    </row>
    <row r="638">
      <c r="A638" s="89" t="n">
        <v>37987</v>
      </c>
      <c r="B638" t="n">
        <v>33.33022</v>
      </c>
      <c r="C638" t="n">
        <v>18.34694</v>
      </c>
      <c r="D638" t="n">
        <v>42.54859</v>
      </c>
      <c r="E638" t="n">
        <v>58.35253</v>
      </c>
      <c r="F638" t="n">
        <v>27.06888</v>
      </c>
      <c r="G638" t="n">
        <v>16.87099</v>
      </c>
      <c r="H638" t="n">
        <v>21.03142</v>
      </c>
      <c r="I638" t="n">
        <v>21.817</v>
      </c>
      <c r="J638" t="n">
        <v>44.23612</v>
      </c>
      <c r="K638" t="n">
        <v>49.14007</v>
      </c>
      <c r="L638" t="n">
        <v>58.25239</v>
      </c>
      <c r="M638" t="n">
        <v>49.91888</v>
      </c>
      <c r="N638" t="n">
        <v>46.69782</v>
      </c>
      <c r="O638" t="n">
        <v>21.51542</v>
      </c>
      <c r="P638" t="n">
        <v>17.76559</v>
      </c>
      <c r="Q638" t="n">
        <v>27.46705</v>
      </c>
      <c r="R638" t="n">
        <v>38.81371</v>
      </c>
      <c r="S638" t="n">
        <v>83.23166000000001</v>
      </c>
      <c r="T638" t="n">
        <v>40.95565</v>
      </c>
      <c r="U638" t="n">
        <v>26.22403</v>
      </c>
      <c r="V638" t="n">
        <v>47.23695</v>
      </c>
      <c r="W638" t="n">
        <v>42.8866</v>
      </c>
      <c r="X638" t="n">
        <v>46.91821</v>
      </c>
      <c r="Y638" t="n">
        <v>91.7316</v>
      </c>
      <c r="Z638" t="n">
        <v>31.6207</v>
      </c>
      <c r="AA638" t="n">
        <v>8.318012</v>
      </c>
      <c r="AB638" t="n">
        <v>47.78617</v>
      </c>
      <c r="AC638" t="n">
        <v>14.53837</v>
      </c>
      <c r="AD638" t="n">
        <v>50.38216</v>
      </c>
      <c r="AE638" t="n">
        <v>28.16801</v>
      </c>
    </row>
    <row r="639">
      <c r="A639" s="89" t="n">
        <v>38018</v>
      </c>
      <c r="B639" t="n">
        <v>33.59919</v>
      </c>
      <c r="C639" t="n">
        <v>18.58755</v>
      </c>
      <c r="D639" t="n">
        <v>42.75826</v>
      </c>
      <c r="E639" t="n">
        <v>58.67065</v>
      </c>
      <c r="F639" t="n">
        <v>27.16747</v>
      </c>
      <c r="G639" t="n">
        <v>17.11082</v>
      </c>
      <c r="H639" t="n">
        <v>21.27406</v>
      </c>
      <c r="I639" t="n">
        <v>21.78977</v>
      </c>
      <c r="J639" t="n">
        <v>44.22281</v>
      </c>
      <c r="K639" t="n">
        <v>51.41348</v>
      </c>
      <c r="L639" t="n">
        <v>58.33032</v>
      </c>
      <c r="M639" t="n">
        <v>50.39611</v>
      </c>
      <c r="N639" t="n">
        <v>47.23122</v>
      </c>
      <c r="O639" t="n">
        <v>21.48142</v>
      </c>
      <c r="P639" t="n">
        <v>18.03639</v>
      </c>
      <c r="Q639" t="n">
        <v>27.84657</v>
      </c>
      <c r="R639" t="n">
        <v>38.97455</v>
      </c>
      <c r="S639" t="n">
        <v>83.3789</v>
      </c>
      <c r="T639" t="n">
        <v>41.28659</v>
      </c>
      <c r="U639" t="n">
        <v>26.27566</v>
      </c>
      <c r="V639" t="n">
        <v>47.41785</v>
      </c>
      <c r="W639" t="n">
        <v>43.29431</v>
      </c>
      <c r="X639" t="n">
        <v>47.21873</v>
      </c>
      <c r="Y639" t="n">
        <v>92.4688</v>
      </c>
      <c r="Z639" t="n">
        <v>31.67077</v>
      </c>
      <c r="AA639" t="n">
        <v>8.796249</v>
      </c>
      <c r="AB639" t="n">
        <v>47.80943</v>
      </c>
      <c r="AC639" t="n">
        <v>14.88588</v>
      </c>
      <c r="AD639" t="n">
        <v>50.70543</v>
      </c>
      <c r="AE639" t="n">
        <v>28.79644</v>
      </c>
    </row>
    <row r="640">
      <c r="A640" s="89" t="n">
        <v>38047</v>
      </c>
      <c r="B640" t="n">
        <v>34.01946</v>
      </c>
      <c r="C640" t="n">
        <v>18.82639</v>
      </c>
      <c r="D640" t="n">
        <v>43.12152</v>
      </c>
      <c r="E640" t="n">
        <v>58.65459</v>
      </c>
      <c r="F640" t="n">
        <v>27.50583</v>
      </c>
      <c r="G640" t="n">
        <v>17.34709</v>
      </c>
      <c r="H640" t="n">
        <v>21.53016</v>
      </c>
      <c r="I640" t="n">
        <v>21.7931</v>
      </c>
      <c r="J640" t="n">
        <v>44.32655</v>
      </c>
      <c r="K640" t="n">
        <v>51.95177</v>
      </c>
      <c r="L640" t="n">
        <v>58.58255</v>
      </c>
      <c r="M640" t="n">
        <v>50.4013</v>
      </c>
      <c r="N640" t="n">
        <v>47.10404</v>
      </c>
      <c r="O640" t="n">
        <v>21.5072</v>
      </c>
      <c r="P640" t="n">
        <v>18.31292</v>
      </c>
      <c r="Q640" t="n">
        <v>28.19962</v>
      </c>
      <c r="R640" t="n">
        <v>39.0841</v>
      </c>
      <c r="S640" t="n">
        <v>83.45252000000001</v>
      </c>
      <c r="T640" t="n">
        <v>41.51675</v>
      </c>
      <c r="U640" t="n">
        <v>26.36745</v>
      </c>
      <c r="V640" t="n">
        <v>47.74495</v>
      </c>
      <c r="W640" t="n">
        <v>43.56604</v>
      </c>
      <c r="X640" t="n">
        <v>47.45515</v>
      </c>
      <c r="Y640" t="n">
        <v>92.54042</v>
      </c>
      <c r="Z640" t="n">
        <v>31.83132</v>
      </c>
      <c r="AA640" t="n">
        <v>8.899461000000001</v>
      </c>
      <c r="AB640" t="n">
        <v>47.71036</v>
      </c>
      <c r="AC640" t="n">
        <v>15.10175</v>
      </c>
      <c r="AD640" t="n">
        <v>51.00294</v>
      </c>
      <c r="AE640" t="n">
        <v>29.21763</v>
      </c>
    </row>
    <row r="641">
      <c r="A641" s="89" t="n">
        <v>38078</v>
      </c>
      <c r="B641" t="n">
        <v>34.36689</v>
      </c>
      <c r="C641" t="n">
        <v>19.10639</v>
      </c>
      <c r="D641" t="n">
        <v>43.49611</v>
      </c>
      <c r="E641" t="n">
        <v>58.57373</v>
      </c>
      <c r="F641" t="n">
        <v>27.78836</v>
      </c>
      <c r="G641" t="n">
        <v>17.57677</v>
      </c>
      <c r="H641" t="n">
        <v>21.70194</v>
      </c>
      <c r="I641" t="n">
        <v>22.22787</v>
      </c>
      <c r="J641" t="n">
        <v>44.8116</v>
      </c>
      <c r="K641" t="n">
        <v>52.45382</v>
      </c>
      <c r="L641" t="n">
        <v>58.97062</v>
      </c>
      <c r="M641" t="n">
        <v>50.83995</v>
      </c>
      <c r="N641" t="n">
        <v>47.33007</v>
      </c>
      <c r="O641" t="n">
        <v>21.58955</v>
      </c>
      <c r="P641" t="n">
        <v>18.57175</v>
      </c>
      <c r="Q641" t="n">
        <v>28.57566</v>
      </c>
      <c r="R641" t="n">
        <v>39.45908</v>
      </c>
      <c r="S641" t="n">
        <v>83.47705999999999</v>
      </c>
      <c r="T641" t="n">
        <v>41.81051</v>
      </c>
      <c r="U641" t="n">
        <v>26.44096</v>
      </c>
      <c r="V641" t="n">
        <v>48.22031</v>
      </c>
      <c r="W641" t="n">
        <v>43.70331</v>
      </c>
      <c r="X641" t="n">
        <v>47.76309</v>
      </c>
      <c r="Y641" t="n">
        <v>92.53149000000001</v>
      </c>
      <c r="Z641" t="n">
        <v>32.35956</v>
      </c>
      <c r="AA641" t="n">
        <v>9.189859999999999</v>
      </c>
      <c r="AB641" t="n">
        <v>47.5995</v>
      </c>
      <c r="AC641" t="n">
        <v>15.48062</v>
      </c>
      <c r="AD641" t="n">
        <v>51.34365</v>
      </c>
      <c r="AE641" t="n">
        <v>29.36965</v>
      </c>
    </row>
    <row r="642">
      <c r="A642" s="89" t="n">
        <v>38108</v>
      </c>
      <c r="B642" t="n">
        <v>34.535</v>
      </c>
      <c r="C642" t="n">
        <v>19.61511</v>
      </c>
      <c r="D642" t="n">
        <v>44.04671</v>
      </c>
      <c r="E642" t="n">
        <v>58.72566</v>
      </c>
      <c r="F642" t="n">
        <v>27.87139</v>
      </c>
      <c r="G642" t="n">
        <v>17.7709</v>
      </c>
      <c r="H642" t="n">
        <v>21.70428</v>
      </c>
      <c r="I642" t="n">
        <v>23.43035</v>
      </c>
      <c r="J642" t="n">
        <v>45.35804</v>
      </c>
      <c r="K642" t="n">
        <v>52.95974</v>
      </c>
      <c r="L642" t="n">
        <v>59.33781</v>
      </c>
      <c r="M642" t="n">
        <v>51.00439</v>
      </c>
      <c r="N642" t="n">
        <v>47.78855</v>
      </c>
      <c r="O642" t="n">
        <v>21.84179</v>
      </c>
      <c r="P642" t="n">
        <v>18.75677</v>
      </c>
      <c r="Q642" t="n">
        <v>28.97564</v>
      </c>
      <c r="R642" t="n">
        <v>39.86755</v>
      </c>
      <c r="S642" t="n">
        <v>83.69792</v>
      </c>
      <c r="T642" t="n">
        <v>42.03529</v>
      </c>
      <c r="U642" t="n">
        <v>26.41368</v>
      </c>
      <c r="V642" t="n">
        <v>48.5811</v>
      </c>
      <c r="W642" t="n">
        <v>44.29564</v>
      </c>
      <c r="X642" t="n">
        <v>48.21339</v>
      </c>
      <c r="Y642" t="n">
        <v>92.6925</v>
      </c>
      <c r="Z642" t="n">
        <v>32.51569</v>
      </c>
      <c r="AA642" t="n">
        <v>9.447452999999999</v>
      </c>
      <c r="AB642" t="n">
        <v>47.63603</v>
      </c>
      <c r="AC642" t="n">
        <v>16.11405</v>
      </c>
      <c r="AD642" t="n">
        <v>51.98021</v>
      </c>
      <c r="AE642" t="n">
        <v>29.51685</v>
      </c>
    </row>
    <row r="643">
      <c r="A643" s="89" t="n">
        <v>38139</v>
      </c>
      <c r="B643" t="n">
        <v>34.68069</v>
      </c>
      <c r="C643" t="n">
        <v>20.10039</v>
      </c>
      <c r="D643" t="n">
        <v>43.92104</v>
      </c>
      <c r="E643" t="n">
        <v>58.76662</v>
      </c>
      <c r="F643" t="n">
        <v>28.09697</v>
      </c>
      <c r="G643" t="n">
        <v>17.90881</v>
      </c>
      <c r="H643" t="n">
        <v>22.14478</v>
      </c>
      <c r="I643" t="n">
        <v>24.30374</v>
      </c>
      <c r="J643" t="n">
        <v>45.50792</v>
      </c>
      <c r="K643" t="n">
        <v>52.73102</v>
      </c>
      <c r="L643" t="n">
        <v>59.59441</v>
      </c>
      <c r="M643" t="n">
        <v>51.33393</v>
      </c>
      <c r="N643" t="n">
        <v>48.26015</v>
      </c>
      <c r="O643" t="n">
        <v>22.27281</v>
      </c>
      <c r="P643" t="n">
        <v>18.88158</v>
      </c>
      <c r="Q643" t="n">
        <v>29.34883</v>
      </c>
      <c r="R643" t="n">
        <v>40.1722</v>
      </c>
      <c r="S643" t="n">
        <v>83.68974</v>
      </c>
      <c r="T643" t="n">
        <v>42.20491</v>
      </c>
      <c r="U643" t="n">
        <v>26.67652</v>
      </c>
      <c r="V643" t="n">
        <v>48.82048</v>
      </c>
      <c r="W643" t="n">
        <v>44.48297</v>
      </c>
      <c r="X643" t="n">
        <v>48.31355</v>
      </c>
      <c r="Y643" t="n">
        <v>92.90208</v>
      </c>
      <c r="Z643" t="n">
        <v>32.52868</v>
      </c>
      <c r="AA643" t="n">
        <v>9.536733</v>
      </c>
      <c r="AB643" t="n">
        <v>47.32349</v>
      </c>
      <c r="AC643" t="n">
        <v>16.34474</v>
      </c>
      <c r="AD643" t="n">
        <v>51.99933</v>
      </c>
      <c r="AE643" t="n">
        <v>29.69201</v>
      </c>
    </row>
    <row r="644">
      <c r="A644" s="89" t="n">
        <v>38169</v>
      </c>
      <c r="B644" t="n">
        <v>35.0141</v>
      </c>
      <c r="C644" t="n">
        <v>20.30591</v>
      </c>
      <c r="D644" t="n">
        <v>44.18815</v>
      </c>
      <c r="E644" t="n">
        <v>58.59505</v>
      </c>
      <c r="F644" t="n">
        <v>28.38592</v>
      </c>
      <c r="G644" t="n">
        <v>18.04361</v>
      </c>
      <c r="H644" t="n">
        <v>22.60496</v>
      </c>
      <c r="I644" t="n">
        <v>24.54294</v>
      </c>
      <c r="J644" t="n">
        <v>45.77584</v>
      </c>
      <c r="K644" t="n">
        <v>52.73014</v>
      </c>
      <c r="L644" t="n">
        <v>59.87025</v>
      </c>
      <c r="M644" t="n">
        <v>51.74963</v>
      </c>
      <c r="N644" t="n">
        <v>48.93417</v>
      </c>
      <c r="O644" t="n">
        <v>22.48646</v>
      </c>
      <c r="P644" t="n">
        <v>18.9977</v>
      </c>
      <c r="Q644" t="n">
        <v>29.70762</v>
      </c>
      <c r="R644" t="n">
        <v>40.46872</v>
      </c>
      <c r="S644" t="n">
        <v>83.85334</v>
      </c>
      <c r="T644" t="n">
        <v>42.46965</v>
      </c>
      <c r="U644" t="n">
        <v>26.86992</v>
      </c>
      <c r="V644" t="n">
        <v>48.97151</v>
      </c>
      <c r="W644" t="n">
        <v>44.15567</v>
      </c>
      <c r="X644" t="n">
        <v>48.47544</v>
      </c>
      <c r="Y644" t="n">
        <v>93.43043</v>
      </c>
      <c r="Z644" t="n">
        <v>32.83386</v>
      </c>
      <c r="AA644" t="n">
        <v>9.751438</v>
      </c>
      <c r="AB644" t="n">
        <v>47.42359</v>
      </c>
      <c r="AC644" t="n">
        <v>16.2727</v>
      </c>
      <c r="AD644" t="n">
        <v>52.11318</v>
      </c>
      <c r="AE644" t="n">
        <v>29.98459</v>
      </c>
    </row>
    <row r="645">
      <c r="A645" s="89" t="n">
        <v>38200</v>
      </c>
      <c r="B645" t="n">
        <v>35.30549</v>
      </c>
      <c r="C645" t="n">
        <v>20.5185</v>
      </c>
      <c r="D645" t="n">
        <v>44.56568</v>
      </c>
      <c r="E645" t="n">
        <v>58.66933</v>
      </c>
      <c r="F645" t="n">
        <v>28.68393</v>
      </c>
      <c r="G645" t="n">
        <v>18.17476</v>
      </c>
      <c r="H645" t="n">
        <v>22.73686</v>
      </c>
      <c r="I645" t="n">
        <v>25.02773</v>
      </c>
      <c r="J645" t="n">
        <v>46.17813</v>
      </c>
      <c r="K645" t="n">
        <v>53.28978</v>
      </c>
      <c r="L645" t="n">
        <v>59.92379</v>
      </c>
      <c r="M645" t="n">
        <v>52.08087</v>
      </c>
      <c r="N645" t="n">
        <v>49.5841</v>
      </c>
      <c r="O645" t="n">
        <v>22.61005</v>
      </c>
      <c r="P645" t="n">
        <v>19.14314</v>
      </c>
      <c r="Q645" t="n">
        <v>30.0749</v>
      </c>
      <c r="R645" t="n">
        <v>40.82633</v>
      </c>
      <c r="S645" t="n">
        <v>84.05785</v>
      </c>
      <c r="T645" t="n">
        <v>42.699</v>
      </c>
      <c r="U645" t="n">
        <v>26.8519</v>
      </c>
      <c r="V645" t="n">
        <v>49.02152</v>
      </c>
      <c r="W645" t="n">
        <v>44.10348</v>
      </c>
      <c r="X645" t="n">
        <v>48.71236</v>
      </c>
      <c r="Y645" t="n">
        <v>94.0915</v>
      </c>
      <c r="Z645" t="n">
        <v>33.0296</v>
      </c>
      <c r="AA645" t="n">
        <v>10.06012</v>
      </c>
      <c r="AB645" t="n">
        <v>47.90796</v>
      </c>
      <c r="AC645" t="n">
        <v>16.54558</v>
      </c>
      <c r="AD645" t="n">
        <v>52.33007</v>
      </c>
      <c r="AE645" t="n">
        <v>30.53362</v>
      </c>
    </row>
    <row r="646">
      <c r="A646" s="89" t="n">
        <v>38231</v>
      </c>
      <c r="B646" t="n">
        <v>35.40635</v>
      </c>
      <c r="C646" t="n">
        <v>20.72842</v>
      </c>
      <c r="D646" t="n">
        <v>44.77949</v>
      </c>
      <c r="E646" t="n">
        <v>58.75826</v>
      </c>
      <c r="F646" t="n">
        <v>29.03675</v>
      </c>
      <c r="G646" t="n">
        <v>18.34886</v>
      </c>
      <c r="H646" t="n">
        <v>23.0986</v>
      </c>
      <c r="I646" t="n">
        <v>25.3879</v>
      </c>
      <c r="J646" t="n">
        <v>46.40273</v>
      </c>
      <c r="K646" t="n">
        <v>53.2958</v>
      </c>
      <c r="L646" t="n">
        <v>59.99165</v>
      </c>
      <c r="M646" t="n">
        <v>52.34302</v>
      </c>
      <c r="N646" t="n">
        <v>50.01949</v>
      </c>
      <c r="O646" t="n">
        <v>22.74046</v>
      </c>
      <c r="P646" t="n">
        <v>19.27585</v>
      </c>
      <c r="Q646" t="n">
        <v>30.43938</v>
      </c>
      <c r="R646" t="n">
        <v>41.10601</v>
      </c>
      <c r="S646" t="n">
        <v>83.92695999999999</v>
      </c>
      <c r="T646" t="n">
        <v>42.84297</v>
      </c>
      <c r="U646" t="n">
        <v>26.92208</v>
      </c>
      <c r="V646" t="n">
        <v>49.16752</v>
      </c>
      <c r="W646" t="n">
        <v>43.88992</v>
      </c>
      <c r="X646" t="n">
        <v>48.93975</v>
      </c>
      <c r="Y646" t="n">
        <v>94.74718</v>
      </c>
      <c r="Z646" t="n">
        <v>33.24492</v>
      </c>
      <c r="AA646" t="n">
        <v>10.13234</v>
      </c>
      <c r="AB646" t="n">
        <v>48.42654</v>
      </c>
      <c r="AC646" t="n">
        <v>16.8805</v>
      </c>
      <c r="AD646" t="n">
        <v>52.6176</v>
      </c>
      <c r="AE646" t="n">
        <v>31.29763</v>
      </c>
    </row>
    <row r="647">
      <c r="A647" s="89" t="n">
        <v>38261</v>
      </c>
      <c r="B647" t="n">
        <v>35.54084</v>
      </c>
      <c r="C647" t="n">
        <v>20.94284</v>
      </c>
      <c r="D647" t="n">
        <v>45.22706</v>
      </c>
      <c r="E647" t="n">
        <v>58.69308</v>
      </c>
      <c r="F647" t="n">
        <v>29.4129</v>
      </c>
      <c r="G647" t="n">
        <v>18.57358</v>
      </c>
      <c r="H647" t="n">
        <v>23.42534</v>
      </c>
      <c r="I647" t="n">
        <v>25.75056</v>
      </c>
      <c r="J647" t="n">
        <v>46.63136</v>
      </c>
      <c r="K647" t="n">
        <v>53.30204</v>
      </c>
      <c r="L647" t="n">
        <v>60.41855</v>
      </c>
      <c r="M647" t="n">
        <v>52.56202</v>
      </c>
      <c r="N647" t="n">
        <v>50.35606</v>
      </c>
      <c r="O647" t="n">
        <v>22.79824</v>
      </c>
      <c r="P647" t="n">
        <v>19.43704</v>
      </c>
      <c r="Q647" t="n">
        <v>30.81153</v>
      </c>
      <c r="R647" t="n">
        <v>41.46703</v>
      </c>
      <c r="S647" t="n">
        <v>83.94332</v>
      </c>
      <c r="T647" t="n">
        <v>43.05806</v>
      </c>
      <c r="U647" t="n">
        <v>27.21833</v>
      </c>
      <c r="V647" t="n">
        <v>49.40528</v>
      </c>
      <c r="W647" t="n">
        <v>43.979</v>
      </c>
      <c r="X647" t="n">
        <v>49.19199</v>
      </c>
      <c r="Y647" t="n">
        <v>94.9932</v>
      </c>
      <c r="Z647" t="n">
        <v>34.12419</v>
      </c>
      <c r="AA647" t="n">
        <v>10.32397</v>
      </c>
      <c r="AB647" t="n">
        <v>48.99923</v>
      </c>
      <c r="AC647" t="n">
        <v>17.07384</v>
      </c>
      <c r="AD647" t="n">
        <v>52.85195</v>
      </c>
      <c r="AE647" t="n">
        <v>31.8433</v>
      </c>
    </row>
    <row r="648">
      <c r="A648" s="89" t="n">
        <v>38292</v>
      </c>
      <c r="B648" t="n">
        <v>35.86865</v>
      </c>
      <c r="C648" t="n">
        <v>21.17999</v>
      </c>
      <c r="D648" t="n">
        <v>45.52979</v>
      </c>
      <c r="E648" t="n">
        <v>58.96086</v>
      </c>
      <c r="F648" t="n">
        <v>29.67653</v>
      </c>
      <c r="G648" t="n">
        <v>18.81177</v>
      </c>
      <c r="H648" t="n">
        <v>23.55964</v>
      </c>
      <c r="I648" t="n">
        <v>26.16002</v>
      </c>
      <c r="J648" t="n">
        <v>46.74953</v>
      </c>
      <c r="K648" t="n">
        <v>53.7118</v>
      </c>
      <c r="L648" t="n">
        <v>60.85714</v>
      </c>
      <c r="M648" t="n">
        <v>53.11333</v>
      </c>
      <c r="N648" t="n">
        <v>50.91452</v>
      </c>
      <c r="O648" t="n">
        <v>22.85875</v>
      </c>
      <c r="P648" t="n">
        <v>19.62199</v>
      </c>
      <c r="Q648" t="n">
        <v>31.2238</v>
      </c>
      <c r="R648" t="n">
        <v>41.89224</v>
      </c>
      <c r="S648" t="n">
        <v>83.94332</v>
      </c>
      <c r="T648" t="n">
        <v>43.28647</v>
      </c>
      <c r="U648" t="n">
        <v>27.53703</v>
      </c>
      <c r="V648" t="n">
        <v>50.34652</v>
      </c>
      <c r="W648" t="n">
        <v>44.25934</v>
      </c>
      <c r="X648" t="n">
        <v>49.46946</v>
      </c>
      <c r="Y648" t="n">
        <v>95.25021</v>
      </c>
      <c r="Z648" t="n">
        <v>34.41983</v>
      </c>
      <c r="AA648" t="n">
        <v>10.60609</v>
      </c>
      <c r="AB648" t="n">
        <v>49.32876</v>
      </c>
      <c r="AC648" t="n">
        <v>17.3736</v>
      </c>
      <c r="AD648" t="n">
        <v>53.07217</v>
      </c>
      <c r="AE648" t="n">
        <v>32.04681</v>
      </c>
    </row>
    <row r="649">
      <c r="A649" s="89" t="n">
        <v>38322</v>
      </c>
      <c r="B649" t="n">
        <v>36.16004</v>
      </c>
      <c r="C649" t="n">
        <v>21.35336</v>
      </c>
      <c r="D649" t="n">
        <v>46.14388</v>
      </c>
      <c r="E649" t="n">
        <v>59.17719</v>
      </c>
      <c r="F649" t="n">
        <v>29.8119</v>
      </c>
      <c r="G649" t="n">
        <v>19.07006</v>
      </c>
      <c r="H649" t="n">
        <v>24.03148</v>
      </c>
      <c r="I649" t="n">
        <v>26.54002</v>
      </c>
      <c r="J649" t="n">
        <v>46.48536</v>
      </c>
      <c r="K649" t="n">
        <v>51.11067</v>
      </c>
      <c r="L649" t="n">
        <v>61.48022</v>
      </c>
      <c r="M649" t="n">
        <v>53.57364</v>
      </c>
      <c r="N649" t="n">
        <v>51.4062</v>
      </c>
      <c r="O649" t="n">
        <v>23.06057</v>
      </c>
      <c r="P649" t="n">
        <v>19.82857</v>
      </c>
      <c r="Q649" t="n">
        <v>31.68365</v>
      </c>
      <c r="R649" t="n">
        <v>42.28473</v>
      </c>
      <c r="S649" t="n">
        <v>83.9515</v>
      </c>
      <c r="T649" t="n">
        <v>43.55986</v>
      </c>
      <c r="U649" t="n">
        <v>27.68275</v>
      </c>
      <c r="V649" t="n">
        <v>50.88748</v>
      </c>
      <c r="W649" t="n">
        <v>44.45438</v>
      </c>
      <c r="X649" t="n">
        <v>49.65078</v>
      </c>
      <c r="Y649" t="n">
        <v>95.88209999999999</v>
      </c>
      <c r="Z649" t="n">
        <v>34.24634</v>
      </c>
      <c r="AA649" t="n">
        <v>10.5487</v>
      </c>
      <c r="AB649" t="n">
        <v>49.59037</v>
      </c>
      <c r="AC649" t="n">
        <v>17.58027</v>
      </c>
      <c r="AD649" t="n">
        <v>53.22674</v>
      </c>
      <c r="AE649" t="n">
        <v>31.9263</v>
      </c>
    </row>
    <row r="650">
      <c r="A650" s="89" t="n">
        <v>38353</v>
      </c>
      <c r="B650" t="n">
        <v>36.39259</v>
      </c>
      <c r="C650" t="n">
        <v>21.53674</v>
      </c>
      <c r="D650" t="n">
        <v>46.54591</v>
      </c>
      <c r="E650" t="n">
        <v>59.57639</v>
      </c>
      <c r="F650" t="n">
        <v>29.90033</v>
      </c>
      <c r="G650" t="n">
        <v>19.32659</v>
      </c>
      <c r="H650" t="n">
        <v>24.65541</v>
      </c>
      <c r="I650" t="n">
        <v>27.01509</v>
      </c>
      <c r="J650" t="n">
        <v>46.21528</v>
      </c>
      <c r="K650" t="n">
        <v>48.13997</v>
      </c>
      <c r="L650" t="n">
        <v>62.00829</v>
      </c>
      <c r="M650" t="n">
        <v>54.07392</v>
      </c>
      <c r="N650" t="n">
        <v>51.75978</v>
      </c>
      <c r="O650" t="n">
        <v>23.27019</v>
      </c>
      <c r="P650" t="n">
        <v>20.25499</v>
      </c>
      <c r="Q650" t="n">
        <v>32.17133</v>
      </c>
      <c r="R650" t="n">
        <v>42.7617</v>
      </c>
      <c r="S650" t="n">
        <v>83.98421999999999</v>
      </c>
      <c r="T650" t="n">
        <v>43.91417</v>
      </c>
      <c r="U650" t="n">
        <v>27.86948</v>
      </c>
      <c r="V650" t="n">
        <v>50.67405</v>
      </c>
      <c r="W650" t="n">
        <v>44.7117</v>
      </c>
      <c r="X650" t="n">
        <v>49.77364</v>
      </c>
      <c r="Y650" t="n">
        <v>96.44047</v>
      </c>
      <c r="Z650" t="n">
        <v>34.80701</v>
      </c>
      <c r="AA650" t="n">
        <v>11.10364</v>
      </c>
      <c r="AB650" t="n">
        <v>49.6881</v>
      </c>
      <c r="AC650" t="n">
        <v>17.55759</v>
      </c>
      <c r="AD650" t="n">
        <v>53.27826</v>
      </c>
      <c r="AE650" t="n">
        <v>31.95139</v>
      </c>
    </row>
    <row r="651">
      <c r="A651" s="89" t="n">
        <v>38384</v>
      </c>
      <c r="B651" t="n">
        <v>36.63354</v>
      </c>
      <c r="C651" t="n">
        <v>21.79595</v>
      </c>
      <c r="D651" t="n">
        <v>47.2272</v>
      </c>
      <c r="E651" t="n">
        <v>59.9386</v>
      </c>
      <c r="F651" t="n">
        <v>30.01602</v>
      </c>
      <c r="G651" t="n">
        <v>19.56876</v>
      </c>
      <c r="H651" t="n">
        <v>24.9119</v>
      </c>
      <c r="I651" t="n">
        <v>27.73072</v>
      </c>
      <c r="J651" t="n">
        <v>46.43981</v>
      </c>
      <c r="K651" t="n">
        <v>48.1693</v>
      </c>
      <c r="L651" t="n">
        <v>62.15746</v>
      </c>
      <c r="M651" t="n">
        <v>54.45282</v>
      </c>
      <c r="N651" t="n">
        <v>52.31306</v>
      </c>
      <c r="O651" t="n">
        <v>23.4021</v>
      </c>
      <c r="P651" t="n">
        <v>20.53226</v>
      </c>
      <c r="Q651" t="n">
        <v>32.66627</v>
      </c>
      <c r="R651" t="n">
        <v>43.19162</v>
      </c>
      <c r="S651" t="n">
        <v>83.9924</v>
      </c>
      <c r="T651" t="n">
        <v>44.02629</v>
      </c>
      <c r="U651" t="n">
        <v>28.01537</v>
      </c>
      <c r="V651" t="n">
        <v>51.15657</v>
      </c>
      <c r="W651" t="n">
        <v>45.16766</v>
      </c>
      <c r="X651" t="n">
        <v>49.94256</v>
      </c>
      <c r="Y651" t="n">
        <v>97.01759</v>
      </c>
      <c r="Z651" t="n">
        <v>35.11959</v>
      </c>
      <c r="AA651" t="n">
        <v>11.66813</v>
      </c>
      <c r="AB651" t="n">
        <v>50.08786</v>
      </c>
      <c r="AC651" t="n">
        <v>17.60101</v>
      </c>
      <c r="AD651" t="n">
        <v>53.34807</v>
      </c>
      <c r="AE651" t="n">
        <v>32.46835</v>
      </c>
    </row>
    <row r="652">
      <c r="A652" s="89" t="n">
        <v>38412</v>
      </c>
      <c r="B652" t="n">
        <v>36.81005</v>
      </c>
      <c r="C652" t="n">
        <v>22.16344</v>
      </c>
      <c r="D652" t="n">
        <v>47.5886</v>
      </c>
      <c r="E652" t="n">
        <v>59.86598</v>
      </c>
      <c r="F652" t="n">
        <v>30.22366</v>
      </c>
      <c r="G652" t="n">
        <v>19.81379</v>
      </c>
      <c r="H652" t="n">
        <v>25.21748</v>
      </c>
      <c r="I652" t="n">
        <v>28.39267</v>
      </c>
      <c r="J652" t="n">
        <v>46.68879</v>
      </c>
      <c r="K652" t="n">
        <v>48.04032</v>
      </c>
      <c r="L652" t="n">
        <v>62.37503</v>
      </c>
      <c r="M652" t="n">
        <v>54.77409</v>
      </c>
      <c r="N652" t="n">
        <v>53.19699</v>
      </c>
      <c r="O652" t="n">
        <v>23.67588</v>
      </c>
      <c r="P652" t="n">
        <v>20.56539</v>
      </c>
      <c r="Q652" t="n">
        <v>33.13094</v>
      </c>
      <c r="R652" t="n">
        <v>43.385</v>
      </c>
      <c r="S652" t="n">
        <v>84.15600999999999</v>
      </c>
      <c r="T652" t="n">
        <v>44.26499</v>
      </c>
      <c r="U652" t="n">
        <v>28.11267</v>
      </c>
      <c r="V652" t="n">
        <v>52.03962</v>
      </c>
      <c r="W652" t="n">
        <v>45.66505</v>
      </c>
      <c r="X652" t="n">
        <v>50.1297</v>
      </c>
      <c r="Y652" t="n">
        <v>97.92335</v>
      </c>
      <c r="Z652" t="n">
        <v>35.67332</v>
      </c>
      <c r="AA652" t="n">
        <v>11.67032</v>
      </c>
      <c r="AB652" t="n">
        <v>50.5237</v>
      </c>
      <c r="AC652" t="n">
        <v>17.97128</v>
      </c>
      <c r="AD652" t="n">
        <v>53.42286</v>
      </c>
      <c r="AE652" t="n">
        <v>32.85425</v>
      </c>
    </row>
    <row r="653">
      <c r="A653" s="89" t="n">
        <v>38443</v>
      </c>
      <c r="B653" t="n">
        <v>37.02579</v>
      </c>
      <c r="C653" t="n">
        <v>22.54015</v>
      </c>
      <c r="D653" t="n">
        <v>48.04522</v>
      </c>
      <c r="E653" t="n">
        <v>59.89607</v>
      </c>
      <c r="F653" t="n">
        <v>30.59807</v>
      </c>
      <c r="G653" t="n">
        <v>20.07225</v>
      </c>
      <c r="H653" t="n">
        <v>25.55684</v>
      </c>
      <c r="I653" t="n">
        <v>28.95113</v>
      </c>
      <c r="J653" t="n">
        <v>47.15639</v>
      </c>
      <c r="K653" t="n">
        <v>48.85154</v>
      </c>
      <c r="L653" t="n">
        <v>62.91019</v>
      </c>
      <c r="M653" t="n">
        <v>55.30825</v>
      </c>
      <c r="N653" t="n">
        <v>54.32666</v>
      </c>
      <c r="O653" t="n">
        <v>24.12606</v>
      </c>
      <c r="P653" t="n">
        <v>20.8876</v>
      </c>
      <c r="Q653" t="n">
        <v>33.56136</v>
      </c>
      <c r="R653" t="n">
        <v>43.68371</v>
      </c>
      <c r="S653" t="n">
        <v>83.97604</v>
      </c>
      <c r="T653" t="n">
        <v>44.63338</v>
      </c>
      <c r="U653" t="n">
        <v>28.24663</v>
      </c>
      <c r="V653" t="n">
        <v>52.60456</v>
      </c>
      <c r="W653" t="n">
        <v>46.04211</v>
      </c>
      <c r="X653" t="n">
        <v>50.36737</v>
      </c>
      <c r="Y653" t="n">
        <v>98.71526</v>
      </c>
      <c r="Z653" t="n">
        <v>36.41202</v>
      </c>
      <c r="AA653" t="n">
        <v>12.03684</v>
      </c>
      <c r="AB653" t="n">
        <v>50.49871</v>
      </c>
      <c r="AC653" t="n">
        <v>18.56349</v>
      </c>
      <c r="AD653" t="n">
        <v>53.5392</v>
      </c>
      <c r="AE653" t="n">
        <v>33.36558</v>
      </c>
    </row>
    <row r="654">
      <c r="A654" s="89" t="n">
        <v>38473</v>
      </c>
      <c r="B654" t="n">
        <v>37.35921</v>
      </c>
      <c r="C654" t="n">
        <v>22.76894</v>
      </c>
      <c r="D654" t="n">
        <v>48.31843</v>
      </c>
      <c r="E654" t="n">
        <v>60.16837</v>
      </c>
      <c r="F654" t="n">
        <v>31.06196</v>
      </c>
      <c r="G654" t="n">
        <v>20.32652</v>
      </c>
      <c r="H654" t="n">
        <v>25.89038</v>
      </c>
      <c r="I654" t="n">
        <v>29.52874</v>
      </c>
      <c r="J654" t="n">
        <v>48.07209</v>
      </c>
      <c r="K654" t="n">
        <v>49.72163</v>
      </c>
      <c r="L654" t="n">
        <v>63.56118</v>
      </c>
      <c r="M654" t="n">
        <v>55.97937</v>
      </c>
      <c r="N654" t="n">
        <v>55.22638</v>
      </c>
      <c r="O654" t="n">
        <v>24.40152</v>
      </c>
      <c r="P654" t="n">
        <v>21.25314</v>
      </c>
      <c r="Q654" t="n">
        <v>34.08271</v>
      </c>
      <c r="R654" t="n">
        <v>44.35447</v>
      </c>
      <c r="S654" t="n">
        <v>83.97604</v>
      </c>
      <c r="T654" t="n">
        <v>44.9665</v>
      </c>
      <c r="U654" t="n">
        <v>28.36508</v>
      </c>
      <c r="V654" t="n">
        <v>52.87588</v>
      </c>
      <c r="W654" t="n">
        <v>46.37922</v>
      </c>
      <c r="X654" t="n">
        <v>50.6347</v>
      </c>
      <c r="Y654" t="n">
        <v>99.24621999999999</v>
      </c>
      <c r="Z654" t="n">
        <v>36.96402</v>
      </c>
      <c r="AA654" t="n">
        <v>12.3082</v>
      </c>
      <c r="AB654" t="n">
        <v>50.85361</v>
      </c>
      <c r="AC654" t="n">
        <v>19.01084</v>
      </c>
      <c r="AD654" t="n">
        <v>53.68297</v>
      </c>
      <c r="AE654" t="n">
        <v>34.07306</v>
      </c>
    </row>
    <row r="655">
      <c r="A655" s="89" t="n">
        <v>38504</v>
      </c>
      <c r="B655" t="n">
        <v>37.74306</v>
      </c>
      <c r="C655" t="n">
        <v>22.99641</v>
      </c>
      <c r="D655" t="n">
        <v>48.67874</v>
      </c>
      <c r="E655" t="n">
        <v>60.85471</v>
      </c>
      <c r="F655" t="n">
        <v>31.48763</v>
      </c>
      <c r="G655" t="n">
        <v>20.61558</v>
      </c>
      <c r="H655" t="n">
        <v>26.27601</v>
      </c>
      <c r="I655" t="n">
        <v>30.02909</v>
      </c>
      <c r="J655" t="n">
        <v>48.51795</v>
      </c>
      <c r="K655" t="n">
        <v>51.22858</v>
      </c>
      <c r="L655" t="n">
        <v>64.14462</v>
      </c>
      <c r="M655" t="n">
        <v>56.65095</v>
      </c>
      <c r="N655" t="n">
        <v>55.60317</v>
      </c>
      <c r="O655" t="n">
        <v>24.61522</v>
      </c>
      <c r="P655" t="n">
        <v>21.45936</v>
      </c>
      <c r="Q655" t="n">
        <v>34.71707</v>
      </c>
      <c r="R655" t="n">
        <v>44.98383</v>
      </c>
      <c r="S655" t="n">
        <v>83.9515</v>
      </c>
      <c r="T655" t="n">
        <v>45.38777</v>
      </c>
      <c r="U655" t="n">
        <v>28.54842</v>
      </c>
      <c r="V655" t="n">
        <v>53.32688</v>
      </c>
      <c r="W655" t="n">
        <v>46.82032</v>
      </c>
      <c r="X655" t="n">
        <v>50.96342</v>
      </c>
      <c r="Y655" t="n">
        <v>99.56359</v>
      </c>
      <c r="Z655" t="n">
        <v>37.22631</v>
      </c>
      <c r="AA655" t="n">
        <v>12.42289</v>
      </c>
      <c r="AB655" t="n">
        <v>52.07392</v>
      </c>
      <c r="AC655" t="n">
        <v>19.37633</v>
      </c>
      <c r="AD655" t="n">
        <v>53.95222</v>
      </c>
      <c r="AE655" t="n">
        <v>34.58591</v>
      </c>
    </row>
    <row r="656">
      <c r="A656" s="89" t="n">
        <v>38534</v>
      </c>
      <c r="B656" t="n">
        <v>37.97841</v>
      </c>
      <c r="C656" t="n">
        <v>23.34116</v>
      </c>
      <c r="D656" t="n">
        <v>49.06056</v>
      </c>
      <c r="E656" t="n">
        <v>61.80108</v>
      </c>
      <c r="F656" t="n">
        <v>31.83428</v>
      </c>
      <c r="G656" t="n">
        <v>20.91055</v>
      </c>
      <c r="H656" t="n">
        <v>26.47105</v>
      </c>
      <c r="I656" t="n">
        <v>30.68605</v>
      </c>
      <c r="J656" t="n">
        <v>48.81116</v>
      </c>
      <c r="K656" t="n">
        <v>52.99106</v>
      </c>
      <c r="L656" t="n">
        <v>64.72659</v>
      </c>
      <c r="M656" t="n">
        <v>57.28856</v>
      </c>
      <c r="N656" t="n">
        <v>55.93948</v>
      </c>
      <c r="O656" t="n">
        <v>25.0488</v>
      </c>
      <c r="P656" t="n">
        <v>21.68746</v>
      </c>
      <c r="Q656" t="n">
        <v>35.31264</v>
      </c>
      <c r="R656" t="n">
        <v>45.35611</v>
      </c>
      <c r="S656" t="n">
        <v>84.1151</v>
      </c>
      <c r="T656" t="n">
        <v>45.67387</v>
      </c>
      <c r="U656" t="n">
        <v>29.01718</v>
      </c>
      <c r="V656" t="n">
        <v>53.85254</v>
      </c>
      <c r="W656" t="n">
        <v>47.26359</v>
      </c>
      <c r="X656" t="n">
        <v>51.32642</v>
      </c>
      <c r="Y656" t="n">
        <v>100.2054</v>
      </c>
      <c r="Z656" t="n">
        <v>37.25824</v>
      </c>
      <c r="AA656" t="n">
        <v>12.87609</v>
      </c>
      <c r="AB656" t="n">
        <v>52.96393</v>
      </c>
      <c r="AC656" t="n">
        <v>19.78846</v>
      </c>
      <c r="AD656" t="n">
        <v>54.21482</v>
      </c>
      <c r="AE656" t="n">
        <v>35.50751</v>
      </c>
    </row>
    <row r="657">
      <c r="A657" s="89" t="n">
        <v>38565</v>
      </c>
      <c r="B657" t="n">
        <v>38.09608</v>
      </c>
      <c r="C657" t="n">
        <v>23.71024</v>
      </c>
      <c r="D657" t="n">
        <v>49.10693</v>
      </c>
      <c r="E657" t="n">
        <v>62.08539</v>
      </c>
      <c r="F657" t="n">
        <v>32.0363</v>
      </c>
      <c r="G657" t="n">
        <v>21.21715</v>
      </c>
      <c r="H657" t="n">
        <v>26.6322</v>
      </c>
      <c r="I657" t="n">
        <v>31.30873</v>
      </c>
      <c r="J657" t="n">
        <v>49.08056</v>
      </c>
      <c r="K657" t="n">
        <v>53.33559</v>
      </c>
      <c r="L657" t="n">
        <v>64.87824000000001</v>
      </c>
      <c r="M657" t="n">
        <v>57.45996</v>
      </c>
      <c r="N657" t="n">
        <v>56.34976</v>
      </c>
      <c r="O657" t="n">
        <v>25.55486</v>
      </c>
      <c r="P657" t="n">
        <v>21.91241</v>
      </c>
      <c r="Q657" t="n">
        <v>35.83746</v>
      </c>
      <c r="R657" t="n">
        <v>45.52623</v>
      </c>
      <c r="S657" t="n">
        <v>84.24598</v>
      </c>
      <c r="T657" t="n">
        <v>45.89344</v>
      </c>
      <c r="U657" t="n">
        <v>29.46974</v>
      </c>
      <c r="V657" t="n">
        <v>54.27048</v>
      </c>
      <c r="W657" t="n">
        <v>47.7089</v>
      </c>
      <c r="X657" t="n">
        <v>51.61732</v>
      </c>
      <c r="Y657" t="n">
        <v>101.1173</v>
      </c>
      <c r="Z657" t="n">
        <v>37.54126</v>
      </c>
      <c r="AA657" t="n">
        <v>13.4052</v>
      </c>
      <c r="AB657" t="n">
        <v>53.25996</v>
      </c>
      <c r="AC657" t="n">
        <v>20.28823</v>
      </c>
      <c r="AD657" t="n">
        <v>54.48656</v>
      </c>
      <c r="AE657" t="n">
        <v>36.42164</v>
      </c>
    </row>
    <row r="658">
      <c r="A658" s="89" t="n">
        <v>38596</v>
      </c>
      <c r="B658" t="n">
        <v>38.42109</v>
      </c>
      <c r="C658" t="n">
        <v>24.09814</v>
      </c>
      <c r="D658" t="n">
        <v>49.23317</v>
      </c>
      <c r="E658" t="n">
        <v>61.98912</v>
      </c>
      <c r="F658" t="n">
        <v>32.18632</v>
      </c>
      <c r="G658" t="n">
        <v>21.59169</v>
      </c>
      <c r="H658" t="n">
        <v>27.08802</v>
      </c>
      <c r="I658" t="n">
        <v>31.81721</v>
      </c>
      <c r="J658" t="n">
        <v>49.10284</v>
      </c>
      <c r="K658" t="n">
        <v>53.76122</v>
      </c>
      <c r="L658" t="n">
        <v>65.04797000000001</v>
      </c>
      <c r="M658" t="n">
        <v>57.92126</v>
      </c>
      <c r="N658" t="n">
        <v>56.9923</v>
      </c>
      <c r="O658" t="n">
        <v>26.18155</v>
      </c>
      <c r="P658" t="n">
        <v>22.41583</v>
      </c>
      <c r="Q658" t="n">
        <v>36.41407</v>
      </c>
      <c r="R658" t="n">
        <v>45.49139</v>
      </c>
      <c r="S658" t="n">
        <v>84.32778</v>
      </c>
      <c r="T658" t="n">
        <v>46.01572</v>
      </c>
      <c r="U658" t="n">
        <v>29.90033</v>
      </c>
      <c r="V658" t="n">
        <v>54.92255</v>
      </c>
      <c r="W658" t="n">
        <v>48.60467</v>
      </c>
      <c r="X658" t="n">
        <v>51.93371</v>
      </c>
      <c r="Y658" t="n">
        <v>101.8806</v>
      </c>
      <c r="Z658" t="n">
        <v>38.0673</v>
      </c>
      <c r="AA658" t="n">
        <v>13.7419</v>
      </c>
      <c r="AB658" t="n">
        <v>53.30558</v>
      </c>
      <c r="AC658" t="n">
        <v>20.74949</v>
      </c>
      <c r="AD658" t="n">
        <v>54.76994</v>
      </c>
      <c r="AE658" t="n">
        <v>36.95603</v>
      </c>
    </row>
    <row r="659">
      <c r="A659" s="89" t="n">
        <v>38626</v>
      </c>
      <c r="B659" t="n">
        <v>38.61722</v>
      </c>
      <c r="C659" t="n">
        <v>24.39398</v>
      </c>
      <c r="D659" t="n">
        <v>49.46316</v>
      </c>
      <c r="E659" t="n">
        <v>62.10108</v>
      </c>
      <c r="F659" t="n">
        <v>32.45716</v>
      </c>
      <c r="G659" t="n">
        <v>21.93075</v>
      </c>
      <c r="H659" t="n">
        <v>27.66702</v>
      </c>
      <c r="I659" t="n">
        <v>32.44831</v>
      </c>
      <c r="J659" t="n">
        <v>49.49739</v>
      </c>
      <c r="K659" t="n">
        <v>54.01084</v>
      </c>
      <c r="L659" t="n">
        <v>65.51672000000001</v>
      </c>
      <c r="M659" t="n">
        <v>58.85264</v>
      </c>
      <c r="N659" t="n">
        <v>57.60852</v>
      </c>
      <c r="O659" t="n">
        <v>26.61066</v>
      </c>
      <c r="P659" t="n">
        <v>22.83817</v>
      </c>
      <c r="Q659" t="n">
        <v>37.10153</v>
      </c>
      <c r="R659" t="n">
        <v>45.56298</v>
      </c>
      <c r="S659" t="n">
        <v>84.28688</v>
      </c>
      <c r="T659" t="n">
        <v>46.12407</v>
      </c>
      <c r="U659" t="n">
        <v>30.44931</v>
      </c>
      <c r="V659" t="n">
        <v>55.40439</v>
      </c>
      <c r="W659" t="n">
        <v>49.03799</v>
      </c>
      <c r="X659" t="n">
        <v>52.27625</v>
      </c>
      <c r="Y659" t="n">
        <v>102.4152</v>
      </c>
      <c r="Z659" t="n">
        <v>38.6686</v>
      </c>
      <c r="AA659" t="n">
        <v>14.29279</v>
      </c>
      <c r="AB659" t="n">
        <v>54.3091</v>
      </c>
      <c r="AC659" t="n">
        <v>21.01513</v>
      </c>
      <c r="AD659" t="n">
        <v>55.05249</v>
      </c>
      <c r="AE659" t="n">
        <v>37.21805</v>
      </c>
    </row>
    <row r="660">
      <c r="A660" s="89" t="n">
        <v>38657</v>
      </c>
      <c r="B660" t="n">
        <v>38.67886</v>
      </c>
      <c r="C660" t="n">
        <v>24.66349</v>
      </c>
      <c r="D660" t="n">
        <v>49.49852</v>
      </c>
      <c r="E660" t="n">
        <v>62.38663</v>
      </c>
      <c r="F660" t="n">
        <v>32.85228</v>
      </c>
      <c r="G660" t="n">
        <v>22.24324</v>
      </c>
      <c r="H660" t="n">
        <v>28.19863</v>
      </c>
      <c r="I660" t="n">
        <v>33.22751</v>
      </c>
      <c r="J660" t="n">
        <v>50.38005</v>
      </c>
      <c r="K660" t="n">
        <v>54.43851</v>
      </c>
      <c r="L660" t="n">
        <v>65.87475000000001</v>
      </c>
      <c r="M660" t="n">
        <v>59.21538</v>
      </c>
      <c r="N660" t="n">
        <v>58.19017</v>
      </c>
      <c r="O660" t="n">
        <v>26.69896</v>
      </c>
      <c r="P660" t="n">
        <v>23.00184</v>
      </c>
      <c r="Q660" t="n">
        <v>37.81456</v>
      </c>
      <c r="R660" t="n">
        <v>45.90802</v>
      </c>
      <c r="S660" t="n">
        <v>84.32778</v>
      </c>
      <c r="T660" t="n">
        <v>46.35249</v>
      </c>
      <c r="U660" t="n">
        <v>30.82542</v>
      </c>
      <c r="V660" t="n">
        <v>55.85548</v>
      </c>
      <c r="W660" t="n">
        <v>48.85994</v>
      </c>
      <c r="X660" t="n">
        <v>52.4915</v>
      </c>
      <c r="Y660" t="n">
        <v>102.5972</v>
      </c>
      <c r="Z660" t="n">
        <v>39.0327</v>
      </c>
      <c r="AA660" t="n">
        <v>14.65999</v>
      </c>
      <c r="AB660" t="n">
        <v>54.96763</v>
      </c>
      <c r="AC660" t="n">
        <v>21.32644</v>
      </c>
      <c r="AD660" t="n">
        <v>55.18961</v>
      </c>
      <c r="AE660" t="n">
        <v>37.34858</v>
      </c>
    </row>
    <row r="661">
      <c r="A661" s="89" t="n">
        <v>38687</v>
      </c>
      <c r="B661" t="n">
        <v>39.00947</v>
      </c>
      <c r="C661" t="n">
        <v>25.03541</v>
      </c>
      <c r="D661" t="n">
        <v>49.65355</v>
      </c>
      <c r="E661" t="n">
        <v>62.35939</v>
      </c>
      <c r="F661" t="n">
        <v>33.40684</v>
      </c>
      <c r="G661" t="n">
        <v>22.54896</v>
      </c>
      <c r="H661" t="n">
        <v>28.45293</v>
      </c>
      <c r="I661" t="n">
        <v>33.95279</v>
      </c>
      <c r="J661" t="n">
        <v>51.03147</v>
      </c>
      <c r="K661" t="n">
        <v>54.92216</v>
      </c>
      <c r="L661" t="n">
        <v>66.63905</v>
      </c>
      <c r="M661" t="n">
        <v>59.91914</v>
      </c>
      <c r="N661" t="n">
        <v>58.91944</v>
      </c>
      <c r="O661" t="n">
        <v>26.84931</v>
      </c>
      <c r="P661" t="n">
        <v>23.29244</v>
      </c>
      <c r="Q661" t="n">
        <v>38.46975</v>
      </c>
      <c r="R661" t="n">
        <v>46.02401</v>
      </c>
      <c r="S661" t="n">
        <v>84.25417</v>
      </c>
      <c r="T661" t="n">
        <v>46.62929</v>
      </c>
      <c r="U661" t="n">
        <v>31.13875</v>
      </c>
      <c r="V661" t="n">
        <v>56.37477</v>
      </c>
      <c r="W661" t="n">
        <v>49.01691</v>
      </c>
      <c r="X661" t="n">
        <v>52.773</v>
      </c>
      <c r="Y661" t="n">
        <v>102.8777</v>
      </c>
      <c r="Z661" t="n">
        <v>39.10976</v>
      </c>
      <c r="AA661" t="n">
        <v>14.38128</v>
      </c>
      <c r="AB661" t="n">
        <v>55.21341</v>
      </c>
      <c r="AC661" t="n">
        <v>21.79631</v>
      </c>
      <c r="AD661" t="n">
        <v>55.41232</v>
      </c>
      <c r="AE661" t="n">
        <v>38.00687</v>
      </c>
    </row>
    <row r="662">
      <c r="A662" s="89" t="n">
        <v>38718</v>
      </c>
      <c r="B662" t="n">
        <v>39.45216</v>
      </c>
      <c r="C662" t="n">
        <v>25.48129</v>
      </c>
      <c r="D662" t="n">
        <v>49.9126</v>
      </c>
      <c r="E662" t="n">
        <v>61.89564</v>
      </c>
      <c r="F662" t="n">
        <v>33.73067</v>
      </c>
      <c r="G662" t="n">
        <v>22.8051</v>
      </c>
      <c r="H662" t="n">
        <v>28.56639</v>
      </c>
      <c r="I662" t="n">
        <v>34.36242</v>
      </c>
      <c r="J662" t="n">
        <v>51.51576</v>
      </c>
      <c r="K662" t="n">
        <v>57.20307</v>
      </c>
      <c r="L662" t="n">
        <v>67.20077000000001</v>
      </c>
      <c r="M662" t="n">
        <v>60.39522</v>
      </c>
      <c r="N662" t="n">
        <v>59.79154</v>
      </c>
      <c r="O662" t="n">
        <v>27.19197</v>
      </c>
      <c r="P662" t="n">
        <v>23.46516</v>
      </c>
      <c r="Q662" t="n">
        <v>39.08581</v>
      </c>
      <c r="R662" t="n">
        <v>45.77392</v>
      </c>
      <c r="S662" t="n">
        <v>84.17236</v>
      </c>
      <c r="T662" t="n">
        <v>46.95143</v>
      </c>
      <c r="U662" t="n">
        <v>31.4246</v>
      </c>
      <c r="V662" t="n">
        <v>56.484</v>
      </c>
      <c r="W662" t="n">
        <v>49.34933</v>
      </c>
      <c r="X662" t="n">
        <v>53.08806</v>
      </c>
      <c r="Y662" t="n">
        <v>103.4486</v>
      </c>
      <c r="Z662" t="n">
        <v>39.11385</v>
      </c>
      <c r="AA662" t="n">
        <v>15.08643</v>
      </c>
      <c r="AB662" t="n">
        <v>56.2474</v>
      </c>
      <c r="AC662" t="n">
        <v>22.00918</v>
      </c>
      <c r="AD662" t="n">
        <v>55.7655</v>
      </c>
      <c r="AE662" t="n">
        <v>38.7174</v>
      </c>
    </row>
    <row r="663">
      <c r="A663" s="89" t="n">
        <v>38749</v>
      </c>
      <c r="B663" t="n">
        <v>39.76876</v>
      </c>
      <c r="C663" t="n">
        <v>26.00219</v>
      </c>
      <c r="D663" t="n">
        <v>50.54343</v>
      </c>
      <c r="E663" t="n">
        <v>61.78007</v>
      </c>
      <c r="F663" t="n">
        <v>33.89923</v>
      </c>
      <c r="G663" t="n">
        <v>23.01066</v>
      </c>
      <c r="H663" t="n">
        <v>28.87201</v>
      </c>
      <c r="I663" t="n">
        <v>34.69527</v>
      </c>
      <c r="J663" t="n">
        <v>52.03088</v>
      </c>
      <c r="K663" t="n">
        <v>57.46348</v>
      </c>
      <c r="L663" t="n">
        <v>67.30382</v>
      </c>
      <c r="M663" t="n">
        <v>60.79495</v>
      </c>
      <c r="N663" t="n">
        <v>60.89338</v>
      </c>
      <c r="O663" t="n">
        <v>27.56912</v>
      </c>
      <c r="P663" t="n">
        <v>23.62107</v>
      </c>
      <c r="Q663" t="n">
        <v>39.6841</v>
      </c>
      <c r="R663" t="n">
        <v>45.87243</v>
      </c>
      <c r="S663" t="n">
        <v>84.09056</v>
      </c>
      <c r="T663" t="n">
        <v>47.19278</v>
      </c>
      <c r="U663" t="n">
        <v>31.93121</v>
      </c>
      <c r="V663" t="n">
        <v>56.78859</v>
      </c>
      <c r="W663" t="n">
        <v>49.58443</v>
      </c>
      <c r="X663" t="n">
        <v>53.35781</v>
      </c>
      <c r="Y663" t="n">
        <v>104.1872</v>
      </c>
      <c r="Z663" t="n">
        <v>39.38215</v>
      </c>
      <c r="AA663" t="n">
        <v>15.85897</v>
      </c>
      <c r="AB663" t="n">
        <v>56.631</v>
      </c>
      <c r="AC663" t="n">
        <v>22.30262</v>
      </c>
      <c r="AD663" t="n">
        <v>55.96744</v>
      </c>
      <c r="AE663" t="n">
        <v>39.3684</v>
      </c>
    </row>
    <row r="664">
      <c r="A664" s="89" t="n">
        <v>38777</v>
      </c>
      <c r="B664" t="n">
        <v>40.147</v>
      </c>
      <c r="C664" t="n">
        <v>26.40434</v>
      </c>
      <c r="D664" t="n">
        <v>51.14703</v>
      </c>
      <c r="E664" t="n">
        <v>61.995</v>
      </c>
      <c r="F664" t="n">
        <v>34.2463</v>
      </c>
      <c r="G664" t="n">
        <v>23.24656</v>
      </c>
      <c r="H664" t="n">
        <v>28.87106</v>
      </c>
      <c r="I664" t="n">
        <v>35.53976</v>
      </c>
      <c r="J664" t="n">
        <v>52.26886</v>
      </c>
      <c r="K664" t="n">
        <v>56.268</v>
      </c>
      <c r="L664" t="n">
        <v>67.73878000000001</v>
      </c>
      <c r="M664" t="n">
        <v>62.09473</v>
      </c>
      <c r="N664" t="n">
        <v>62.84426</v>
      </c>
      <c r="O664" t="n">
        <v>27.86011</v>
      </c>
      <c r="P664" t="n">
        <v>24.33838</v>
      </c>
      <c r="Q664" t="n">
        <v>40.24675</v>
      </c>
      <c r="R664" t="n">
        <v>46.69785</v>
      </c>
      <c r="S664" t="n">
        <v>84.06601999999999</v>
      </c>
      <c r="T664" t="n">
        <v>47.41386</v>
      </c>
      <c r="U664" t="n">
        <v>32.95387</v>
      </c>
      <c r="V664" t="n">
        <v>57.41615</v>
      </c>
      <c r="W664" t="n">
        <v>49.84689</v>
      </c>
      <c r="X664" t="n">
        <v>53.74704</v>
      </c>
      <c r="Y664" t="n">
        <v>104.8296</v>
      </c>
      <c r="Z664" t="n">
        <v>39.84482</v>
      </c>
      <c r="AA664" t="n">
        <v>15.72222</v>
      </c>
      <c r="AB664" t="n">
        <v>57.35555</v>
      </c>
      <c r="AC664" t="n">
        <v>22.95119</v>
      </c>
      <c r="AD664" t="n">
        <v>56.08794</v>
      </c>
      <c r="AE664" t="n">
        <v>40.96968</v>
      </c>
    </row>
    <row r="665">
      <c r="A665" s="89" t="n">
        <v>38808</v>
      </c>
      <c r="B665" t="n">
        <v>40.87267</v>
      </c>
      <c r="C665" t="n">
        <v>26.72375</v>
      </c>
      <c r="D665" t="n">
        <v>51.09885</v>
      </c>
      <c r="E665" t="n">
        <v>62.29742</v>
      </c>
      <c r="F665" t="n">
        <v>34.52607</v>
      </c>
      <c r="G665" t="n">
        <v>23.55835</v>
      </c>
      <c r="H665" t="n">
        <v>29.34925</v>
      </c>
      <c r="I665" t="n">
        <v>36.28589</v>
      </c>
      <c r="J665" t="n">
        <v>53.00813</v>
      </c>
      <c r="K665" t="n">
        <v>56.88713</v>
      </c>
      <c r="L665" t="n">
        <v>68.62699000000001</v>
      </c>
      <c r="M665" t="n">
        <v>62.96248</v>
      </c>
      <c r="N665" t="n">
        <v>63.93887</v>
      </c>
      <c r="O665" t="n">
        <v>27.95644</v>
      </c>
      <c r="P665" t="n">
        <v>25.00314</v>
      </c>
      <c r="Q665" t="n">
        <v>40.80737</v>
      </c>
      <c r="R665" t="n">
        <v>47.28976</v>
      </c>
      <c r="S665" t="n">
        <v>84.06601999999999</v>
      </c>
      <c r="T665" t="n">
        <v>47.83747</v>
      </c>
      <c r="U665" t="n">
        <v>34.09891</v>
      </c>
      <c r="V665" t="n">
        <v>58.02592</v>
      </c>
      <c r="W665" t="n">
        <v>50.35183</v>
      </c>
      <c r="X665" t="n">
        <v>54.19272</v>
      </c>
      <c r="Y665" t="n">
        <v>105.3012</v>
      </c>
      <c r="Z665" t="n">
        <v>40.2368</v>
      </c>
      <c r="AA665" t="n">
        <v>16.14274</v>
      </c>
      <c r="AB665" t="n">
        <v>58.52439</v>
      </c>
      <c r="AC665" t="n">
        <v>23.47533</v>
      </c>
      <c r="AD665" t="n">
        <v>56.39625</v>
      </c>
      <c r="AE665" t="n">
        <v>41.95339</v>
      </c>
    </row>
    <row r="666">
      <c r="A666" s="89" t="n">
        <v>38838</v>
      </c>
      <c r="B666" t="n">
        <v>41.391</v>
      </c>
      <c r="C666" t="n">
        <v>27.12502</v>
      </c>
      <c r="D666" t="n">
        <v>51.48289</v>
      </c>
      <c r="E666" t="n">
        <v>62.3433</v>
      </c>
      <c r="F666" t="n">
        <v>34.74778</v>
      </c>
      <c r="G666" t="n">
        <v>23.87524</v>
      </c>
      <c r="H666" t="n">
        <v>30.12034</v>
      </c>
      <c r="I666" t="n">
        <v>36.59206</v>
      </c>
      <c r="J666" t="n">
        <v>53.80474</v>
      </c>
      <c r="K666" t="n">
        <v>57.15881</v>
      </c>
      <c r="L666" t="n">
        <v>69.3781</v>
      </c>
      <c r="M666" t="n">
        <v>62.98257</v>
      </c>
      <c r="N666" t="n">
        <v>63.54609</v>
      </c>
      <c r="O666" t="n">
        <v>28.43944</v>
      </c>
      <c r="P666" t="n">
        <v>25.23626</v>
      </c>
      <c r="Q666" t="n">
        <v>41.33091</v>
      </c>
      <c r="R666" t="n">
        <v>47.55182</v>
      </c>
      <c r="S666" t="n">
        <v>83.90242000000001</v>
      </c>
      <c r="T666" t="n">
        <v>48.35872</v>
      </c>
      <c r="U666" t="n">
        <v>34.68013</v>
      </c>
      <c r="V666" t="n">
        <v>58.56925</v>
      </c>
      <c r="W666" t="n">
        <v>50.90573</v>
      </c>
      <c r="X666" t="n">
        <v>54.47443</v>
      </c>
      <c r="Y666" t="n">
        <v>105.9554</v>
      </c>
      <c r="Z666" t="n">
        <v>40.86657</v>
      </c>
      <c r="AA666" t="n">
        <v>16.55025</v>
      </c>
      <c r="AB666" t="n">
        <v>59.33286</v>
      </c>
      <c r="AC666" t="n">
        <v>24.80253</v>
      </c>
      <c r="AD666" t="n">
        <v>56.45109</v>
      </c>
      <c r="AE666" t="n">
        <v>42.36129</v>
      </c>
    </row>
    <row r="667">
      <c r="A667" s="89" t="n">
        <v>38869</v>
      </c>
      <c r="B667" t="n">
        <v>41.64597</v>
      </c>
      <c r="C667" t="n">
        <v>27.47001</v>
      </c>
      <c r="D667" t="n">
        <v>51.82842</v>
      </c>
      <c r="E667" t="n">
        <v>62.19675</v>
      </c>
      <c r="F667" t="n">
        <v>34.99657</v>
      </c>
      <c r="G667" t="n">
        <v>24.16905</v>
      </c>
      <c r="H667" t="n">
        <v>30.58465</v>
      </c>
      <c r="I667" t="n">
        <v>37.03169</v>
      </c>
      <c r="J667" t="n">
        <v>54.12254</v>
      </c>
      <c r="K667" t="n">
        <v>57.8941</v>
      </c>
      <c r="L667" t="n">
        <v>69.69190999999999</v>
      </c>
      <c r="M667" t="n">
        <v>63.34734</v>
      </c>
      <c r="N667" t="n">
        <v>64.64361</v>
      </c>
      <c r="O667" t="n">
        <v>28.94695</v>
      </c>
      <c r="P667" t="n">
        <v>25.46471</v>
      </c>
      <c r="Q667" t="n">
        <v>41.79917</v>
      </c>
      <c r="R667" t="n">
        <v>47.80096</v>
      </c>
      <c r="S667" t="n">
        <v>83.76336000000001</v>
      </c>
      <c r="T667" t="n">
        <v>48.7938</v>
      </c>
      <c r="U667" t="n">
        <v>34.99825</v>
      </c>
      <c r="V667" t="n">
        <v>59.51934</v>
      </c>
      <c r="W667" t="n">
        <v>51.4488</v>
      </c>
      <c r="X667" t="n">
        <v>54.87127</v>
      </c>
      <c r="Y667" t="n">
        <v>107.2659</v>
      </c>
      <c r="Z667" t="n">
        <v>41.54684</v>
      </c>
      <c r="AA667" t="n">
        <v>16.8702</v>
      </c>
      <c r="AB667" t="n">
        <v>60.55233</v>
      </c>
      <c r="AC667" t="n">
        <v>25.97089</v>
      </c>
      <c r="AD667" t="n">
        <v>56.76688</v>
      </c>
      <c r="AE667" t="n">
        <v>43.06607</v>
      </c>
    </row>
    <row r="668">
      <c r="A668" s="89" t="n">
        <v>38899</v>
      </c>
      <c r="B668" t="n">
        <v>42.0074</v>
      </c>
      <c r="C668" t="n">
        <v>27.66851</v>
      </c>
      <c r="D668" t="n">
        <v>52.1741</v>
      </c>
      <c r="E668" t="n">
        <v>62.58682</v>
      </c>
      <c r="F668" t="n">
        <v>35.15538</v>
      </c>
      <c r="G668" t="n">
        <v>24.42949</v>
      </c>
      <c r="H668" t="n">
        <v>31.31</v>
      </c>
      <c r="I668" t="n">
        <v>37.6278</v>
      </c>
      <c r="J668" t="n">
        <v>54.62064</v>
      </c>
      <c r="K668" t="n">
        <v>58.16055</v>
      </c>
      <c r="L668" t="n">
        <v>69.90904</v>
      </c>
      <c r="M668" t="n">
        <v>64.09335</v>
      </c>
      <c r="N668" t="n">
        <v>65.93983</v>
      </c>
      <c r="O668" t="n">
        <v>28.99599</v>
      </c>
      <c r="P668" t="n">
        <v>25.83794</v>
      </c>
      <c r="Q668" t="n">
        <v>42.30915</v>
      </c>
      <c r="R668" t="n">
        <v>48.18839</v>
      </c>
      <c r="S668" t="n">
        <v>83.59157999999999</v>
      </c>
      <c r="T668" t="n">
        <v>49.21496</v>
      </c>
      <c r="U668" t="n">
        <v>34.98788</v>
      </c>
      <c r="V668" t="n">
        <v>60.23525</v>
      </c>
      <c r="W668" t="n">
        <v>52.07419</v>
      </c>
      <c r="X668" t="n">
        <v>55.14351</v>
      </c>
      <c r="Y668" t="n">
        <v>108.6376</v>
      </c>
      <c r="Z668" t="n">
        <v>42.04191</v>
      </c>
      <c r="AA668" t="n">
        <v>17.71459</v>
      </c>
      <c r="AB668" t="n">
        <v>61.83969</v>
      </c>
      <c r="AC668" t="n">
        <v>25.64908</v>
      </c>
      <c r="AD668" t="n">
        <v>57.11175</v>
      </c>
      <c r="AE668" t="n">
        <v>43.53555</v>
      </c>
    </row>
    <row r="669">
      <c r="A669" s="89" t="n">
        <v>38930</v>
      </c>
      <c r="B669" t="n">
        <v>42.42767</v>
      </c>
      <c r="C669" t="n">
        <v>27.86411</v>
      </c>
      <c r="D669" t="n">
        <v>52.56512</v>
      </c>
      <c r="E669" t="n">
        <v>63.09074</v>
      </c>
      <c r="F669" t="n">
        <v>35.47283</v>
      </c>
      <c r="G669" t="n">
        <v>24.73848</v>
      </c>
      <c r="H669" t="n">
        <v>31.92574</v>
      </c>
      <c r="I669" t="n">
        <v>38.4178</v>
      </c>
      <c r="J669" t="n">
        <v>55.3434</v>
      </c>
      <c r="K669" t="n">
        <v>58.29176</v>
      </c>
      <c r="L669" t="n">
        <v>70.06609</v>
      </c>
      <c r="M669" t="n">
        <v>64.67167999999999</v>
      </c>
      <c r="N669" t="n">
        <v>66.09157</v>
      </c>
      <c r="O669" t="n">
        <v>29.22624</v>
      </c>
      <c r="P669" t="n">
        <v>26.39097</v>
      </c>
      <c r="Q669" t="n">
        <v>42.84776</v>
      </c>
      <c r="R669" t="n">
        <v>48.84156</v>
      </c>
      <c r="S669" t="n">
        <v>83.64066</v>
      </c>
      <c r="T669" t="n">
        <v>49.74785</v>
      </c>
      <c r="U669" t="n">
        <v>34.77387</v>
      </c>
      <c r="V669" t="n">
        <v>60.5854</v>
      </c>
      <c r="W669" t="n">
        <v>52.71755</v>
      </c>
      <c r="X669" t="n">
        <v>55.35653</v>
      </c>
      <c r="Y669" t="n">
        <v>109.3595</v>
      </c>
      <c r="Z669" t="n">
        <v>42.4836</v>
      </c>
      <c r="AA669" t="n">
        <v>18.49716</v>
      </c>
      <c r="AB669" t="n">
        <v>62.5967</v>
      </c>
      <c r="AC669" t="n">
        <v>25.31731</v>
      </c>
      <c r="AD669" t="n">
        <v>57.36771</v>
      </c>
      <c r="AE669" t="n">
        <v>44.13416</v>
      </c>
    </row>
    <row r="670">
      <c r="A670" s="89" t="n">
        <v>38961</v>
      </c>
      <c r="B670" t="n">
        <v>42.83113</v>
      </c>
      <c r="C670" t="n">
        <v>28.1286</v>
      </c>
      <c r="D670" t="n">
        <v>53.17843</v>
      </c>
      <c r="E670" t="n">
        <v>63.14852</v>
      </c>
      <c r="F670" t="n">
        <v>36.16491</v>
      </c>
      <c r="G670" t="n">
        <v>25.05982</v>
      </c>
      <c r="H670" t="n">
        <v>32.07669</v>
      </c>
      <c r="I670" t="n">
        <v>39.43539</v>
      </c>
      <c r="J670" t="n">
        <v>55.63648</v>
      </c>
      <c r="K670" t="n">
        <v>59.13096</v>
      </c>
      <c r="L670" t="n">
        <v>70.66681</v>
      </c>
      <c r="M670" t="n">
        <v>65.55105</v>
      </c>
      <c r="N670" t="n">
        <v>66.29922000000001</v>
      </c>
      <c r="O670" t="n">
        <v>29.57489</v>
      </c>
      <c r="P670" t="n">
        <v>26.89985</v>
      </c>
      <c r="Q670" t="n">
        <v>43.38371</v>
      </c>
      <c r="R670" t="n">
        <v>49.4216</v>
      </c>
      <c r="S670" t="n">
        <v>83.76336000000001</v>
      </c>
      <c r="T670" t="n">
        <v>50.1917</v>
      </c>
      <c r="U670" t="n">
        <v>35.02473</v>
      </c>
      <c r="V670" t="n">
        <v>61.32104</v>
      </c>
      <c r="W670" t="n">
        <v>53.09537</v>
      </c>
      <c r="X670" t="n">
        <v>55.70098</v>
      </c>
      <c r="Y670" t="n">
        <v>109.9776</v>
      </c>
      <c r="Z670" t="n">
        <v>43.12127</v>
      </c>
      <c r="AA670" t="n">
        <v>18.83364</v>
      </c>
      <c r="AB670" t="n">
        <v>63.12055</v>
      </c>
      <c r="AC670" t="n">
        <v>25.60769</v>
      </c>
      <c r="AD670" t="n">
        <v>57.59374</v>
      </c>
      <c r="AE670" t="n">
        <v>44.68154</v>
      </c>
    </row>
    <row r="671">
      <c r="A671" s="89" t="n">
        <v>38991</v>
      </c>
      <c r="B671" t="n">
        <v>43.2598</v>
      </c>
      <c r="C671" t="n">
        <v>28.50843</v>
      </c>
      <c r="D671" t="n">
        <v>53.51119</v>
      </c>
      <c r="E671" t="n">
        <v>63.35387</v>
      </c>
      <c r="F671" t="n">
        <v>36.53931</v>
      </c>
      <c r="G671" t="n">
        <v>25.39048</v>
      </c>
      <c r="H671" t="n">
        <v>32.26503</v>
      </c>
      <c r="I671" t="n">
        <v>40.38107</v>
      </c>
      <c r="J671" t="n">
        <v>56.0471</v>
      </c>
      <c r="K671" t="n">
        <v>60.1908</v>
      </c>
      <c r="L671" t="n">
        <v>71.26898</v>
      </c>
      <c r="M671" t="n">
        <v>66.58246</v>
      </c>
      <c r="N671" t="n">
        <v>66.35254</v>
      </c>
      <c r="O671" t="n">
        <v>30.05068</v>
      </c>
      <c r="P671" t="n">
        <v>27.16799</v>
      </c>
      <c r="Q671" t="n">
        <v>44.0172</v>
      </c>
      <c r="R671" t="n">
        <v>49.88865</v>
      </c>
      <c r="S671" t="n">
        <v>83.71428</v>
      </c>
      <c r="T671" t="n">
        <v>50.54417</v>
      </c>
      <c r="U671" t="n">
        <v>35.02005</v>
      </c>
      <c r="V671" t="n">
        <v>61.93491</v>
      </c>
      <c r="W671" t="n">
        <v>53.25428</v>
      </c>
      <c r="X671" t="n">
        <v>56.07665</v>
      </c>
      <c r="Y671" t="n">
        <v>110.9206</v>
      </c>
      <c r="Z671" t="n">
        <v>43.80297</v>
      </c>
      <c r="AA671" t="n">
        <v>19.59855</v>
      </c>
      <c r="AB671" t="n">
        <v>63.23695</v>
      </c>
      <c r="AC671" t="n">
        <v>25.93095</v>
      </c>
      <c r="AD671" t="n">
        <v>58.00094</v>
      </c>
      <c r="AE671" t="n">
        <v>45.44887</v>
      </c>
    </row>
    <row r="672">
      <c r="A672" s="89" t="n">
        <v>39022</v>
      </c>
      <c r="B672" t="n">
        <v>43.66046</v>
      </c>
      <c r="C672" t="n">
        <v>28.99385</v>
      </c>
      <c r="D672" t="n">
        <v>53.93261</v>
      </c>
      <c r="E672" t="n">
        <v>63.44649</v>
      </c>
      <c r="F672" t="n">
        <v>36.63592</v>
      </c>
      <c r="G672" t="n">
        <v>25.75198</v>
      </c>
      <c r="H672" t="n">
        <v>32.84153</v>
      </c>
      <c r="I672" t="n">
        <v>41.33162</v>
      </c>
      <c r="J672" t="n">
        <v>56.87092</v>
      </c>
      <c r="K672" t="n">
        <v>60.92974</v>
      </c>
      <c r="L672" t="n">
        <v>71.66408</v>
      </c>
      <c r="M672" t="n">
        <v>67.16222</v>
      </c>
      <c r="N672" t="n">
        <v>66.58273</v>
      </c>
      <c r="O672" t="n">
        <v>30.50355</v>
      </c>
      <c r="P672" t="n">
        <v>27.4556</v>
      </c>
      <c r="Q672" t="n">
        <v>44.85639</v>
      </c>
      <c r="R672" t="n">
        <v>50.32433</v>
      </c>
      <c r="S672" t="n">
        <v>83.77972</v>
      </c>
      <c r="T672" t="n">
        <v>51.05559</v>
      </c>
      <c r="U672" t="n">
        <v>35.20051</v>
      </c>
      <c r="V672" t="n">
        <v>62.53189</v>
      </c>
      <c r="W672" t="n">
        <v>54.01063</v>
      </c>
      <c r="X672" t="n">
        <v>56.38651</v>
      </c>
      <c r="Y672" t="n">
        <v>112.1428</v>
      </c>
      <c r="Z672" t="n">
        <v>44.4305</v>
      </c>
      <c r="AA672" t="n">
        <v>20.25907</v>
      </c>
      <c r="AB672" t="n">
        <v>63.32087</v>
      </c>
      <c r="AC672" t="n">
        <v>26.16482</v>
      </c>
      <c r="AD672" t="n">
        <v>58.29014</v>
      </c>
      <c r="AE672" t="n">
        <v>46.46239</v>
      </c>
    </row>
    <row r="673">
      <c r="A673" s="89" t="n">
        <v>39052</v>
      </c>
      <c r="B673" t="n">
        <v>44.07232</v>
      </c>
      <c r="C673" t="n">
        <v>29.38512</v>
      </c>
      <c r="D673" t="n">
        <v>54.53502</v>
      </c>
      <c r="E673" t="n">
        <v>63.49689</v>
      </c>
      <c r="F673" t="n">
        <v>37.06504</v>
      </c>
      <c r="G673" t="n">
        <v>26.11119</v>
      </c>
      <c r="H673" t="n">
        <v>33.23326</v>
      </c>
      <c r="I673" t="n">
        <v>42.01093</v>
      </c>
      <c r="J673" t="n">
        <v>57.66341</v>
      </c>
      <c r="K673" t="n">
        <v>61.26351</v>
      </c>
      <c r="L673" t="n">
        <v>72.76393</v>
      </c>
      <c r="M673" t="n">
        <v>67.85536</v>
      </c>
      <c r="N673" t="n">
        <v>67.15464</v>
      </c>
      <c r="O673" t="n">
        <v>30.81024</v>
      </c>
      <c r="P673" t="n">
        <v>27.88753</v>
      </c>
      <c r="Q673" t="n">
        <v>45.8675</v>
      </c>
      <c r="R673" t="n">
        <v>51.03526</v>
      </c>
      <c r="S673" t="n">
        <v>83.80426</v>
      </c>
      <c r="T673" t="n">
        <v>51.51584</v>
      </c>
      <c r="U673" t="n">
        <v>35.96661</v>
      </c>
      <c r="V673" t="n">
        <v>63.53942</v>
      </c>
      <c r="W673" t="n">
        <v>54.55961</v>
      </c>
      <c r="X673" t="n">
        <v>56.83804</v>
      </c>
      <c r="Y673" t="n">
        <v>113.2091</v>
      </c>
      <c r="Z673" t="n">
        <v>45.07062</v>
      </c>
      <c r="AA673" t="n">
        <v>19.97931</v>
      </c>
      <c r="AB673" t="n">
        <v>63.89422</v>
      </c>
      <c r="AC673" t="n">
        <v>26.64478</v>
      </c>
      <c r="AD673" t="n">
        <v>58.64914</v>
      </c>
      <c r="AE673" t="n">
        <v>47.08674</v>
      </c>
    </row>
    <row r="674">
      <c r="A674" s="89" t="n">
        <v>39083</v>
      </c>
      <c r="B674" t="n">
        <v>44.52061</v>
      </c>
      <c r="C674" t="n">
        <v>29.81321</v>
      </c>
      <c r="D674" t="n">
        <v>54.89435</v>
      </c>
      <c r="E674" t="n">
        <v>63.76263</v>
      </c>
      <c r="F674" t="n">
        <v>37.64894</v>
      </c>
      <c r="G674" t="n">
        <v>26.43659</v>
      </c>
      <c r="H674" t="n">
        <v>33.28036</v>
      </c>
      <c r="I674" t="n">
        <v>42.50452</v>
      </c>
      <c r="J674" t="n">
        <v>58.57141</v>
      </c>
      <c r="K674" t="n">
        <v>61.66805</v>
      </c>
      <c r="L674" t="n">
        <v>73.68704</v>
      </c>
      <c r="M674" t="n">
        <v>68.50405000000001</v>
      </c>
      <c r="N674" t="n">
        <v>67.6507</v>
      </c>
      <c r="O674" t="n">
        <v>31.17442</v>
      </c>
      <c r="P674" t="n">
        <v>28.2892</v>
      </c>
      <c r="Q674" t="n">
        <v>47.02999</v>
      </c>
      <c r="R674" t="n">
        <v>51.7294</v>
      </c>
      <c r="S674" t="n">
        <v>83.8288</v>
      </c>
      <c r="T674" t="n">
        <v>51.7408</v>
      </c>
      <c r="U674" t="n">
        <v>36.14719</v>
      </c>
      <c r="V674" t="n">
        <v>64.40199</v>
      </c>
      <c r="W674" t="n">
        <v>54.86212</v>
      </c>
      <c r="X674" t="n">
        <v>57.21997</v>
      </c>
      <c r="Y674" t="n">
        <v>114.1861</v>
      </c>
      <c r="Z674" t="n">
        <v>45.93355</v>
      </c>
      <c r="AA674" t="n">
        <v>21.08495</v>
      </c>
      <c r="AB674" t="n">
        <v>65.05459999999999</v>
      </c>
      <c r="AC674" t="n">
        <v>27.17323</v>
      </c>
      <c r="AD674" t="n">
        <v>58.96492</v>
      </c>
      <c r="AE674" t="n">
        <v>47.41708</v>
      </c>
    </row>
    <row r="675">
      <c r="A675" s="89" t="n">
        <v>39114</v>
      </c>
      <c r="B675" t="n">
        <v>45.16222</v>
      </c>
      <c r="C675" t="n">
        <v>30.29605</v>
      </c>
      <c r="D675" t="n">
        <v>55.23326</v>
      </c>
      <c r="E675" t="n">
        <v>63.91803</v>
      </c>
      <c r="F675" t="n">
        <v>38.18285</v>
      </c>
      <c r="G675" t="n">
        <v>26.87182</v>
      </c>
      <c r="H675" t="n">
        <v>33.75066</v>
      </c>
      <c r="I675" t="n">
        <v>43.26563</v>
      </c>
      <c r="J675" t="n">
        <v>59.30701</v>
      </c>
      <c r="K675" t="n">
        <v>62.37133</v>
      </c>
      <c r="L675" t="n">
        <v>73.94446000000001</v>
      </c>
      <c r="M675" t="n">
        <v>69.00194999999999</v>
      </c>
      <c r="N675" t="n">
        <v>67.99538</v>
      </c>
      <c r="O675" t="n">
        <v>31.5383</v>
      </c>
      <c r="P675" t="n">
        <v>28.77255</v>
      </c>
      <c r="Q675" t="n">
        <v>48.37229</v>
      </c>
      <c r="R675" t="n">
        <v>52.20829</v>
      </c>
      <c r="S675" t="n">
        <v>83.81244</v>
      </c>
      <c r="T675" t="n">
        <v>52.03909</v>
      </c>
      <c r="U675" t="n">
        <v>36.06145</v>
      </c>
      <c r="V675" t="n">
        <v>65.21198</v>
      </c>
      <c r="W675" t="n">
        <v>55.56318</v>
      </c>
      <c r="X675" t="n">
        <v>57.44868</v>
      </c>
      <c r="Y675" t="n">
        <v>114.9958</v>
      </c>
      <c r="Z675" t="n">
        <v>46.63795</v>
      </c>
      <c r="AA675" t="n">
        <v>22.26294</v>
      </c>
      <c r="AB675" t="n">
        <v>66.16</v>
      </c>
      <c r="AC675" t="n">
        <v>27.58206</v>
      </c>
      <c r="AD675" t="n">
        <v>59.09623</v>
      </c>
      <c r="AE675" t="n">
        <v>48.35196</v>
      </c>
    </row>
    <row r="676">
      <c r="A676" s="89" t="n">
        <v>39142</v>
      </c>
      <c r="B676" t="n">
        <v>45.94673</v>
      </c>
      <c r="C676" t="n">
        <v>30.54947</v>
      </c>
      <c r="D676" t="n">
        <v>55.92814</v>
      </c>
      <c r="E676" t="n">
        <v>63.79586</v>
      </c>
      <c r="F676" t="n">
        <v>38.67466</v>
      </c>
      <c r="G676" t="n">
        <v>27.28619</v>
      </c>
      <c r="H676" t="n">
        <v>35.00224</v>
      </c>
      <c r="I676" t="n">
        <v>44.30909</v>
      </c>
      <c r="J676" t="n">
        <v>59.77803</v>
      </c>
      <c r="K676" t="n">
        <v>63.36587</v>
      </c>
      <c r="L676" t="n">
        <v>74.83857999999999</v>
      </c>
      <c r="M676" t="n">
        <v>69.84031</v>
      </c>
      <c r="N676" t="n">
        <v>68.32219000000001</v>
      </c>
      <c r="O676" t="n">
        <v>31.92796</v>
      </c>
      <c r="P676" t="n">
        <v>29.65061</v>
      </c>
      <c r="Q676" t="n">
        <v>49.96592</v>
      </c>
      <c r="R676" t="n">
        <v>52.52686</v>
      </c>
      <c r="S676" t="n">
        <v>83.86971</v>
      </c>
      <c r="T676" t="n">
        <v>52.37684</v>
      </c>
      <c r="U676" t="n">
        <v>36.56516</v>
      </c>
      <c r="V676" t="n">
        <v>66.67928000000001</v>
      </c>
      <c r="W676" t="n">
        <v>56.12113</v>
      </c>
      <c r="X676" t="n">
        <v>57.82818</v>
      </c>
      <c r="Y676" t="n">
        <v>115.9797</v>
      </c>
      <c r="Z676" t="n">
        <v>46.97087</v>
      </c>
      <c r="AA676" t="n">
        <v>22.25819</v>
      </c>
      <c r="AB676" t="n">
        <v>66.90176</v>
      </c>
      <c r="AC676" t="n">
        <v>27.86996</v>
      </c>
      <c r="AD676" t="n">
        <v>59.37711</v>
      </c>
      <c r="AE676" t="n">
        <v>49.80399</v>
      </c>
    </row>
    <row r="677">
      <c r="A677" s="89" t="n">
        <v>39173</v>
      </c>
      <c r="B677" t="n">
        <v>46.64438</v>
      </c>
      <c r="C677" t="n">
        <v>31.03602</v>
      </c>
      <c r="D677" t="n">
        <v>56.26189</v>
      </c>
      <c r="E677" t="n">
        <v>63.68486</v>
      </c>
      <c r="F677" t="n">
        <v>39.03443</v>
      </c>
      <c r="G677" t="n">
        <v>27.57543</v>
      </c>
      <c r="H677" t="n">
        <v>35.91614</v>
      </c>
      <c r="I677" t="n">
        <v>44.94453</v>
      </c>
      <c r="J677" t="n">
        <v>60.85343</v>
      </c>
      <c r="K677" t="n">
        <v>63.76192</v>
      </c>
      <c r="L677" t="n">
        <v>75.87625</v>
      </c>
      <c r="M677" t="n">
        <v>70.67076</v>
      </c>
      <c r="N677" t="n">
        <v>68.58163</v>
      </c>
      <c r="O677" t="n">
        <v>32.26581</v>
      </c>
      <c r="P677" t="n">
        <v>30.16648</v>
      </c>
      <c r="Q677" t="n">
        <v>51.80834</v>
      </c>
      <c r="R677" t="n">
        <v>52.84549</v>
      </c>
      <c r="S677" t="n">
        <v>83.91879</v>
      </c>
      <c r="T677" t="n">
        <v>52.77962</v>
      </c>
      <c r="U677" t="n">
        <v>36.67766</v>
      </c>
      <c r="V677" t="n">
        <v>67.27422</v>
      </c>
      <c r="W677" t="n">
        <v>56.93914</v>
      </c>
      <c r="X677" t="n">
        <v>58.30146</v>
      </c>
      <c r="Y677" t="n">
        <v>117.247</v>
      </c>
      <c r="Z677" t="n">
        <v>47.43393</v>
      </c>
      <c r="AA677" t="n">
        <v>23.40075</v>
      </c>
      <c r="AB677" t="n">
        <v>67.52734</v>
      </c>
      <c r="AC677" t="n">
        <v>28.21742</v>
      </c>
      <c r="AD677" t="n">
        <v>59.97794</v>
      </c>
      <c r="AE677" t="n">
        <v>50.81475</v>
      </c>
    </row>
    <row r="678">
      <c r="A678" s="89" t="n">
        <v>39203</v>
      </c>
      <c r="B678" t="n">
        <v>47.22715</v>
      </c>
      <c r="C678" t="n">
        <v>31.62911</v>
      </c>
      <c r="D678" t="n">
        <v>56.75015</v>
      </c>
      <c r="E678" t="n">
        <v>63.74327</v>
      </c>
      <c r="F678" t="n">
        <v>39.42802</v>
      </c>
      <c r="G678" t="n">
        <v>27.89254</v>
      </c>
      <c r="H678" t="n">
        <v>36.43916</v>
      </c>
      <c r="I678" t="n">
        <v>45.13071</v>
      </c>
      <c r="J678" t="n">
        <v>62.24747</v>
      </c>
      <c r="K678" t="n">
        <v>63.84542</v>
      </c>
      <c r="L678" t="n">
        <v>76.59356</v>
      </c>
      <c r="M678" t="n">
        <v>71.79752000000001</v>
      </c>
      <c r="N678" t="n">
        <v>68.94047</v>
      </c>
      <c r="O678" t="n">
        <v>32.47444</v>
      </c>
      <c r="P678" t="n">
        <v>30.2391</v>
      </c>
      <c r="Q678" t="n">
        <v>53.67901</v>
      </c>
      <c r="R678" t="n">
        <v>53.19137</v>
      </c>
      <c r="S678" t="n">
        <v>83.93514</v>
      </c>
      <c r="T678" t="n">
        <v>53.35363</v>
      </c>
      <c r="U678" t="n">
        <v>36.80132</v>
      </c>
      <c r="V678" t="n">
        <v>67.85336</v>
      </c>
      <c r="W678" t="n">
        <v>57.64344</v>
      </c>
      <c r="X678" t="n">
        <v>58.58654</v>
      </c>
      <c r="Y678" t="n">
        <v>117.9687</v>
      </c>
      <c r="Z678" t="n">
        <v>47.78672</v>
      </c>
      <c r="AA678" t="n">
        <v>24.50895</v>
      </c>
      <c r="AB678" t="n">
        <v>68.17231</v>
      </c>
      <c r="AC678" t="n">
        <v>28.75617</v>
      </c>
      <c r="AD678" t="n">
        <v>60.09095</v>
      </c>
      <c r="AE678" t="n">
        <v>51.80145</v>
      </c>
    </row>
    <row r="679">
      <c r="A679" s="89" t="n">
        <v>39234</v>
      </c>
      <c r="B679" t="n">
        <v>48.0817</v>
      </c>
      <c r="C679" t="n">
        <v>32.08001</v>
      </c>
      <c r="D679" t="n">
        <v>57.09614</v>
      </c>
      <c r="E679" t="n">
        <v>63.79593</v>
      </c>
      <c r="F679" t="n">
        <v>39.95502</v>
      </c>
      <c r="G679" t="n">
        <v>28.22035</v>
      </c>
      <c r="H679" t="n">
        <v>36.5073</v>
      </c>
      <c r="I679" t="n">
        <v>45.97916</v>
      </c>
      <c r="J679" t="n">
        <v>62.69596</v>
      </c>
      <c r="K679" t="n">
        <v>64.89478</v>
      </c>
      <c r="L679" t="n">
        <v>77.3759</v>
      </c>
      <c r="M679" t="n">
        <v>72.83745</v>
      </c>
      <c r="N679" t="n">
        <v>69.86812</v>
      </c>
      <c r="O679" t="n">
        <v>32.99313</v>
      </c>
      <c r="P679" t="n">
        <v>30.80192</v>
      </c>
      <c r="Q679" t="n">
        <v>55.58387</v>
      </c>
      <c r="R679" t="n">
        <v>53.67646</v>
      </c>
      <c r="S679" t="n">
        <v>84.00058</v>
      </c>
      <c r="T679" t="n">
        <v>53.80017</v>
      </c>
      <c r="U679" t="n">
        <v>37.25092</v>
      </c>
      <c r="V679" t="n">
        <v>69.26748000000001</v>
      </c>
      <c r="W679" t="n">
        <v>57.96732</v>
      </c>
      <c r="X679" t="n">
        <v>58.99444</v>
      </c>
      <c r="Y679" t="n">
        <v>118.4835</v>
      </c>
      <c r="Z679" t="n">
        <v>47.96987</v>
      </c>
      <c r="AA679" t="n">
        <v>25.32121</v>
      </c>
      <c r="AB679" t="n">
        <v>68.99571</v>
      </c>
      <c r="AC679" t="n">
        <v>29.29412</v>
      </c>
      <c r="AD679" t="n">
        <v>60.36685</v>
      </c>
      <c r="AE679" t="n">
        <v>52.86995</v>
      </c>
    </row>
    <row r="680">
      <c r="A680" s="89" t="n">
        <v>39264</v>
      </c>
      <c r="B680" t="n">
        <v>49.02871</v>
      </c>
      <c r="C680" t="n">
        <v>32.11861</v>
      </c>
      <c r="D680" t="n">
        <v>57.72806</v>
      </c>
      <c r="E680" t="n">
        <v>63.77201</v>
      </c>
      <c r="F680" t="n">
        <v>40.54895</v>
      </c>
      <c r="G680" t="n">
        <v>28.70885</v>
      </c>
      <c r="H680" t="n">
        <v>36.73118</v>
      </c>
      <c r="I680" t="n">
        <v>46.75602</v>
      </c>
      <c r="J680" t="n">
        <v>63.09424</v>
      </c>
      <c r="K680" t="n">
        <v>66.21314</v>
      </c>
      <c r="L680" t="n">
        <v>77.99592</v>
      </c>
      <c r="M680" t="n">
        <v>73.67422000000001</v>
      </c>
      <c r="N680" t="n">
        <v>70.82602</v>
      </c>
      <c r="O680" t="n">
        <v>33.82523</v>
      </c>
      <c r="P680" t="n">
        <v>31.54329</v>
      </c>
      <c r="Q680" t="n">
        <v>57.63438</v>
      </c>
      <c r="R680" t="n">
        <v>54.65708</v>
      </c>
      <c r="S680" t="n">
        <v>83.9924</v>
      </c>
      <c r="T680" t="n">
        <v>54.1781</v>
      </c>
      <c r="U680" t="n">
        <v>37.35649</v>
      </c>
      <c r="V680" t="n">
        <v>70.15107999999999</v>
      </c>
      <c r="W680" t="n">
        <v>58.31068</v>
      </c>
      <c r="X680" t="n">
        <v>59.35427</v>
      </c>
      <c r="Y680" t="n">
        <v>119.0472</v>
      </c>
      <c r="Z680" t="n">
        <v>48.46305</v>
      </c>
      <c r="AA680" t="n">
        <v>26.2644</v>
      </c>
      <c r="AB680" t="n">
        <v>69.62703999999999</v>
      </c>
      <c r="AC680" t="n">
        <v>29.79032</v>
      </c>
      <c r="AD680" t="n">
        <v>60.61865</v>
      </c>
      <c r="AE680" t="n">
        <v>53.78811</v>
      </c>
    </row>
    <row r="681">
      <c r="A681" s="89" t="n">
        <v>39295</v>
      </c>
      <c r="B681" t="n">
        <v>49.85244</v>
      </c>
      <c r="C681" t="n">
        <v>31.97478</v>
      </c>
      <c r="D681" t="n">
        <v>58.7952</v>
      </c>
      <c r="E681" t="n">
        <v>63.60555</v>
      </c>
      <c r="F681" t="n">
        <v>41.01163</v>
      </c>
      <c r="G681" t="n">
        <v>29.2167</v>
      </c>
      <c r="H681" t="n">
        <v>37.05768</v>
      </c>
      <c r="I681" t="n">
        <v>47.48323</v>
      </c>
      <c r="J681" t="n">
        <v>63.85078</v>
      </c>
      <c r="K681" t="n">
        <v>67.42412</v>
      </c>
      <c r="L681" t="n">
        <v>78.28655999999999</v>
      </c>
      <c r="M681" t="n">
        <v>74.38779</v>
      </c>
      <c r="N681" t="n">
        <v>71.76617</v>
      </c>
      <c r="O681" t="n">
        <v>34.36432</v>
      </c>
      <c r="P681" t="n">
        <v>32.06529</v>
      </c>
      <c r="Q681" t="n">
        <v>59.66856</v>
      </c>
      <c r="R681" t="n">
        <v>54.99132</v>
      </c>
      <c r="S681" t="n">
        <v>83.87788</v>
      </c>
      <c r="T681" t="n">
        <v>54.60852</v>
      </c>
      <c r="U681" t="n">
        <v>38.26392</v>
      </c>
      <c r="V681" t="n">
        <v>70.95419</v>
      </c>
      <c r="W681" t="n">
        <v>58.54468</v>
      </c>
      <c r="X681" t="n">
        <v>59.95628</v>
      </c>
      <c r="Y681" t="n">
        <v>119.9195</v>
      </c>
      <c r="Z681" t="n">
        <v>49.24147</v>
      </c>
      <c r="AA681" t="n">
        <v>26.74291</v>
      </c>
      <c r="AB681" t="n">
        <v>70.86176</v>
      </c>
      <c r="AC681" t="n">
        <v>30.18801</v>
      </c>
      <c r="AD681" t="n">
        <v>61.25355</v>
      </c>
      <c r="AE681" t="n">
        <v>55.00612</v>
      </c>
    </row>
    <row r="682">
      <c r="A682" s="89" t="n">
        <v>39326</v>
      </c>
      <c r="B682" t="n">
        <v>50.76583</v>
      </c>
      <c r="C682" t="n">
        <v>32.40228</v>
      </c>
      <c r="D682" t="n">
        <v>59.88525</v>
      </c>
      <c r="E682" t="n">
        <v>63.85312</v>
      </c>
      <c r="F682" t="n">
        <v>41.26574</v>
      </c>
      <c r="G682" t="n">
        <v>29.65757</v>
      </c>
      <c r="H682" t="n">
        <v>37.62594</v>
      </c>
      <c r="I682" t="n">
        <v>48.5725</v>
      </c>
      <c r="J682" t="n">
        <v>63.97276</v>
      </c>
      <c r="K682" t="n">
        <v>68.35054</v>
      </c>
      <c r="L682" t="n">
        <v>78.74498</v>
      </c>
      <c r="M682" t="n">
        <v>74.88289</v>
      </c>
      <c r="N682" t="n">
        <v>72.73639</v>
      </c>
      <c r="O682" t="n">
        <v>34.66786</v>
      </c>
      <c r="P682" t="n">
        <v>32.65668</v>
      </c>
      <c r="Q682" t="n">
        <v>61.7862</v>
      </c>
      <c r="R682" t="n">
        <v>55.01742</v>
      </c>
      <c r="S682" t="n">
        <v>83.96786</v>
      </c>
      <c r="T682" t="n">
        <v>55.33115</v>
      </c>
      <c r="U682" t="n">
        <v>39.2056</v>
      </c>
      <c r="V682" t="n">
        <v>71.82214999999999</v>
      </c>
      <c r="W682" t="n">
        <v>59.132</v>
      </c>
      <c r="X682" t="n">
        <v>60.31775</v>
      </c>
      <c r="Y682" t="n">
        <v>120.9993</v>
      </c>
      <c r="Z682" t="n">
        <v>49.73889</v>
      </c>
      <c r="AA682" t="n">
        <v>27.16187</v>
      </c>
      <c r="AB682" t="n">
        <v>72.91373</v>
      </c>
      <c r="AC682" t="n">
        <v>30.19838</v>
      </c>
      <c r="AD682" t="n">
        <v>61.40563</v>
      </c>
      <c r="AE682" t="n">
        <v>55.89518</v>
      </c>
    </row>
    <row r="683">
      <c r="A683" s="89" t="n">
        <v>39356</v>
      </c>
      <c r="B683" t="n">
        <v>51.86974</v>
      </c>
      <c r="C683" t="n">
        <v>33.05077</v>
      </c>
      <c r="D683" t="n">
        <v>59.93198</v>
      </c>
      <c r="E683" t="n">
        <v>64.20243000000001</v>
      </c>
      <c r="F683" t="n">
        <v>41.62795</v>
      </c>
      <c r="G683" t="n">
        <v>30.12945</v>
      </c>
      <c r="H683" t="n">
        <v>38.68802</v>
      </c>
      <c r="I683" t="n">
        <v>49.40294</v>
      </c>
      <c r="J683" t="n">
        <v>64.39105000000001</v>
      </c>
      <c r="K683" t="n">
        <v>68.83432000000001</v>
      </c>
      <c r="L683" t="n">
        <v>79.67031</v>
      </c>
      <c r="M683" t="n">
        <v>74.95572</v>
      </c>
      <c r="N683" t="n">
        <v>73.88423</v>
      </c>
      <c r="O683" t="n">
        <v>34.96779</v>
      </c>
      <c r="P683" t="n">
        <v>33.28186</v>
      </c>
      <c r="Q683" t="n">
        <v>64.06158000000001</v>
      </c>
      <c r="R683" t="n">
        <v>55.23437</v>
      </c>
      <c r="S683" t="n">
        <v>84.1969</v>
      </c>
      <c r="T683" t="n">
        <v>55.92478</v>
      </c>
      <c r="U683" t="n">
        <v>39.36834</v>
      </c>
      <c r="V683" t="n">
        <v>72.58450000000001</v>
      </c>
      <c r="W683" t="n">
        <v>59.86744</v>
      </c>
      <c r="X683" t="n">
        <v>60.5467</v>
      </c>
      <c r="Y683" t="n">
        <v>122.1496</v>
      </c>
      <c r="Z683" t="n">
        <v>50.05168</v>
      </c>
      <c r="AA683" t="n">
        <v>28.15908</v>
      </c>
      <c r="AB683" t="n">
        <v>74.87245</v>
      </c>
      <c r="AC683" t="n">
        <v>30.14376</v>
      </c>
      <c r="AD683" t="n">
        <v>61.51865</v>
      </c>
      <c r="AE683" t="n">
        <v>56.37413</v>
      </c>
    </row>
    <row r="684">
      <c r="A684" s="89" t="n">
        <v>39387</v>
      </c>
      <c r="B684" t="n">
        <v>53.26223</v>
      </c>
      <c r="C684" t="n">
        <v>33.80826</v>
      </c>
      <c r="D684" t="n">
        <v>60.72529</v>
      </c>
      <c r="E684" t="n">
        <v>64.42367</v>
      </c>
      <c r="F684" t="n">
        <v>42.27697</v>
      </c>
      <c r="G684" t="n">
        <v>30.57164</v>
      </c>
      <c r="H684" t="n">
        <v>39.21164</v>
      </c>
      <c r="I684" t="n">
        <v>50.0669</v>
      </c>
      <c r="J684" t="n">
        <v>65.69898000000001</v>
      </c>
      <c r="K684" t="n">
        <v>69.55422</v>
      </c>
      <c r="L684" t="n">
        <v>80.6054</v>
      </c>
      <c r="M684" t="n">
        <v>75.22763</v>
      </c>
      <c r="N684" t="n">
        <v>74.44974999999999</v>
      </c>
      <c r="O684" t="n">
        <v>35.35355</v>
      </c>
      <c r="P684" t="n">
        <v>33.84077</v>
      </c>
      <c r="Q684" t="n">
        <v>66.1571</v>
      </c>
      <c r="R684" t="n">
        <v>54.91092</v>
      </c>
      <c r="S684" t="n">
        <v>84.29506000000001</v>
      </c>
      <c r="T684" t="n">
        <v>56.38583</v>
      </c>
      <c r="U684" t="n">
        <v>39.87521</v>
      </c>
      <c r="V684" t="n">
        <v>72.82599</v>
      </c>
      <c r="W684" t="n">
        <v>60.21325</v>
      </c>
      <c r="X684" t="n">
        <v>60.90486</v>
      </c>
      <c r="Y684" t="n">
        <v>123.1004</v>
      </c>
      <c r="Z684" t="n">
        <v>50.55756</v>
      </c>
      <c r="AA684" t="n">
        <v>28.78284</v>
      </c>
      <c r="AB684" t="n">
        <v>76.27435</v>
      </c>
      <c r="AC684" t="n">
        <v>30.36072</v>
      </c>
      <c r="AD684" t="n">
        <v>61.7264</v>
      </c>
      <c r="AE684" t="n">
        <v>57.29534</v>
      </c>
    </row>
    <row r="685">
      <c r="A685" s="89" t="n">
        <v>39417</v>
      </c>
      <c r="B685" t="n">
        <v>54.19803</v>
      </c>
      <c r="C685" t="n">
        <v>34.40837</v>
      </c>
      <c r="D685" t="n">
        <v>61.19318</v>
      </c>
      <c r="E685" t="n">
        <v>64.83496</v>
      </c>
      <c r="F685" t="n">
        <v>42.95092</v>
      </c>
      <c r="G685" t="n">
        <v>30.78556</v>
      </c>
      <c r="H685" t="n">
        <v>39.40509</v>
      </c>
      <c r="I685" t="n">
        <v>50.6063</v>
      </c>
      <c r="J685" t="n">
        <v>67.01763</v>
      </c>
      <c r="K685" t="n">
        <v>71.0359</v>
      </c>
      <c r="L685" t="n">
        <v>81.50771</v>
      </c>
      <c r="M685" t="n">
        <v>76.37967999999999</v>
      </c>
      <c r="N685" t="n">
        <v>74.56712</v>
      </c>
      <c r="O685" t="n">
        <v>36.25617</v>
      </c>
      <c r="P685" t="n">
        <v>34.40535</v>
      </c>
      <c r="Q685" t="n">
        <v>68.10549</v>
      </c>
      <c r="R685" t="n">
        <v>54.98573</v>
      </c>
      <c r="S685" t="n">
        <v>84.40141</v>
      </c>
      <c r="T685" t="n">
        <v>57.17385</v>
      </c>
      <c r="U685" t="n">
        <v>40.27956</v>
      </c>
      <c r="V685" t="n">
        <v>73.80409</v>
      </c>
      <c r="W685" t="n">
        <v>60.70097</v>
      </c>
      <c r="X685" t="n">
        <v>61.31174</v>
      </c>
      <c r="Y685" t="n">
        <v>123.2865</v>
      </c>
      <c r="Z685" t="n">
        <v>51.10683</v>
      </c>
      <c r="AA685" t="n">
        <v>28.32732</v>
      </c>
      <c r="AB685" t="n">
        <v>76.52672</v>
      </c>
      <c r="AC685" t="n">
        <v>30.78401</v>
      </c>
      <c r="AD685" t="n">
        <v>61.97737</v>
      </c>
      <c r="AE685" t="n">
        <v>58.35704</v>
      </c>
    </row>
    <row r="686">
      <c r="A686" s="89" t="n">
        <v>39448</v>
      </c>
      <c r="B686" t="n">
        <v>54.80602</v>
      </c>
      <c r="C686" t="n">
        <v>34.76044</v>
      </c>
      <c r="D686" t="n">
        <v>61.87938</v>
      </c>
      <c r="E686" t="n">
        <v>64.96939</v>
      </c>
      <c r="F686" t="n">
        <v>43.46892</v>
      </c>
      <c r="G686" t="n">
        <v>31.19441</v>
      </c>
      <c r="H686" t="n">
        <v>39.67368</v>
      </c>
      <c r="I686" t="n">
        <v>52.47565</v>
      </c>
      <c r="J686" t="n">
        <v>67.82338</v>
      </c>
      <c r="K686" t="n">
        <v>72.26685000000001</v>
      </c>
      <c r="L686" t="n">
        <v>82.41399</v>
      </c>
      <c r="M686" t="n">
        <v>78.34461</v>
      </c>
      <c r="N686" t="n">
        <v>75.07669</v>
      </c>
      <c r="O686" t="n">
        <v>36.76052</v>
      </c>
      <c r="P686" t="n">
        <v>34.97416</v>
      </c>
      <c r="Q686" t="n">
        <v>70.05381</v>
      </c>
      <c r="R686" t="n">
        <v>55.34694</v>
      </c>
      <c r="S686" t="n">
        <v>84.45865999999999</v>
      </c>
      <c r="T686" t="n">
        <v>57.90243</v>
      </c>
      <c r="U686" t="n">
        <v>40.80426</v>
      </c>
      <c r="V686" t="n">
        <v>72.66973</v>
      </c>
      <c r="W686" t="n">
        <v>61.48307</v>
      </c>
      <c r="X686" t="n">
        <v>61.78341</v>
      </c>
      <c r="Y686" t="n">
        <v>123.5086</v>
      </c>
      <c r="Z686" t="n">
        <v>51.88093</v>
      </c>
      <c r="AA686" t="n">
        <v>29.82514</v>
      </c>
      <c r="AB686" t="n">
        <v>75.6069</v>
      </c>
      <c r="AC686" t="n">
        <v>31.3584</v>
      </c>
      <c r="AD686" t="n">
        <v>62.25825</v>
      </c>
      <c r="AE686" t="n">
        <v>59.05143</v>
      </c>
    </row>
    <row r="687">
      <c r="A687" s="89" t="n">
        <v>39479</v>
      </c>
      <c r="B687" t="n">
        <v>55.37199</v>
      </c>
      <c r="C687" t="n">
        <v>35.18402</v>
      </c>
      <c r="D687" t="n">
        <v>61.9578</v>
      </c>
      <c r="E687" t="n">
        <v>64.90051</v>
      </c>
      <c r="F687" t="n">
        <v>43.89572</v>
      </c>
      <c r="G687" t="n">
        <v>31.74262</v>
      </c>
      <c r="H687" t="n">
        <v>40.01821</v>
      </c>
      <c r="I687" t="n">
        <v>54.65532</v>
      </c>
      <c r="J687" t="n">
        <v>68.17534000000001</v>
      </c>
      <c r="K687" t="n">
        <v>74.40993</v>
      </c>
      <c r="L687" t="n">
        <v>82.95396</v>
      </c>
      <c r="M687" t="n">
        <v>79.94494</v>
      </c>
      <c r="N687" t="n">
        <v>76.73627</v>
      </c>
      <c r="O687" t="n">
        <v>36.86916</v>
      </c>
      <c r="P687" t="n">
        <v>35.61239</v>
      </c>
      <c r="Q687" t="n">
        <v>71.93932</v>
      </c>
      <c r="R687" t="n">
        <v>55.61774</v>
      </c>
      <c r="S687" t="n">
        <v>84.5241</v>
      </c>
      <c r="T687" t="n">
        <v>58.47639</v>
      </c>
      <c r="U687" t="n">
        <v>41.46519</v>
      </c>
      <c r="V687" t="n">
        <v>70.71384999999999</v>
      </c>
      <c r="W687" t="n">
        <v>61.65698</v>
      </c>
      <c r="X687" t="n">
        <v>62.40972</v>
      </c>
      <c r="Y687" t="n">
        <v>124.1704</v>
      </c>
      <c r="Z687" t="n">
        <v>52.71478</v>
      </c>
      <c r="AA687" t="n">
        <v>31.41817</v>
      </c>
      <c r="AB687" t="n">
        <v>75.2496</v>
      </c>
      <c r="AC687" t="n">
        <v>31.98899</v>
      </c>
      <c r="AD687" t="n">
        <v>62.96212</v>
      </c>
      <c r="AE687" t="n">
        <v>59.61623</v>
      </c>
    </row>
    <row r="688">
      <c r="A688" s="89" t="n">
        <v>39508</v>
      </c>
      <c r="B688" t="n">
        <v>55.85109</v>
      </c>
      <c r="C688" t="n">
        <v>35.56773</v>
      </c>
      <c r="D688" t="n">
        <v>62.95381</v>
      </c>
      <c r="E688" t="n">
        <v>65.15141</v>
      </c>
      <c r="F688" t="n">
        <v>44.26728</v>
      </c>
      <c r="G688" t="n">
        <v>31.83541</v>
      </c>
      <c r="H688" t="n">
        <v>40.22941</v>
      </c>
      <c r="I688" t="n">
        <v>55.51954</v>
      </c>
      <c r="J688" t="n">
        <v>68.43114</v>
      </c>
      <c r="K688" t="n">
        <v>75.56547</v>
      </c>
      <c r="L688" t="n">
        <v>83.38482999999999</v>
      </c>
      <c r="M688" t="n">
        <v>80.88705</v>
      </c>
      <c r="N688" t="n">
        <v>78.11915</v>
      </c>
      <c r="O688" t="n">
        <v>37.09291</v>
      </c>
      <c r="P688" t="n">
        <v>36.30758</v>
      </c>
      <c r="Q688" t="n">
        <v>73.63397999999999</v>
      </c>
      <c r="R688" t="n">
        <v>56.00849</v>
      </c>
      <c r="S688" t="n">
        <v>84.51591999999999</v>
      </c>
      <c r="T688" t="n">
        <v>59.30584</v>
      </c>
      <c r="U688" t="n">
        <v>41.62394</v>
      </c>
      <c r="V688" t="n">
        <v>71.06209</v>
      </c>
      <c r="W688" t="n">
        <v>62.06397</v>
      </c>
      <c r="X688" t="n">
        <v>62.96068</v>
      </c>
      <c r="Y688" t="n">
        <v>124.8982</v>
      </c>
      <c r="Z688" t="n">
        <v>53.27646</v>
      </c>
      <c r="AA688" t="n">
        <v>31.43699</v>
      </c>
      <c r="AB688" t="n">
        <v>76.11665000000001</v>
      </c>
      <c r="AC688" t="n">
        <v>33.13153</v>
      </c>
      <c r="AD688" t="n">
        <v>63.5106</v>
      </c>
      <c r="AE688" t="n">
        <v>60.48509</v>
      </c>
    </row>
    <row r="689">
      <c r="A689" s="89" t="n">
        <v>39539</v>
      </c>
      <c r="B689" t="n">
        <v>56.43106</v>
      </c>
      <c r="C689" t="n">
        <v>36.27118</v>
      </c>
      <c r="D689" t="n">
        <v>63.48312</v>
      </c>
      <c r="E689" t="n">
        <v>65.77785</v>
      </c>
      <c r="F689" t="n">
        <v>44.82008</v>
      </c>
      <c r="G689" t="n">
        <v>32.07791</v>
      </c>
      <c r="H689" t="n">
        <v>40.93081</v>
      </c>
      <c r="I689" t="n">
        <v>56.56812</v>
      </c>
      <c r="J689" t="n">
        <v>69.00036</v>
      </c>
      <c r="K689" t="n">
        <v>75.25105000000001</v>
      </c>
      <c r="L689" t="n">
        <v>84.16901</v>
      </c>
      <c r="M689" t="n">
        <v>81.68571</v>
      </c>
      <c r="N689" t="n">
        <v>78.17489999999999</v>
      </c>
      <c r="O689" t="n">
        <v>37.38252</v>
      </c>
      <c r="P689" t="n">
        <v>36.73304</v>
      </c>
      <c r="Q689" t="n">
        <v>75.22147</v>
      </c>
      <c r="R689" t="n">
        <v>56.3</v>
      </c>
      <c r="S689" t="n">
        <v>84.33596</v>
      </c>
      <c r="T689" t="n">
        <v>59.96529</v>
      </c>
      <c r="U689" t="n">
        <v>42.04082</v>
      </c>
      <c r="V689" t="n">
        <v>71.38760000000001</v>
      </c>
      <c r="W689" t="n">
        <v>62.62004</v>
      </c>
      <c r="X689" t="n">
        <v>63.40919</v>
      </c>
      <c r="Y689" t="n">
        <v>125.7686</v>
      </c>
      <c r="Z689" t="n">
        <v>54.21083</v>
      </c>
      <c r="AA689" t="n">
        <v>32.13888</v>
      </c>
      <c r="AB689" t="n">
        <v>77.6349</v>
      </c>
      <c r="AC689" t="n">
        <v>34.12496</v>
      </c>
      <c r="AD689" t="n">
        <v>63.86544</v>
      </c>
      <c r="AE689" t="n">
        <v>61.63878</v>
      </c>
    </row>
    <row r="690">
      <c r="A690" s="89" t="n">
        <v>39569</v>
      </c>
      <c r="B690" t="n">
        <v>56.84853</v>
      </c>
      <c r="C690" t="n">
        <v>37.16027</v>
      </c>
      <c r="D690" t="n">
        <v>64.28837</v>
      </c>
      <c r="E690" t="n">
        <v>65.86243</v>
      </c>
      <c r="F690" t="n">
        <v>45.60155</v>
      </c>
      <c r="G690" t="n">
        <v>32.69492</v>
      </c>
      <c r="H690" t="n">
        <v>41.40051</v>
      </c>
      <c r="I690" t="n">
        <v>57.84844</v>
      </c>
      <c r="J690" t="n">
        <v>69.97266</v>
      </c>
      <c r="K690" t="n">
        <v>76.00723000000001</v>
      </c>
      <c r="L690" t="n">
        <v>85.03422999999999</v>
      </c>
      <c r="M690" t="n">
        <v>81.95632000000001</v>
      </c>
      <c r="N690" t="n">
        <v>77.54361</v>
      </c>
      <c r="O690" t="n">
        <v>38.00879</v>
      </c>
      <c r="P690" t="n">
        <v>37.1142</v>
      </c>
      <c r="Q690" t="n">
        <v>77.15434999999999</v>
      </c>
      <c r="R690" t="n">
        <v>56.48254</v>
      </c>
      <c r="S690" t="n">
        <v>84.49139</v>
      </c>
      <c r="T690" t="n">
        <v>59.99627</v>
      </c>
      <c r="U690" t="n">
        <v>42.74259</v>
      </c>
      <c r="V690" t="n">
        <v>71.42364999999999</v>
      </c>
      <c r="W690" t="n">
        <v>62.87851</v>
      </c>
      <c r="X690" t="n">
        <v>63.67787</v>
      </c>
      <c r="Y690" t="n">
        <v>127.4284</v>
      </c>
      <c r="Z690" t="n">
        <v>55.02856</v>
      </c>
      <c r="AA690" t="n">
        <v>32.36335</v>
      </c>
      <c r="AB690" t="n">
        <v>78.36812999999999</v>
      </c>
      <c r="AC690" t="n">
        <v>34.10747</v>
      </c>
      <c r="AD690" t="n">
        <v>63.96433</v>
      </c>
      <c r="AE690" t="n">
        <v>62.70821</v>
      </c>
    </row>
    <row r="691">
      <c r="A691" s="89" t="n">
        <v>39600</v>
      </c>
      <c r="B691" t="n">
        <v>57.49015</v>
      </c>
      <c r="C691" t="n">
        <v>37.70818</v>
      </c>
      <c r="D691" t="n">
        <v>65.00481000000001</v>
      </c>
      <c r="E691" t="n">
        <v>65.3366</v>
      </c>
      <c r="F691" t="n">
        <v>46.42059</v>
      </c>
      <c r="G691" t="n">
        <v>33.1325</v>
      </c>
      <c r="H691" t="n">
        <v>41.49889</v>
      </c>
      <c r="I691" t="n">
        <v>58.44315</v>
      </c>
      <c r="J691" t="n">
        <v>70.13713</v>
      </c>
      <c r="K691" t="n">
        <v>76.09008</v>
      </c>
      <c r="L691" t="n">
        <v>85.52795</v>
      </c>
      <c r="M691" t="n">
        <v>82.27979999999999</v>
      </c>
      <c r="N691" t="n">
        <v>76.36042</v>
      </c>
      <c r="O691" t="n">
        <v>38.71209</v>
      </c>
      <c r="P691" t="n">
        <v>37.70275</v>
      </c>
      <c r="Q691" t="n">
        <v>79.34676</v>
      </c>
      <c r="R691" t="n">
        <v>56.92803</v>
      </c>
      <c r="S691" t="n">
        <v>84.70406</v>
      </c>
      <c r="T691" t="n">
        <v>60.09268</v>
      </c>
      <c r="U691" t="n">
        <v>43.06432</v>
      </c>
      <c r="V691" t="n">
        <v>71.43337</v>
      </c>
      <c r="W691" t="n">
        <v>63.65556</v>
      </c>
      <c r="X691" t="n">
        <v>63.88198</v>
      </c>
      <c r="Y691" t="n">
        <v>128.893</v>
      </c>
      <c r="Z691" t="n">
        <v>55.58471</v>
      </c>
      <c r="AA691" t="n">
        <v>32.56598</v>
      </c>
      <c r="AB691" t="n">
        <v>77.32256</v>
      </c>
      <c r="AC691" t="n">
        <v>34.16924</v>
      </c>
      <c r="AD691" t="n">
        <v>64.10975999999999</v>
      </c>
      <c r="AE691" t="n">
        <v>63.61203</v>
      </c>
    </row>
    <row r="692">
      <c r="A692" s="89" t="n">
        <v>39630</v>
      </c>
      <c r="B692" t="n">
        <v>58.63048</v>
      </c>
      <c r="C692" t="n">
        <v>38.33638</v>
      </c>
      <c r="D692" t="n">
        <v>65.18491</v>
      </c>
      <c r="E692" t="n">
        <v>64.90881</v>
      </c>
      <c r="F692" t="n">
        <v>47.14602</v>
      </c>
      <c r="G692" t="n">
        <v>33.48122</v>
      </c>
      <c r="H692" t="n">
        <v>41.96177</v>
      </c>
      <c r="I692" t="n">
        <v>59.16756</v>
      </c>
      <c r="J692" t="n">
        <v>70.63339999999999</v>
      </c>
      <c r="K692" t="n">
        <v>76.08338999999999</v>
      </c>
      <c r="L692" t="n">
        <v>85.7555</v>
      </c>
      <c r="M692" t="n">
        <v>82.54355</v>
      </c>
      <c r="N692" t="n">
        <v>77.29581</v>
      </c>
      <c r="O692" t="n">
        <v>39.12234</v>
      </c>
      <c r="P692" t="n">
        <v>38.07385</v>
      </c>
      <c r="Q692" t="n">
        <v>81.38454</v>
      </c>
      <c r="R692" t="n">
        <v>57.63057</v>
      </c>
      <c r="S692" t="n">
        <v>84.63043999999999</v>
      </c>
      <c r="T692" t="n">
        <v>60.57026</v>
      </c>
      <c r="U692" t="n">
        <v>43.57814</v>
      </c>
      <c r="V692" t="n">
        <v>71.63021999999999</v>
      </c>
      <c r="W692" t="n">
        <v>64.20903</v>
      </c>
      <c r="X692" t="n">
        <v>64.24744</v>
      </c>
      <c r="Y692" t="n">
        <v>129.8598</v>
      </c>
      <c r="Z692" t="n">
        <v>56.54437</v>
      </c>
      <c r="AA692" t="n">
        <v>33.78038</v>
      </c>
      <c r="AB692" t="n">
        <v>77.42921</v>
      </c>
      <c r="AC692" t="n">
        <v>34.64274</v>
      </c>
      <c r="AD692" t="n">
        <v>64.49535</v>
      </c>
      <c r="AE692" t="n">
        <v>64.28708</v>
      </c>
    </row>
    <row r="693">
      <c r="A693" s="89" t="n">
        <v>39661</v>
      </c>
      <c r="B693" t="n">
        <v>59.57749</v>
      </c>
      <c r="C693" t="n">
        <v>39.11838</v>
      </c>
      <c r="D693" t="n">
        <v>65.57284</v>
      </c>
      <c r="E693" t="n">
        <v>64.89881</v>
      </c>
      <c r="F693" t="n">
        <v>47.96604</v>
      </c>
      <c r="G693" t="n">
        <v>33.90731</v>
      </c>
      <c r="H693" t="n">
        <v>42.71848</v>
      </c>
      <c r="I693" t="n">
        <v>59.95597</v>
      </c>
      <c r="J693" t="n">
        <v>71.88742999999999</v>
      </c>
      <c r="K693" t="n">
        <v>76.34856000000001</v>
      </c>
      <c r="L693" t="n">
        <v>86.01993</v>
      </c>
      <c r="M693" t="n">
        <v>83.18098999999999</v>
      </c>
      <c r="N693" t="n">
        <v>78.29087</v>
      </c>
      <c r="O693" t="n">
        <v>39.02028</v>
      </c>
      <c r="P693" t="n">
        <v>38.6682</v>
      </c>
      <c r="Q693" t="n">
        <v>83.35777</v>
      </c>
      <c r="R693" t="n">
        <v>58.26452</v>
      </c>
      <c r="S693" t="n">
        <v>84.72042</v>
      </c>
      <c r="T693" t="n">
        <v>61.01454</v>
      </c>
      <c r="U693" t="n">
        <v>44.08302</v>
      </c>
      <c r="V693" t="n">
        <v>72.06294</v>
      </c>
      <c r="W693" t="n">
        <v>64.68434999999999</v>
      </c>
      <c r="X693" t="n">
        <v>64.54977</v>
      </c>
      <c r="Y693" t="n">
        <v>130.8133</v>
      </c>
      <c r="Z693" t="n">
        <v>57.54346</v>
      </c>
      <c r="AA693" t="n">
        <v>34.5262</v>
      </c>
      <c r="AB693" t="n">
        <v>78.19653</v>
      </c>
      <c r="AC693" t="n">
        <v>34.80141</v>
      </c>
      <c r="AD693" t="n">
        <v>64.62</v>
      </c>
      <c r="AE693" t="n">
        <v>64.58768999999999</v>
      </c>
    </row>
    <row r="694">
      <c r="A694" s="89" t="n">
        <v>39692</v>
      </c>
      <c r="B694" t="n">
        <v>60.47967</v>
      </c>
      <c r="C694" t="n">
        <v>39.64909</v>
      </c>
      <c r="D694" t="n">
        <v>65.98618999999999</v>
      </c>
      <c r="E694" t="n">
        <v>65.06104000000001</v>
      </c>
      <c r="F694" t="n">
        <v>48.94841</v>
      </c>
      <c r="G694" t="n">
        <v>34.2948</v>
      </c>
      <c r="H694" t="n">
        <v>43.73521</v>
      </c>
      <c r="I694" t="n">
        <v>60.23797</v>
      </c>
      <c r="J694" t="n">
        <v>72.44374999999999</v>
      </c>
      <c r="K694" t="n">
        <v>76.35550000000001</v>
      </c>
      <c r="L694" t="n">
        <v>86.44452</v>
      </c>
      <c r="M694" t="n">
        <v>83.61496</v>
      </c>
      <c r="N694" t="n">
        <v>78.33847</v>
      </c>
      <c r="O694" t="n">
        <v>39.88288</v>
      </c>
      <c r="P694" t="n">
        <v>39.34351</v>
      </c>
      <c r="Q694" t="n">
        <v>85.1036</v>
      </c>
      <c r="R694" t="n">
        <v>58.74342</v>
      </c>
      <c r="S694" t="n">
        <v>84.74496000000001</v>
      </c>
      <c r="T694" t="n">
        <v>61.39409</v>
      </c>
      <c r="U694" t="n">
        <v>44.23081</v>
      </c>
      <c r="V694" t="n">
        <v>72.54066</v>
      </c>
      <c r="W694" t="n">
        <v>65.16446999999999</v>
      </c>
      <c r="X694" t="n">
        <v>65.02542</v>
      </c>
      <c r="Y694" t="n">
        <v>132.5417</v>
      </c>
      <c r="Z694" t="n">
        <v>58.25437</v>
      </c>
      <c r="AA694" t="n">
        <v>34.96066</v>
      </c>
      <c r="AB694" t="n">
        <v>77.58879</v>
      </c>
      <c r="AC694" t="n">
        <v>35.52542</v>
      </c>
      <c r="AD694" t="n">
        <v>65.20089</v>
      </c>
      <c r="AE694" t="n">
        <v>65.02370000000001</v>
      </c>
    </row>
    <row r="695">
      <c r="A695" s="89" t="n">
        <v>39722</v>
      </c>
      <c r="B695" t="n">
        <v>61.41827</v>
      </c>
      <c r="C695" t="n">
        <v>39.98919</v>
      </c>
      <c r="D695" t="n">
        <v>66.43382</v>
      </c>
      <c r="E695" t="n">
        <v>65.25466</v>
      </c>
      <c r="F695" t="n">
        <v>49.96867</v>
      </c>
      <c r="G695" t="n">
        <v>34.72466</v>
      </c>
      <c r="H695" t="n">
        <v>44.48665</v>
      </c>
      <c r="I695" t="n">
        <v>60.53001</v>
      </c>
      <c r="J695" t="n">
        <v>73.06119</v>
      </c>
      <c r="K695" t="n">
        <v>78.05504999999999</v>
      </c>
      <c r="L695" t="n">
        <v>87.35617000000001</v>
      </c>
      <c r="M695" t="n">
        <v>85.23215999999999</v>
      </c>
      <c r="N695" t="n">
        <v>79.19490999999999</v>
      </c>
      <c r="O695" t="n">
        <v>41.23006</v>
      </c>
      <c r="P695" t="n">
        <v>39.96434</v>
      </c>
      <c r="Q695" t="n">
        <v>86.43982</v>
      </c>
      <c r="R695" t="n">
        <v>59.62511</v>
      </c>
      <c r="S695" t="n">
        <v>84.6468</v>
      </c>
      <c r="T695" t="n">
        <v>61.7024</v>
      </c>
      <c r="U695" t="n">
        <v>44.43873</v>
      </c>
      <c r="V695" t="n">
        <v>72.88709</v>
      </c>
      <c r="W695" t="n">
        <v>65.6572</v>
      </c>
      <c r="X695" t="n">
        <v>65.78032</v>
      </c>
      <c r="Y695" t="n">
        <v>133.8674</v>
      </c>
      <c r="Z695" t="n">
        <v>58.75585</v>
      </c>
      <c r="AA695" t="n">
        <v>35.73093</v>
      </c>
      <c r="AB695" t="n">
        <v>76.96893</v>
      </c>
      <c r="AC695" t="n">
        <v>37.01697</v>
      </c>
      <c r="AD695" t="n">
        <v>66.09922</v>
      </c>
      <c r="AE695" t="n">
        <v>65.77712</v>
      </c>
    </row>
    <row r="696">
      <c r="A696" s="89" t="n">
        <v>39753</v>
      </c>
      <c r="B696" t="n">
        <v>62.54179</v>
      </c>
      <c r="C696" t="n">
        <v>40.45795</v>
      </c>
      <c r="D696" t="n">
        <v>66.81258</v>
      </c>
      <c r="E696" t="n">
        <v>65.65764</v>
      </c>
      <c r="F696" t="n">
        <v>50.70549</v>
      </c>
      <c r="G696" t="n">
        <v>35.16728</v>
      </c>
      <c r="H696" t="n">
        <v>44.91517</v>
      </c>
      <c r="I696" t="n">
        <v>60.8586</v>
      </c>
      <c r="J696" t="n">
        <v>74.20063</v>
      </c>
      <c r="K696" t="n">
        <v>80.1621</v>
      </c>
      <c r="L696" t="n">
        <v>88.15111</v>
      </c>
      <c r="M696" t="n">
        <v>88.03027</v>
      </c>
      <c r="N696" t="n">
        <v>79.82326999999999</v>
      </c>
      <c r="O696" t="n">
        <v>41.94718</v>
      </c>
      <c r="P696" t="n">
        <v>40.56256</v>
      </c>
      <c r="Q696" t="n">
        <v>87.78527</v>
      </c>
      <c r="R696" t="n">
        <v>60.86394</v>
      </c>
      <c r="S696" t="n">
        <v>84.83495000000001</v>
      </c>
      <c r="T696" t="n">
        <v>61.68712</v>
      </c>
      <c r="U696" t="n">
        <v>44.74079</v>
      </c>
      <c r="V696" t="n">
        <v>73.17501</v>
      </c>
      <c r="W696" t="n">
        <v>66.32666</v>
      </c>
      <c r="X696" t="n">
        <v>66.39895</v>
      </c>
      <c r="Y696" t="n">
        <v>133.1754</v>
      </c>
      <c r="Z696" t="n">
        <v>59.516</v>
      </c>
      <c r="AA696" t="n">
        <v>35.16283</v>
      </c>
      <c r="AB696" t="n">
        <v>76.75702</v>
      </c>
      <c r="AC696" t="n">
        <v>38.01305</v>
      </c>
      <c r="AD696" t="n">
        <v>66.51971</v>
      </c>
      <c r="AE696" t="n">
        <v>66.78907</v>
      </c>
    </row>
    <row r="697">
      <c r="A697" s="89" t="n">
        <v>39783</v>
      </c>
      <c r="B697" t="n">
        <v>63.3235</v>
      </c>
      <c r="C697" t="n">
        <v>40.84689</v>
      </c>
      <c r="D697" t="n">
        <v>66.87726000000001</v>
      </c>
      <c r="E697" t="n">
        <v>66.13540999999999</v>
      </c>
      <c r="F697" t="n">
        <v>51.00905</v>
      </c>
      <c r="G697" t="n">
        <v>35.84981</v>
      </c>
      <c r="H697" t="n">
        <v>45.76857</v>
      </c>
      <c r="I697" t="n">
        <v>61.6545</v>
      </c>
      <c r="J697" t="n">
        <v>76.01403999999999</v>
      </c>
      <c r="K697" t="n">
        <v>78.92831</v>
      </c>
      <c r="L697" t="n">
        <v>88.61053</v>
      </c>
      <c r="M697" t="n">
        <v>89.89230000000001</v>
      </c>
      <c r="N697" t="n">
        <v>80.35459</v>
      </c>
      <c r="O697" t="n">
        <v>42.31047</v>
      </c>
      <c r="P697" t="n">
        <v>41.13558</v>
      </c>
      <c r="Q697" t="n">
        <v>89.18861</v>
      </c>
      <c r="R697" t="n">
        <v>61.81121</v>
      </c>
      <c r="S697" t="n">
        <v>85.04761999999999</v>
      </c>
      <c r="T697" t="n">
        <v>62.04603</v>
      </c>
      <c r="U697" t="n">
        <v>45.57988</v>
      </c>
      <c r="V697" t="n">
        <v>73.43273000000001</v>
      </c>
      <c r="W697" t="n">
        <v>66.49405</v>
      </c>
      <c r="X697" t="n">
        <v>67.41777</v>
      </c>
      <c r="Y697" t="n">
        <v>133.1031</v>
      </c>
      <c r="Z697" t="n">
        <v>60.38609</v>
      </c>
      <c r="AA697" t="n">
        <v>33.24617</v>
      </c>
      <c r="AB697" t="n">
        <v>77.92988</v>
      </c>
      <c r="AC697" t="n">
        <v>38.51681</v>
      </c>
      <c r="AD697" t="n">
        <v>67.98563</v>
      </c>
      <c r="AE697" t="n">
        <v>67.21013000000001</v>
      </c>
    </row>
    <row r="698">
      <c r="A698" s="89" t="n">
        <v>39814</v>
      </c>
      <c r="B698" t="n">
        <v>63.76058</v>
      </c>
      <c r="C698" t="n">
        <v>41.17428</v>
      </c>
      <c r="D698" t="n">
        <v>66.68929</v>
      </c>
      <c r="E698" t="n">
        <v>66.68916</v>
      </c>
      <c r="F698" t="n">
        <v>51.08314</v>
      </c>
      <c r="G698" t="n">
        <v>36.93256</v>
      </c>
      <c r="H698" t="n">
        <v>46.64316</v>
      </c>
      <c r="I698" t="n">
        <v>62.82634</v>
      </c>
      <c r="J698" t="n">
        <v>77.45556000000001</v>
      </c>
      <c r="K698" t="n">
        <v>78.80119000000001</v>
      </c>
      <c r="L698" t="n">
        <v>88.76407</v>
      </c>
      <c r="M698" t="n">
        <v>91.39529</v>
      </c>
      <c r="N698" t="n">
        <v>81.90575</v>
      </c>
      <c r="O698" t="n">
        <v>42.64483</v>
      </c>
      <c r="P698" t="n">
        <v>41.97978</v>
      </c>
      <c r="Q698" t="n">
        <v>90.44477000000001</v>
      </c>
      <c r="R698" t="n">
        <v>62.94055</v>
      </c>
      <c r="S698" t="n">
        <v>85.26351</v>
      </c>
      <c r="T698" t="n">
        <v>62.90812</v>
      </c>
      <c r="U698" t="n">
        <v>46.61365</v>
      </c>
      <c r="V698" t="n">
        <v>73.70043</v>
      </c>
      <c r="W698" t="n">
        <v>65.95818</v>
      </c>
      <c r="X698" t="n">
        <v>68.06959999999999</v>
      </c>
      <c r="Y698" t="n">
        <v>67.58573</v>
      </c>
      <c r="Z698" t="n">
        <v>61.16327</v>
      </c>
      <c r="AA698" t="n">
        <v>34.10499</v>
      </c>
      <c r="AB698" t="n">
        <v>79.14561999999999</v>
      </c>
      <c r="AC698" t="n">
        <v>39.1078</v>
      </c>
      <c r="AD698" t="n">
        <v>68.66208</v>
      </c>
      <c r="AE698" t="n">
        <v>67.21889</v>
      </c>
    </row>
    <row r="699">
      <c r="A699" s="89" t="n">
        <v>39845</v>
      </c>
      <c r="B699" t="n">
        <v>64.68237000000001</v>
      </c>
      <c r="C699" t="n">
        <v>41.64017</v>
      </c>
      <c r="D699" t="n">
        <v>66.24384000000001</v>
      </c>
      <c r="E699" t="n">
        <v>67.28407</v>
      </c>
      <c r="F699" t="n">
        <v>51.13172</v>
      </c>
      <c r="G699" t="n">
        <v>37.97604</v>
      </c>
      <c r="H699" t="n">
        <v>47.23162</v>
      </c>
      <c r="I699" t="n">
        <v>63.57494</v>
      </c>
      <c r="J699" t="n">
        <v>77.84271</v>
      </c>
      <c r="K699" t="n">
        <v>80.5073</v>
      </c>
      <c r="L699" t="n">
        <v>88.71982</v>
      </c>
      <c r="M699" t="n">
        <v>92.2272</v>
      </c>
      <c r="N699" t="n">
        <v>83.60845</v>
      </c>
      <c r="O699" t="n">
        <v>43.4848</v>
      </c>
      <c r="P699" t="n">
        <v>42.79417</v>
      </c>
      <c r="Q699" t="n">
        <v>91.63162</v>
      </c>
      <c r="R699" t="n">
        <v>64.46615</v>
      </c>
      <c r="S699" t="n">
        <v>85.52857</v>
      </c>
      <c r="T699" t="n">
        <v>63.47322</v>
      </c>
      <c r="U699" t="n">
        <v>47.35182</v>
      </c>
      <c r="V699" t="n">
        <v>73.81196</v>
      </c>
      <c r="W699" t="n">
        <v>65.92345</v>
      </c>
      <c r="X699" t="n">
        <v>68.49504</v>
      </c>
      <c r="Y699" t="n">
        <v>68.40107</v>
      </c>
      <c r="Z699" t="n">
        <v>62.03027</v>
      </c>
      <c r="AA699" t="n">
        <v>35.63834</v>
      </c>
      <c r="AB699" t="n">
        <v>79.52621000000001</v>
      </c>
      <c r="AC699" t="n">
        <v>39.9133</v>
      </c>
      <c r="AD699" t="n">
        <v>68.90474</v>
      </c>
      <c r="AE699" t="n">
        <v>67.69996999999999</v>
      </c>
    </row>
    <row r="700">
      <c r="A700" s="89" t="n">
        <v>39873</v>
      </c>
      <c r="B700" t="n">
        <v>64.60392</v>
      </c>
      <c r="C700" t="n">
        <v>41.92271</v>
      </c>
      <c r="D700" t="n">
        <v>66.31652</v>
      </c>
      <c r="E700" t="n">
        <v>67.79197000000001</v>
      </c>
      <c r="F700" t="n">
        <v>51.19895</v>
      </c>
      <c r="G700" t="n">
        <v>39.08728</v>
      </c>
      <c r="H700" t="n">
        <v>47.63451</v>
      </c>
      <c r="I700" t="n">
        <v>64.24084000000001</v>
      </c>
      <c r="J700" t="n">
        <v>77.60903</v>
      </c>
      <c r="K700" t="n">
        <v>80.21089000000001</v>
      </c>
      <c r="L700" t="n">
        <v>88.75162</v>
      </c>
      <c r="M700" t="n">
        <v>92.21751</v>
      </c>
      <c r="N700" t="n">
        <v>84.55446000000001</v>
      </c>
      <c r="O700" t="n">
        <v>44.22987</v>
      </c>
      <c r="P700" t="n">
        <v>43.48389</v>
      </c>
      <c r="Q700" t="n">
        <v>92.79858</v>
      </c>
      <c r="R700" t="n">
        <v>65.33920999999999</v>
      </c>
      <c r="S700" t="n">
        <v>85.62985</v>
      </c>
      <c r="T700" t="n">
        <v>63.75685</v>
      </c>
      <c r="U700" t="n">
        <v>47.61078</v>
      </c>
      <c r="V700" t="n">
        <v>74.07075</v>
      </c>
      <c r="W700" t="n">
        <v>66.08954</v>
      </c>
      <c r="X700" t="n">
        <v>68.87591999999999</v>
      </c>
      <c r="Y700" t="n">
        <v>68.69132999999999</v>
      </c>
      <c r="Z700" t="n">
        <v>62.67338</v>
      </c>
      <c r="AA700" t="n">
        <v>35.25073</v>
      </c>
      <c r="AB700" t="n">
        <v>79.50556</v>
      </c>
      <c r="AC700" t="n">
        <v>40.34041</v>
      </c>
      <c r="AD700" t="n">
        <v>69.45321</v>
      </c>
      <c r="AE700" t="n">
        <v>67.77309</v>
      </c>
    </row>
    <row r="701">
      <c r="A701" s="89" t="n">
        <v>39904</v>
      </c>
      <c r="B701" t="n">
        <v>64.53667</v>
      </c>
      <c r="C701" t="n">
        <v>42.43177</v>
      </c>
      <c r="D701" t="n">
        <v>66.5265</v>
      </c>
      <c r="E701" t="n">
        <v>68.23269000000001</v>
      </c>
      <c r="F701" t="n">
        <v>51.20411</v>
      </c>
      <c r="G701" t="n">
        <v>40.23365</v>
      </c>
      <c r="H701" t="n">
        <v>47.64648</v>
      </c>
      <c r="I701" t="n">
        <v>64.94674999999999</v>
      </c>
      <c r="J701" t="n">
        <v>77.53395</v>
      </c>
      <c r="K701" t="n">
        <v>80.40585</v>
      </c>
      <c r="L701" t="n">
        <v>89.10889</v>
      </c>
      <c r="M701" t="n">
        <v>91.5779</v>
      </c>
      <c r="N701" t="n">
        <v>85.31792</v>
      </c>
      <c r="O701" t="n">
        <v>44.60753</v>
      </c>
      <c r="P701" t="n">
        <v>44.24037</v>
      </c>
      <c r="Q701" t="n">
        <v>93.752</v>
      </c>
      <c r="R701" t="n">
        <v>65.47681</v>
      </c>
      <c r="S701" t="n">
        <v>85.75909</v>
      </c>
      <c r="T701" t="n">
        <v>64.13160999999999</v>
      </c>
      <c r="U701" t="n">
        <v>47.66989</v>
      </c>
      <c r="V701" t="n">
        <v>74.1596</v>
      </c>
      <c r="W701" t="n">
        <v>65.85120000000001</v>
      </c>
      <c r="X701" t="n">
        <v>68.90257</v>
      </c>
      <c r="Y701" t="n">
        <v>68.56044</v>
      </c>
      <c r="Z701" t="n">
        <v>62.88032</v>
      </c>
      <c r="AA701" t="n">
        <v>35.32672</v>
      </c>
      <c r="AB701" t="n">
        <v>79.37859</v>
      </c>
      <c r="AC701" t="n">
        <v>40.22566</v>
      </c>
      <c r="AD701" t="n">
        <v>69.47897</v>
      </c>
      <c r="AE701" t="n">
        <v>67.66348000000001</v>
      </c>
    </row>
    <row r="702">
      <c r="A702" s="89" t="n">
        <v>39934</v>
      </c>
      <c r="B702" t="n">
        <v>65.25394</v>
      </c>
      <c r="C702" t="n">
        <v>43.22496</v>
      </c>
      <c r="D702" t="n">
        <v>66.37608</v>
      </c>
      <c r="E702" t="n">
        <v>68.39740999999999</v>
      </c>
      <c r="F702" t="n">
        <v>51.23625</v>
      </c>
      <c r="G702" t="n">
        <v>41.08248</v>
      </c>
      <c r="H702" t="n">
        <v>47.91509</v>
      </c>
      <c r="I702" t="n">
        <v>65.60393999999999</v>
      </c>
      <c r="J702" t="n">
        <v>78.22072</v>
      </c>
      <c r="K702" t="n">
        <v>81.45643</v>
      </c>
      <c r="L702" t="n">
        <v>89.37362</v>
      </c>
      <c r="M702" t="n">
        <v>90.73495</v>
      </c>
      <c r="N702" t="n">
        <v>85.65533000000001</v>
      </c>
      <c r="O702" t="n">
        <v>44.85312</v>
      </c>
      <c r="P702" t="n">
        <v>44.97268</v>
      </c>
      <c r="Q702" t="n">
        <v>94.21514000000001</v>
      </c>
      <c r="R702" t="n">
        <v>65.61904</v>
      </c>
      <c r="S702" t="n">
        <v>85.97064</v>
      </c>
      <c r="T702" t="n">
        <v>64.56570000000001</v>
      </c>
      <c r="U702" t="n">
        <v>47.48226</v>
      </c>
      <c r="V702" t="n">
        <v>74.43719</v>
      </c>
      <c r="W702" t="n">
        <v>65.79028</v>
      </c>
      <c r="X702" t="n">
        <v>69.15364</v>
      </c>
      <c r="Y702" t="n">
        <v>68.4922</v>
      </c>
      <c r="Z702" t="n">
        <v>62.97614</v>
      </c>
      <c r="AA702" t="n">
        <v>35.33039</v>
      </c>
      <c r="AB702" t="n">
        <v>79.76007</v>
      </c>
      <c r="AC702" t="n">
        <v>40.30639</v>
      </c>
      <c r="AD702" t="n">
        <v>69.95681</v>
      </c>
      <c r="AE702" t="n">
        <v>68.00103</v>
      </c>
    </row>
    <row r="703">
      <c r="A703" s="89" t="n">
        <v>39965</v>
      </c>
      <c r="B703" t="n">
        <v>65.74706</v>
      </c>
      <c r="C703" t="n">
        <v>43.78817</v>
      </c>
      <c r="D703" t="n">
        <v>66.48531</v>
      </c>
      <c r="E703" t="n">
        <v>68.65804</v>
      </c>
      <c r="F703" t="n">
        <v>51.31799</v>
      </c>
      <c r="G703" t="n">
        <v>42.03027</v>
      </c>
      <c r="H703" t="n">
        <v>48.45489</v>
      </c>
      <c r="I703" t="n">
        <v>66.51456</v>
      </c>
      <c r="J703" t="n">
        <v>77.75484</v>
      </c>
      <c r="K703" t="n">
        <v>81.89323</v>
      </c>
      <c r="L703" t="n">
        <v>89.21964</v>
      </c>
      <c r="M703" t="n">
        <v>90.34258</v>
      </c>
      <c r="N703" t="n">
        <v>85.82495</v>
      </c>
      <c r="O703" t="n">
        <v>45.15514</v>
      </c>
      <c r="P703" t="n">
        <v>45.54815</v>
      </c>
      <c r="Q703" t="n">
        <v>94.27115999999999</v>
      </c>
      <c r="R703" t="n">
        <v>65.61206</v>
      </c>
      <c r="S703" t="n">
        <v>86.07977</v>
      </c>
      <c r="T703" t="n">
        <v>64.8914</v>
      </c>
      <c r="U703" t="n">
        <v>47.57645</v>
      </c>
      <c r="V703" t="n">
        <v>74.72784</v>
      </c>
      <c r="W703" t="n">
        <v>65.79253</v>
      </c>
      <c r="X703" t="n">
        <v>69.26403999999999</v>
      </c>
      <c r="Y703" t="n">
        <v>68.5553</v>
      </c>
      <c r="Z703" t="n">
        <v>63.576</v>
      </c>
      <c r="AA703" t="n">
        <v>35.34473</v>
      </c>
      <c r="AB703" t="n">
        <v>79.14709999999999</v>
      </c>
      <c r="AC703" t="n">
        <v>40.56779</v>
      </c>
      <c r="AD703" t="n">
        <v>70.03658</v>
      </c>
      <c r="AE703" t="n">
        <v>68.16116</v>
      </c>
    </row>
    <row r="704">
      <c r="A704" s="89" t="n">
        <v>39995</v>
      </c>
      <c r="B704" t="n">
        <v>66.11689</v>
      </c>
      <c r="C704" t="n">
        <v>44.35392</v>
      </c>
      <c r="D704" t="n">
        <v>66.78483</v>
      </c>
      <c r="E704" t="n">
        <v>69.28448</v>
      </c>
      <c r="F704" t="n">
        <v>51.47581</v>
      </c>
      <c r="G704" t="n">
        <v>42.97792</v>
      </c>
      <c r="H704" t="n">
        <v>48.91239</v>
      </c>
      <c r="I704" t="n">
        <v>67.26076</v>
      </c>
      <c r="J704" t="n">
        <v>76.72939</v>
      </c>
      <c r="K704" t="n">
        <v>81.77426</v>
      </c>
      <c r="L704" t="n">
        <v>89.02157</v>
      </c>
      <c r="M704" t="n">
        <v>90.48275</v>
      </c>
      <c r="N704" t="n">
        <v>85.60142</v>
      </c>
      <c r="O704" t="n">
        <v>45.43368</v>
      </c>
      <c r="P704" t="n">
        <v>46.12276</v>
      </c>
      <c r="Q704" t="n">
        <v>94.22166</v>
      </c>
      <c r="R704" t="n">
        <v>65.40205</v>
      </c>
      <c r="S704" t="n">
        <v>86.24323</v>
      </c>
      <c r="T704" t="n">
        <v>65.42187</v>
      </c>
      <c r="U704" t="n">
        <v>48.11725</v>
      </c>
      <c r="V704" t="n">
        <v>74.65429</v>
      </c>
      <c r="W704" t="n">
        <v>65.94128000000001</v>
      </c>
      <c r="X704" t="n">
        <v>69.41328</v>
      </c>
      <c r="Y704" t="n">
        <v>68.69105999999999</v>
      </c>
      <c r="Z704" t="n">
        <v>64.00772000000001</v>
      </c>
      <c r="AA704" t="n">
        <v>36.15626</v>
      </c>
      <c r="AB704" t="n">
        <v>78.33105</v>
      </c>
      <c r="AC704" t="n">
        <v>40.85394</v>
      </c>
      <c r="AD704" t="n">
        <v>70.07565</v>
      </c>
      <c r="AE704" t="n">
        <v>68.10053000000001</v>
      </c>
    </row>
    <row r="705">
      <c r="A705" s="89" t="n">
        <v>40026</v>
      </c>
      <c r="B705" t="n">
        <v>66.29340000000001</v>
      </c>
      <c r="C705" t="n">
        <v>45.00281</v>
      </c>
      <c r="D705" t="n">
        <v>66.80964</v>
      </c>
      <c r="E705" t="n">
        <v>69.68899999999999</v>
      </c>
      <c r="F705" t="n">
        <v>51.65451</v>
      </c>
      <c r="G705" t="n">
        <v>43.59607</v>
      </c>
      <c r="H705" t="n">
        <v>49.17412</v>
      </c>
      <c r="I705" t="n">
        <v>68.0929</v>
      </c>
      <c r="J705" t="n">
        <v>76.41887</v>
      </c>
      <c r="K705" t="n">
        <v>81.95395000000001</v>
      </c>
      <c r="L705" t="n">
        <v>88.65609000000001</v>
      </c>
      <c r="M705" t="n">
        <v>91.20789000000001</v>
      </c>
      <c r="N705" t="n">
        <v>85.61515</v>
      </c>
      <c r="O705" t="n">
        <v>45.82232</v>
      </c>
      <c r="P705" t="n">
        <v>46.66395</v>
      </c>
      <c r="Q705" t="n">
        <v>94.1589</v>
      </c>
      <c r="R705" t="n">
        <v>65.30209000000001</v>
      </c>
      <c r="S705" t="n">
        <v>86.42588000000001</v>
      </c>
      <c r="T705" t="n">
        <v>65.90922</v>
      </c>
      <c r="U705" t="n">
        <v>48.19072</v>
      </c>
      <c r="V705" t="n">
        <v>74.49926000000001</v>
      </c>
      <c r="W705" t="n">
        <v>66.15622999999999</v>
      </c>
      <c r="X705" t="n">
        <v>69.53088</v>
      </c>
      <c r="Y705" t="n">
        <v>68.98130999999999</v>
      </c>
      <c r="Z705" t="n">
        <v>63.58854</v>
      </c>
      <c r="AA705" t="n">
        <v>37.17452</v>
      </c>
      <c r="AB705" t="n">
        <v>78.29253</v>
      </c>
      <c r="AC705" t="n">
        <v>41.25157</v>
      </c>
      <c r="AD705" t="n">
        <v>70.07315</v>
      </c>
      <c r="AE705" t="n">
        <v>68.15347</v>
      </c>
    </row>
    <row r="706">
      <c r="A706" s="89" t="n">
        <v>40057</v>
      </c>
      <c r="B706" t="n">
        <v>66.39987000000001</v>
      </c>
      <c r="C706" t="n">
        <v>45.62051</v>
      </c>
      <c r="D706" t="n">
        <v>67.08497</v>
      </c>
      <c r="E706" t="n">
        <v>69.89215</v>
      </c>
      <c r="F706" t="n">
        <v>51.74001</v>
      </c>
      <c r="G706" t="n">
        <v>44.21711</v>
      </c>
      <c r="H706" t="n">
        <v>49.14059</v>
      </c>
      <c r="I706" t="n">
        <v>68.76481</v>
      </c>
      <c r="J706" t="n">
        <v>75.79257</v>
      </c>
      <c r="K706" t="n">
        <v>82.87061</v>
      </c>
      <c r="L706" t="n">
        <v>88.45491</v>
      </c>
      <c r="M706" t="n">
        <v>92.12173</v>
      </c>
      <c r="N706" t="n">
        <v>85.658</v>
      </c>
      <c r="O706" t="n">
        <v>46.28368</v>
      </c>
      <c r="P706" t="n">
        <v>47.14355</v>
      </c>
      <c r="Q706" t="n">
        <v>94.09206</v>
      </c>
      <c r="R706" t="n">
        <v>65.52856</v>
      </c>
      <c r="S706" t="n">
        <v>86.52460000000001</v>
      </c>
      <c r="T706" t="n">
        <v>66.28055000000001</v>
      </c>
      <c r="U706" t="n">
        <v>48.26933</v>
      </c>
      <c r="V706" t="n">
        <v>74.29213</v>
      </c>
      <c r="W706" t="n">
        <v>66.29626</v>
      </c>
      <c r="X706" t="n">
        <v>69.68062</v>
      </c>
      <c r="Y706" t="n">
        <v>69.4529</v>
      </c>
      <c r="Z706" t="n">
        <v>63.69664</v>
      </c>
      <c r="AA706" t="n">
        <v>37.6422</v>
      </c>
      <c r="AB706" t="n">
        <v>78.05629</v>
      </c>
      <c r="AC706" t="n">
        <v>41.86341</v>
      </c>
      <c r="AD706" t="n">
        <v>70.06734</v>
      </c>
      <c r="AE706" t="n">
        <v>68.06863</v>
      </c>
    </row>
    <row r="707">
      <c r="A707" s="89" t="n">
        <v>40087</v>
      </c>
      <c r="B707" t="n">
        <v>66.35223999999999</v>
      </c>
      <c r="C707" t="n">
        <v>46.27009</v>
      </c>
      <c r="D707" t="n">
        <v>67.23405</v>
      </c>
      <c r="E707" t="n">
        <v>70.17894</v>
      </c>
      <c r="F707" t="n">
        <v>51.55008</v>
      </c>
      <c r="G707" t="n">
        <v>44.94162</v>
      </c>
      <c r="H707" t="n">
        <v>49.27979</v>
      </c>
      <c r="I707" t="n">
        <v>69.27023</v>
      </c>
      <c r="J707" t="n">
        <v>75.66386</v>
      </c>
      <c r="K707" t="n">
        <v>83.05549999999999</v>
      </c>
      <c r="L707" t="n">
        <v>88.37059000000001</v>
      </c>
      <c r="M707" t="n">
        <v>93.12755</v>
      </c>
      <c r="N707" t="n">
        <v>85.1832</v>
      </c>
      <c r="O707" t="n">
        <v>46.46881</v>
      </c>
      <c r="P707" t="n">
        <v>47.68745</v>
      </c>
      <c r="Q707" t="n">
        <v>93.96486</v>
      </c>
      <c r="R707" t="n">
        <v>65.67218</v>
      </c>
      <c r="S707" t="n">
        <v>86.67303</v>
      </c>
      <c r="T707" t="n">
        <v>66.87399000000001</v>
      </c>
      <c r="U707" t="n">
        <v>48.9075</v>
      </c>
      <c r="V707" t="n">
        <v>74.21602</v>
      </c>
      <c r="W707" t="n">
        <v>66.29543</v>
      </c>
      <c r="X707" t="n">
        <v>70.0077</v>
      </c>
      <c r="Y707" t="n">
        <v>70.12335</v>
      </c>
      <c r="Z707" t="n">
        <v>65.07482</v>
      </c>
      <c r="AA707" t="n">
        <v>38.29427</v>
      </c>
      <c r="AB707" t="n">
        <v>77.88074</v>
      </c>
      <c r="AC707" t="n">
        <v>42.50012</v>
      </c>
      <c r="AD707" t="n">
        <v>70.29004999999999</v>
      </c>
      <c r="AE707" t="n">
        <v>67.87849</v>
      </c>
    </row>
    <row r="708">
      <c r="A708" s="89" t="n">
        <v>40118</v>
      </c>
      <c r="B708" t="n">
        <v>66.2822</v>
      </c>
      <c r="C708" t="n">
        <v>46.85192</v>
      </c>
      <c r="D708" t="n">
        <v>67.33879</v>
      </c>
      <c r="E708" t="n">
        <v>70.70405</v>
      </c>
      <c r="F708" t="n">
        <v>51.24996</v>
      </c>
      <c r="G708" t="n">
        <v>45.59056</v>
      </c>
      <c r="H708" t="n">
        <v>49.6044</v>
      </c>
      <c r="I708" t="n">
        <v>69.04583</v>
      </c>
      <c r="J708" t="n">
        <v>76.28717</v>
      </c>
      <c r="K708" t="n">
        <v>82.636</v>
      </c>
      <c r="L708" t="n">
        <v>88.19508</v>
      </c>
      <c r="M708" t="n">
        <v>93.68865</v>
      </c>
      <c r="N708" t="n">
        <v>84.78635</v>
      </c>
      <c r="O708" t="n">
        <v>46.85012</v>
      </c>
      <c r="P708" t="n">
        <v>48.27664</v>
      </c>
      <c r="Q708" t="n">
        <v>93.62202000000001</v>
      </c>
      <c r="R708" t="n">
        <v>65.98506999999999</v>
      </c>
      <c r="S708" t="n">
        <v>86.84863</v>
      </c>
      <c r="T708" t="n">
        <v>67.29646</v>
      </c>
      <c r="U708" t="n">
        <v>49.59504</v>
      </c>
      <c r="V708" t="n">
        <v>73.85373</v>
      </c>
      <c r="W708" t="n">
        <v>66.41313</v>
      </c>
      <c r="X708" t="n">
        <v>70.32722</v>
      </c>
      <c r="Y708" t="n">
        <v>70.6183</v>
      </c>
      <c r="Z708" t="n">
        <v>65.3856</v>
      </c>
      <c r="AA708" t="n">
        <v>38.7243</v>
      </c>
      <c r="AB708" t="n">
        <v>78.27843</v>
      </c>
      <c r="AC708" t="n">
        <v>43.24037</v>
      </c>
      <c r="AD708" t="n">
        <v>70.54018000000001</v>
      </c>
      <c r="AE708" t="n">
        <v>67.69408</v>
      </c>
    </row>
    <row r="709">
      <c r="A709" s="89" t="n">
        <v>40148</v>
      </c>
      <c r="B709" t="n">
        <v>66.13930999999999</v>
      </c>
      <c r="C709" t="n">
        <v>47.29042</v>
      </c>
      <c r="D709" t="n">
        <v>67.57633</v>
      </c>
      <c r="E709" t="n">
        <v>70.84141</v>
      </c>
      <c r="F709" t="n">
        <v>51.38731</v>
      </c>
      <c r="G709" t="n">
        <v>46.08965</v>
      </c>
      <c r="H709" t="n">
        <v>49.68458</v>
      </c>
      <c r="I709" t="n">
        <v>68.15701</v>
      </c>
      <c r="J709" t="n">
        <v>77.10876</v>
      </c>
      <c r="K709" t="n">
        <v>81.84174</v>
      </c>
      <c r="L709" t="n">
        <v>88.29002</v>
      </c>
      <c r="M709" t="n">
        <v>93.35805999999999</v>
      </c>
      <c r="N709" t="n">
        <v>84.39561</v>
      </c>
      <c r="O709" t="n">
        <v>47.47655</v>
      </c>
      <c r="P709" t="n">
        <v>48.75244</v>
      </c>
      <c r="Q709" t="n">
        <v>93.08241</v>
      </c>
      <c r="R709" t="n">
        <v>66.06408999999999</v>
      </c>
      <c r="S709" t="n">
        <v>86.95071</v>
      </c>
      <c r="T709" t="n">
        <v>67.82437</v>
      </c>
      <c r="U709" t="n">
        <v>49.65327</v>
      </c>
      <c r="V709" t="n">
        <v>74.02309</v>
      </c>
      <c r="W709" t="n">
        <v>66.86190000000001</v>
      </c>
      <c r="X709" t="n">
        <v>70.37065</v>
      </c>
      <c r="Y709" t="n">
        <v>70.70619000000001</v>
      </c>
      <c r="Z709" t="n">
        <v>65.12603</v>
      </c>
      <c r="AA709" t="n">
        <v>38.16398</v>
      </c>
      <c r="AB709" t="n">
        <v>78.44956999999999</v>
      </c>
      <c r="AC709" t="n">
        <v>43.78679</v>
      </c>
      <c r="AD709" t="n">
        <v>70.49863000000001</v>
      </c>
      <c r="AE709" t="n">
        <v>67.80784</v>
      </c>
    </row>
    <row r="710">
      <c r="A710" s="89" t="n">
        <v>40179</v>
      </c>
      <c r="B710" t="n">
        <v>66.15891999999999</v>
      </c>
      <c r="C710" t="n">
        <v>49.11358</v>
      </c>
      <c r="D710" t="n">
        <v>67.71353000000001</v>
      </c>
      <c r="E710" t="n">
        <v>70.85724999999999</v>
      </c>
      <c r="F710" t="n">
        <v>51.8529</v>
      </c>
      <c r="G710" t="n">
        <v>46.83223</v>
      </c>
      <c r="H710" t="n">
        <v>50.14887</v>
      </c>
      <c r="I710" t="n">
        <v>67.49702000000001</v>
      </c>
      <c r="J710" t="n">
        <v>77.19212</v>
      </c>
      <c r="K710" t="n">
        <v>80.95308</v>
      </c>
      <c r="L710" t="n">
        <v>88.22002000000001</v>
      </c>
      <c r="M710" t="n">
        <v>96.97933</v>
      </c>
      <c r="N710" t="n">
        <v>84.46762</v>
      </c>
      <c r="O710" t="n">
        <v>47.6473</v>
      </c>
      <c r="P710" t="n">
        <v>49.36239</v>
      </c>
      <c r="Q710" t="n">
        <v>92.45927</v>
      </c>
      <c r="R710" t="n">
        <v>66.14682000000001</v>
      </c>
      <c r="S710" t="n">
        <v>87.12202000000001</v>
      </c>
      <c r="T710" t="n">
        <v>68.45245</v>
      </c>
      <c r="U710" t="n">
        <v>49.38572</v>
      </c>
      <c r="V710" t="n">
        <v>74.41394</v>
      </c>
      <c r="W710" t="n">
        <v>66.83981</v>
      </c>
      <c r="X710" t="n">
        <v>70.49156000000001</v>
      </c>
      <c r="Y710" t="n">
        <v>71.86696999999999</v>
      </c>
      <c r="Z710" t="n">
        <v>65.47638999999999</v>
      </c>
      <c r="AA710" t="n">
        <v>39.90469</v>
      </c>
      <c r="AB710" t="n">
        <v>78.7852</v>
      </c>
      <c r="AC710" t="n">
        <v>44.12033</v>
      </c>
      <c r="AD710" t="n">
        <v>70.18534</v>
      </c>
      <c r="AE710" t="n">
        <v>67.86501</v>
      </c>
    </row>
    <row r="711">
      <c r="A711" s="89" t="n">
        <v>40210</v>
      </c>
      <c r="B711" t="n">
        <v>66.64923</v>
      </c>
      <c r="C711" t="n">
        <v>50.93201</v>
      </c>
      <c r="D711" t="n">
        <v>68.34099999999999</v>
      </c>
      <c r="E711" t="n">
        <v>71.23675</v>
      </c>
      <c r="F711" t="n">
        <v>52.4431</v>
      </c>
      <c r="G711" t="n">
        <v>47.81712</v>
      </c>
      <c r="H711" t="n">
        <v>50.72218</v>
      </c>
      <c r="I711" t="n">
        <v>67.11234</v>
      </c>
      <c r="J711" t="n">
        <v>76.53442</v>
      </c>
      <c r="K711" t="n">
        <v>80.45186</v>
      </c>
      <c r="L711" t="n">
        <v>87.84820999999999</v>
      </c>
      <c r="M711" t="n">
        <v>101.4331</v>
      </c>
      <c r="N711" t="n">
        <v>85.24715</v>
      </c>
      <c r="O711" t="n">
        <v>47.71336</v>
      </c>
      <c r="P711" t="n">
        <v>50.14887</v>
      </c>
      <c r="Q711" t="n">
        <v>91.81712</v>
      </c>
      <c r="R711" t="n">
        <v>66.14671</v>
      </c>
      <c r="S711" t="n">
        <v>87.24796000000001</v>
      </c>
      <c r="T711" t="n">
        <v>69.11706</v>
      </c>
      <c r="U711" t="n">
        <v>49.43088</v>
      </c>
      <c r="V711" t="n">
        <v>74.4307</v>
      </c>
      <c r="W711" t="n">
        <v>66.64353</v>
      </c>
      <c r="X711" t="n">
        <v>71.07069</v>
      </c>
      <c r="Y711" t="n">
        <v>73.35496999999999</v>
      </c>
      <c r="Z711" t="n">
        <v>65.59350000000001</v>
      </c>
      <c r="AA711" t="n">
        <v>41.93021</v>
      </c>
      <c r="AB711" t="n">
        <v>79.35886000000001</v>
      </c>
      <c r="AC711" t="n">
        <v>44.81744</v>
      </c>
      <c r="AD711" t="n">
        <v>70.59753000000001</v>
      </c>
      <c r="AE711" t="n">
        <v>67.92361</v>
      </c>
    </row>
    <row r="712">
      <c r="A712" s="89" t="n">
        <v>40238</v>
      </c>
      <c r="B712" t="n">
        <v>67.39452</v>
      </c>
      <c r="C712" t="n">
        <v>51.37119</v>
      </c>
      <c r="D712" t="n">
        <v>68.37036999999999</v>
      </c>
      <c r="E712" t="n">
        <v>71.66941</v>
      </c>
      <c r="F712" t="n">
        <v>53.30129</v>
      </c>
      <c r="G712" t="n">
        <v>48.45417</v>
      </c>
      <c r="H712" t="n">
        <v>50.83008</v>
      </c>
      <c r="I712" t="n">
        <v>66.73358</v>
      </c>
      <c r="J712" t="n">
        <v>76.56847</v>
      </c>
      <c r="K712" t="n">
        <v>80.41434</v>
      </c>
      <c r="L712" t="n">
        <v>87.78700000000001</v>
      </c>
      <c r="M712" t="n">
        <v>101.7574</v>
      </c>
      <c r="N712" t="n">
        <v>85.84978</v>
      </c>
      <c r="O712" t="n">
        <v>48.39354</v>
      </c>
      <c r="P712" t="n">
        <v>50.89152</v>
      </c>
      <c r="Q712" t="n">
        <v>91.13728</v>
      </c>
      <c r="R712" t="n">
        <v>65.92692</v>
      </c>
      <c r="S712" t="n">
        <v>87.30970000000001</v>
      </c>
      <c r="T712" t="n">
        <v>69.75961</v>
      </c>
      <c r="U712" t="n">
        <v>49.87571</v>
      </c>
      <c r="V712" t="n">
        <v>74.63142000000001</v>
      </c>
      <c r="W712" t="n">
        <v>66.82040000000001</v>
      </c>
      <c r="X712" t="n">
        <v>71.24328</v>
      </c>
      <c r="Y712" t="n">
        <v>73.75452</v>
      </c>
      <c r="Z712" t="n">
        <v>66.0201</v>
      </c>
      <c r="AA712" t="n">
        <v>42.04135</v>
      </c>
      <c r="AB712" t="n">
        <v>79.60847</v>
      </c>
      <c r="AC712" t="n">
        <v>45.36288</v>
      </c>
      <c r="AD712" t="n">
        <v>70.57343</v>
      </c>
      <c r="AE712" t="n">
        <v>68.44683000000001</v>
      </c>
    </row>
    <row r="713">
      <c r="A713" s="89" t="n">
        <v>40269</v>
      </c>
      <c r="B713" t="n">
        <v>67.97729</v>
      </c>
      <c r="C713" t="n">
        <v>51.88195</v>
      </c>
      <c r="D713" t="n">
        <v>69.22054</v>
      </c>
      <c r="E713" t="n">
        <v>72.08877</v>
      </c>
      <c r="F713" t="n">
        <v>54.01538</v>
      </c>
      <c r="G713" t="n">
        <v>49.05105</v>
      </c>
      <c r="H713" t="n">
        <v>51.11439</v>
      </c>
      <c r="I713" t="n">
        <v>66.24728</v>
      </c>
      <c r="J713" t="n">
        <v>77.35645</v>
      </c>
      <c r="K713" t="n">
        <v>81.21259000000001</v>
      </c>
      <c r="L713" t="n">
        <v>88.24196999999999</v>
      </c>
      <c r="M713" t="n">
        <v>100.8651</v>
      </c>
      <c r="N713" t="n">
        <v>86.68333</v>
      </c>
      <c r="O713" t="n">
        <v>49.18651</v>
      </c>
      <c r="P713" t="n">
        <v>51.37198</v>
      </c>
      <c r="Q713" t="n">
        <v>90.35993000000001</v>
      </c>
      <c r="R713" t="n">
        <v>66.26774</v>
      </c>
      <c r="S713" t="n">
        <v>87.58446000000001</v>
      </c>
      <c r="T713" t="n">
        <v>70.22359</v>
      </c>
      <c r="U713" t="n">
        <v>50.45894</v>
      </c>
      <c r="V713" t="n">
        <v>74.79087</v>
      </c>
      <c r="W713" t="n">
        <v>67.18333</v>
      </c>
      <c r="X713" t="n">
        <v>71.54991</v>
      </c>
      <c r="Y713" t="n">
        <v>73.80878</v>
      </c>
      <c r="Z713" t="n">
        <v>66.53712</v>
      </c>
      <c r="AA713" t="n">
        <v>42.77515</v>
      </c>
      <c r="AB713" t="n">
        <v>79.58385</v>
      </c>
      <c r="AC713" t="n">
        <v>45.6802</v>
      </c>
      <c r="AD713" t="n">
        <v>70.82605</v>
      </c>
      <c r="AE713" t="n">
        <v>68.92953</v>
      </c>
    </row>
    <row r="714">
      <c r="A714" s="89" t="n">
        <v>40299</v>
      </c>
      <c r="B714" t="n">
        <v>68.3135</v>
      </c>
      <c r="C714" t="n">
        <v>52.47933</v>
      </c>
      <c r="D714" t="n">
        <v>70.02849000000001</v>
      </c>
      <c r="E714" t="n">
        <v>72.83868</v>
      </c>
      <c r="F714" t="n">
        <v>54.41483</v>
      </c>
      <c r="G714" t="n">
        <v>49.77767</v>
      </c>
      <c r="H714" t="n">
        <v>51.49509</v>
      </c>
      <c r="I714" t="n">
        <v>66.62745</v>
      </c>
      <c r="J714" t="n">
        <v>78.68528000000001</v>
      </c>
      <c r="K714" t="n">
        <v>82.16173999999999</v>
      </c>
      <c r="L714" t="n">
        <v>88.77916</v>
      </c>
      <c r="M714" t="n">
        <v>100.2414</v>
      </c>
      <c r="N714" t="n">
        <v>87.63596</v>
      </c>
      <c r="O714" t="n">
        <v>49.70914</v>
      </c>
      <c r="P714" t="n">
        <v>51.81095</v>
      </c>
      <c r="Q714" t="n">
        <v>89.54711</v>
      </c>
      <c r="R714" t="n">
        <v>66.536</v>
      </c>
      <c r="S714" t="n">
        <v>87.95377999999999</v>
      </c>
      <c r="T714" t="n">
        <v>70.55412</v>
      </c>
      <c r="U714" t="n">
        <v>51.11324</v>
      </c>
      <c r="V714" t="n">
        <v>74.84692</v>
      </c>
      <c r="W714" t="n">
        <v>67.53506</v>
      </c>
      <c r="X714" t="n">
        <v>71.98981999999999</v>
      </c>
      <c r="Y714" t="n">
        <v>74.10303</v>
      </c>
      <c r="Z714" t="n">
        <v>67.3522</v>
      </c>
      <c r="AA714" t="n">
        <v>43.51025</v>
      </c>
      <c r="AB714" t="n">
        <v>79.66764999999999</v>
      </c>
      <c r="AC714" t="n">
        <v>46.18777</v>
      </c>
      <c r="AD714" t="n">
        <v>71.28062</v>
      </c>
      <c r="AE714" t="n">
        <v>69.21753</v>
      </c>
    </row>
    <row r="715">
      <c r="A715" s="89" t="n">
        <v>40330</v>
      </c>
      <c r="B715" t="n">
        <v>68.72817000000001</v>
      </c>
      <c r="C715" t="n">
        <v>53.15186</v>
      </c>
      <c r="D715" t="n">
        <v>70.57273000000001</v>
      </c>
      <c r="E715" t="n">
        <v>73.77126</v>
      </c>
      <c r="F715" t="n">
        <v>54.66339</v>
      </c>
      <c r="G715" t="n">
        <v>50.26099</v>
      </c>
      <c r="H715" t="n">
        <v>52.04843</v>
      </c>
      <c r="I715" t="n">
        <v>67.71572</v>
      </c>
      <c r="J715" t="n">
        <v>79.29201999999999</v>
      </c>
      <c r="K715" t="n">
        <v>82.90407999999999</v>
      </c>
      <c r="L715" t="n">
        <v>88.10314</v>
      </c>
      <c r="M715" t="n">
        <v>100.2081</v>
      </c>
      <c r="N715" t="n">
        <v>88.33656000000001</v>
      </c>
      <c r="O715" t="n">
        <v>50.56684</v>
      </c>
      <c r="P715" t="n">
        <v>52.44637</v>
      </c>
      <c r="Q715" t="n">
        <v>88.76714</v>
      </c>
      <c r="R715" t="n">
        <v>67.04034</v>
      </c>
      <c r="S715" t="n">
        <v>87.92392</v>
      </c>
      <c r="T715" t="n">
        <v>70.6468</v>
      </c>
      <c r="U715" t="n">
        <v>51.70588</v>
      </c>
      <c r="V715" t="n">
        <v>75.36398</v>
      </c>
      <c r="W715" t="n">
        <v>67.4653</v>
      </c>
      <c r="X715" t="n">
        <v>72.27670000000001</v>
      </c>
      <c r="Y715" t="n">
        <v>74.68498</v>
      </c>
      <c r="Z715" t="n">
        <v>68.29809</v>
      </c>
      <c r="AA715" t="n">
        <v>44.13717</v>
      </c>
      <c r="AB715" t="n">
        <v>79.74033</v>
      </c>
      <c r="AC715" t="n">
        <v>47.08384</v>
      </c>
      <c r="AD715" t="n">
        <v>71.43935</v>
      </c>
      <c r="AE715" t="n">
        <v>69.63797</v>
      </c>
    </row>
    <row r="716">
      <c r="A716" s="89" t="n">
        <v>40360</v>
      </c>
      <c r="B716" t="n">
        <v>69.31655000000001</v>
      </c>
      <c r="C716" t="n">
        <v>53.85883</v>
      </c>
      <c r="D716" t="n">
        <v>71.09408000000001</v>
      </c>
      <c r="E716" t="n">
        <v>74.08566999999999</v>
      </c>
      <c r="F716" t="n">
        <v>54.59764</v>
      </c>
      <c r="G716" t="n">
        <v>50.77944</v>
      </c>
      <c r="H716" t="n">
        <v>52.55469</v>
      </c>
      <c r="I716" t="n">
        <v>67.77415999999999</v>
      </c>
      <c r="J716" t="n">
        <v>79.03061</v>
      </c>
      <c r="K716" t="n">
        <v>84.56697</v>
      </c>
      <c r="L716" t="n">
        <v>87.23396</v>
      </c>
      <c r="M716" t="n">
        <v>100.094</v>
      </c>
      <c r="N716" t="n">
        <v>88.73096</v>
      </c>
      <c r="O716" t="n">
        <v>51.29067</v>
      </c>
      <c r="P716" t="n">
        <v>53.21127</v>
      </c>
      <c r="Q716" t="n">
        <v>88.01714</v>
      </c>
      <c r="R716" t="n">
        <v>67.23177</v>
      </c>
      <c r="S716" t="n">
        <v>88.02627</v>
      </c>
      <c r="T716" t="n">
        <v>70.76399000000001</v>
      </c>
      <c r="U716" t="n">
        <v>52.33278</v>
      </c>
      <c r="V716" t="n">
        <v>76.28076</v>
      </c>
      <c r="W716" t="n">
        <v>67.50626</v>
      </c>
      <c r="X716" t="n">
        <v>72.50346</v>
      </c>
      <c r="Y716" t="n">
        <v>75.11378000000001</v>
      </c>
      <c r="Z716" t="n">
        <v>68.80833</v>
      </c>
      <c r="AA716" t="n">
        <v>45.12416</v>
      </c>
      <c r="AB716" t="n">
        <v>80.36462</v>
      </c>
      <c r="AC716" t="n">
        <v>47.81548</v>
      </c>
      <c r="AD716" t="n">
        <v>71.51912</v>
      </c>
      <c r="AE716" t="n">
        <v>70.31717999999999</v>
      </c>
    </row>
    <row r="717">
      <c r="A717" s="89" t="n">
        <v>40391</v>
      </c>
      <c r="B717" t="n">
        <v>69.91894000000001</v>
      </c>
      <c r="C717" t="n">
        <v>54.66223</v>
      </c>
      <c r="D717" t="n">
        <v>71.63884</v>
      </c>
      <c r="E717" t="n">
        <v>74.10814999999999</v>
      </c>
      <c r="F717" t="n">
        <v>54.43827</v>
      </c>
      <c r="G717" t="n">
        <v>51.70747</v>
      </c>
      <c r="H717" t="n">
        <v>52.83048</v>
      </c>
      <c r="I717" t="n">
        <v>67.25066</v>
      </c>
      <c r="J717" t="n">
        <v>78.68764</v>
      </c>
      <c r="K717" t="n">
        <v>87.09063</v>
      </c>
      <c r="L717" t="n">
        <v>87.21083</v>
      </c>
      <c r="M717" t="n">
        <v>99.84726999999999</v>
      </c>
      <c r="N717" t="n">
        <v>88.84202000000001</v>
      </c>
      <c r="O717" t="n">
        <v>51.54491</v>
      </c>
      <c r="P717" t="n">
        <v>53.93836</v>
      </c>
      <c r="Q717" t="n">
        <v>87.30452</v>
      </c>
      <c r="R717" t="n">
        <v>66.91304</v>
      </c>
      <c r="S717" t="n">
        <v>88.23672999999999</v>
      </c>
      <c r="T717" t="n">
        <v>70.95397</v>
      </c>
      <c r="U717" t="n">
        <v>53.3356</v>
      </c>
      <c r="V717" t="n">
        <v>76.93026999999999</v>
      </c>
      <c r="W717" t="n">
        <v>68.00821000000001</v>
      </c>
      <c r="X717" t="n">
        <v>72.88726</v>
      </c>
      <c r="Y717" t="n">
        <v>75.30580999999999</v>
      </c>
      <c r="Z717" t="n">
        <v>69.08750999999999</v>
      </c>
      <c r="AA717" t="n">
        <v>46.19777</v>
      </c>
      <c r="AB717" t="n">
        <v>80.58204000000001</v>
      </c>
      <c r="AC717" t="n">
        <v>48.1311</v>
      </c>
      <c r="AD717" t="n">
        <v>71.93713</v>
      </c>
      <c r="AE717" t="n">
        <v>70.89865</v>
      </c>
    </row>
    <row r="718">
      <c r="A718" s="89" t="n">
        <v>40422</v>
      </c>
      <c r="B718" t="n">
        <v>70.43165999999999</v>
      </c>
      <c r="C718" t="n">
        <v>55.5124</v>
      </c>
      <c r="D718" t="n">
        <v>71.49760000000001</v>
      </c>
      <c r="E718" t="n">
        <v>74.33835000000001</v>
      </c>
      <c r="F718" t="n">
        <v>54.88056</v>
      </c>
      <c r="G718" t="n">
        <v>52.64408</v>
      </c>
      <c r="H718" t="n">
        <v>53.27463</v>
      </c>
      <c r="I718" t="n">
        <v>66.88717</v>
      </c>
      <c r="J718" t="n">
        <v>78.45686000000001</v>
      </c>
      <c r="K718" t="n">
        <v>86.90334</v>
      </c>
      <c r="L718" t="n">
        <v>87.23569000000001</v>
      </c>
      <c r="M718" t="n">
        <v>99.6923</v>
      </c>
      <c r="N718" t="n">
        <v>88.30540000000001</v>
      </c>
      <c r="O718" t="n">
        <v>52.02149</v>
      </c>
      <c r="P718" t="n">
        <v>54.45184</v>
      </c>
      <c r="Q718" t="n">
        <v>86.63753</v>
      </c>
      <c r="R718" t="n">
        <v>66.94565</v>
      </c>
      <c r="S718" t="n">
        <v>88.37684</v>
      </c>
      <c r="T718" t="n">
        <v>71.25697</v>
      </c>
      <c r="U718" t="n">
        <v>54.14809</v>
      </c>
      <c r="V718" t="n">
        <v>77.23699999999999</v>
      </c>
      <c r="W718" t="n">
        <v>68.49283</v>
      </c>
      <c r="X718" t="n">
        <v>73.14545</v>
      </c>
      <c r="Y718" t="n">
        <v>75.45141</v>
      </c>
      <c r="Z718" t="n">
        <v>69.51988</v>
      </c>
      <c r="AA718" t="n">
        <v>46.80795</v>
      </c>
      <c r="AB718" t="n">
        <v>80.40182</v>
      </c>
      <c r="AC718" t="n">
        <v>48.58194</v>
      </c>
      <c r="AD718" t="n">
        <v>72.1964</v>
      </c>
      <c r="AE718" t="n">
        <v>71.22466</v>
      </c>
    </row>
    <row r="719">
      <c r="A719" s="89" t="n">
        <v>40452</v>
      </c>
      <c r="B719" t="n">
        <v>71.01443</v>
      </c>
      <c r="C719" t="n">
        <v>56.62296</v>
      </c>
      <c r="D719" t="n">
        <v>71.97387000000001</v>
      </c>
      <c r="E719" t="n">
        <v>74.63078</v>
      </c>
      <c r="F719" t="n">
        <v>55.76621</v>
      </c>
      <c r="G719" t="n">
        <v>53.51728</v>
      </c>
      <c r="H719" t="n">
        <v>53.73988</v>
      </c>
      <c r="I719" t="n">
        <v>66.49933</v>
      </c>
      <c r="J719" t="n">
        <v>78.42764</v>
      </c>
      <c r="K719" t="n">
        <v>85.87415</v>
      </c>
      <c r="L719" t="n">
        <v>87.26261</v>
      </c>
      <c r="M719" t="n">
        <v>99.88437999999999</v>
      </c>
      <c r="N719" t="n">
        <v>87.66099</v>
      </c>
      <c r="O719" t="n">
        <v>52.78292</v>
      </c>
      <c r="P719" t="n">
        <v>55.49382</v>
      </c>
      <c r="Q719" t="n">
        <v>86.01361</v>
      </c>
      <c r="R719" t="n">
        <v>67.19504999999999</v>
      </c>
      <c r="S719" t="n">
        <v>88.52056</v>
      </c>
      <c r="T719" t="n">
        <v>71.71471</v>
      </c>
      <c r="U719" t="n">
        <v>55.03181</v>
      </c>
      <c r="V719" t="n">
        <v>77.60080000000001</v>
      </c>
      <c r="W719" t="n">
        <v>69.07841000000001</v>
      </c>
      <c r="X719" t="n">
        <v>73.56043</v>
      </c>
      <c r="Y719" t="n">
        <v>75.78848000000001</v>
      </c>
      <c r="Z719" t="n">
        <v>69.97942999999999</v>
      </c>
      <c r="AA719" t="n">
        <v>47.77947</v>
      </c>
      <c r="AB719" t="n">
        <v>80.93497000000001</v>
      </c>
      <c r="AC719" t="n">
        <v>49.26577</v>
      </c>
      <c r="AD719" t="n">
        <v>72.6036</v>
      </c>
      <c r="AE719" t="n">
        <v>71.67282</v>
      </c>
    </row>
    <row r="720">
      <c r="A720" s="89" t="n">
        <v>40483</v>
      </c>
      <c r="B720" t="n">
        <v>71.95304</v>
      </c>
      <c r="C720" t="n">
        <v>57.50182</v>
      </c>
      <c r="D720" t="n">
        <v>72.13536999999999</v>
      </c>
      <c r="E720" t="n">
        <v>74.9854</v>
      </c>
      <c r="F720" t="n">
        <v>56.60527</v>
      </c>
      <c r="G720" t="n">
        <v>54.4231</v>
      </c>
      <c r="H720" t="n">
        <v>54.18153</v>
      </c>
      <c r="I720" t="n">
        <v>67.34312</v>
      </c>
      <c r="J720" t="n">
        <v>78.4434</v>
      </c>
      <c r="K720" t="n">
        <v>86.3404</v>
      </c>
      <c r="L720" t="n">
        <v>87.36653</v>
      </c>
      <c r="M720" t="n">
        <v>99.5371</v>
      </c>
      <c r="N720" t="n">
        <v>87.78888999999999</v>
      </c>
      <c r="O720" t="n">
        <v>53.52609</v>
      </c>
      <c r="P720" t="n">
        <v>56.39669</v>
      </c>
      <c r="Q720" t="n">
        <v>85.44056999999999</v>
      </c>
      <c r="R720" t="n">
        <v>67.46716000000001</v>
      </c>
      <c r="S720" t="n">
        <v>88.56162</v>
      </c>
      <c r="T720" t="n">
        <v>71.69823</v>
      </c>
      <c r="U720" t="n">
        <v>55.50502</v>
      </c>
      <c r="V720" t="n">
        <v>78.33382</v>
      </c>
      <c r="W720" t="n">
        <v>69.59977000000001</v>
      </c>
      <c r="X720" t="n">
        <v>73.80871999999999</v>
      </c>
      <c r="Y720" t="n">
        <v>76.06313</v>
      </c>
      <c r="Z720" t="n">
        <v>70.36121</v>
      </c>
      <c r="AA720" t="n">
        <v>48.52423</v>
      </c>
      <c r="AB720" t="n">
        <v>81.12514</v>
      </c>
      <c r="AC720" t="n">
        <v>49.95992</v>
      </c>
      <c r="AD720" t="n">
        <v>72.77562</v>
      </c>
      <c r="AE720" t="n">
        <v>72.15703999999999</v>
      </c>
    </row>
    <row r="721">
      <c r="A721" s="89" t="n">
        <v>40513</v>
      </c>
      <c r="B721" t="n">
        <v>72.74876</v>
      </c>
      <c r="C721" t="n">
        <v>57.86961</v>
      </c>
      <c r="D721" t="n">
        <v>72.4734</v>
      </c>
      <c r="E721" t="n">
        <v>75.43483999999999</v>
      </c>
      <c r="F721" t="n">
        <v>57.43983</v>
      </c>
      <c r="G721" t="n">
        <v>55.05651</v>
      </c>
      <c r="H721" t="n">
        <v>54.88058</v>
      </c>
      <c r="I721" t="n">
        <v>68.26316</v>
      </c>
      <c r="J721" t="n">
        <v>78.93680999999999</v>
      </c>
      <c r="K721" t="n">
        <v>87.16083999999999</v>
      </c>
      <c r="L721" t="n">
        <v>87.6657</v>
      </c>
      <c r="M721" t="n">
        <v>98.59267</v>
      </c>
      <c r="N721" t="n">
        <v>87.24401</v>
      </c>
      <c r="O721" t="n">
        <v>54.47383</v>
      </c>
      <c r="P721" t="n">
        <v>57.2337</v>
      </c>
      <c r="Q721" t="n">
        <v>84.94898000000001</v>
      </c>
      <c r="R721" t="n">
        <v>67.69396</v>
      </c>
      <c r="S721" t="n">
        <v>88.52222</v>
      </c>
      <c r="T721" t="n">
        <v>71.71084</v>
      </c>
      <c r="U721" t="n">
        <v>55.57988</v>
      </c>
      <c r="V721" t="n">
        <v>79.02903999999999</v>
      </c>
      <c r="W721" t="n">
        <v>70.06686000000001</v>
      </c>
      <c r="X721" t="n">
        <v>74.03867</v>
      </c>
      <c r="Y721" t="n">
        <v>76.33807</v>
      </c>
      <c r="Z721" t="n">
        <v>70.84219</v>
      </c>
      <c r="AA721" t="n">
        <v>47.7918</v>
      </c>
      <c r="AB721" t="n">
        <v>80.81652</v>
      </c>
      <c r="AC721" t="n">
        <v>51.14685</v>
      </c>
      <c r="AD721" t="n">
        <v>73.04071999999999</v>
      </c>
      <c r="AE721" t="n">
        <v>72.42977999999999</v>
      </c>
    </row>
    <row r="722">
      <c r="A722" s="89" t="n">
        <v>40544</v>
      </c>
      <c r="B722" t="n">
        <v>73.22786000000001</v>
      </c>
      <c r="C722" t="n">
        <v>58.44491</v>
      </c>
      <c r="D722" t="n">
        <v>73.03579000000001</v>
      </c>
      <c r="E722" t="n">
        <v>75.78989</v>
      </c>
      <c r="F722" t="n">
        <v>58.39902</v>
      </c>
      <c r="G722" t="n">
        <v>55.45617</v>
      </c>
      <c r="H722" t="n">
        <v>55.55912</v>
      </c>
      <c r="I722" t="n">
        <v>68.72602000000001</v>
      </c>
      <c r="J722" t="n">
        <v>79.09666</v>
      </c>
      <c r="K722" t="n">
        <v>81.30682</v>
      </c>
      <c r="L722" t="n">
        <v>87.85007</v>
      </c>
      <c r="M722" t="n">
        <v>98.11718999999999</v>
      </c>
      <c r="N722" t="n">
        <v>87.01676</v>
      </c>
      <c r="O722" t="n">
        <v>55.49007</v>
      </c>
      <c r="P722" t="n">
        <v>57.98042</v>
      </c>
      <c r="Q722" t="n">
        <v>84.60115</v>
      </c>
      <c r="R722" t="n">
        <v>67.69942</v>
      </c>
      <c r="S722" t="n">
        <v>88.69604</v>
      </c>
      <c r="T722" t="n">
        <v>72.20598</v>
      </c>
      <c r="U722" t="n">
        <v>56.11072</v>
      </c>
      <c r="V722" t="n">
        <v>79.75375</v>
      </c>
      <c r="W722" t="n">
        <v>70.79733</v>
      </c>
      <c r="X722" t="n">
        <v>74.32223999999999</v>
      </c>
      <c r="Y722" t="n">
        <v>76.4503</v>
      </c>
      <c r="Z722" t="n">
        <v>70.97681</v>
      </c>
      <c r="AA722" t="n">
        <v>49.70212</v>
      </c>
      <c r="AB722" t="n">
        <v>80.35261</v>
      </c>
      <c r="AC722" t="n">
        <v>52.38754</v>
      </c>
      <c r="AD722" t="n">
        <v>73.34487</v>
      </c>
      <c r="AE722" t="n">
        <v>72.86533</v>
      </c>
    </row>
    <row r="723">
      <c r="A723" s="89" t="n">
        <v>40575</v>
      </c>
      <c r="B723" t="n">
        <v>73.86948</v>
      </c>
      <c r="C723" t="n">
        <v>59.5407</v>
      </c>
      <c r="D723" t="n">
        <v>73.47359</v>
      </c>
      <c r="E723" t="n">
        <v>76.29544</v>
      </c>
      <c r="F723" t="n">
        <v>59.35181</v>
      </c>
      <c r="G723" t="n">
        <v>55.77715</v>
      </c>
      <c r="H723" t="n">
        <v>56.08653</v>
      </c>
      <c r="I723" t="n">
        <v>68.98701</v>
      </c>
      <c r="J723" t="n">
        <v>78.79711</v>
      </c>
      <c r="K723" t="n">
        <v>75.29831</v>
      </c>
      <c r="L723" t="n">
        <v>87.74575</v>
      </c>
      <c r="M723" t="n">
        <v>98.27015</v>
      </c>
      <c r="N723" t="n">
        <v>87.52851</v>
      </c>
      <c r="O723" t="n">
        <v>56.01678</v>
      </c>
      <c r="P723" t="n">
        <v>58.48793</v>
      </c>
      <c r="Q723" t="n">
        <v>84.43562</v>
      </c>
      <c r="R723" t="n">
        <v>68.00036</v>
      </c>
      <c r="S723" t="n">
        <v>88.85655</v>
      </c>
      <c r="T723" t="n">
        <v>72.49979</v>
      </c>
      <c r="U723" t="n">
        <v>56.76329</v>
      </c>
      <c r="V723" t="n">
        <v>80.33506</v>
      </c>
      <c r="W723" t="n">
        <v>71.34256000000001</v>
      </c>
      <c r="X723" t="n">
        <v>74.68602</v>
      </c>
      <c r="Y723" t="n">
        <v>76.65054000000001</v>
      </c>
      <c r="Z723" t="n">
        <v>71.13297</v>
      </c>
      <c r="AA723" t="n">
        <v>51.7711</v>
      </c>
      <c r="AB723" t="n">
        <v>80.00396000000001</v>
      </c>
      <c r="AC723" t="n">
        <v>53.4123</v>
      </c>
      <c r="AD723" t="n">
        <v>73.72298000000001</v>
      </c>
      <c r="AE723" t="n">
        <v>73.29535</v>
      </c>
    </row>
    <row r="724">
      <c r="A724" s="89" t="n">
        <v>40603</v>
      </c>
      <c r="B724" t="n">
        <v>74.49147000000001</v>
      </c>
      <c r="C724" t="n">
        <v>60.4278</v>
      </c>
      <c r="D724" t="n">
        <v>74.1172</v>
      </c>
      <c r="E724" t="n">
        <v>76.76052</v>
      </c>
      <c r="F724" t="n">
        <v>60.04799</v>
      </c>
      <c r="G724" t="n">
        <v>56.31684</v>
      </c>
      <c r="H724" t="n">
        <v>56.8927</v>
      </c>
      <c r="I724" t="n">
        <v>69.0921</v>
      </c>
      <c r="J724" t="n">
        <v>78.64122</v>
      </c>
      <c r="K724" t="n">
        <v>76.02874</v>
      </c>
      <c r="L724" t="n">
        <v>87.83842</v>
      </c>
      <c r="M724" t="n">
        <v>98.80054</v>
      </c>
      <c r="N724" t="n">
        <v>87.46158</v>
      </c>
      <c r="O724" t="n">
        <v>56.44234</v>
      </c>
      <c r="P724" t="n">
        <v>59.30288</v>
      </c>
      <c r="Q724" t="n">
        <v>84.49773</v>
      </c>
      <c r="R724" t="n">
        <v>68.41401999999999</v>
      </c>
      <c r="S724" t="n">
        <v>89.05833</v>
      </c>
      <c r="T724" t="n">
        <v>72.80551</v>
      </c>
      <c r="U724" t="n">
        <v>57.43894</v>
      </c>
      <c r="V724" t="n">
        <v>80.56824</v>
      </c>
      <c r="W724" t="n">
        <v>71.77231999999999</v>
      </c>
      <c r="X724" t="n">
        <v>75.15215000000001</v>
      </c>
      <c r="Y724" t="n">
        <v>77.41069</v>
      </c>
      <c r="Z724" t="n">
        <v>72.53009</v>
      </c>
      <c r="AA724" t="n">
        <v>51.65826</v>
      </c>
      <c r="AB724" t="n">
        <v>80.57453</v>
      </c>
      <c r="AC724" t="n">
        <v>54.48426</v>
      </c>
      <c r="AD724" t="n">
        <v>74.09113000000001</v>
      </c>
      <c r="AE724" t="n">
        <v>73.38496000000001</v>
      </c>
    </row>
    <row r="725">
      <c r="A725" s="89" t="n">
        <v>40634</v>
      </c>
      <c r="B725" t="n">
        <v>74.98179</v>
      </c>
      <c r="C725" t="n">
        <v>61.11057</v>
      </c>
      <c r="D725" t="n">
        <v>74.65183</v>
      </c>
      <c r="E725" t="n">
        <v>77.1019</v>
      </c>
      <c r="F725" t="n">
        <v>60.68446</v>
      </c>
      <c r="G725" t="n">
        <v>56.89611</v>
      </c>
      <c r="H725" t="n">
        <v>57.31344</v>
      </c>
      <c r="I725" t="n">
        <v>69.85954</v>
      </c>
      <c r="J725" t="n">
        <v>78.88831999999999</v>
      </c>
      <c r="K725" t="n">
        <v>75.61649</v>
      </c>
      <c r="L725" t="n">
        <v>88.27631</v>
      </c>
      <c r="M725" t="n">
        <v>99.01714</v>
      </c>
      <c r="N725" t="n">
        <v>87.44773000000001</v>
      </c>
      <c r="O725" t="n">
        <v>56.77438</v>
      </c>
      <c r="P725" t="n">
        <v>60.11048</v>
      </c>
      <c r="Q725" t="n">
        <v>84.7855</v>
      </c>
      <c r="R725" t="n">
        <v>68.59537</v>
      </c>
      <c r="S725" t="n">
        <v>89.42379</v>
      </c>
      <c r="T725" t="n">
        <v>73.10723</v>
      </c>
      <c r="U725" t="n">
        <v>58.31168</v>
      </c>
      <c r="V725" t="n">
        <v>81.10872000000001</v>
      </c>
      <c r="W725" t="n">
        <v>72.40072000000001</v>
      </c>
      <c r="X725" t="n">
        <v>75.67097</v>
      </c>
      <c r="Y725" t="n">
        <v>77.94086</v>
      </c>
      <c r="Z725" t="n">
        <v>73.42412</v>
      </c>
      <c r="AA725" t="n">
        <v>52.41533</v>
      </c>
      <c r="AB725" t="n">
        <v>80.99875</v>
      </c>
      <c r="AC725" t="n">
        <v>55.41262</v>
      </c>
      <c r="AD725" t="n">
        <v>74.60802</v>
      </c>
      <c r="AE725" t="n">
        <v>73.36503999999999</v>
      </c>
    </row>
    <row r="726">
      <c r="A726" s="89" t="n">
        <v>40664</v>
      </c>
      <c r="B726" t="n">
        <v>75.37965</v>
      </c>
      <c r="C726" t="n">
        <v>61.97477</v>
      </c>
      <c r="D726" t="n">
        <v>74.84362</v>
      </c>
      <c r="E726" t="n">
        <v>77.58337</v>
      </c>
      <c r="F726" t="n">
        <v>61.3779</v>
      </c>
      <c r="G726" t="n">
        <v>57.37191</v>
      </c>
      <c r="H726" t="n">
        <v>58.03363</v>
      </c>
      <c r="I726" t="n">
        <v>69.64718999999999</v>
      </c>
      <c r="J726" t="n">
        <v>79.5575</v>
      </c>
      <c r="K726" t="n">
        <v>75.28675</v>
      </c>
      <c r="L726" t="n">
        <v>88.5741</v>
      </c>
      <c r="M726" t="n">
        <v>99.05092999999999</v>
      </c>
      <c r="N726" t="n">
        <v>87.8537</v>
      </c>
      <c r="O726" t="n">
        <v>57.20158</v>
      </c>
      <c r="P726" t="n">
        <v>60.80894</v>
      </c>
      <c r="Q726" t="n">
        <v>85.16862</v>
      </c>
      <c r="R726" t="n">
        <v>69.29419</v>
      </c>
      <c r="S726" t="n">
        <v>89.83651999999999</v>
      </c>
      <c r="T726" t="n">
        <v>73.31016</v>
      </c>
      <c r="U726" t="n">
        <v>59.36428</v>
      </c>
      <c r="V726" t="n">
        <v>81.90961</v>
      </c>
      <c r="W726" t="n">
        <v>72.86893000000001</v>
      </c>
      <c r="X726" t="n">
        <v>76.12408000000001</v>
      </c>
      <c r="Y726" t="n">
        <v>78.34063999999999</v>
      </c>
      <c r="Z726" t="n">
        <v>73.23405</v>
      </c>
      <c r="AA726" t="n">
        <v>52.74984</v>
      </c>
      <c r="AB726" t="n">
        <v>80.87933</v>
      </c>
      <c r="AC726" t="n">
        <v>56.44921</v>
      </c>
      <c r="AD726" t="n">
        <v>75.03433</v>
      </c>
      <c r="AE726" t="n">
        <v>73.57944000000001</v>
      </c>
    </row>
    <row r="727">
      <c r="A727" s="89" t="n">
        <v>40695</v>
      </c>
      <c r="B727" t="n">
        <v>75.40486</v>
      </c>
      <c r="C727" t="n">
        <v>62.63065</v>
      </c>
      <c r="D727" t="n">
        <v>75.23924</v>
      </c>
      <c r="E727" t="n">
        <v>77.88132</v>
      </c>
      <c r="F727" t="n">
        <v>62.24108</v>
      </c>
      <c r="G727" t="n">
        <v>58.01869</v>
      </c>
      <c r="H727" t="n">
        <v>59.27311</v>
      </c>
      <c r="I727" t="n">
        <v>68.59155</v>
      </c>
      <c r="J727" t="n">
        <v>79.34805</v>
      </c>
      <c r="K727" t="n">
        <v>75.7316</v>
      </c>
      <c r="L727" t="n">
        <v>88.63486</v>
      </c>
      <c r="M727" t="n">
        <v>98.97846</v>
      </c>
      <c r="N727" t="n">
        <v>88.01828</v>
      </c>
      <c r="O727" t="n">
        <v>57.7276</v>
      </c>
      <c r="P727" t="n">
        <v>61.4224</v>
      </c>
      <c r="Q727" t="n">
        <v>85.61903</v>
      </c>
      <c r="R727" t="n">
        <v>69.96137</v>
      </c>
      <c r="S727" t="n">
        <v>89.89958</v>
      </c>
      <c r="T727" t="n">
        <v>73.9051</v>
      </c>
      <c r="U727" t="n">
        <v>60.27434</v>
      </c>
      <c r="V727" t="n">
        <v>81.92824</v>
      </c>
      <c r="W727" t="n">
        <v>73.33646</v>
      </c>
      <c r="X727" t="n">
        <v>76.64184</v>
      </c>
      <c r="Y727" t="n">
        <v>78.68736</v>
      </c>
      <c r="Z727" t="n">
        <v>73.48196</v>
      </c>
      <c r="AA727" t="n">
        <v>52.99195</v>
      </c>
      <c r="AB727" t="n">
        <v>81.7954</v>
      </c>
      <c r="AC727" t="n">
        <v>57.24609</v>
      </c>
      <c r="AD727" t="n">
        <v>75.73405</v>
      </c>
      <c r="AE727" t="n">
        <v>74.02800000000001</v>
      </c>
    </row>
    <row r="728">
      <c r="A728" s="89" t="n">
        <v>40725</v>
      </c>
      <c r="B728" t="n">
        <v>75.53934</v>
      </c>
      <c r="C728" t="n">
        <v>63.46682</v>
      </c>
      <c r="D728" t="n">
        <v>75.43388</v>
      </c>
      <c r="E728" t="n">
        <v>78.14323</v>
      </c>
      <c r="F728" t="n">
        <v>63.31322</v>
      </c>
      <c r="G728" t="n">
        <v>58.55558</v>
      </c>
      <c r="H728" t="n">
        <v>59.77582</v>
      </c>
      <c r="I728" t="n">
        <v>68.56647</v>
      </c>
      <c r="J728" t="n">
        <v>79.31386000000001</v>
      </c>
      <c r="K728" t="n">
        <v>76.34726999999999</v>
      </c>
      <c r="L728" t="n">
        <v>88.70021</v>
      </c>
      <c r="M728" t="n">
        <v>98.63442999999999</v>
      </c>
      <c r="N728" t="n">
        <v>88.70477</v>
      </c>
      <c r="O728" t="n">
        <v>58.60151</v>
      </c>
      <c r="P728" t="n">
        <v>62.20903</v>
      </c>
      <c r="Q728" t="n">
        <v>86.24661</v>
      </c>
      <c r="R728" t="n">
        <v>70.72091</v>
      </c>
      <c r="S728" t="n">
        <v>90.11855</v>
      </c>
      <c r="T728" t="n">
        <v>74.51775000000001</v>
      </c>
      <c r="U728" t="n">
        <v>61.06907</v>
      </c>
      <c r="V728" t="n">
        <v>81.94293999999999</v>
      </c>
      <c r="W728" t="n">
        <v>73.71680000000001</v>
      </c>
      <c r="X728" t="n">
        <v>77.58501</v>
      </c>
      <c r="Y728" t="n">
        <v>78.95457</v>
      </c>
      <c r="Z728" t="n">
        <v>73.92207000000001</v>
      </c>
      <c r="AA728" t="n">
        <v>53.86195</v>
      </c>
      <c r="AB728" t="n">
        <v>82.35326000000001</v>
      </c>
      <c r="AC728" t="n">
        <v>57.99232</v>
      </c>
      <c r="AD728" t="n">
        <v>77.29636000000001</v>
      </c>
      <c r="AE728" t="n">
        <v>74.42435999999999</v>
      </c>
    </row>
    <row r="729">
      <c r="A729" s="89" t="n">
        <v>40756</v>
      </c>
      <c r="B729" t="n">
        <v>76.37428</v>
      </c>
      <c r="C729" t="n">
        <v>64.48179</v>
      </c>
      <c r="D729" t="n">
        <v>76.3175</v>
      </c>
      <c r="E729" t="n">
        <v>79.10896</v>
      </c>
      <c r="F729" t="n">
        <v>64.47302999999999</v>
      </c>
      <c r="G729" t="n">
        <v>59.06928</v>
      </c>
      <c r="H729" t="n">
        <v>60.91628</v>
      </c>
      <c r="I729" t="n">
        <v>69.05566</v>
      </c>
      <c r="J729" t="n">
        <v>79.57523999999999</v>
      </c>
      <c r="K729" t="n">
        <v>76.93174</v>
      </c>
      <c r="L729" t="n">
        <v>88.89708</v>
      </c>
      <c r="M729" t="n">
        <v>98.56865999999999</v>
      </c>
      <c r="N729" t="n">
        <v>89.48139</v>
      </c>
      <c r="O729" t="n">
        <v>59.96376</v>
      </c>
      <c r="P729" t="n">
        <v>63.00852</v>
      </c>
      <c r="Q729" t="n">
        <v>87.04745</v>
      </c>
      <c r="R729" t="n">
        <v>71.89381</v>
      </c>
      <c r="S729" t="n">
        <v>90.18895999999999</v>
      </c>
      <c r="T729" t="n">
        <v>74.99496000000001</v>
      </c>
      <c r="U729" t="n">
        <v>62.41095</v>
      </c>
      <c r="V729" t="n">
        <v>82.44652000000001</v>
      </c>
      <c r="W729" t="n">
        <v>73.5637</v>
      </c>
      <c r="X729" t="n">
        <v>78.76662</v>
      </c>
      <c r="Y729" t="n">
        <v>79.55723999999999</v>
      </c>
      <c r="Z729" t="n">
        <v>74.76437</v>
      </c>
      <c r="AA729" t="n">
        <v>54.84026</v>
      </c>
      <c r="AB729" t="n">
        <v>83.02489</v>
      </c>
      <c r="AC729" t="n">
        <v>59.05373</v>
      </c>
      <c r="AD729" t="n">
        <v>79.07225</v>
      </c>
      <c r="AE729" t="n">
        <v>75.00812999999999</v>
      </c>
    </row>
    <row r="730">
      <c r="A730" s="89" t="n">
        <v>40787</v>
      </c>
      <c r="B730" t="n">
        <v>77.24563999999999</v>
      </c>
      <c r="C730" t="n">
        <v>65.2611</v>
      </c>
      <c r="D730" t="n">
        <v>77.23936999999999</v>
      </c>
      <c r="E730" t="n">
        <v>80.05459999999999</v>
      </c>
      <c r="F730" t="n">
        <v>65.79044</v>
      </c>
      <c r="G730" t="n">
        <v>59.62149</v>
      </c>
      <c r="H730" t="n">
        <v>62.12552</v>
      </c>
      <c r="I730" t="n">
        <v>69.36189</v>
      </c>
      <c r="J730" t="n">
        <v>79.90622999999999</v>
      </c>
      <c r="K730" t="n">
        <v>79.09152</v>
      </c>
      <c r="L730" t="n">
        <v>89.18056</v>
      </c>
      <c r="M730" t="n">
        <v>98.6588</v>
      </c>
      <c r="N730" t="n">
        <v>90.89677</v>
      </c>
      <c r="O730" t="n">
        <v>60.70778</v>
      </c>
      <c r="P730" t="n">
        <v>63.65287</v>
      </c>
      <c r="Q730" t="n">
        <v>87.82154</v>
      </c>
      <c r="R730" t="n">
        <v>73.13936</v>
      </c>
      <c r="S730" t="n">
        <v>90.38104</v>
      </c>
      <c r="T730" t="n">
        <v>75.57281999999999</v>
      </c>
      <c r="U730" t="n">
        <v>63.49236</v>
      </c>
      <c r="V730" t="n">
        <v>83.23323000000001</v>
      </c>
      <c r="W730" t="n">
        <v>73.47382</v>
      </c>
      <c r="X730" t="n">
        <v>79.21387</v>
      </c>
      <c r="Y730" t="n">
        <v>80.26038</v>
      </c>
      <c r="Z730" t="n">
        <v>76.12429</v>
      </c>
      <c r="AA730" t="n">
        <v>55.55756</v>
      </c>
      <c r="AB730" t="n">
        <v>84.50314</v>
      </c>
      <c r="AC730" t="n">
        <v>59.57923</v>
      </c>
      <c r="AD730" t="n">
        <v>79.27668</v>
      </c>
      <c r="AE730" t="n">
        <v>75.7218</v>
      </c>
    </row>
    <row r="731">
      <c r="A731" s="89" t="n">
        <v>40817</v>
      </c>
      <c r="B731" t="n">
        <v>77.72475</v>
      </c>
      <c r="C731" t="n">
        <v>65.94104</v>
      </c>
      <c r="D731" t="n">
        <v>77.17057</v>
      </c>
      <c r="E731" t="n">
        <v>80.43319</v>
      </c>
      <c r="F731" t="n">
        <v>67.34866</v>
      </c>
      <c r="G731" t="n">
        <v>61.43496</v>
      </c>
      <c r="H731" t="n">
        <v>62.60497</v>
      </c>
      <c r="I731" t="n">
        <v>70.03715</v>
      </c>
      <c r="J731" t="n">
        <v>80.45395000000001</v>
      </c>
      <c r="K731" t="n">
        <v>79.44762</v>
      </c>
      <c r="L731" t="n">
        <v>89.13708</v>
      </c>
      <c r="M731" t="n">
        <v>98.06319000000001</v>
      </c>
      <c r="N731" t="n">
        <v>92.35226</v>
      </c>
      <c r="O731" t="n">
        <v>61.28997</v>
      </c>
      <c r="P731" t="n">
        <v>64.26879</v>
      </c>
      <c r="Q731" t="n">
        <v>88.46034</v>
      </c>
      <c r="R731" t="n">
        <v>73.85062000000001</v>
      </c>
      <c r="S731" t="n">
        <v>90.57961</v>
      </c>
      <c r="T731" t="n">
        <v>75.98859</v>
      </c>
      <c r="U731" t="n">
        <v>64.12192</v>
      </c>
      <c r="V731" t="n">
        <v>84.11108</v>
      </c>
      <c r="W731" t="n">
        <v>74.19101999999999</v>
      </c>
      <c r="X731" t="n">
        <v>79.49816</v>
      </c>
      <c r="Y731" t="n">
        <v>80.36601</v>
      </c>
      <c r="Z731" t="n">
        <v>77.10892</v>
      </c>
      <c r="AA731" t="n">
        <v>57.12065</v>
      </c>
      <c r="AB731" t="n">
        <v>85.23772</v>
      </c>
      <c r="AC731" t="n">
        <v>59.39506</v>
      </c>
      <c r="AD731" t="n">
        <v>79.53928000000001</v>
      </c>
      <c r="AE731" t="n">
        <v>76.58538</v>
      </c>
    </row>
    <row r="732">
      <c r="A732" s="89" t="n">
        <v>40848</v>
      </c>
      <c r="B732" t="n">
        <v>78.06937000000001</v>
      </c>
      <c r="C732" t="n">
        <v>66.53712</v>
      </c>
      <c r="D732" t="n">
        <v>77.59999999999999</v>
      </c>
      <c r="E732" t="n">
        <v>80.61975</v>
      </c>
      <c r="F732" t="n">
        <v>68.59104000000001</v>
      </c>
      <c r="G732" t="n">
        <v>63.38752</v>
      </c>
      <c r="H732" t="n">
        <v>63.65816</v>
      </c>
      <c r="I732" t="n">
        <v>70.82272</v>
      </c>
      <c r="J732" t="n">
        <v>80.84435000000001</v>
      </c>
      <c r="K732" t="n">
        <v>79.29254</v>
      </c>
      <c r="L732" t="n">
        <v>89.05397000000001</v>
      </c>
      <c r="M732" t="n">
        <v>97.30239</v>
      </c>
      <c r="N732" t="n">
        <v>92.57554</v>
      </c>
      <c r="O732" t="n">
        <v>62.23756</v>
      </c>
      <c r="P732" t="n">
        <v>64.91753</v>
      </c>
      <c r="Q732" t="n">
        <v>89.09663999999999</v>
      </c>
      <c r="R732" t="n">
        <v>74.15358999999999</v>
      </c>
      <c r="S732" t="n">
        <v>90.75270999999999</v>
      </c>
      <c r="T732" t="n">
        <v>76.11438</v>
      </c>
      <c r="U732" t="n">
        <v>64.89573</v>
      </c>
      <c r="V732" t="n">
        <v>84.40918000000001</v>
      </c>
      <c r="W732" t="n">
        <v>75.15755</v>
      </c>
      <c r="X732" t="n">
        <v>79.81413999999999</v>
      </c>
      <c r="Y732" t="n">
        <v>80.39232</v>
      </c>
      <c r="Z732" t="n">
        <v>78.11331</v>
      </c>
      <c r="AA732" t="n">
        <v>58.72868</v>
      </c>
      <c r="AB732" t="n">
        <v>85.40746</v>
      </c>
      <c r="AC732" t="n">
        <v>59.53266</v>
      </c>
      <c r="AD732" t="n">
        <v>79.88</v>
      </c>
      <c r="AE732" t="n">
        <v>77.28355999999999</v>
      </c>
    </row>
    <row r="733">
      <c r="A733" s="89" t="n">
        <v>40878</v>
      </c>
      <c r="B733" t="n">
        <v>78.52046</v>
      </c>
      <c r="C733" t="n">
        <v>67.29454</v>
      </c>
      <c r="D733" t="n">
        <v>78.05905</v>
      </c>
      <c r="E733" t="n">
        <v>80.89208000000001</v>
      </c>
      <c r="F733" t="n">
        <v>69.53398</v>
      </c>
      <c r="G733" t="n">
        <v>64.24319</v>
      </c>
      <c r="H733" t="n">
        <v>64.89961</v>
      </c>
      <c r="I733" t="n">
        <v>71.43407999999999</v>
      </c>
      <c r="J733" t="n">
        <v>81.92083</v>
      </c>
      <c r="K733" t="n">
        <v>81.76866</v>
      </c>
      <c r="L733" t="n">
        <v>89.51669</v>
      </c>
      <c r="M733" t="n">
        <v>96.45135000000001</v>
      </c>
      <c r="N733" t="n">
        <v>92.21449</v>
      </c>
      <c r="O733" t="n">
        <v>63.49059</v>
      </c>
      <c r="P733" t="n">
        <v>66.11778</v>
      </c>
      <c r="Q733" t="n">
        <v>89.76569000000001</v>
      </c>
      <c r="R733" t="n">
        <v>75.06892000000001</v>
      </c>
      <c r="S733" t="n">
        <v>90.8215</v>
      </c>
      <c r="T733" t="n">
        <v>76.37112999999999</v>
      </c>
      <c r="U733" t="n">
        <v>65.93689999999999</v>
      </c>
      <c r="V733" t="n">
        <v>84.41723</v>
      </c>
      <c r="W733" t="n">
        <v>75.62839</v>
      </c>
      <c r="X733" t="n">
        <v>80.15416</v>
      </c>
      <c r="Y733" t="n">
        <v>80.6174</v>
      </c>
      <c r="Z733" t="n">
        <v>79.38422</v>
      </c>
      <c r="AA733" t="n">
        <v>57.46039</v>
      </c>
      <c r="AB733" t="n">
        <v>85.87872</v>
      </c>
      <c r="AC733" t="n">
        <v>59.89473</v>
      </c>
      <c r="AD733" t="n">
        <v>80.20244</v>
      </c>
      <c r="AE733" t="n">
        <v>77.96608999999999</v>
      </c>
    </row>
    <row r="734">
      <c r="A734" s="89" t="n">
        <v>40909</v>
      </c>
      <c r="B734" t="n">
        <v>79.09763</v>
      </c>
      <c r="C734" t="n">
        <v>68.71456000000001</v>
      </c>
      <c r="D734" t="n">
        <v>78.76433</v>
      </c>
      <c r="E734" t="n">
        <v>81.32082</v>
      </c>
      <c r="F734" t="n">
        <v>70.5219</v>
      </c>
      <c r="G734" t="n">
        <v>64.82116000000001</v>
      </c>
      <c r="H734" t="n">
        <v>65.65322</v>
      </c>
      <c r="I734" t="n">
        <v>71.90761999999999</v>
      </c>
      <c r="J734" t="n">
        <v>82.56328000000001</v>
      </c>
      <c r="K734" t="n">
        <v>84.16491000000001</v>
      </c>
      <c r="L734" t="n">
        <v>89.73795</v>
      </c>
      <c r="M734" t="n">
        <v>96.28986</v>
      </c>
      <c r="N734" t="n">
        <v>90.48475999999999</v>
      </c>
      <c r="O734" t="n">
        <v>64.91365999999999</v>
      </c>
      <c r="P734" t="n">
        <v>66.79622999999999</v>
      </c>
      <c r="Q734" t="n">
        <v>90.31177</v>
      </c>
      <c r="R734" t="n">
        <v>75.98599</v>
      </c>
      <c r="S734" t="n">
        <v>90.98779</v>
      </c>
      <c r="T734" t="n">
        <v>76.96673</v>
      </c>
      <c r="U734" t="n">
        <v>67.23895</v>
      </c>
      <c r="V734" t="n">
        <v>84.64346</v>
      </c>
      <c r="W734" t="n">
        <v>75.87799</v>
      </c>
      <c r="X734" t="n">
        <v>80.7114</v>
      </c>
      <c r="Y734" t="n">
        <v>80.86682999999999</v>
      </c>
      <c r="Z734" t="n">
        <v>80.27134</v>
      </c>
      <c r="AA734" t="n">
        <v>59.1042</v>
      </c>
      <c r="AB734" t="n">
        <v>87.25421</v>
      </c>
      <c r="AC734" t="n">
        <v>59.84365</v>
      </c>
      <c r="AD734" t="n">
        <v>80.86060000000001</v>
      </c>
      <c r="AE734" t="n">
        <v>78.31601999999999</v>
      </c>
    </row>
    <row r="735">
      <c r="A735" s="89" t="n">
        <v>40940</v>
      </c>
      <c r="B735" t="n">
        <v>79.58795000000001</v>
      </c>
      <c r="C735" t="n">
        <v>70.0731</v>
      </c>
      <c r="D735" t="n">
        <v>78.92345</v>
      </c>
      <c r="E735" t="n">
        <v>81.52385</v>
      </c>
      <c r="F735" t="n">
        <v>71.19262999999999</v>
      </c>
      <c r="G735" t="n">
        <v>65.41077</v>
      </c>
      <c r="H735" t="n">
        <v>66.27585999999999</v>
      </c>
      <c r="I735" t="n">
        <v>72.40846000000001</v>
      </c>
      <c r="J735" t="n">
        <v>82.83096</v>
      </c>
      <c r="K735" t="n">
        <v>86.09287</v>
      </c>
      <c r="L735" t="n">
        <v>89.59878</v>
      </c>
      <c r="M735" t="n">
        <v>96.25864</v>
      </c>
      <c r="N735" t="n">
        <v>88.77193</v>
      </c>
      <c r="O735" t="n">
        <v>65.89452</v>
      </c>
      <c r="P735" t="n">
        <v>66.89743</v>
      </c>
      <c r="Q735" t="n">
        <v>90.6636</v>
      </c>
      <c r="R735" t="n">
        <v>76.53555</v>
      </c>
      <c r="S735" t="n">
        <v>91.11139</v>
      </c>
      <c r="T735" t="n">
        <v>78.08686</v>
      </c>
      <c r="U735" t="n">
        <v>68.11811</v>
      </c>
      <c r="V735" t="n">
        <v>85.24329</v>
      </c>
      <c r="W735" t="n">
        <v>76.2486</v>
      </c>
      <c r="X735" t="n">
        <v>81.05003000000001</v>
      </c>
      <c r="Y735" t="n">
        <v>81.02798</v>
      </c>
      <c r="Z735" t="n">
        <v>80.51809</v>
      </c>
      <c r="AA735" t="n">
        <v>61.81572</v>
      </c>
      <c r="AB735" t="n">
        <v>88.35012999999999</v>
      </c>
      <c r="AC735" t="n">
        <v>59.86065</v>
      </c>
      <c r="AD735" t="n">
        <v>81.21628</v>
      </c>
      <c r="AE735" t="n">
        <v>77.98766999999999</v>
      </c>
    </row>
    <row r="736">
      <c r="A736" s="89" t="n">
        <v>40969</v>
      </c>
      <c r="B736" t="n">
        <v>80.06144999999999</v>
      </c>
      <c r="C736" t="n">
        <v>71.13179</v>
      </c>
      <c r="D736" t="n">
        <v>79.48527</v>
      </c>
      <c r="E736" t="n">
        <v>81.74936</v>
      </c>
      <c r="F736" t="n">
        <v>71.87145</v>
      </c>
      <c r="G736" t="n">
        <v>66.48533999999999</v>
      </c>
      <c r="H736" t="n">
        <v>66.94547</v>
      </c>
      <c r="I736" t="n">
        <v>73.105</v>
      </c>
      <c r="J736" t="n">
        <v>83.13419</v>
      </c>
      <c r="K736" t="n">
        <v>87.40134</v>
      </c>
      <c r="L736" t="n">
        <v>90.12022</v>
      </c>
      <c r="M736" t="n">
        <v>95.75538</v>
      </c>
      <c r="N736" t="n">
        <v>88.35525</v>
      </c>
      <c r="O736" t="n">
        <v>66.83452</v>
      </c>
      <c r="P736" t="n">
        <v>67.42928000000001</v>
      </c>
      <c r="Q736" t="n">
        <v>90.82443000000001</v>
      </c>
      <c r="R736" t="n">
        <v>77.01244</v>
      </c>
      <c r="S736" t="n">
        <v>91.34921</v>
      </c>
      <c r="T736" t="n">
        <v>78.85629</v>
      </c>
      <c r="U736" t="n">
        <v>69.25505</v>
      </c>
      <c r="V736" t="n">
        <v>85.86399</v>
      </c>
      <c r="W736" t="n">
        <v>76.81478</v>
      </c>
      <c r="X736" t="n">
        <v>81.45843000000001</v>
      </c>
      <c r="Y736" t="n">
        <v>81.12199</v>
      </c>
      <c r="Z736" t="n">
        <v>80.39945</v>
      </c>
      <c r="AA736" t="n">
        <v>61.39294</v>
      </c>
      <c r="AB736" t="n">
        <v>88.59372999999999</v>
      </c>
      <c r="AC736" t="n">
        <v>60.38867</v>
      </c>
      <c r="AD736" t="n">
        <v>81.58775</v>
      </c>
      <c r="AE736" t="n">
        <v>78.02681</v>
      </c>
    </row>
    <row r="737">
      <c r="A737" s="89" t="n">
        <v>41000</v>
      </c>
      <c r="B737" t="n">
        <v>80.48453000000001</v>
      </c>
      <c r="C737" t="n">
        <v>72.23718</v>
      </c>
      <c r="D737" t="n">
        <v>79.92704999999999</v>
      </c>
      <c r="E737" t="n">
        <v>82.0864</v>
      </c>
      <c r="F737" t="n">
        <v>72.85785</v>
      </c>
      <c r="G737" t="n">
        <v>67.08028</v>
      </c>
      <c r="H737" t="n">
        <v>67.66934000000001</v>
      </c>
      <c r="I737" t="n">
        <v>73.66714</v>
      </c>
      <c r="J737" t="n">
        <v>83.37272</v>
      </c>
      <c r="K737" t="n">
        <v>88.92050999999999</v>
      </c>
      <c r="L737" t="n">
        <v>90.60513</v>
      </c>
      <c r="M737" t="n">
        <v>96.11391999999999</v>
      </c>
      <c r="N737" t="n">
        <v>87.72055</v>
      </c>
      <c r="O737" t="n">
        <v>67.8466</v>
      </c>
      <c r="P737" t="n">
        <v>68.09089</v>
      </c>
      <c r="Q737" t="n">
        <v>88.87139999999999</v>
      </c>
      <c r="R737" t="n">
        <v>77.37654999999999</v>
      </c>
      <c r="S737" t="n">
        <v>91.48099999999999</v>
      </c>
      <c r="T737" t="n">
        <v>79.04340000000001</v>
      </c>
      <c r="U737" t="n">
        <v>70.31932</v>
      </c>
      <c r="V737" t="n">
        <v>86.13030999999999</v>
      </c>
      <c r="W737" t="n">
        <v>77.51759</v>
      </c>
      <c r="X737" t="n">
        <v>81.93097</v>
      </c>
      <c r="Y737" t="n">
        <v>81.55125</v>
      </c>
      <c r="Z737" t="n">
        <v>80.51199</v>
      </c>
      <c r="AA737" t="n">
        <v>62.16257</v>
      </c>
      <c r="AB737" t="n">
        <v>88.72282</v>
      </c>
      <c r="AC737" t="n">
        <v>61.15369</v>
      </c>
      <c r="AD737" t="n">
        <v>82.03899</v>
      </c>
      <c r="AE737" t="n">
        <v>78.04566</v>
      </c>
    </row>
    <row r="738">
      <c r="A738" s="89" t="n">
        <v>41030</v>
      </c>
      <c r="B738" t="n">
        <v>81.15415</v>
      </c>
      <c r="C738" t="n">
        <v>73.23044</v>
      </c>
      <c r="D738" t="n">
        <v>80.36031</v>
      </c>
      <c r="E738" t="n">
        <v>82.47020999999999</v>
      </c>
      <c r="F738" t="n">
        <v>73.78752</v>
      </c>
      <c r="G738" t="n">
        <v>67.52428999999999</v>
      </c>
      <c r="H738" t="n">
        <v>68.54301</v>
      </c>
      <c r="I738" t="n">
        <v>74.03765</v>
      </c>
      <c r="J738" t="n">
        <v>84.00615999999999</v>
      </c>
      <c r="K738" t="n">
        <v>89.34407</v>
      </c>
      <c r="L738" t="n">
        <v>90.79661</v>
      </c>
      <c r="M738" t="n">
        <v>96.54686</v>
      </c>
      <c r="N738" t="n">
        <v>87.64536</v>
      </c>
      <c r="O738" t="n">
        <v>68.89955999999999</v>
      </c>
      <c r="P738" t="n">
        <v>68.91785</v>
      </c>
      <c r="Q738" t="n">
        <v>86.73504</v>
      </c>
      <c r="R738" t="n">
        <v>77.79913000000001</v>
      </c>
      <c r="S738" t="n">
        <v>91.53436000000001</v>
      </c>
      <c r="T738" t="n">
        <v>79.50264</v>
      </c>
      <c r="U738" t="n">
        <v>71.10778999999999</v>
      </c>
      <c r="V738" t="n">
        <v>85.73829000000001</v>
      </c>
      <c r="W738" t="n">
        <v>78.06555</v>
      </c>
      <c r="X738" t="n">
        <v>82.26061</v>
      </c>
      <c r="Y738" t="n">
        <v>81.9787</v>
      </c>
      <c r="Z738" t="n">
        <v>81.05106000000001</v>
      </c>
      <c r="AA738" t="n">
        <v>62.87664</v>
      </c>
      <c r="AB738" t="n">
        <v>88.26324</v>
      </c>
      <c r="AC738" t="n">
        <v>61.8203</v>
      </c>
      <c r="AD738" t="n">
        <v>82.30242</v>
      </c>
      <c r="AE738" t="n">
        <v>78.23859</v>
      </c>
    </row>
    <row r="739">
      <c r="A739" s="89" t="n">
        <v>41061</v>
      </c>
      <c r="B739" t="n">
        <v>81.88822999999999</v>
      </c>
      <c r="C739" t="n">
        <v>73.97526999999999</v>
      </c>
      <c r="D739" t="n">
        <v>80.71245999999999</v>
      </c>
      <c r="E739" t="n">
        <v>83.65176</v>
      </c>
      <c r="F739" t="n">
        <v>74.40709</v>
      </c>
      <c r="G739" t="n">
        <v>68.55728000000001</v>
      </c>
      <c r="H739" t="n">
        <v>69.03016</v>
      </c>
      <c r="I739" t="n">
        <v>74.4418</v>
      </c>
      <c r="J739" t="n">
        <v>84.24619</v>
      </c>
      <c r="K739" t="n">
        <v>89.5087</v>
      </c>
      <c r="L739" t="n">
        <v>91.14915000000001</v>
      </c>
      <c r="M739" t="n">
        <v>96.56005</v>
      </c>
      <c r="N739" t="n">
        <v>88.14896</v>
      </c>
      <c r="O739" t="n">
        <v>69.80886</v>
      </c>
      <c r="P739" t="n">
        <v>70.32758</v>
      </c>
      <c r="Q739" t="n">
        <v>86.40366</v>
      </c>
      <c r="R739" t="n">
        <v>78.54662999999999</v>
      </c>
      <c r="S739" t="n">
        <v>91.65026</v>
      </c>
      <c r="T739" t="n">
        <v>80.06842</v>
      </c>
      <c r="U739" t="n">
        <v>72.50288</v>
      </c>
      <c r="V739" t="n">
        <v>85.98293</v>
      </c>
      <c r="W739" t="n">
        <v>78.53787</v>
      </c>
      <c r="X739" t="n">
        <v>82.78694</v>
      </c>
      <c r="Y739" t="n">
        <v>82.34791</v>
      </c>
      <c r="Z739" t="n">
        <v>81.63194</v>
      </c>
      <c r="AA739" t="n">
        <v>63.48284</v>
      </c>
      <c r="AB739" t="n">
        <v>87.53909</v>
      </c>
      <c r="AC739" t="n">
        <v>62.51052</v>
      </c>
      <c r="AD739" t="n">
        <v>82.88247</v>
      </c>
      <c r="AE739" t="n">
        <v>78.96225</v>
      </c>
    </row>
    <row r="740">
      <c r="A740" s="89" t="n">
        <v>41091</v>
      </c>
      <c r="B740" t="n">
        <v>82.30289</v>
      </c>
      <c r="C740" t="n">
        <v>74.72275</v>
      </c>
      <c r="D740" t="n">
        <v>81.13894000000001</v>
      </c>
      <c r="E740" t="n">
        <v>85.17650999999999</v>
      </c>
      <c r="F740" t="n">
        <v>74.86924999999999</v>
      </c>
      <c r="G740" t="n">
        <v>69.49875</v>
      </c>
      <c r="H740" t="n">
        <v>69.10374</v>
      </c>
      <c r="I740" t="n">
        <v>74.86073</v>
      </c>
      <c r="J740" t="n">
        <v>84.402</v>
      </c>
      <c r="K740" t="n">
        <v>89.12922</v>
      </c>
      <c r="L740" t="n">
        <v>91.45948</v>
      </c>
      <c r="M740" t="n">
        <v>96.70111</v>
      </c>
      <c r="N740" t="n">
        <v>87.87935</v>
      </c>
      <c r="O740" t="n">
        <v>70.31336</v>
      </c>
      <c r="P740" t="n">
        <v>71.29208</v>
      </c>
      <c r="Q740" t="n">
        <v>85.98086000000001</v>
      </c>
      <c r="R740" t="n">
        <v>79.42752</v>
      </c>
      <c r="S740" t="n">
        <v>91.88831</v>
      </c>
      <c r="T740" t="n">
        <v>80.48993</v>
      </c>
      <c r="U740" t="n">
        <v>73.88387</v>
      </c>
      <c r="V740" t="n">
        <v>86.76743999999999</v>
      </c>
      <c r="W740" t="n">
        <v>79.46033</v>
      </c>
      <c r="X740" t="n">
        <v>83.33384</v>
      </c>
      <c r="Y740" t="n">
        <v>82.66592</v>
      </c>
      <c r="Z740" t="n">
        <v>82.02043</v>
      </c>
      <c r="AA740" t="n">
        <v>64.55473000000001</v>
      </c>
      <c r="AB740" t="n">
        <v>87.2321</v>
      </c>
      <c r="AC740" t="n">
        <v>62.95073</v>
      </c>
      <c r="AD740" t="n">
        <v>83.49078</v>
      </c>
      <c r="AE740" t="n">
        <v>79.98359000000001</v>
      </c>
    </row>
    <row r="741">
      <c r="A741" s="89" t="n">
        <v>41122</v>
      </c>
      <c r="B741" t="n">
        <v>82.79321</v>
      </c>
      <c r="C741" t="n">
        <v>75.66347</v>
      </c>
      <c r="D741" t="n">
        <v>81.26053</v>
      </c>
      <c r="E741" t="n">
        <v>86.08814</v>
      </c>
      <c r="F741" t="n">
        <v>75.02143</v>
      </c>
      <c r="G741" t="n">
        <v>70.10145</v>
      </c>
      <c r="H741" t="n">
        <v>69.98135000000001</v>
      </c>
      <c r="I741" t="n">
        <v>75.39249</v>
      </c>
      <c r="J741" t="n">
        <v>84.52585000000001</v>
      </c>
      <c r="K741" t="n">
        <v>88.96509</v>
      </c>
      <c r="L741" t="n">
        <v>91.48078</v>
      </c>
      <c r="M741" t="n">
        <v>96.86789</v>
      </c>
      <c r="N741" t="n">
        <v>87.83728000000001</v>
      </c>
      <c r="O741" t="n">
        <v>71.00194999999999</v>
      </c>
      <c r="P741" t="n">
        <v>71.69177999999999</v>
      </c>
      <c r="Q741" t="n">
        <v>85.45679</v>
      </c>
      <c r="R741" t="n">
        <v>80.17666</v>
      </c>
      <c r="S741" t="n">
        <v>92.0843</v>
      </c>
      <c r="T741" t="n">
        <v>80.71666999999999</v>
      </c>
      <c r="U741" t="n">
        <v>74.63194</v>
      </c>
      <c r="V741" t="n">
        <v>87.10258</v>
      </c>
      <c r="W741" t="n">
        <v>79.9567</v>
      </c>
      <c r="X741" t="n">
        <v>83.79951</v>
      </c>
      <c r="Y741" t="n">
        <v>82.99139</v>
      </c>
      <c r="Z741" t="n">
        <v>82.52744</v>
      </c>
      <c r="AA741" t="n">
        <v>65.27005</v>
      </c>
      <c r="AB741" t="n">
        <v>87.51266</v>
      </c>
      <c r="AC741" t="n">
        <v>63.36629</v>
      </c>
      <c r="AD741" t="n">
        <v>84.08163</v>
      </c>
      <c r="AE741" t="n">
        <v>80.87685</v>
      </c>
    </row>
    <row r="742">
      <c r="A742" s="89" t="n">
        <v>41153</v>
      </c>
      <c r="B742" t="n">
        <v>83.2499</v>
      </c>
      <c r="C742" t="n">
        <v>76.32504</v>
      </c>
      <c r="D742" t="n">
        <v>81.27236000000001</v>
      </c>
      <c r="E742" t="n">
        <v>86.83638999999999</v>
      </c>
      <c r="F742" t="n">
        <v>75.12732</v>
      </c>
      <c r="G742" t="n">
        <v>71.00095</v>
      </c>
      <c r="H742" t="n">
        <v>71.63311</v>
      </c>
      <c r="I742" t="n">
        <v>76.64977</v>
      </c>
      <c r="J742" t="n">
        <v>84.28344</v>
      </c>
      <c r="K742" t="n">
        <v>90.06131999999999</v>
      </c>
      <c r="L742" t="n">
        <v>91.42384</v>
      </c>
      <c r="M742" t="n">
        <v>96.94435</v>
      </c>
      <c r="N742" t="n">
        <v>88.20502</v>
      </c>
      <c r="O742" t="n">
        <v>71.67303</v>
      </c>
      <c r="P742" t="n">
        <v>72.33672</v>
      </c>
      <c r="Q742" t="n">
        <v>85.01085</v>
      </c>
      <c r="R742" t="n">
        <v>80.49339999999999</v>
      </c>
      <c r="S742" t="n">
        <v>92.26694999999999</v>
      </c>
      <c r="T742" t="n">
        <v>81.07974</v>
      </c>
      <c r="U742" t="n">
        <v>75.41701</v>
      </c>
      <c r="V742" t="n">
        <v>87.63763</v>
      </c>
      <c r="W742" t="n">
        <v>79.97619</v>
      </c>
      <c r="X742" t="n">
        <v>84.31236</v>
      </c>
      <c r="Y742" t="n">
        <v>83.44548</v>
      </c>
      <c r="Z742" t="n">
        <v>82.72402</v>
      </c>
      <c r="AA742" t="n">
        <v>65.50058</v>
      </c>
      <c r="AB742" t="n">
        <v>88.43702999999999</v>
      </c>
      <c r="AC742" t="n">
        <v>64.1832</v>
      </c>
      <c r="AD742" t="n">
        <v>84.76555999999999</v>
      </c>
      <c r="AE742" t="n">
        <v>81.33127</v>
      </c>
    </row>
    <row r="743">
      <c r="A743" s="89" t="n">
        <v>41183</v>
      </c>
      <c r="B743" t="n">
        <v>83.60293</v>
      </c>
      <c r="C743" t="n">
        <v>77.17089</v>
      </c>
      <c r="D743" t="n">
        <v>81.79619</v>
      </c>
      <c r="E743" t="n">
        <v>87.50557000000001</v>
      </c>
      <c r="F743" t="n">
        <v>75.50842</v>
      </c>
      <c r="G743" t="n">
        <v>71.9157</v>
      </c>
      <c r="H743" t="n">
        <v>72.84372999999999</v>
      </c>
      <c r="I743" t="n">
        <v>77.37618000000001</v>
      </c>
      <c r="J743" t="n">
        <v>84.62454</v>
      </c>
      <c r="K743" t="n">
        <v>88.23862</v>
      </c>
      <c r="L743" t="n">
        <v>91.7403</v>
      </c>
      <c r="M743" t="n">
        <v>97.22631</v>
      </c>
      <c r="N743" t="n">
        <v>88.82182</v>
      </c>
      <c r="O743" t="n">
        <v>72.45862</v>
      </c>
      <c r="P743" t="n">
        <v>72.80526</v>
      </c>
      <c r="Q743" t="n">
        <v>84.74043</v>
      </c>
      <c r="R743" t="n">
        <v>80.4716</v>
      </c>
      <c r="S743" t="n">
        <v>92.36005</v>
      </c>
      <c r="T743" t="n">
        <v>81.58524</v>
      </c>
      <c r="U743" t="n">
        <v>76.16461</v>
      </c>
      <c r="V743" t="n">
        <v>87.97114000000001</v>
      </c>
      <c r="W743" t="n">
        <v>80.31755</v>
      </c>
      <c r="X743" t="n">
        <v>84.7563</v>
      </c>
      <c r="Y743" t="n">
        <v>83.88898</v>
      </c>
      <c r="Z743" t="n">
        <v>83.04114</v>
      </c>
      <c r="AA743" t="n">
        <v>66.17779</v>
      </c>
      <c r="AB743" t="n">
        <v>88.61036</v>
      </c>
      <c r="AC743" t="n">
        <v>65.1343</v>
      </c>
      <c r="AD743" t="n">
        <v>85.27332</v>
      </c>
      <c r="AE743" t="n">
        <v>81.548</v>
      </c>
    </row>
    <row r="744">
      <c r="A744" s="89" t="n">
        <v>41214</v>
      </c>
      <c r="B744" t="n">
        <v>83.92794000000001</v>
      </c>
      <c r="C744" t="n">
        <v>78.17036</v>
      </c>
      <c r="D744" t="n">
        <v>82.05895</v>
      </c>
      <c r="E744" t="n">
        <v>87.96550999999999</v>
      </c>
      <c r="F744" t="n">
        <v>75.92278</v>
      </c>
      <c r="G744" t="n">
        <v>72.58514</v>
      </c>
      <c r="H744" t="n">
        <v>73.39276</v>
      </c>
      <c r="I744" t="n">
        <v>77.55235</v>
      </c>
      <c r="J744" t="n">
        <v>85.26009000000001</v>
      </c>
      <c r="K744" t="n">
        <v>84.88836999999999</v>
      </c>
      <c r="L744" t="n">
        <v>92.01973</v>
      </c>
      <c r="M744" t="n">
        <v>97.08759000000001</v>
      </c>
      <c r="N744" t="n">
        <v>88.83918</v>
      </c>
      <c r="O744" t="n">
        <v>73.42202</v>
      </c>
      <c r="P744" t="n">
        <v>73.48820000000001</v>
      </c>
      <c r="Q744" t="n">
        <v>84.57143000000001</v>
      </c>
      <c r="R744" t="n">
        <v>80.53146</v>
      </c>
      <c r="S744" t="n">
        <v>92.39689</v>
      </c>
      <c r="T744" t="n">
        <v>82.10081</v>
      </c>
      <c r="U744" t="n">
        <v>76.85172</v>
      </c>
      <c r="V744" t="n">
        <v>88.40260000000001</v>
      </c>
      <c r="W744" t="n">
        <v>80.93376000000001</v>
      </c>
      <c r="X744" t="n">
        <v>85.11451</v>
      </c>
      <c r="Y744" t="n">
        <v>84.01921</v>
      </c>
      <c r="Z744" t="n">
        <v>83.37549</v>
      </c>
      <c r="AA744" t="n">
        <v>66.68761000000001</v>
      </c>
      <c r="AB744" t="n">
        <v>88.18549</v>
      </c>
      <c r="AC744" t="n">
        <v>65.77866</v>
      </c>
      <c r="AD744" t="n">
        <v>85.76029</v>
      </c>
      <c r="AE744" t="n">
        <v>81.96606</v>
      </c>
    </row>
    <row r="745">
      <c r="A745" s="89" t="n">
        <v>41244</v>
      </c>
      <c r="B745" t="n">
        <v>84.29218</v>
      </c>
      <c r="C745" t="n">
        <v>78.49213</v>
      </c>
      <c r="D745" t="n">
        <v>82.42165</v>
      </c>
      <c r="E745" t="n">
        <v>88.68129</v>
      </c>
      <c r="F745" t="n">
        <v>76.28474</v>
      </c>
      <c r="G745" t="n">
        <v>73.51533999999999</v>
      </c>
      <c r="H745" t="n">
        <v>74.65823</v>
      </c>
      <c r="I745" t="n">
        <v>78.27812</v>
      </c>
      <c r="J745" t="n">
        <v>85.96889</v>
      </c>
      <c r="K745" t="n">
        <v>84.08908</v>
      </c>
      <c r="L745" t="n">
        <v>92.27063</v>
      </c>
      <c r="M745" t="n">
        <v>97.62595</v>
      </c>
      <c r="N745" t="n">
        <v>88.56676</v>
      </c>
      <c r="O745" t="n">
        <v>73.95171000000001</v>
      </c>
      <c r="P745" t="n">
        <v>74.17709000000001</v>
      </c>
      <c r="Q745" t="n">
        <v>84.50312</v>
      </c>
      <c r="R745" t="n">
        <v>80.54035</v>
      </c>
      <c r="S745" t="n">
        <v>92.77562</v>
      </c>
      <c r="T745" t="n">
        <v>82.55526</v>
      </c>
      <c r="U745" t="n">
        <v>77.70562</v>
      </c>
      <c r="V745" t="n">
        <v>88.50623</v>
      </c>
      <c r="W745" t="n">
        <v>81.97331</v>
      </c>
      <c r="X745" t="n">
        <v>85.83772</v>
      </c>
      <c r="Y745" t="n">
        <v>84.38182</v>
      </c>
      <c r="Z745" t="n">
        <v>83.41615</v>
      </c>
      <c r="AA745" t="n">
        <v>64.97565</v>
      </c>
      <c r="AB745" t="n">
        <v>88.6028</v>
      </c>
      <c r="AC745" t="n">
        <v>66.17831</v>
      </c>
      <c r="AD745" t="n">
        <v>86.80571</v>
      </c>
      <c r="AE745" t="n">
        <v>82.64661</v>
      </c>
    </row>
    <row r="746">
      <c r="A746" s="89" t="n">
        <v>41275</v>
      </c>
      <c r="B746" t="n">
        <v>84.81891</v>
      </c>
      <c r="C746" t="n">
        <v>79.04226</v>
      </c>
      <c r="D746" t="n">
        <v>82.79349000000001</v>
      </c>
      <c r="E746" t="n">
        <v>89.15607</v>
      </c>
      <c r="F746" t="n">
        <v>76.69441</v>
      </c>
      <c r="G746" t="n">
        <v>74.64398</v>
      </c>
      <c r="H746" t="n">
        <v>75.81990999999999</v>
      </c>
      <c r="I746" t="n">
        <v>78.93889</v>
      </c>
      <c r="J746" t="n">
        <v>86.49627</v>
      </c>
      <c r="K746" t="n">
        <v>80.80392999999999</v>
      </c>
      <c r="L746" t="n">
        <v>92.21375</v>
      </c>
      <c r="M746" t="n">
        <v>98.97781000000001</v>
      </c>
      <c r="N746" t="n">
        <v>89.26303</v>
      </c>
      <c r="O746" t="n">
        <v>74.59144999999999</v>
      </c>
      <c r="P746" t="n">
        <v>74.86604</v>
      </c>
      <c r="Q746" t="n">
        <v>84.52992999999999</v>
      </c>
      <c r="R746" t="n">
        <v>80.55868</v>
      </c>
      <c r="S746" t="n">
        <v>93.01846</v>
      </c>
      <c r="T746" t="n">
        <v>83.07156999999999</v>
      </c>
      <c r="U746" t="n">
        <v>78.7556</v>
      </c>
      <c r="V746" t="n">
        <v>88.53660000000001</v>
      </c>
      <c r="W746" t="n">
        <v>82.80458</v>
      </c>
      <c r="X746" t="n">
        <v>86.23784999999999</v>
      </c>
      <c r="Y746" t="n">
        <v>85.0703</v>
      </c>
      <c r="Z746" t="n">
        <v>83.88326000000001</v>
      </c>
      <c r="AA746" t="n">
        <v>66.85439</v>
      </c>
      <c r="AB746" t="n">
        <v>89.10365</v>
      </c>
      <c r="AC746" t="n">
        <v>66.96716000000001</v>
      </c>
      <c r="AD746" t="n">
        <v>87.01761999999999</v>
      </c>
      <c r="AE746" t="n">
        <v>83.25739</v>
      </c>
    </row>
    <row r="747">
      <c r="A747" s="89" t="n">
        <v>41306</v>
      </c>
      <c r="B747" t="n">
        <v>85.18875</v>
      </c>
      <c r="C747" t="n">
        <v>79.9045</v>
      </c>
      <c r="D747" t="n">
        <v>83.55201</v>
      </c>
      <c r="E747" t="n">
        <v>89.32658000000001</v>
      </c>
      <c r="F747" t="n">
        <v>77.32964</v>
      </c>
      <c r="G747" t="n">
        <v>75.58743</v>
      </c>
      <c r="H747" t="n">
        <v>76.29169</v>
      </c>
      <c r="I747" t="n">
        <v>78.84513</v>
      </c>
      <c r="J747" t="n">
        <v>86.72216</v>
      </c>
      <c r="K747" t="n">
        <v>76.57006</v>
      </c>
      <c r="L747" t="n">
        <v>91.96128</v>
      </c>
      <c r="M747" t="n">
        <v>99.73572</v>
      </c>
      <c r="N747" t="n">
        <v>90.44401000000001</v>
      </c>
      <c r="O747" t="n">
        <v>75.65025</v>
      </c>
      <c r="P747" t="n">
        <v>75.50530999999999</v>
      </c>
      <c r="Q747" t="n">
        <v>84.60297</v>
      </c>
      <c r="R747" t="n">
        <v>80.69258000000001</v>
      </c>
      <c r="S747" t="n">
        <v>93.31528</v>
      </c>
      <c r="T747" t="n">
        <v>83.65388</v>
      </c>
      <c r="U747" t="n">
        <v>79.49027</v>
      </c>
      <c r="V747" t="n">
        <v>88.91455000000001</v>
      </c>
      <c r="W747" t="n">
        <v>83.39748</v>
      </c>
      <c r="X747" t="n">
        <v>86.48998</v>
      </c>
      <c r="Y747" t="n">
        <v>85.55399</v>
      </c>
      <c r="Z747" t="n">
        <v>84.59865000000001</v>
      </c>
      <c r="AA747" t="n">
        <v>69.89341</v>
      </c>
      <c r="AB747" t="n">
        <v>89.14943</v>
      </c>
      <c r="AC747" t="n">
        <v>67.82664</v>
      </c>
      <c r="AD747" t="n">
        <v>86.99269</v>
      </c>
      <c r="AE747" t="n">
        <v>83.84638</v>
      </c>
    </row>
    <row r="748">
      <c r="A748" s="89" t="n">
        <v>41334</v>
      </c>
      <c r="B748" t="n">
        <v>85.5838</v>
      </c>
      <c r="C748" t="n">
        <v>80.45747</v>
      </c>
      <c r="D748" t="n">
        <v>83.89873</v>
      </c>
      <c r="E748" t="n">
        <v>89.75252999999999</v>
      </c>
      <c r="F748" t="n">
        <v>78.25158</v>
      </c>
      <c r="G748" t="n">
        <v>76.81238999999999</v>
      </c>
      <c r="H748" t="n">
        <v>77.56339</v>
      </c>
      <c r="I748" t="n">
        <v>79.02409</v>
      </c>
      <c r="J748" t="n">
        <v>87.02673</v>
      </c>
      <c r="K748" t="n">
        <v>75.79485</v>
      </c>
      <c r="L748" t="n">
        <v>92.22490999999999</v>
      </c>
      <c r="M748" t="n">
        <v>99.96608999999999</v>
      </c>
      <c r="N748" t="n">
        <v>92.16562999999999</v>
      </c>
      <c r="O748" t="n">
        <v>76.57335</v>
      </c>
      <c r="P748" t="n">
        <v>76.46850000000001</v>
      </c>
      <c r="Q748" t="n">
        <v>84.74718</v>
      </c>
      <c r="R748" t="n">
        <v>81.4293</v>
      </c>
      <c r="S748" t="n">
        <v>93.63892</v>
      </c>
      <c r="T748" t="n">
        <v>84.17162</v>
      </c>
      <c r="U748" t="n">
        <v>80.50002000000001</v>
      </c>
      <c r="V748" t="n">
        <v>89.16238</v>
      </c>
      <c r="W748" t="n">
        <v>84.03014</v>
      </c>
      <c r="X748" t="n">
        <v>87.04443000000001</v>
      </c>
      <c r="Y748" t="n">
        <v>86.0423</v>
      </c>
      <c r="Z748" t="n">
        <v>85.35046</v>
      </c>
      <c r="AA748" t="n">
        <v>70.13726</v>
      </c>
      <c r="AB748" t="n">
        <v>89.34601000000001</v>
      </c>
      <c r="AC748" t="n">
        <v>68.66079999999999</v>
      </c>
      <c r="AD748" t="n">
        <v>87.58687</v>
      </c>
      <c r="AE748" t="n">
        <v>84.27158</v>
      </c>
    </row>
    <row r="749">
      <c r="A749" s="89" t="n">
        <v>41365</v>
      </c>
      <c r="B749" t="n">
        <v>86.22821999999999</v>
      </c>
      <c r="C749" t="n">
        <v>81.18037</v>
      </c>
      <c r="D749" t="n">
        <v>84.50842</v>
      </c>
      <c r="E749" t="n">
        <v>90.34921</v>
      </c>
      <c r="F749" t="n">
        <v>79.28793</v>
      </c>
      <c r="G749" t="n">
        <v>77.81362</v>
      </c>
      <c r="H749" t="n">
        <v>78.73676</v>
      </c>
      <c r="I749" t="n">
        <v>79.85469000000001</v>
      </c>
      <c r="J749" t="n">
        <v>87.29488000000001</v>
      </c>
      <c r="K749" t="n">
        <v>74.7774</v>
      </c>
      <c r="L749" t="n">
        <v>92.68789</v>
      </c>
      <c r="M749" t="n">
        <v>100.1697</v>
      </c>
      <c r="N749" t="n">
        <v>93.01155</v>
      </c>
      <c r="O749" t="n">
        <v>77.55507</v>
      </c>
      <c r="P749" t="n">
        <v>77.27903999999999</v>
      </c>
      <c r="Q749" t="n">
        <v>84.97607000000001</v>
      </c>
      <c r="R749" t="n">
        <v>82.59081999999999</v>
      </c>
      <c r="S749" t="n">
        <v>93.84923000000001</v>
      </c>
      <c r="T749" t="n">
        <v>84.54729</v>
      </c>
      <c r="U749" t="n">
        <v>81.53625</v>
      </c>
      <c r="V749" t="n">
        <v>89.54102</v>
      </c>
      <c r="W749" t="n">
        <v>84.39964000000001</v>
      </c>
      <c r="X749" t="n">
        <v>87.46883</v>
      </c>
      <c r="Y749" t="n">
        <v>86.54473</v>
      </c>
      <c r="Z749" t="n">
        <v>86.14792</v>
      </c>
      <c r="AA749" t="n">
        <v>71.84508</v>
      </c>
      <c r="AB749" t="n">
        <v>89.46212</v>
      </c>
      <c r="AC749" t="n">
        <v>69.63083</v>
      </c>
      <c r="AD749" t="n">
        <v>87.88105</v>
      </c>
      <c r="AE749" t="n">
        <v>84.91334999999999</v>
      </c>
    </row>
    <row r="750">
      <c r="A750" s="89" t="n">
        <v>41395</v>
      </c>
      <c r="B750" t="n">
        <v>87.00712</v>
      </c>
      <c r="C750" t="n">
        <v>82.07146</v>
      </c>
      <c r="D750" t="n">
        <v>85.05571999999999</v>
      </c>
      <c r="E750" t="n">
        <v>90.76282999999999</v>
      </c>
      <c r="F750" t="n">
        <v>80.26953</v>
      </c>
      <c r="G750" t="n">
        <v>78.28904</v>
      </c>
      <c r="H750" t="n">
        <v>79.60379</v>
      </c>
      <c r="I750" t="n">
        <v>80.64661</v>
      </c>
      <c r="J750" t="n">
        <v>87.51375</v>
      </c>
      <c r="K750" t="n">
        <v>73.7961</v>
      </c>
      <c r="L750" t="n">
        <v>92.9295</v>
      </c>
      <c r="M750" t="n">
        <v>100.6309</v>
      </c>
      <c r="N750" t="n">
        <v>92.57471</v>
      </c>
      <c r="O750" t="n">
        <v>78.809</v>
      </c>
      <c r="P750" t="n">
        <v>78.24915</v>
      </c>
      <c r="Q750" t="n">
        <v>85.24466</v>
      </c>
      <c r="R750" t="n">
        <v>83.53326</v>
      </c>
      <c r="S750" t="n">
        <v>94.11982999999999</v>
      </c>
      <c r="T750" t="n">
        <v>84.77185</v>
      </c>
      <c r="U750" t="n">
        <v>81.94837</v>
      </c>
      <c r="V750" t="n">
        <v>90.07943</v>
      </c>
      <c r="W750" t="n">
        <v>85.0979</v>
      </c>
      <c r="X750" t="n">
        <v>87.87394999999999</v>
      </c>
      <c r="Y750" t="n">
        <v>87.14322</v>
      </c>
      <c r="Z750" t="n">
        <v>86.69123</v>
      </c>
      <c r="AA750" t="n">
        <v>73.16728000000001</v>
      </c>
      <c r="AB750" t="n">
        <v>89.72333999999999</v>
      </c>
      <c r="AC750" t="n">
        <v>70.86833</v>
      </c>
      <c r="AD750" t="n">
        <v>88.18188000000001</v>
      </c>
      <c r="AE750" t="n">
        <v>85.64944</v>
      </c>
    </row>
    <row r="751">
      <c r="A751" s="89" t="n">
        <v>41426</v>
      </c>
      <c r="B751" t="n">
        <v>87.47501</v>
      </c>
      <c r="C751" t="n">
        <v>82.77863000000001</v>
      </c>
      <c r="D751" t="n">
        <v>85.59164</v>
      </c>
      <c r="E751" t="n">
        <v>92.48027999999999</v>
      </c>
      <c r="F751" t="n">
        <v>81.26159</v>
      </c>
      <c r="G751" t="n">
        <v>78.77515</v>
      </c>
      <c r="H751" t="n">
        <v>80.81552000000001</v>
      </c>
      <c r="I751" t="n">
        <v>81.76658</v>
      </c>
      <c r="J751" t="n">
        <v>87.48614000000001</v>
      </c>
      <c r="K751" t="n">
        <v>73.85035000000001</v>
      </c>
      <c r="L751" t="n">
        <v>92.90138</v>
      </c>
      <c r="M751" t="n">
        <v>101.1767</v>
      </c>
      <c r="N751" t="n">
        <v>92.28367</v>
      </c>
      <c r="O751" t="n">
        <v>78.87822</v>
      </c>
      <c r="P751" t="n">
        <v>79.79736</v>
      </c>
      <c r="Q751" t="n">
        <v>85.53988</v>
      </c>
      <c r="R751" t="n">
        <v>84.0933</v>
      </c>
      <c r="S751" t="n">
        <v>94.465</v>
      </c>
      <c r="T751" t="n">
        <v>85.06950000000001</v>
      </c>
      <c r="U751" t="n">
        <v>82.00363</v>
      </c>
      <c r="V751" t="n">
        <v>90.53559</v>
      </c>
      <c r="W751" t="n">
        <v>85.65028</v>
      </c>
      <c r="X751" t="n">
        <v>88.34956</v>
      </c>
      <c r="Y751" t="n">
        <v>87.91334999999999</v>
      </c>
      <c r="Z751" t="n">
        <v>87.16758</v>
      </c>
      <c r="AA751" t="n">
        <v>73.79989999999999</v>
      </c>
      <c r="AB751" t="n">
        <v>90.3785</v>
      </c>
      <c r="AC751" t="n">
        <v>72.17899</v>
      </c>
      <c r="AD751" t="n">
        <v>88.63561</v>
      </c>
      <c r="AE751" t="n">
        <v>86.13354</v>
      </c>
    </row>
    <row r="752">
      <c r="A752" s="89" t="n">
        <v>41456</v>
      </c>
      <c r="B752" t="n">
        <v>87.6151</v>
      </c>
      <c r="C752" t="n">
        <v>83.34008</v>
      </c>
      <c r="D752" t="n">
        <v>85.54191</v>
      </c>
      <c r="E752" t="n">
        <v>94.55524</v>
      </c>
      <c r="F752" t="n">
        <v>82.21691</v>
      </c>
      <c r="G752" t="n">
        <v>79.37891</v>
      </c>
      <c r="H752" t="n">
        <v>81.94011999999999</v>
      </c>
      <c r="I752" t="n">
        <v>82.65045000000001</v>
      </c>
      <c r="J752" t="n">
        <v>88.12766000000001</v>
      </c>
      <c r="K752" t="n">
        <v>74.053</v>
      </c>
      <c r="L752" t="n">
        <v>92.82501999999999</v>
      </c>
      <c r="M752" t="n">
        <v>101.5278</v>
      </c>
      <c r="N752" t="n">
        <v>91.8449</v>
      </c>
      <c r="O752" t="n">
        <v>79.54201</v>
      </c>
      <c r="P752" t="n">
        <v>80.4289</v>
      </c>
      <c r="Q752" t="n">
        <v>85.92254</v>
      </c>
      <c r="R752" t="n">
        <v>84.37827</v>
      </c>
      <c r="S752" t="n">
        <v>94.67386999999999</v>
      </c>
      <c r="T752" t="n">
        <v>85.58819</v>
      </c>
      <c r="U752" t="n">
        <v>82.01170999999999</v>
      </c>
      <c r="V752" t="n">
        <v>90.96917999999999</v>
      </c>
      <c r="W752" t="n">
        <v>86.14455</v>
      </c>
      <c r="X752" t="n">
        <v>88.76483</v>
      </c>
      <c r="Y752" t="n">
        <v>88.62399000000001</v>
      </c>
      <c r="Z752" t="n">
        <v>87.53129</v>
      </c>
      <c r="AA752" t="n">
        <v>75.1615</v>
      </c>
      <c r="AB752" t="n">
        <v>90.55286</v>
      </c>
      <c r="AC752" t="n">
        <v>73.48547000000001</v>
      </c>
      <c r="AD752" t="n">
        <v>89.10098000000001</v>
      </c>
      <c r="AE752" t="n">
        <v>86.37602</v>
      </c>
    </row>
    <row r="753">
      <c r="A753" s="89" t="n">
        <v>41487</v>
      </c>
      <c r="B753" t="n">
        <v>87.77481</v>
      </c>
      <c r="C753" t="n">
        <v>83.66907</v>
      </c>
      <c r="D753" t="n">
        <v>86.45112</v>
      </c>
      <c r="E753" t="n">
        <v>95.17549</v>
      </c>
      <c r="F753" t="n">
        <v>83.21844</v>
      </c>
      <c r="G753" t="n">
        <v>80.2504</v>
      </c>
      <c r="H753" t="n">
        <v>82.78213</v>
      </c>
      <c r="I753" t="n">
        <v>82.93084</v>
      </c>
      <c r="J753" t="n">
        <v>88.57378</v>
      </c>
      <c r="K753" t="n">
        <v>73.55525</v>
      </c>
      <c r="L753" t="n">
        <v>92.9926</v>
      </c>
      <c r="M753" t="n">
        <v>101.8516</v>
      </c>
      <c r="N753" t="n">
        <v>91.52231</v>
      </c>
      <c r="O753" t="n">
        <v>80.85387</v>
      </c>
      <c r="P753" t="n">
        <v>80.67558</v>
      </c>
      <c r="Q753" t="n">
        <v>86.41982</v>
      </c>
      <c r="R753" t="n">
        <v>84.85549</v>
      </c>
      <c r="S753" t="n">
        <v>94.90021</v>
      </c>
      <c r="T753" t="n">
        <v>86.11642000000001</v>
      </c>
      <c r="U753" t="n">
        <v>82.7675</v>
      </c>
      <c r="V753" t="n">
        <v>92.02674</v>
      </c>
      <c r="W753" t="n">
        <v>87.089</v>
      </c>
      <c r="X753" t="n">
        <v>89.28497</v>
      </c>
      <c r="Y753" t="n">
        <v>89.26546999999999</v>
      </c>
      <c r="Z753" t="n">
        <v>87.72041</v>
      </c>
      <c r="AA753" t="n">
        <v>76.76627000000001</v>
      </c>
      <c r="AB753" t="n">
        <v>90.44996</v>
      </c>
      <c r="AC753" t="n">
        <v>75.06107</v>
      </c>
      <c r="AD753" t="n">
        <v>89.58713</v>
      </c>
      <c r="AE753" t="n">
        <v>86.61262000000001</v>
      </c>
    </row>
    <row r="754">
      <c r="A754" s="89" t="n">
        <v>41518</v>
      </c>
      <c r="B754" t="n">
        <v>88.12504</v>
      </c>
      <c r="C754" t="n">
        <v>83.94596</v>
      </c>
      <c r="D754" t="n">
        <v>87.22396000000001</v>
      </c>
      <c r="E754" t="n">
        <v>95.43082</v>
      </c>
      <c r="F754" t="n">
        <v>84.0967</v>
      </c>
      <c r="G754" t="n">
        <v>81.22604</v>
      </c>
      <c r="H754" t="n">
        <v>83.47248999999999</v>
      </c>
      <c r="I754" t="n">
        <v>83.54313999999999</v>
      </c>
      <c r="J754" t="n">
        <v>88.36441000000001</v>
      </c>
      <c r="K754" t="n">
        <v>77.86044</v>
      </c>
      <c r="L754" t="n">
        <v>93.0193</v>
      </c>
      <c r="M754" t="n">
        <v>101.5615</v>
      </c>
      <c r="N754" t="n">
        <v>91.43996</v>
      </c>
      <c r="O754" t="n">
        <v>81.60601</v>
      </c>
      <c r="P754" t="n">
        <v>81.55840999999999</v>
      </c>
      <c r="Q754" t="n">
        <v>86.92628000000001</v>
      </c>
      <c r="R754" t="n">
        <v>85.57011</v>
      </c>
      <c r="S754" t="n">
        <v>95.15243</v>
      </c>
      <c r="T754" t="n">
        <v>86.53216</v>
      </c>
      <c r="U754" t="n">
        <v>83.76900999999999</v>
      </c>
      <c r="V754" t="n">
        <v>92.12748999999999</v>
      </c>
      <c r="W754" t="n">
        <v>87.83314</v>
      </c>
      <c r="X754" t="n">
        <v>89.76245</v>
      </c>
      <c r="Y754" t="n">
        <v>89.72832</v>
      </c>
      <c r="Z754" t="n">
        <v>87.77283</v>
      </c>
      <c r="AA754" t="n">
        <v>77.49724999999999</v>
      </c>
      <c r="AB754" t="n">
        <v>90.36704</v>
      </c>
      <c r="AC754" t="n">
        <v>76.37061</v>
      </c>
      <c r="AD754" t="n">
        <v>90.02092</v>
      </c>
      <c r="AE754" t="n">
        <v>86.9868</v>
      </c>
    </row>
    <row r="755">
      <c r="A755" s="89" t="n">
        <v>41548</v>
      </c>
      <c r="B755" t="n">
        <v>88.76385000000001</v>
      </c>
      <c r="C755" t="n">
        <v>84.55782000000001</v>
      </c>
      <c r="D755" t="n">
        <v>88.03165</v>
      </c>
      <c r="E755" t="n">
        <v>95.53333000000001</v>
      </c>
      <c r="F755" t="n">
        <v>84.39360000000001</v>
      </c>
      <c r="G755" t="n">
        <v>82.10634</v>
      </c>
      <c r="H755" t="n">
        <v>84.33882</v>
      </c>
      <c r="I755" t="n">
        <v>84.45554</v>
      </c>
      <c r="J755" t="n">
        <v>88.59641999999999</v>
      </c>
      <c r="K755" t="n">
        <v>82.66768999999999</v>
      </c>
      <c r="L755" t="n">
        <v>92.90276</v>
      </c>
      <c r="M755" t="n">
        <v>101.1757</v>
      </c>
      <c r="N755" t="n">
        <v>91.66325999999999</v>
      </c>
      <c r="O755" t="n">
        <v>82.41486</v>
      </c>
      <c r="P755" t="n">
        <v>82.46393</v>
      </c>
      <c r="Q755" t="n">
        <v>87.39869</v>
      </c>
      <c r="R755" t="n">
        <v>86.15391</v>
      </c>
      <c r="S755" t="n">
        <v>95.41334000000001</v>
      </c>
      <c r="T755" t="n">
        <v>86.90201</v>
      </c>
      <c r="U755" t="n">
        <v>84.73560000000001</v>
      </c>
      <c r="V755" t="n">
        <v>91.76971</v>
      </c>
      <c r="W755" t="n">
        <v>88.28783</v>
      </c>
      <c r="X755" t="n">
        <v>90.45368000000001</v>
      </c>
      <c r="Y755" t="n">
        <v>90.12285</v>
      </c>
      <c r="Z755" t="n">
        <v>87.96783000000001</v>
      </c>
      <c r="AA755" t="n">
        <v>77.95406</v>
      </c>
      <c r="AB755" t="n">
        <v>90.55736</v>
      </c>
      <c r="AC755" t="n">
        <v>77.3801</v>
      </c>
      <c r="AD755" t="n">
        <v>90.95665</v>
      </c>
      <c r="AE755" t="n">
        <v>87.19208999999999</v>
      </c>
    </row>
    <row r="756">
      <c r="A756" s="89" t="n">
        <v>41579</v>
      </c>
      <c r="B756" t="n">
        <v>89.36623</v>
      </c>
      <c r="C756" t="n">
        <v>85.05544999999999</v>
      </c>
      <c r="D756" t="n">
        <v>89.04751</v>
      </c>
      <c r="E756" t="n">
        <v>95.82980999999999</v>
      </c>
      <c r="F756" t="n">
        <v>84.63324</v>
      </c>
      <c r="G756" t="n">
        <v>82.83911000000001</v>
      </c>
      <c r="H756" t="n">
        <v>85.37379</v>
      </c>
      <c r="I756" t="n">
        <v>84.6387</v>
      </c>
      <c r="J756" t="n">
        <v>89.44503</v>
      </c>
      <c r="K756" t="n">
        <v>82.59157999999999</v>
      </c>
      <c r="L756" t="n">
        <v>93.09811000000001</v>
      </c>
      <c r="M756" t="n">
        <v>101.2208</v>
      </c>
      <c r="N756" t="n">
        <v>92.0005</v>
      </c>
      <c r="O756" t="n">
        <v>82.90501</v>
      </c>
      <c r="P756" t="n">
        <v>83.69793</v>
      </c>
      <c r="Q756" t="n">
        <v>87.86087999999999</v>
      </c>
      <c r="R756" t="n">
        <v>86.65613</v>
      </c>
      <c r="S756" t="n">
        <v>95.57051</v>
      </c>
      <c r="T756" t="n">
        <v>87.34517</v>
      </c>
      <c r="U756" t="n">
        <v>85.88629</v>
      </c>
      <c r="V756" t="n">
        <v>92.37908</v>
      </c>
      <c r="W756" t="n">
        <v>88.60605</v>
      </c>
      <c r="X756" t="n">
        <v>90.76778</v>
      </c>
      <c r="Y756" t="n">
        <v>90.63164999999999</v>
      </c>
      <c r="Z756" t="n">
        <v>88.1614</v>
      </c>
      <c r="AA756" t="n">
        <v>77.73412</v>
      </c>
      <c r="AB756" t="n">
        <v>91.33378</v>
      </c>
      <c r="AC756" t="n">
        <v>78.54979</v>
      </c>
      <c r="AD756" t="n">
        <v>91.02146999999999</v>
      </c>
      <c r="AE756" t="n">
        <v>87.41492</v>
      </c>
    </row>
    <row r="757">
      <c r="A757" s="89" t="n">
        <v>41609</v>
      </c>
      <c r="B757" t="n">
        <v>90.03587</v>
      </c>
      <c r="C757" t="n">
        <v>85.55074</v>
      </c>
      <c r="D757" t="n">
        <v>89.82375999999999</v>
      </c>
      <c r="E757" t="n">
        <v>96.06032999999999</v>
      </c>
      <c r="F757" t="n">
        <v>85.12181</v>
      </c>
      <c r="G757" t="n">
        <v>83.73379</v>
      </c>
      <c r="H757" t="n">
        <v>85.91459999999999</v>
      </c>
      <c r="I757" t="n">
        <v>85.27171</v>
      </c>
      <c r="J757" t="n">
        <v>90.47642999999999</v>
      </c>
      <c r="K757" t="n">
        <v>82.65706</v>
      </c>
      <c r="L757" t="n">
        <v>93.06037999999999</v>
      </c>
      <c r="M757" t="n">
        <v>100.6244</v>
      </c>
      <c r="N757" t="n">
        <v>92.79881</v>
      </c>
      <c r="O757" t="n">
        <v>83.56205</v>
      </c>
      <c r="P757" t="n">
        <v>84.97423999999999</v>
      </c>
      <c r="Q757" t="n">
        <v>88.25217000000001</v>
      </c>
      <c r="R757" t="n">
        <v>87.22792</v>
      </c>
      <c r="S757" t="n">
        <v>95.88966000000001</v>
      </c>
      <c r="T757" t="n">
        <v>87.97889000000001</v>
      </c>
      <c r="U757" t="n">
        <v>86.61466</v>
      </c>
      <c r="V757" t="n">
        <v>93.53426</v>
      </c>
      <c r="W757" t="n">
        <v>88.91001</v>
      </c>
      <c r="X757" t="n">
        <v>91.26376</v>
      </c>
      <c r="Y757" t="n">
        <v>91.06368000000001</v>
      </c>
      <c r="Z757" t="n">
        <v>88.4218</v>
      </c>
      <c r="AA757" t="n">
        <v>75.78319999999999</v>
      </c>
      <c r="AB757" t="n">
        <v>91.93442</v>
      </c>
      <c r="AC757" t="n">
        <v>79.92269</v>
      </c>
      <c r="AD757" t="n">
        <v>91.5367</v>
      </c>
      <c r="AE757" t="n">
        <v>87.87084</v>
      </c>
    </row>
    <row r="758">
      <c r="A758" s="89" t="n">
        <v>41640</v>
      </c>
      <c r="B758" t="n">
        <v>90.65786</v>
      </c>
      <c r="C758" t="n">
        <v>86.22359</v>
      </c>
      <c r="D758" t="n">
        <v>91.0067</v>
      </c>
      <c r="E758" t="n">
        <v>96.42923999999999</v>
      </c>
      <c r="F758" t="n">
        <v>85.41201</v>
      </c>
      <c r="G758" t="n">
        <v>84.70180999999999</v>
      </c>
      <c r="H758" t="n">
        <v>86.67462999999999</v>
      </c>
      <c r="I758" t="n">
        <v>86.62048</v>
      </c>
      <c r="J758" t="n">
        <v>90.74261</v>
      </c>
      <c r="K758" t="n">
        <v>81.28873</v>
      </c>
      <c r="L758" t="n">
        <v>92.90446</v>
      </c>
      <c r="M758" t="n">
        <v>100.6976</v>
      </c>
      <c r="N758" t="n">
        <v>93.45744999999999</v>
      </c>
      <c r="O758" t="n">
        <v>83.96827</v>
      </c>
      <c r="P758" t="n">
        <v>85.74196999999999</v>
      </c>
      <c r="Q758" t="n">
        <v>88.58984</v>
      </c>
      <c r="R758" t="n">
        <v>87.86033999999999</v>
      </c>
      <c r="S758" t="n">
        <v>96.20341000000001</v>
      </c>
      <c r="T758" t="n">
        <v>88.64314</v>
      </c>
      <c r="U758" t="n">
        <v>86.47068</v>
      </c>
      <c r="V758" t="n">
        <v>94.42267</v>
      </c>
      <c r="W758" t="n">
        <v>89.52772</v>
      </c>
      <c r="X758" t="n">
        <v>91.72499000000001</v>
      </c>
      <c r="Y758" t="n">
        <v>91.6824</v>
      </c>
      <c r="Z758" t="n">
        <v>88.78416</v>
      </c>
      <c r="AA758" t="n">
        <v>77.90222</v>
      </c>
      <c r="AB758" t="n">
        <v>91.77261</v>
      </c>
      <c r="AC758" t="n">
        <v>81.72488</v>
      </c>
      <c r="AD758" t="n">
        <v>91.95719</v>
      </c>
      <c r="AE758" t="n">
        <v>88.57174000000001</v>
      </c>
    </row>
    <row r="759">
      <c r="A759" s="89" t="n">
        <v>41671</v>
      </c>
      <c r="B759" t="n">
        <v>91.16499</v>
      </c>
      <c r="C759" t="n">
        <v>86.81353</v>
      </c>
      <c r="D759" t="n">
        <v>90.68711999999999</v>
      </c>
      <c r="E759" t="n">
        <v>97.05571</v>
      </c>
      <c r="F759" t="n">
        <v>86.35628</v>
      </c>
      <c r="G759" t="n">
        <v>85.60117</v>
      </c>
      <c r="H759" t="n">
        <v>88.01900000000001</v>
      </c>
      <c r="I759" t="n">
        <v>89.51452</v>
      </c>
      <c r="J759" t="n">
        <v>91.01698</v>
      </c>
      <c r="K759" t="n">
        <v>80.71889</v>
      </c>
      <c r="L759" t="n">
        <v>92.97651999999999</v>
      </c>
      <c r="M759" t="n">
        <v>101.8283</v>
      </c>
      <c r="N759" t="n">
        <v>93.78514</v>
      </c>
      <c r="O759" t="n">
        <v>84.23650000000001</v>
      </c>
      <c r="P759" t="n">
        <v>86.46075</v>
      </c>
      <c r="Q759" t="n">
        <v>88.95541</v>
      </c>
      <c r="R759" t="n">
        <v>88.50366</v>
      </c>
      <c r="S759" t="n">
        <v>96.26797999999999</v>
      </c>
      <c r="T759" t="n">
        <v>89.11211</v>
      </c>
      <c r="U759" t="n">
        <v>87.24011</v>
      </c>
      <c r="V759" t="n">
        <v>94.71656</v>
      </c>
      <c r="W759" t="n">
        <v>90.47889000000001</v>
      </c>
      <c r="X759" t="n">
        <v>92.30206</v>
      </c>
      <c r="Y759" t="n">
        <v>92.40955</v>
      </c>
      <c r="Z759" t="n">
        <v>89.10265</v>
      </c>
      <c r="AA759" t="n">
        <v>81.53242</v>
      </c>
      <c r="AB759" t="n">
        <v>91.89433</v>
      </c>
      <c r="AC759" t="n">
        <v>82.76344</v>
      </c>
      <c r="AD759" t="n">
        <v>92.64776999999999</v>
      </c>
      <c r="AE759" t="n">
        <v>89.1525</v>
      </c>
    </row>
    <row r="760">
      <c r="A760" s="89" t="n">
        <v>41699</v>
      </c>
      <c r="B760" t="n">
        <v>91.57125000000001</v>
      </c>
      <c r="C760" t="n">
        <v>87.16458</v>
      </c>
      <c r="D760" t="n">
        <v>91.13696</v>
      </c>
      <c r="E760" t="n">
        <v>97.67095999999999</v>
      </c>
      <c r="F760" t="n">
        <v>87.61958</v>
      </c>
      <c r="G760" t="n">
        <v>86.62496</v>
      </c>
      <c r="H760" t="n">
        <v>88.86264</v>
      </c>
      <c r="I760" t="n">
        <v>91.77843</v>
      </c>
      <c r="J760" t="n">
        <v>91.57401</v>
      </c>
      <c r="K760" t="n">
        <v>81.36911000000001</v>
      </c>
      <c r="L760" t="n">
        <v>93.10048999999999</v>
      </c>
      <c r="M760" t="n">
        <v>101.311</v>
      </c>
      <c r="N760" t="n">
        <v>94.08562000000001</v>
      </c>
      <c r="O760" t="n">
        <v>84.51299</v>
      </c>
      <c r="P760" t="n">
        <v>86.9819</v>
      </c>
      <c r="Q760" t="n">
        <v>89.31674</v>
      </c>
      <c r="R760" t="n">
        <v>89.40797000000001</v>
      </c>
      <c r="S760" t="n">
        <v>96.33376</v>
      </c>
      <c r="T760" t="n">
        <v>89.50266000000001</v>
      </c>
      <c r="U760" t="n">
        <v>88.34956</v>
      </c>
      <c r="V760" t="n">
        <v>95.01837</v>
      </c>
      <c r="W760" t="n">
        <v>90.5099</v>
      </c>
      <c r="X760" t="n">
        <v>92.63024</v>
      </c>
      <c r="Y760" t="n">
        <v>92.48260000000001</v>
      </c>
      <c r="Z760" t="n">
        <v>89.83784</v>
      </c>
      <c r="AA760" t="n">
        <v>82.45354</v>
      </c>
      <c r="AB760" t="n">
        <v>92.26564999999999</v>
      </c>
      <c r="AC760" t="n">
        <v>82.78653</v>
      </c>
      <c r="AD760" t="n">
        <v>92.99348000000001</v>
      </c>
      <c r="AE760" t="n">
        <v>90.10007</v>
      </c>
    </row>
    <row r="761">
      <c r="A761" s="89" t="n">
        <v>41730</v>
      </c>
      <c r="B761" t="n">
        <v>92.05034999999999</v>
      </c>
      <c r="C761" t="n">
        <v>87.76488000000001</v>
      </c>
      <c r="D761" t="n">
        <v>91.5864</v>
      </c>
      <c r="E761" t="n">
        <v>98.00699</v>
      </c>
      <c r="F761" t="n">
        <v>88.20435000000001</v>
      </c>
      <c r="G761" t="n">
        <v>87.81058</v>
      </c>
      <c r="H761" t="n">
        <v>89.36530999999999</v>
      </c>
      <c r="I761" t="n">
        <v>92.37145</v>
      </c>
      <c r="J761" t="n">
        <v>92.03448</v>
      </c>
      <c r="K761" t="n">
        <v>81.71879</v>
      </c>
      <c r="L761" t="n">
        <v>93.26804</v>
      </c>
      <c r="M761" t="n">
        <v>100.2861</v>
      </c>
      <c r="N761" t="n">
        <v>94.7812</v>
      </c>
      <c r="O761" t="n">
        <v>85.63209999999999</v>
      </c>
      <c r="P761" t="n">
        <v>87.79392</v>
      </c>
      <c r="Q761" t="n">
        <v>89.7916</v>
      </c>
      <c r="R761" t="n">
        <v>90.19764000000001</v>
      </c>
      <c r="S761" t="n">
        <v>96.49309</v>
      </c>
      <c r="T761" t="n">
        <v>89.97865</v>
      </c>
      <c r="U761" t="n">
        <v>88.94489</v>
      </c>
      <c r="V761" t="n">
        <v>95.48180000000001</v>
      </c>
      <c r="W761" t="n">
        <v>90.48524999999999</v>
      </c>
      <c r="X761" t="n">
        <v>92.96836</v>
      </c>
      <c r="Y761" t="n">
        <v>92.47311000000001</v>
      </c>
      <c r="Z761" t="n">
        <v>90.71773</v>
      </c>
      <c r="AA761" t="n">
        <v>83.10362000000001</v>
      </c>
      <c r="AB761" t="n">
        <v>92.61757</v>
      </c>
      <c r="AC761" t="n">
        <v>83.10655</v>
      </c>
      <c r="AD761" t="n">
        <v>93.46051</v>
      </c>
      <c r="AE761" t="n">
        <v>91.07053000000001</v>
      </c>
    </row>
    <row r="762">
      <c r="A762" s="89" t="n">
        <v>41760</v>
      </c>
      <c r="B762" t="n">
        <v>92.7396</v>
      </c>
      <c r="C762" t="n">
        <v>88.74508</v>
      </c>
      <c r="D762" t="n">
        <v>91.94298999999999</v>
      </c>
      <c r="E762" t="n">
        <v>98.08826000000001</v>
      </c>
      <c r="F762" t="n">
        <v>88.69627</v>
      </c>
      <c r="G762" t="n">
        <v>88.80240000000001</v>
      </c>
      <c r="H762" t="n">
        <v>89.89915999999999</v>
      </c>
      <c r="I762" t="n">
        <v>93.31026</v>
      </c>
      <c r="J762" t="n">
        <v>92.61409</v>
      </c>
      <c r="K762" t="n">
        <v>82.45905999999999</v>
      </c>
      <c r="L762" t="n">
        <v>93.70287</v>
      </c>
      <c r="M762" t="n">
        <v>100.1232</v>
      </c>
      <c r="N762" t="n">
        <v>95.31207000000001</v>
      </c>
      <c r="O762" t="n">
        <v>87.20689</v>
      </c>
      <c r="P762" t="n">
        <v>88.67983</v>
      </c>
      <c r="Q762" t="n">
        <v>90.50658</v>
      </c>
      <c r="R762" t="n">
        <v>90.84147</v>
      </c>
      <c r="S762" t="n">
        <v>96.5985</v>
      </c>
      <c r="T762" t="n">
        <v>90.44122</v>
      </c>
      <c r="U762" t="n">
        <v>89.95129</v>
      </c>
      <c r="V762" t="n">
        <v>95.96885</v>
      </c>
      <c r="W762" t="n">
        <v>91.16985</v>
      </c>
      <c r="X762" t="n">
        <v>93.41244</v>
      </c>
      <c r="Y762" t="n">
        <v>92.64033999999999</v>
      </c>
      <c r="Z762" t="n">
        <v>91.31384</v>
      </c>
      <c r="AA762" t="n">
        <v>83.05483</v>
      </c>
      <c r="AB762" t="n">
        <v>93.25601</v>
      </c>
      <c r="AC762" t="n">
        <v>83.08673</v>
      </c>
      <c r="AD762" t="n">
        <v>94.02809000000001</v>
      </c>
      <c r="AE762" t="n">
        <v>91.71035999999999</v>
      </c>
    </row>
    <row r="763">
      <c r="A763" s="89" t="n">
        <v>41791</v>
      </c>
      <c r="B763" t="n">
        <v>93.30835999999999</v>
      </c>
      <c r="C763" t="n">
        <v>89.59762000000001</v>
      </c>
      <c r="D763" t="n">
        <v>92.43746</v>
      </c>
      <c r="E763" t="n">
        <v>98.06846</v>
      </c>
      <c r="F763" t="n">
        <v>89.26031999999999</v>
      </c>
      <c r="G763" t="n">
        <v>89.93048</v>
      </c>
      <c r="H763" t="n">
        <v>90.42318</v>
      </c>
      <c r="I763" t="n">
        <v>93.38697999999999</v>
      </c>
      <c r="J763" t="n">
        <v>92.52894999999999</v>
      </c>
      <c r="K763" t="n">
        <v>83.02521</v>
      </c>
      <c r="L763" t="n">
        <v>94.11113</v>
      </c>
      <c r="M763" t="n">
        <v>99.85361</v>
      </c>
      <c r="N763" t="n">
        <v>95.13916999999999</v>
      </c>
      <c r="O763" t="n">
        <v>88.18221</v>
      </c>
      <c r="P763" t="n">
        <v>89.3116</v>
      </c>
      <c r="Q763" t="n">
        <v>91.22573</v>
      </c>
      <c r="R763" t="n">
        <v>91.70723</v>
      </c>
      <c r="S763" t="n">
        <v>96.82079</v>
      </c>
      <c r="T763" t="n">
        <v>91.08213000000001</v>
      </c>
      <c r="U763" t="n">
        <v>91.32165000000001</v>
      </c>
      <c r="V763" t="n">
        <v>96.6824</v>
      </c>
      <c r="W763" t="n">
        <v>91.68024</v>
      </c>
      <c r="X763" t="n">
        <v>93.84533999999999</v>
      </c>
      <c r="Y763" t="n">
        <v>92.86295</v>
      </c>
      <c r="Z763" t="n">
        <v>91.75373</v>
      </c>
      <c r="AA763" t="n">
        <v>83.30916999999999</v>
      </c>
      <c r="AB763" t="n">
        <v>93.95329</v>
      </c>
      <c r="AC763" t="n">
        <v>83.65872</v>
      </c>
      <c r="AD763" t="n">
        <v>94.46272</v>
      </c>
      <c r="AE763" t="n">
        <v>92.30083</v>
      </c>
    </row>
    <row r="764">
      <c r="A764" s="89" t="n">
        <v>41821</v>
      </c>
      <c r="B764" t="n">
        <v>93.86032</v>
      </c>
      <c r="C764" t="n">
        <v>90.70577</v>
      </c>
      <c r="D764" t="n">
        <v>93.1981</v>
      </c>
      <c r="E764" t="n">
        <v>98.09275</v>
      </c>
      <c r="F764" t="n">
        <v>89.76618999999999</v>
      </c>
      <c r="G764" t="n">
        <v>90.57265</v>
      </c>
      <c r="H764" t="n">
        <v>91.18337</v>
      </c>
      <c r="I764" t="n">
        <v>93.87313</v>
      </c>
      <c r="J764" t="n">
        <v>92.55727</v>
      </c>
      <c r="K764" t="n">
        <v>83.90461999999999</v>
      </c>
      <c r="L764" t="n">
        <v>94.33298000000001</v>
      </c>
      <c r="M764" t="n">
        <v>99.62272</v>
      </c>
      <c r="N764" t="n">
        <v>95.6155</v>
      </c>
      <c r="O764" t="n">
        <v>89.13126</v>
      </c>
      <c r="P764" t="n">
        <v>90.13514000000001</v>
      </c>
      <c r="Q764" t="n">
        <v>91.77403</v>
      </c>
      <c r="R764" t="n">
        <v>91.93407000000001</v>
      </c>
      <c r="S764" t="n">
        <v>97.0093</v>
      </c>
      <c r="T764" t="n">
        <v>91.76528</v>
      </c>
      <c r="U764" t="n">
        <v>92.69573</v>
      </c>
      <c r="V764" t="n">
        <v>97.02791999999999</v>
      </c>
      <c r="W764" t="n">
        <v>92.01904</v>
      </c>
      <c r="X764" t="n">
        <v>94.38567</v>
      </c>
      <c r="Y764" t="n">
        <v>93.38831</v>
      </c>
      <c r="Z764" t="n">
        <v>92.41628</v>
      </c>
      <c r="AA764" t="n">
        <v>83.18353</v>
      </c>
      <c r="AB764" t="n">
        <v>94.44925000000001</v>
      </c>
      <c r="AC764" t="n">
        <v>85.24516</v>
      </c>
      <c r="AD764" t="n">
        <v>94.97213000000001</v>
      </c>
      <c r="AE764" t="n">
        <v>92.3349</v>
      </c>
    </row>
    <row r="765">
      <c r="A765" s="89" t="n">
        <v>41852</v>
      </c>
      <c r="B765" t="n">
        <v>94.55237</v>
      </c>
      <c r="C765" t="n">
        <v>92.33466</v>
      </c>
      <c r="D765" t="n">
        <v>93.89552</v>
      </c>
      <c r="E765" t="n">
        <v>98.3747</v>
      </c>
      <c r="F765" t="n">
        <v>90.42003</v>
      </c>
      <c r="G765" t="n">
        <v>90.67023</v>
      </c>
      <c r="H765" t="n">
        <v>91.82380999999999</v>
      </c>
      <c r="I765" t="n">
        <v>95.43309000000001</v>
      </c>
      <c r="J765" t="n">
        <v>92.95208</v>
      </c>
      <c r="K765" t="n">
        <v>85.68725999999999</v>
      </c>
      <c r="L765" t="n">
        <v>94.71647</v>
      </c>
      <c r="M765" t="n">
        <v>99.85045</v>
      </c>
      <c r="N765" t="n">
        <v>96.47447</v>
      </c>
      <c r="O765" t="n">
        <v>89.81149000000001</v>
      </c>
      <c r="P765" t="n">
        <v>91.09347</v>
      </c>
      <c r="Q765" t="n">
        <v>92.29244</v>
      </c>
      <c r="R765" t="n">
        <v>92.78932</v>
      </c>
      <c r="S765" t="n">
        <v>97.24056</v>
      </c>
      <c r="T765" t="n">
        <v>92.27410999999999</v>
      </c>
      <c r="U765" t="n">
        <v>93.50086</v>
      </c>
      <c r="V765" t="n">
        <v>97.71818</v>
      </c>
      <c r="W765" t="n">
        <v>92.56708999999999</v>
      </c>
      <c r="X765" t="n">
        <v>94.81057</v>
      </c>
      <c r="Y765" t="n">
        <v>94.03841</v>
      </c>
      <c r="Z765" t="n">
        <v>93.61959</v>
      </c>
      <c r="AA765" t="n">
        <v>83.51085999999999</v>
      </c>
      <c r="AB765" t="n">
        <v>94.50387000000001</v>
      </c>
      <c r="AC765" t="n">
        <v>86.23788999999999</v>
      </c>
      <c r="AD765" t="n">
        <v>95.21478999999999</v>
      </c>
      <c r="AE765" t="n">
        <v>92.28682999999999</v>
      </c>
    </row>
    <row r="766">
      <c r="A766" s="89" t="n">
        <v>41883</v>
      </c>
      <c r="B766" t="n">
        <v>95.26121999999999</v>
      </c>
      <c r="C766" t="n">
        <v>93.66454</v>
      </c>
      <c r="D766" t="n">
        <v>94.61201</v>
      </c>
      <c r="E766" t="n">
        <v>98.59558</v>
      </c>
      <c r="F766" t="n">
        <v>91.11212</v>
      </c>
      <c r="G766" t="n">
        <v>91.09446</v>
      </c>
      <c r="H766" t="n">
        <v>92.12461</v>
      </c>
      <c r="I766" t="n">
        <v>96.33249000000001</v>
      </c>
      <c r="J766" t="n">
        <v>93.00534</v>
      </c>
      <c r="K766" t="n">
        <v>87.39391000000001</v>
      </c>
      <c r="L766" t="n">
        <v>94.99536999999999</v>
      </c>
      <c r="M766" t="n">
        <v>100.0724</v>
      </c>
      <c r="N766" t="n">
        <v>96.77276000000001</v>
      </c>
      <c r="O766" t="n">
        <v>90.96783000000001</v>
      </c>
      <c r="P766" t="n">
        <v>91.92004</v>
      </c>
      <c r="Q766" t="n">
        <v>92.96449</v>
      </c>
      <c r="R766" t="n">
        <v>94.11221999999999</v>
      </c>
      <c r="S766" t="n">
        <v>97.54858</v>
      </c>
      <c r="T766" t="n">
        <v>93.03722</v>
      </c>
      <c r="U766" t="n">
        <v>93.52128</v>
      </c>
      <c r="V766" t="n">
        <v>98.24347</v>
      </c>
      <c r="W766" t="n">
        <v>93.52110999999999</v>
      </c>
      <c r="X766" t="n">
        <v>95.21455</v>
      </c>
      <c r="Y766" t="n">
        <v>94.6965</v>
      </c>
      <c r="Z766" t="n">
        <v>94.53576</v>
      </c>
      <c r="AA766" t="n">
        <v>84.31654</v>
      </c>
      <c r="AB766" t="n">
        <v>94.89185000000001</v>
      </c>
      <c r="AC766" t="n">
        <v>87.46462</v>
      </c>
      <c r="AD766" t="n">
        <v>95.50066</v>
      </c>
      <c r="AE766" t="n">
        <v>93.15295</v>
      </c>
    </row>
    <row r="767">
      <c r="A767" s="89" t="n">
        <v>41913</v>
      </c>
      <c r="B767" t="n">
        <v>95.78236</v>
      </c>
      <c r="C767" t="n">
        <v>94.56451</v>
      </c>
      <c r="D767" t="n">
        <v>95.13512</v>
      </c>
      <c r="E767" t="n">
        <v>98.76485</v>
      </c>
      <c r="F767" t="n">
        <v>91.53785999999999</v>
      </c>
      <c r="G767" t="n">
        <v>91.76791</v>
      </c>
      <c r="H767" t="n">
        <v>92.74665</v>
      </c>
      <c r="I767" t="n">
        <v>96.51622999999999</v>
      </c>
      <c r="J767" t="n">
        <v>93.48757000000001</v>
      </c>
      <c r="K767" t="n">
        <v>89.22127999999999</v>
      </c>
      <c r="L767" t="n">
        <v>95.15971</v>
      </c>
      <c r="M767" t="n">
        <v>99.7238</v>
      </c>
      <c r="N767" t="n">
        <v>96.72254</v>
      </c>
      <c r="O767" t="n">
        <v>92.44129</v>
      </c>
      <c r="P767" t="n">
        <v>92.89429</v>
      </c>
      <c r="Q767" t="n">
        <v>93.79935</v>
      </c>
      <c r="R767" t="n">
        <v>94.61805</v>
      </c>
      <c r="S767" t="n">
        <v>97.87739000000001</v>
      </c>
      <c r="T767" t="n">
        <v>93.91540999999999</v>
      </c>
      <c r="U767" t="n">
        <v>94.3237</v>
      </c>
      <c r="V767" t="n">
        <v>97.84849</v>
      </c>
      <c r="W767" t="n">
        <v>94.10825</v>
      </c>
      <c r="X767" t="n">
        <v>95.67230000000001</v>
      </c>
      <c r="Y767" t="n">
        <v>94.93926</v>
      </c>
      <c r="Z767" t="n">
        <v>94.79667999999999</v>
      </c>
      <c r="AA767" t="n">
        <v>85.47172999999999</v>
      </c>
      <c r="AB767" t="n">
        <v>95.29895999999999</v>
      </c>
      <c r="AC767" t="n">
        <v>88.27893</v>
      </c>
      <c r="AD767" t="n">
        <v>95.99429000000001</v>
      </c>
      <c r="AE767" t="n">
        <v>94.0677</v>
      </c>
    </row>
    <row r="768">
      <c r="A768" s="89" t="n">
        <v>41944</v>
      </c>
      <c r="B768" t="n">
        <v>96.07935000000001</v>
      </c>
      <c r="C768" t="n">
        <v>95.53429</v>
      </c>
      <c r="D768" t="n">
        <v>95.43169</v>
      </c>
      <c r="E768" t="n">
        <v>99.12509</v>
      </c>
      <c r="F768" t="n">
        <v>92.36227</v>
      </c>
      <c r="G768" t="n">
        <v>92.59141</v>
      </c>
      <c r="H768" t="n">
        <v>93.48111</v>
      </c>
      <c r="I768" t="n">
        <v>97.21362999999999</v>
      </c>
      <c r="J768" t="n">
        <v>94.46511</v>
      </c>
      <c r="K768" t="n">
        <v>91.31644</v>
      </c>
      <c r="L768" t="n">
        <v>95.72165</v>
      </c>
      <c r="M768" t="n">
        <v>99.57805</v>
      </c>
      <c r="N768" t="n">
        <v>96.72889000000001</v>
      </c>
      <c r="O768" t="n">
        <v>93.38131</v>
      </c>
      <c r="P768" t="n">
        <v>93.98775999999999</v>
      </c>
      <c r="Q768" t="n">
        <v>94.69482000000001</v>
      </c>
      <c r="R768" t="n">
        <v>96.09021</v>
      </c>
      <c r="S768" t="n">
        <v>98.295</v>
      </c>
      <c r="T768" t="n">
        <v>94.75158999999999</v>
      </c>
      <c r="U768" t="n">
        <v>96.11221999999999</v>
      </c>
      <c r="V768" t="n">
        <v>98.4602</v>
      </c>
      <c r="W768" t="n">
        <v>94.47538</v>
      </c>
      <c r="X768" t="n">
        <v>96.12679</v>
      </c>
      <c r="Y768" t="n">
        <v>95.19370000000001</v>
      </c>
      <c r="Z768" t="n">
        <v>95.20764</v>
      </c>
      <c r="AA768" t="n">
        <v>86.59058</v>
      </c>
      <c r="AB768" t="n">
        <v>95.42379</v>
      </c>
      <c r="AC768" t="n">
        <v>88.52528</v>
      </c>
      <c r="AD768" t="n">
        <v>96.32004999999999</v>
      </c>
      <c r="AE768" t="n">
        <v>94.50611000000001</v>
      </c>
    </row>
    <row r="769">
      <c r="A769" s="89" t="n">
        <v>41974</v>
      </c>
      <c r="B769" t="n">
        <v>96.59488</v>
      </c>
      <c r="C769" t="n">
        <v>96.31953</v>
      </c>
      <c r="D769" t="n">
        <v>95.72888</v>
      </c>
      <c r="E769" t="n">
        <v>99.31113000000001</v>
      </c>
      <c r="F769" t="n">
        <v>93.93527</v>
      </c>
      <c r="G769" t="n">
        <v>93.30079000000001</v>
      </c>
      <c r="H769" t="n">
        <v>93.98993</v>
      </c>
      <c r="I769" t="n">
        <v>97.97855</v>
      </c>
      <c r="J769" t="n">
        <v>95.91947999999999</v>
      </c>
      <c r="K769" t="n">
        <v>92.51806000000001</v>
      </c>
      <c r="L769" t="n">
        <v>96.7831</v>
      </c>
      <c r="M769" t="n">
        <v>99.71323</v>
      </c>
      <c r="N769" t="n">
        <v>97.44543</v>
      </c>
      <c r="O769" t="n">
        <v>93.97318</v>
      </c>
      <c r="P769" t="n">
        <v>94.74309</v>
      </c>
      <c r="Q769" t="n">
        <v>95.63424000000001</v>
      </c>
      <c r="R769" t="n">
        <v>97.69517999999999</v>
      </c>
      <c r="S769" t="n">
        <v>98.63459</v>
      </c>
      <c r="T769" t="n">
        <v>95.39052</v>
      </c>
      <c r="U769" t="n">
        <v>96.75355999999999</v>
      </c>
      <c r="V769" t="n">
        <v>99.82098000000001</v>
      </c>
      <c r="W769" t="n">
        <v>94.93192000000001</v>
      </c>
      <c r="X769" t="n">
        <v>96.73702</v>
      </c>
      <c r="Y769" t="n">
        <v>95.84502000000001</v>
      </c>
      <c r="Z769" t="n">
        <v>95.75127999999999</v>
      </c>
      <c r="AA769" t="n">
        <v>88.78259</v>
      </c>
      <c r="AB769" t="n">
        <v>95.86845</v>
      </c>
      <c r="AC769" t="n">
        <v>89.59627999999999</v>
      </c>
      <c r="AD769" t="n">
        <v>96.96325</v>
      </c>
      <c r="AE769" t="n">
        <v>94.64333000000001</v>
      </c>
    </row>
    <row r="770">
      <c r="A770" s="89" t="n">
        <v>42005</v>
      </c>
      <c r="B770" t="n">
        <v>97.10760000000001</v>
      </c>
      <c r="C770" t="n">
        <v>96.93709</v>
      </c>
      <c r="D770" t="n">
        <v>96.45493999999999</v>
      </c>
      <c r="E770" t="n">
        <v>99.39546</v>
      </c>
      <c r="F770" t="n">
        <v>95.00203999999999</v>
      </c>
      <c r="G770" t="n">
        <v>93.89987000000001</v>
      </c>
      <c r="H770" t="n">
        <v>94.76366</v>
      </c>
      <c r="I770" t="n">
        <v>98.19880000000001</v>
      </c>
      <c r="J770" t="n">
        <v>96.71068</v>
      </c>
      <c r="K770" t="n">
        <v>94.68442</v>
      </c>
      <c r="L770" t="n">
        <v>97.72409</v>
      </c>
      <c r="M770" t="n">
        <v>99.56715</v>
      </c>
      <c r="N770" t="n">
        <v>98.44867000000001</v>
      </c>
      <c r="O770" t="n">
        <v>95.1938</v>
      </c>
      <c r="P770" t="n">
        <v>95.43456</v>
      </c>
      <c r="Q770" t="n">
        <v>96.66092999999999</v>
      </c>
      <c r="R770" t="n">
        <v>98.41764999999999</v>
      </c>
      <c r="S770" t="n">
        <v>98.84491</v>
      </c>
      <c r="T770" t="n">
        <v>95.94813000000001</v>
      </c>
      <c r="U770" t="n">
        <v>97.46809</v>
      </c>
      <c r="V770" t="n">
        <v>100.6729</v>
      </c>
      <c r="W770" t="n">
        <v>95.51945000000001</v>
      </c>
      <c r="X770" t="n">
        <v>97.26533999999999</v>
      </c>
      <c r="Y770" t="n">
        <v>96.41199</v>
      </c>
      <c r="Z770" t="n">
        <v>96.21702000000001</v>
      </c>
      <c r="AA770" t="n">
        <v>94.51241</v>
      </c>
      <c r="AB770" t="n">
        <v>95.83710000000001</v>
      </c>
      <c r="AC770" t="n">
        <v>90.92272</v>
      </c>
      <c r="AD770" t="n">
        <v>97.49593</v>
      </c>
      <c r="AE770" t="n">
        <v>95.02699</v>
      </c>
    </row>
    <row r="771">
      <c r="A771" s="89" t="n">
        <v>42036</v>
      </c>
      <c r="B771" t="n">
        <v>97.80244999999999</v>
      </c>
      <c r="C771" t="n">
        <v>97.32259000000001</v>
      </c>
      <c r="D771" t="n">
        <v>96.96832000000001</v>
      </c>
      <c r="E771" t="n">
        <v>99.57056</v>
      </c>
      <c r="F771" t="n">
        <v>95.61826000000001</v>
      </c>
      <c r="G771" t="n">
        <v>94.81914999999999</v>
      </c>
      <c r="H771" t="n">
        <v>95.81198999999999</v>
      </c>
      <c r="I771" t="n">
        <v>98.25275000000001</v>
      </c>
      <c r="J771" t="n">
        <v>97.13379999999999</v>
      </c>
      <c r="K771" t="n">
        <v>97.184</v>
      </c>
      <c r="L771" t="n">
        <v>98.14461</v>
      </c>
      <c r="M771" t="n">
        <v>99.23537</v>
      </c>
      <c r="N771" t="n">
        <v>98.87691</v>
      </c>
      <c r="O771" t="n">
        <v>97.14249</v>
      </c>
      <c r="P771" t="n">
        <v>96.15666</v>
      </c>
      <c r="Q771" t="n">
        <v>97.73345999999999</v>
      </c>
      <c r="R771" t="n">
        <v>99.06274000000001</v>
      </c>
      <c r="S771" t="n">
        <v>99.04488000000001</v>
      </c>
      <c r="T771" t="n">
        <v>97.21465000000001</v>
      </c>
      <c r="U771" t="n">
        <v>98.56570000000001</v>
      </c>
      <c r="V771" t="n">
        <v>100.6039</v>
      </c>
      <c r="W771" t="n">
        <v>96.40597</v>
      </c>
      <c r="X771" t="n">
        <v>98.0214</v>
      </c>
      <c r="Y771" t="n">
        <v>96.99370999999999</v>
      </c>
      <c r="Z771" t="n">
        <v>96.776</v>
      </c>
      <c r="AA771" t="n">
        <v>97.41647</v>
      </c>
      <c r="AB771" t="n">
        <v>96.3152</v>
      </c>
      <c r="AC771" t="n">
        <v>92.75123000000001</v>
      </c>
      <c r="AD771" t="n">
        <v>98.49648000000001</v>
      </c>
      <c r="AE771" t="n">
        <v>96.03233</v>
      </c>
    </row>
    <row r="772">
      <c r="A772" s="89" t="n">
        <v>42064</v>
      </c>
      <c r="B772" t="n">
        <v>98.45808</v>
      </c>
      <c r="C772" t="n">
        <v>97.65115</v>
      </c>
      <c r="D772" t="n">
        <v>97.59869</v>
      </c>
      <c r="E772" t="n">
        <v>99.83371</v>
      </c>
      <c r="F772" t="n">
        <v>96.23169</v>
      </c>
      <c r="G772" t="n">
        <v>95.74342</v>
      </c>
      <c r="H772" t="n">
        <v>96.67505</v>
      </c>
      <c r="I772" t="n">
        <v>98.04225</v>
      </c>
      <c r="J772" t="n">
        <v>97.72351999999999</v>
      </c>
      <c r="K772" t="n">
        <v>96.83761</v>
      </c>
      <c r="L772" t="n">
        <v>98.45126999999999</v>
      </c>
      <c r="M772" t="n">
        <v>99.60816</v>
      </c>
      <c r="N772" t="n">
        <v>98.79228999999999</v>
      </c>
      <c r="O772" t="n">
        <v>98.16839</v>
      </c>
      <c r="P772" t="n">
        <v>97.02437999999999</v>
      </c>
      <c r="Q772" t="n">
        <v>98.74702000000001</v>
      </c>
      <c r="R772" t="n">
        <v>99.37191</v>
      </c>
      <c r="S772" t="n">
        <v>99.27109</v>
      </c>
      <c r="T772" t="n">
        <v>98.58053</v>
      </c>
      <c r="U772" t="n">
        <v>98.36929000000001</v>
      </c>
      <c r="V772" t="n">
        <v>101.1244</v>
      </c>
      <c r="W772" t="n">
        <v>97.35513</v>
      </c>
      <c r="X772" t="n">
        <v>98.41137999999999</v>
      </c>
      <c r="Y772" t="n">
        <v>97.90004999999999</v>
      </c>
      <c r="Z772" t="n">
        <v>97.69101999999999</v>
      </c>
      <c r="AA772" t="n">
        <v>96.21393999999999</v>
      </c>
      <c r="AB772" t="n">
        <v>97.48978</v>
      </c>
      <c r="AC772" t="n">
        <v>94.89382999999999</v>
      </c>
      <c r="AD772" t="n">
        <v>98.63692</v>
      </c>
      <c r="AE772" t="n">
        <v>96.88034</v>
      </c>
    </row>
    <row r="773">
      <c r="A773" s="89" t="n">
        <v>42095</v>
      </c>
      <c r="B773" t="n">
        <v>98.85593</v>
      </c>
      <c r="C773" t="n">
        <v>98.23350000000001</v>
      </c>
      <c r="D773" t="n">
        <v>97.80878</v>
      </c>
      <c r="E773" t="n">
        <v>99.78578</v>
      </c>
      <c r="F773" t="n">
        <v>96.78754000000001</v>
      </c>
      <c r="G773" t="n">
        <v>96.57549</v>
      </c>
      <c r="H773" t="n">
        <v>97.21733</v>
      </c>
      <c r="I773" t="n">
        <v>98.02995</v>
      </c>
      <c r="J773" t="n">
        <v>98.28342000000001</v>
      </c>
      <c r="K773" t="n">
        <v>97.60646</v>
      </c>
      <c r="L773" t="n">
        <v>99.13290000000001</v>
      </c>
      <c r="M773" t="n">
        <v>100.1562</v>
      </c>
      <c r="N773" t="n">
        <v>98.74775</v>
      </c>
      <c r="O773" t="n">
        <v>98.78548000000001</v>
      </c>
      <c r="P773" t="n">
        <v>97.81892999999999</v>
      </c>
      <c r="Q773" t="n">
        <v>99.59853</v>
      </c>
      <c r="R773" t="n">
        <v>99.55625999999999</v>
      </c>
      <c r="S773" t="n">
        <v>99.43508</v>
      </c>
      <c r="T773" t="n">
        <v>99.43044</v>
      </c>
      <c r="U773" t="n">
        <v>98.74409</v>
      </c>
      <c r="V773" t="n">
        <v>99.81018</v>
      </c>
      <c r="W773" t="n">
        <v>98.06644</v>
      </c>
      <c r="X773" t="n">
        <v>98.89657</v>
      </c>
      <c r="Y773" t="n">
        <v>98.69256</v>
      </c>
      <c r="Z773" t="n">
        <v>97.88842</v>
      </c>
      <c r="AA773" t="n">
        <v>95.78325</v>
      </c>
      <c r="AB773" t="n">
        <v>98.28146</v>
      </c>
      <c r="AC773" t="n">
        <v>97.05005</v>
      </c>
      <c r="AD773" t="n">
        <v>99.02916</v>
      </c>
      <c r="AE773" t="n">
        <v>98.01309999999999</v>
      </c>
    </row>
    <row r="774">
      <c r="A774" s="89" t="n">
        <v>42125</v>
      </c>
      <c r="B774" t="n">
        <v>99.25939</v>
      </c>
      <c r="C774" t="n">
        <v>99.16379999999999</v>
      </c>
      <c r="D774" t="n">
        <v>98.12407</v>
      </c>
      <c r="E774" t="n">
        <v>99.57191</v>
      </c>
      <c r="F774" t="n">
        <v>97.69611</v>
      </c>
      <c r="G774" t="n">
        <v>97.94714</v>
      </c>
      <c r="H774" t="n">
        <v>98.29402</v>
      </c>
      <c r="I774" t="n">
        <v>98.81605999999999</v>
      </c>
      <c r="J774" t="n">
        <v>99.13039999999999</v>
      </c>
      <c r="K774" t="n">
        <v>99.97147</v>
      </c>
      <c r="L774" t="n">
        <v>99.78095</v>
      </c>
      <c r="M774" t="n">
        <v>100.1247</v>
      </c>
      <c r="N774" t="n">
        <v>99.43895000000001</v>
      </c>
      <c r="O774" t="n">
        <v>99.2358</v>
      </c>
      <c r="P774" t="n">
        <v>98.57868000000001</v>
      </c>
      <c r="Q774" t="n">
        <v>100.3195</v>
      </c>
      <c r="R774" t="n">
        <v>99.5416</v>
      </c>
      <c r="S774" t="n">
        <v>99.75975</v>
      </c>
      <c r="T774" t="n">
        <v>100.1588</v>
      </c>
      <c r="U774" t="n">
        <v>100.1697</v>
      </c>
      <c r="V774" t="n">
        <v>98.52934999999999</v>
      </c>
      <c r="W774" t="n">
        <v>98.56144</v>
      </c>
      <c r="X774" t="n">
        <v>99.33511</v>
      </c>
      <c r="Y774" t="n">
        <v>99.23339</v>
      </c>
      <c r="Z774" t="n">
        <v>97.9697</v>
      </c>
      <c r="AA774" t="n">
        <v>95.6778</v>
      </c>
      <c r="AB774" t="n">
        <v>99.36775</v>
      </c>
      <c r="AC774" t="n">
        <v>98.60757</v>
      </c>
      <c r="AD774" t="n">
        <v>99.3009</v>
      </c>
      <c r="AE774" t="n">
        <v>99.23164</v>
      </c>
    </row>
    <row r="775">
      <c r="A775" s="89" t="n">
        <v>42156</v>
      </c>
      <c r="B775" t="n">
        <v>99.59</v>
      </c>
      <c r="C775" t="n">
        <v>99.94745</v>
      </c>
      <c r="D775" t="n">
        <v>98.62913</v>
      </c>
      <c r="E775" t="n">
        <v>99.8074</v>
      </c>
      <c r="F775" t="n">
        <v>98.49930999999999</v>
      </c>
      <c r="G775" t="n">
        <v>99.41924</v>
      </c>
      <c r="H775" t="n">
        <v>99.52213</v>
      </c>
      <c r="I775" t="n">
        <v>100.7656</v>
      </c>
      <c r="J775" t="n">
        <v>99.26694000000001</v>
      </c>
      <c r="K775" t="n">
        <v>100.1371</v>
      </c>
      <c r="L775" t="n">
        <v>99.95408</v>
      </c>
      <c r="M775" t="n">
        <v>99.71247</v>
      </c>
      <c r="N775" t="n">
        <v>99.40276</v>
      </c>
      <c r="O775" t="n">
        <v>99.48523</v>
      </c>
      <c r="P775" t="n">
        <v>99.84487</v>
      </c>
      <c r="Q775" t="n">
        <v>100.9733</v>
      </c>
      <c r="R775" t="n">
        <v>99.21517</v>
      </c>
      <c r="S775" t="n">
        <v>99.87739999999999</v>
      </c>
      <c r="T775" t="n">
        <v>100.8933</v>
      </c>
      <c r="U775" t="n">
        <v>100.5627</v>
      </c>
      <c r="V775" t="n">
        <v>99.21294</v>
      </c>
      <c r="W775" t="n">
        <v>99.60728</v>
      </c>
      <c r="X775" t="n">
        <v>99.69131</v>
      </c>
      <c r="Y775" t="n">
        <v>99.57082</v>
      </c>
      <c r="Z775" t="n">
        <v>98.96714</v>
      </c>
      <c r="AA775" t="n">
        <v>96.77952000000001</v>
      </c>
      <c r="AB775" t="n">
        <v>100.1168</v>
      </c>
      <c r="AC775" t="n">
        <v>99.5128</v>
      </c>
      <c r="AD775" t="n">
        <v>99.67735999999999</v>
      </c>
      <c r="AE775" t="n">
        <v>100.1425</v>
      </c>
    </row>
    <row r="776">
      <c r="A776" s="89" t="n">
        <v>42186</v>
      </c>
      <c r="B776" t="n">
        <v>100.254</v>
      </c>
      <c r="C776" t="n">
        <v>100.4726</v>
      </c>
      <c r="D776" t="n">
        <v>100.6713</v>
      </c>
      <c r="E776" t="n">
        <v>99.9718</v>
      </c>
      <c r="F776" t="n">
        <v>99.82304000000001</v>
      </c>
      <c r="G776" t="n">
        <v>101.2888</v>
      </c>
      <c r="H776" t="n">
        <v>100.2627</v>
      </c>
      <c r="I776" t="n">
        <v>102.1236</v>
      </c>
      <c r="J776" t="n">
        <v>99.69419000000001</v>
      </c>
      <c r="K776" t="n">
        <v>101.2812</v>
      </c>
      <c r="L776" t="n">
        <v>100.309</v>
      </c>
      <c r="M776" t="n">
        <v>99.78158999999999</v>
      </c>
      <c r="N776" t="n">
        <v>99.02103</v>
      </c>
      <c r="O776" t="n">
        <v>100.1818</v>
      </c>
      <c r="P776" t="n">
        <v>100.6861</v>
      </c>
      <c r="Q776" t="n">
        <v>101.4503</v>
      </c>
      <c r="R776" t="n">
        <v>99.0776</v>
      </c>
      <c r="S776" t="n">
        <v>100.1243</v>
      </c>
      <c r="T776" t="n">
        <v>101.6247</v>
      </c>
      <c r="U776" t="n">
        <v>100.6583</v>
      </c>
      <c r="V776" t="n">
        <v>99.46155</v>
      </c>
      <c r="W776" t="n">
        <v>100.7188</v>
      </c>
      <c r="X776" t="n">
        <v>100.2226</v>
      </c>
      <c r="Y776" t="n">
        <v>100.2176</v>
      </c>
      <c r="Z776" t="n">
        <v>100.0967</v>
      </c>
      <c r="AA776" t="n">
        <v>98.54646</v>
      </c>
      <c r="AB776" t="n">
        <v>100.5607</v>
      </c>
      <c r="AC776" t="n">
        <v>101.0185</v>
      </c>
      <c r="AD776" t="n">
        <v>100.1095</v>
      </c>
      <c r="AE776" t="n">
        <v>101.1488</v>
      </c>
    </row>
    <row r="777">
      <c r="A777" s="89" t="n">
        <v>42217</v>
      </c>
      <c r="B777" t="n">
        <v>100.764</v>
      </c>
      <c r="C777" t="n">
        <v>100.5366</v>
      </c>
      <c r="D777" t="n">
        <v>101.7996</v>
      </c>
      <c r="E777" t="n">
        <v>99.94559</v>
      </c>
      <c r="F777" t="n">
        <v>101.8054</v>
      </c>
      <c r="G777" t="n">
        <v>102.6123</v>
      </c>
      <c r="H777" t="n">
        <v>101.4322</v>
      </c>
      <c r="I777" t="n">
        <v>101.1634</v>
      </c>
      <c r="J777" t="n">
        <v>100.4667</v>
      </c>
      <c r="K777" t="n">
        <v>101.6547</v>
      </c>
      <c r="L777" t="n">
        <v>100.6511</v>
      </c>
      <c r="M777" t="n">
        <v>100.277</v>
      </c>
      <c r="N777" t="n">
        <v>99.53952</v>
      </c>
      <c r="O777" t="n">
        <v>101.1357</v>
      </c>
      <c r="P777" t="n">
        <v>101.3252</v>
      </c>
      <c r="Q777" t="n">
        <v>101.6116</v>
      </c>
      <c r="R777" t="n">
        <v>99.47562000000001</v>
      </c>
      <c r="S777" t="n">
        <v>100.4721</v>
      </c>
      <c r="T777" t="n">
        <v>102.1083</v>
      </c>
      <c r="U777" t="n">
        <v>101.3523</v>
      </c>
      <c r="V777" t="n">
        <v>99.66967</v>
      </c>
      <c r="W777" t="n">
        <v>101.3967</v>
      </c>
      <c r="X777" t="n">
        <v>100.8173</v>
      </c>
      <c r="Y777" t="n">
        <v>101.1226</v>
      </c>
      <c r="Z777" t="n">
        <v>101.0039</v>
      </c>
      <c r="AA777" t="n">
        <v>101.749</v>
      </c>
      <c r="AB777" t="n">
        <v>101.2271</v>
      </c>
      <c r="AC777" t="n">
        <v>103.0695</v>
      </c>
      <c r="AD777" t="n">
        <v>100.5333</v>
      </c>
      <c r="AE777" t="n">
        <v>101.7364</v>
      </c>
    </row>
    <row r="778">
      <c r="A778" s="89" t="n">
        <v>42248</v>
      </c>
      <c r="B778" t="n">
        <v>101.2094</v>
      </c>
      <c r="C778" t="n">
        <v>100.7946</v>
      </c>
      <c r="D778" t="n">
        <v>102.5078</v>
      </c>
      <c r="E778" t="n">
        <v>99.93598</v>
      </c>
      <c r="F778" t="n">
        <v>102.9774</v>
      </c>
      <c r="G778" t="n">
        <v>103.0397</v>
      </c>
      <c r="H778" t="n">
        <v>102.7493</v>
      </c>
      <c r="I778" t="n">
        <v>100.3559</v>
      </c>
      <c r="J778" t="n">
        <v>101.1667</v>
      </c>
      <c r="K778" t="n">
        <v>101.4876</v>
      </c>
      <c r="L778" t="n">
        <v>100.6182</v>
      </c>
      <c r="M778" t="n">
        <v>100.2484</v>
      </c>
      <c r="N778" t="n">
        <v>100.2856</v>
      </c>
      <c r="O778" t="n">
        <v>102.5197</v>
      </c>
      <c r="P778" t="n">
        <v>102.1573</v>
      </c>
      <c r="Q778" t="n">
        <v>101.4107</v>
      </c>
      <c r="R778" t="n">
        <v>100.4311</v>
      </c>
      <c r="S778" t="n">
        <v>100.5208</v>
      </c>
      <c r="T778" t="n">
        <v>102.4857</v>
      </c>
      <c r="U778" t="n">
        <v>101.3167</v>
      </c>
      <c r="V778" t="n">
        <v>99.7038</v>
      </c>
      <c r="W778" t="n">
        <v>102.1661</v>
      </c>
      <c r="X778" t="n">
        <v>101.281</v>
      </c>
      <c r="Y778" t="n">
        <v>101.9036</v>
      </c>
      <c r="Z778" t="n">
        <v>101.9448</v>
      </c>
      <c r="AA778" t="n">
        <v>104.7215</v>
      </c>
      <c r="AB778" t="n">
        <v>101.4928</v>
      </c>
      <c r="AC778" t="n">
        <v>105.408</v>
      </c>
      <c r="AD778" t="n">
        <v>100.9945</v>
      </c>
      <c r="AE778" t="n">
        <v>101.8069</v>
      </c>
    </row>
    <row r="779">
      <c r="A779" s="89" t="n">
        <v>42278</v>
      </c>
      <c r="B779" t="n">
        <v>101.725</v>
      </c>
      <c r="C779" t="n">
        <v>101.7761</v>
      </c>
      <c r="D779" t="n">
        <v>102.332</v>
      </c>
      <c r="E779" t="n">
        <v>100.1404</v>
      </c>
      <c r="F779" t="n">
        <v>103.9624</v>
      </c>
      <c r="G779" t="n">
        <v>103.8956</v>
      </c>
      <c r="H779" t="n">
        <v>103.8098</v>
      </c>
      <c r="I779" t="n">
        <v>100.7973</v>
      </c>
      <c r="J779" t="n">
        <v>102.2316</v>
      </c>
      <c r="K779" t="n">
        <v>102.5333</v>
      </c>
      <c r="L779" t="n">
        <v>101.103</v>
      </c>
      <c r="M779" t="n">
        <v>100.2689</v>
      </c>
      <c r="N779" t="n">
        <v>101.1078</v>
      </c>
      <c r="O779" t="n">
        <v>102.9776</v>
      </c>
      <c r="P779" t="n">
        <v>102.7561</v>
      </c>
      <c r="Q779" t="n">
        <v>100.9895</v>
      </c>
      <c r="R779" t="n">
        <v>101.5383</v>
      </c>
      <c r="S779" t="n">
        <v>100.7015</v>
      </c>
      <c r="T779" t="n">
        <v>102.8468</v>
      </c>
      <c r="U779" t="n">
        <v>101.1859</v>
      </c>
      <c r="V779" t="n">
        <v>100.1547</v>
      </c>
      <c r="W779" t="n">
        <v>102.5672</v>
      </c>
      <c r="X779" t="n">
        <v>101.5754</v>
      </c>
      <c r="Y779" t="n">
        <v>102.4327</v>
      </c>
      <c r="Z779" t="n">
        <v>102.9968</v>
      </c>
      <c r="AA779" t="n">
        <v>105.3665</v>
      </c>
      <c r="AB779" t="n">
        <v>102.3619</v>
      </c>
      <c r="AC779" t="n">
        <v>106.1984</v>
      </c>
      <c r="AD779" t="n">
        <v>101.2596</v>
      </c>
      <c r="AE779" t="n">
        <v>102.6019</v>
      </c>
    </row>
    <row r="780">
      <c r="A780" s="89" t="n">
        <v>42309</v>
      </c>
      <c r="B780" t="n">
        <v>102.2461</v>
      </c>
      <c r="C780" t="n">
        <v>102.7135</v>
      </c>
      <c r="D780" t="n">
        <v>103.1068</v>
      </c>
      <c r="E780" t="n">
        <v>100.863</v>
      </c>
      <c r="F780" t="n">
        <v>105.3868</v>
      </c>
      <c r="G780" t="n">
        <v>104.9367</v>
      </c>
      <c r="H780" t="n">
        <v>104.4826</v>
      </c>
      <c r="I780" t="n">
        <v>101.4895</v>
      </c>
      <c r="J780" t="n">
        <v>103.5442</v>
      </c>
      <c r="K780" t="n">
        <v>102.9909</v>
      </c>
      <c r="L780" t="n">
        <v>101.9152</v>
      </c>
      <c r="M780" t="n">
        <v>100.3102</v>
      </c>
      <c r="N780" t="n">
        <v>102.4743</v>
      </c>
      <c r="O780" t="n">
        <v>102.5325</v>
      </c>
      <c r="P780" t="n">
        <v>103.5811</v>
      </c>
      <c r="Q780" t="n">
        <v>100.5141</v>
      </c>
      <c r="R780" t="n">
        <v>102.102</v>
      </c>
      <c r="S780" t="n">
        <v>100.8658</v>
      </c>
      <c r="T780" t="n">
        <v>103.3182</v>
      </c>
      <c r="U780" t="n">
        <v>100.7858</v>
      </c>
      <c r="V780" t="n">
        <v>100.4422</v>
      </c>
      <c r="W780" t="n">
        <v>103.3274</v>
      </c>
      <c r="X780" t="n">
        <v>102.0447</v>
      </c>
      <c r="Y780" t="n">
        <v>102.6105</v>
      </c>
      <c r="Z780" t="n">
        <v>103.9069</v>
      </c>
      <c r="AA780" t="n">
        <v>105.8497</v>
      </c>
      <c r="AB780" t="n">
        <v>103.2849</v>
      </c>
      <c r="AC780" t="n">
        <v>105.4862</v>
      </c>
      <c r="AD780" t="n">
        <v>102.0009</v>
      </c>
      <c r="AE780" t="n">
        <v>103.4956</v>
      </c>
    </row>
    <row r="781">
      <c r="A781" s="89" t="n">
        <v>42339</v>
      </c>
      <c r="B781" t="n">
        <v>102.728</v>
      </c>
      <c r="C781" t="n">
        <v>104.4511</v>
      </c>
      <c r="D781" t="n">
        <v>103.9985</v>
      </c>
      <c r="E781" t="n">
        <v>101.1784</v>
      </c>
      <c r="F781" t="n">
        <v>106.2101</v>
      </c>
      <c r="G781" t="n">
        <v>105.8226</v>
      </c>
      <c r="H781" t="n">
        <v>104.9792</v>
      </c>
      <c r="I781" t="n">
        <v>101.9648</v>
      </c>
      <c r="J781" t="n">
        <v>104.6478</v>
      </c>
      <c r="K781" t="n">
        <v>103.6312</v>
      </c>
      <c r="L781" t="n">
        <v>102.2157</v>
      </c>
      <c r="M781" t="n">
        <v>100.71</v>
      </c>
      <c r="N781" t="n">
        <v>103.8644</v>
      </c>
      <c r="O781" t="n">
        <v>102.6416</v>
      </c>
      <c r="P781" t="n">
        <v>104.636</v>
      </c>
      <c r="Q781" t="n">
        <v>99.99091</v>
      </c>
      <c r="R781" t="n">
        <v>102.21</v>
      </c>
      <c r="S781" t="n">
        <v>101.0825</v>
      </c>
      <c r="T781" t="n">
        <v>103.9216</v>
      </c>
      <c r="U781" t="n">
        <v>100.8215</v>
      </c>
      <c r="V781" t="n">
        <v>100.6144</v>
      </c>
      <c r="W781" t="n">
        <v>104.3082</v>
      </c>
      <c r="X781" t="n">
        <v>102.4379</v>
      </c>
      <c r="Y781" t="n">
        <v>102.9104</v>
      </c>
      <c r="Z781" t="n">
        <v>104.5416</v>
      </c>
      <c r="AA781" t="n">
        <v>107.3834</v>
      </c>
      <c r="AB781" t="n">
        <v>103.6645</v>
      </c>
      <c r="AC781" t="n">
        <v>105.0813</v>
      </c>
      <c r="AD781" t="n">
        <v>102.4654</v>
      </c>
      <c r="AE781" t="n">
        <v>103.8835</v>
      </c>
    </row>
    <row r="782">
      <c r="A782" s="89" t="n">
        <v>42370</v>
      </c>
      <c r="B782" t="n">
        <v>103.1259</v>
      </c>
      <c r="C782" t="n">
        <v>105.6399</v>
      </c>
      <c r="D782" t="n">
        <v>104.9908</v>
      </c>
      <c r="E782" t="n">
        <v>101.003</v>
      </c>
      <c r="F782" t="n">
        <v>106.4915</v>
      </c>
      <c r="G782" t="n">
        <v>106.7303</v>
      </c>
      <c r="H782" t="n">
        <v>105.8082</v>
      </c>
      <c r="I782" t="n">
        <v>101.7316</v>
      </c>
      <c r="J782" t="n">
        <v>105.2835</v>
      </c>
      <c r="K782" t="n">
        <v>101.5668</v>
      </c>
      <c r="L782" t="n">
        <v>102.5261</v>
      </c>
      <c r="M782" t="n">
        <v>101.6015</v>
      </c>
      <c r="N782" t="n">
        <v>104.0854</v>
      </c>
      <c r="O782" t="n">
        <v>103.3395</v>
      </c>
      <c r="P782" t="n">
        <v>105.6285</v>
      </c>
      <c r="Q782" t="n">
        <v>99.40437</v>
      </c>
      <c r="R782" t="n">
        <v>102.5798</v>
      </c>
      <c r="S782" t="n">
        <v>101.3419</v>
      </c>
      <c r="T782" t="n">
        <v>104.5882</v>
      </c>
      <c r="U782" t="n">
        <v>102.0751</v>
      </c>
      <c r="V782" t="n">
        <v>100.8831</v>
      </c>
      <c r="W782" t="n">
        <v>104.8233</v>
      </c>
      <c r="X782" t="n">
        <v>103.2452</v>
      </c>
      <c r="Y782" t="n">
        <v>103.4743</v>
      </c>
      <c r="Z782" t="n">
        <v>105.4562</v>
      </c>
      <c r="AA782" t="n">
        <v>109.6157</v>
      </c>
      <c r="AB782" t="n">
        <v>104.5156</v>
      </c>
      <c r="AC782" t="n">
        <v>105.6236</v>
      </c>
      <c r="AD782" t="n">
        <v>103.5283</v>
      </c>
      <c r="AE782" t="n">
        <v>103.8933</v>
      </c>
    </row>
    <row r="783">
      <c r="A783" s="89" t="n">
        <v>42401</v>
      </c>
      <c r="B783" t="n">
        <v>103.5882</v>
      </c>
      <c r="C783" t="n">
        <v>106.2466</v>
      </c>
      <c r="D783" t="n">
        <v>105.579</v>
      </c>
      <c r="E783" t="n">
        <v>101.1289</v>
      </c>
      <c r="F783" t="n">
        <v>107.0367</v>
      </c>
      <c r="G783" t="n">
        <v>107.6444</v>
      </c>
      <c r="H783" t="n">
        <v>106.7278</v>
      </c>
      <c r="I783" t="n">
        <v>101.3751</v>
      </c>
      <c r="J783" t="n">
        <v>105.9415</v>
      </c>
      <c r="K783" t="n">
        <v>99.39754000000001</v>
      </c>
      <c r="L783" t="n">
        <v>103.0043</v>
      </c>
      <c r="M783" t="n">
        <v>102.4762</v>
      </c>
      <c r="N783" t="n">
        <v>103.4775</v>
      </c>
      <c r="O783" t="n">
        <v>104.4958</v>
      </c>
      <c r="P783" t="n">
        <v>106.6381</v>
      </c>
      <c r="Q783" t="n">
        <v>98.75668</v>
      </c>
      <c r="R783" t="n">
        <v>103.1788</v>
      </c>
      <c r="S783" t="n">
        <v>101.54</v>
      </c>
      <c r="T783" t="n">
        <v>105.8999</v>
      </c>
      <c r="U783" t="n">
        <v>102.6425</v>
      </c>
      <c r="V783" t="n">
        <v>101.4163</v>
      </c>
      <c r="W783" t="n">
        <v>105.6437</v>
      </c>
      <c r="X783" t="n">
        <v>103.8325</v>
      </c>
      <c r="Y783" t="n">
        <v>104.2042</v>
      </c>
      <c r="Z783" t="n">
        <v>106.5334</v>
      </c>
      <c r="AA783" t="n">
        <v>111.5479</v>
      </c>
      <c r="AB783" t="n">
        <v>105.3663</v>
      </c>
      <c r="AC783" t="n">
        <v>106.7955</v>
      </c>
      <c r="AD783" t="n">
        <v>104.1624</v>
      </c>
      <c r="AE783" t="n">
        <v>104.0944</v>
      </c>
    </row>
    <row r="784">
      <c r="A784" s="89" t="n">
        <v>42430</v>
      </c>
      <c r="B784" t="n">
        <v>104.0757</v>
      </c>
      <c r="C784" t="n">
        <v>107.6048</v>
      </c>
      <c r="D784" t="n">
        <v>105.0585</v>
      </c>
      <c r="E784" t="n">
        <v>101.4918</v>
      </c>
      <c r="F784" t="n">
        <v>107.5934</v>
      </c>
      <c r="G784" t="n">
        <v>108.5233</v>
      </c>
      <c r="H784" t="n">
        <v>107.7545</v>
      </c>
      <c r="I784" t="n">
        <v>102.4328</v>
      </c>
      <c r="J784" t="n">
        <v>106.4184</v>
      </c>
      <c r="K784" t="n">
        <v>99.33789</v>
      </c>
      <c r="L784" t="n">
        <v>103.2904</v>
      </c>
      <c r="M784" t="n">
        <v>103.1397</v>
      </c>
      <c r="N784" t="n">
        <v>103.3159</v>
      </c>
      <c r="O784" t="n">
        <v>105.3177</v>
      </c>
      <c r="P784" t="n">
        <v>107.2807</v>
      </c>
      <c r="Q784" t="n">
        <v>98.05580999999999</v>
      </c>
      <c r="R784" t="n">
        <v>103.3215</v>
      </c>
      <c r="S784" t="n">
        <v>101.78</v>
      </c>
      <c r="T784" t="n">
        <v>106.8244</v>
      </c>
      <c r="U784" t="n">
        <v>102.8263</v>
      </c>
      <c r="V784" t="n">
        <v>101.9165</v>
      </c>
      <c r="W784" t="n">
        <v>106.571</v>
      </c>
      <c r="X784" t="n">
        <v>104.3185</v>
      </c>
      <c r="Y784" t="n">
        <v>104.8497</v>
      </c>
      <c r="Z784" t="n">
        <v>107.019</v>
      </c>
      <c r="AA784" t="n">
        <v>111.9137</v>
      </c>
      <c r="AB784" t="n">
        <v>106.0192</v>
      </c>
      <c r="AC784" t="n">
        <v>107.8456</v>
      </c>
      <c r="AD784" t="n">
        <v>104.6909</v>
      </c>
      <c r="AE784" t="n">
        <v>105.069</v>
      </c>
    </row>
    <row r="785">
      <c r="A785" s="89" t="n">
        <v>42461</v>
      </c>
      <c r="B785" t="n">
        <v>104.5408</v>
      </c>
      <c r="C785" t="n">
        <v>108.7242</v>
      </c>
      <c r="D785" t="n">
        <v>105.861</v>
      </c>
      <c r="E785" t="n">
        <v>101.8302</v>
      </c>
      <c r="F785" t="n">
        <v>107.9816</v>
      </c>
      <c r="G785" t="n">
        <v>109.4211</v>
      </c>
      <c r="H785" t="n">
        <v>108.7542</v>
      </c>
      <c r="I785" t="n">
        <v>102.7851</v>
      </c>
      <c r="J785" t="n">
        <v>106.9884</v>
      </c>
      <c r="K785" t="n">
        <v>100.125</v>
      </c>
      <c r="L785" t="n">
        <v>103.8903</v>
      </c>
      <c r="M785" t="n">
        <v>103.2446</v>
      </c>
      <c r="N785" t="n">
        <v>103.2794</v>
      </c>
      <c r="O785" t="n">
        <v>105.9277</v>
      </c>
      <c r="P785" t="n">
        <v>108.4104</v>
      </c>
      <c r="Q785" t="n">
        <v>97.29808</v>
      </c>
      <c r="R785" t="n">
        <v>103.7684</v>
      </c>
      <c r="S785" t="n">
        <v>102.1553</v>
      </c>
      <c r="T785" t="n">
        <v>107.2851</v>
      </c>
      <c r="U785" t="n">
        <v>103.2707</v>
      </c>
      <c r="V785" t="n">
        <v>102.4327</v>
      </c>
      <c r="W785" t="n">
        <v>107.4952</v>
      </c>
      <c r="X785" t="n">
        <v>104.9379</v>
      </c>
      <c r="Y785" t="n">
        <v>105.3068</v>
      </c>
      <c r="Z785" t="n">
        <v>107.9957</v>
      </c>
      <c r="AA785" t="n">
        <v>111.3922</v>
      </c>
      <c r="AB785" t="n">
        <v>106.7122</v>
      </c>
      <c r="AC785" t="n">
        <v>108.5829</v>
      </c>
      <c r="AD785" t="n">
        <v>105.433</v>
      </c>
      <c r="AE785" t="n">
        <v>105.7873</v>
      </c>
    </row>
    <row r="786">
      <c r="A786" s="89" t="n">
        <v>42491</v>
      </c>
      <c r="B786" t="n">
        <v>104.9274</v>
      </c>
      <c r="C786" t="n">
        <v>109.4343</v>
      </c>
      <c r="D786" t="n">
        <v>107.4119</v>
      </c>
      <c r="E786" t="n">
        <v>101.8831</v>
      </c>
      <c r="F786" t="n">
        <v>108.7839</v>
      </c>
      <c r="G786" t="n">
        <v>110.2642</v>
      </c>
      <c r="H786" t="n">
        <v>109.4839</v>
      </c>
      <c r="I786" t="n">
        <v>102.156</v>
      </c>
      <c r="J786" t="n">
        <v>108.0234</v>
      </c>
      <c r="K786" t="n">
        <v>101.3857</v>
      </c>
      <c r="L786" t="n">
        <v>104.5536</v>
      </c>
      <c r="M786" t="n">
        <v>103.4035</v>
      </c>
      <c r="N786" t="n">
        <v>103.3675</v>
      </c>
      <c r="O786" t="n">
        <v>106.5111</v>
      </c>
      <c r="P786" t="n">
        <v>109.3104</v>
      </c>
      <c r="Q786" t="n">
        <v>96.46853</v>
      </c>
      <c r="R786" t="n">
        <v>104.8127</v>
      </c>
      <c r="S786" t="n">
        <v>102.5132</v>
      </c>
      <c r="T786" t="n">
        <v>107.9578</v>
      </c>
      <c r="U786" t="n">
        <v>103.6686</v>
      </c>
      <c r="V786" t="n">
        <v>102.7665</v>
      </c>
      <c r="W786" t="n">
        <v>108.2645</v>
      </c>
      <c r="X786" t="n">
        <v>105.5238</v>
      </c>
      <c r="Y786" t="n">
        <v>105.9647</v>
      </c>
      <c r="Z786" t="n">
        <v>109.3193</v>
      </c>
      <c r="AA786" t="n">
        <v>111.9792</v>
      </c>
      <c r="AB786" t="n">
        <v>107.2761</v>
      </c>
      <c r="AC786" t="n">
        <v>109.8012</v>
      </c>
      <c r="AD786" t="n">
        <v>106.0047</v>
      </c>
      <c r="AE786" t="n">
        <v>105.941</v>
      </c>
    </row>
    <row r="787">
      <c r="A787" s="89" t="n">
        <v>42522</v>
      </c>
      <c r="B787" t="n">
        <v>105.3757</v>
      </c>
      <c r="C787" t="n">
        <v>110.1798</v>
      </c>
      <c r="D787" t="n">
        <v>108.2476</v>
      </c>
      <c r="E787" t="n">
        <v>102.0678</v>
      </c>
      <c r="F787" t="n">
        <v>109.7694</v>
      </c>
      <c r="G787" t="n">
        <v>111.3419</v>
      </c>
      <c r="H787" t="n">
        <v>109.9579</v>
      </c>
      <c r="I787" t="n">
        <v>102.5709</v>
      </c>
      <c r="J787" t="n">
        <v>108.4391</v>
      </c>
      <c r="K787" t="n">
        <v>101.5321</v>
      </c>
      <c r="L787" t="n">
        <v>104.8455</v>
      </c>
      <c r="M787" t="n">
        <v>105.408</v>
      </c>
      <c r="N787" t="n">
        <v>103.9226</v>
      </c>
      <c r="O787" t="n">
        <v>107.4927</v>
      </c>
      <c r="P787" t="n">
        <v>109.3151</v>
      </c>
      <c r="Q787" t="n">
        <v>95.72318</v>
      </c>
      <c r="R787" t="n">
        <v>105.5962</v>
      </c>
      <c r="S787" t="n">
        <v>102.7394</v>
      </c>
      <c r="T787" t="n">
        <v>108.6904</v>
      </c>
      <c r="U787" t="n">
        <v>104.1071</v>
      </c>
      <c r="V787" t="n">
        <v>103.1657</v>
      </c>
      <c r="W787" t="n">
        <v>108.7921</v>
      </c>
      <c r="X787" t="n">
        <v>106.2036</v>
      </c>
      <c r="Y787" t="n">
        <v>107.2886</v>
      </c>
      <c r="Z787" t="n">
        <v>110.3683</v>
      </c>
      <c r="AA787" t="n">
        <v>112.1842</v>
      </c>
      <c r="AB787" t="n">
        <v>107.2596</v>
      </c>
      <c r="AC787" t="n">
        <v>111.4886</v>
      </c>
      <c r="AD787" t="n">
        <v>106.5665</v>
      </c>
      <c r="AE787" t="n">
        <v>106.1618</v>
      </c>
    </row>
    <row r="788">
      <c r="A788" s="89" t="n">
        <v>42552</v>
      </c>
      <c r="B788" t="n">
        <v>106.1042</v>
      </c>
      <c r="C788" t="n">
        <v>111.1833</v>
      </c>
      <c r="D788" t="n">
        <v>109.6005</v>
      </c>
      <c r="E788" t="n">
        <v>102.4401</v>
      </c>
      <c r="F788" t="n">
        <v>110.6949</v>
      </c>
      <c r="G788" t="n">
        <v>112.5014</v>
      </c>
      <c r="H788" t="n">
        <v>110.5654</v>
      </c>
      <c r="I788" t="n">
        <v>103.5001</v>
      </c>
      <c r="J788" t="n">
        <v>108.7743</v>
      </c>
      <c r="K788" t="n">
        <v>101.3673</v>
      </c>
      <c r="L788" t="n">
        <v>105.3881</v>
      </c>
      <c r="M788" t="n">
        <v>107.7635</v>
      </c>
      <c r="N788" t="n">
        <v>104.2315</v>
      </c>
      <c r="O788" t="n">
        <v>108.5878</v>
      </c>
      <c r="P788" t="n">
        <v>110.2634</v>
      </c>
      <c r="Q788" t="n">
        <v>95.27303000000001</v>
      </c>
      <c r="R788" t="n">
        <v>106.3809</v>
      </c>
      <c r="S788" t="n">
        <v>103.0076</v>
      </c>
      <c r="T788" t="n">
        <v>109.6517</v>
      </c>
      <c r="U788" t="n">
        <v>104.6474</v>
      </c>
      <c r="V788" t="n">
        <v>103.9729</v>
      </c>
      <c r="W788" t="n">
        <v>109.4333</v>
      </c>
      <c r="X788" t="n">
        <v>106.9055</v>
      </c>
      <c r="Y788" t="n">
        <v>108.6442</v>
      </c>
      <c r="Z788" t="n">
        <v>111.1972</v>
      </c>
      <c r="AA788" t="n">
        <v>111.8858</v>
      </c>
      <c r="AB788" t="n">
        <v>108.161</v>
      </c>
      <c r="AC788" t="n">
        <v>112.7543</v>
      </c>
      <c r="AD788" t="n">
        <v>107.0543</v>
      </c>
      <c r="AE788" t="n">
        <v>106.4057</v>
      </c>
    </row>
    <row r="789">
      <c r="A789" s="89" t="n">
        <v>42583</v>
      </c>
      <c r="B789" t="n">
        <v>106.8495</v>
      </c>
      <c r="C789" t="n">
        <v>112.2031</v>
      </c>
      <c r="D789" t="n">
        <v>110.0335</v>
      </c>
      <c r="E789" t="n">
        <v>102.6681</v>
      </c>
      <c r="F789" t="n">
        <v>111.8022</v>
      </c>
      <c r="G789" t="n">
        <v>113.6486</v>
      </c>
      <c r="H789" t="n">
        <v>111.3103</v>
      </c>
      <c r="I789" t="n">
        <v>104.314</v>
      </c>
      <c r="J789" t="n">
        <v>109.5771</v>
      </c>
      <c r="K789" t="n">
        <v>100.8535</v>
      </c>
      <c r="L789" t="n">
        <v>105.774</v>
      </c>
      <c r="M789" t="n">
        <v>108.7431</v>
      </c>
      <c r="N789" t="n">
        <v>104.2451</v>
      </c>
      <c r="O789" t="n">
        <v>109.1512</v>
      </c>
      <c r="P789" t="n">
        <v>111.6638</v>
      </c>
      <c r="Q789" t="n">
        <v>95.12656</v>
      </c>
      <c r="R789" t="n">
        <v>106.8371</v>
      </c>
      <c r="S789" t="n">
        <v>103.2486</v>
      </c>
      <c r="T789" t="n">
        <v>110.3708</v>
      </c>
      <c r="U789" t="n">
        <v>104.9644</v>
      </c>
      <c r="V789" t="n">
        <v>104.7256</v>
      </c>
      <c r="W789" t="n">
        <v>109.9494</v>
      </c>
      <c r="X789" t="n">
        <v>107.5433</v>
      </c>
      <c r="Y789" t="n">
        <v>109.3599</v>
      </c>
      <c r="Z789" t="n">
        <v>111.5546</v>
      </c>
      <c r="AA789" t="n">
        <v>111.8096</v>
      </c>
      <c r="AB789" t="n">
        <v>109.6453</v>
      </c>
      <c r="AC789" t="n">
        <v>113.4886</v>
      </c>
      <c r="AD789" t="n">
        <v>107.7806</v>
      </c>
      <c r="AE789" t="n">
        <v>106.8796</v>
      </c>
    </row>
    <row r="790">
      <c r="A790" s="89" t="n">
        <v>42614</v>
      </c>
      <c r="B790" t="n">
        <v>107.1969</v>
      </c>
      <c r="C790" t="n">
        <v>113.2471</v>
      </c>
      <c r="D790" t="n">
        <v>110.7548</v>
      </c>
      <c r="E790" t="n">
        <v>102.8135</v>
      </c>
      <c r="F790" t="n">
        <v>112.7641</v>
      </c>
      <c r="G790" t="n">
        <v>114.7331</v>
      </c>
      <c r="H790" t="n">
        <v>111.8796</v>
      </c>
      <c r="I790" t="n">
        <v>104.8117</v>
      </c>
      <c r="J790" t="n">
        <v>110.0626</v>
      </c>
      <c r="K790" t="n">
        <v>100.2302</v>
      </c>
      <c r="L790" t="n">
        <v>105.7385</v>
      </c>
      <c r="M790" t="n">
        <v>109.5196</v>
      </c>
      <c r="N790" t="n">
        <v>104.5374</v>
      </c>
      <c r="O790" t="n">
        <v>109.0556</v>
      </c>
      <c r="P790" t="n">
        <v>112.9333</v>
      </c>
      <c r="Q790" t="n">
        <v>95.29783999999999</v>
      </c>
      <c r="R790" t="n">
        <v>106.7906</v>
      </c>
      <c r="S790" t="n">
        <v>103.4743</v>
      </c>
      <c r="T790" t="n">
        <v>110.7815</v>
      </c>
      <c r="U790" t="n">
        <v>106.4222</v>
      </c>
      <c r="V790" t="n">
        <v>105.677</v>
      </c>
      <c r="W790" t="n">
        <v>110.0643</v>
      </c>
      <c r="X790" t="n">
        <v>108.1046</v>
      </c>
      <c r="Y790" t="n">
        <v>109.9851</v>
      </c>
      <c r="Z790" t="n">
        <v>111.9094</v>
      </c>
      <c r="AA790" t="n">
        <v>111.3782</v>
      </c>
      <c r="AB790" t="n">
        <v>110.2269</v>
      </c>
      <c r="AC790" t="n">
        <v>114.335</v>
      </c>
      <c r="AD790" t="n">
        <v>108.2875</v>
      </c>
      <c r="AE790" t="n">
        <v>107.4494</v>
      </c>
    </row>
    <row r="791">
      <c r="A791" s="89" t="n">
        <v>42644</v>
      </c>
      <c r="B791" t="n">
        <v>107.648</v>
      </c>
      <c r="C791" t="n">
        <v>114.0469</v>
      </c>
      <c r="D791" t="n">
        <v>111.5642</v>
      </c>
      <c r="E791" t="n">
        <v>103.0622</v>
      </c>
      <c r="F791" t="n">
        <v>113.5922</v>
      </c>
      <c r="G791" t="n">
        <v>115.7832</v>
      </c>
      <c r="H791" t="n">
        <v>112.0154</v>
      </c>
      <c r="I791" t="n">
        <v>105.0057</v>
      </c>
      <c r="J791" t="n">
        <v>110.6374</v>
      </c>
      <c r="K791" t="n">
        <v>99.68088</v>
      </c>
      <c r="L791" t="n">
        <v>105.9027</v>
      </c>
      <c r="M791" t="n">
        <v>110.5632</v>
      </c>
      <c r="N791" t="n">
        <v>105.1534</v>
      </c>
      <c r="O791" t="n">
        <v>109.4764</v>
      </c>
      <c r="P791" t="n">
        <v>113.9786</v>
      </c>
      <c r="Q791" t="n">
        <v>95.74462</v>
      </c>
      <c r="R791" t="n">
        <v>107.1774</v>
      </c>
      <c r="S791" t="n">
        <v>103.7618</v>
      </c>
      <c r="T791" t="n">
        <v>111.2151</v>
      </c>
      <c r="U791" t="n">
        <v>107.4048</v>
      </c>
      <c r="V791" t="n">
        <v>106.1911</v>
      </c>
      <c r="W791" t="n">
        <v>110.7789</v>
      </c>
      <c r="X791" t="n">
        <v>108.7368</v>
      </c>
      <c r="Y791" t="n">
        <v>110.923</v>
      </c>
      <c r="Z791" t="n">
        <v>112.3453</v>
      </c>
      <c r="AA791" t="n">
        <v>111.1182</v>
      </c>
      <c r="AB791" t="n">
        <v>110.8456</v>
      </c>
      <c r="AC791" t="n">
        <v>116.0833</v>
      </c>
      <c r="AD791" t="n">
        <v>108.8576</v>
      </c>
      <c r="AE791" t="n">
        <v>108.8939</v>
      </c>
    </row>
    <row r="792">
      <c r="A792" s="89" t="n">
        <v>42675</v>
      </c>
      <c r="B792" t="n">
        <v>108.4409</v>
      </c>
      <c r="C792" t="n">
        <v>114.7641</v>
      </c>
      <c r="D792" t="n">
        <v>111.9082</v>
      </c>
      <c r="E792" t="n">
        <v>103.2142</v>
      </c>
      <c r="F792" t="n">
        <v>114.3704</v>
      </c>
      <c r="G792" t="n">
        <v>116.8109</v>
      </c>
      <c r="H792" t="n">
        <v>112.4445</v>
      </c>
      <c r="I792" t="n">
        <v>104.8443</v>
      </c>
      <c r="J792" t="n">
        <v>111.9626</v>
      </c>
      <c r="K792" t="n">
        <v>99.73757000000001</v>
      </c>
      <c r="L792" t="n">
        <v>106.5019</v>
      </c>
      <c r="M792" t="n">
        <v>111.08</v>
      </c>
      <c r="N792" t="n">
        <v>106.0009</v>
      </c>
      <c r="O792" t="n">
        <v>111.1805</v>
      </c>
      <c r="P792" t="n">
        <v>114.4473</v>
      </c>
      <c r="Q792" t="n">
        <v>96.19054</v>
      </c>
      <c r="R792" t="n">
        <v>107.6775</v>
      </c>
      <c r="S792" t="n">
        <v>104.1218</v>
      </c>
      <c r="T792" t="n">
        <v>111.4933</v>
      </c>
      <c r="U792" t="n">
        <v>107.4286</v>
      </c>
      <c r="V792" t="n">
        <v>106.4989</v>
      </c>
      <c r="W792" t="n">
        <v>111.6204</v>
      </c>
      <c r="X792" t="n">
        <v>109.3779</v>
      </c>
      <c r="Y792" t="n">
        <v>112.1694</v>
      </c>
      <c r="Z792" t="n">
        <v>113.4661</v>
      </c>
      <c r="AA792" t="n">
        <v>111.25</v>
      </c>
      <c r="AB792" t="n">
        <v>111.9196</v>
      </c>
      <c r="AC792" t="n">
        <v>119.124</v>
      </c>
      <c r="AD792" t="n">
        <v>109.4418</v>
      </c>
      <c r="AE792" t="n">
        <v>109.57</v>
      </c>
    </row>
    <row r="793">
      <c r="A793" s="89" t="n">
        <v>42705</v>
      </c>
      <c r="B793" t="n">
        <v>109.3851</v>
      </c>
      <c r="C793" t="n">
        <v>116.0733</v>
      </c>
      <c r="D793" t="n">
        <v>112.5724</v>
      </c>
      <c r="E793" t="n">
        <v>103.6201</v>
      </c>
      <c r="F793" t="n">
        <v>114.8418</v>
      </c>
      <c r="G793" t="n">
        <v>117.7696</v>
      </c>
      <c r="H793" t="n">
        <v>112.8905</v>
      </c>
      <c r="I793" t="n">
        <v>104.9572</v>
      </c>
      <c r="J793" t="n">
        <v>112.3868</v>
      </c>
      <c r="K793" t="n">
        <v>99.9858</v>
      </c>
      <c r="L793" t="n">
        <v>107.1984</v>
      </c>
      <c r="M793" t="n">
        <v>111.0193</v>
      </c>
      <c r="N793" t="n">
        <v>109.1631</v>
      </c>
      <c r="O793" t="n">
        <v>112.6748</v>
      </c>
      <c r="P793" t="n">
        <v>113.1645</v>
      </c>
      <c r="Q793" t="n">
        <v>96.53201</v>
      </c>
      <c r="R793" t="n">
        <v>108.0424</v>
      </c>
      <c r="S793" t="n">
        <v>104.4703</v>
      </c>
      <c r="T793" t="n">
        <v>111.76</v>
      </c>
      <c r="U793" t="n">
        <v>108.1177</v>
      </c>
      <c r="V793" t="n">
        <v>106.3611</v>
      </c>
      <c r="W793" t="n">
        <v>112.1229</v>
      </c>
      <c r="X793" t="n">
        <v>109.8714</v>
      </c>
      <c r="Y793" t="n">
        <v>113.2934</v>
      </c>
      <c r="Z793" t="n">
        <v>114.5689</v>
      </c>
      <c r="AA793" t="n">
        <v>109.5448</v>
      </c>
      <c r="AB793" t="n">
        <v>112.4266</v>
      </c>
      <c r="AC793" t="n">
        <v>122.3516</v>
      </c>
      <c r="AD793" t="n">
        <v>109.6853</v>
      </c>
      <c r="AE793" t="n">
        <v>109.5054</v>
      </c>
    </row>
    <row r="794">
      <c r="A794" s="89" t="n">
        <v>42736</v>
      </c>
      <c r="B794" t="n">
        <v>110.2284</v>
      </c>
      <c r="C794" t="n">
        <v>117.4995</v>
      </c>
      <c r="D794" t="n">
        <v>112.8624</v>
      </c>
      <c r="E794" t="n">
        <v>104.0666</v>
      </c>
      <c r="F794" t="n">
        <v>115.2863</v>
      </c>
      <c r="G794" t="n">
        <v>118.7757</v>
      </c>
      <c r="H794" t="n">
        <v>113.5608</v>
      </c>
      <c r="I794" t="n">
        <v>105.6105</v>
      </c>
      <c r="J794" t="n">
        <v>113.0028</v>
      </c>
      <c r="K794" t="n">
        <v>99.49997999999999</v>
      </c>
      <c r="L794" t="n">
        <v>107.5622</v>
      </c>
      <c r="M794" t="n">
        <v>111.4924</v>
      </c>
      <c r="N794" t="n">
        <v>111.1553</v>
      </c>
      <c r="O794" t="n">
        <v>113.6743</v>
      </c>
      <c r="P794" t="n">
        <v>112.252</v>
      </c>
      <c r="Q794" t="n">
        <v>96.86812999999999</v>
      </c>
      <c r="R794" t="n">
        <v>108.6681</v>
      </c>
      <c r="S794" t="n">
        <v>104.801</v>
      </c>
      <c r="T794" t="n">
        <v>112.4896</v>
      </c>
      <c r="U794" t="n">
        <v>108.5231</v>
      </c>
      <c r="V794" t="n">
        <v>106.6376</v>
      </c>
      <c r="W794" t="n">
        <v>112.7332</v>
      </c>
      <c r="X794" t="n">
        <v>110.4931</v>
      </c>
      <c r="Y794" t="n">
        <v>114.294</v>
      </c>
      <c r="Z794" t="n">
        <v>114.9385</v>
      </c>
      <c r="AA794" t="n">
        <v>109.5886</v>
      </c>
      <c r="AB794" t="n">
        <v>114</v>
      </c>
      <c r="AC794" t="n">
        <v>124.6684</v>
      </c>
      <c r="AD794" t="n">
        <v>110.321</v>
      </c>
      <c r="AE794" t="n">
        <v>110.9233</v>
      </c>
    </row>
    <row r="795">
      <c r="A795" s="89" t="n">
        <v>42767</v>
      </c>
      <c r="B795" t="n">
        <v>110.8448</v>
      </c>
      <c r="C795" t="n">
        <v>118.423</v>
      </c>
      <c r="D795" t="n">
        <v>112.8585</v>
      </c>
      <c r="E795" t="n">
        <v>104.3103</v>
      </c>
      <c r="F795" t="n">
        <v>115.9566</v>
      </c>
      <c r="G795" t="n">
        <v>119.5943</v>
      </c>
      <c r="H795" t="n">
        <v>114.3011</v>
      </c>
      <c r="I795" t="n">
        <v>106.322</v>
      </c>
      <c r="J795" t="n">
        <v>114.9421</v>
      </c>
      <c r="K795" t="n">
        <v>100.024</v>
      </c>
      <c r="L795" t="n">
        <v>107.8459</v>
      </c>
      <c r="M795" t="n">
        <v>112.5848</v>
      </c>
      <c r="N795" t="n">
        <v>110.3412</v>
      </c>
      <c r="O795" t="n">
        <v>114.5266</v>
      </c>
      <c r="P795" t="n">
        <v>113.2879</v>
      </c>
      <c r="Q795" t="n">
        <v>97.20923000000001</v>
      </c>
      <c r="R795" t="n">
        <v>109.0887</v>
      </c>
      <c r="S795" t="n">
        <v>105.1431</v>
      </c>
      <c r="T795" t="n">
        <v>113.7022</v>
      </c>
      <c r="U795" t="n">
        <v>109.0174</v>
      </c>
      <c r="V795" t="n">
        <v>107.7745</v>
      </c>
      <c r="W795" t="n">
        <v>113.0228</v>
      </c>
      <c r="X795" t="n">
        <v>111.0481</v>
      </c>
      <c r="Y795" t="n">
        <v>115.0934</v>
      </c>
      <c r="Z795" t="n">
        <v>115.3637</v>
      </c>
      <c r="AA795" t="n">
        <v>111.9546</v>
      </c>
      <c r="AB795" t="n">
        <v>115.7784</v>
      </c>
      <c r="AC795" t="n">
        <v>125.1601</v>
      </c>
      <c r="AD795" t="n">
        <v>110.867</v>
      </c>
      <c r="AE795" t="n">
        <v>111.5116</v>
      </c>
    </row>
    <row r="796">
      <c r="A796" s="89" t="n">
        <v>42795</v>
      </c>
      <c r="B796" t="n">
        <v>111.2119</v>
      </c>
      <c r="C796" t="n">
        <v>119.5359</v>
      </c>
      <c r="D796" t="n">
        <v>113.7699</v>
      </c>
      <c r="E796" t="n">
        <v>104.6731</v>
      </c>
      <c r="F796" t="n">
        <v>116.9821</v>
      </c>
      <c r="G796" t="n">
        <v>120.2932</v>
      </c>
      <c r="H796" t="n">
        <v>114.393</v>
      </c>
      <c r="I796" t="n">
        <v>106.5762</v>
      </c>
      <c r="J796" t="n">
        <v>116.796</v>
      </c>
      <c r="K796" t="n">
        <v>101.1495</v>
      </c>
      <c r="L796" t="n">
        <v>108.4999</v>
      </c>
      <c r="M796" t="n">
        <v>113.8531</v>
      </c>
      <c r="N796" t="n">
        <v>110.7197</v>
      </c>
      <c r="O796" t="n">
        <v>115.4727</v>
      </c>
      <c r="P796" t="n">
        <v>116.216</v>
      </c>
      <c r="Q796" t="n">
        <v>97.61906999999999</v>
      </c>
      <c r="R796" t="n">
        <v>109.4183</v>
      </c>
      <c r="S796" t="n">
        <v>105.4287</v>
      </c>
      <c r="T796" t="n">
        <v>114.769</v>
      </c>
      <c r="U796" t="n">
        <v>110.1095</v>
      </c>
      <c r="V796" t="n">
        <v>108.8466</v>
      </c>
      <c r="W796" t="n">
        <v>113.4625</v>
      </c>
      <c r="X796" t="n">
        <v>111.7406</v>
      </c>
      <c r="Y796" t="n">
        <v>116.0639</v>
      </c>
      <c r="Z796" t="n">
        <v>115.5592</v>
      </c>
      <c r="AA796" t="n">
        <v>112.6993</v>
      </c>
      <c r="AB796" t="n">
        <v>116.497</v>
      </c>
      <c r="AC796" t="n">
        <v>126.2807</v>
      </c>
      <c r="AD796" t="n">
        <v>111.4512</v>
      </c>
      <c r="AE796" t="n">
        <v>111.3585</v>
      </c>
    </row>
    <row r="797">
      <c r="A797" s="89" t="n">
        <v>42826</v>
      </c>
      <c r="B797" t="n">
        <v>111.8843</v>
      </c>
      <c r="C797" t="n">
        <v>120.2078</v>
      </c>
      <c r="D797" t="n">
        <v>115.0069</v>
      </c>
      <c r="E797" t="n">
        <v>104.9959</v>
      </c>
      <c r="F797" t="n">
        <v>118.152</v>
      </c>
      <c r="G797" t="n">
        <v>121.0492</v>
      </c>
      <c r="H797" t="n">
        <v>115.4321</v>
      </c>
      <c r="I797" t="n">
        <v>106.8012</v>
      </c>
      <c r="J797" t="n">
        <v>118.8035</v>
      </c>
      <c r="K797" t="n">
        <v>101.1761</v>
      </c>
      <c r="L797" t="n">
        <v>109.2167</v>
      </c>
      <c r="M797" t="n">
        <v>114.7972</v>
      </c>
      <c r="N797" t="n">
        <v>111.6465</v>
      </c>
      <c r="O797" t="n">
        <v>116.4062</v>
      </c>
      <c r="P797" t="n">
        <v>117.1298</v>
      </c>
      <c r="Q797" t="n">
        <v>98.13142000000001</v>
      </c>
      <c r="R797" t="n">
        <v>109.619</v>
      </c>
      <c r="S797" t="n">
        <v>105.5785</v>
      </c>
      <c r="T797" t="n">
        <v>115.2159</v>
      </c>
      <c r="U797" t="n">
        <v>111.036</v>
      </c>
      <c r="V797" t="n">
        <v>109.6681</v>
      </c>
      <c r="W797" t="n">
        <v>114.1808</v>
      </c>
      <c r="X797" t="n">
        <v>112.4583</v>
      </c>
      <c r="Y797" t="n">
        <v>117.3076</v>
      </c>
      <c r="Z797" t="n">
        <v>115.8415</v>
      </c>
      <c r="AA797" t="n">
        <v>113.587</v>
      </c>
      <c r="AB797" t="n">
        <v>117.5036</v>
      </c>
      <c r="AC797" t="n">
        <v>129.1947</v>
      </c>
      <c r="AD797" t="n">
        <v>111.9947</v>
      </c>
      <c r="AE797" t="n">
        <v>111.5445</v>
      </c>
    </row>
    <row r="798">
      <c r="A798" s="89" t="n">
        <v>42856</v>
      </c>
      <c r="B798" t="n">
        <v>112.7108</v>
      </c>
      <c r="C798" t="n">
        <v>120.2673</v>
      </c>
      <c r="D798" t="n">
        <v>115.8958</v>
      </c>
      <c r="E798" t="n">
        <v>105.5074</v>
      </c>
      <c r="F798" t="n">
        <v>118.5276</v>
      </c>
      <c r="G798" t="n">
        <v>121.4682</v>
      </c>
      <c r="H798" t="n">
        <v>116.1963</v>
      </c>
      <c r="I798" t="n">
        <v>107.2019</v>
      </c>
      <c r="J798" t="n">
        <v>119.9283</v>
      </c>
      <c r="K798" t="n">
        <v>101.1185</v>
      </c>
      <c r="L798" t="n">
        <v>109.5255</v>
      </c>
      <c r="M798" t="n">
        <v>115.1259</v>
      </c>
      <c r="N798" t="n">
        <v>112.267</v>
      </c>
      <c r="O798" t="n">
        <v>117.6562</v>
      </c>
      <c r="P798" t="n">
        <v>116.5616</v>
      </c>
      <c r="Q798" t="n">
        <v>98.63141</v>
      </c>
      <c r="R798" t="n">
        <v>109.9247</v>
      </c>
      <c r="S798" t="n">
        <v>105.8043</v>
      </c>
      <c r="T798" t="n">
        <v>115.4355</v>
      </c>
      <c r="U798" t="n">
        <v>111.0456</v>
      </c>
      <c r="V798" t="n">
        <v>109.7945</v>
      </c>
      <c r="W798" t="n">
        <v>114.8325</v>
      </c>
      <c r="X798" t="n">
        <v>112.9311</v>
      </c>
      <c r="Y798" t="n">
        <v>118.023</v>
      </c>
      <c r="Z798" t="n">
        <v>116.4001</v>
      </c>
      <c r="AA798" t="n">
        <v>114.5637</v>
      </c>
      <c r="AB798" t="n">
        <v>118.0493</v>
      </c>
      <c r="AC798" t="n">
        <v>130.9375</v>
      </c>
      <c r="AD798" t="n">
        <v>112.441</v>
      </c>
      <c r="AE798" t="n">
        <v>112.0506</v>
      </c>
    </row>
    <row r="799">
      <c r="A799" s="89" t="n">
        <v>42887</v>
      </c>
      <c r="B799" t="n">
        <v>113.3777</v>
      </c>
      <c r="C799" t="n">
        <v>120.7883</v>
      </c>
      <c r="D799" t="n">
        <v>115.5704</v>
      </c>
      <c r="E799" t="n">
        <v>106.084</v>
      </c>
      <c r="F799" t="n">
        <v>118.7702</v>
      </c>
      <c r="G799" t="n">
        <v>122.0975</v>
      </c>
      <c r="H799" t="n">
        <v>116.4376</v>
      </c>
      <c r="I799" t="n">
        <v>107.7355</v>
      </c>
      <c r="J799" t="n">
        <v>119.6068</v>
      </c>
      <c r="K799" t="n">
        <v>101.5493</v>
      </c>
      <c r="L799" t="n">
        <v>109.7787</v>
      </c>
      <c r="M799" t="n">
        <v>115.2471</v>
      </c>
      <c r="N799" t="n">
        <v>113.5042</v>
      </c>
      <c r="O799" t="n">
        <v>118.9115</v>
      </c>
      <c r="P799" t="n">
        <v>117.4433</v>
      </c>
      <c r="Q799" t="n">
        <v>99.06856000000001</v>
      </c>
      <c r="R799" t="n">
        <v>111.1218</v>
      </c>
      <c r="S799" t="n">
        <v>106.1594</v>
      </c>
      <c r="T799" t="n">
        <v>116.0803</v>
      </c>
      <c r="U799" t="n">
        <v>111.7549</v>
      </c>
      <c r="V799" t="n">
        <v>110.1177</v>
      </c>
      <c r="W799" t="n">
        <v>115.4979</v>
      </c>
      <c r="X799" t="n">
        <v>113.2618</v>
      </c>
      <c r="Y799" t="n">
        <v>118.5482</v>
      </c>
      <c r="Z799" t="n">
        <v>116.5683</v>
      </c>
      <c r="AA799" t="n">
        <v>115.7345</v>
      </c>
      <c r="AB799" t="n">
        <v>118.6847</v>
      </c>
      <c r="AC799" t="n">
        <v>132.3237</v>
      </c>
      <c r="AD799" t="n">
        <v>112.6703</v>
      </c>
      <c r="AE799" t="n">
        <v>112.7476</v>
      </c>
    </row>
    <row r="800">
      <c r="A800" s="89" t="n">
        <v>42917</v>
      </c>
      <c r="B800" t="n">
        <v>113.9128</v>
      </c>
      <c r="C800" t="n">
        <v>121.3684</v>
      </c>
      <c r="D800" t="n">
        <v>115.2299</v>
      </c>
      <c r="E800" t="n">
        <v>106.4488</v>
      </c>
      <c r="F800" t="n">
        <v>119.431</v>
      </c>
      <c r="G800" t="n">
        <v>123.1019</v>
      </c>
      <c r="H800" t="n">
        <v>117.23</v>
      </c>
      <c r="I800" t="n">
        <v>108.1062</v>
      </c>
      <c r="J800" t="n">
        <v>119.6142</v>
      </c>
      <c r="K800" t="n">
        <v>101.5377</v>
      </c>
      <c r="L800" t="n">
        <v>110.1246</v>
      </c>
      <c r="M800" t="n">
        <v>115.5544</v>
      </c>
      <c r="N800" t="n">
        <v>114.4876</v>
      </c>
      <c r="O800" t="n">
        <v>119.3028</v>
      </c>
      <c r="P800" t="n">
        <v>118.0385</v>
      </c>
      <c r="Q800" t="n">
        <v>99.46514999999999</v>
      </c>
      <c r="R800" t="n">
        <v>112.2447</v>
      </c>
      <c r="S800" t="n">
        <v>106.4682</v>
      </c>
      <c r="T800" t="n">
        <v>116.6637</v>
      </c>
      <c r="U800" t="n">
        <v>113.165</v>
      </c>
      <c r="V800" t="n">
        <v>110.9978</v>
      </c>
      <c r="W800" t="n">
        <v>116.3419</v>
      </c>
      <c r="X800" t="n">
        <v>113.7844</v>
      </c>
      <c r="Y800" t="n">
        <v>119.1053</v>
      </c>
      <c r="Z800" t="n">
        <v>116.7728</v>
      </c>
      <c r="AA800" t="n">
        <v>116.1896</v>
      </c>
      <c r="AB800" t="n">
        <v>119.3268</v>
      </c>
      <c r="AC800" t="n">
        <v>133.6095</v>
      </c>
      <c r="AD800" t="n">
        <v>113.1698</v>
      </c>
      <c r="AE800" t="n">
        <v>113.5125</v>
      </c>
    </row>
    <row r="801">
      <c r="A801" s="89" t="n">
        <v>42948</v>
      </c>
      <c r="B801" t="n">
        <v>114.2126</v>
      </c>
      <c r="C801" t="n">
        <v>122.2579</v>
      </c>
      <c r="D801" t="n">
        <v>115.5178</v>
      </c>
      <c r="E801" t="n">
        <v>106.7575</v>
      </c>
      <c r="F801" t="n">
        <v>119.3856</v>
      </c>
      <c r="G801" t="n">
        <v>123.9585</v>
      </c>
      <c r="H801" t="n">
        <v>117.3616</v>
      </c>
      <c r="I801" t="n">
        <v>109.1221</v>
      </c>
      <c r="J801" t="n">
        <v>120.5217</v>
      </c>
      <c r="K801" t="n">
        <v>101.7094</v>
      </c>
      <c r="L801" t="n">
        <v>110.5456</v>
      </c>
      <c r="M801" t="n">
        <v>116.3779</v>
      </c>
      <c r="N801" t="n">
        <v>115.2758</v>
      </c>
      <c r="O801" t="n">
        <v>119.7398</v>
      </c>
      <c r="P801" t="n">
        <v>118.535</v>
      </c>
      <c r="Q801" t="n">
        <v>99.86273</v>
      </c>
      <c r="R801" t="n">
        <v>113.2091</v>
      </c>
      <c r="S801" t="n">
        <v>106.7076</v>
      </c>
      <c r="T801" t="n">
        <v>116.8354</v>
      </c>
      <c r="U801" t="n">
        <v>113.556</v>
      </c>
      <c r="V801" t="n">
        <v>111.2591</v>
      </c>
      <c r="W801" t="n">
        <v>117.0651</v>
      </c>
      <c r="X801" t="n">
        <v>114.2859</v>
      </c>
      <c r="Y801" t="n">
        <v>119.9923</v>
      </c>
      <c r="Z801" t="n">
        <v>117.4069</v>
      </c>
      <c r="AA801" t="n">
        <v>115.9069</v>
      </c>
      <c r="AB801" t="n">
        <v>120.0205</v>
      </c>
      <c r="AC801" t="n">
        <v>135.169</v>
      </c>
      <c r="AD801" t="n">
        <v>113.631</v>
      </c>
      <c r="AE801" t="n">
        <v>114.3184</v>
      </c>
    </row>
    <row r="802">
      <c r="A802" s="89" t="n">
        <v>42979</v>
      </c>
      <c r="B802" t="n">
        <v>114.5376</v>
      </c>
      <c r="C802" t="n">
        <v>123.5425</v>
      </c>
      <c r="D802" t="n">
        <v>115.9006</v>
      </c>
      <c r="E802" t="n">
        <v>107.1083</v>
      </c>
      <c r="F802" t="n">
        <v>119.4809</v>
      </c>
      <c r="G802" t="n">
        <v>125.0239</v>
      </c>
      <c r="H802" t="n">
        <v>117.6009</v>
      </c>
      <c r="I802" t="n">
        <v>108.8998</v>
      </c>
      <c r="J802" t="n">
        <v>121.0099</v>
      </c>
      <c r="K802" t="n">
        <v>102.4581</v>
      </c>
      <c r="L802" t="n">
        <v>110.8762</v>
      </c>
      <c r="M802" t="n">
        <v>117.333</v>
      </c>
      <c r="N802" t="n">
        <v>117.1414</v>
      </c>
      <c r="O802" t="n">
        <v>120.4274</v>
      </c>
      <c r="P802" t="n">
        <v>119.2442</v>
      </c>
      <c r="Q802" t="n">
        <v>100.2001</v>
      </c>
      <c r="R802" t="n">
        <v>113.7104</v>
      </c>
      <c r="S802" t="n">
        <v>106.9887</v>
      </c>
      <c r="T802" t="n">
        <v>117.1985</v>
      </c>
      <c r="U802" t="n">
        <v>114.443</v>
      </c>
      <c r="V802" t="n">
        <v>111.5446</v>
      </c>
      <c r="W802" t="n">
        <v>117.5615</v>
      </c>
      <c r="X802" t="n">
        <v>114.795</v>
      </c>
      <c r="Y802" t="n">
        <v>121.0963</v>
      </c>
      <c r="Z802" t="n">
        <v>118.0416</v>
      </c>
      <c r="AA802" t="n">
        <v>116.1004</v>
      </c>
      <c r="AB802" t="n">
        <v>121.0692</v>
      </c>
      <c r="AC802" t="n">
        <v>137.1482</v>
      </c>
      <c r="AD802" t="n">
        <v>113.9858</v>
      </c>
      <c r="AE802" t="n">
        <v>114.9352</v>
      </c>
    </row>
    <row r="803">
      <c r="A803" s="89" t="n">
        <v>43009</v>
      </c>
      <c r="B803" t="n">
        <v>114.9046</v>
      </c>
      <c r="C803" t="n">
        <v>124.5115</v>
      </c>
      <c r="D803" t="n">
        <v>116.7075</v>
      </c>
      <c r="E803" t="n">
        <v>107.3775</v>
      </c>
      <c r="F803" t="n">
        <v>120.1206</v>
      </c>
      <c r="G803" t="n">
        <v>126.0675</v>
      </c>
      <c r="H803" t="n">
        <v>118.2607</v>
      </c>
      <c r="I803" t="n">
        <v>107.5805</v>
      </c>
      <c r="J803" t="n">
        <v>120.8254</v>
      </c>
      <c r="K803" t="n">
        <v>102.0365</v>
      </c>
      <c r="L803" t="n">
        <v>111.0502</v>
      </c>
      <c r="M803" t="n">
        <v>117.9475</v>
      </c>
      <c r="N803" t="n">
        <v>118.575</v>
      </c>
      <c r="O803" t="n">
        <v>121.2595</v>
      </c>
      <c r="P803" t="n">
        <v>121.0234</v>
      </c>
      <c r="Q803" t="n">
        <v>100.3614</v>
      </c>
      <c r="R803" t="n">
        <v>113.3625</v>
      </c>
      <c r="S803" t="n">
        <v>107.313</v>
      </c>
      <c r="T803" t="n">
        <v>117.6856</v>
      </c>
      <c r="U803" t="n">
        <v>115.278</v>
      </c>
      <c r="V803" t="n">
        <v>112.5092</v>
      </c>
      <c r="W803" t="n">
        <v>118.5497</v>
      </c>
      <c r="X803" t="n">
        <v>115.3881</v>
      </c>
      <c r="Y803" t="n">
        <v>122.2512</v>
      </c>
      <c r="Z803" t="n">
        <v>118.6555</v>
      </c>
      <c r="AA803" t="n">
        <v>116.6453</v>
      </c>
      <c r="AB803" t="n">
        <v>121.665</v>
      </c>
      <c r="AC803" t="n">
        <v>140.4015</v>
      </c>
      <c r="AD803" t="n">
        <v>114.4221</v>
      </c>
      <c r="AE803" t="n">
        <v>115.4873</v>
      </c>
    </row>
    <row r="804">
      <c r="A804" s="89" t="n">
        <v>43040</v>
      </c>
      <c r="B804" t="n">
        <v>115.2241</v>
      </c>
      <c r="C804" t="n">
        <v>124.9764</v>
      </c>
      <c r="D804" t="n">
        <v>117.3555</v>
      </c>
      <c r="E804" t="n">
        <v>107.5197</v>
      </c>
      <c r="F804" t="n">
        <v>120.6163</v>
      </c>
      <c r="G804" t="n">
        <v>127.1524</v>
      </c>
      <c r="H804" t="n">
        <v>118.9709</v>
      </c>
      <c r="I804" t="n">
        <v>107.3398</v>
      </c>
      <c r="J804" t="n">
        <v>121.0119</v>
      </c>
      <c r="K804" t="n">
        <v>101.29</v>
      </c>
      <c r="L804" t="n">
        <v>111.4739</v>
      </c>
      <c r="M804" t="n">
        <v>118.1964</v>
      </c>
      <c r="N804" t="n">
        <v>119.5871</v>
      </c>
      <c r="O804" t="n">
        <v>122.2036</v>
      </c>
      <c r="P804" t="n">
        <v>122.2668</v>
      </c>
      <c r="Q804" t="n">
        <v>100.5153</v>
      </c>
      <c r="R804" t="n">
        <v>113.1769</v>
      </c>
      <c r="S804" t="n">
        <v>107.6042</v>
      </c>
      <c r="T804" t="n">
        <v>118.3541</v>
      </c>
      <c r="U804" t="n">
        <v>115.8947</v>
      </c>
      <c r="V804" t="n">
        <v>113.0978</v>
      </c>
      <c r="W804" t="n">
        <v>119.586</v>
      </c>
      <c r="X804" t="n">
        <v>115.8163</v>
      </c>
      <c r="Y804" t="n">
        <v>123.2365</v>
      </c>
      <c r="Z804" t="n">
        <v>119.2572</v>
      </c>
      <c r="AA804" t="n">
        <v>117.2754</v>
      </c>
      <c r="AB804" t="n">
        <v>122.1007</v>
      </c>
      <c r="AC804" t="n">
        <v>143.5611</v>
      </c>
      <c r="AD804" t="n">
        <v>114.6299</v>
      </c>
      <c r="AE804" t="n">
        <v>115.9802</v>
      </c>
    </row>
    <row r="805">
      <c r="A805" s="89" t="n">
        <v>43070</v>
      </c>
      <c r="B805" t="n">
        <v>115.1344</v>
      </c>
      <c r="C805" t="n">
        <v>125.3354</v>
      </c>
      <c r="D805" t="n">
        <v>118.0461</v>
      </c>
      <c r="E805" t="n">
        <v>107.6446</v>
      </c>
      <c r="F805" t="n">
        <v>120.6695</v>
      </c>
      <c r="G805" t="n">
        <v>127.9033</v>
      </c>
      <c r="H805" t="n">
        <v>120.2474</v>
      </c>
      <c r="I805" t="n">
        <v>106.963</v>
      </c>
      <c r="J805" t="n">
        <v>121.4602</v>
      </c>
      <c r="K805" t="n">
        <v>101.9412</v>
      </c>
      <c r="L805" t="n">
        <v>111.8837</v>
      </c>
      <c r="M805" t="n">
        <v>118.1111</v>
      </c>
      <c r="N805" t="n">
        <v>120.4308</v>
      </c>
      <c r="O805" t="n">
        <v>122.6267</v>
      </c>
      <c r="P805" t="n">
        <v>122.8887</v>
      </c>
      <c r="Q805" t="n">
        <v>100.8441</v>
      </c>
      <c r="R805" t="n">
        <v>113.6312</v>
      </c>
      <c r="S805" t="n">
        <v>107.6731</v>
      </c>
      <c r="T805" t="n">
        <v>119.3748</v>
      </c>
      <c r="U805" t="n">
        <v>117.0107</v>
      </c>
      <c r="V805" t="n">
        <v>113.0396</v>
      </c>
      <c r="W805" t="n">
        <v>120.2818</v>
      </c>
      <c r="X805" t="n">
        <v>116.1559</v>
      </c>
      <c r="Y805" t="n">
        <v>123.4534</v>
      </c>
      <c r="Z805" t="n">
        <v>119.7729</v>
      </c>
      <c r="AA805" t="n">
        <v>116.6269</v>
      </c>
      <c r="AB805" t="n">
        <v>122.1197</v>
      </c>
      <c r="AC805" t="n">
        <v>143.8664</v>
      </c>
      <c r="AD805" t="n">
        <v>114.9764</v>
      </c>
      <c r="AE805" t="n">
        <v>116.5945</v>
      </c>
    </row>
    <row r="806">
      <c r="A806" s="89" t="n">
        <v>43101</v>
      </c>
      <c r="B806" t="n">
        <v>115.1428</v>
      </c>
      <c r="C806" t="n">
        <v>125.8874</v>
      </c>
      <c r="D806" t="n">
        <v>117.5758</v>
      </c>
      <c r="E806" t="n">
        <v>107.9691</v>
      </c>
      <c r="F806" t="n">
        <v>120.5811</v>
      </c>
      <c r="G806" t="n">
        <v>129.0859</v>
      </c>
      <c r="H806" t="n">
        <v>120.9125</v>
      </c>
      <c r="I806" t="n">
        <v>106.4319</v>
      </c>
      <c r="J806" t="n">
        <v>121.7839</v>
      </c>
      <c r="K806" t="n">
        <v>101.854</v>
      </c>
      <c r="L806" t="n">
        <v>111.9444</v>
      </c>
      <c r="M806" t="n">
        <v>118.6173</v>
      </c>
      <c r="N806" t="n">
        <v>122.1551</v>
      </c>
      <c r="O806" t="n">
        <v>123.2196</v>
      </c>
      <c r="P806" t="n">
        <v>123.8216</v>
      </c>
      <c r="Q806" t="n">
        <v>101.2755</v>
      </c>
      <c r="R806" t="n">
        <v>113.9534</v>
      </c>
      <c r="S806" t="n">
        <v>107.8683</v>
      </c>
      <c r="T806" t="n">
        <v>120.3098</v>
      </c>
      <c r="U806" t="n">
        <v>116.0421</v>
      </c>
      <c r="V806" t="n">
        <v>113.6738</v>
      </c>
      <c r="W806" t="n">
        <v>120.9593</v>
      </c>
      <c r="X806" t="n">
        <v>116.2922</v>
      </c>
      <c r="Y806" t="n">
        <v>123.6811</v>
      </c>
      <c r="Z806" t="n">
        <v>120.3315</v>
      </c>
      <c r="AA806" t="n">
        <v>116.8532</v>
      </c>
      <c r="AB806" t="n">
        <v>121.8634</v>
      </c>
      <c r="AC806" t="n">
        <v>143.2557</v>
      </c>
      <c r="AD806" t="n">
        <v>115.1651</v>
      </c>
      <c r="AE806" t="n">
        <v>117.6014</v>
      </c>
    </row>
    <row r="807">
      <c r="A807" s="89" t="n">
        <v>43132</v>
      </c>
      <c r="B807" t="n">
        <v>115.3361</v>
      </c>
      <c r="C807" t="n">
        <v>126.5311</v>
      </c>
      <c r="D807" t="n">
        <v>118.8625</v>
      </c>
      <c r="E807" t="n">
        <v>108.2808</v>
      </c>
      <c r="F807" t="n">
        <v>120.8162</v>
      </c>
      <c r="G807" t="n">
        <v>130.5695</v>
      </c>
      <c r="H807" t="n">
        <v>121.012</v>
      </c>
      <c r="I807" t="n">
        <v>106.2227</v>
      </c>
      <c r="J807" t="n">
        <v>122.7301</v>
      </c>
      <c r="K807" t="n">
        <v>100.8577</v>
      </c>
      <c r="L807" t="n">
        <v>111.9121</v>
      </c>
      <c r="M807" t="n">
        <v>119.1355</v>
      </c>
      <c r="N807" t="n">
        <v>124.3065</v>
      </c>
      <c r="O807" t="n">
        <v>124.0943</v>
      </c>
      <c r="P807" t="n">
        <v>124.7564</v>
      </c>
      <c r="Q807" t="n">
        <v>101.7775</v>
      </c>
      <c r="R807" t="n">
        <v>113.7367</v>
      </c>
      <c r="S807" t="n">
        <v>108.0381</v>
      </c>
      <c r="T807" t="n">
        <v>121.3298</v>
      </c>
      <c r="U807" t="n">
        <v>115.15</v>
      </c>
      <c r="V807" t="n">
        <v>114.3148</v>
      </c>
      <c r="W807" t="n">
        <v>121.4188</v>
      </c>
      <c r="X807" t="n">
        <v>116.6331</v>
      </c>
      <c r="Y807" t="n">
        <v>124.3578</v>
      </c>
      <c r="Z807" t="n">
        <v>120.9332</v>
      </c>
      <c r="AA807" t="n">
        <v>118.4037</v>
      </c>
      <c r="AB807" t="n">
        <v>122.6075</v>
      </c>
      <c r="AC807" t="n">
        <v>144.2888</v>
      </c>
      <c r="AD807" t="n">
        <v>115.4518</v>
      </c>
      <c r="AE807" t="n">
        <v>118.5463</v>
      </c>
    </row>
    <row r="808">
      <c r="A808" s="89" t="n">
        <v>43160</v>
      </c>
      <c r="B808" t="n">
        <v>115.3445</v>
      </c>
      <c r="C808" t="n">
        <v>127.3854</v>
      </c>
      <c r="D808" t="n">
        <v>119.0548</v>
      </c>
      <c r="E808" t="n">
        <v>108.2908</v>
      </c>
      <c r="F808" t="n">
        <v>121.526</v>
      </c>
      <c r="G808" t="n">
        <v>131.1126</v>
      </c>
      <c r="H808" t="n">
        <v>121.5293</v>
      </c>
      <c r="I808" t="n">
        <v>106.1429</v>
      </c>
      <c r="J808" t="n">
        <v>123.4866</v>
      </c>
      <c r="K808" t="n">
        <v>100.4737</v>
      </c>
      <c r="L808" t="n">
        <v>112.2069</v>
      </c>
      <c r="M808" t="n">
        <v>118.4816</v>
      </c>
      <c r="N808" t="n">
        <v>125.7015</v>
      </c>
      <c r="O808" t="n">
        <v>124.5713</v>
      </c>
      <c r="P808" t="n">
        <v>125.6895</v>
      </c>
      <c r="Q808" t="n">
        <v>102.3663</v>
      </c>
      <c r="R808" t="n">
        <v>114.2504</v>
      </c>
      <c r="S808" t="n">
        <v>108.225</v>
      </c>
      <c r="T808" t="n">
        <v>122.3851</v>
      </c>
      <c r="U808" t="n">
        <v>117.4669</v>
      </c>
      <c r="V808" t="n">
        <v>114.8058</v>
      </c>
      <c r="W808" t="n">
        <v>121.8423</v>
      </c>
      <c r="X808" t="n">
        <v>117.239</v>
      </c>
      <c r="Y808" t="n">
        <v>125.0588</v>
      </c>
      <c r="Z808" t="n">
        <v>121.7213</v>
      </c>
      <c r="AA808" t="n">
        <v>120.4944</v>
      </c>
      <c r="AB808" t="n">
        <v>123.8971</v>
      </c>
      <c r="AC808" t="n">
        <v>147.4226</v>
      </c>
      <c r="AD808" t="n">
        <v>115.9487</v>
      </c>
      <c r="AE808" t="n">
        <v>118.7359</v>
      </c>
    </row>
    <row r="809">
      <c r="A809" s="89" t="n">
        <v>43191</v>
      </c>
      <c r="B809" t="n">
        <v>115.2857</v>
      </c>
      <c r="C809" t="n">
        <v>128.2491</v>
      </c>
      <c r="D809" t="n">
        <v>119.2642</v>
      </c>
      <c r="E809" t="n">
        <v>108.4202</v>
      </c>
      <c r="F809" t="n">
        <v>123.4717</v>
      </c>
      <c r="G809" t="n">
        <v>131.7365</v>
      </c>
      <c r="H809" t="n">
        <v>121.8336</v>
      </c>
      <c r="I809" t="n">
        <v>106.4297</v>
      </c>
      <c r="J809" t="n">
        <v>124.028</v>
      </c>
      <c r="K809" t="n">
        <v>100.727</v>
      </c>
      <c r="L809" t="n">
        <v>112.787</v>
      </c>
      <c r="M809" t="n">
        <v>117.8296</v>
      </c>
      <c r="N809" t="n">
        <v>127.346</v>
      </c>
      <c r="O809" t="n">
        <v>125.1125</v>
      </c>
      <c r="P809" t="n">
        <v>126.8122</v>
      </c>
      <c r="Q809" t="n">
        <v>103.0184</v>
      </c>
      <c r="R809" t="n">
        <v>115.1158</v>
      </c>
      <c r="S809" t="n">
        <v>108.4751</v>
      </c>
      <c r="T809" t="n">
        <v>123.0396</v>
      </c>
      <c r="U809" t="n">
        <v>119.638</v>
      </c>
      <c r="V809" t="n">
        <v>116.1414</v>
      </c>
      <c r="W809" t="n">
        <v>122.3045</v>
      </c>
      <c r="X809" t="n">
        <v>117.7982</v>
      </c>
      <c r="Y809" t="n">
        <v>125.8598</v>
      </c>
      <c r="Z809" t="n">
        <v>122.5093</v>
      </c>
      <c r="AA809" t="n">
        <v>124.2325</v>
      </c>
      <c r="AB809" t="n">
        <v>124.9401</v>
      </c>
      <c r="AC809" t="n">
        <v>150.938</v>
      </c>
      <c r="AD809" t="n">
        <v>116.252</v>
      </c>
      <c r="AE809" t="n">
        <v>118.7085</v>
      </c>
    </row>
    <row r="810">
      <c r="A810" s="89" t="n">
        <v>43221</v>
      </c>
      <c r="B810" t="n">
        <v>115.437</v>
      </c>
      <c r="C810" t="n">
        <v>128.6957</v>
      </c>
      <c r="D810" t="n">
        <v>119.8767</v>
      </c>
      <c r="E810" t="n">
        <v>108.7153</v>
      </c>
      <c r="F810" t="n">
        <v>124.9933</v>
      </c>
      <c r="G810" t="n">
        <v>132.2975</v>
      </c>
      <c r="H810" t="n">
        <v>122.0946</v>
      </c>
      <c r="I810" t="n">
        <v>106.7765</v>
      </c>
      <c r="J810" t="n">
        <v>125.259</v>
      </c>
      <c r="K810" t="n">
        <v>100.6248</v>
      </c>
      <c r="L810" t="n">
        <v>113.4357</v>
      </c>
      <c r="M810" t="n">
        <v>118.7461</v>
      </c>
      <c r="N810" t="n">
        <v>128.6508</v>
      </c>
      <c r="O810" t="n">
        <v>125.5814</v>
      </c>
      <c r="P810" t="n">
        <v>127.9901</v>
      </c>
      <c r="Q810" t="n">
        <v>103.7161</v>
      </c>
      <c r="R810" t="n">
        <v>115.3095</v>
      </c>
      <c r="S810" t="n">
        <v>108.6508</v>
      </c>
      <c r="T810" t="n">
        <v>123.3544</v>
      </c>
      <c r="U810" t="n">
        <v>120.6596</v>
      </c>
      <c r="V810" t="n">
        <v>117.0081</v>
      </c>
      <c r="W810" t="n">
        <v>122.7216</v>
      </c>
      <c r="X810" t="n">
        <v>118.5397</v>
      </c>
      <c r="Y810" t="n">
        <v>127.4747</v>
      </c>
      <c r="Z810" t="n">
        <v>123.5361</v>
      </c>
      <c r="AA810" t="n">
        <v>126.4643</v>
      </c>
      <c r="AB810" t="n">
        <v>125.1954</v>
      </c>
      <c r="AC810" t="n">
        <v>155.6444</v>
      </c>
      <c r="AD810" t="n">
        <v>116.7988</v>
      </c>
      <c r="AE810" t="n">
        <v>118.8923</v>
      </c>
    </row>
    <row r="811">
      <c r="A811" s="89" t="n">
        <v>43252</v>
      </c>
      <c r="B811" t="n">
        <v>115.762</v>
      </c>
      <c r="C811" t="n">
        <v>129.576</v>
      </c>
      <c r="D811" t="n">
        <v>120.6148</v>
      </c>
      <c r="E811" t="n">
        <v>108.7727</v>
      </c>
      <c r="F811" t="n">
        <v>125.7396</v>
      </c>
      <c r="G811" t="n">
        <v>132.8013</v>
      </c>
      <c r="H811" t="n">
        <v>122.5717</v>
      </c>
      <c r="I811" t="n">
        <v>106.5861</v>
      </c>
      <c r="J811" t="n">
        <v>125.7526</v>
      </c>
      <c r="K811" t="n">
        <v>100.3016</v>
      </c>
      <c r="L811" t="n">
        <v>114.2886</v>
      </c>
      <c r="M811" t="n">
        <v>119.5351</v>
      </c>
      <c r="N811" t="n">
        <v>130.7664</v>
      </c>
      <c r="O811" t="n">
        <v>125.9678</v>
      </c>
      <c r="P811" t="n">
        <v>128.8645</v>
      </c>
      <c r="Q811" t="n">
        <v>104.3891</v>
      </c>
      <c r="R811" t="n">
        <v>115.1411</v>
      </c>
      <c r="S811" t="n">
        <v>108.9838</v>
      </c>
      <c r="T811" t="n">
        <v>123.9101</v>
      </c>
      <c r="U811" t="n">
        <v>121.7346</v>
      </c>
      <c r="V811" t="n">
        <v>117.3478</v>
      </c>
      <c r="W811" t="n">
        <v>123.514</v>
      </c>
      <c r="X811" t="n">
        <v>119.2502</v>
      </c>
      <c r="Y811" t="n">
        <v>128.9408</v>
      </c>
      <c r="Z811" t="n">
        <v>124.6257</v>
      </c>
      <c r="AA811" t="n">
        <v>127.1953</v>
      </c>
      <c r="AB811" t="n">
        <v>125.4083</v>
      </c>
      <c r="AC811" t="n">
        <v>159.8902</v>
      </c>
      <c r="AD811" t="n">
        <v>117.3398</v>
      </c>
      <c r="AE811" t="n">
        <v>119.3146</v>
      </c>
    </row>
    <row r="812">
      <c r="A812" s="89" t="n">
        <v>43282</v>
      </c>
      <c r="B812" t="n">
        <v>116.0954</v>
      </c>
      <c r="C812" t="n">
        <v>130.4622</v>
      </c>
      <c r="D812" t="n">
        <v>121.1386</v>
      </c>
      <c r="E812" t="n">
        <v>108.9035</v>
      </c>
      <c r="F812" t="n">
        <v>126.8182</v>
      </c>
      <c r="G812" t="n">
        <v>133.9594</v>
      </c>
      <c r="H812" t="n">
        <v>123.284</v>
      </c>
      <c r="I812" t="n">
        <v>106.141</v>
      </c>
      <c r="J812" t="n">
        <v>125.6151</v>
      </c>
      <c r="K812" t="n">
        <v>100.9831</v>
      </c>
      <c r="L812" t="n">
        <v>114.718</v>
      </c>
      <c r="M812" t="n">
        <v>119.461</v>
      </c>
      <c r="N812" t="n">
        <v>133.0918</v>
      </c>
      <c r="O812" t="n">
        <v>126.6165</v>
      </c>
      <c r="P812" t="n">
        <v>129.6466</v>
      </c>
      <c r="Q812" t="n">
        <v>105.0022</v>
      </c>
      <c r="R812" t="n">
        <v>115.504</v>
      </c>
      <c r="S812" t="n">
        <v>109.1727</v>
      </c>
      <c r="T812" t="n">
        <v>124.6952</v>
      </c>
      <c r="U812" t="n">
        <v>121.6698</v>
      </c>
      <c r="V812" t="n">
        <v>117.487</v>
      </c>
      <c r="W812" t="n">
        <v>124.4688</v>
      </c>
      <c r="X812" t="n">
        <v>119.6646</v>
      </c>
      <c r="Y812" t="n">
        <v>129.9179</v>
      </c>
      <c r="Z812" t="n">
        <v>125.3072</v>
      </c>
      <c r="AA812" t="n">
        <v>127.2476</v>
      </c>
      <c r="AB812" t="n">
        <v>125.7689</v>
      </c>
      <c r="AC812" t="n">
        <v>163.3858</v>
      </c>
      <c r="AD812" t="n">
        <v>117.6141</v>
      </c>
      <c r="AE812" t="n">
        <v>120.2665</v>
      </c>
    </row>
    <row r="813">
      <c r="A813" s="89" t="n">
        <v>43313</v>
      </c>
      <c r="B813" t="n">
        <v>116.7875</v>
      </c>
      <c r="C813" t="n">
        <v>131.3856</v>
      </c>
      <c r="D813" t="n">
        <v>121.8608</v>
      </c>
      <c r="E813" t="n">
        <v>109.3182</v>
      </c>
      <c r="F813" t="n">
        <v>127.7573</v>
      </c>
      <c r="G813" t="n">
        <v>134.9996</v>
      </c>
      <c r="H813" t="n">
        <v>124.0697</v>
      </c>
      <c r="I813" t="n">
        <v>106.1051</v>
      </c>
      <c r="J813" t="n">
        <v>126.3211</v>
      </c>
      <c r="K813" t="n">
        <v>101.7587</v>
      </c>
      <c r="L813" t="n">
        <v>114.7097</v>
      </c>
      <c r="M813" t="n">
        <v>119.5447</v>
      </c>
      <c r="N813" t="n">
        <v>133.9344</v>
      </c>
      <c r="O813" t="n">
        <v>127.0985</v>
      </c>
      <c r="P813" t="n">
        <v>130.8387</v>
      </c>
      <c r="Q813" t="n">
        <v>105.5971</v>
      </c>
      <c r="R813" t="n">
        <v>116.1133</v>
      </c>
      <c r="S813" t="n">
        <v>109.3604</v>
      </c>
      <c r="T813" t="n">
        <v>125.0406</v>
      </c>
      <c r="U813" t="n">
        <v>121.9145</v>
      </c>
      <c r="V813" t="n">
        <v>117.5679</v>
      </c>
      <c r="W813" t="n">
        <v>125.5168</v>
      </c>
      <c r="X813" t="n">
        <v>120.1682</v>
      </c>
      <c r="Y813" t="n">
        <v>130.8983</v>
      </c>
      <c r="Z813" t="n">
        <v>126.1469</v>
      </c>
      <c r="AA813" t="n">
        <v>128.1427</v>
      </c>
      <c r="AB813" t="n">
        <v>125.9273</v>
      </c>
      <c r="AC813" t="n">
        <v>166.4898</v>
      </c>
      <c r="AD813" t="n">
        <v>117.9797</v>
      </c>
      <c r="AE813" t="n">
        <v>121.7115</v>
      </c>
    </row>
    <row r="814">
      <c r="A814" s="89" t="n">
        <v>43344</v>
      </c>
      <c r="B814" t="n">
        <v>117.2217</v>
      </c>
      <c r="C814" t="n">
        <v>132.8934</v>
      </c>
      <c r="D814" t="n">
        <v>122.5326</v>
      </c>
      <c r="E814" t="n">
        <v>109.6353</v>
      </c>
      <c r="F814" t="n">
        <v>128.8906</v>
      </c>
      <c r="G814" t="n">
        <v>135.9704</v>
      </c>
      <c r="H814" t="n">
        <v>124.4292</v>
      </c>
      <c r="I814" t="n">
        <v>106.8774</v>
      </c>
      <c r="J814" t="n">
        <v>126.4563</v>
      </c>
      <c r="K814" t="n">
        <v>101.8344</v>
      </c>
      <c r="L814" t="n">
        <v>114.8325</v>
      </c>
      <c r="M814" t="n">
        <v>119.9935</v>
      </c>
      <c r="N814" t="n">
        <v>133.9293</v>
      </c>
      <c r="O814" t="n">
        <v>128.0515</v>
      </c>
      <c r="P814" t="n">
        <v>131.7674</v>
      </c>
      <c r="Q814" t="n">
        <v>106.2291</v>
      </c>
      <c r="R814" t="n">
        <v>116.6631</v>
      </c>
      <c r="S814" t="n">
        <v>109.6052</v>
      </c>
      <c r="T814" t="n">
        <v>125.723</v>
      </c>
      <c r="U814" t="n">
        <v>122.6511</v>
      </c>
      <c r="V814" t="n">
        <v>117.8121</v>
      </c>
      <c r="W814" t="n">
        <v>126.5449</v>
      </c>
      <c r="X814" t="n">
        <v>120.7795</v>
      </c>
      <c r="Y814" t="n">
        <v>132.6504</v>
      </c>
      <c r="Z814" t="n">
        <v>127.163</v>
      </c>
      <c r="AA814" t="n">
        <v>129.3533</v>
      </c>
      <c r="AB814" t="n">
        <v>126.5857</v>
      </c>
      <c r="AC814" t="n">
        <v>172.6841</v>
      </c>
      <c r="AD814" t="n">
        <v>118.2415</v>
      </c>
      <c r="AE814" t="n">
        <v>122.9136</v>
      </c>
    </row>
    <row r="815">
      <c r="A815" s="89" t="n">
        <v>43374</v>
      </c>
      <c r="B815" t="n">
        <v>117.3478</v>
      </c>
      <c r="C815" t="n">
        <v>133.8896</v>
      </c>
      <c r="D815" t="n">
        <v>123.1293</v>
      </c>
      <c r="E815" t="n">
        <v>109.9593</v>
      </c>
      <c r="F815" t="n">
        <v>129.6778</v>
      </c>
      <c r="G815" t="n">
        <v>136.975</v>
      </c>
      <c r="H815" t="n">
        <v>124.8196</v>
      </c>
      <c r="I815" t="n">
        <v>108.4386</v>
      </c>
      <c r="J815" t="n">
        <v>126.6618</v>
      </c>
      <c r="K815" t="n">
        <v>101.2509</v>
      </c>
      <c r="L815" t="n">
        <v>115.1092</v>
      </c>
      <c r="M815" t="n">
        <v>121.0412</v>
      </c>
      <c r="N815" t="n">
        <v>134.269</v>
      </c>
      <c r="O815" t="n">
        <v>129.7608</v>
      </c>
      <c r="P815" t="n">
        <v>132.5771</v>
      </c>
      <c r="Q815" t="n">
        <v>106.9454</v>
      </c>
      <c r="R815" t="n">
        <v>117.3919</v>
      </c>
      <c r="S815" t="n">
        <v>109.7963</v>
      </c>
      <c r="T815" t="n">
        <v>126.5008</v>
      </c>
      <c r="U815" t="n">
        <v>122.3772</v>
      </c>
      <c r="V815" t="n">
        <v>117.8309</v>
      </c>
      <c r="W815" t="n">
        <v>127.0077</v>
      </c>
      <c r="X815" t="n">
        <v>121.1506</v>
      </c>
      <c r="Y815" t="n">
        <v>133.993</v>
      </c>
      <c r="Z815" t="n">
        <v>128.2795</v>
      </c>
      <c r="AA815" t="n">
        <v>129.499</v>
      </c>
      <c r="AB815" t="n">
        <v>127.2583</v>
      </c>
      <c r="AC815" t="n">
        <v>176.0971</v>
      </c>
      <c r="AD815" t="n">
        <v>118.2988</v>
      </c>
      <c r="AE815" t="n">
        <v>122.9701</v>
      </c>
    </row>
    <row r="816">
      <c r="A816" s="89" t="n">
        <v>43405</v>
      </c>
      <c r="B816" t="n">
        <v>117.5103</v>
      </c>
      <c r="C816" t="n">
        <v>134.4371</v>
      </c>
      <c r="D816" t="n">
        <v>123.9555</v>
      </c>
      <c r="E816" t="n">
        <v>110.3706</v>
      </c>
      <c r="F816" t="n">
        <v>130.9885</v>
      </c>
      <c r="G816" t="n">
        <v>137.9958</v>
      </c>
      <c r="H816" t="n">
        <v>125.3905</v>
      </c>
      <c r="I816" t="n">
        <v>109.7899</v>
      </c>
      <c r="J816" t="n">
        <v>128.1019</v>
      </c>
      <c r="K816" t="n">
        <v>101.3955</v>
      </c>
      <c r="L816" t="n">
        <v>115.7175</v>
      </c>
      <c r="M816" t="n">
        <v>121.5468</v>
      </c>
      <c r="N816" t="n">
        <v>135.1137</v>
      </c>
      <c r="O816" t="n">
        <v>130.635</v>
      </c>
      <c r="P816" t="n">
        <v>133.7899</v>
      </c>
      <c r="Q816" t="n">
        <v>107.6995</v>
      </c>
      <c r="R816" t="n">
        <v>118.5559</v>
      </c>
      <c r="S816" t="n">
        <v>109.8229</v>
      </c>
      <c r="T816" t="n">
        <v>127.284</v>
      </c>
      <c r="U816" t="n">
        <v>122.814</v>
      </c>
      <c r="V816" t="n">
        <v>118.1682</v>
      </c>
      <c r="W816" t="n">
        <v>127.355</v>
      </c>
      <c r="X816" t="n">
        <v>121.1863</v>
      </c>
      <c r="Y816" t="n">
        <v>133.3585</v>
      </c>
      <c r="Z816" t="n">
        <v>129.4469</v>
      </c>
      <c r="AA816" t="n">
        <v>130.222</v>
      </c>
      <c r="AB816" t="n">
        <v>127.8643</v>
      </c>
      <c r="AC816" t="n">
        <v>170.5484</v>
      </c>
      <c r="AD816" t="n">
        <v>118.3819</v>
      </c>
      <c r="AE816" t="n">
        <v>122.7588</v>
      </c>
    </row>
    <row r="817">
      <c r="A817" s="89" t="n">
        <v>43435</v>
      </c>
      <c r="B817" t="n">
        <v>117.6784</v>
      </c>
      <c r="C817" t="n">
        <v>136.1795</v>
      </c>
      <c r="D817" t="n">
        <v>125.5599</v>
      </c>
      <c r="E817" t="n">
        <v>110.7943</v>
      </c>
      <c r="F817" t="n">
        <v>132.9372</v>
      </c>
      <c r="G817" t="n">
        <v>139.0737</v>
      </c>
      <c r="H817" t="n">
        <v>126.6805</v>
      </c>
      <c r="I817" t="n">
        <v>109.5078</v>
      </c>
      <c r="J817" t="n">
        <v>128.6249</v>
      </c>
      <c r="K817" t="n">
        <v>100.7769</v>
      </c>
      <c r="L817" t="n">
        <v>116.369</v>
      </c>
      <c r="M817" t="n">
        <v>121.9855</v>
      </c>
      <c r="N817" t="n">
        <v>135.178</v>
      </c>
      <c r="O817" t="n">
        <v>130.5066</v>
      </c>
      <c r="P817" t="n">
        <v>134.8019</v>
      </c>
      <c r="Q817" t="n">
        <v>108.3908</v>
      </c>
      <c r="R817" t="n">
        <v>119.2406</v>
      </c>
      <c r="S817" t="n">
        <v>109.9443</v>
      </c>
      <c r="T817" t="n">
        <v>128.1479</v>
      </c>
      <c r="U817" t="n">
        <v>123.2104</v>
      </c>
      <c r="V817" t="n">
        <v>118.9401</v>
      </c>
      <c r="W817" t="n">
        <v>127.9911</v>
      </c>
      <c r="X817" t="n">
        <v>121.7636</v>
      </c>
      <c r="Y817" t="n">
        <v>133.2982</v>
      </c>
      <c r="Z817" t="n">
        <v>130.5016</v>
      </c>
      <c r="AA817" t="n">
        <v>130.3529</v>
      </c>
      <c r="AB817" t="n">
        <v>128.6509</v>
      </c>
      <c r="AC817" t="n">
        <v>168.3227</v>
      </c>
      <c r="AD817" t="n">
        <v>119.2653</v>
      </c>
      <c r="AE817" t="n">
        <v>123.1177</v>
      </c>
    </row>
    <row r="818">
      <c r="A818" s="89" t="n">
        <v>43466</v>
      </c>
      <c r="B818" t="n">
        <v>118.1295</v>
      </c>
      <c r="C818" t="n">
        <v/>
      </c>
      <c r="D818" t="n">
        <v>125.012</v>
      </c>
      <c r="E818" t="n">
        <v/>
      </c>
      <c r="F818" t="n">
        <v/>
      </c>
      <c r="G818" t="n">
        <v/>
      </c>
      <c r="H818" t="n">
        <v>127.3775</v>
      </c>
      <c r="I818" t="n">
        <v>109.3017</v>
      </c>
      <c r="J818" t="n">
        <v>128.8445</v>
      </c>
      <c r="K818" t="n">
        <v/>
      </c>
      <c r="L818" t="n">
        <v>116.5331</v>
      </c>
      <c r="M818" t="n">
        <v>121.7976</v>
      </c>
      <c r="N818" t="n">
        <v>135.337</v>
      </c>
      <c r="O818" t="n">
        <v/>
      </c>
      <c r="P818" t="n">
        <v/>
      </c>
      <c r="Q818" t="n">
        <v>108.9879</v>
      </c>
      <c r="R818" t="n">
        <v>119.9513</v>
      </c>
      <c r="S818" t="n">
        <v>110.0916</v>
      </c>
      <c r="T818" t="n">
        <v>128.8485</v>
      </c>
      <c r="U818" t="n">
        <v/>
      </c>
      <c r="V818" t="n">
        <v>119.258</v>
      </c>
      <c r="W818" t="n">
        <v/>
      </c>
      <c r="X818" t="n">
        <v>122.2276</v>
      </c>
      <c r="Y818" t="n">
        <v/>
      </c>
      <c r="Z818" t="n">
        <v/>
      </c>
      <c r="AA818" t="n">
        <v>132.2922</v>
      </c>
      <c r="AB818" t="n">
        <v/>
      </c>
      <c r="AC818" t="n">
        <v/>
      </c>
      <c r="AD818" t="n">
        <v>119.9542</v>
      </c>
      <c r="AE818" t="n">
        <v>123.7819</v>
      </c>
    </row>
    <row r="819">
      <c r="A819" s="89" t="n">
        <v>43497</v>
      </c>
      <c r="B819" t="n">
        <v>118.6955</v>
      </c>
      <c r="C819" t="n">
        <v/>
      </c>
      <c r="D819" t="n">
        <v>126.275</v>
      </c>
      <c r="E819" t="n">
        <v/>
      </c>
      <c r="F819" t="n">
        <v/>
      </c>
      <c r="G819" t="n">
        <v/>
      </c>
      <c r="H819" t="n">
        <v>127.479</v>
      </c>
      <c r="I819" t="n">
        <v>109.8396</v>
      </c>
      <c r="J819" t="n">
        <v>130.0882</v>
      </c>
      <c r="K819" t="n">
        <v/>
      </c>
      <c r="L819" t="n">
        <v>116.6531</v>
      </c>
      <c r="M819" t="n">
        <v>120.4998</v>
      </c>
      <c r="N819" t="n">
        <v>136.242</v>
      </c>
      <c r="O819" t="n">
        <v/>
      </c>
      <c r="P819" t="n">
        <v/>
      </c>
      <c r="Q819" t="n">
        <v>109.5066</v>
      </c>
      <c r="R819" t="n">
        <v>121.3121</v>
      </c>
      <c r="S819" t="n">
        <v>110.2889</v>
      </c>
      <c r="T819" t="n">
        <v>130.2786</v>
      </c>
      <c r="U819" t="n">
        <v/>
      </c>
      <c r="V819" t="n">
        <v>119.5294</v>
      </c>
      <c r="W819" t="n">
        <v/>
      </c>
      <c r="X819" t="n">
        <v>122.458</v>
      </c>
      <c r="Y819" t="n">
        <v/>
      </c>
      <c r="Z819" t="n">
        <v/>
      </c>
      <c r="AA819" t="n">
        <v>131.9437</v>
      </c>
      <c r="AB819" t="n">
        <v/>
      </c>
      <c r="AC819" t="n">
        <v/>
      </c>
      <c r="AD819" t="n">
        <v>120.2019</v>
      </c>
      <c r="AE819" t="n">
        <v>124.6473</v>
      </c>
    </row>
    <row r="820">
      <c r="A820" s="89" t="n">
        <v>43525</v>
      </c>
      <c r="B820" t="n">
        <v>119.4352</v>
      </c>
      <c r="C820" t="n">
        <v/>
      </c>
      <c r="D820" t="n">
        <v>127.8008</v>
      </c>
      <c r="E820" t="n">
        <v/>
      </c>
      <c r="F820" t="n">
        <v/>
      </c>
      <c r="G820" t="n">
        <v/>
      </c>
      <c r="H820" t="n">
        <v>128.6983</v>
      </c>
      <c r="I820" t="n">
        <v>109.9597</v>
      </c>
      <c r="J820" t="n">
        <v>130.8682</v>
      </c>
      <c r="K820" t="n">
        <v/>
      </c>
      <c r="L820" t="n">
        <v>117.4557</v>
      </c>
      <c r="M820" t="n">
        <v>120.2772</v>
      </c>
      <c r="N820" t="n">
        <v>137.1819</v>
      </c>
      <c r="O820" t="n">
        <v/>
      </c>
      <c r="P820" t="n">
        <v/>
      </c>
      <c r="Q820" t="n">
        <v>109.9536</v>
      </c>
      <c r="R820" t="n">
        <v>122.0823</v>
      </c>
      <c r="S820" t="n">
        <v>110.4823</v>
      </c>
      <c r="T820" t="n">
        <v>131.911</v>
      </c>
      <c r="U820" t="n">
        <v/>
      </c>
      <c r="V820" t="n">
        <v>120.1408</v>
      </c>
      <c r="W820" t="n">
        <v/>
      </c>
      <c r="X820" t="n">
        <v>122.92</v>
      </c>
      <c r="Y820" t="n">
        <v/>
      </c>
      <c r="Z820" t="n">
        <v/>
      </c>
      <c r="AA820" t="n">
        <v>133.2046</v>
      </c>
      <c r="AB820" t="n">
        <v/>
      </c>
      <c r="AC820" t="n">
        <v/>
      </c>
      <c r="AD820" t="n">
        <v>120.5958</v>
      </c>
      <c r="AE820" t="n">
        <v>125.9501</v>
      </c>
    </row>
    <row r="821">
      <c r="A821" s="89" t="n">
        <v>43556</v>
      </c>
      <c r="B821" t="n">
        <v>120.046</v>
      </c>
      <c r="C821" t="n">
        <v/>
      </c>
      <c r="D821" t="n">
        <v>128.7808</v>
      </c>
      <c r="E821" t="n">
        <v/>
      </c>
      <c r="F821" t="n">
        <v/>
      </c>
      <c r="G821" t="n">
        <v/>
      </c>
      <c r="H821" t="n">
        <v>130.2542</v>
      </c>
      <c r="I821" t="n">
        <v>109.4699</v>
      </c>
      <c r="J821" t="n">
        <v>131.68</v>
      </c>
      <c r="K821" t="n">
        <v/>
      </c>
      <c r="L821" t="n">
        <v>118.4097</v>
      </c>
      <c r="M821" t="n">
        <v>120.7488</v>
      </c>
      <c r="N821" t="n">
        <v>137.9212</v>
      </c>
      <c r="O821" t="n">
        <v/>
      </c>
      <c r="P821" t="n">
        <v/>
      </c>
      <c r="Q821" t="n">
        <v>110.3324</v>
      </c>
      <c r="R821" t="n">
        <v>122.984</v>
      </c>
      <c r="S821" t="n">
        <v>110.7959</v>
      </c>
      <c r="T821" t="n">
        <v>132.6781</v>
      </c>
      <c r="U821" t="n">
        <v/>
      </c>
      <c r="V821" t="n">
        <v>120.3567</v>
      </c>
      <c r="W821" t="n">
        <v/>
      </c>
      <c r="X821" t="n">
        <v>123.4325</v>
      </c>
      <c r="Y821" t="n">
        <v/>
      </c>
      <c r="Z821" t="n">
        <v/>
      </c>
      <c r="AA821" t="n">
        <v>133.9508</v>
      </c>
      <c r="AB821" t="n">
        <v/>
      </c>
      <c r="AC821" t="n">
        <v/>
      </c>
      <c r="AD821" t="n">
        <v>120.9822</v>
      </c>
      <c r="AE821" t="n">
        <v>127.9987</v>
      </c>
    </row>
    <row r="822">
      <c r="A822" s="89" t="n">
        <v>43586</v>
      </c>
      <c r="B822" t="n">
        <v>120.2225</v>
      </c>
      <c r="C822" t="n">
        <v/>
      </c>
      <c r="D822" t="n">
        <v>129.2386</v>
      </c>
      <c r="E822" t="n">
        <v/>
      </c>
      <c r="F822" t="n">
        <v/>
      </c>
      <c r="G822" t="n">
        <v/>
      </c>
      <c r="H822" t="n">
        <v>131.3402</v>
      </c>
      <c r="I822" t="n">
        <v>108.9413</v>
      </c>
      <c r="J822" t="n">
        <v>133.3375</v>
      </c>
      <c r="K822" t="n">
        <v/>
      </c>
      <c r="L822" t="n">
        <v>119.145</v>
      </c>
      <c r="M822" t="n">
        <v>121.1347</v>
      </c>
      <c r="N822" t="n">
        <v>139.4274</v>
      </c>
      <c r="O822" t="n">
        <v/>
      </c>
      <c r="P822" t="n">
        <v/>
      </c>
      <c r="Q822" t="n">
        <v>110.645</v>
      </c>
      <c r="R822" t="n">
        <v>124.018</v>
      </c>
      <c r="S822" t="n">
        <v>111.0873</v>
      </c>
      <c r="T822" t="n">
        <v>133.0505</v>
      </c>
      <c r="U822" t="n">
        <v/>
      </c>
      <c r="V822" t="n">
        <v>120.9848</v>
      </c>
      <c r="W822" t="n">
        <v/>
      </c>
      <c r="X822" t="n">
        <v>124.0948</v>
      </c>
      <c r="Y822" t="n">
        <v/>
      </c>
      <c r="Z822" t="n">
        <v/>
      </c>
      <c r="AA822" t="n">
        <v>134.8023</v>
      </c>
      <c r="AB822" t="n">
        <v/>
      </c>
      <c r="AC822" t="n">
        <v/>
      </c>
      <c r="AD822" t="n">
        <v>121.7708</v>
      </c>
      <c r="AE822" t="n">
        <v>129.4935</v>
      </c>
    </row>
    <row r="823">
      <c r="A823" s="89" t="n">
        <v>43617</v>
      </c>
      <c r="B823" t="n">
        <v>120.3345</v>
      </c>
      <c r="C823" t="n">
        <v/>
      </c>
      <c r="D823" t="n">
        <v>129.6822</v>
      </c>
      <c r="E823" t="n">
        <v/>
      </c>
      <c r="F823" t="n">
        <v/>
      </c>
      <c r="G823" t="n">
        <v/>
      </c>
      <c r="H823" t="n">
        <v>132.1598</v>
      </c>
      <c r="I823" t="n">
        <v>108.8036</v>
      </c>
      <c r="J823" t="n">
        <v>134.1237</v>
      </c>
      <c r="K823" t="n">
        <v/>
      </c>
      <c r="L823" t="n">
        <v>119.8517</v>
      </c>
      <c r="M823" t="n">
        <v>121.4236</v>
      </c>
      <c r="N823" t="n">
        <v>139.7393</v>
      </c>
      <c r="O823" t="n">
        <v/>
      </c>
      <c r="P823" t="n">
        <v/>
      </c>
      <c r="Q823" t="n">
        <v>111.0007</v>
      </c>
      <c r="R823" t="n">
        <v>124.585</v>
      </c>
      <c r="S823" t="n">
        <v>111.1465</v>
      </c>
      <c r="T823" t="n">
        <v>133.9397</v>
      </c>
      <c r="U823" t="n">
        <v/>
      </c>
      <c r="V823" t="n">
        <v>121.6128</v>
      </c>
      <c r="W823" t="n">
        <v/>
      </c>
      <c r="X823" t="n">
        <v>124.8171</v>
      </c>
      <c r="Y823" t="n">
        <v/>
      </c>
      <c r="Z823" t="n">
        <v/>
      </c>
      <c r="AA823" t="n">
        <v>135.4155</v>
      </c>
      <c r="AB823" t="n">
        <v/>
      </c>
      <c r="AC823" t="n">
        <v/>
      </c>
      <c r="AD823" t="n">
        <v>122.8304</v>
      </c>
      <c r="AE823" t="n">
        <v>130.1169</v>
      </c>
    </row>
    <row r="824">
      <c r="A824" s="89" t="n">
        <v>43647</v>
      </c>
      <c r="B824" t="n">
        <v>119.8386</v>
      </c>
      <c r="C824" t="n">
        <v/>
      </c>
      <c r="D824" t="n">
        <v>130.8264</v>
      </c>
      <c r="E824" t="n">
        <v/>
      </c>
      <c r="F824" t="n">
        <v/>
      </c>
      <c r="G824" t="n">
        <v/>
      </c>
      <c r="H824" t="n">
        <v>133.0099</v>
      </c>
      <c r="I824" t="n">
        <v>109.0732</v>
      </c>
      <c r="J824" t="n">
        <v>134.3422</v>
      </c>
      <c r="K824" t="n">
        <v/>
      </c>
      <c r="L824" t="n">
        <v>120.4301</v>
      </c>
      <c r="M824" t="n">
        <v>121.7456</v>
      </c>
      <c r="N824" t="n">
        <v>139.5791</v>
      </c>
      <c r="O824" t="n">
        <v/>
      </c>
      <c r="P824" t="n">
        <v/>
      </c>
      <c r="Q824" t="n">
        <v>111.4567</v>
      </c>
      <c r="R824" t="n">
        <v>124.5816</v>
      </c>
      <c r="S824" t="n">
        <v>111.3233</v>
      </c>
      <c r="T824" t="n">
        <v>134.9516</v>
      </c>
      <c r="U824" t="n">
        <v/>
      </c>
      <c r="V824" t="n">
        <v>122.0004</v>
      </c>
      <c r="W824" t="n">
        <v/>
      </c>
      <c r="X824" t="n">
        <v>125.3587</v>
      </c>
      <c r="Y824" t="n">
        <v/>
      </c>
      <c r="Z824" t="n">
        <v/>
      </c>
      <c r="AA824" t="n">
        <v>135.8371</v>
      </c>
      <c r="AB824" t="n">
        <v/>
      </c>
      <c r="AC824" t="n">
        <v/>
      </c>
      <c r="AD824" t="n">
        <v>123.4968</v>
      </c>
      <c r="AE824" t="n">
        <v>130.673</v>
      </c>
    </row>
    <row r="825">
      <c r="A825" s="89" t="n">
        <v>43678</v>
      </c>
      <c r="B825" t="n">
        <v>119.3875</v>
      </c>
      <c r="C825" t="n">
        <v/>
      </c>
      <c r="D825" t="n">
        <v>131.9284</v>
      </c>
      <c r="E825" t="n">
        <v/>
      </c>
      <c r="F825" t="n">
        <v/>
      </c>
      <c r="G825" t="n">
        <v/>
      </c>
      <c r="H825" t="n">
        <v>133.9929</v>
      </c>
      <c r="I825" t="n">
        <v>109.5753</v>
      </c>
      <c r="J825" t="n">
        <v>135.4203</v>
      </c>
      <c r="K825" t="n">
        <v/>
      </c>
      <c r="L825" t="n">
        <v>121.2451</v>
      </c>
      <c r="M825" t="n">
        <v>122.1021</v>
      </c>
      <c r="N825" t="n">
        <v>140.9171</v>
      </c>
      <c r="O825" t="n">
        <v/>
      </c>
      <c r="P825" t="n">
        <v/>
      </c>
      <c r="Q825" t="n">
        <v>111.8946</v>
      </c>
      <c r="R825" t="n">
        <v>124.8576</v>
      </c>
      <c r="S825" t="n">
        <v>111.5476</v>
      </c>
      <c r="T825" t="n">
        <v>135.5383</v>
      </c>
      <c r="U825" t="n">
        <v/>
      </c>
      <c r="V825" t="n">
        <v>123.4124</v>
      </c>
      <c r="W825" t="n">
        <v/>
      </c>
      <c r="X825" t="n">
        <v>125.9179</v>
      </c>
      <c r="Y825" t="n">
        <v/>
      </c>
      <c r="Z825" t="n">
        <v/>
      </c>
      <c r="AA825" t="n">
        <v>136.9202</v>
      </c>
      <c r="AB825" t="n">
        <v/>
      </c>
      <c r="AC825" t="n">
        <v/>
      </c>
      <c r="AD825" t="n">
        <v>124.1027</v>
      </c>
      <c r="AE825" t="n">
        <v>131.2445</v>
      </c>
    </row>
    <row r="826">
      <c r="A826" s="89" t="n">
        <v>43709</v>
      </c>
      <c r="B826" t="n">
        <v>119.6565</v>
      </c>
      <c r="C826" t="n">
        <v/>
      </c>
      <c r="D826" t="n">
        <v>132.7681</v>
      </c>
      <c r="E826" t="n">
        <v/>
      </c>
      <c r="F826" t="n">
        <v/>
      </c>
      <c r="G826" t="n">
        <v/>
      </c>
      <c r="H826" t="n">
        <v>135.5964</v>
      </c>
      <c r="I826" t="n">
        <v>110.1035</v>
      </c>
      <c r="J826" t="n">
        <v>136.1405</v>
      </c>
      <c r="K826" t="n">
        <v/>
      </c>
      <c r="L826" t="n">
        <v>121.646</v>
      </c>
      <c r="M826" t="n">
        <v>121.9776</v>
      </c>
      <c r="N826" t="n">
        <v>142.1634</v>
      </c>
      <c r="O826" t="n">
        <v/>
      </c>
      <c r="P826" t="n">
        <v/>
      </c>
      <c r="Q826" t="n">
        <v>112.2428</v>
      </c>
      <c r="R826" t="n">
        <v>125.5307</v>
      </c>
      <c r="S826" t="n">
        <v>111.784</v>
      </c>
      <c r="T826" t="n">
        <v>135.989</v>
      </c>
      <c r="U826" t="n">
        <v/>
      </c>
      <c r="V826" t="n">
        <v>123.7409</v>
      </c>
      <c r="W826" t="n">
        <v/>
      </c>
      <c r="X826" t="n">
        <v>126.5034</v>
      </c>
      <c r="Y826" t="n">
        <v/>
      </c>
      <c r="Z826" t="n">
        <v/>
      </c>
      <c r="AA826" t="n">
        <v>138.0473</v>
      </c>
      <c r="AB826" t="n">
        <v/>
      </c>
      <c r="AC826" t="n">
        <v/>
      </c>
      <c r="AD826" t="n">
        <v>124.8614</v>
      </c>
      <c r="AE826" t="n">
        <v>131.1948</v>
      </c>
    </row>
    <row r="827">
      <c r="A827" s="89" t="n">
        <v>43739</v>
      </c>
      <c r="B827" t="n">
        <v>120.0207</v>
      </c>
      <c r="C827" t="n">
        <v/>
      </c>
      <c r="D827" t="n">
        <v>133.6167</v>
      </c>
      <c r="E827" t="n">
        <v/>
      </c>
      <c r="F827" t="n">
        <v/>
      </c>
      <c r="G827" t="n">
        <v/>
      </c>
      <c r="H827" t="n">
        <v>136.6858</v>
      </c>
      <c r="I827" t="n">
        <v>109.3617</v>
      </c>
      <c r="J827" t="n">
        <v>136.7449</v>
      </c>
      <c r="K827" t="n">
        <v/>
      </c>
      <c r="L827" t="n">
        <v>121.751</v>
      </c>
      <c r="M827" t="n">
        <v>121.4123</v>
      </c>
      <c r="N827" t="n">
        <v>143.4193</v>
      </c>
      <c r="O827" t="n">
        <v/>
      </c>
      <c r="P827" t="n">
        <v/>
      </c>
      <c r="Q827" t="n">
        <v>112.4932</v>
      </c>
      <c r="R827" t="n">
        <v>126.2932</v>
      </c>
      <c r="S827" t="n">
        <v>111.9749</v>
      </c>
      <c r="T827" t="n">
        <v>137.2506</v>
      </c>
      <c r="U827" t="n">
        <v/>
      </c>
      <c r="V827" t="n">
        <v>123.3147</v>
      </c>
      <c r="W827" t="n">
        <v/>
      </c>
      <c r="X827" t="n">
        <v>127.2166</v>
      </c>
      <c r="Y827" t="n">
        <v/>
      </c>
      <c r="Z827" t="n">
        <v/>
      </c>
      <c r="AA827" t="n">
        <v>138.8491</v>
      </c>
      <c r="AB827" t="n">
        <v/>
      </c>
      <c r="AC827" t="n">
        <v/>
      </c>
      <c r="AD827" t="n">
        <v>125.9392</v>
      </c>
      <c r="AE827" t="n">
        <v>131.1584</v>
      </c>
    </row>
    <row r="828">
      <c r="A828" s="89" t="n">
        <v>43770</v>
      </c>
      <c r="B828" t="n">
        <v>120.455</v>
      </c>
      <c r="C828" t="n">
        <v/>
      </c>
      <c r="D828" t="n">
        <v>134.4068</v>
      </c>
      <c r="E828" t="n">
        <v/>
      </c>
      <c r="F828" t="n">
        <v/>
      </c>
      <c r="G828" t="n">
        <v/>
      </c>
      <c r="H828" t="n">
        <v>137.468</v>
      </c>
      <c r="I828" t="n">
        <v>108.2209</v>
      </c>
      <c r="J828" t="n">
        <v>137.9785</v>
      </c>
      <c r="K828" t="n">
        <v/>
      </c>
      <c r="L828" t="n">
        <v>122.4995</v>
      </c>
      <c r="M828" t="n">
        <v>121.1966</v>
      </c>
      <c r="N828" t="n">
        <v>145.0782</v>
      </c>
      <c r="O828" t="n">
        <v/>
      </c>
      <c r="P828" t="n">
        <v/>
      </c>
      <c r="Q828" t="n">
        <v>112.6972</v>
      </c>
      <c r="R828" t="n">
        <v>126.9498</v>
      </c>
      <c r="S828" t="n">
        <v>112.2408</v>
      </c>
      <c r="T828" t="n">
        <v>138.4193</v>
      </c>
      <c r="U828" t="n">
        <v/>
      </c>
      <c r="V828" t="n">
        <v>123.7646</v>
      </c>
      <c r="W828" t="n">
        <v/>
      </c>
      <c r="X828" t="n">
        <v>127.9162</v>
      </c>
      <c r="Y828" t="n">
        <v/>
      </c>
      <c r="Z828" t="n">
        <v/>
      </c>
      <c r="AA828" t="n">
        <v>139.8472</v>
      </c>
      <c r="AB828" t="n">
        <v/>
      </c>
      <c r="AC828" t="n">
        <v/>
      </c>
      <c r="AD828" t="n">
        <v>126.8068</v>
      </c>
      <c r="AE828" t="n">
        <v>131.6885</v>
      </c>
    </row>
    <row r="829">
      <c r="A829" s="89" t="n">
        <v>43800</v>
      </c>
      <c r="B829" t="n">
        <v>120.6848</v>
      </c>
      <c r="C829" t="n">
        <v/>
      </c>
      <c r="D829" t="n">
        <v>135.342</v>
      </c>
      <c r="E829" t="n">
        <v/>
      </c>
      <c r="F829" t="n">
        <v/>
      </c>
      <c r="G829" t="n">
        <v/>
      </c>
      <c r="H829" t="n">
        <v>137.8883</v>
      </c>
      <c r="I829" t="n">
        <v>109.9037</v>
      </c>
      <c r="J829" t="n">
        <v>137.9667</v>
      </c>
      <c r="K829" t="n">
        <v/>
      </c>
      <c r="L829" t="n">
        <v>122.7952</v>
      </c>
      <c r="M829" t="n">
        <v>121.6663</v>
      </c>
      <c r="N829" t="n">
        <v>146.0557</v>
      </c>
      <c r="O829" t="n">
        <v/>
      </c>
      <c r="P829" t="n">
        <v/>
      </c>
      <c r="Q829" t="n">
        <v>112.9164</v>
      </c>
      <c r="R829" t="n">
        <v>127.6447</v>
      </c>
      <c r="S829" t="n">
        <v>112.432</v>
      </c>
      <c r="T829" t="n">
        <v>138.8131</v>
      </c>
      <c r="U829" t="n">
        <v/>
      </c>
      <c r="V829" t="n">
        <v>124.0591</v>
      </c>
      <c r="W829" t="n">
        <v/>
      </c>
      <c r="X829" t="n">
        <v>128.4169</v>
      </c>
      <c r="Y829" t="n">
        <v/>
      </c>
      <c r="Z829" t="n">
        <v/>
      </c>
      <c r="AA829" t="n">
        <v>140.38</v>
      </c>
      <c r="AB829" t="n">
        <v/>
      </c>
      <c r="AC829" t="n">
        <v/>
      </c>
      <c r="AD829" t="n">
        <v>127.2988</v>
      </c>
      <c r="AE829" t="n">
        <v>131.3005</v>
      </c>
    </row>
    <row r="830">
      <c r="A830" s="89" t="n">
        <v>43831</v>
      </c>
      <c r="B830" t="n">
        <v>120.9705</v>
      </c>
      <c r="C830" t="n">
        <v/>
      </c>
      <c r="D830" t="n">
        <v>135.6262</v>
      </c>
      <c r="E830" t="n">
        <v/>
      </c>
      <c r="F830" t="n">
        <v/>
      </c>
      <c r="G830" t="n">
        <v/>
      </c>
      <c r="H830" t="n">
        <v>138.3507</v>
      </c>
      <c r="I830" t="n">
        <v>113.2906</v>
      </c>
      <c r="J830" t="n">
        <v>138.4596</v>
      </c>
      <c r="K830" t="n">
        <v/>
      </c>
      <c r="L830" t="n">
        <v>122.6419</v>
      </c>
      <c r="M830" t="n">
        <v>122.025</v>
      </c>
      <c r="N830" t="n">
        <v>147.2572</v>
      </c>
      <c r="O830" t="n">
        <v/>
      </c>
      <c r="P830" t="n">
        <v/>
      </c>
      <c r="Q830" t="n">
        <v>111.9834</v>
      </c>
      <c r="R830" t="n">
        <v>128.7257</v>
      </c>
      <c r="S830" t="n">
        <v>112.6397</v>
      </c>
      <c r="T830" t="n">
        <v>138.6689</v>
      </c>
      <c r="U830" t="n">
        <v/>
      </c>
      <c r="V830" t="n">
        <v>124.1506</v>
      </c>
      <c r="W830" t="n">
        <v/>
      </c>
      <c r="X830" t="n">
        <v>129.1352</v>
      </c>
      <c r="Y830" t="n">
        <v/>
      </c>
      <c r="Z830" t="n">
        <v/>
      </c>
      <c r="AA830" t="n">
        <v>140.3676</v>
      </c>
      <c r="AB830" t="n">
        <v/>
      </c>
      <c r="AC830" t="n">
        <v/>
      </c>
      <c r="AD830" t="n">
        <v>128.2985</v>
      </c>
      <c r="AE830" t="n">
        <v>131.8218</v>
      </c>
    </row>
    <row r="831">
      <c r="A831" s="89" t="n">
        <v>43862</v>
      </c>
      <c r="B831" t="n">
        <v>121.3908</v>
      </c>
      <c r="C831" t="n">
        <v/>
      </c>
      <c r="D831" t="n">
        <v>137.1666</v>
      </c>
      <c r="E831" t="n">
        <v/>
      </c>
      <c r="F831" t="n">
        <v/>
      </c>
      <c r="G831" t="n">
        <v/>
      </c>
      <c r="H831" t="n">
        <v>139.5625</v>
      </c>
      <c r="I831" t="n">
        <v>115.4088</v>
      </c>
      <c r="J831" t="n">
        <v>140.3459</v>
      </c>
      <c r="K831" t="n">
        <v/>
      </c>
      <c r="L831" t="n">
        <v>123.126</v>
      </c>
      <c r="M831" t="n">
        <v>122.6303</v>
      </c>
      <c r="N831" t="n">
        <v>149.331</v>
      </c>
      <c r="O831" t="n">
        <v/>
      </c>
      <c r="P831" t="n">
        <v/>
      </c>
      <c r="Q831" t="n">
        <v>112.9041</v>
      </c>
      <c r="R831" t="n">
        <v>129.202</v>
      </c>
      <c r="S831" t="n">
        <v>113.0203</v>
      </c>
      <c r="T831" t="n">
        <v>139.8013</v>
      </c>
      <c r="U831" t="n">
        <v/>
      </c>
      <c r="V831" t="n">
        <v>124.6448</v>
      </c>
      <c r="W831" t="n">
        <v/>
      </c>
      <c r="X831" t="n">
        <v>129.9091</v>
      </c>
      <c r="Y831" t="n">
        <v/>
      </c>
      <c r="Z831" t="n">
        <v/>
      </c>
      <c r="AA831" t="n">
        <v>142.1424</v>
      </c>
      <c r="AB831" t="n">
        <v/>
      </c>
      <c r="AC831" t="n">
        <v/>
      </c>
      <c r="AD831" t="n">
        <v>129.1062</v>
      </c>
      <c r="AE831" t="n">
        <v>133.8385</v>
      </c>
    </row>
    <row r="832">
      <c r="A832" s="89" t="n">
        <v>43891</v>
      </c>
      <c r="B832" t="n">
        <v>123.85</v>
      </c>
      <c r="C832" t="n">
        <v/>
      </c>
      <c r="D832" t="n">
        <v>140.6497</v>
      </c>
      <c r="E832" t="n">
        <v/>
      </c>
      <c r="F832" t="n">
        <v/>
      </c>
      <c r="G832" t="n">
        <v/>
      </c>
      <c r="H832" t="n">
        <v>144.1734</v>
      </c>
      <c r="I832" t="n">
        <v>116.77</v>
      </c>
      <c r="J832" t="n">
        <v>142.8917</v>
      </c>
      <c r="K832" t="n">
        <v/>
      </c>
      <c r="L832" t="n">
        <v>125.1964</v>
      </c>
      <c r="M832" t="n">
        <v>127.2154</v>
      </c>
      <c r="N832" t="n">
        <v>152.2351</v>
      </c>
      <c r="O832" t="n">
        <v/>
      </c>
      <c r="P832" t="n">
        <v/>
      </c>
      <c r="Q832" t="n">
        <v>113.9457</v>
      </c>
      <c r="R832" t="n">
        <v>133.8116</v>
      </c>
      <c r="S832" t="n">
        <v>113.4938</v>
      </c>
      <c r="T832" t="n">
        <v>141.0033</v>
      </c>
      <c r="U832" t="n">
        <v/>
      </c>
      <c r="V832" t="n">
        <v>128.02</v>
      </c>
      <c r="W832" t="n">
        <v/>
      </c>
      <c r="X832" t="n">
        <v>133.3693</v>
      </c>
      <c r="Y832" t="n">
        <v/>
      </c>
      <c r="Z832" t="n">
        <v/>
      </c>
      <c r="AA832" t="n">
        <v>147.7811</v>
      </c>
      <c r="AB832" t="n">
        <v/>
      </c>
      <c r="AC832" t="n">
        <v/>
      </c>
      <c r="AD832" t="n">
        <v>132.9585</v>
      </c>
      <c r="AE832" t="n">
        <v>136.8789</v>
      </c>
    </row>
    <row r="833">
      <c r="A833" s="89" t="n">
        <v>43922</v>
      </c>
      <c r="B833" t="n">
        <v>127.3661</v>
      </c>
      <c r="C833" t="n">
        <v/>
      </c>
      <c r="D833" t="n">
        <v>145.1952</v>
      </c>
      <c r="E833" t="n">
        <v/>
      </c>
      <c r="F833" t="n">
        <v/>
      </c>
      <c r="G833" t="n">
        <v/>
      </c>
      <c r="H833" t="n">
        <v>149.3731</v>
      </c>
      <c r="I833" t="n">
        <v>119.5426</v>
      </c>
      <c r="J833" t="n">
        <v>145.0838</v>
      </c>
      <c r="K833" t="n">
        <v/>
      </c>
      <c r="L833" t="n">
        <v>127.6407</v>
      </c>
      <c r="M833" t="n">
        <v>130.9557</v>
      </c>
      <c r="N833" t="n">
        <v>154.9854</v>
      </c>
      <c r="O833" t="n">
        <v/>
      </c>
      <c r="P833" t="n">
        <v/>
      </c>
      <c r="Q833" t="n">
        <v>115.092</v>
      </c>
      <c r="R833" t="n">
        <v>138.9264</v>
      </c>
      <c r="S833" t="n">
        <v>113.9925</v>
      </c>
      <c r="T833" t="n">
        <v>142.2218</v>
      </c>
      <c r="U833" t="n">
        <v/>
      </c>
      <c r="V833" t="n">
        <v>132.0932</v>
      </c>
      <c r="W833" t="n">
        <v/>
      </c>
      <c r="X833" t="n">
        <v>139.2827</v>
      </c>
      <c r="Y833" t="n">
        <v/>
      </c>
      <c r="Z833" t="n">
        <v/>
      </c>
      <c r="AA833" t="n">
        <v>151.4081</v>
      </c>
      <c r="AB833" t="n">
        <v/>
      </c>
      <c r="AC833" t="n">
        <v/>
      </c>
      <c r="AD833" t="n">
        <v>141.4925</v>
      </c>
      <c r="AE833" t="n">
        <v>140.6666</v>
      </c>
    </row>
    <row r="834">
      <c r="A834" s="89" t="n">
        <v>43952</v>
      </c>
      <c r="B834" t="n">
        <v>129.26</v>
      </c>
      <c r="C834" t="n">
        <v/>
      </c>
      <c r="D834" t="n">
        <v>148.1715</v>
      </c>
      <c r="E834" t="n">
        <v/>
      </c>
      <c r="F834" t="n">
        <v/>
      </c>
      <c r="G834" t="n">
        <v/>
      </c>
      <c r="H834" t="n">
        <v>151.9806</v>
      </c>
      <c r="I834" t="n">
        <v>122.5907</v>
      </c>
      <c r="J834" t="n">
        <v>146.1422</v>
      </c>
      <c r="K834" t="n">
        <v/>
      </c>
      <c r="L834" t="n">
        <v>129.4665</v>
      </c>
      <c r="M834" t="n">
        <v>132.0878</v>
      </c>
      <c r="N834" t="n">
        <v>156.5528</v>
      </c>
      <c r="O834" t="n">
        <v/>
      </c>
      <c r="P834" t="n">
        <v/>
      </c>
      <c r="Q834" t="n">
        <v>116.294</v>
      </c>
      <c r="R834" t="n">
        <v>140.903</v>
      </c>
      <c r="S834" t="n">
        <v>115.435</v>
      </c>
      <c r="T834" t="n">
        <v>143.3812</v>
      </c>
      <c r="U834" t="n">
        <v/>
      </c>
      <c r="V834" t="n">
        <v>134.1297</v>
      </c>
      <c r="W834" t="n">
        <v/>
      </c>
      <c r="X834" t="n">
        <v>144.0219</v>
      </c>
      <c r="Y834" t="n">
        <v/>
      </c>
      <c r="Z834" t="n">
        <v/>
      </c>
      <c r="AA834" t="n">
        <v>150.9099</v>
      </c>
      <c r="AB834" t="n">
        <v/>
      </c>
      <c r="AC834" t="n">
        <v/>
      </c>
      <c r="AD834" t="n">
        <v>148.5517</v>
      </c>
      <c r="AE834" t="n">
        <v>142.9505</v>
      </c>
    </row>
    <row r="835">
      <c r="A835" s="89" t="n">
        <v>43983</v>
      </c>
      <c r="B835" t="n">
        <v>129.9296</v>
      </c>
      <c r="C835" t="n">
        <v/>
      </c>
      <c r="D835" t="n">
        <v>150.5326</v>
      </c>
      <c r="E835" t="n">
        <v/>
      </c>
      <c r="F835" t="n">
        <v/>
      </c>
      <c r="G835" t="n">
        <v/>
      </c>
      <c r="H835" t="n">
        <v>153.0693</v>
      </c>
      <c r="I835" t="n">
        <v>126.514</v>
      </c>
      <c r="J835" t="n">
        <v>147.0545</v>
      </c>
      <c r="K835" t="n">
        <v/>
      </c>
      <c r="L835" t="n">
        <v>130.8624</v>
      </c>
      <c r="M835" t="n">
        <v>133.5005</v>
      </c>
      <c r="N835" t="n">
        <v>158.5609</v>
      </c>
      <c r="O835" t="n">
        <v/>
      </c>
      <c r="P835" t="n">
        <v/>
      </c>
      <c r="Q835" t="n">
        <v>117.4781</v>
      </c>
      <c r="R835" t="n">
        <v>142.5172</v>
      </c>
      <c r="S835" t="n">
        <v>117.5456</v>
      </c>
      <c r="T835" t="n">
        <v>144.3381</v>
      </c>
      <c r="U835" t="n">
        <v/>
      </c>
      <c r="V835" t="n">
        <v>133.8193</v>
      </c>
      <c r="W835" t="n">
        <v/>
      </c>
      <c r="X835" t="n">
        <v>146.1101</v>
      </c>
      <c r="Y835" t="n">
        <v/>
      </c>
      <c r="Z835" t="n">
        <v/>
      </c>
      <c r="AA835" t="n">
        <v>151.8235</v>
      </c>
      <c r="AB835" t="n">
        <v/>
      </c>
      <c r="AC835" t="n">
        <v/>
      </c>
      <c r="AD835" t="n">
        <v>150.9308</v>
      </c>
      <c r="AE835" t="n">
        <v>144.1019</v>
      </c>
    </row>
    <row r="836">
      <c r="A836" s="89" t="n">
        <v>44013</v>
      </c>
      <c r="B836" t="n">
        <v>131.2632</v>
      </c>
      <c r="C836" t="n">
        <v/>
      </c>
      <c r="D836" t="n">
        <v>151.6463</v>
      </c>
      <c r="E836" t="n">
        <v/>
      </c>
      <c r="F836" t="n">
        <v/>
      </c>
      <c r="G836" t="n">
        <v/>
      </c>
      <c r="H836" t="n">
        <v>153.4953</v>
      </c>
      <c r="I836" t="n">
        <v>129.3916</v>
      </c>
      <c r="J836" t="n">
        <v>147.8548</v>
      </c>
      <c r="K836" t="n">
        <v/>
      </c>
      <c r="L836" t="n">
        <v>131.6923</v>
      </c>
      <c r="M836" t="n">
        <v>134.6117</v>
      </c>
      <c r="N836" t="n">
        <v>160.7296</v>
      </c>
      <c r="O836" t="n">
        <v/>
      </c>
      <c r="P836" t="n">
        <v/>
      </c>
      <c r="Q836" t="n">
        <v>118.5918</v>
      </c>
      <c r="R836" t="n">
        <v>144.0541</v>
      </c>
      <c r="S836" t="n">
        <v>118.4511</v>
      </c>
      <c r="T836" t="n">
        <v>145.2412</v>
      </c>
      <c r="U836" t="n">
        <v/>
      </c>
      <c r="V836" t="n">
        <v>133.931</v>
      </c>
      <c r="W836" t="n">
        <v/>
      </c>
      <c r="X836" t="n">
        <v>147.2369</v>
      </c>
      <c r="Y836" t="n">
        <v/>
      </c>
      <c r="Z836" t="n">
        <v/>
      </c>
      <c r="AA836" t="n">
        <v>154.5343</v>
      </c>
      <c r="AB836" t="n">
        <v/>
      </c>
      <c r="AC836" t="n">
        <v/>
      </c>
      <c r="AD836" t="n">
        <v>152.1008</v>
      </c>
      <c r="AE836" t="n">
        <v>144.6451</v>
      </c>
    </row>
    <row r="837">
      <c r="A837" s="89" t="n">
        <v>44044</v>
      </c>
      <c r="B837" t="n">
        <v>132.6781</v>
      </c>
      <c r="C837" t="n">
        <v/>
      </c>
      <c r="D837" t="n">
        <v>152.2585</v>
      </c>
      <c r="E837" t="n">
        <v/>
      </c>
      <c r="F837" t="n">
        <v/>
      </c>
      <c r="G837" t="n">
        <v/>
      </c>
      <c r="H837" t="n">
        <v>153.98</v>
      </c>
      <c r="I837" t="n">
        <v>131.4378</v>
      </c>
      <c r="J837" t="n">
        <v>148.9332</v>
      </c>
      <c r="K837" t="n">
        <v/>
      </c>
      <c r="L837" t="n">
        <v>132.2229</v>
      </c>
      <c r="M837" t="n">
        <v>134.6995</v>
      </c>
      <c r="N837" t="n">
        <v>162.9233</v>
      </c>
      <c r="O837" t="n">
        <v/>
      </c>
      <c r="P837" t="n">
        <v/>
      </c>
      <c r="Q837" t="n">
        <v>119.5895</v>
      </c>
      <c r="R837" t="n">
        <v>146.4906</v>
      </c>
      <c r="S837" t="n">
        <v>119.2662</v>
      </c>
      <c r="T837" t="n">
        <v>145.8556</v>
      </c>
      <c r="U837" t="n">
        <v/>
      </c>
      <c r="V837" t="n">
        <v>135.3235</v>
      </c>
      <c r="W837" t="n">
        <v/>
      </c>
      <c r="X837" t="n">
        <v>147.8712</v>
      </c>
      <c r="Y837" t="n">
        <v/>
      </c>
      <c r="Z837" t="n">
        <v/>
      </c>
      <c r="AA837" t="n">
        <v>156.8273</v>
      </c>
      <c r="AB837" t="n">
        <v/>
      </c>
      <c r="AC837" t="n">
        <v/>
      </c>
      <c r="AD837" t="n">
        <v>152.6148</v>
      </c>
      <c r="AE837" t="n">
        <v>144.9325</v>
      </c>
    </row>
    <row r="838">
      <c r="A838" s="89" t="n">
        <v>44075</v>
      </c>
      <c r="B838" t="n">
        <v>133.6278</v>
      </c>
      <c r="C838" t="n">
        <v/>
      </c>
      <c r="D838" t="n">
        <v>153.5778</v>
      </c>
      <c r="E838" t="n">
        <v/>
      </c>
      <c r="F838" t="n">
        <v/>
      </c>
      <c r="G838" t="n">
        <v/>
      </c>
      <c r="H838" t="n">
        <v>154.8448</v>
      </c>
      <c r="I838" t="n">
        <v>132.6634</v>
      </c>
      <c r="J838" t="n">
        <v>150.6759</v>
      </c>
      <c r="K838" t="n">
        <v/>
      </c>
      <c r="L838" t="n">
        <v>132.7416</v>
      </c>
      <c r="M838" t="n">
        <v>134.8674</v>
      </c>
      <c r="N838" t="n">
        <v>165.4303</v>
      </c>
      <c r="O838" t="n">
        <v/>
      </c>
      <c r="P838" t="n">
        <v/>
      </c>
      <c r="Q838" t="n">
        <v>120.3922</v>
      </c>
      <c r="R838" t="n">
        <v>149.0263</v>
      </c>
      <c r="S838" t="n">
        <v>119.8675</v>
      </c>
      <c r="T838" t="n">
        <v>146.3721</v>
      </c>
      <c r="U838" t="n">
        <v/>
      </c>
      <c r="V838" t="n">
        <v>136.1422</v>
      </c>
      <c r="W838" t="n">
        <v/>
      </c>
      <c r="X838" t="n">
        <v>149.2559</v>
      </c>
      <c r="Y838" t="n">
        <v/>
      </c>
      <c r="Z838" t="n">
        <v/>
      </c>
      <c r="AA838" t="n">
        <v>159.6357</v>
      </c>
      <c r="AB838" t="n">
        <v/>
      </c>
      <c r="AC838" t="n">
        <v/>
      </c>
      <c r="AD838" t="n">
        <v>154.4674</v>
      </c>
      <c r="AE838" t="n">
        <v>144.3789</v>
      </c>
    </row>
    <row r="839">
      <c r="A839" s="89" t="n">
        <v>44105</v>
      </c>
      <c r="B839" t="n">
        <v>134.3703</v>
      </c>
      <c r="C839" t="n">
        <v/>
      </c>
      <c r="D839" t="n">
        <v>150.0629</v>
      </c>
      <c r="E839" t="n">
        <v/>
      </c>
      <c r="F839" t="n">
        <v/>
      </c>
      <c r="G839" t="n">
        <v/>
      </c>
      <c r="H839" t="n">
        <v>155.7736</v>
      </c>
      <c r="I839" t="n">
        <v>133.0923</v>
      </c>
      <c r="J839" t="n">
        <v>152.4343</v>
      </c>
      <c r="K839" t="n">
        <v/>
      </c>
      <c r="L839" t="n">
        <v>133.7089</v>
      </c>
      <c r="M839" t="n">
        <v>135.3259</v>
      </c>
      <c r="N839" t="n">
        <v>167.8674</v>
      </c>
      <c r="O839" t="n">
        <v/>
      </c>
      <c r="P839" t="n">
        <v/>
      </c>
      <c r="Q839" t="n">
        <v>121.0558</v>
      </c>
      <c r="R839" t="n">
        <v>151.2572</v>
      </c>
      <c r="S839" t="n">
        <v>120.2995</v>
      </c>
      <c r="T839" t="n">
        <v>147.5164</v>
      </c>
      <c r="U839" t="n">
        <v/>
      </c>
      <c r="V839" t="n">
        <v>137.4409</v>
      </c>
      <c r="W839" t="n">
        <v/>
      </c>
      <c r="X839" t="n">
        <v>150.0726</v>
      </c>
      <c r="Y839" t="n">
        <v/>
      </c>
      <c r="Z839" t="n">
        <v/>
      </c>
      <c r="AA839" t="n">
        <v>162.0287</v>
      </c>
      <c r="AB839" t="n">
        <v/>
      </c>
      <c r="AC839" t="n">
        <v/>
      </c>
      <c r="AD839" t="n">
        <v>155.6823</v>
      </c>
      <c r="AE839" t="n">
        <v>143.9422</v>
      </c>
    </row>
    <row r="840">
      <c r="A840" s="89" t="n">
        <v>44136</v>
      </c>
      <c r="B840" t="n">
        <v>135.2528</v>
      </c>
      <c r="C840" t="n">
        <v/>
      </c>
      <c r="D840" t="n">
        <v>150.7997</v>
      </c>
      <c r="E840" t="n">
        <v/>
      </c>
      <c r="F840" t="n">
        <v/>
      </c>
      <c r="G840" t="n">
        <v/>
      </c>
      <c r="H840" t="n">
        <v>155.6564</v>
      </c>
      <c r="I840" t="n">
        <v>133.2787</v>
      </c>
      <c r="J840" t="n">
        <v>153.2781</v>
      </c>
      <c r="K840" t="n">
        <v/>
      </c>
      <c r="L840" t="n">
        <v>134.8039</v>
      </c>
      <c r="M840" t="n">
        <v>135.2077</v>
      </c>
      <c r="N840" t="n">
        <v>169.8274</v>
      </c>
      <c r="O840" t="n">
        <v/>
      </c>
      <c r="P840" t="n">
        <v/>
      </c>
      <c r="Q840" t="n">
        <v>121.751</v>
      </c>
      <c r="R840" t="n">
        <v>153.9439</v>
      </c>
      <c r="S840" t="n">
        <v>120.7355</v>
      </c>
      <c r="T840" t="n">
        <v>148.9244</v>
      </c>
      <c r="U840" t="n">
        <v/>
      </c>
      <c r="V840" t="n">
        <v>138.488</v>
      </c>
      <c r="W840" t="n">
        <v/>
      </c>
      <c r="X840" t="n">
        <v>151.3337</v>
      </c>
      <c r="Y840" t="n">
        <v/>
      </c>
      <c r="Z840" t="n">
        <v/>
      </c>
      <c r="AA840" t="n">
        <v>162.3611</v>
      </c>
      <c r="AB840" t="n">
        <v/>
      </c>
      <c r="AC840" t="n">
        <v/>
      </c>
      <c r="AD840" t="n">
        <v>157.4328</v>
      </c>
      <c r="AE840" t="n">
        <v>143.6709</v>
      </c>
    </row>
    <row r="841">
      <c r="A841" s="89" t="n">
        <v>44166</v>
      </c>
      <c r="B841" t="n">
        <v>136.0989</v>
      </c>
      <c r="C841" t="n">
        <v/>
      </c>
      <c r="D841" t="n">
        <v>151.2397</v>
      </c>
      <c r="E841" t="n">
        <v/>
      </c>
      <c r="F841" t="n">
        <v/>
      </c>
      <c r="G841" t="n">
        <v/>
      </c>
      <c r="H841" t="n">
        <v>156.3321</v>
      </c>
      <c r="I841" t="n">
        <v>133.8869</v>
      </c>
      <c r="J841" t="n">
        <v>152.7728</v>
      </c>
      <c r="K841" t="n">
        <v/>
      </c>
      <c r="L841" t="n">
        <v>135.9694</v>
      </c>
      <c r="M841" t="n">
        <v>136.4561</v>
      </c>
      <c r="N841" t="n">
        <v>173.5349</v>
      </c>
      <c r="O841" t="n">
        <v/>
      </c>
      <c r="P841" t="n">
        <v/>
      </c>
      <c r="Q841" t="n">
        <v>122.5301</v>
      </c>
      <c r="R841" t="n">
        <v>156.5297</v>
      </c>
      <c r="S841" t="n">
        <v>121.1347</v>
      </c>
      <c r="T841" t="n">
        <v>149.5221</v>
      </c>
      <c r="U841" t="n">
        <v/>
      </c>
      <c r="V841" t="n">
        <v>138.9608</v>
      </c>
      <c r="W841" t="n">
        <v/>
      </c>
      <c r="X841" t="n">
        <v>152.4704</v>
      </c>
      <c r="Y841" t="n">
        <v/>
      </c>
      <c r="Z841" t="n">
        <v/>
      </c>
      <c r="AA841" t="n">
        <v>163.0794</v>
      </c>
      <c r="AB841" t="n">
        <v/>
      </c>
      <c r="AC841" t="n">
        <v/>
      </c>
      <c r="AD841" t="n">
        <v>158.8511</v>
      </c>
      <c r="AE841" t="n">
        <v>143.382</v>
      </c>
    </row>
    <row r="842">
      <c r="A842" s="89" t="n">
        <v>44197</v>
      </c>
      <c r="B842" t="n">
        <v>136.8749</v>
      </c>
      <c r="C842" t="n">
        <v/>
      </c>
      <c r="D842" t="n">
        <v>152.4083</v>
      </c>
      <c r="E842" t="n">
        <v/>
      </c>
      <c r="F842" t="n">
        <v/>
      </c>
      <c r="G842" t="n">
        <v/>
      </c>
      <c r="H842" t="n">
        <v>157.8684</v>
      </c>
      <c r="I842" t="n">
        <v>135.3964</v>
      </c>
      <c r="J842" t="n">
        <v>153.5782</v>
      </c>
      <c r="K842" t="n">
        <v/>
      </c>
      <c r="L842" t="n">
        <v>136.8984</v>
      </c>
      <c r="M842" t="n">
        <v>137.753</v>
      </c>
      <c r="N842" t="n">
        <v>176.9976</v>
      </c>
      <c r="O842" t="n">
        <v/>
      </c>
      <c r="P842" t="n">
        <v/>
      </c>
      <c r="Q842" t="n">
        <v>123.3292</v>
      </c>
      <c r="R842" t="n">
        <v>158.494</v>
      </c>
      <c r="S842" t="n">
        <v>121.6825</v>
      </c>
      <c r="T842" t="n">
        <v>150.0303</v>
      </c>
      <c r="U842" t="n">
        <v/>
      </c>
      <c r="V842" t="n">
        <v>139.6853</v>
      </c>
      <c r="W842" t="n">
        <v/>
      </c>
      <c r="X842" t="n">
        <v>154.1281</v>
      </c>
      <c r="Y842" t="n">
        <v/>
      </c>
      <c r="Z842" t="n">
        <v/>
      </c>
      <c r="AA842" t="n">
        <v>164.2511</v>
      </c>
      <c r="AB842" t="n">
        <v/>
      </c>
      <c r="AC842" t="n">
        <v/>
      </c>
      <c r="AD842" t="n">
        <v>161.0409</v>
      </c>
      <c r="AE842" t="n">
        <v>144.935</v>
      </c>
    </row>
    <row r="843">
      <c r="A843" s="89" t="n">
        <v>44228</v>
      </c>
      <c r="B843" t="n">
        <v>137.4465</v>
      </c>
      <c r="C843" t="n">
        <v/>
      </c>
      <c r="D843" t="n">
        <v>153.6759</v>
      </c>
      <c r="E843" t="n">
        <v/>
      </c>
      <c r="F843" t="n">
        <v/>
      </c>
      <c r="G843" t="n">
        <v/>
      </c>
      <c r="H843" t="n">
        <v>158.556</v>
      </c>
      <c r="I843" t="n">
        <v>136.4446</v>
      </c>
      <c r="J843" t="n">
        <v>156.6682</v>
      </c>
      <c r="K843" t="n">
        <v/>
      </c>
      <c r="L843" t="n">
        <v>137.4837</v>
      </c>
      <c r="M843" t="n">
        <v>138.243</v>
      </c>
      <c r="N843" t="n">
        <v>179.3673</v>
      </c>
      <c r="O843" t="n">
        <v/>
      </c>
      <c r="P843" t="n">
        <v/>
      </c>
      <c r="Q843" t="n">
        <v>124.1201</v>
      </c>
      <c r="R843" t="n">
        <v>159.9918</v>
      </c>
      <c r="S843" t="n">
        <v>122.2235</v>
      </c>
      <c r="T843" t="n">
        <v>151.4962</v>
      </c>
      <c r="U843" t="n">
        <v/>
      </c>
      <c r="V843" t="n">
        <v>141.7168</v>
      </c>
      <c r="W843" t="n">
        <v/>
      </c>
      <c r="X843" t="n">
        <v>155.781</v>
      </c>
      <c r="Y843" t="n">
        <v/>
      </c>
      <c r="Z843" t="n">
        <v/>
      </c>
      <c r="AA843" t="n">
        <v>165.2176</v>
      </c>
      <c r="AB843" t="n">
        <v/>
      </c>
      <c r="AC843" t="n">
        <v/>
      </c>
      <c r="AD843" t="n">
        <v>163.3012</v>
      </c>
      <c r="AE843" t="n">
        <v>145.71</v>
      </c>
    </row>
    <row r="844">
      <c r="A844" s="89" t="n">
        <v>44256</v>
      </c>
      <c r="B844" t="n">
        <v>137.6986</v>
      </c>
      <c r="C844" t="n">
        <v/>
      </c>
      <c r="D844" t="n">
        <v>153.3316</v>
      </c>
      <c r="E844" t="n">
        <v/>
      </c>
      <c r="F844" t="n">
        <v/>
      </c>
      <c r="G844" t="n">
        <v/>
      </c>
      <c r="H844" t="n">
        <v>159.3395</v>
      </c>
      <c r="I844" t="n">
        <v>136.8376</v>
      </c>
      <c r="J844" t="n">
        <v>158.9986</v>
      </c>
      <c r="K844" t="n">
        <v/>
      </c>
      <c r="L844" t="n">
        <v>138.1812</v>
      </c>
      <c r="M844" t="n">
        <v>139.2646</v>
      </c>
      <c r="N844" t="n">
        <v>181.8291</v>
      </c>
      <c r="O844" t="n">
        <v/>
      </c>
      <c r="P844" t="n">
        <v/>
      </c>
      <c r="Q844" t="n">
        <v>124.9445</v>
      </c>
      <c r="R844" t="n">
        <v>161.5509</v>
      </c>
      <c r="S844" t="n">
        <v>122.6052</v>
      </c>
      <c r="T844" t="n">
        <v>153.363</v>
      </c>
      <c r="U844" t="n">
        <v/>
      </c>
      <c r="V844" t="n">
        <v>143.132</v>
      </c>
      <c r="W844" t="n">
        <v/>
      </c>
      <c r="X844" t="n">
        <v>157.2605</v>
      </c>
      <c r="Y844" t="n">
        <v/>
      </c>
      <c r="Z844" t="n">
        <v/>
      </c>
      <c r="AA844" t="n">
        <v>166.4904</v>
      </c>
      <c r="AB844" t="n">
        <v/>
      </c>
      <c r="AC844" t="n">
        <v/>
      </c>
      <c r="AD844" t="n">
        <v>165.3598</v>
      </c>
      <c r="AE844" t="n">
        <v>144.631</v>
      </c>
    </row>
    <row r="845">
      <c r="A845" s="89" t="n">
        <v>44287</v>
      </c>
      <c r="B845" t="n">
        <v>138.0124</v>
      </c>
      <c r="C845" t="n">
        <v/>
      </c>
      <c r="D845" t="n">
        <v>152.2026</v>
      </c>
      <c r="E845" t="n">
        <v/>
      </c>
      <c r="F845" t="n">
        <v/>
      </c>
      <c r="G845" t="n">
        <v/>
      </c>
      <c r="H845" t="n">
        <v>160.2692</v>
      </c>
      <c r="I845" t="n">
        <v>137.5715</v>
      </c>
      <c r="J845" t="n">
        <v>160.1879</v>
      </c>
      <c r="K845" t="n">
        <v/>
      </c>
      <c r="L845" t="n">
        <v>139.014</v>
      </c>
      <c r="M845" t="n">
        <v>140.1793</v>
      </c>
      <c r="N845" t="n">
        <v>182.8564</v>
      </c>
      <c r="O845" t="n">
        <v/>
      </c>
      <c r="P845" t="n">
        <v/>
      </c>
      <c r="Q845" t="n">
        <v>125.8224</v>
      </c>
      <c r="R845" t="n">
        <v>163.3299</v>
      </c>
      <c r="S845" t="n">
        <v>122.9656</v>
      </c>
      <c r="T845" t="n">
        <v>155.884</v>
      </c>
      <c r="U845" t="n">
        <v/>
      </c>
      <c r="V845" t="n">
        <v>144.2066</v>
      </c>
      <c r="W845" t="n">
        <v/>
      </c>
      <c r="X845" t="n">
        <v>158.6069</v>
      </c>
      <c r="Y845" t="n">
        <v/>
      </c>
      <c r="Z845" t="n">
        <v/>
      </c>
      <c r="AA845" t="n">
        <v>168.157</v>
      </c>
      <c r="AB845" t="n">
        <v/>
      </c>
      <c r="AC845" t="n">
        <v/>
      </c>
      <c r="AD845" t="n">
        <v>167.2282</v>
      </c>
      <c r="AE845" t="n">
        <v>144.3459</v>
      </c>
    </row>
    <row r="846">
      <c r="A846" s="89" t="n">
        <v>44317</v>
      </c>
      <c r="B846" t="n">
        <v>138.2842</v>
      </c>
      <c r="C846" t="n">
        <v/>
      </c>
      <c r="D846" t="n">
        <v>154.5288</v>
      </c>
      <c r="E846" t="n">
        <v/>
      </c>
      <c r="F846" t="n">
        <v/>
      </c>
      <c r="G846" t="n">
        <v/>
      </c>
      <c r="H846" t="n">
        <v>161.4075</v>
      </c>
      <c r="I846" t="n">
        <v>138.3573</v>
      </c>
      <c r="J846" t="n">
        <v>161.0406</v>
      </c>
      <c r="K846" t="n">
        <v/>
      </c>
      <c r="L846" t="n">
        <v>139.9003</v>
      </c>
      <c r="M846" t="n">
        <v>140.7341</v>
      </c>
      <c r="N846" t="n">
        <v>183.1209</v>
      </c>
      <c r="O846" t="n">
        <v/>
      </c>
      <c r="P846" t="n">
        <v/>
      </c>
      <c r="Q846" t="n">
        <v>126.5753</v>
      </c>
      <c r="R846" t="n">
        <v>165.0661</v>
      </c>
      <c r="S846" t="n">
        <v>123.3456</v>
      </c>
      <c r="T846" t="n">
        <v>156.8938</v>
      </c>
      <c r="U846" t="n">
        <v/>
      </c>
      <c r="V846" t="n">
        <v>146.1419</v>
      </c>
      <c r="W846" t="n">
        <v/>
      </c>
      <c r="X846" t="n">
        <v>160.178</v>
      </c>
      <c r="Y846" t="n">
        <v/>
      </c>
      <c r="Z846" t="n">
        <v/>
      </c>
      <c r="AA846" t="n">
        <v>169.2965</v>
      </c>
      <c r="AB846" t="n">
        <v/>
      </c>
      <c r="AC846" t="n">
        <v/>
      </c>
      <c r="AD846" t="n">
        <v>169.4196</v>
      </c>
      <c r="AE846" t="n">
        <v>145.0479</v>
      </c>
    </row>
    <row r="847">
      <c r="A847" s="89" t="n">
        <v>44348</v>
      </c>
      <c r="B847" t="n">
        <v>139.4301</v>
      </c>
      <c r="C847" t="n">
        <v/>
      </c>
      <c r="D847" t="n">
        <v>155.2835</v>
      </c>
      <c r="E847" t="n">
        <v/>
      </c>
      <c r="F847" t="n">
        <v/>
      </c>
      <c r="G847" t="n">
        <v/>
      </c>
      <c r="H847" t="n">
        <v>162.8455</v>
      </c>
      <c r="I847" t="n">
        <v>138.9272</v>
      </c>
      <c r="J847" t="n">
        <v>161.9499</v>
      </c>
      <c r="K847" t="n">
        <v/>
      </c>
      <c r="L847" t="n">
        <v>140.7973</v>
      </c>
      <c r="M847" t="n">
        <v>141.6193</v>
      </c>
      <c r="N847" t="n">
        <v>184.5647</v>
      </c>
      <c r="O847" t="n">
        <v/>
      </c>
      <c r="P847" t="n">
        <v/>
      </c>
      <c r="Q847" t="n">
        <v>127.0802</v>
      </c>
      <c r="R847" t="n">
        <v>167.7625</v>
      </c>
      <c r="S847" t="n">
        <v>123.6355</v>
      </c>
      <c r="T847" t="n">
        <v>156.9727</v>
      </c>
      <c r="U847" t="n">
        <v/>
      </c>
      <c r="V847" t="n">
        <v>147.362</v>
      </c>
      <c r="W847" t="n">
        <v/>
      </c>
      <c r="X847" t="n">
        <v>160.6103</v>
      </c>
      <c r="Y847" t="n">
        <v/>
      </c>
      <c r="Z847" t="n">
        <v/>
      </c>
      <c r="AA847" t="n">
        <v>169.5237</v>
      </c>
      <c r="AB847" t="n">
        <v/>
      </c>
      <c r="AC847" t="n">
        <v/>
      </c>
      <c r="AD847" t="n">
        <v>169.6405</v>
      </c>
      <c r="AE847" t="n">
        <v>144.6976</v>
      </c>
    </row>
    <row r="848">
      <c r="A848" s="89" t="n">
        <v>44378</v>
      </c>
      <c r="B848" t="n">
        <v>141.4556</v>
      </c>
      <c r="C848" t="n">
        <v/>
      </c>
      <c r="D848" t="n">
        <v>158.9768</v>
      </c>
      <c r="E848" t="n">
        <v/>
      </c>
      <c r="F848" t="n">
        <v/>
      </c>
      <c r="G848" t="n">
        <v/>
      </c>
      <c r="H848" t="n">
        <v>164.3387</v>
      </c>
      <c r="I848" t="n">
        <v>139.4971</v>
      </c>
      <c r="J848" t="n">
        <v>162.7865</v>
      </c>
      <c r="K848" t="n">
        <v/>
      </c>
      <c r="L848" t="n">
        <v>141.8835</v>
      </c>
      <c r="M848" t="n">
        <v>142.3235</v>
      </c>
      <c r="N848" t="n">
        <v>187.584</v>
      </c>
      <c r="O848" t="n">
        <v/>
      </c>
      <c r="P848" t="n">
        <v/>
      </c>
      <c r="Q848" t="n">
        <v>127.5609</v>
      </c>
      <c r="R848" t="n">
        <v>171.2552</v>
      </c>
      <c r="S848" t="n">
        <v>123.9031</v>
      </c>
      <c r="T848" t="n">
        <v>158.2639</v>
      </c>
      <c r="U848" t="n">
        <v/>
      </c>
      <c r="V848" t="n">
        <v>148.5534</v>
      </c>
      <c r="W848" t="n">
        <v/>
      </c>
      <c r="X848" t="n">
        <v>161.8548</v>
      </c>
      <c r="Y848" t="n">
        <v/>
      </c>
      <c r="Z848" t="n">
        <v/>
      </c>
      <c r="AA848" t="n">
        <v>170.081</v>
      </c>
      <c r="AB848" t="n">
        <v/>
      </c>
      <c r="AC848" t="n">
        <v/>
      </c>
      <c r="AD848" t="n">
        <v>170.8803</v>
      </c>
      <c r="AE848" t="n">
        <v>145.4683</v>
      </c>
    </row>
    <row r="849">
      <c r="A849" s="89" t="n">
        <v>44409</v>
      </c>
      <c r="B849" t="n">
        <v>142.5427</v>
      </c>
      <c r="C849" t="n">
        <v/>
      </c>
      <c r="D849" t="n">
        <v>160.4703</v>
      </c>
      <c r="E849" t="n">
        <v/>
      </c>
      <c r="F849" t="n">
        <v/>
      </c>
      <c r="G849" t="n">
        <v/>
      </c>
      <c r="H849" t="n">
        <v>165.6465</v>
      </c>
      <c r="I849" t="n">
        <v>140.067</v>
      </c>
      <c r="J849" t="n">
        <v>163.5496</v>
      </c>
      <c r="K849" t="n">
        <v/>
      </c>
      <c r="L849" t="n">
        <v>142.7211</v>
      </c>
      <c r="M849" t="n">
        <v>142.844</v>
      </c>
      <c r="N849" t="n">
        <v>189.5838</v>
      </c>
      <c r="O849" t="n">
        <v/>
      </c>
      <c r="P849" t="n">
        <v/>
      </c>
      <c r="Q849" t="n">
        <v>128.2155</v>
      </c>
      <c r="R849" t="n">
        <v>172.9239</v>
      </c>
      <c r="S849" t="n">
        <v>124.1277</v>
      </c>
      <c r="T849" t="n">
        <v>159.6863</v>
      </c>
      <c r="U849" t="n">
        <v/>
      </c>
      <c r="V849" t="n">
        <v>149.5543</v>
      </c>
      <c r="W849" t="n">
        <v/>
      </c>
      <c r="X849" t="n">
        <v>163.3689</v>
      </c>
      <c r="Y849" t="n">
        <v/>
      </c>
      <c r="Z849" t="n">
        <v/>
      </c>
      <c r="AA849" t="n">
        <v>171.0129</v>
      </c>
      <c r="AB849" t="n">
        <v/>
      </c>
      <c r="AC849" t="n">
        <v/>
      </c>
      <c r="AD849" t="n">
        <v>172.9845</v>
      </c>
      <c r="AE849" t="n">
        <v>147.3987</v>
      </c>
    </row>
    <row r="850">
      <c r="A850" s="89" t="n">
        <v>44440</v>
      </c>
      <c r="B850" t="n">
        <v>143.6493</v>
      </c>
      <c r="C850" t="n">
        <v/>
      </c>
      <c r="D850" t="n">
        <v>161.2137</v>
      </c>
      <c r="E850" t="n">
        <v/>
      </c>
      <c r="F850" t="n">
        <v/>
      </c>
      <c r="G850" t="n">
        <v/>
      </c>
      <c r="H850" t="n">
        <v>166.2905</v>
      </c>
      <c r="I850" t="n">
        <v>140.637</v>
      </c>
      <c r="J850" t="n">
        <v>164.182</v>
      </c>
      <c r="K850" t="n">
        <v/>
      </c>
      <c r="L850" t="n">
        <v>143.0492</v>
      </c>
      <c r="M850" t="n">
        <v>144.5783</v>
      </c>
      <c r="N850" t="n">
        <v>191.5266</v>
      </c>
      <c r="O850" t="n">
        <v/>
      </c>
      <c r="P850" t="n">
        <v/>
      </c>
      <c r="Q850" t="n">
        <v>129.0395</v>
      </c>
      <c r="R850" t="n">
        <v>175.0918</v>
      </c>
      <c r="S850" t="n">
        <v>124.334</v>
      </c>
      <c r="T850" t="n">
        <v>160.5665</v>
      </c>
      <c r="U850" t="n">
        <v/>
      </c>
      <c r="V850" t="n">
        <v>150.3383</v>
      </c>
      <c r="W850" t="n">
        <v/>
      </c>
      <c r="X850" t="n">
        <v>164.4976</v>
      </c>
      <c r="Y850" t="n">
        <v/>
      </c>
      <c r="Z850" t="n">
        <v/>
      </c>
      <c r="AA850" t="n">
        <v>171.737</v>
      </c>
      <c r="AB850" t="n">
        <v/>
      </c>
      <c r="AC850" t="n">
        <v/>
      </c>
      <c r="AD850" t="n">
        <v>174.3356</v>
      </c>
      <c r="AE850" t="n">
        <v>148.7067</v>
      </c>
    </row>
    <row r="851">
      <c r="A851" s="89" t="n">
        <v>44470</v>
      </c>
      <c r="B851" t="n">
        <v>145.0866</v>
      </c>
      <c r="C851" t="n">
        <v/>
      </c>
      <c r="D851" t="n">
        <v>161.1796</v>
      </c>
      <c r="E851" t="n">
        <v/>
      </c>
      <c r="F851" t="n">
        <v/>
      </c>
      <c r="G851" t="n">
        <v/>
      </c>
      <c r="H851" t="n">
        <v>167.6509</v>
      </c>
      <c r="I851" t="n">
        <v>141.2069</v>
      </c>
      <c r="J851" t="n">
        <v>164.6464</v>
      </c>
      <c r="K851" t="n">
        <v/>
      </c>
      <c r="L851" t="n">
        <v>143.8847</v>
      </c>
      <c r="M851" t="n">
        <v>146.034</v>
      </c>
      <c r="N851" t="n">
        <v>194.6742</v>
      </c>
      <c r="O851" t="n">
        <v/>
      </c>
      <c r="P851" t="n">
        <v/>
      </c>
      <c r="Q851" t="n">
        <v>129.9258</v>
      </c>
      <c r="R851" t="n">
        <v>176.7673</v>
      </c>
      <c r="S851" t="n">
        <v>124.8011</v>
      </c>
      <c r="T851" t="n">
        <v>161.201</v>
      </c>
      <c r="U851" t="n">
        <v/>
      </c>
      <c r="V851" t="n">
        <v>150.6122</v>
      </c>
      <c r="W851" t="n">
        <v/>
      </c>
      <c r="X851" t="n">
        <v>165.8145</v>
      </c>
      <c r="Y851" t="n">
        <v/>
      </c>
      <c r="Z851" t="n">
        <v/>
      </c>
      <c r="AA851" t="n">
        <v>175.8427</v>
      </c>
      <c r="AB851" t="n">
        <v/>
      </c>
      <c r="AC851" t="n">
        <v/>
      </c>
      <c r="AD851" t="n">
        <v>175.9374</v>
      </c>
      <c r="AE851" t="n">
        <v>149.3335</v>
      </c>
    </row>
    <row r="852">
      <c r="A852" s="89" t="n">
        <v>44501</v>
      </c>
      <c r="B852" t="n">
        <v>146.1631</v>
      </c>
      <c r="C852" t="n">
        <v/>
      </c>
      <c r="D852" t="n">
        <v>163.1723</v>
      </c>
      <c r="E852" t="n">
        <v/>
      </c>
      <c r="F852" t="n">
        <v/>
      </c>
      <c r="G852" t="n">
        <v/>
      </c>
      <c r="H852" t="n">
        <v>169.7728</v>
      </c>
      <c r="I852" t="n">
        <v>141.7768</v>
      </c>
      <c r="J852" t="n">
        <v>165.2357</v>
      </c>
      <c r="K852" t="n">
        <v/>
      </c>
      <c r="L852" t="n">
        <v>144.9504</v>
      </c>
      <c r="M852" t="n">
        <v>146.8181</v>
      </c>
      <c r="N852" t="n">
        <v>199.0339</v>
      </c>
      <c r="O852" t="n">
        <v/>
      </c>
      <c r="P852" t="n">
        <v/>
      </c>
      <c r="Q852" t="n">
        <v>131.3167</v>
      </c>
      <c r="R852" t="n">
        <v>178.1669</v>
      </c>
      <c r="S852" t="n">
        <v>125.046</v>
      </c>
      <c r="T852" t="n">
        <v>162.6651</v>
      </c>
      <c r="U852" t="n">
        <v/>
      </c>
      <c r="V852" t="n">
        <v>151.6678</v>
      </c>
      <c r="W852" t="n">
        <v/>
      </c>
      <c r="X852" t="n">
        <v>167.3495</v>
      </c>
      <c r="Y852" t="n">
        <v/>
      </c>
      <c r="Z852" t="n">
        <v/>
      </c>
      <c r="AA852" t="n">
        <v>177.5027</v>
      </c>
      <c r="AB852" t="n">
        <v/>
      </c>
      <c r="AC852" t="n">
        <v/>
      </c>
      <c r="AD852" t="n">
        <v>178.0101</v>
      </c>
      <c r="AE852" t="n">
        <v>150.8427</v>
      </c>
    </row>
    <row r="853">
      <c r="A853" s="89" t="n">
        <v>44531</v>
      </c>
      <c r="B853" t="n">
        <v>147.9691</v>
      </c>
      <c r="C853" t="n">
        <v/>
      </c>
      <c r="D853" t="n">
        <v/>
      </c>
      <c r="E853" t="n">
        <v/>
      </c>
      <c r="F853" t="n">
        <v/>
      </c>
      <c r="G853" t="n">
        <v/>
      </c>
      <c r="H853" t="n">
        <v>173.5841</v>
      </c>
      <c r="I853" t="n">
        <v/>
      </c>
      <c r="J853" t="n">
        <v>164.1336</v>
      </c>
      <c r="K853" t="n">
        <v/>
      </c>
      <c r="L853" t="n">
        <v>145.8045</v>
      </c>
      <c r="M853" t="n">
        <v/>
      </c>
      <c r="N853" t="n">
        <v>203.0677</v>
      </c>
      <c r="O853" t="n">
        <v/>
      </c>
      <c r="P853" t="n">
        <v/>
      </c>
      <c r="Q853" t="n">
        <v>132.5015</v>
      </c>
      <c r="R853" t="n">
        <v/>
      </c>
      <c r="S853" t="n">
        <v>125.2681</v>
      </c>
      <c r="T853" t="n">
        <v/>
      </c>
      <c r="U853" t="n">
        <v/>
      </c>
      <c r="V853" t="n">
        <v>153.3172</v>
      </c>
      <c r="W853" t="n">
        <v/>
      </c>
      <c r="X853" t="n">
        <v/>
      </c>
      <c r="Y853" t="n">
        <v/>
      </c>
      <c r="Z853" t="n">
        <v/>
      </c>
      <c r="AA853" t="n">
        <v>180.2211</v>
      </c>
      <c r="AB853" t="n">
        <v/>
      </c>
      <c r="AC853" t="n">
        <v/>
      </c>
      <c r="AD853" t="n">
        <v>179.6825</v>
      </c>
      <c r="AE853" t="n">
        <v>152.4655</v>
      </c>
    </row>
    <row r="854">
      <c r="A854" s="89" t="n">
        <v>44562</v>
      </c>
      <c r="B854" t="n">
        <v/>
      </c>
      <c r="C854" t="n">
        <v/>
      </c>
      <c r="D854" t="n">
        <v/>
      </c>
      <c r="E854" t="n">
        <v/>
      </c>
      <c r="F854" t="n">
        <v/>
      </c>
      <c r="G854" t="n">
        <v/>
      </c>
      <c r="H854" t="n">
        <v/>
      </c>
      <c r="I854" t="n">
        <v/>
      </c>
      <c r="J854" t="n">
        <v/>
      </c>
      <c r="K854" t="n">
        <v/>
      </c>
      <c r="L854" t="n">
        <v/>
      </c>
      <c r="M854" t="n">
        <v/>
      </c>
      <c r="N854" t="n">
        <v/>
      </c>
      <c r="O854" t="n">
        <v/>
      </c>
      <c r="P854" t="n">
        <v/>
      </c>
      <c r="Q854" t="n">
        <v/>
      </c>
      <c r="R854" t="n">
        <v/>
      </c>
      <c r="S854" t="n">
        <v/>
      </c>
      <c r="T854" t="n">
        <v/>
      </c>
      <c r="U854" t="n">
        <v/>
      </c>
      <c r="V854" t="n">
        <v/>
      </c>
      <c r="W854" t="n">
        <v/>
      </c>
      <c r="X854" t="n">
        <v/>
      </c>
      <c r="Y854" t="n">
        <v/>
      </c>
      <c r="Z854" t="n">
        <v/>
      </c>
      <c r="AA854" t="n">
        <v>183.2603</v>
      </c>
      <c r="AB854" t="n">
        <v/>
      </c>
      <c r="AC854" t="n">
        <v/>
      </c>
      <c r="AD854" t="n">
        <v/>
      </c>
      <c r="AE854" t="n">
        <v/>
      </c>
    </row>
    <row r="855">
      <c r="A855" s="89" t="n">
        <v>44593</v>
      </c>
      <c r="B855" t="n">
        <v/>
      </c>
      <c r="C855" t="n">
        <v/>
      </c>
      <c r="D855" t="n">
        <v/>
      </c>
      <c r="E855" t="n">
        <v/>
      </c>
      <c r="F855" t="n">
        <v/>
      </c>
      <c r="G855" t="n">
        <v/>
      </c>
      <c r="H855" t="n">
        <v/>
      </c>
      <c r="I855" t="n">
        <v/>
      </c>
      <c r="J855" t="n">
        <v/>
      </c>
      <c r="K855" t="n">
        <v/>
      </c>
      <c r="L855" t="n">
        <v/>
      </c>
      <c r="M855" t="n">
        <v/>
      </c>
      <c r="N855" t="n">
        <v/>
      </c>
      <c r="O855" t="n">
        <v/>
      </c>
      <c r="P855" t="n">
        <v/>
      </c>
      <c r="Q855" t="n">
        <v/>
      </c>
      <c r="R855" t="n">
        <v/>
      </c>
      <c r="S855" t="n">
        <v/>
      </c>
      <c r="T855" t="n">
        <v/>
      </c>
      <c r="U855" t="n">
        <v/>
      </c>
      <c r="V855" t="n">
        <v/>
      </c>
      <c r="W855" t="n">
        <v/>
      </c>
      <c r="X855" t="n">
        <v/>
      </c>
      <c r="Y855" t="n">
        <v/>
      </c>
      <c r="Z855" t="n">
        <v/>
      </c>
      <c r="AA855" t="n">
        <v/>
      </c>
      <c r="AB855" t="n">
        <v/>
      </c>
      <c r="AC855" t="n">
        <v/>
      </c>
      <c r="AD855" t="n">
        <v/>
      </c>
      <c r="AE855" t="n">
        <v/>
      </c>
    </row>
    <row r="856">
      <c r="A856" s="89" t="n">
        <v>44621</v>
      </c>
      <c r="B856" t="n">
        <v/>
      </c>
      <c r="C856" t="n">
        <v/>
      </c>
      <c r="D856" t="n">
        <v/>
      </c>
      <c r="E856" t="n">
        <v/>
      </c>
      <c r="F856" t="n">
        <v/>
      </c>
      <c r="G856" t="n">
        <v/>
      </c>
      <c r="H856" t="n">
        <v/>
      </c>
      <c r="I856" t="n">
        <v/>
      </c>
      <c r="J856" t="n">
        <v/>
      </c>
      <c r="K856" t="n">
        <v/>
      </c>
      <c r="L856" t="n">
        <v/>
      </c>
      <c r="M856" t="n">
        <v/>
      </c>
      <c r="N856" t="n">
        <v/>
      </c>
      <c r="O856" t="n">
        <v/>
      </c>
      <c r="P856" t="n">
        <v/>
      </c>
      <c r="Q856" t="n">
        <v/>
      </c>
      <c r="R856" t="n">
        <v/>
      </c>
      <c r="S856" t="n">
        <v/>
      </c>
      <c r="T856" t="n">
        <v/>
      </c>
      <c r="U856" t="n">
        <v/>
      </c>
      <c r="V856" t="n">
        <v/>
      </c>
      <c r="W856" t="n">
        <v/>
      </c>
      <c r="X856" t="n">
        <v/>
      </c>
      <c r="Y856" t="n">
        <v/>
      </c>
      <c r="Z856" t="n">
        <v/>
      </c>
      <c r="AA856" t="n">
        <v/>
      </c>
      <c r="AB856" t="n">
        <v/>
      </c>
      <c r="AC856" t="n">
        <v/>
      </c>
      <c r="AD856" t="n">
        <v/>
      </c>
      <c r="AE856" t="n">
        <v/>
      </c>
    </row>
    <row r="857">
      <c r="A857" s="89" t="n">
        <v>44652</v>
      </c>
      <c r="B857" t="n">
        <v/>
      </c>
      <c r="C857" t="n">
        <v/>
      </c>
      <c r="D857" t="n">
        <v/>
      </c>
      <c r="E857" t="n">
        <v/>
      </c>
      <c r="F857" t="n">
        <v/>
      </c>
      <c r="G857" t="n">
        <v/>
      </c>
      <c r="H857" t="n">
        <v/>
      </c>
      <c r="I857" t="n">
        <v/>
      </c>
      <c r="J857" t="n">
        <v/>
      </c>
      <c r="K857" t="n">
        <v/>
      </c>
      <c r="L857" t="n">
        <v/>
      </c>
      <c r="M857" t="n">
        <v/>
      </c>
      <c r="N857" t="n">
        <v/>
      </c>
      <c r="O857" t="n">
        <v/>
      </c>
      <c r="P857" t="n">
        <v/>
      </c>
      <c r="Q857" t="n">
        <v/>
      </c>
      <c r="R857" t="n">
        <v/>
      </c>
      <c r="S857" t="n">
        <v/>
      </c>
      <c r="T857" t="n">
        <v/>
      </c>
      <c r="U857" t="n">
        <v/>
      </c>
      <c r="V857" t="n">
        <v/>
      </c>
      <c r="W857" t="n">
        <v/>
      </c>
      <c r="X857" t="n">
        <v/>
      </c>
      <c r="Y857" t="n">
        <v/>
      </c>
      <c r="Z857" t="n">
        <v/>
      </c>
      <c r="AA857" t="n">
        <v/>
      </c>
      <c r="AB857" t="n">
        <v/>
      </c>
      <c r="AC857" t="n">
        <v/>
      </c>
      <c r="AD857" t="n">
        <v/>
      </c>
      <c r="AE857" t="n">
        <v/>
      </c>
    </row>
    <row r="858">
      <c r="A858" s="89" t="n">
        <v>44682</v>
      </c>
      <c r="B858" t="n">
        <v/>
      </c>
      <c r="C858" t="n">
        <v/>
      </c>
      <c r="D858" t="n">
        <v/>
      </c>
      <c r="E858" t="n">
        <v/>
      </c>
      <c r="F858" t="n">
        <v/>
      </c>
      <c r="G858" t="n">
        <v/>
      </c>
      <c r="H858" t="n">
        <v/>
      </c>
      <c r="I858" t="n">
        <v/>
      </c>
      <c r="J858" t="n">
        <v/>
      </c>
      <c r="K858" t="n">
        <v/>
      </c>
      <c r="L858" t="n">
        <v/>
      </c>
      <c r="M858" t="n">
        <v/>
      </c>
      <c r="N858" t="n">
        <v/>
      </c>
      <c r="O858" t="n">
        <v/>
      </c>
      <c r="P858" t="n">
        <v/>
      </c>
      <c r="Q858" t="n">
        <v/>
      </c>
      <c r="R858" t="n">
        <v/>
      </c>
      <c r="S858" t="n">
        <v/>
      </c>
      <c r="T858" t="n">
        <v/>
      </c>
      <c r="U858" t="n">
        <v/>
      </c>
      <c r="V858" t="n">
        <v/>
      </c>
      <c r="W858" t="n">
        <v/>
      </c>
      <c r="X858" t="n">
        <v/>
      </c>
      <c r="Y858" t="n">
        <v/>
      </c>
      <c r="Z858" t="n">
        <v/>
      </c>
      <c r="AA858" t="n">
        <v/>
      </c>
      <c r="AB858" t="n">
        <v/>
      </c>
      <c r="AC858" t="n">
        <v/>
      </c>
      <c r="AD858" t="n">
        <v/>
      </c>
      <c r="AE858" t="n">
        <v/>
      </c>
    </row>
    <row r="859">
      <c r="A859" s="89" t="n">
        <v>44713</v>
      </c>
      <c r="B859" t="n">
        <v/>
      </c>
      <c r="C859" t="n">
        <v/>
      </c>
      <c r="D859" t="n">
        <v/>
      </c>
      <c r="E859" t="n">
        <v/>
      </c>
      <c r="F859" t="n">
        <v/>
      </c>
      <c r="G859" t="n">
        <v/>
      </c>
      <c r="H859" t="n">
        <v/>
      </c>
      <c r="I859" t="n">
        <v/>
      </c>
      <c r="J859" t="n">
        <v/>
      </c>
      <c r="K859" t="n">
        <v/>
      </c>
      <c r="L859" t="n">
        <v/>
      </c>
      <c r="M859" t="n">
        <v/>
      </c>
      <c r="N859" t="n">
        <v/>
      </c>
      <c r="O859" t="n">
        <v/>
      </c>
      <c r="P859" t="n">
        <v/>
      </c>
      <c r="Q859" t="n">
        <v/>
      </c>
      <c r="R859" t="n">
        <v/>
      </c>
      <c r="S859" t="n">
        <v/>
      </c>
      <c r="T859" t="n">
        <v/>
      </c>
      <c r="U859" t="n">
        <v/>
      </c>
      <c r="V859" t="n">
        <v/>
      </c>
      <c r="W859" t="n">
        <v/>
      </c>
      <c r="X859" t="n">
        <v/>
      </c>
      <c r="Y859" t="n">
        <v/>
      </c>
      <c r="Z859" t="n">
        <v/>
      </c>
      <c r="AA859" t="n">
        <v/>
      </c>
      <c r="AB859" t="n">
        <v/>
      </c>
      <c r="AC859" t="n">
        <v/>
      </c>
      <c r="AD859" t="n">
        <v/>
      </c>
      <c r="AE859" t="n">
        <v/>
      </c>
    </row>
    <row r="860">
      <c r="A860" s="89" t="n">
        <v>44743</v>
      </c>
      <c r="B860" t="n">
        <v/>
      </c>
      <c r="C860" t="n">
        <v/>
      </c>
      <c r="D860" t="n">
        <v/>
      </c>
      <c r="E860" t="n">
        <v/>
      </c>
      <c r="F860" t="n">
        <v/>
      </c>
      <c r="G860" t="n">
        <v/>
      </c>
      <c r="H860" t="n">
        <v/>
      </c>
      <c r="I860" t="n">
        <v/>
      </c>
      <c r="J860" t="n">
        <v/>
      </c>
      <c r="K860" t="n">
        <v/>
      </c>
      <c r="L860" t="n">
        <v/>
      </c>
      <c r="M860" t="n">
        <v/>
      </c>
      <c r="N860" t="n">
        <v/>
      </c>
      <c r="O860" t="n">
        <v/>
      </c>
      <c r="P860" t="n">
        <v/>
      </c>
      <c r="Q860" t="n">
        <v/>
      </c>
      <c r="R860" t="n">
        <v/>
      </c>
      <c r="S860" t="n">
        <v/>
      </c>
      <c r="T860" t="n">
        <v/>
      </c>
      <c r="U860" t="n">
        <v/>
      </c>
      <c r="V860" t="n">
        <v/>
      </c>
      <c r="W860" t="n">
        <v/>
      </c>
      <c r="X860" t="n">
        <v/>
      </c>
      <c r="Y860" t="n">
        <v/>
      </c>
      <c r="Z860" t="n">
        <v/>
      </c>
      <c r="AA860" t="n">
        <v/>
      </c>
      <c r="AB860" t="n">
        <v/>
      </c>
      <c r="AC860" t="n">
        <v/>
      </c>
      <c r="AD860" t="n">
        <v/>
      </c>
      <c r="AE860" t="n">
        <v/>
      </c>
    </row>
    <row r="861">
      <c r="A861" s="89" t="n">
        <v>44774</v>
      </c>
      <c r="B861" t="n">
        <v/>
      </c>
      <c r="C861" t="n">
        <v/>
      </c>
      <c r="D861" t="n">
        <v/>
      </c>
      <c r="E861" t="n">
        <v/>
      </c>
      <c r="F861" t="n">
        <v/>
      </c>
      <c r="G861" t="n">
        <v/>
      </c>
      <c r="H861" t="n">
        <v/>
      </c>
      <c r="I861" t="n">
        <v/>
      </c>
      <c r="J861" t="n">
        <v/>
      </c>
      <c r="K861" t="n">
        <v/>
      </c>
      <c r="L861" t="n">
        <v/>
      </c>
      <c r="M861" t="n">
        <v/>
      </c>
      <c r="N861" t="n">
        <v/>
      </c>
      <c r="O861" t="n">
        <v/>
      </c>
      <c r="P861" t="n">
        <v/>
      </c>
      <c r="Q861" t="n">
        <v/>
      </c>
      <c r="R861" t="n">
        <v/>
      </c>
      <c r="S861" t="n">
        <v/>
      </c>
      <c r="T861" t="n">
        <v/>
      </c>
      <c r="U861" t="n">
        <v/>
      </c>
      <c r="V861" t="n">
        <v/>
      </c>
      <c r="W861" t="n">
        <v/>
      </c>
      <c r="X861" t="n">
        <v/>
      </c>
      <c r="Y861" t="n">
        <v/>
      </c>
      <c r="Z861" t="n">
        <v/>
      </c>
      <c r="AA861" t="n">
        <v/>
      </c>
      <c r="AB861" t="n">
        <v/>
      </c>
      <c r="AC861" t="n">
        <v/>
      </c>
      <c r="AD861" t="n">
        <v/>
      </c>
      <c r="AE861" t="n">
        <v/>
      </c>
    </row>
    <row r="862">
      <c r="A862" s="89" t="n">
        <v>44805</v>
      </c>
      <c r="B862" t="n">
        <v/>
      </c>
      <c r="C862" t="n">
        <v/>
      </c>
      <c r="D862" t="n">
        <v/>
      </c>
      <c r="E862" t="n">
        <v/>
      </c>
      <c r="F862" t="n">
        <v/>
      </c>
      <c r="G862" t="n">
        <v/>
      </c>
      <c r="H862" t="n">
        <v/>
      </c>
      <c r="I862" t="n">
        <v/>
      </c>
      <c r="J862" t="n">
        <v/>
      </c>
      <c r="K862" t="n">
        <v/>
      </c>
      <c r="L862" t="n">
        <v/>
      </c>
      <c r="M862" t="n">
        <v/>
      </c>
      <c r="N862" t="n">
        <v/>
      </c>
      <c r="O862" t="n">
        <v/>
      </c>
      <c r="P862" t="n">
        <v/>
      </c>
      <c r="Q862" t="n">
        <v/>
      </c>
      <c r="R862" t="n">
        <v/>
      </c>
      <c r="S862" t="n">
        <v/>
      </c>
      <c r="T862" t="n">
        <v/>
      </c>
      <c r="U862" t="n">
        <v/>
      </c>
      <c r="V862" t="n">
        <v/>
      </c>
      <c r="W862" t="n">
        <v/>
      </c>
      <c r="X862" t="n">
        <v/>
      </c>
      <c r="Y862" t="n">
        <v/>
      </c>
      <c r="Z862" t="n">
        <v/>
      </c>
      <c r="AA862" t="n">
        <v/>
      </c>
      <c r="AB862" t="n">
        <v/>
      </c>
      <c r="AC862" t="n">
        <v/>
      </c>
      <c r="AD862" t="n">
        <v/>
      </c>
      <c r="AE862" t="n">
        <v/>
      </c>
    </row>
    <row r="863">
      <c r="A863" s="89" t="n">
        <v>44835</v>
      </c>
      <c r="B863" t="n">
        <v/>
      </c>
      <c r="C863" t="n">
        <v/>
      </c>
      <c r="D863" t="n">
        <v/>
      </c>
      <c r="E863" t="n">
        <v/>
      </c>
      <c r="F863" t="n">
        <v/>
      </c>
      <c r="G863" t="n">
        <v/>
      </c>
      <c r="H863" t="n">
        <v/>
      </c>
      <c r="I863" t="n">
        <v/>
      </c>
      <c r="J863" t="n">
        <v/>
      </c>
      <c r="K863" t="n">
        <v/>
      </c>
      <c r="L863" t="n">
        <v/>
      </c>
      <c r="M863" t="n">
        <v/>
      </c>
      <c r="N863" t="n">
        <v/>
      </c>
      <c r="O863" t="n">
        <v/>
      </c>
      <c r="P863" t="n">
        <v/>
      </c>
      <c r="Q863" t="n">
        <v/>
      </c>
      <c r="R863" t="n">
        <v/>
      </c>
      <c r="S863" t="n">
        <v/>
      </c>
      <c r="T863" t="n">
        <v/>
      </c>
      <c r="U863" t="n">
        <v/>
      </c>
      <c r="V863" t="n">
        <v/>
      </c>
      <c r="W863" t="n">
        <v/>
      </c>
      <c r="X863" t="n">
        <v/>
      </c>
      <c r="Y863" t="n">
        <v/>
      </c>
      <c r="Z863" t="n">
        <v/>
      </c>
      <c r="AA863" t="n">
        <v/>
      </c>
      <c r="AB863" t="n">
        <v/>
      </c>
      <c r="AC863" t="n">
        <v/>
      </c>
      <c r="AD863" t="n">
        <v/>
      </c>
      <c r="AE863" t="n">
        <v/>
      </c>
    </row>
    <row r="864">
      <c r="A864" s="89" t="n">
        <v>44866</v>
      </c>
      <c r="B864" t="n">
        <v/>
      </c>
      <c r="C864" t="n">
        <v/>
      </c>
      <c r="D864" t="n">
        <v/>
      </c>
      <c r="E864" t="n">
        <v/>
      </c>
      <c r="F864" t="n">
        <v/>
      </c>
      <c r="G864" t="n">
        <v/>
      </c>
      <c r="H864" t="n">
        <v/>
      </c>
      <c r="I864" t="n">
        <v/>
      </c>
      <c r="J864" t="n">
        <v/>
      </c>
      <c r="K864" t="n">
        <v/>
      </c>
      <c r="L864" t="n">
        <v/>
      </c>
      <c r="M864" t="n">
        <v/>
      </c>
      <c r="N864" t="n">
        <v/>
      </c>
      <c r="O864" t="n">
        <v/>
      </c>
      <c r="P864" t="n">
        <v/>
      </c>
      <c r="Q864" t="n">
        <v/>
      </c>
      <c r="R864" t="n">
        <v/>
      </c>
      <c r="S864" t="n">
        <v/>
      </c>
      <c r="T864" t="n">
        <v/>
      </c>
      <c r="U864" t="n">
        <v/>
      </c>
      <c r="V864" t="n">
        <v/>
      </c>
      <c r="W864" t="n">
        <v/>
      </c>
      <c r="X864" t="n">
        <v/>
      </c>
      <c r="Y864" t="n">
        <v/>
      </c>
      <c r="Z864" t="n">
        <v/>
      </c>
      <c r="AA864" t="n">
        <v/>
      </c>
      <c r="AB864" t="n">
        <v/>
      </c>
      <c r="AC864" t="n">
        <v/>
      </c>
      <c r="AD864" t="n">
        <v/>
      </c>
      <c r="AE864" t="n">
        <v/>
      </c>
    </row>
    <row r="865">
      <c r="A865" s="89" t="n">
        <v>44896</v>
      </c>
      <c r="B865" t="n">
        <v/>
      </c>
      <c r="C865" t="n">
        <v/>
      </c>
      <c r="D865" t="n">
        <v/>
      </c>
      <c r="E865" t="n">
        <v/>
      </c>
      <c r="F865" t="n">
        <v/>
      </c>
      <c r="G865" t="n">
        <v/>
      </c>
      <c r="H865" t="n">
        <v/>
      </c>
      <c r="I865" t="n">
        <v/>
      </c>
      <c r="J865" t="n">
        <v/>
      </c>
      <c r="K865" t="n">
        <v/>
      </c>
      <c r="L865" t="n">
        <v/>
      </c>
      <c r="M865" t="n">
        <v/>
      </c>
      <c r="N865" t="n">
        <v/>
      </c>
      <c r="O865" t="n">
        <v/>
      </c>
      <c r="P865" t="n">
        <v/>
      </c>
      <c r="Q865" t="n">
        <v/>
      </c>
      <c r="R865" t="n">
        <v/>
      </c>
      <c r="S865" t="n">
        <v/>
      </c>
      <c r="T865" t="n">
        <v/>
      </c>
      <c r="U865" t="n">
        <v/>
      </c>
      <c r="V865" t="n">
        <v/>
      </c>
      <c r="W865" t="n">
        <v/>
      </c>
      <c r="X865" t="n">
        <v/>
      </c>
      <c r="Y865" t="n">
        <v/>
      </c>
      <c r="Z865" t="n">
        <v/>
      </c>
      <c r="AA865" t="n">
        <v/>
      </c>
      <c r="AB865" t="n">
        <v/>
      </c>
      <c r="AC865" t="n">
        <v/>
      </c>
      <c r="AD865" t="n">
        <v/>
      </c>
      <c r="AE865" t="n">
        <v/>
      </c>
    </row>
    <row r="866">
      <c r="A866" s="89" t="n">
        <v>44927</v>
      </c>
      <c r="B866" t="n">
        <v/>
      </c>
      <c r="C866" t="n">
        <v/>
      </c>
      <c r="D866" t="n">
        <v/>
      </c>
      <c r="E866" t="n">
        <v/>
      </c>
      <c r="F866" t="n">
        <v/>
      </c>
      <c r="G866" t="n">
        <v/>
      </c>
      <c r="H866" t="n">
        <v/>
      </c>
      <c r="I866" t="n">
        <v/>
      </c>
      <c r="J866" t="n">
        <v/>
      </c>
      <c r="K866" t="n">
        <v/>
      </c>
      <c r="L866" t="n">
        <v/>
      </c>
      <c r="M866" t="n">
        <v/>
      </c>
      <c r="N866" t="n">
        <v/>
      </c>
      <c r="O866" t="n">
        <v/>
      </c>
      <c r="P866" t="n">
        <v/>
      </c>
      <c r="Q866" t="n">
        <v/>
      </c>
      <c r="R866" t="n">
        <v/>
      </c>
      <c r="S866" t="n">
        <v/>
      </c>
      <c r="T866" t="n">
        <v/>
      </c>
      <c r="U866" t="n">
        <v/>
      </c>
      <c r="V866" t="n">
        <v/>
      </c>
      <c r="W866" t="n">
        <v/>
      </c>
      <c r="X866" t="n">
        <v/>
      </c>
      <c r="Y866" t="n">
        <v/>
      </c>
      <c r="Z866" t="n">
        <v/>
      </c>
      <c r="AA866" t="n">
        <v/>
      </c>
      <c r="AB866" t="n">
        <v/>
      </c>
      <c r="AC866" t="n">
        <v/>
      </c>
      <c r="AD866" t="n">
        <v/>
      </c>
      <c r="AE866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/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6416368</v>
      </c>
      <c r="C2" t="inlineStr">
        <is>
          <t>1/10/2021</t>
        </is>
      </c>
      <c r="D2" t="n">
        <v>6057065</v>
      </c>
      <c r="E2" t="inlineStr">
        <is>
          <t>ARS Million</t>
        </is>
      </c>
    </row>
    <row r="3">
      <c r="A3" t="inlineStr">
        <is>
          <t>Brazil</t>
        </is>
      </c>
      <c r="B3" t="n">
        <v>4153807</v>
      </c>
      <c r="C3" t="inlineStr">
        <is>
          <t>1/11/2021</t>
        </is>
      </c>
      <c r="D3" t="n">
        <v>4162579</v>
      </c>
      <c r="E3" t="inlineStr">
        <is>
          <t>BRL Million</t>
        </is>
      </c>
    </row>
    <row r="4">
      <c r="A4" t="inlineStr">
        <is>
          <t>Canada</t>
        </is>
      </c>
      <c r="B4" t="n">
        <v>2289771</v>
      </c>
      <c r="C4" t="inlineStr">
        <is>
          <t>1/10/2021</t>
        </is>
      </c>
      <c r="D4" t="n">
        <v>2286467</v>
      </c>
      <c r="E4" t="inlineStr">
        <is>
          <t>CAD Million</t>
        </is>
      </c>
    </row>
    <row r="5">
      <c r="A5" t="inlineStr">
        <is>
          <t>China</t>
        </is>
      </c>
      <c r="B5" t="n">
        <v>235600</v>
      </c>
      <c r="C5" t="inlineStr">
        <is>
          <t>1/11/2021</t>
        </is>
      </c>
      <c r="D5" t="n">
        <v>233620</v>
      </c>
      <c r="E5" t="inlineStr">
        <is>
          <t>CNY Billion</t>
        </is>
      </c>
    </row>
    <row r="6">
      <c r="A6" t="inlineStr">
        <is>
          <t>Euro Area</t>
        </is>
      </c>
      <c r="B6" t="n">
        <v>14584944</v>
      </c>
      <c r="C6" t="inlineStr">
        <is>
          <t>1/11/2021</t>
        </is>
      </c>
      <c r="D6" t="n">
        <v>14538467</v>
      </c>
      <c r="E6" t="inlineStr">
        <is>
          <t>EUR Million</t>
        </is>
      </c>
    </row>
    <row r="7">
      <c r="A7" t="inlineStr">
        <is>
          <t>France</t>
        </is>
      </c>
      <c r="B7" t="n">
        <v>2865044</v>
      </c>
      <c r="C7" t="inlineStr">
        <is>
          <t>1/11/2021</t>
        </is>
      </c>
      <c r="D7" t="n">
        <v>2864134</v>
      </c>
      <c r="E7" t="inlineStr">
        <is>
          <t>EUR Million</t>
        </is>
      </c>
    </row>
    <row r="8">
      <c r="A8" t="inlineStr">
        <is>
          <t>Germany</t>
        </is>
      </c>
      <c r="B8" t="n">
        <v>3595</v>
      </c>
      <c r="C8" t="inlineStr">
        <is>
          <t>1/11/2021</t>
        </is>
      </c>
      <c r="D8" t="n">
        <v>3590</v>
      </c>
      <c r="E8" t="inlineStr">
        <is>
          <t>EUR Billion</t>
        </is>
      </c>
    </row>
    <row r="9">
      <c r="A9" t="inlineStr">
        <is>
          <t>India</t>
        </is>
      </c>
      <c r="B9" t="n">
        <v>51012</v>
      </c>
      <c r="C9" t="inlineStr">
        <is>
          <t>1/12/2021</t>
        </is>
      </c>
      <c r="D9" t="n">
        <v>52067</v>
      </c>
      <c r="E9" t="inlineStr">
        <is>
          <t>INR Billion</t>
        </is>
      </c>
    </row>
    <row r="10">
      <c r="A10" t="inlineStr">
        <is>
          <t>Indonesia</t>
        </is>
      </c>
      <c r="B10" t="n">
        <v>7572200</v>
      </c>
      <c r="C10" t="inlineStr">
        <is>
          <t>1/11/2021</t>
        </is>
      </c>
      <c r="D10" t="n">
        <v>7491700</v>
      </c>
      <c r="E10" t="inlineStr">
        <is>
          <t>IDR Billion</t>
        </is>
      </c>
    </row>
    <row r="11">
      <c r="A11" t="inlineStr">
        <is>
          <t>Italy</t>
        </is>
      </c>
      <c r="B11" t="n">
        <v>1905765</v>
      </c>
      <c r="C11" t="inlineStr">
        <is>
          <t>1/10/2021</t>
        </is>
      </c>
      <c r="D11" t="n">
        <v>1873253</v>
      </c>
      <c r="E11" t="inlineStr">
        <is>
          <t>EUR Million</t>
        </is>
      </c>
    </row>
    <row r="12">
      <c r="A12" t="inlineStr">
        <is>
          <t>Japan</t>
        </is>
      </c>
      <c r="B12" t="n">
        <v>1175802</v>
      </c>
      <c r="C12" t="inlineStr">
        <is>
          <t>1/11/2021</t>
        </is>
      </c>
      <c r="D12" t="n">
        <v>1170724</v>
      </c>
      <c r="E12" t="inlineStr">
        <is>
          <t>JPY Billion</t>
        </is>
      </c>
    </row>
    <row r="13">
      <c r="A13" t="inlineStr">
        <is>
          <t>Mexico</t>
        </is>
      </c>
      <c r="B13" t="n">
        <v>11150071721</v>
      </c>
      <c r="C13" t="inlineStr">
        <is>
          <t>1/11/2021</t>
        </is>
      </c>
      <c r="D13" t="n">
        <v>10901751745</v>
      </c>
      <c r="E13" t="inlineStr">
        <is>
          <t>MXN Thousand</t>
        </is>
      </c>
    </row>
    <row r="14">
      <c r="A14" t="inlineStr">
        <is>
          <t>Netherlands</t>
        </is>
      </c>
      <c r="B14" t="n">
        <v>1065313</v>
      </c>
      <c r="C14" t="inlineStr">
        <is>
          <t>1/11/2021</t>
        </is>
      </c>
      <c r="D14" t="n">
        <v>1038481</v>
      </c>
      <c r="E14" t="inlineStr">
        <is>
          <t>EUR Million</t>
        </is>
      </c>
    </row>
    <row r="15">
      <c r="A15" t="inlineStr">
        <is>
          <t>Russia</t>
        </is>
      </c>
      <c r="B15" t="n">
        <v>62312</v>
      </c>
      <c r="C15" t="inlineStr">
        <is>
          <t>1/11/2021</t>
        </is>
      </c>
      <c r="D15" t="n">
        <v>60814</v>
      </c>
      <c r="E15" t="inlineStr">
        <is>
          <t>RUB Billion</t>
        </is>
      </c>
    </row>
    <row r="16">
      <c r="A16" t="inlineStr">
        <is>
          <t>Saudi Arabia</t>
        </is>
      </c>
      <c r="B16" t="n">
        <v>2016835</v>
      </c>
      <c r="C16" t="inlineStr">
        <is>
          <t>1/11/2021</t>
        </is>
      </c>
      <c r="D16" t="n">
        <v>2002186</v>
      </c>
      <c r="E16" t="inlineStr">
        <is>
          <t>SAR Million</t>
        </is>
      </c>
    </row>
    <row r="17">
      <c r="A17" t="inlineStr">
        <is>
          <t>Singapore</t>
        </is>
      </c>
      <c r="B17" t="n">
        <v>729385</v>
      </c>
      <c r="C17" t="inlineStr">
        <is>
          <t>1/11/2021</t>
        </is>
      </c>
      <c r="D17" t="n">
        <v>722271</v>
      </c>
      <c r="E17" t="inlineStr">
        <is>
          <t>SGD Million</t>
        </is>
      </c>
    </row>
    <row r="18">
      <c r="A18" t="inlineStr">
        <is>
          <t>South Africa</t>
        </is>
      </c>
      <c r="B18" t="n">
        <v>3659236</v>
      </c>
      <c r="C18" t="inlineStr">
        <is>
          <t>1/11/2021</t>
        </is>
      </c>
      <c r="D18" t="n">
        <v>3550623</v>
      </c>
      <c r="E18" t="inlineStr">
        <is>
          <t>ZAR Million</t>
        </is>
      </c>
    </row>
    <row r="19">
      <c r="A19" t="inlineStr">
        <is>
          <t>South Korea</t>
        </is>
      </c>
      <c r="B19" t="n">
        <v>3554393</v>
      </c>
      <c r="C19" t="inlineStr">
        <is>
          <t>1/10/2021</t>
        </is>
      </c>
      <c r="D19" t="n">
        <v>3518041</v>
      </c>
      <c r="E19" t="inlineStr">
        <is>
          <t>KRW Billion</t>
        </is>
      </c>
    </row>
    <row r="20">
      <c r="A20" t="inlineStr">
        <is>
          <t>Spain</t>
        </is>
      </c>
      <c r="B20" t="n">
        <v>1452155</v>
      </c>
      <c r="C20" t="inlineStr">
        <is>
          <t>1/11/2021</t>
        </is>
      </c>
      <c r="D20" t="n">
        <v>1423908</v>
      </c>
      <c r="E20" t="inlineStr">
        <is>
          <t>EUR Million</t>
        </is>
      </c>
    </row>
    <row r="21">
      <c r="A21" t="inlineStr">
        <is>
          <t>Switzerland</t>
        </is>
      </c>
      <c r="B21" t="n">
        <v>1095369</v>
      </c>
      <c r="C21" t="inlineStr">
        <is>
          <t>1/11/2021</t>
        </is>
      </c>
      <c r="D21" t="n">
        <v>1094990</v>
      </c>
      <c r="E21" t="inlineStr">
        <is>
          <t>CHF Million</t>
        </is>
      </c>
    </row>
    <row r="22">
      <c r="A22" t="inlineStr">
        <is>
          <t>Turkey</t>
        </is>
      </c>
      <c r="B22" t="n">
        <v>4694211915</v>
      </c>
      <c r="C22" t="inlineStr">
        <is>
          <t>1/12/2021</t>
        </is>
      </c>
      <c r="D22" t="n">
        <v>4531394150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2978842</v>
      </c>
      <c r="C23" t="inlineStr">
        <is>
          <t>1/11/2021</t>
        </is>
      </c>
      <c r="D23" t="n">
        <v>2961077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21437</v>
      </c>
      <c r="C24" t="inlineStr">
        <is>
          <t>1/11/2021</t>
        </is>
      </c>
      <c r="D24" t="n">
        <v>21187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63"/>
  <sheetViews>
    <sheetView zoomScale="180" zoomScaleNormal="180" workbookViewId="0">
      <pane ySplit="11" topLeftCell="A246" activePane="bottomLeft" state="frozen"/>
      <selection pane="bottomLeft" activeCell="A256" sqref="A256:B263"/>
    </sheetView>
  </sheetViews>
  <sheetFormatPr baseColWidth="10" defaultColWidth="8.83203125" defaultRowHeight="15"/>
  <cols>
    <col width="26.33203125" customWidth="1" style="67" min="1" max="1"/>
    <col width="22" customWidth="1" style="67" min="2" max="2"/>
  </cols>
  <sheetData>
    <row r="1">
      <c r="A1" s="64" t="inlineStr">
        <is>
          <t>FRED Graph Observations</t>
        </is>
      </c>
      <c r="B1" s="64" t="n"/>
    </row>
    <row r="2">
      <c r="A2" s="64" t="inlineStr">
        <is>
          <t>Federal Reserve Economic Data</t>
        </is>
      </c>
      <c r="B2" s="64" t="n"/>
    </row>
    <row r="3">
      <c r="A3" s="64" t="inlineStr">
        <is>
          <t>Link: https://fred.stlouisfed.org</t>
        </is>
      </c>
      <c r="B3" s="64" t="n"/>
    </row>
    <row r="4">
      <c r="A4" s="64" t="inlineStr">
        <is>
          <t>Help: https://fred.stlouisfed.org/help-faq</t>
        </is>
      </c>
      <c r="B4" s="64" t="n"/>
    </row>
    <row r="5">
      <c r="A5" s="64" t="inlineStr">
        <is>
          <t>Economic Research Division</t>
        </is>
      </c>
      <c r="B5" s="64" t="n"/>
    </row>
    <row r="6">
      <c r="A6" s="64" t="inlineStr">
        <is>
          <t>Federal Reserve Bank of St. Louis</t>
        </is>
      </c>
      <c r="B6" s="64" t="n"/>
    </row>
    <row r="8">
      <c r="A8" s="66" t="inlineStr">
        <is>
          <t>M2V</t>
        </is>
      </c>
      <c r="B8" s="64" t="inlineStr">
        <is>
          <t>Velocity of M2 Money Stock, Ratio, Quarterly, Seasonally Adjusted</t>
        </is>
      </c>
    </row>
    <row r="10">
      <c r="A10" s="64" t="inlineStr">
        <is>
          <t>Frequency: Quarterly</t>
        </is>
      </c>
      <c r="B10" s="64" t="n"/>
    </row>
    <row r="11" ht="43" customHeight="1" s="67">
      <c r="A11" s="64" t="inlineStr">
        <is>
          <t>Date</t>
        </is>
      </c>
      <c r="B11" s="70" t="inlineStr">
        <is>
          <t>Velocity of M2 Money Stock, Ratio, Quarterly, Seasonally Adjusted</t>
        </is>
      </c>
    </row>
    <row r="12">
      <c r="A12" s="68" t="n">
        <v>21551</v>
      </c>
      <c r="B12" s="65">
        <f>VLOOKUP(Table1[[#This Row],[Date]],'DB Money Supply'!$A:$F,6)</f>
        <v/>
      </c>
    </row>
    <row r="13">
      <c r="A13" s="68" t="n">
        <v>21641</v>
      </c>
      <c r="B13" s="65">
        <f>VLOOKUP(Table1[[#This Row],[Date]],'DB Money Supply'!$A:$F,6)</f>
        <v/>
      </c>
    </row>
    <row r="14">
      <c r="A14" s="68" t="n">
        <v>21732</v>
      </c>
      <c r="B14" s="65">
        <f>VLOOKUP(Table1[[#This Row],[Date]],'DB Money Supply'!$A:$F,6)</f>
        <v/>
      </c>
    </row>
    <row r="15">
      <c r="A15" s="68" t="n">
        <v>21824</v>
      </c>
      <c r="B15" s="65">
        <f>VLOOKUP(Table1[[#This Row],[Date]],'DB Money Supply'!$A:$F,6)</f>
        <v/>
      </c>
    </row>
    <row r="16">
      <c r="A16" s="68" t="n">
        <v>21916</v>
      </c>
      <c r="B16" s="65">
        <f>VLOOKUP(Table1[[#This Row],[Date]],'DB Money Supply'!$A:$F,6)</f>
        <v/>
      </c>
    </row>
    <row r="17">
      <c r="A17" s="68" t="n">
        <v>22007</v>
      </c>
      <c r="B17" s="65">
        <f>VLOOKUP(Table1[[#This Row],[Date]],'DB Money Supply'!$A:$F,6)</f>
        <v/>
      </c>
    </row>
    <row r="18">
      <c r="A18" s="68" t="n">
        <v>22098</v>
      </c>
      <c r="B18" s="65">
        <f>VLOOKUP(Table1[[#This Row],[Date]],'DB Money Supply'!$A:$F,6)</f>
        <v/>
      </c>
    </row>
    <row r="19">
      <c r="A19" s="68" t="n">
        <v>22190</v>
      </c>
      <c r="B19" s="65">
        <f>VLOOKUP(Table1[[#This Row],[Date]],'DB Money Supply'!$A:$F,6)</f>
        <v/>
      </c>
    </row>
    <row r="20">
      <c r="A20" s="68" t="n">
        <v>22282</v>
      </c>
      <c r="B20" s="65">
        <f>VLOOKUP(Table1[[#This Row],[Date]],'DB Money Supply'!$A:$F,6)</f>
        <v/>
      </c>
    </row>
    <row r="21">
      <c r="A21" s="68" t="n">
        <v>22372</v>
      </c>
      <c r="B21" s="65">
        <f>VLOOKUP(Table1[[#This Row],[Date]],'DB Money Supply'!$A:$F,6)</f>
        <v/>
      </c>
    </row>
    <row r="22">
      <c r="A22" s="68" t="n">
        <v>22463</v>
      </c>
      <c r="B22" s="65">
        <f>VLOOKUP(Table1[[#This Row],[Date]],'DB Money Supply'!$A:$F,6)</f>
        <v/>
      </c>
    </row>
    <row r="23">
      <c r="A23" s="68" t="n">
        <v>22555</v>
      </c>
      <c r="B23" s="65">
        <f>VLOOKUP(Table1[[#This Row],[Date]],'DB Money Supply'!$A:$F,6)</f>
        <v/>
      </c>
    </row>
    <row r="24">
      <c r="A24" s="68" t="n">
        <v>22647</v>
      </c>
      <c r="B24" s="65">
        <f>VLOOKUP(Table1[[#This Row],[Date]],'DB Money Supply'!$A:$F,6)</f>
        <v/>
      </c>
    </row>
    <row r="25">
      <c r="A25" s="68" t="n">
        <v>22737</v>
      </c>
      <c r="B25" s="65">
        <f>VLOOKUP(Table1[[#This Row],[Date]],'DB Money Supply'!$A:$F,6)</f>
        <v/>
      </c>
    </row>
    <row r="26">
      <c r="A26" s="68" t="n">
        <v>22828</v>
      </c>
      <c r="B26" s="65">
        <f>VLOOKUP(Table1[[#This Row],[Date]],'DB Money Supply'!$A:$F,6)</f>
        <v/>
      </c>
    </row>
    <row r="27">
      <c r="A27" s="68" t="n">
        <v>22920</v>
      </c>
      <c r="B27" s="65">
        <f>VLOOKUP(Table1[[#This Row],[Date]],'DB Money Supply'!$A:$F,6)</f>
        <v/>
      </c>
    </row>
    <row r="28">
      <c r="A28" s="68" t="n">
        <v>23012</v>
      </c>
      <c r="B28" s="65">
        <f>VLOOKUP(Table1[[#This Row],[Date]],'DB Money Supply'!$A:$F,6)</f>
        <v/>
      </c>
    </row>
    <row r="29">
      <c r="A29" s="68" t="n">
        <v>23102</v>
      </c>
      <c r="B29" s="65">
        <f>VLOOKUP(Table1[[#This Row],[Date]],'DB Money Supply'!$A:$F,6)</f>
        <v/>
      </c>
    </row>
    <row r="30">
      <c r="A30" s="68" t="n">
        <v>23193</v>
      </c>
      <c r="B30" s="65">
        <f>VLOOKUP(Table1[[#This Row],[Date]],'DB Money Supply'!$A:$F,6)</f>
        <v/>
      </c>
    </row>
    <row r="31">
      <c r="A31" s="68" t="n">
        <v>23285</v>
      </c>
      <c r="B31" s="65">
        <f>VLOOKUP(Table1[[#This Row],[Date]],'DB Money Supply'!$A:$F,6)</f>
        <v/>
      </c>
    </row>
    <row r="32">
      <c r="A32" s="68" t="n">
        <v>23377</v>
      </c>
      <c r="B32" s="65">
        <f>VLOOKUP(Table1[[#This Row],[Date]],'DB Money Supply'!$A:$F,6)</f>
        <v/>
      </c>
    </row>
    <row r="33">
      <c r="A33" s="68" t="n">
        <v>23468</v>
      </c>
      <c r="B33" s="65">
        <f>VLOOKUP(Table1[[#This Row],[Date]],'DB Money Supply'!$A:$F,6)</f>
        <v/>
      </c>
    </row>
    <row r="34">
      <c r="A34" s="68" t="n">
        <v>23559</v>
      </c>
      <c r="B34" s="65">
        <f>VLOOKUP(Table1[[#This Row],[Date]],'DB Money Supply'!$A:$F,6)</f>
        <v/>
      </c>
    </row>
    <row r="35">
      <c r="A35" s="68" t="n">
        <v>23651</v>
      </c>
      <c r="B35" s="65">
        <f>VLOOKUP(Table1[[#This Row],[Date]],'DB Money Supply'!$A:$F,6)</f>
        <v/>
      </c>
    </row>
    <row r="36">
      <c r="A36" s="68" t="n">
        <v>23743</v>
      </c>
      <c r="B36" s="65">
        <f>VLOOKUP(Table1[[#This Row],[Date]],'DB Money Supply'!$A:$F,6)</f>
        <v/>
      </c>
    </row>
    <row r="37">
      <c r="A37" s="68" t="n">
        <v>23833</v>
      </c>
      <c r="B37" s="65">
        <f>VLOOKUP(Table1[[#This Row],[Date]],'DB Money Supply'!$A:$F,6)</f>
        <v/>
      </c>
    </row>
    <row r="38">
      <c r="A38" s="68" t="n">
        <v>23924</v>
      </c>
      <c r="B38" s="65">
        <f>VLOOKUP(Table1[[#This Row],[Date]],'DB Money Supply'!$A:$F,6)</f>
        <v/>
      </c>
    </row>
    <row r="39">
      <c r="A39" s="68" t="n">
        <v>24016</v>
      </c>
      <c r="B39" s="65">
        <f>VLOOKUP(Table1[[#This Row],[Date]],'DB Money Supply'!$A:$F,6)</f>
        <v/>
      </c>
    </row>
    <row r="40">
      <c r="A40" s="68" t="n">
        <v>24108</v>
      </c>
      <c r="B40" s="65">
        <f>VLOOKUP(Table1[[#This Row],[Date]],'DB Money Supply'!$A:$F,6)</f>
        <v/>
      </c>
    </row>
    <row r="41">
      <c r="A41" s="68" t="n">
        <v>24198</v>
      </c>
      <c r="B41" s="65">
        <f>VLOOKUP(Table1[[#This Row],[Date]],'DB Money Supply'!$A:$F,6)</f>
        <v/>
      </c>
    </row>
    <row r="42">
      <c r="A42" s="68" t="n">
        <v>24289</v>
      </c>
      <c r="B42" s="65">
        <f>VLOOKUP(Table1[[#This Row],[Date]],'DB Money Supply'!$A:$F,6)</f>
        <v/>
      </c>
    </row>
    <row r="43">
      <c r="A43" s="68" t="n">
        <v>24381</v>
      </c>
      <c r="B43" s="65">
        <f>VLOOKUP(Table1[[#This Row],[Date]],'DB Money Supply'!$A:$F,6)</f>
        <v/>
      </c>
    </row>
    <row r="44">
      <c r="A44" s="68" t="n">
        <v>24473</v>
      </c>
      <c r="B44" s="65">
        <f>VLOOKUP(Table1[[#This Row],[Date]],'DB Money Supply'!$A:$F,6)</f>
        <v/>
      </c>
    </row>
    <row r="45">
      <c r="A45" s="68" t="n">
        <v>24563</v>
      </c>
      <c r="B45" s="65">
        <f>VLOOKUP(Table1[[#This Row],[Date]],'DB Money Supply'!$A:$F,6)</f>
        <v/>
      </c>
    </row>
    <row r="46">
      <c r="A46" s="68" t="n">
        <v>24654</v>
      </c>
      <c r="B46" s="65">
        <f>VLOOKUP(Table1[[#This Row],[Date]],'DB Money Supply'!$A:$F,6)</f>
        <v/>
      </c>
    </row>
    <row r="47">
      <c r="A47" s="68" t="n">
        <v>24746</v>
      </c>
      <c r="B47" s="65">
        <f>VLOOKUP(Table1[[#This Row],[Date]],'DB Money Supply'!$A:$F,6)</f>
        <v/>
      </c>
    </row>
    <row r="48">
      <c r="A48" s="68" t="n">
        <v>24838</v>
      </c>
      <c r="B48" s="65">
        <f>VLOOKUP(Table1[[#This Row],[Date]],'DB Money Supply'!$A:$F,6)</f>
        <v/>
      </c>
    </row>
    <row r="49">
      <c r="A49" s="68" t="n">
        <v>24929</v>
      </c>
      <c r="B49" s="65">
        <f>VLOOKUP(Table1[[#This Row],[Date]],'DB Money Supply'!$A:$F,6)</f>
        <v/>
      </c>
    </row>
    <row r="50">
      <c r="A50" s="68" t="n">
        <v>25020</v>
      </c>
      <c r="B50" s="65">
        <f>VLOOKUP(Table1[[#This Row],[Date]],'DB Money Supply'!$A:$F,6)</f>
        <v/>
      </c>
    </row>
    <row r="51">
      <c r="A51" s="68" t="n">
        <v>25112</v>
      </c>
      <c r="B51" s="65">
        <f>VLOOKUP(Table1[[#This Row],[Date]],'DB Money Supply'!$A:$F,6)</f>
        <v/>
      </c>
    </row>
    <row r="52">
      <c r="A52" s="68" t="n">
        <v>25204</v>
      </c>
      <c r="B52" s="65">
        <f>VLOOKUP(Table1[[#This Row],[Date]],'DB Money Supply'!$A:$F,6)</f>
        <v/>
      </c>
    </row>
    <row r="53">
      <c r="A53" s="68" t="n">
        <v>25294</v>
      </c>
      <c r="B53" s="65">
        <f>VLOOKUP(Table1[[#This Row],[Date]],'DB Money Supply'!$A:$F,6)</f>
        <v/>
      </c>
    </row>
    <row r="54">
      <c r="A54" s="68" t="n">
        <v>25385</v>
      </c>
      <c r="B54" s="65">
        <f>VLOOKUP(Table1[[#This Row],[Date]],'DB Money Supply'!$A:$F,6)</f>
        <v/>
      </c>
    </row>
    <row r="55">
      <c r="A55" s="68" t="n">
        <v>25477</v>
      </c>
      <c r="B55" s="65">
        <f>VLOOKUP(Table1[[#This Row],[Date]],'DB Money Supply'!$A:$F,6)</f>
        <v/>
      </c>
    </row>
    <row r="56">
      <c r="A56" s="68" t="n">
        <v>25569</v>
      </c>
      <c r="B56" s="65">
        <f>VLOOKUP(Table1[[#This Row],[Date]],'DB Money Supply'!$A:$F,6)</f>
        <v/>
      </c>
    </row>
    <row r="57">
      <c r="A57" s="68" t="n">
        <v>25659</v>
      </c>
      <c r="B57" s="65">
        <f>VLOOKUP(Table1[[#This Row],[Date]],'DB Money Supply'!$A:$F,6)</f>
        <v/>
      </c>
    </row>
    <row r="58">
      <c r="A58" s="68" t="n">
        <v>25750</v>
      </c>
      <c r="B58" s="65">
        <f>VLOOKUP(Table1[[#This Row],[Date]],'DB Money Supply'!$A:$F,6)</f>
        <v/>
      </c>
    </row>
    <row r="59">
      <c r="A59" s="68" t="n">
        <v>25842</v>
      </c>
      <c r="B59" s="65">
        <f>VLOOKUP(Table1[[#This Row],[Date]],'DB Money Supply'!$A:$F,6)</f>
        <v/>
      </c>
    </row>
    <row r="60">
      <c r="A60" s="68" t="n">
        <v>25934</v>
      </c>
      <c r="B60" s="65">
        <f>VLOOKUP(Table1[[#This Row],[Date]],'DB Money Supply'!$A:$F,6)</f>
        <v/>
      </c>
    </row>
    <row r="61">
      <c r="A61" s="68" t="n">
        <v>26024</v>
      </c>
      <c r="B61" s="65">
        <f>VLOOKUP(Table1[[#This Row],[Date]],'DB Money Supply'!$A:$F,6)</f>
        <v/>
      </c>
    </row>
    <row r="62">
      <c r="A62" s="68" t="n">
        <v>26115</v>
      </c>
      <c r="B62" s="65">
        <f>VLOOKUP(Table1[[#This Row],[Date]],'DB Money Supply'!$A:$F,6)</f>
        <v/>
      </c>
    </row>
    <row r="63">
      <c r="A63" s="68" t="n">
        <v>26207</v>
      </c>
      <c r="B63" s="65">
        <f>VLOOKUP(Table1[[#This Row],[Date]],'DB Money Supply'!$A:$F,6)</f>
        <v/>
      </c>
    </row>
    <row r="64">
      <c r="A64" s="68" t="n">
        <v>26299</v>
      </c>
      <c r="B64" s="65">
        <f>VLOOKUP(Table1[[#This Row],[Date]],'DB Money Supply'!$A:$F,6)</f>
        <v/>
      </c>
    </row>
    <row r="65">
      <c r="A65" s="68" t="n">
        <v>26390</v>
      </c>
      <c r="B65" s="65">
        <f>VLOOKUP(Table1[[#This Row],[Date]],'DB Money Supply'!$A:$F,6)</f>
        <v/>
      </c>
    </row>
    <row r="66">
      <c r="A66" s="68" t="n">
        <v>26481</v>
      </c>
      <c r="B66" s="65">
        <f>VLOOKUP(Table1[[#This Row],[Date]],'DB Money Supply'!$A:$F,6)</f>
        <v/>
      </c>
    </row>
    <row r="67">
      <c r="A67" s="68" t="n">
        <v>26573</v>
      </c>
      <c r="B67" s="65">
        <f>VLOOKUP(Table1[[#This Row],[Date]],'DB Money Supply'!$A:$F,6)</f>
        <v/>
      </c>
    </row>
    <row r="68">
      <c r="A68" s="68" t="n">
        <v>26665</v>
      </c>
      <c r="B68" s="65">
        <f>VLOOKUP(Table1[[#This Row],[Date]],'DB Money Supply'!$A:$F,6)</f>
        <v/>
      </c>
    </row>
    <row r="69">
      <c r="A69" s="68" t="n">
        <v>26755</v>
      </c>
      <c r="B69" s="65">
        <f>VLOOKUP(Table1[[#This Row],[Date]],'DB Money Supply'!$A:$F,6)</f>
        <v/>
      </c>
    </row>
    <row r="70">
      <c r="A70" s="68" t="n">
        <v>26846</v>
      </c>
      <c r="B70" s="65">
        <f>VLOOKUP(Table1[[#This Row],[Date]],'DB Money Supply'!$A:$F,6)</f>
        <v/>
      </c>
    </row>
    <row r="71">
      <c r="A71" s="68" t="n">
        <v>26938</v>
      </c>
      <c r="B71" s="65">
        <f>VLOOKUP(Table1[[#This Row],[Date]],'DB Money Supply'!$A:$F,6)</f>
        <v/>
      </c>
    </row>
    <row r="72">
      <c r="A72" s="68" t="n">
        <v>27030</v>
      </c>
      <c r="B72" s="65">
        <f>VLOOKUP(Table1[[#This Row],[Date]],'DB Money Supply'!$A:$F,6)</f>
        <v/>
      </c>
    </row>
    <row r="73">
      <c r="A73" s="68" t="n">
        <v>27120</v>
      </c>
      <c r="B73" s="65">
        <f>VLOOKUP(Table1[[#This Row],[Date]],'DB Money Supply'!$A:$F,6)</f>
        <v/>
      </c>
    </row>
    <row r="74">
      <c r="A74" s="68" t="n">
        <v>27211</v>
      </c>
      <c r="B74" s="65">
        <f>VLOOKUP(Table1[[#This Row],[Date]],'DB Money Supply'!$A:$F,6)</f>
        <v/>
      </c>
    </row>
    <row r="75">
      <c r="A75" s="68" t="n">
        <v>27303</v>
      </c>
      <c r="B75" s="65">
        <f>VLOOKUP(Table1[[#This Row],[Date]],'DB Money Supply'!$A:$F,6)</f>
        <v/>
      </c>
    </row>
    <row r="76">
      <c r="A76" s="68" t="n">
        <v>27395</v>
      </c>
      <c r="B76" s="65">
        <f>VLOOKUP(Table1[[#This Row],[Date]],'DB Money Supply'!$A:$F,6)</f>
        <v/>
      </c>
    </row>
    <row r="77">
      <c r="A77" s="68" t="n">
        <v>27485</v>
      </c>
      <c r="B77" s="65">
        <f>VLOOKUP(Table1[[#This Row],[Date]],'DB Money Supply'!$A:$F,6)</f>
        <v/>
      </c>
    </row>
    <row r="78">
      <c r="A78" s="68" t="n">
        <v>27576</v>
      </c>
      <c r="B78" s="65">
        <f>VLOOKUP(Table1[[#This Row],[Date]],'DB Money Supply'!$A:$F,6)</f>
        <v/>
      </c>
    </row>
    <row r="79">
      <c r="A79" s="68" t="n">
        <v>27668</v>
      </c>
      <c r="B79" s="65">
        <f>VLOOKUP(Table1[[#This Row],[Date]],'DB Money Supply'!$A:$F,6)</f>
        <v/>
      </c>
    </row>
    <row r="80">
      <c r="A80" s="68" t="n">
        <v>27760</v>
      </c>
      <c r="B80" s="65">
        <f>VLOOKUP(Table1[[#This Row],[Date]],'DB Money Supply'!$A:$F,6)</f>
        <v/>
      </c>
    </row>
    <row r="81">
      <c r="A81" s="68" t="n">
        <v>27851</v>
      </c>
      <c r="B81" s="65">
        <f>VLOOKUP(Table1[[#This Row],[Date]],'DB Money Supply'!$A:$F,6)</f>
        <v/>
      </c>
    </row>
    <row r="82">
      <c r="A82" s="68" t="n">
        <v>27942</v>
      </c>
      <c r="B82" s="65">
        <f>VLOOKUP(Table1[[#This Row],[Date]],'DB Money Supply'!$A:$F,6)</f>
        <v/>
      </c>
    </row>
    <row r="83">
      <c r="A83" s="68" t="n">
        <v>28034</v>
      </c>
      <c r="B83" s="65">
        <f>VLOOKUP(Table1[[#This Row],[Date]],'DB Money Supply'!$A:$F,6)</f>
        <v/>
      </c>
    </row>
    <row r="84">
      <c r="A84" s="68" t="n">
        <v>28126</v>
      </c>
      <c r="B84" s="65">
        <f>VLOOKUP(Table1[[#This Row],[Date]],'DB Money Supply'!$A:$F,6)</f>
        <v/>
      </c>
    </row>
    <row r="85">
      <c r="A85" s="68" t="n">
        <v>28216</v>
      </c>
      <c r="B85" s="65">
        <f>VLOOKUP(Table1[[#This Row],[Date]],'DB Money Supply'!$A:$F,6)</f>
        <v/>
      </c>
    </row>
    <row r="86">
      <c r="A86" s="68" t="n">
        <v>28307</v>
      </c>
      <c r="B86" s="65">
        <f>VLOOKUP(Table1[[#This Row],[Date]],'DB Money Supply'!$A:$F,6)</f>
        <v/>
      </c>
    </row>
    <row r="87">
      <c r="A87" s="68" t="n">
        <v>28399</v>
      </c>
      <c r="B87" s="65">
        <f>VLOOKUP(Table1[[#This Row],[Date]],'DB Money Supply'!$A:$F,6)</f>
        <v/>
      </c>
    </row>
    <row r="88">
      <c r="A88" s="68" t="n">
        <v>28491</v>
      </c>
      <c r="B88" s="65">
        <f>VLOOKUP(Table1[[#This Row],[Date]],'DB Money Supply'!$A:$F,6)</f>
        <v/>
      </c>
    </row>
    <row r="89">
      <c r="A89" s="68" t="n">
        <v>28581</v>
      </c>
      <c r="B89" s="65">
        <f>VLOOKUP(Table1[[#This Row],[Date]],'DB Money Supply'!$A:$F,6)</f>
        <v/>
      </c>
    </row>
    <row r="90">
      <c r="A90" s="68" t="n">
        <v>28672</v>
      </c>
      <c r="B90" s="65">
        <f>VLOOKUP(Table1[[#This Row],[Date]],'DB Money Supply'!$A:$F,6)</f>
        <v/>
      </c>
    </row>
    <row r="91">
      <c r="A91" s="68" t="n">
        <v>28764</v>
      </c>
      <c r="B91" s="65">
        <f>VLOOKUP(Table1[[#This Row],[Date]],'DB Money Supply'!$A:$F,6)</f>
        <v/>
      </c>
    </row>
    <row r="92">
      <c r="A92" s="68" t="n">
        <v>28856</v>
      </c>
      <c r="B92" s="65">
        <f>VLOOKUP(Table1[[#This Row],[Date]],'DB Money Supply'!$A:$F,6)</f>
        <v/>
      </c>
    </row>
    <row r="93">
      <c r="A93" s="68" t="n">
        <v>28946</v>
      </c>
      <c r="B93" s="65">
        <f>VLOOKUP(Table1[[#This Row],[Date]],'DB Money Supply'!$A:$F,6)</f>
        <v/>
      </c>
    </row>
    <row r="94">
      <c r="A94" s="68" t="n">
        <v>29037</v>
      </c>
      <c r="B94" s="65">
        <f>VLOOKUP(Table1[[#This Row],[Date]],'DB Money Supply'!$A:$F,6)</f>
        <v/>
      </c>
    </row>
    <row r="95">
      <c r="A95" s="68" t="n">
        <v>29129</v>
      </c>
      <c r="B95" s="65">
        <f>VLOOKUP(Table1[[#This Row],[Date]],'DB Money Supply'!$A:$F,6)</f>
        <v/>
      </c>
    </row>
    <row r="96">
      <c r="A96" s="68" t="n">
        <v>29221</v>
      </c>
      <c r="B96" s="65">
        <f>VLOOKUP(Table1[[#This Row],[Date]],'DB Money Supply'!$A:$F,6)</f>
        <v/>
      </c>
    </row>
    <row r="97">
      <c r="A97" s="68" t="n">
        <v>29312</v>
      </c>
      <c r="B97" s="65">
        <f>VLOOKUP(Table1[[#This Row],[Date]],'DB Money Supply'!$A:$F,6)</f>
        <v/>
      </c>
    </row>
    <row r="98">
      <c r="A98" s="68" t="n">
        <v>29403</v>
      </c>
      <c r="B98" s="65">
        <f>VLOOKUP(Table1[[#This Row],[Date]],'DB Money Supply'!$A:$F,6)</f>
        <v/>
      </c>
    </row>
    <row r="99">
      <c r="A99" s="68" t="n">
        <v>29495</v>
      </c>
      <c r="B99" s="65">
        <f>VLOOKUP(Table1[[#This Row],[Date]],'DB Money Supply'!$A:$F,6)</f>
        <v/>
      </c>
    </row>
    <row r="100">
      <c r="A100" s="68" t="n">
        <v>29587</v>
      </c>
      <c r="B100" s="65">
        <f>VLOOKUP(Table1[[#This Row],[Date]],'DB Money Supply'!$A:$F,6)</f>
        <v/>
      </c>
    </row>
    <row r="101">
      <c r="A101" s="68" t="n">
        <v>29677</v>
      </c>
      <c r="B101" s="65">
        <f>VLOOKUP(Table1[[#This Row],[Date]],'DB Money Supply'!$A:$F,6)</f>
        <v/>
      </c>
    </row>
    <row r="102">
      <c r="A102" s="68" t="n">
        <v>29768</v>
      </c>
      <c r="B102" s="65">
        <f>VLOOKUP(Table1[[#This Row],[Date]],'DB Money Supply'!$A:$F,6)</f>
        <v/>
      </c>
    </row>
    <row r="103">
      <c r="A103" s="68" t="n">
        <v>29860</v>
      </c>
      <c r="B103" s="65">
        <f>VLOOKUP(Table1[[#This Row],[Date]],'DB Money Supply'!$A:$F,6)</f>
        <v/>
      </c>
    </row>
    <row r="104">
      <c r="A104" s="68" t="n">
        <v>29952</v>
      </c>
      <c r="B104" s="65">
        <f>VLOOKUP(Table1[[#This Row],[Date]],'DB Money Supply'!$A:$F,6)</f>
        <v/>
      </c>
    </row>
    <row r="105">
      <c r="A105" s="68" t="n">
        <v>30042</v>
      </c>
      <c r="B105" s="65">
        <f>VLOOKUP(Table1[[#This Row],[Date]],'DB Money Supply'!$A:$F,6)</f>
        <v/>
      </c>
    </row>
    <row r="106">
      <c r="A106" s="68" t="n">
        <v>30133</v>
      </c>
      <c r="B106" s="65">
        <f>VLOOKUP(Table1[[#This Row],[Date]],'DB Money Supply'!$A:$F,6)</f>
        <v/>
      </c>
    </row>
    <row r="107">
      <c r="A107" s="68" t="n">
        <v>30225</v>
      </c>
      <c r="B107" s="65">
        <f>VLOOKUP(Table1[[#This Row],[Date]],'DB Money Supply'!$A:$F,6)</f>
        <v/>
      </c>
    </row>
    <row r="108">
      <c r="A108" s="68" t="n">
        <v>30317</v>
      </c>
      <c r="B108" s="65">
        <f>VLOOKUP(Table1[[#This Row],[Date]],'DB Money Supply'!$A:$F,6)</f>
        <v/>
      </c>
    </row>
    <row r="109">
      <c r="A109" s="68" t="n">
        <v>30407</v>
      </c>
      <c r="B109" s="65">
        <f>VLOOKUP(Table1[[#This Row],[Date]],'DB Money Supply'!$A:$F,6)</f>
        <v/>
      </c>
    </row>
    <row r="110">
      <c r="A110" s="68" t="n">
        <v>30498</v>
      </c>
      <c r="B110" s="65">
        <f>VLOOKUP(Table1[[#This Row],[Date]],'DB Money Supply'!$A:$F,6)</f>
        <v/>
      </c>
    </row>
    <row r="111">
      <c r="A111" s="68" t="n">
        <v>30590</v>
      </c>
      <c r="B111" s="65">
        <f>VLOOKUP(Table1[[#This Row],[Date]],'DB Money Supply'!$A:$F,6)</f>
        <v/>
      </c>
    </row>
    <row r="112">
      <c r="A112" s="68" t="n">
        <v>30682</v>
      </c>
      <c r="B112" s="65">
        <f>VLOOKUP(Table1[[#This Row],[Date]],'DB Money Supply'!$A:$F,6)</f>
        <v/>
      </c>
    </row>
    <row r="113">
      <c r="A113" s="68" t="n">
        <v>30773</v>
      </c>
      <c r="B113" s="65">
        <f>VLOOKUP(Table1[[#This Row],[Date]],'DB Money Supply'!$A:$F,6)</f>
        <v/>
      </c>
    </row>
    <row r="114">
      <c r="A114" s="68" t="n">
        <v>30864</v>
      </c>
      <c r="B114" s="65">
        <f>VLOOKUP(Table1[[#This Row],[Date]],'DB Money Supply'!$A:$F,6)</f>
        <v/>
      </c>
    </row>
    <row r="115">
      <c r="A115" s="68" t="n">
        <v>30956</v>
      </c>
      <c r="B115" s="65">
        <f>VLOOKUP(Table1[[#This Row],[Date]],'DB Money Supply'!$A:$F,6)</f>
        <v/>
      </c>
    </row>
    <row r="116">
      <c r="A116" s="68" t="n">
        <v>31048</v>
      </c>
      <c r="B116" s="65">
        <f>VLOOKUP(Table1[[#This Row],[Date]],'DB Money Supply'!$A:$F,6)</f>
        <v/>
      </c>
    </row>
    <row r="117">
      <c r="A117" s="68" t="n">
        <v>31138</v>
      </c>
      <c r="B117" s="65">
        <f>VLOOKUP(Table1[[#This Row],[Date]],'DB Money Supply'!$A:$F,6)</f>
        <v/>
      </c>
    </row>
    <row r="118">
      <c r="A118" s="68" t="n">
        <v>31229</v>
      </c>
      <c r="B118" s="65">
        <f>VLOOKUP(Table1[[#This Row],[Date]],'DB Money Supply'!$A:$F,6)</f>
        <v/>
      </c>
    </row>
    <row r="119">
      <c r="A119" s="68" t="n">
        <v>31321</v>
      </c>
      <c r="B119" s="65">
        <f>VLOOKUP(Table1[[#This Row],[Date]],'DB Money Supply'!$A:$F,6)</f>
        <v/>
      </c>
    </row>
    <row r="120">
      <c r="A120" s="68" t="n">
        <v>31413</v>
      </c>
      <c r="B120" s="65">
        <f>VLOOKUP(Table1[[#This Row],[Date]],'DB Money Supply'!$A:$F,6)</f>
        <v/>
      </c>
    </row>
    <row r="121">
      <c r="A121" s="68" t="n">
        <v>31503</v>
      </c>
      <c r="B121" s="65">
        <f>VLOOKUP(Table1[[#This Row],[Date]],'DB Money Supply'!$A:$F,6)</f>
        <v/>
      </c>
    </row>
    <row r="122">
      <c r="A122" s="68" t="n">
        <v>31594</v>
      </c>
      <c r="B122" s="65">
        <f>VLOOKUP(Table1[[#This Row],[Date]],'DB Money Supply'!$A:$F,6)</f>
        <v/>
      </c>
    </row>
    <row r="123">
      <c r="A123" s="68" t="n">
        <v>31686</v>
      </c>
      <c r="B123" s="65">
        <f>VLOOKUP(Table1[[#This Row],[Date]],'DB Money Supply'!$A:$F,6)</f>
        <v/>
      </c>
    </row>
    <row r="124">
      <c r="A124" s="68" t="n">
        <v>31778</v>
      </c>
      <c r="B124" s="65">
        <f>VLOOKUP(Table1[[#This Row],[Date]],'DB Money Supply'!$A:$F,6)</f>
        <v/>
      </c>
    </row>
    <row r="125">
      <c r="A125" s="68" t="n">
        <v>31868</v>
      </c>
      <c r="B125" s="65">
        <f>VLOOKUP(Table1[[#This Row],[Date]],'DB Money Supply'!$A:$F,6)</f>
        <v/>
      </c>
    </row>
    <row r="126">
      <c r="A126" s="68" t="n">
        <v>31959</v>
      </c>
      <c r="B126" s="65">
        <f>VLOOKUP(Table1[[#This Row],[Date]],'DB Money Supply'!$A:$F,6)</f>
        <v/>
      </c>
    </row>
    <row r="127">
      <c r="A127" s="68" t="n">
        <v>32051</v>
      </c>
      <c r="B127" s="65">
        <f>VLOOKUP(Table1[[#This Row],[Date]],'DB Money Supply'!$A:$F,6)</f>
        <v/>
      </c>
    </row>
    <row r="128">
      <c r="A128" s="68" t="n">
        <v>32143</v>
      </c>
      <c r="B128" s="65">
        <f>VLOOKUP(Table1[[#This Row],[Date]],'DB Money Supply'!$A:$F,6)</f>
        <v/>
      </c>
    </row>
    <row r="129">
      <c r="A129" s="68" t="n">
        <v>32234</v>
      </c>
      <c r="B129" s="65">
        <f>VLOOKUP(Table1[[#This Row],[Date]],'DB Money Supply'!$A:$F,6)</f>
        <v/>
      </c>
    </row>
    <row r="130">
      <c r="A130" s="68" t="n">
        <v>32325</v>
      </c>
      <c r="B130" s="65">
        <f>VLOOKUP(Table1[[#This Row],[Date]],'DB Money Supply'!$A:$F,6)</f>
        <v/>
      </c>
    </row>
    <row r="131">
      <c r="A131" s="68" t="n">
        <v>32417</v>
      </c>
      <c r="B131" s="65">
        <f>VLOOKUP(Table1[[#This Row],[Date]],'DB Money Supply'!$A:$F,6)</f>
        <v/>
      </c>
    </row>
    <row r="132">
      <c r="A132" s="68" t="n">
        <v>32509</v>
      </c>
      <c r="B132" s="65">
        <f>VLOOKUP(Table1[[#This Row],[Date]],'DB Money Supply'!$A:$F,6)</f>
        <v/>
      </c>
    </row>
    <row r="133">
      <c r="A133" s="68" t="n">
        <v>32599</v>
      </c>
      <c r="B133" s="65">
        <f>VLOOKUP(Table1[[#This Row],[Date]],'DB Money Supply'!$A:$F,6)</f>
        <v/>
      </c>
    </row>
    <row r="134">
      <c r="A134" s="68" t="n">
        <v>32690</v>
      </c>
      <c r="B134" s="65">
        <f>VLOOKUP(Table1[[#This Row],[Date]],'DB Money Supply'!$A:$F,6)</f>
        <v/>
      </c>
    </row>
    <row r="135">
      <c r="A135" s="68" t="n">
        <v>32782</v>
      </c>
      <c r="B135" s="65">
        <f>VLOOKUP(Table1[[#This Row],[Date]],'DB Money Supply'!$A:$F,6)</f>
        <v/>
      </c>
    </row>
    <row r="136">
      <c r="A136" s="68" t="n">
        <v>32874</v>
      </c>
      <c r="B136" s="65">
        <f>VLOOKUP(Table1[[#This Row],[Date]],'DB Money Supply'!$A:$F,6)</f>
        <v/>
      </c>
    </row>
    <row r="137">
      <c r="A137" s="68" t="n">
        <v>32964</v>
      </c>
      <c r="B137" s="65">
        <f>VLOOKUP(Table1[[#This Row],[Date]],'DB Money Supply'!$A:$F,6)</f>
        <v/>
      </c>
    </row>
    <row r="138">
      <c r="A138" s="68" t="n">
        <v>33055</v>
      </c>
      <c r="B138" s="65">
        <f>VLOOKUP(Table1[[#This Row],[Date]],'DB Money Supply'!$A:$F,6)</f>
        <v/>
      </c>
    </row>
    <row r="139">
      <c r="A139" s="68" t="n">
        <v>33147</v>
      </c>
      <c r="B139" s="65">
        <f>VLOOKUP(Table1[[#This Row],[Date]],'DB Money Supply'!$A:$F,6)</f>
        <v/>
      </c>
    </row>
    <row r="140">
      <c r="A140" s="68" t="n">
        <v>33239</v>
      </c>
      <c r="B140" s="65">
        <f>VLOOKUP(Table1[[#This Row],[Date]],'DB Money Supply'!$A:$F,6)</f>
        <v/>
      </c>
    </row>
    <row r="141">
      <c r="A141" s="68" t="n">
        <v>33329</v>
      </c>
      <c r="B141" s="65">
        <f>VLOOKUP(Table1[[#This Row],[Date]],'DB Money Supply'!$A:$F,6)</f>
        <v/>
      </c>
    </row>
    <row r="142">
      <c r="A142" s="68" t="n">
        <v>33420</v>
      </c>
      <c r="B142" s="65">
        <f>VLOOKUP(Table1[[#This Row],[Date]],'DB Money Supply'!$A:$F,6)</f>
        <v/>
      </c>
    </row>
    <row r="143">
      <c r="A143" s="68" t="n">
        <v>33512</v>
      </c>
      <c r="B143" s="65">
        <f>VLOOKUP(Table1[[#This Row],[Date]],'DB Money Supply'!$A:$F,6)</f>
        <v/>
      </c>
    </row>
    <row r="144">
      <c r="A144" s="68" t="n">
        <v>33604</v>
      </c>
      <c r="B144" s="65">
        <f>VLOOKUP(Table1[[#This Row],[Date]],'DB Money Supply'!$A:$F,6)</f>
        <v/>
      </c>
    </row>
    <row r="145">
      <c r="A145" s="68" t="n">
        <v>33695</v>
      </c>
      <c r="B145" s="65">
        <f>VLOOKUP(Table1[[#This Row],[Date]],'DB Money Supply'!$A:$F,6)</f>
        <v/>
      </c>
    </row>
    <row r="146">
      <c r="A146" s="68" t="n">
        <v>33786</v>
      </c>
      <c r="B146" s="65">
        <f>VLOOKUP(Table1[[#This Row],[Date]],'DB Money Supply'!$A:$F,6)</f>
        <v/>
      </c>
    </row>
    <row r="147">
      <c r="A147" s="68" t="n">
        <v>33878</v>
      </c>
      <c r="B147" s="65">
        <f>VLOOKUP(Table1[[#This Row],[Date]],'DB Money Supply'!$A:$F,6)</f>
        <v/>
      </c>
    </row>
    <row r="148">
      <c r="A148" s="68" t="n">
        <v>33970</v>
      </c>
      <c r="B148" s="65">
        <f>VLOOKUP(Table1[[#This Row],[Date]],'DB Money Supply'!$A:$F,6)</f>
        <v/>
      </c>
    </row>
    <row r="149">
      <c r="A149" s="68" t="n">
        <v>34060</v>
      </c>
      <c r="B149" s="65">
        <f>VLOOKUP(Table1[[#This Row],[Date]],'DB Money Supply'!$A:$F,6)</f>
        <v/>
      </c>
    </row>
    <row r="150">
      <c r="A150" s="68" t="n">
        <v>34151</v>
      </c>
      <c r="B150" s="65">
        <f>VLOOKUP(Table1[[#This Row],[Date]],'DB Money Supply'!$A:$F,6)</f>
        <v/>
      </c>
    </row>
    <row r="151">
      <c r="A151" s="68" t="n">
        <v>34243</v>
      </c>
      <c r="B151" s="65">
        <f>VLOOKUP(Table1[[#This Row],[Date]],'DB Money Supply'!$A:$F,6)</f>
        <v/>
      </c>
    </row>
    <row r="152">
      <c r="A152" s="68" t="n">
        <v>34335</v>
      </c>
      <c r="B152" s="65">
        <f>VLOOKUP(Table1[[#This Row],[Date]],'DB Money Supply'!$A:$F,6)</f>
        <v/>
      </c>
    </row>
    <row r="153">
      <c r="A153" s="68" t="n">
        <v>34425</v>
      </c>
      <c r="B153" s="65">
        <f>VLOOKUP(Table1[[#This Row],[Date]],'DB Money Supply'!$A:$F,6)</f>
        <v/>
      </c>
    </row>
    <row r="154">
      <c r="A154" s="68" t="n">
        <v>34516</v>
      </c>
      <c r="B154" s="65">
        <f>VLOOKUP(Table1[[#This Row],[Date]],'DB Money Supply'!$A:$F,6)</f>
        <v/>
      </c>
    </row>
    <row r="155">
      <c r="A155" s="68" t="n">
        <v>34608</v>
      </c>
      <c r="B155" s="65">
        <f>VLOOKUP(Table1[[#This Row],[Date]],'DB Money Supply'!$A:$F,6)</f>
        <v/>
      </c>
    </row>
    <row r="156">
      <c r="A156" s="68" t="n">
        <v>34700</v>
      </c>
      <c r="B156" s="65">
        <f>VLOOKUP(Table1[[#This Row],[Date]],'DB Money Supply'!$A:$F,6)</f>
        <v/>
      </c>
    </row>
    <row r="157">
      <c r="A157" s="68" t="n">
        <v>34790</v>
      </c>
      <c r="B157" s="65">
        <f>VLOOKUP(Table1[[#This Row],[Date]],'DB Money Supply'!$A:$F,6)</f>
        <v/>
      </c>
    </row>
    <row r="158">
      <c r="A158" s="68" t="n">
        <v>34881</v>
      </c>
      <c r="B158" s="65">
        <f>VLOOKUP(Table1[[#This Row],[Date]],'DB Money Supply'!$A:$F,6)</f>
        <v/>
      </c>
    </row>
    <row r="159">
      <c r="A159" s="68" t="n">
        <v>34973</v>
      </c>
      <c r="B159" s="65">
        <f>VLOOKUP(Table1[[#This Row],[Date]],'DB Money Supply'!$A:$F,6)</f>
        <v/>
      </c>
    </row>
    <row r="160">
      <c r="A160" s="68" t="n">
        <v>35065</v>
      </c>
      <c r="B160" s="65">
        <f>VLOOKUP(Table1[[#This Row],[Date]],'DB Money Supply'!$A:$F,6)</f>
        <v/>
      </c>
    </row>
    <row r="161">
      <c r="A161" s="68" t="n">
        <v>35156</v>
      </c>
      <c r="B161" s="65">
        <f>VLOOKUP(Table1[[#This Row],[Date]],'DB Money Supply'!$A:$F,6)</f>
        <v/>
      </c>
    </row>
    <row r="162">
      <c r="A162" s="68" t="n">
        <v>35247</v>
      </c>
      <c r="B162" s="65">
        <f>VLOOKUP(Table1[[#This Row],[Date]],'DB Money Supply'!$A:$F,6)</f>
        <v/>
      </c>
    </row>
    <row r="163">
      <c r="A163" s="68" t="n">
        <v>35339</v>
      </c>
      <c r="B163" s="65">
        <f>VLOOKUP(Table1[[#This Row],[Date]],'DB Money Supply'!$A:$F,6)</f>
        <v/>
      </c>
    </row>
    <row r="164">
      <c r="A164" s="68" t="n">
        <v>35431</v>
      </c>
      <c r="B164" s="65">
        <f>VLOOKUP(Table1[[#This Row],[Date]],'DB Money Supply'!$A:$F,6)</f>
        <v/>
      </c>
    </row>
    <row r="165">
      <c r="A165" s="68" t="n">
        <v>35521</v>
      </c>
      <c r="B165" s="65">
        <f>VLOOKUP(Table1[[#This Row],[Date]],'DB Money Supply'!$A:$F,6)</f>
        <v/>
      </c>
    </row>
    <row r="166">
      <c r="A166" s="68" t="n">
        <v>35612</v>
      </c>
      <c r="B166" s="65">
        <f>VLOOKUP(Table1[[#This Row],[Date]],'DB Money Supply'!$A:$F,6)</f>
        <v/>
      </c>
    </row>
    <row r="167">
      <c r="A167" s="68" t="n">
        <v>35704</v>
      </c>
      <c r="B167" s="65">
        <f>VLOOKUP(Table1[[#This Row],[Date]],'DB Money Supply'!$A:$F,6)</f>
        <v/>
      </c>
    </row>
    <row r="168">
      <c r="A168" s="68" t="n">
        <v>35796</v>
      </c>
      <c r="B168" s="65">
        <f>VLOOKUP(Table1[[#This Row],[Date]],'DB Money Supply'!$A:$F,6)</f>
        <v/>
      </c>
    </row>
    <row r="169">
      <c r="A169" s="68" t="n">
        <v>35886</v>
      </c>
      <c r="B169" s="65">
        <f>VLOOKUP(Table1[[#This Row],[Date]],'DB Money Supply'!$A:$F,6)</f>
        <v/>
      </c>
    </row>
    <row r="170">
      <c r="A170" s="68" t="n">
        <v>35977</v>
      </c>
      <c r="B170" s="65">
        <f>VLOOKUP(Table1[[#This Row],[Date]],'DB Money Supply'!$A:$F,6)</f>
        <v/>
      </c>
    </row>
    <row r="171">
      <c r="A171" s="68" t="n">
        <v>36069</v>
      </c>
      <c r="B171" s="65">
        <f>VLOOKUP(Table1[[#This Row],[Date]],'DB Money Supply'!$A:$F,6)</f>
        <v/>
      </c>
    </row>
    <row r="172">
      <c r="A172" s="68" t="n">
        <v>36161</v>
      </c>
      <c r="B172" s="65">
        <f>VLOOKUP(Table1[[#This Row],[Date]],'DB Money Supply'!$A:$F,6)</f>
        <v/>
      </c>
    </row>
    <row r="173">
      <c r="A173" s="68" t="n">
        <v>36251</v>
      </c>
      <c r="B173" s="65">
        <f>VLOOKUP(Table1[[#This Row],[Date]],'DB Money Supply'!$A:$F,6)</f>
        <v/>
      </c>
    </row>
    <row r="174">
      <c r="A174" s="68" t="n">
        <v>36342</v>
      </c>
      <c r="B174" s="65">
        <f>VLOOKUP(Table1[[#This Row],[Date]],'DB Money Supply'!$A:$F,6)</f>
        <v/>
      </c>
    </row>
    <row r="175">
      <c r="A175" s="68" t="n">
        <v>36434</v>
      </c>
      <c r="B175" s="65">
        <f>VLOOKUP(Table1[[#This Row],[Date]],'DB Money Supply'!$A:$F,6)</f>
        <v/>
      </c>
    </row>
    <row r="176">
      <c r="A176" s="68" t="n">
        <v>36526</v>
      </c>
      <c r="B176" s="65">
        <f>VLOOKUP(Table1[[#This Row],[Date]],'DB Money Supply'!$A:$F,6)</f>
        <v/>
      </c>
    </row>
    <row r="177">
      <c r="A177" s="68" t="n">
        <v>36617</v>
      </c>
      <c r="B177" s="65">
        <f>VLOOKUP(Table1[[#This Row],[Date]],'DB Money Supply'!$A:$F,6)</f>
        <v/>
      </c>
    </row>
    <row r="178">
      <c r="A178" s="68" t="n">
        <v>36708</v>
      </c>
      <c r="B178" s="65">
        <f>VLOOKUP(Table1[[#This Row],[Date]],'DB Money Supply'!$A:$F,6)</f>
        <v/>
      </c>
    </row>
    <row r="179">
      <c r="A179" s="68" t="n">
        <v>36800</v>
      </c>
      <c r="B179" s="65">
        <f>VLOOKUP(Table1[[#This Row],[Date]],'DB Money Supply'!$A:$F,6)</f>
        <v/>
      </c>
    </row>
    <row r="180">
      <c r="A180" s="68" t="n">
        <v>36892</v>
      </c>
      <c r="B180" s="65">
        <f>VLOOKUP(Table1[[#This Row],[Date]],'DB Money Supply'!$A:$F,6)</f>
        <v/>
      </c>
    </row>
    <row r="181">
      <c r="A181" s="68" t="n">
        <v>36982</v>
      </c>
      <c r="B181" s="65">
        <f>VLOOKUP(Table1[[#This Row],[Date]],'DB Money Supply'!$A:$F,6)</f>
        <v/>
      </c>
    </row>
    <row r="182">
      <c r="A182" s="68" t="n">
        <v>37073</v>
      </c>
      <c r="B182" s="65">
        <f>VLOOKUP(Table1[[#This Row],[Date]],'DB Money Supply'!$A:$F,6)</f>
        <v/>
      </c>
    </row>
    <row r="183">
      <c r="A183" s="68" t="n">
        <v>37165</v>
      </c>
      <c r="B183" s="65">
        <f>VLOOKUP(Table1[[#This Row],[Date]],'DB Money Supply'!$A:$F,6)</f>
        <v/>
      </c>
    </row>
    <row r="184">
      <c r="A184" s="68" t="n">
        <v>37257</v>
      </c>
      <c r="B184" s="65">
        <f>VLOOKUP(Table1[[#This Row],[Date]],'DB Money Supply'!$A:$F,6)</f>
        <v/>
      </c>
    </row>
    <row r="185">
      <c r="A185" s="68" t="n">
        <v>37347</v>
      </c>
      <c r="B185" s="65">
        <f>VLOOKUP(Table1[[#This Row],[Date]],'DB Money Supply'!$A:$F,6)</f>
        <v/>
      </c>
    </row>
    <row r="186">
      <c r="A186" s="68" t="n">
        <v>37438</v>
      </c>
      <c r="B186" s="65">
        <f>VLOOKUP(Table1[[#This Row],[Date]],'DB Money Supply'!$A:$F,6)</f>
        <v/>
      </c>
    </row>
    <row r="187">
      <c r="A187" s="68" t="n">
        <v>37530</v>
      </c>
      <c r="B187" s="65">
        <f>VLOOKUP(Table1[[#This Row],[Date]],'DB Money Supply'!$A:$F,6)</f>
        <v/>
      </c>
    </row>
    <row r="188">
      <c r="A188" s="68" t="n">
        <v>37622</v>
      </c>
      <c r="B188" s="65">
        <f>VLOOKUP(Table1[[#This Row],[Date]],'DB Money Supply'!$A:$F,6)</f>
        <v/>
      </c>
    </row>
    <row r="189">
      <c r="A189" s="68" t="n">
        <v>37712</v>
      </c>
      <c r="B189" s="65">
        <f>VLOOKUP(Table1[[#This Row],[Date]],'DB Money Supply'!$A:$F,6)</f>
        <v/>
      </c>
    </row>
    <row r="190">
      <c r="A190" s="68" t="n">
        <v>37803</v>
      </c>
      <c r="B190" s="65">
        <f>VLOOKUP(Table1[[#This Row],[Date]],'DB Money Supply'!$A:$F,6)</f>
        <v/>
      </c>
    </row>
    <row r="191">
      <c r="A191" s="68" t="n">
        <v>37895</v>
      </c>
      <c r="B191" s="65">
        <f>VLOOKUP(Table1[[#This Row],[Date]],'DB Money Supply'!$A:$F,6)</f>
        <v/>
      </c>
    </row>
    <row r="192">
      <c r="A192" s="68" t="n">
        <v>37987</v>
      </c>
      <c r="B192" s="65">
        <f>VLOOKUP(Table1[[#This Row],[Date]],'DB Money Supply'!$A:$F,6)</f>
        <v/>
      </c>
    </row>
    <row r="193">
      <c r="A193" s="68" t="n">
        <v>38078</v>
      </c>
      <c r="B193" s="65">
        <f>VLOOKUP(Table1[[#This Row],[Date]],'DB Money Supply'!$A:$F,6)</f>
        <v/>
      </c>
    </row>
    <row r="194">
      <c r="A194" s="68" t="n">
        <v>38169</v>
      </c>
      <c r="B194" s="65">
        <f>VLOOKUP(Table1[[#This Row],[Date]],'DB Money Supply'!$A:$F,6)</f>
        <v/>
      </c>
    </row>
    <row r="195">
      <c r="A195" s="68" t="n">
        <v>38261</v>
      </c>
      <c r="B195" s="65">
        <f>VLOOKUP(Table1[[#This Row],[Date]],'DB Money Supply'!$A:$F,6)</f>
        <v/>
      </c>
    </row>
    <row r="196">
      <c r="A196" s="68" t="n">
        <v>38353</v>
      </c>
      <c r="B196" s="65">
        <f>VLOOKUP(Table1[[#This Row],[Date]],'DB Money Supply'!$A:$F,6)</f>
        <v/>
      </c>
    </row>
    <row r="197">
      <c r="A197" s="68" t="n">
        <v>38443</v>
      </c>
      <c r="B197" s="65">
        <f>VLOOKUP(Table1[[#This Row],[Date]],'DB Money Supply'!$A:$F,6)</f>
        <v/>
      </c>
    </row>
    <row r="198">
      <c r="A198" s="68" t="n">
        <v>38534</v>
      </c>
      <c r="B198" s="65">
        <f>VLOOKUP(Table1[[#This Row],[Date]],'DB Money Supply'!$A:$F,6)</f>
        <v/>
      </c>
    </row>
    <row r="199">
      <c r="A199" s="68" t="n">
        <v>38626</v>
      </c>
      <c r="B199" s="65">
        <f>VLOOKUP(Table1[[#This Row],[Date]],'DB Money Supply'!$A:$F,6)</f>
        <v/>
      </c>
    </row>
    <row r="200">
      <c r="A200" s="68" t="n">
        <v>38718</v>
      </c>
      <c r="B200" s="65">
        <f>VLOOKUP(Table1[[#This Row],[Date]],'DB Money Supply'!$A:$F,6)</f>
        <v/>
      </c>
    </row>
    <row r="201">
      <c r="A201" s="68" t="n">
        <v>38808</v>
      </c>
      <c r="B201" s="65">
        <f>VLOOKUP(Table1[[#This Row],[Date]],'DB Money Supply'!$A:$F,6)</f>
        <v/>
      </c>
    </row>
    <row r="202">
      <c r="A202" s="68" t="n">
        <v>38899</v>
      </c>
      <c r="B202" s="65">
        <f>VLOOKUP(Table1[[#This Row],[Date]],'DB Money Supply'!$A:$F,6)</f>
        <v/>
      </c>
    </row>
    <row r="203">
      <c r="A203" s="68" t="n">
        <v>38991</v>
      </c>
      <c r="B203" s="65">
        <f>VLOOKUP(Table1[[#This Row],[Date]],'DB Money Supply'!$A:$F,6)</f>
        <v/>
      </c>
    </row>
    <row r="204">
      <c r="A204" s="68" t="n">
        <v>39083</v>
      </c>
      <c r="B204" s="65">
        <f>VLOOKUP(Table1[[#This Row],[Date]],'DB Money Supply'!$A:$F,6)</f>
        <v/>
      </c>
    </row>
    <row r="205">
      <c r="A205" s="68" t="n">
        <v>39173</v>
      </c>
      <c r="B205" s="65">
        <f>VLOOKUP(Table1[[#This Row],[Date]],'DB Money Supply'!$A:$F,6)</f>
        <v/>
      </c>
    </row>
    <row r="206">
      <c r="A206" s="68" t="n">
        <v>39264</v>
      </c>
      <c r="B206" s="65">
        <f>VLOOKUP(Table1[[#This Row],[Date]],'DB Money Supply'!$A:$F,6)</f>
        <v/>
      </c>
    </row>
    <row r="207">
      <c r="A207" s="68" t="n">
        <v>39356</v>
      </c>
      <c r="B207" s="65">
        <f>VLOOKUP(Table1[[#This Row],[Date]],'DB Money Supply'!$A:$F,6)</f>
        <v/>
      </c>
    </row>
    <row r="208">
      <c r="A208" s="68" t="n">
        <v>39448</v>
      </c>
      <c r="B208" s="65">
        <f>VLOOKUP(Table1[[#This Row],[Date]],'DB Money Supply'!$A:$F,6)</f>
        <v/>
      </c>
    </row>
    <row r="209">
      <c r="A209" s="68" t="n">
        <v>39539</v>
      </c>
      <c r="B209" s="65">
        <f>VLOOKUP(Table1[[#This Row],[Date]],'DB Money Supply'!$A:$F,6)</f>
        <v/>
      </c>
    </row>
    <row r="210">
      <c r="A210" s="68" t="n">
        <v>39630</v>
      </c>
      <c r="B210" s="65">
        <f>VLOOKUP(Table1[[#This Row],[Date]],'DB Money Supply'!$A:$F,6)</f>
        <v/>
      </c>
    </row>
    <row r="211">
      <c r="A211" s="68" t="n">
        <v>39722</v>
      </c>
      <c r="B211" s="65">
        <f>VLOOKUP(Table1[[#This Row],[Date]],'DB Money Supply'!$A:$F,6)</f>
        <v/>
      </c>
    </row>
    <row r="212">
      <c r="A212" s="68" t="n">
        <v>39814</v>
      </c>
      <c r="B212" s="65">
        <f>VLOOKUP(Table1[[#This Row],[Date]],'DB Money Supply'!$A:$F,6)</f>
        <v/>
      </c>
    </row>
    <row r="213">
      <c r="A213" s="68" t="n">
        <v>39904</v>
      </c>
      <c r="B213" s="65">
        <f>VLOOKUP(Table1[[#This Row],[Date]],'DB Money Supply'!$A:$F,6)</f>
        <v/>
      </c>
    </row>
    <row r="214">
      <c r="A214" s="68" t="n">
        <v>39995</v>
      </c>
      <c r="B214" s="65">
        <f>VLOOKUP(Table1[[#This Row],[Date]],'DB Money Supply'!$A:$F,6)</f>
        <v/>
      </c>
    </row>
    <row r="215">
      <c r="A215" s="68" t="n">
        <v>40087</v>
      </c>
      <c r="B215" s="65">
        <f>VLOOKUP(Table1[[#This Row],[Date]],'DB Money Supply'!$A:$F,6)</f>
        <v/>
      </c>
    </row>
    <row r="216">
      <c r="A216" s="68" t="n">
        <v>40179</v>
      </c>
      <c r="B216" s="65">
        <f>VLOOKUP(Table1[[#This Row],[Date]],'DB Money Supply'!$A:$F,6)</f>
        <v/>
      </c>
    </row>
    <row r="217">
      <c r="A217" s="68" t="n">
        <v>40269</v>
      </c>
      <c r="B217" s="65">
        <f>VLOOKUP(Table1[[#This Row],[Date]],'DB Money Supply'!$A:$F,6)</f>
        <v/>
      </c>
    </row>
    <row r="218">
      <c r="A218" s="68" t="n">
        <v>40360</v>
      </c>
      <c r="B218" s="65">
        <f>VLOOKUP(Table1[[#This Row],[Date]],'DB Money Supply'!$A:$F,6)</f>
        <v/>
      </c>
    </row>
    <row r="219">
      <c r="A219" s="68" t="n">
        <v>40452</v>
      </c>
      <c r="B219" s="65">
        <f>VLOOKUP(Table1[[#This Row],[Date]],'DB Money Supply'!$A:$F,6)</f>
        <v/>
      </c>
    </row>
    <row r="220">
      <c r="A220" s="68" t="n">
        <v>40544</v>
      </c>
      <c r="B220" s="65">
        <f>VLOOKUP(Table1[[#This Row],[Date]],'DB Money Supply'!$A:$F,6)</f>
        <v/>
      </c>
    </row>
    <row r="221">
      <c r="A221" s="68" t="n">
        <v>40634</v>
      </c>
      <c r="B221" s="65">
        <f>VLOOKUP(Table1[[#This Row],[Date]],'DB Money Supply'!$A:$F,6)</f>
        <v/>
      </c>
    </row>
    <row r="222">
      <c r="A222" s="68" t="n">
        <v>40725</v>
      </c>
      <c r="B222" s="65">
        <f>VLOOKUP(Table1[[#This Row],[Date]],'DB Money Supply'!$A:$F,6)</f>
        <v/>
      </c>
    </row>
    <row r="223">
      <c r="A223" s="68" t="n">
        <v>40817</v>
      </c>
      <c r="B223" s="65">
        <f>VLOOKUP(Table1[[#This Row],[Date]],'DB Money Supply'!$A:$F,6)</f>
        <v/>
      </c>
    </row>
    <row r="224">
      <c r="A224" s="68" t="n">
        <v>40909</v>
      </c>
      <c r="B224" s="65">
        <f>VLOOKUP(Table1[[#This Row],[Date]],'DB Money Supply'!$A:$F,6)</f>
        <v/>
      </c>
    </row>
    <row r="225">
      <c r="A225" s="68" t="n">
        <v>41000</v>
      </c>
      <c r="B225" s="65">
        <f>VLOOKUP(Table1[[#This Row],[Date]],'DB Money Supply'!$A:$F,6)</f>
        <v/>
      </c>
    </row>
    <row r="226">
      <c r="A226" s="68" t="n">
        <v>41091</v>
      </c>
      <c r="B226" s="65">
        <f>VLOOKUP(Table1[[#This Row],[Date]],'DB Money Supply'!$A:$F,6)</f>
        <v/>
      </c>
    </row>
    <row r="227">
      <c r="A227" s="68" t="n">
        <v>41183</v>
      </c>
      <c r="B227" s="65">
        <f>VLOOKUP(Table1[[#This Row],[Date]],'DB Money Supply'!$A:$F,6)</f>
        <v/>
      </c>
    </row>
    <row r="228">
      <c r="A228" s="68" t="n">
        <v>41275</v>
      </c>
      <c r="B228" s="65">
        <f>VLOOKUP(Table1[[#This Row],[Date]],'DB Money Supply'!$A:$F,6)</f>
        <v/>
      </c>
    </row>
    <row r="229">
      <c r="A229" s="68" t="n">
        <v>41365</v>
      </c>
      <c r="B229" s="65">
        <f>VLOOKUP(Table1[[#This Row],[Date]],'DB Money Supply'!$A:$F,6)</f>
        <v/>
      </c>
    </row>
    <row r="230">
      <c r="A230" s="68" t="n">
        <v>41456</v>
      </c>
      <c r="B230" s="65">
        <f>VLOOKUP(Table1[[#This Row],[Date]],'DB Money Supply'!$A:$F,6)</f>
        <v/>
      </c>
    </row>
    <row r="231">
      <c r="A231" s="68" t="n">
        <v>41548</v>
      </c>
      <c r="B231" s="65">
        <f>VLOOKUP(Table1[[#This Row],[Date]],'DB Money Supply'!$A:$F,6)</f>
        <v/>
      </c>
    </row>
    <row r="232">
      <c r="A232" s="68" t="n">
        <v>41640</v>
      </c>
      <c r="B232" s="65">
        <f>VLOOKUP(Table1[[#This Row],[Date]],'DB Money Supply'!$A:$F,6)</f>
        <v/>
      </c>
    </row>
    <row r="233">
      <c r="A233" s="68" t="n">
        <v>41730</v>
      </c>
      <c r="B233" s="65">
        <f>VLOOKUP(Table1[[#This Row],[Date]],'DB Money Supply'!$A:$F,6)</f>
        <v/>
      </c>
    </row>
    <row r="234">
      <c r="A234" s="68" t="n">
        <v>41821</v>
      </c>
      <c r="B234" s="65">
        <f>VLOOKUP(Table1[[#This Row],[Date]],'DB Money Supply'!$A:$F,6)</f>
        <v/>
      </c>
    </row>
    <row r="235">
      <c r="A235" s="68" t="n">
        <v>41913</v>
      </c>
      <c r="B235" s="65">
        <f>VLOOKUP(Table1[[#This Row],[Date]],'DB Money Supply'!$A:$F,6)</f>
        <v/>
      </c>
    </row>
    <row r="236">
      <c r="A236" s="68" t="n">
        <v>42005</v>
      </c>
      <c r="B236" s="65">
        <f>VLOOKUP(Table1[[#This Row],[Date]],'DB Money Supply'!$A:$F,6)</f>
        <v/>
      </c>
    </row>
    <row r="237">
      <c r="A237" s="68" t="n">
        <v>42095</v>
      </c>
      <c r="B237" s="65">
        <f>VLOOKUP(Table1[[#This Row],[Date]],'DB Money Supply'!$A:$F,6)</f>
        <v/>
      </c>
    </row>
    <row r="238">
      <c r="A238" s="68" t="n">
        <v>42186</v>
      </c>
      <c r="B238" s="65">
        <f>VLOOKUP(Table1[[#This Row],[Date]],'DB Money Supply'!$A:$F,6)</f>
        <v/>
      </c>
    </row>
    <row r="239">
      <c r="A239" s="68" t="n">
        <v>42278</v>
      </c>
      <c r="B239" s="65">
        <f>VLOOKUP(Table1[[#This Row],[Date]],'DB Money Supply'!$A:$F,6)</f>
        <v/>
      </c>
    </row>
    <row r="240">
      <c r="A240" s="68" t="n">
        <v>42370</v>
      </c>
      <c r="B240" s="65">
        <f>VLOOKUP(Table1[[#This Row],[Date]],'DB Money Supply'!$A:$F,6)</f>
        <v/>
      </c>
    </row>
    <row r="241">
      <c r="A241" s="68" t="n">
        <v>42461</v>
      </c>
      <c r="B241" s="65">
        <f>VLOOKUP(Table1[[#This Row],[Date]],'DB Money Supply'!$A:$F,6)</f>
        <v/>
      </c>
    </row>
    <row r="242">
      <c r="A242" s="68" t="n">
        <v>42552</v>
      </c>
      <c r="B242" s="65">
        <f>VLOOKUP(Table1[[#This Row],[Date]],'DB Money Supply'!$A:$F,6)</f>
        <v/>
      </c>
    </row>
    <row r="243">
      <c r="A243" s="68" t="n">
        <v>42644</v>
      </c>
      <c r="B243" s="65">
        <f>VLOOKUP(Table1[[#This Row],[Date]],'DB Money Supply'!$A:$F,6)</f>
        <v/>
      </c>
    </row>
    <row r="244">
      <c r="A244" s="68" t="n">
        <v>42736</v>
      </c>
      <c r="B244" s="65">
        <f>VLOOKUP(Table1[[#This Row],[Date]],'DB Money Supply'!$A:$F,6)</f>
        <v/>
      </c>
    </row>
    <row r="245">
      <c r="A245" s="68" t="n">
        <v>42826</v>
      </c>
      <c r="B245" s="65">
        <f>VLOOKUP(Table1[[#This Row],[Date]],'DB Money Supply'!$A:$F,6)</f>
        <v/>
      </c>
    </row>
    <row r="246">
      <c r="A246" s="68" t="n">
        <v>42917</v>
      </c>
      <c r="B246" s="65">
        <f>VLOOKUP(Table1[[#This Row],[Date]],'DB Money Supply'!$A:$F,6)</f>
        <v/>
      </c>
    </row>
    <row r="247">
      <c r="A247" s="68" t="n">
        <v>43009</v>
      </c>
      <c r="B247" s="65">
        <f>VLOOKUP(Table1[[#This Row],[Date]],'DB Money Supply'!$A:$F,6)</f>
        <v/>
      </c>
    </row>
    <row r="248">
      <c r="A248" s="68" t="n">
        <v>43101</v>
      </c>
      <c r="B248" s="65">
        <f>VLOOKUP(Table1[[#This Row],[Date]],'DB Money Supply'!$A:$F,6)</f>
        <v/>
      </c>
    </row>
    <row r="249">
      <c r="A249" s="68" t="n">
        <v>43191</v>
      </c>
      <c r="B249" s="65">
        <f>VLOOKUP(Table1[[#This Row],[Date]],'DB Money Supply'!$A:$F,6)</f>
        <v/>
      </c>
    </row>
    <row r="250">
      <c r="A250" s="68" t="n">
        <v>43282</v>
      </c>
      <c r="B250" s="65">
        <f>VLOOKUP(Table1[[#This Row],[Date]],'DB Money Supply'!$A:$F,6)</f>
        <v/>
      </c>
    </row>
    <row r="251">
      <c r="A251" s="68" t="n">
        <v>43374</v>
      </c>
      <c r="B251" s="65">
        <f>VLOOKUP(Table1[[#This Row],[Date]],'DB Money Supply'!$A:$F,6)</f>
        <v/>
      </c>
    </row>
    <row r="252">
      <c r="A252" s="68" t="n">
        <v>43466</v>
      </c>
      <c r="B252" s="65">
        <f>VLOOKUP(Table1[[#This Row],[Date]],'DB Money Supply'!$A:$F,6)</f>
        <v/>
      </c>
    </row>
    <row r="253">
      <c r="A253" s="68" t="n">
        <v>43556</v>
      </c>
      <c r="B253" s="65">
        <f>VLOOKUP(Table1[[#This Row],[Date]],'DB Money Supply'!$A:$F,6)</f>
        <v/>
      </c>
    </row>
    <row r="254">
      <c r="A254" s="68" t="n">
        <v>43647</v>
      </c>
      <c r="B254" s="65">
        <f>VLOOKUP(Table1[[#This Row],[Date]],'DB Money Supply'!$A:$F,6)</f>
        <v/>
      </c>
    </row>
    <row r="255">
      <c r="A255" s="68" t="n">
        <v>43739</v>
      </c>
      <c r="B255" s="65">
        <f>VLOOKUP(Table1[[#This Row],[Date]],'DB Money Supply'!$A:$F,6)</f>
        <v/>
      </c>
    </row>
    <row r="256">
      <c r="A256" s="68" t="n">
        <v>43831</v>
      </c>
      <c r="B256" s="65">
        <f>VLOOKUP(Table1[[#This Row],[Date]],'DB Money Supply'!$A:$F,6)</f>
        <v/>
      </c>
    </row>
    <row r="257">
      <c r="A257" s="68" t="n">
        <v>43922</v>
      </c>
      <c r="B257" s="65">
        <f>VLOOKUP(Table1[[#This Row],[Date]],'DB Money Supply'!$A:$F,6)</f>
        <v/>
      </c>
    </row>
    <row r="258">
      <c r="A258" s="68" t="n">
        <v>44013</v>
      </c>
      <c r="B258" s="65">
        <f>VLOOKUP(Table1[[#This Row],[Date]],'DB Money Supply'!$A:$F,6)</f>
        <v/>
      </c>
    </row>
    <row r="259">
      <c r="A259" s="68" t="n">
        <v>44105</v>
      </c>
      <c r="B259" s="65">
        <f>VLOOKUP(Table1[[#This Row],[Date]],'DB Money Supply'!$A:$F,6)</f>
        <v/>
      </c>
    </row>
    <row r="260">
      <c r="A260" s="68" t="n">
        <v>44197</v>
      </c>
      <c r="B260" s="65">
        <f>VLOOKUP(Table1[[#This Row],[Date]],'DB Money Supply'!$A:$F,6)</f>
        <v/>
      </c>
    </row>
    <row r="261">
      <c r="A261" s="68" t="n">
        <v>44287</v>
      </c>
      <c r="B261" s="65">
        <f>VLOOKUP(Table1[[#This Row],[Date]],'DB Money Supply'!$A:$F,6)</f>
        <v/>
      </c>
    </row>
    <row r="262">
      <c r="A262" s="68" t="n">
        <v>44378</v>
      </c>
      <c r="B262" s="65">
        <f>VLOOKUP(Table1[[#This Row],[Date]],'DB Money Supply'!$A:$F,6)</f>
        <v/>
      </c>
    </row>
    <row r="263">
      <c r="A263" s="68" t="n">
        <v>44470</v>
      </c>
      <c r="B263" s="65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61"/>
  <sheetViews>
    <sheetView zoomScale="180" zoomScaleNormal="180" workbookViewId="0">
      <pane ySplit="5" topLeftCell="A733" activePane="bottomLeft" state="frozen"/>
      <selection pane="bottomLeft" activeCell="D765" sqref="D765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19"/>
    <col width="9.1640625" customWidth="1" style="79" min="20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s="67" thickBot="1"/>
    <row r="5" ht="42.75" customHeight="1" s="67">
      <c r="A5" s="48" t="inlineStr">
        <is>
          <t>Month</t>
        </is>
      </c>
      <c r="B5" s="49" t="inlineStr">
        <is>
          <t>Real M1 Money Stock</t>
        </is>
      </c>
      <c r="C5" s="50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63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63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63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63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63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63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63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63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63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63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63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63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63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63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63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63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63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63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63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63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63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63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63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63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63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63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63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63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63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63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63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63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63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63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63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63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63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63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63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63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63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63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63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63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63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63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63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63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63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63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63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63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63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63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63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63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63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63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63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63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63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63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63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63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63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63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63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63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63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63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63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63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63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63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63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63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63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63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63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63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63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63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63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63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63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63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63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63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63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63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63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63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63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63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63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63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63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63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63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63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63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63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63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63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63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63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63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63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63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63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63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63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63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63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63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63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63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63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63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63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63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63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63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63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63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63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63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63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63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63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63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63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63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63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63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63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63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63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63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63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63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63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63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63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63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63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63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63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63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63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63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63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63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63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63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63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63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63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63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63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63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63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63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63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63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63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63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63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63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63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63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63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63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63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63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63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63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63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63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63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63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63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63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63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63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63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63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63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63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63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63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63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63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63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63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63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63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63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63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63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63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63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63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63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63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63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63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63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63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63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63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63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63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63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63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63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63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63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63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63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63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63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63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63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63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63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63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63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63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63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63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63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63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63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63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63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63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63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63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63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63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63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63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63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63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63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63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63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63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63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63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63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63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63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63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63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63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63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63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63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63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63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63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63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63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63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63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63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63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63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63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63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63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63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63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63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63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63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63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63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63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63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63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63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63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63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63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63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63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63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63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63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63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63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63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63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63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63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63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63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63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63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63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63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63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63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63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63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63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63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63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63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63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63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63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63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63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63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63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63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63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63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63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63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63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63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63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63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63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63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63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63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63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63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63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63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63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63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63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63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63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63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63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63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63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63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63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63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63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63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63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63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63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63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63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63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63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63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63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63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63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63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63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63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63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63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63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63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63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63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63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63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63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63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63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63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63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63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63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63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63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63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63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63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63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63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63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63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63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63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63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63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63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63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63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63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63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63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63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63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63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63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63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63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63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63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63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63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63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63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63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63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63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63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63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63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63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63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63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63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63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63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63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63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63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63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63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63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63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63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63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63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63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63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63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63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63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63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63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63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63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63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63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63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63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63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63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63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63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63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63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63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63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63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63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63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63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63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63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63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63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63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63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63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63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63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63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63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63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63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63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63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63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63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63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63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63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63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63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63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63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63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63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63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63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63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63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63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63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63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63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63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63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63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63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63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63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63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63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63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63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63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63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63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63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63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63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63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63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63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63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63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63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63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63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63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63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63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63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63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63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63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63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63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63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63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63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63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63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63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63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63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63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63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63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63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63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63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63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63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63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63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63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63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63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63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63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63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63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63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63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63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63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63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63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63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63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63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63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63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63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63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63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63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63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63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63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63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63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63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63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63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63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63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63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63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63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63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63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63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63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63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63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63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63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63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63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63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63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63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63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63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63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63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63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63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63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63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63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63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63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63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63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63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63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63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63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63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63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63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63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63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63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63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63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63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63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63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63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63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63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63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63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63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63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63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63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63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63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63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63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63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63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63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63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63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63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63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63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63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63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63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63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63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63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63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63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63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63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63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63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63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63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63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63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63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63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63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63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63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63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63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63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63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63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63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63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63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63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63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63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63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63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63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63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63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63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63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63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63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63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63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63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63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63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63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63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63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63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63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63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63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63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63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63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63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63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63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63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63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63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63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63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63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63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63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63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63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63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63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63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63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63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63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63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63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63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63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63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63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63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63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63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63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63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63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63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63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63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63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63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63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63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63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63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63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63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63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63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63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63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63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63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63">
        <f>(Table3032[[#This Row],[Real M1 Money Stock]]-B749)/B749</f>
        <v/>
      </c>
    </row>
  </sheetData>
  <conditionalFormatting sqref="C18:C761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61"/>
  <sheetViews>
    <sheetView zoomScale="170" zoomScaleNormal="170" workbookViewId="0">
      <pane ySplit="5" topLeftCell="A728" activePane="bottomLeft" state="frozen"/>
      <selection pane="bottomLeft" activeCell="I763" sqref="I763"/>
    </sheetView>
  </sheetViews>
  <sheetFormatPr baseColWidth="10" defaultColWidth="9.1640625" defaultRowHeight="15"/>
  <cols>
    <col width="11.6640625" customWidth="1" style="16" min="1" max="1"/>
    <col width="12" customWidth="1" style="16" min="2" max="2"/>
    <col width="14.6640625" customWidth="1" style="16" min="3" max="3"/>
    <col width="9.1640625" customWidth="1" style="79" min="4" max="6"/>
    <col width="13.33203125" customWidth="1" style="79" min="7" max="7"/>
    <col width="9.1640625" customWidth="1" style="79" min="8" max="19"/>
    <col width="9.1640625" customWidth="1" style="79" min="20" max="16384"/>
  </cols>
  <sheetData>
    <row r="1">
      <c r="A1" s="1" t="inlineStr">
        <is>
          <t>https://fred.stlouisfed.org/series/M2REAL</t>
        </is>
      </c>
    </row>
    <row r="2">
      <c r="A2" s="79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 s="67">
      <c r="A5" s="51" t="inlineStr">
        <is>
          <t>Month</t>
        </is>
      </c>
      <c r="B5" s="52" t="inlineStr">
        <is>
          <t>Real M2 Money Stock</t>
        </is>
      </c>
      <c r="C5" s="53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63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63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63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63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63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63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63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63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63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63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63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63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63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63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63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63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63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63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63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63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63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63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63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63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63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63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63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63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63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63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63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63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63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63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63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63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63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63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63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63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63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63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63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63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63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63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63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63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63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63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63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63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63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63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63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63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63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63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63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63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63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63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63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63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63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63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63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63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63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63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63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63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63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63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63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63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63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63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63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63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63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63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63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63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63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63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63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63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63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63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63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63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63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63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63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63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63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63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63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63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63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63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63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63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63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63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63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63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63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63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63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63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63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63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63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63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63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63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63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63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63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63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63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63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63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63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63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63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63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63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63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63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63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63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63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63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63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63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63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63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63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63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63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63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63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63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63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63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63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63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63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63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63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63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63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63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63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63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63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63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63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63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63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63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63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63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63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63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63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63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63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63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63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63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63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63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63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63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63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63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63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63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63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63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63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63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63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63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63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63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63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63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63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63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63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63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63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63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63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63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63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63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63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63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63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63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63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63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63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63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63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63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63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63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63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63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63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63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63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63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63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63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63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63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63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63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63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63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63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63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63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63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63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63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63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63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63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63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63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63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63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63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63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63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63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63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63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63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63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63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63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63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63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63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63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63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63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63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63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63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63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63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63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63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63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63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63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63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63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63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63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63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63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63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63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63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63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63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63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63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63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63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63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63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63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63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63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63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63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63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63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63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63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63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63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63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63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63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63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63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63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63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63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63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63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63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63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63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63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63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63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63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63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63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63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63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63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63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63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63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63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63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63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63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63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63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63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63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63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63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63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63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63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63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63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63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63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63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63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63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63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63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63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63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63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63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63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63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63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63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63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63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63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63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63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63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63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63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63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63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63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63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63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63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63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63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63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63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63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63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63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63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63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63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63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63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63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63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63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63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63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63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63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63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63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63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63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63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63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63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63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63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63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63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63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63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63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63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63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63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63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63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63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63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63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63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63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63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63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63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63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63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63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63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63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63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63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63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63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63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63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63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63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63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63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63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63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63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63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63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63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63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63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63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63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63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63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63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63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63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63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63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63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63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63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63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63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63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63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63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63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63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63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63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63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63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63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63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63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63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63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63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63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63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63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63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63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63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63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63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63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63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63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63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63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63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63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63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63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63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63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63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63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63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63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63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63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63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63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63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63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63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63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63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63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63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63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63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63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63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63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63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63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63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63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63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63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63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63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63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63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63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63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63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63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63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63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63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63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63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63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63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63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63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63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63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63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63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63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63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63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63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63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63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63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63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63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63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63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63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63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63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63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63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63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63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63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63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63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63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63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63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63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63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63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63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63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63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63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63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63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63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63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63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63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63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63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63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63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63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63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63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63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63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63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63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63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63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63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63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63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63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63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63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63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63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63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63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63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63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63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63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63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63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63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63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63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63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63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63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63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63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63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63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63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63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63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63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63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63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63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63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63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63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63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63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63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63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63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63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63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63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63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63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63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63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63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63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63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63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63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63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63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63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63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63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63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63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63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63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63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63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63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63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63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63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63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63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63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63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63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63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63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63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63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63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63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63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63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63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63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63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63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63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63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63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63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63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63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63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63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63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63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63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63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63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63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63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63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63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63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63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63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63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63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63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63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63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63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63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63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63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63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63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63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63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63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63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63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63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63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63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63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63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63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63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63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63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63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63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63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63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63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63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63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63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63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63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63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63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63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63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63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63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63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63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63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63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63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63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63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63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63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63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63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63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63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</sheetData>
  <conditionalFormatting sqref="C18:C7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outlinePr summaryBelow="1" summaryRight="1"/>
    <pageSetUpPr/>
  </sheetPr>
  <dimension ref="A1:H2410"/>
  <sheetViews>
    <sheetView zoomScale="150" zoomScaleNormal="150" workbookViewId="0">
      <pane ySplit="5" topLeftCell="A2374" activePane="bottomLeft" state="frozen"/>
      <selection pane="bottomLeft" activeCell="F2415" sqref="F2415"/>
    </sheetView>
  </sheetViews>
  <sheetFormatPr baseColWidth="10" defaultColWidth="9.1640625" defaultRowHeight="15"/>
  <cols>
    <col width="16.6640625" customWidth="1" style="16" min="1" max="1"/>
    <col width="19" customWidth="1" style="16" min="2" max="2"/>
    <col width="14.6640625" customWidth="1" style="16" min="3" max="3"/>
    <col width="14.6640625" customWidth="1" style="79" min="4" max="4"/>
    <col width="9.1640625" customWidth="1" style="79" min="5" max="16"/>
    <col width="9.1640625" customWidth="1" style="79" min="17" max="16384"/>
  </cols>
  <sheetData>
    <row r="1">
      <c r="A1" s="85" t="inlineStr">
        <is>
          <t>https://fred.stlouisfed.org/series/M1</t>
        </is>
      </c>
    </row>
    <row r="3">
      <c r="H3" s="17" t="n"/>
    </row>
    <row r="4" ht="16" customHeight="1" s="67" thickBot="1">
      <c r="H4" s="17" t="n"/>
    </row>
    <row r="5" ht="39.75" customHeight="1" s="67">
      <c r="A5" s="48" t="inlineStr">
        <is>
          <t>Date</t>
        </is>
      </c>
      <c r="B5" s="54" t="inlineStr">
        <is>
          <t>M1 Money Stock, Billions of Dollars, Weekly, Seasonally Adjusted</t>
        </is>
      </c>
      <c r="C5" s="49" t="inlineStr">
        <is>
          <t>Weekly change</t>
        </is>
      </c>
      <c r="D5" s="49" t="inlineStr">
        <is>
          <t>Annualized Change</t>
        </is>
      </c>
      <c r="E5" s="49" t="inlineStr">
        <is>
          <t>4 weeks average</t>
        </is>
      </c>
      <c r="F5" s="50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61"/>
  <sheetViews>
    <sheetView zoomScale="160" zoomScaleNormal="160" workbookViewId="0">
      <pane ySplit="5" topLeftCell="A725" activePane="bottomLeft" state="frozen"/>
      <selection pane="bottomLeft" activeCell="A756" sqref="A756:D761"/>
    </sheetView>
  </sheetViews>
  <sheetFormatPr baseColWidth="10" defaultColWidth="9.1640625" defaultRowHeight="15"/>
  <cols>
    <col width="16.6640625" customWidth="1" style="16" min="1" max="1"/>
    <col width="19" customWidth="1" style="79" min="2" max="2"/>
    <col width="14.6640625" customWidth="1" style="16" min="3" max="3"/>
    <col width="14.6640625" customWidth="1" style="79" min="4" max="4"/>
    <col width="9.1640625" customWidth="1" style="79" min="5" max="16"/>
    <col width="9.1640625" customWidth="1" style="79" min="17" max="16384"/>
  </cols>
  <sheetData>
    <row r="1">
      <c r="A1" t="inlineStr">
        <is>
          <t>https://fred.stlouisfed.org/series/M2SL</t>
        </is>
      </c>
    </row>
    <row r="2">
      <c r="A2" s="79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s="67" thickBot="1">
      <c r="F4" s="17">
        <f>_xlfn.STDEV.S(D7:D752)</f>
        <v/>
      </c>
    </row>
    <row r="5" ht="69" customHeight="1" s="67" thickBot="1">
      <c r="A5" s="58" t="inlineStr">
        <is>
          <t>Date</t>
        </is>
      </c>
      <c r="B5" s="59" t="inlineStr">
        <is>
          <t>M2 Money Stock, Billions of Dollars, Monthly, Seasonally Adjusted</t>
        </is>
      </c>
      <c r="C5" s="60" t="inlineStr">
        <is>
          <t>Monthly change</t>
        </is>
      </c>
      <c r="D5" s="60" t="inlineStr">
        <is>
          <t>M2 Monthly Change Annualized %</t>
        </is>
      </c>
    </row>
    <row r="6">
      <c r="A6" s="55" t="n">
        <v>21551</v>
      </c>
      <c r="B6" s="57">
        <f>VLOOKUP(Table26[[#This Row],[Date]],'DB Money Supply'!$A:$E,5)</f>
        <v/>
      </c>
      <c r="C6" s="56" t="n"/>
      <c r="D6" s="56" t="n"/>
    </row>
    <row r="7">
      <c r="A7" s="33" t="n">
        <v>21582</v>
      </c>
      <c r="B7" s="57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5" t="n">
        <v>21610</v>
      </c>
      <c r="B8" s="57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7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5" t="n">
        <v>21671</v>
      </c>
      <c r="B10" s="57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7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5" t="n">
        <v>21732</v>
      </c>
      <c r="B12" s="57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7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5" t="n">
        <v>21794</v>
      </c>
      <c r="B14" s="57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7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5" t="n">
        <v>21855</v>
      </c>
      <c r="B16" s="57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7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5" t="n">
        <v>21916</v>
      </c>
      <c r="B18" s="57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7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5" t="n">
        <v>21976</v>
      </c>
      <c r="B20" s="57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7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5" t="n">
        <v>22037</v>
      </c>
      <c r="B22" s="57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7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5" t="n">
        <v>22098</v>
      </c>
      <c r="B24" s="57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5" t="n">
        <v>22129</v>
      </c>
      <c r="B25" s="57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7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5" t="n">
        <v>22190</v>
      </c>
      <c r="B27" s="57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7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5" t="n">
        <v>22251</v>
      </c>
      <c r="B29" s="57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7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5" t="n">
        <v>22313</v>
      </c>
      <c r="B31" s="57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7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5" t="n">
        <v>22372</v>
      </c>
      <c r="B33" s="57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7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5" t="n">
        <v>22433</v>
      </c>
      <c r="B35" s="57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7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5" t="n">
        <v>22494</v>
      </c>
      <c r="B37" s="57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7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5" t="n">
        <v>22555</v>
      </c>
      <c r="B39" s="57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7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5" t="n">
        <v>22616</v>
      </c>
      <c r="B41" s="57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7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5" t="n">
        <v>22678</v>
      </c>
      <c r="B43" s="57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5" t="n">
        <v>22706</v>
      </c>
      <c r="B44" s="57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7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5" t="n">
        <v>22767</v>
      </c>
      <c r="B46" s="57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7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5" t="n">
        <v>22828</v>
      </c>
      <c r="B48" s="57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7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5" t="n">
        <v>22890</v>
      </c>
      <c r="B50" s="57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7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5" t="n">
        <v>22951</v>
      </c>
      <c r="B52" s="57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7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5" t="n">
        <v>23012</v>
      </c>
      <c r="B54" s="57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7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5" t="n">
        <v>23071</v>
      </c>
      <c r="B56" s="57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7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5" t="n">
        <v>23132</v>
      </c>
      <c r="B58" s="57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7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5" t="n">
        <v>23193</v>
      </c>
      <c r="B60" s="57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7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5" t="n">
        <v>23255</v>
      </c>
      <c r="B62" s="57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5" t="n">
        <v>23285</v>
      </c>
      <c r="B63" s="57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7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5" t="n">
        <v>23346</v>
      </c>
      <c r="B65" s="57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7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5" t="n">
        <v>23408</v>
      </c>
      <c r="B67" s="57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7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5" t="n">
        <v>23468</v>
      </c>
      <c r="B69" s="57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7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5" t="n">
        <v>23529</v>
      </c>
      <c r="B71" s="57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7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5" t="n">
        <v>23590</v>
      </c>
      <c r="B73" s="57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7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5" t="n">
        <v>23651</v>
      </c>
      <c r="B75" s="57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7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5" t="n">
        <v>23712</v>
      </c>
      <c r="B77" s="57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7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5" t="n">
        <v>23774</v>
      </c>
      <c r="B79" s="57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7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5" t="n">
        <v>23833</v>
      </c>
      <c r="B81" s="57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5" t="n">
        <v>23863</v>
      </c>
      <c r="B82" s="57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7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5" t="n">
        <v>23924</v>
      </c>
      <c r="B84" s="57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7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5" t="n">
        <v>23986</v>
      </c>
      <c r="B86" s="57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7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5" t="n">
        <v>24047</v>
      </c>
      <c r="B88" s="57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7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5" t="n">
        <v>24108</v>
      </c>
      <c r="B90" s="57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7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5" t="n">
        <v>24167</v>
      </c>
      <c r="B92" s="57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7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5" t="n">
        <v>24228</v>
      </c>
      <c r="B94" s="57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7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5" t="n">
        <v>24289</v>
      </c>
      <c r="B96" s="57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7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5" t="n">
        <v>24351</v>
      </c>
      <c r="B98" s="57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7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5" t="n">
        <v>24412</v>
      </c>
      <c r="B100" s="57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5" t="n">
        <v>24442</v>
      </c>
      <c r="B101" s="57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7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5" t="n">
        <v>24504</v>
      </c>
      <c r="B103" s="57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7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5" t="n">
        <v>24563</v>
      </c>
      <c r="B105" s="57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7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5" t="n">
        <v>24624</v>
      </c>
      <c r="B107" s="57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7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5" t="n">
        <v>24685</v>
      </c>
      <c r="B109" s="57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7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5" t="n">
        <v>24746</v>
      </c>
      <c r="B111" s="57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7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5" t="n">
        <v>24807</v>
      </c>
      <c r="B113" s="57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7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5" t="n">
        <v>24869</v>
      </c>
      <c r="B115" s="57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7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5" t="n">
        <v>24929</v>
      </c>
      <c r="B117" s="57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7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5" t="n">
        <v>24990</v>
      </c>
      <c r="B119" s="57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5" t="n">
        <v>25020</v>
      </c>
      <c r="B120" s="57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7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5" t="n">
        <v>25082</v>
      </c>
      <c r="B122" s="57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7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5" t="n">
        <v>25143</v>
      </c>
      <c r="B124" s="57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7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5" t="n">
        <v>25204</v>
      </c>
      <c r="B126" s="57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7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5" t="n">
        <v>25263</v>
      </c>
      <c r="B128" s="57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7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5" t="n">
        <v>25324</v>
      </c>
      <c r="B130" s="57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7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5" t="n">
        <v>25385</v>
      </c>
      <c r="B132" s="57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7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5" t="n">
        <v>25447</v>
      </c>
      <c r="B134" s="57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7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5" t="n">
        <v>25508</v>
      </c>
      <c r="B136" s="57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7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5" t="n">
        <v>25569</v>
      </c>
      <c r="B138" s="57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5" t="n">
        <v>25600</v>
      </c>
      <c r="B139" s="57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7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5" t="n">
        <v>25659</v>
      </c>
      <c r="B141" s="57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7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5" t="n">
        <v>25720</v>
      </c>
      <c r="B143" s="57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7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5" t="n">
        <v>25781</v>
      </c>
      <c r="B145" s="57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7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5" t="n">
        <v>25842</v>
      </c>
      <c r="B147" s="57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7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5" t="n">
        <v>25903</v>
      </c>
      <c r="B149" s="57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7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5" t="n">
        <v>25965</v>
      </c>
      <c r="B151" s="57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7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5" t="n">
        <v>26024</v>
      </c>
      <c r="B153" s="57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7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5" t="n">
        <v>26085</v>
      </c>
      <c r="B155" s="57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7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5" t="n">
        <v>26146</v>
      </c>
      <c r="B157" s="57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5" t="n">
        <v>26177</v>
      </c>
      <c r="B158" s="57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7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5" t="n">
        <v>26238</v>
      </c>
      <c r="B160" s="57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7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5" t="n">
        <v>26299</v>
      </c>
      <c r="B162" s="57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7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5" t="n">
        <v>26359</v>
      </c>
      <c r="B164" s="57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7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5" t="n">
        <v>26420</v>
      </c>
      <c r="B166" s="57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7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5" t="n">
        <v>26481</v>
      </c>
      <c r="B168" s="57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7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5" t="n">
        <v>26543</v>
      </c>
      <c r="B170" s="57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7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5" t="n">
        <v>26604</v>
      </c>
      <c r="B172" s="57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7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5" t="n">
        <v>26665</v>
      </c>
      <c r="B174" s="57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7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5" t="n">
        <v>26724</v>
      </c>
      <c r="B176" s="57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5" t="n">
        <v>26755</v>
      </c>
      <c r="B177" s="57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7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5" t="n">
        <v>26816</v>
      </c>
      <c r="B179" s="57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7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5" t="n">
        <v>26877</v>
      </c>
      <c r="B181" s="57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7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5" t="n">
        <v>26938</v>
      </c>
      <c r="B183" s="57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7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5" t="n">
        <v>26999</v>
      </c>
      <c r="B185" s="57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7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5" t="n">
        <v>27061</v>
      </c>
      <c r="B187" s="57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7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5" t="n">
        <v>27120</v>
      </c>
      <c r="B189" s="57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7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5" t="n">
        <v>27181</v>
      </c>
      <c r="B191" s="57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7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5" t="n">
        <v>27242</v>
      </c>
      <c r="B193" s="57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7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5" t="n">
        <v>27303</v>
      </c>
      <c r="B195" s="57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5" t="n">
        <v>27334</v>
      </c>
      <c r="B196" s="57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7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5" t="n">
        <v>27395</v>
      </c>
      <c r="B198" s="57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7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5" t="n">
        <v>27454</v>
      </c>
      <c r="B200" s="57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7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5" t="n">
        <v>27515</v>
      </c>
      <c r="B202" s="57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7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5" t="n">
        <v>27576</v>
      </c>
      <c r="B204" s="57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7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5" t="n">
        <v>27638</v>
      </c>
      <c r="B206" s="57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7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5" t="n">
        <v>27699</v>
      </c>
      <c r="B208" s="57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7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5" t="n">
        <v>27760</v>
      </c>
      <c r="B210" s="57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7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5" t="n">
        <v>27820</v>
      </c>
      <c r="B212" s="57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7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5" t="n">
        <v>27881</v>
      </c>
      <c r="B214" s="57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5" t="n">
        <v>27912</v>
      </c>
      <c r="B215" s="57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7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5" t="n">
        <v>27973</v>
      </c>
      <c r="B217" s="57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7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5" t="n">
        <v>28034</v>
      </c>
      <c r="B219" s="57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7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5" t="n">
        <v>28095</v>
      </c>
      <c r="B221" s="57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7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5" t="n">
        <v>28157</v>
      </c>
      <c r="B223" s="57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7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5" t="n">
        <v>28216</v>
      </c>
      <c r="B225" s="57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7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5" t="n">
        <v>28277</v>
      </c>
      <c r="B227" s="57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7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5" t="n">
        <v>28338</v>
      </c>
      <c r="B229" s="57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7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5" t="n">
        <v>28399</v>
      </c>
      <c r="B231" s="57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7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5" t="n">
        <v>28460</v>
      </c>
      <c r="B233" s="57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5" t="n">
        <v>28491</v>
      </c>
      <c r="B234" s="57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7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5" t="n">
        <v>28550</v>
      </c>
      <c r="B236" s="57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7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5" t="n">
        <v>28611</v>
      </c>
      <c r="B238" s="57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7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5" t="n">
        <v>28672</v>
      </c>
      <c r="B240" s="57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7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5" t="n">
        <v>28734</v>
      </c>
      <c r="B242" s="57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7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5" t="n">
        <v>28795</v>
      </c>
      <c r="B244" s="57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7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5" t="n">
        <v>28856</v>
      </c>
      <c r="B246" s="57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7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5" t="n">
        <v>28915</v>
      </c>
      <c r="B248" s="57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7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5" t="n">
        <v>28976</v>
      </c>
      <c r="B250" s="57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7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5" t="n">
        <v>29037</v>
      </c>
      <c r="B252" s="57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5" t="n">
        <v>29068</v>
      </c>
      <c r="B253" s="57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7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5" t="n">
        <v>29129</v>
      </c>
      <c r="B255" s="57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7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5" t="n">
        <v>29190</v>
      </c>
      <c r="B257" s="57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7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5" t="n">
        <v>29252</v>
      </c>
      <c r="B259" s="57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7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5" t="n">
        <v>29312</v>
      </c>
      <c r="B261" s="57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7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5" t="n">
        <v>29373</v>
      </c>
      <c r="B263" s="57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7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5" t="n">
        <v>29434</v>
      </c>
      <c r="B265" s="57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7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5" t="n">
        <v>29495</v>
      </c>
      <c r="B267" s="57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7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5" t="n">
        <v>29556</v>
      </c>
      <c r="B269" s="57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7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5" t="n">
        <v>29618</v>
      </c>
      <c r="B271" s="57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5" t="n">
        <v>29646</v>
      </c>
      <c r="B272" s="57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7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5" t="n">
        <v>29707</v>
      </c>
      <c r="B274" s="57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7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5" t="n">
        <v>29768</v>
      </c>
      <c r="B276" s="57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7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5" t="n">
        <v>29830</v>
      </c>
      <c r="B278" s="57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7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5" t="n">
        <v>29891</v>
      </c>
      <c r="B280" s="57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7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5" t="n">
        <v>29952</v>
      </c>
      <c r="B282" s="57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7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5" t="n">
        <v>30011</v>
      </c>
      <c r="B284" s="57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7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5" t="n">
        <v>30072</v>
      </c>
      <c r="B286" s="57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7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5" t="n">
        <v>30133</v>
      </c>
      <c r="B288" s="57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7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5" t="n">
        <v>30195</v>
      </c>
      <c r="B290" s="57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5" t="n">
        <v>30225</v>
      </c>
      <c r="B291" s="57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7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5" t="n">
        <v>30286</v>
      </c>
      <c r="B293" s="57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7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5" t="n">
        <v>30348</v>
      </c>
      <c r="B295" s="57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7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5" t="n">
        <v>30407</v>
      </c>
      <c r="B297" s="57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7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5" t="n">
        <v>30468</v>
      </c>
      <c r="B299" s="57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7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5" t="n">
        <v>30529</v>
      </c>
      <c r="B301" s="57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7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5" t="n">
        <v>30590</v>
      </c>
      <c r="B303" s="57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7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5" t="n">
        <v>30651</v>
      </c>
      <c r="B305" s="57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7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5" t="n">
        <v>30713</v>
      </c>
      <c r="B307" s="57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7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5" t="n">
        <v>30773</v>
      </c>
      <c r="B309" s="57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5" t="n">
        <v>30803</v>
      </c>
      <c r="B310" s="57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7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5" t="n">
        <v>30864</v>
      </c>
      <c r="B312" s="57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7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5" t="n">
        <v>30926</v>
      </c>
      <c r="B314" s="57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7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5" t="n">
        <v>30987</v>
      </c>
      <c r="B316" s="57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7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5" t="n">
        <v>31048</v>
      </c>
      <c r="B318" s="57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7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5" t="n">
        <v>31107</v>
      </c>
      <c r="B320" s="57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7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5" t="n">
        <v>31168</v>
      </c>
      <c r="B322" s="57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7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5" t="n">
        <v>31229</v>
      </c>
      <c r="B324" s="57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7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5" t="n">
        <v>31291</v>
      </c>
      <c r="B326" s="57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7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5" t="n">
        <v>31352</v>
      </c>
      <c r="B328" s="57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5" t="n">
        <v>31382</v>
      </c>
      <c r="B329" s="57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7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5" t="n">
        <v>31444</v>
      </c>
      <c r="B331" s="57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7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5" t="n">
        <v>31503</v>
      </c>
      <c r="B333" s="57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7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5" t="n">
        <v>31564</v>
      </c>
      <c r="B335" s="57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7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5" t="n">
        <v>31625</v>
      </c>
      <c r="B337" s="57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7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5" t="n">
        <v>31686</v>
      </c>
      <c r="B339" s="57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7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5" t="n">
        <v>31747</v>
      </c>
      <c r="B341" s="57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7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5" t="n">
        <v>31809</v>
      </c>
      <c r="B343" s="57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7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5" t="n">
        <v>31868</v>
      </c>
      <c r="B345" s="57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7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5" t="n">
        <v>31929</v>
      </c>
      <c r="B347" s="57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5" t="n">
        <v>31959</v>
      </c>
      <c r="B348" s="57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7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5" t="n">
        <v>32021</v>
      </c>
      <c r="B350" s="57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7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5" t="n">
        <v>32082</v>
      </c>
      <c r="B352" s="57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7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5" t="n">
        <v>32143</v>
      </c>
      <c r="B354" s="57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7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5" t="n">
        <v>32203</v>
      </c>
      <c r="B356" s="57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7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5" t="n">
        <v>32264</v>
      </c>
      <c r="B358" s="57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7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5" t="n">
        <v>32325</v>
      </c>
      <c r="B360" s="57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7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5" t="n">
        <v>32387</v>
      </c>
      <c r="B362" s="57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7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5" t="n">
        <v>32448</v>
      </c>
      <c r="B364" s="57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7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5" t="n">
        <v>32509</v>
      </c>
      <c r="B366" s="57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5" t="n">
        <v>32540</v>
      </c>
      <c r="B367" s="57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7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5" t="n">
        <v>32599</v>
      </c>
      <c r="B369" s="57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7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5" t="n">
        <v>32660</v>
      </c>
      <c r="B371" s="57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7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5" t="n">
        <v>32721</v>
      </c>
      <c r="B373" s="57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7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5" t="n">
        <v>32782</v>
      </c>
      <c r="B375" s="57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7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5" t="n">
        <v>32843</v>
      </c>
      <c r="B377" s="57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7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5" t="n">
        <v>32905</v>
      </c>
      <c r="B379" s="57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7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5" t="n">
        <v>32964</v>
      </c>
      <c r="B381" s="57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7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5" t="n">
        <v>33025</v>
      </c>
      <c r="B383" s="57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7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5" t="n">
        <v>33086</v>
      </c>
      <c r="B385" s="57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5" t="n">
        <v>33117</v>
      </c>
      <c r="B386" s="57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7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5" t="n">
        <v>33178</v>
      </c>
      <c r="B388" s="57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7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5" t="n">
        <v>33239</v>
      </c>
      <c r="B390" s="57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7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5" t="n">
        <v>33298</v>
      </c>
      <c r="B392" s="57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7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5" t="n">
        <v>33359</v>
      </c>
      <c r="B394" s="57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7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5" t="n">
        <v>33420</v>
      </c>
      <c r="B396" s="57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7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5" t="n">
        <v>33482</v>
      </c>
      <c r="B398" s="57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7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5" t="n">
        <v>33543</v>
      </c>
      <c r="B400" s="57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7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5" t="n">
        <v>33604</v>
      </c>
      <c r="B402" s="57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7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5" t="n">
        <v>33664</v>
      </c>
      <c r="B404" s="57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5" t="n">
        <v>33695</v>
      </c>
      <c r="B405" s="57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7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5" t="n">
        <v>33756</v>
      </c>
      <c r="B407" s="57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7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5" t="n">
        <v>33817</v>
      </c>
      <c r="B409" s="57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7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5" t="n">
        <v>33878</v>
      </c>
      <c r="B411" s="57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7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5" t="n">
        <v>33939</v>
      </c>
      <c r="B413" s="57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7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5" t="n">
        <v>34001</v>
      </c>
      <c r="B415" s="57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7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5" t="n">
        <v>34060</v>
      </c>
      <c r="B417" s="57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7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5" t="n">
        <v>34121</v>
      </c>
      <c r="B419" s="57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7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5" t="n">
        <v>34182</v>
      </c>
      <c r="B421" s="57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7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5" t="n">
        <v>34243</v>
      </c>
      <c r="B423" s="57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5" t="n">
        <v>34274</v>
      </c>
      <c r="B424" s="57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7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5" t="n">
        <v>34335</v>
      </c>
      <c r="B426" s="57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7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5" t="n">
        <v>34394</v>
      </c>
      <c r="B428" s="57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7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5" t="n">
        <v>34455</v>
      </c>
      <c r="B430" s="57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7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5" t="n">
        <v>34516</v>
      </c>
      <c r="B432" s="57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7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5" t="n">
        <v>34578</v>
      </c>
      <c r="B434" s="57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7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5" t="n">
        <v>34639</v>
      </c>
      <c r="B436" s="57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7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5" t="n">
        <v>34700</v>
      </c>
      <c r="B438" s="57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7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5" t="n">
        <v>34759</v>
      </c>
      <c r="B440" s="57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7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5" t="n">
        <v>34820</v>
      </c>
      <c r="B442" s="57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5" t="n">
        <v>34851</v>
      </c>
      <c r="B443" s="57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7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5" t="n">
        <v>34912</v>
      </c>
      <c r="B445" s="57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7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5" t="n">
        <v>34973</v>
      </c>
      <c r="B447" s="57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7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5" t="n">
        <v>35034</v>
      </c>
      <c r="B449" s="57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7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5" t="n">
        <v>35096</v>
      </c>
      <c r="B451" s="57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7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5" t="n">
        <v>35156</v>
      </c>
      <c r="B453" s="57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7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5" t="n">
        <v>35217</v>
      </c>
      <c r="B455" s="57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7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5" t="n">
        <v>35278</v>
      </c>
      <c r="B457" s="57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7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5" t="n">
        <v>35339</v>
      </c>
      <c r="B459" s="57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7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5" t="n">
        <v>35400</v>
      </c>
      <c r="B461" s="57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5" t="n">
        <v>35431</v>
      </c>
      <c r="B462" s="57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7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5" t="n">
        <v>35490</v>
      </c>
      <c r="B464" s="57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7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5" t="n">
        <v>35551</v>
      </c>
      <c r="B466" s="57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7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5" t="n">
        <v>35612</v>
      </c>
      <c r="B468" s="57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7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5" t="n">
        <v>35674</v>
      </c>
      <c r="B470" s="57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7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5" t="n">
        <v>35735</v>
      </c>
      <c r="B472" s="57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7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5" t="n">
        <v>35796</v>
      </c>
      <c r="B474" s="57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7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5" t="n">
        <v>35855</v>
      </c>
      <c r="B476" s="57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7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5" t="n">
        <v>35916</v>
      </c>
      <c r="B478" s="57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7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5" t="n">
        <v>35977</v>
      </c>
      <c r="B480" s="57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5" t="n">
        <v>36008</v>
      </c>
      <c r="B481" s="57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7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5" t="n">
        <v>36069</v>
      </c>
      <c r="B483" s="57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7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5" t="n">
        <v>36130</v>
      </c>
      <c r="B485" s="57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7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5" t="n">
        <v>36192</v>
      </c>
      <c r="B487" s="57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7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5" t="n">
        <v>36251</v>
      </c>
      <c r="B489" s="57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7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5" t="n">
        <v>36312</v>
      </c>
      <c r="B491" s="57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7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5" t="n">
        <v>36373</v>
      </c>
      <c r="B493" s="57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7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5" t="n">
        <v>36434</v>
      </c>
      <c r="B495" s="57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7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5" t="n">
        <v>36495</v>
      </c>
      <c r="B497" s="57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7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5" t="n">
        <v>36557</v>
      </c>
      <c r="B499" s="57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5" t="n">
        <v>36586</v>
      </c>
      <c r="B500" s="57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7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5" t="n">
        <v>36647</v>
      </c>
      <c r="B502" s="57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7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5" t="n">
        <v>36708</v>
      </c>
      <c r="B504" s="57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7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5" t="n">
        <v>36770</v>
      </c>
      <c r="B506" s="57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7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5" t="n">
        <v>36831</v>
      </c>
      <c r="B508" s="57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7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5" t="n">
        <v>36892</v>
      </c>
      <c r="B510" s="57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7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5" t="n">
        <v>36951</v>
      </c>
      <c r="B512" s="57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7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5" t="n">
        <v>37012</v>
      </c>
      <c r="B514" s="57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7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5" t="n">
        <v>37073</v>
      </c>
      <c r="B516" s="57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7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5" t="n">
        <v>37135</v>
      </c>
      <c r="B518" s="57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5" t="n">
        <v>37165</v>
      </c>
      <c r="B519" s="57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7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5" t="n">
        <v>37226</v>
      </c>
      <c r="B521" s="57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7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5" t="n">
        <v>37288</v>
      </c>
      <c r="B523" s="57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7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5" t="n">
        <v>37347</v>
      </c>
      <c r="B525" s="57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7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5" t="n">
        <v>37408</v>
      </c>
      <c r="B527" s="57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7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5" t="n">
        <v>37469</v>
      </c>
      <c r="B529" s="57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7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5" t="n">
        <v>37530</v>
      </c>
      <c r="B531" s="57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7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5" t="n">
        <v>37591</v>
      </c>
      <c r="B533" s="57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7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5" t="n">
        <v>37653</v>
      </c>
      <c r="B535" s="57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7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5" t="n">
        <v>37712</v>
      </c>
      <c r="B537" s="57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5" t="n">
        <v>37742</v>
      </c>
      <c r="B538" s="57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7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5" t="n">
        <v>37803</v>
      </c>
      <c r="B540" s="57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7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5" t="n">
        <v>37865</v>
      </c>
      <c r="B542" s="57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7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5" t="n">
        <v>37926</v>
      </c>
      <c r="B544" s="57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7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5" t="n">
        <v>37987</v>
      </c>
      <c r="B546" s="57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7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5" t="n">
        <v>38047</v>
      </c>
      <c r="B548" s="57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7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5" t="n">
        <v>38108</v>
      </c>
      <c r="B550" s="57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7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5" t="n">
        <v>38169</v>
      </c>
      <c r="B552" s="57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7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5" t="n">
        <v>38231</v>
      </c>
      <c r="B554" s="57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7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5" t="n">
        <v>38292</v>
      </c>
      <c r="B556" s="57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5" t="n">
        <v>38322</v>
      </c>
      <c r="B557" s="57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7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5" t="n">
        <v>38384</v>
      </c>
      <c r="B559" s="57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7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5" t="n">
        <v>38443</v>
      </c>
      <c r="B561" s="57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7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5" t="n">
        <v>38504</v>
      </c>
      <c r="B563" s="57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7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5" t="n">
        <v>38565</v>
      </c>
      <c r="B565" s="57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7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5" t="n">
        <v>38626</v>
      </c>
      <c r="B567" s="57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7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5" t="n">
        <v>38687</v>
      </c>
      <c r="B569" s="57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7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5" t="n">
        <v>38749</v>
      </c>
      <c r="B571" s="57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7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5" t="n">
        <v>38808</v>
      </c>
      <c r="B573" s="57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7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5" t="n">
        <v>38869</v>
      </c>
      <c r="B575" s="57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5" t="n">
        <v>38899</v>
      </c>
      <c r="B576" s="57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7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5" t="n">
        <v>38961</v>
      </c>
      <c r="B578" s="57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7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5" t="n">
        <v>39022</v>
      </c>
      <c r="B580" s="57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7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5" t="n">
        <v>39083</v>
      </c>
      <c r="B582" s="57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7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5" t="n">
        <v>39142</v>
      </c>
      <c r="B584" s="57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7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5" t="n">
        <v>39203</v>
      </c>
      <c r="B586" s="57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7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5" t="n">
        <v>39264</v>
      </c>
      <c r="B588" s="57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7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5" t="n">
        <v>39326</v>
      </c>
      <c r="B590" s="57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7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5" t="n">
        <v>39387</v>
      </c>
      <c r="B592" s="57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7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5" t="n">
        <v>39448</v>
      </c>
      <c r="B594" s="57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5" t="n">
        <v>39479</v>
      </c>
      <c r="B595" s="57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7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5" t="n">
        <v>39539</v>
      </c>
      <c r="B597" s="57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7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5" t="n">
        <v>39600</v>
      </c>
      <c r="B599" s="57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7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5" t="n">
        <v>39661</v>
      </c>
      <c r="B601" s="57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7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5" t="n">
        <v>39722</v>
      </c>
      <c r="B603" s="57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7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5" t="n">
        <v>39783</v>
      </c>
      <c r="B605" s="57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7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5" t="n">
        <v>39845</v>
      </c>
      <c r="B607" s="57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7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5" t="n">
        <v>39904</v>
      </c>
      <c r="B609" s="57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7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5" t="n">
        <v>39965</v>
      </c>
      <c r="B611" s="57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7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5" t="n">
        <v>40026</v>
      </c>
      <c r="B613" s="57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5" t="n">
        <v>40057</v>
      </c>
      <c r="B614" s="57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7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5" t="n">
        <v>40118</v>
      </c>
      <c r="B616" s="57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7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5" t="n">
        <v>40179</v>
      </c>
      <c r="B618" s="57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7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5" t="n">
        <v>40238</v>
      </c>
      <c r="B620" s="57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7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5" t="n">
        <v>40299</v>
      </c>
      <c r="B622" s="57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7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5" t="n">
        <v>40360</v>
      </c>
      <c r="B624" s="57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7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5" t="n">
        <v>40422</v>
      </c>
      <c r="B626" s="57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7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5" t="n">
        <v>40483</v>
      </c>
      <c r="B628" s="57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7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5" t="n">
        <v>40544</v>
      </c>
      <c r="B630" s="57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7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5" t="n">
        <v>40603</v>
      </c>
      <c r="B632" s="57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5" t="n">
        <v>40634</v>
      </c>
      <c r="B633" s="57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7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5" t="n">
        <v>40695</v>
      </c>
      <c r="B635" s="57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7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5" t="n">
        <v>40756</v>
      </c>
      <c r="B637" s="57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7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5" t="n">
        <v>40817</v>
      </c>
      <c r="B639" s="57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7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5" t="n">
        <v>40878</v>
      </c>
      <c r="B641" s="57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7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5" t="n">
        <v>40940</v>
      </c>
      <c r="B643" s="57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7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5" t="n">
        <v>41000</v>
      </c>
      <c r="B645" s="57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7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5" t="n">
        <v>41061</v>
      </c>
      <c r="B647" s="57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7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5" t="n">
        <v>41122</v>
      </c>
      <c r="B649" s="57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7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5" t="n">
        <v>41183</v>
      </c>
      <c r="B651" s="57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5" t="n">
        <v>41214</v>
      </c>
      <c r="B652" s="57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7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5" t="n">
        <v>41275</v>
      </c>
      <c r="B654" s="57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7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5" t="n">
        <v>41334</v>
      </c>
      <c r="B656" s="57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7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5" t="n">
        <v>41395</v>
      </c>
      <c r="B658" s="57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7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5" t="n">
        <v>41456</v>
      </c>
      <c r="B660" s="57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7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5" t="n">
        <v>41518</v>
      </c>
      <c r="B662" s="57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7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5" t="n">
        <v>41579</v>
      </c>
      <c r="B664" s="57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7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5" t="n">
        <v>41640</v>
      </c>
      <c r="B666" s="57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7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5" t="n">
        <v>41699</v>
      </c>
      <c r="B668" s="57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7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5" t="n">
        <v>41760</v>
      </c>
      <c r="B670" s="57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5" t="n">
        <v>41791</v>
      </c>
      <c r="B671" s="57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7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5" t="n">
        <v>41852</v>
      </c>
      <c r="B673" s="57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7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5" t="n">
        <v>41913</v>
      </c>
      <c r="B675" s="57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7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5" t="n">
        <v>41974</v>
      </c>
      <c r="B677" s="57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7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5" t="n">
        <v>42036</v>
      </c>
      <c r="B679" s="57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7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5" t="n">
        <v>42095</v>
      </c>
      <c r="B681" s="57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7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5" t="n">
        <v>42156</v>
      </c>
      <c r="B683" s="57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7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5" t="n">
        <v>42217</v>
      </c>
      <c r="B685" s="57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7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5" t="n">
        <v>42278</v>
      </c>
      <c r="B687" s="57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7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5" t="n">
        <v>42339</v>
      </c>
      <c r="B689" s="57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5" t="n">
        <v>42370</v>
      </c>
      <c r="B690" s="57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7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5" t="n">
        <v>42430</v>
      </c>
      <c r="B692" s="57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7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5" t="n">
        <v>42491</v>
      </c>
      <c r="B694" s="57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7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5" t="n">
        <v>42552</v>
      </c>
      <c r="B696" s="57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7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5" t="n">
        <v>42614</v>
      </c>
      <c r="B698" s="57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7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5" t="n">
        <v>42675</v>
      </c>
      <c r="B700" s="57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7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5" t="n">
        <v>42736</v>
      </c>
      <c r="B702" s="57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7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5" t="n">
        <v>42795</v>
      </c>
      <c r="B704" s="57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7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5" t="n">
        <v>42856</v>
      </c>
      <c r="B706" s="57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7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5" t="n">
        <v>42917</v>
      </c>
      <c r="B708" s="57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5" t="n">
        <v>42948</v>
      </c>
      <c r="B709" s="57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7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5" t="n">
        <v>43009</v>
      </c>
      <c r="B711" s="57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7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5" t="n">
        <v>43070</v>
      </c>
      <c r="B713" s="57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7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5" t="n">
        <v>43132</v>
      </c>
      <c r="B715" s="57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7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5" t="n">
        <v>43191</v>
      </c>
      <c r="B717" s="57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7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5" t="n">
        <v>43252</v>
      </c>
      <c r="B719" s="57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7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5" t="n">
        <v>43313</v>
      </c>
      <c r="B721" s="57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7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5" t="n">
        <v>43374</v>
      </c>
      <c r="B723" s="57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7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5" t="n">
        <v>43435</v>
      </c>
      <c r="B725" s="57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7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5" t="n">
        <v>43497</v>
      </c>
      <c r="B727" s="57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5" t="n">
        <v>43525</v>
      </c>
      <c r="B728" s="57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7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5" t="n">
        <v>43586</v>
      </c>
      <c r="B730" s="57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7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5" t="n">
        <v>43647</v>
      </c>
      <c r="B732" s="57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7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5" t="n">
        <v>43709</v>
      </c>
      <c r="B734" s="57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7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5" t="n">
        <v>43770</v>
      </c>
      <c r="B736" s="57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7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5" t="n">
        <v>43831</v>
      </c>
      <c r="B738" s="57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7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5" t="n">
        <v>43891</v>
      </c>
      <c r="B740" s="57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7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5" t="n">
        <v>43952</v>
      </c>
      <c r="B742" s="57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7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5" t="n">
        <v>44013</v>
      </c>
      <c r="B744" s="57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7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5" t="n">
        <v>44075</v>
      </c>
      <c r="B746" s="57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5" t="n">
        <v>44105</v>
      </c>
      <c r="B747" s="57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7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5" t="n">
        <v>44166</v>
      </c>
      <c r="B749" s="57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7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5" t="n">
        <v>44228</v>
      </c>
      <c r="B751" s="57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7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5" t="n">
        <v>44287</v>
      </c>
      <c r="B753" s="57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7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5" t="n">
        <v>44348</v>
      </c>
      <c r="B755" s="57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7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5" t="n">
        <v>44409</v>
      </c>
      <c r="B757" s="57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7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5" t="n">
        <v>44470</v>
      </c>
      <c r="B759" s="57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7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5" t="n">
        <v>44531</v>
      </c>
      <c r="B761" s="57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B1" zoomScale="160" zoomScaleNormal="160" workbookViewId="0">
      <selection activeCell="G44" sqref="G44"/>
    </sheetView>
  </sheetViews>
  <sheetFormatPr baseColWidth="10" defaultColWidth="9.1640625" defaultRowHeight="15"/>
  <cols>
    <col width="9.1640625" customWidth="1" style="79" min="1" max="3"/>
    <col width="28" customWidth="1" style="16" min="4" max="9"/>
    <col width="9.1640625" customWidth="1" style="79" min="10" max="21"/>
    <col width="9.1640625" customWidth="1" style="79" min="22" max="16384"/>
  </cols>
  <sheetData>
    <row r="2">
      <c r="D2" s="1" t="inlineStr">
        <is>
          <t>https://tradingeconomics.com/country-list/money-supply-m2?continent=g20</t>
        </is>
      </c>
    </row>
    <row r="7">
      <c r="D7" s="75" t="inlineStr">
        <is>
          <t>Country</t>
        </is>
      </c>
      <c r="E7" s="75" t="inlineStr">
        <is>
          <t>Last</t>
        </is>
      </c>
      <c r="F7" s="75" t="inlineStr">
        <is>
          <t>Month</t>
        </is>
      </c>
      <c r="G7" s="75" t="inlineStr">
        <is>
          <t>Previous</t>
        </is>
      </c>
      <c r="H7" s="75" t="inlineStr">
        <is>
          <t>mom annualized</t>
        </is>
      </c>
      <c r="I7" s="75" t="inlineStr">
        <is>
          <t>Currency</t>
        </is>
      </c>
    </row>
    <row r="8">
      <c r="D8" s="47" t="inlineStr">
        <is>
          <t>Argentina</t>
        </is>
      </c>
      <c r="E8" s="23">
        <f>VLOOKUP(D8,'DB Trading Economics'!$A:$E,2)</f>
        <v/>
      </c>
      <c r="F8" s="69">
        <f>VLOOKUP(D8,'DB Trading Economics'!$A:$E,3)</f>
        <v/>
      </c>
      <c r="G8" s="23">
        <f>VLOOKUP(D8,'DB Trading Economics'!$A:$E,4)</f>
        <v/>
      </c>
      <c r="H8" s="63">
        <f>(((E8-G8)/G8)+1)^12-1</f>
        <v/>
      </c>
      <c r="I8" s="23">
        <f>VLOOKUP(D8,'DB Trading Economics'!$A:$E,5)</f>
        <v/>
      </c>
    </row>
    <row r="9">
      <c r="D9" s="47" t="inlineStr">
        <is>
          <t>Brazil</t>
        </is>
      </c>
      <c r="E9" s="23">
        <f>VLOOKUP(D9,'DB Trading Economics'!$A:$E,2)</f>
        <v/>
      </c>
      <c r="F9" s="69">
        <f>VLOOKUP(D9,'DB Trading Economics'!$A:$E,3)</f>
        <v/>
      </c>
      <c r="G9" s="23">
        <f>VLOOKUP(D9,'DB Trading Economics'!$A:$E,4)</f>
        <v/>
      </c>
      <c r="H9" s="63">
        <f>(((E9-G9)/G9)+1)^12-1</f>
        <v/>
      </c>
      <c r="I9" s="23">
        <f>VLOOKUP(D9,'DB Trading Economics'!$A:$E,5)</f>
        <v/>
      </c>
    </row>
    <row r="10">
      <c r="D10" s="47" t="inlineStr">
        <is>
          <t>Canada</t>
        </is>
      </c>
      <c r="E10" s="23">
        <f>VLOOKUP(D10,'DB Trading Economics'!$A:$E,2)</f>
        <v/>
      </c>
      <c r="F10" s="69">
        <f>VLOOKUP(D10,'DB Trading Economics'!$A:$E,3)</f>
        <v/>
      </c>
      <c r="G10" s="23">
        <f>VLOOKUP(D10,'DB Trading Economics'!$A:$E,4)</f>
        <v/>
      </c>
      <c r="H10" s="63">
        <f>(((E10-G10)/G10)+1)^12-1</f>
        <v/>
      </c>
      <c r="I10" s="23">
        <f>VLOOKUP(D10,'DB Trading Economics'!$A:$E,5)</f>
        <v/>
      </c>
    </row>
    <row r="11">
      <c r="D11" s="47" t="inlineStr">
        <is>
          <t>China</t>
        </is>
      </c>
      <c r="E11" s="23">
        <f>VLOOKUP(D11,'DB Trading Economics'!$A:$E,2)</f>
        <v/>
      </c>
      <c r="F11" s="69">
        <f>VLOOKUP(D11,'DB Trading Economics'!$A:$E,3)</f>
        <v/>
      </c>
      <c r="G11" s="23">
        <f>VLOOKUP(D11,'DB Trading Economics'!$A:$E,4)</f>
        <v/>
      </c>
      <c r="H11" s="63">
        <f>(((E11-G11)/G11)+1)^12-1</f>
        <v/>
      </c>
      <c r="I11" s="23">
        <f>VLOOKUP(D11,'DB Trading Economics'!$A:$E,5)</f>
        <v/>
      </c>
    </row>
    <row r="12">
      <c r="D12" s="47" t="inlineStr">
        <is>
          <t>Euro Area</t>
        </is>
      </c>
      <c r="E12" s="23">
        <f>VLOOKUP(D12,'DB Trading Economics'!$A:$E,2)</f>
        <v/>
      </c>
      <c r="F12" s="69">
        <f>VLOOKUP(D12,'DB Trading Economics'!$A:$E,3)</f>
        <v/>
      </c>
      <c r="G12" s="23">
        <f>VLOOKUP(D12,'DB Trading Economics'!$A:$E,4)</f>
        <v/>
      </c>
      <c r="H12" s="63">
        <f>(((E12-G12)/G12)+1)^12-1</f>
        <v/>
      </c>
      <c r="I12" s="23">
        <f>VLOOKUP(D12,'DB Trading Economics'!$A:$E,5)</f>
        <v/>
      </c>
    </row>
    <row r="13">
      <c r="D13" s="47" t="inlineStr">
        <is>
          <t>France</t>
        </is>
      </c>
      <c r="E13" s="23">
        <f>VLOOKUP(D13,'DB Trading Economics'!$A:$E,2)</f>
        <v/>
      </c>
      <c r="F13" s="69">
        <f>VLOOKUP(D13,'DB Trading Economics'!$A:$E,3)</f>
        <v/>
      </c>
      <c r="G13" s="23">
        <f>VLOOKUP(D13,'DB Trading Economics'!$A:$E,4)</f>
        <v/>
      </c>
      <c r="H13" s="63">
        <f>(((E13-G13)/G13)+1)^12-1</f>
        <v/>
      </c>
      <c r="I13" s="23">
        <f>VLOOKUP(D13,'DB Trading Economics'!$A:$E,5)</f>
        <v/>
      </c>
    </row>
    <row r="14">
      <c r="D14" s="47" t="inlineStr">
        <is>
          <t>Germany</t>
        </is>
      </c>
      <c r="E14" s="23">
        <f>VLOOKUP(D14,'DB Trading Economics'!$A:$E,2)</f>
        <v/>
      </c>
      <c r="F14" s="69">
        <f>VLOOKUP(D14,'DB Trading Economics'!$A:$E,3)</f>
        <v/>
      </c>
      <c r="G14" s="23">
        <f>VLOOKUP(D14,'DB Trading Economics'!$A:$E,4)</f>
        <v/>
      </c>
      <c r="H14" s="63">
        <f>(((E14-G14)/G14)+1)^12-1</f>
        <v/>
      </c>
      <c r="I14" s="23">
        <f>VLOOKUP(D14,'DB Trading Economics'!$A:$E,5)</f>
        <v/>
      </c>
    </row>
    <row r="15">
      <c r="D15" s="47" t="inlineStr">
        <is>
          <t>India</t>
        </is>
      </c>
      <c r="E15" s="23">
        <f>VLOOKUP(D15,'DB Trading Economics'!$A:$E,2)</f>
        <v/>
      </c>
      <c r="F15" s="69">
        <f>VLOOKUP(D15,'DB Trading Economics'!$A:$E,3)</f>
        <v/>
      </c>
      <c r="G15" s="23">
        <f>VLOOKUP(D15,'DB Trading Economics'!$A:$E,4)</f>
        <v/>
      </c>
      <c r="H15" s="63">
        <f>(((E15-G15)/G15)+1)^12-1</f>
        <v/>
      </c>
      <c r="I15" s="23">
        <f>VLOOKUP(D15,'DB Trading Economics'!$A:$E,5)</f>
        <v/>
      </c>
    </row>
    <row r="16">
      <c r="D16" s="47" t="inlineStr">
        <is>
          <t>Indonesia</t>
        </is>
      </c>
      <c r="E16" s="23">
        <f>VLOOKUP(D16,'DB Trading Economics'!$A:$E,2)</f>
        <v/>
      </c>
      <c r="F16" s="69">
        <f>VLOOKUP(D16,'DB Trading Economics'!$A:$E,3)</f>
        <v/>
      </c>
      <c r="G16" s="23">
        <f>VLOOKUP(D16,'DB Trading Economics'!$A:$E,4)</f>
        <v/>
      </c>
      <c r="H16" s="63">
        <f>(((E16-G16)/G16)+1)^12-1</f>
        <v/>
      </c>
      <c r="I16" s="23">
        <f>VLOOKUP(D16,'DB Trading Economics'!$A:$E,5)</f>
        <v/>
      </c>
    </row>
    <row r="17">
      <c r="D17" s="47" t="inlineStr">
        <is>
          <t>Italy</t>
        </is>
      </c>
      <c r="E17" s="23">
        <f>VLOOKUP(D17,'DB Trading Economics'!$A:$E,2)</f>
        <v/>
      </c>
      <c r="F17" s="69">
        <f>VLOOKUP(D17,'DB Trading Economics'!$A:$E,3)</f>
        <v/>
      </c>
      <c r="G17" s="23">
        <f>VLOOKUP(D17,'DB Trading Economics'!$A:$E,4)</f>
        <v/>
      </c>
      <c r="H17" s="63">
        <f>(((E17-G17)/G17)+1)^12-1</f>
        <v/>
      </c>
      <c r="I17" s="23">
        <f>VLOOKUP(D17,'DB Trading Economics'!$A:$E,5)</f>
        <v/>
      </c>
    </row>
    <row r="18">
      <c r="D18" s="47" t="inlineStr">
        <is>
          <t>Japan</t>
        </is>
      </c>
      <c r="E18" s="23">
        <f>VLOOKUP(D18,'DB Trading Economics'!$A:$E,2)</f>
        <v/>
      </c>
      <c r="F18" s="69">
        <f>VLOOKUP(D18,'DB Trading Economics'!$A:$E,3)</f>
        <v/>
      </c>
      <c r="G18" s="23">
        <f>VLOOKUP(D18,'DB Trading Economics'!$A:$E,4)</f>
        <v/>
      </c>
      <c r="H18" s="63">
        <f>(((E18-G18)/G18)+1)^12-1</f>
        <v/>
      </c>
      <c r="I18" s="23">
        <f>VLOOKUP(D18,'DB Trading Economics'!$A:$E,5)</f>
        <v/>
      </c>
    </row>
    <row r="19">
      <c r="D19" s="47" t="inlineStr">
        <is>
          <t>Mexico</t>
        </is>
      </c>
      <c r="E19" s="23">
        <f>VLOOKUP(D19,'DB Trading Economics'!$A:$E,2)</f>
        <v/>
      </c>
      <c r="F19" s="69">
        <f>VLOOKUP(D19,'DB Trading Economics'!$A:$E,3)</f>
        <v/>
      </c>
      <c r="G19" s="23">
        <f>VLOOKUP(D19,'DB Trading Economics'!$A:$E,4)</f>
        <v/>
      </c>
      <c r="H19" s="63">
        <f>(((E19-G19)/G19)+1)^12-1</f>
        <v/>
      </c>
      <c r="I19" s="23">
        <f>VLOOKUP(D19,'DB Trading Economics'!$A:$E,5)</f>
        <v/>
      </c>
    </row>
    <row r="20">
      <c r="D20" s="47" t="inlineStr">
        <is>
          <t>Netherlands</t>
        </is>
      </c>
      <c r="E20" s="23">
        <f>VLOOKUP(D20,'DB Trading Economics'!$A:$E,2)</f>
        <v/>
      </c>
      <c r="F20" s="69">
        <f>VLOOKUP(D20,'DB Trading Economics'!$A:$E,3)</f>
        <v/>
      </c>
      <c r="G20" s="23">
        <f>VLOOKUP(D20,'DB Trading Economics'!$A:$E,4)</f>
        <v/>
      </c>
      <c r="H20" s="63">
        <f>(((E20-G20)/G20)+1)^12-1</f>
        <v/>
      </c>
      <c r="I20" s="23">
        <f>VLOOKUP(D20,'DB Trading Economics'!$A:$E,5)</f>
        <v/>
      </c>
    </row>
    <row r="21">
      <c r="D21" s="47" t="inlineStr">
        <is>
          <t>Russia</t>
        </is>
      </c>
      <c r="E21" s="23">
        <f>VLOOKUP(D21,'DB Trading Economics'!$A:$E,2)</f>
        <v/>
      </c>
      <c r="F21" s="69">
        <f>VLOOKUP(D21,'DB Trading Economics'!$A:$E,3)</f>
        <v/>
      </c>
      <c r="G21" s="23">
        <f>VLOOKUP(D21,'DB Trading Economics'!$A:$E,4)</f>
        <v/>
      </c>
      <c r="H21" s="63">
        <f>(((E21-G21)/G21)+1)^12-1</f>
        <v/>
      </c>
      <c r="I21" s="23">
        <f>VLOOKUP(D21,'DB Trading Economics'!$A:$E,5)</f>
        <v/>
      </c>
    </row>
    <row r="22">
      <c r="D22" s="47" t="inlineStr">
        <is>
          <t>Saudi Arabia</t>
        </is>
      </c>
      <c r="E22" s="23">
        <f>VLOOKUP(D22,'DB Trading Economics'!$A:$E,2)</f>
        <v/>
      </c>
      <c r="F22" s="69">
        <f>VLOOKUP(D22,'DB Trading Economics'!$A:$E,3)</f>
        <v/>
      </c>
      <c r="G22" s="23">
        <f>VLOOKUP(D22,'DB Trading Economics'!$A:$E,4)</f>
        <v/>
      </c>
      <c r="H22" s="63">
        <f>(((E22-G22)/G22)+1)^12-1</f>
        <v/>
      </c>
      <c r="I22" s="23">
        <f>VLOOKUP(D22,'DB Trading Economics'!$A:$E,5)</f>
        <v/>
      </c>
    </row>
    <row r="23">
      <c r="D23" s="47" t="inlineStr">
        <is>
          <t>Singapore</t>
        </is>
      </c>
      <c r="E23" s="23">
        <f>VLOOKUP(D23,'DB Trading Economics'!$A:$E,2)</f>
        <v/>
      </c>
      <c r="F23" s="69">
        <f>VLOOKUP(D23,'DB Trading Economics'!$A:$E,3)</f>
        <v/>
      </c>
      <c r="G23" s="23">
        <f>VLOOKUP(D23,'DB Trading Economics'!$A:$E,4)</f>
        <v/>
      </c>
      <c r="H23" s="63">
        <f>(((E23-G23)/G23)+1)^12-1</f>
        <v/>
      </c>
      <c r="I23" s="23">
        <f>VLOOKUP(D23,'DB Trading Economics'!$A:$E,5)</f>
        <v/>
      </c>
    </row>
    <row r="24">
      <c r="D24" s="47" t="inlineStr">
        <is>
          <t>South Africa</t>
        </is>
      </c>
      <c r="E24" s="23">
        <f>VLOOKUP(D24,'DB Trading Economics'!$A:$E,2)</f>
        <v/>
      </c>
      <c r="F24" s="69">
        <f>VLOOKUP(D24,'DB Trading Economics'!$A:$E,3)</f>
        <v/>
      </c>
      <c r="G24" s="23">
        <f>VLOOKUP(D24,'DB Trading Economics'!$A:$E,4)</f>
        <v/>
      </c>
      <c r="H24" s="63">
        <f>(((E24-G24)/G24)+1)^12-1</f>
        <v/>
      </c>
      <c r="I24" s="23">
        <f>VLOOKUP(D24,'DB Trading Economics'!$A:$E,5)</f>
        <v/>
      </c>
    </row>
    <row r="25">
      <c r="D25" s="47" t="inlineStr">
        <is>
          <t>South Korea</t>
        </is>
      </c>
      <c r="E25" s="23">
        <f>VLOOKUP(D25,'DB Trading Economics'!$A:$E,2)</f>
        <v/>
      </c>
      <c r="F25" s="69">
        <f>VLOOKUP(D25,'DB Trading Economics'!$A:$E,3)</f>
        <v/>
      </c>
      <c r="G25" s="23">
        <f>VLOOKUP(D25,'DB Trading Economics'!$A:$E,4)</f>
        <v/>
      </c>
      <c r="H25" s="63">
        <f>(((E25-G25)/G25)+1)^12-1</f>
        <v/>
      </c>
      <c r="I25" s="23">
        <f>VLOOKUP(D25,'DB Trading Economics'!$A:$E,5)</f>
        <v/>
      </c>
    </row>
    <row r="26">
      <c r="D26" s="47" t="inlineStr">
        <is>
          <t>Spain</t>
        </is>
      </c>
      <c r="E26" s="23">
        <f>VLOOKUP(D26,'DB Trading Economics'!$A:$E,2)</f>
        <v/>
      </c>
      <c r="F26" s="69">
        <f>VLOOKUP(D26,'DB Trading Economics'!$A:$E,3)</f>
        <v/>
      </c>
      <c r="G26" s="23">
        <f>VLOOKUP(D26,'DB Trading Economics'!$A:$E,4)</f>
        <v/>
      </c>
      <c r="H26" s="63">
        <f>(((E26-G26)/G26)+1)^12-1</f>
        <v/>
      </c>
      <c r="I26" s="23">
        <f>VLOOKUP(D26,'DB Trading Economics'!$A:$E,5)</f>
        <v/>
      </c>
    </row>
    <row r="27">
      <c r="D27" s="47" t="inlineStr">
        <is>
          <t>Switzerland</t>
        </is>
      </c>
      <c r="E27" s="23">
        <f>VLOOKUP(D27,'DB Trading Economics'!$A:$E,2)</f>
        <v/>
      </c>
      <c r="F27" s="69">
        <f>VLOOKUP(D27,'DB Trading Economics'!$A:$E,3)</f>
        <v/>
      </c>
      <c r="G27" s="23">
        <f>VLOOKUP(D27,'DB Trading Economics'!$A:$E,4)</f>
        <v/>
      </c>
      <c r="H27" s="63">
        <f>(((E27-G27)/G27)+1)^12-1</f>
        <v/>
      </c>
      <c r="I27" s="23">
        <f>VLOOKUP(D27,'DB Trading Economics'!$A:$E,5)</f>
        <v/>
      </c>
    </row>
    <row r="28">
      <c r="D28" s="47" t="inlineStr">
        <is>
          <t>Turkey</t>
        </is>
      </c>
      <c r="E28" s="23">
        <f>VLOOKUP(D28,'DB Trading Economics'!$A:$E,2)</f>
        <v/>
      </c>
      <c r="F28" s="69">
        <f>VLOOKUP(D28,'DB Trading Economics'!$A:$E,3)</f>
        <v/>
      </c>
      <c r="G28" s="23">
        <f>VLOOKUP(D28,'DB Trading Economics'!$A:$E,4)</f>
        <v/>
      </c>
      <c r="H28" s="63">
        <f>(((E28-G28)/G28)+1)^12-1</f>
        <v/>
      </c>
      <c r="I28" s="23">
        <f>VLOOKUP(D28,'DB Trading Economics'!$A:$E,5)</f>
        <v/>
      </c>
    </row>
    <row r="29">
      <c r="D29" s="47" t="inlineStr">
        <is>
          <t>United Kingdom</t>
        </is>
      </c>
      <c r="E29" s="23">
        <f>VLOOKUP(D29,'DB Trading Economics'!$A:$E,2)</f>
        <v/>
      </c>
      <c r="F29" s="69">
        <f>VLOOKUP(D29,'DB Trading Economics'!$A:$E,3)</f>
        <v/>
      </c>
      <c r="G29" s="23">
        <f>VLOOKUP(D29,'DB Trading Economics'!$A:$E,4)</f>
        <v/>
      </c>
      <c r="H29" s="63">
        <f>(((E29-G29)/G29)+1)^12-1</f>
        <v/>
      </c>
      <c r="I29" s="23">
        <f>VLOOKUP(D29,'DB Trading Economics'!$A:$E,5)</f>
        <v/>
      </c>
    </row>
    <row r="30">
      <c r="D30" s="47" t="inlineStr">
        <is>
          <t>United States</t>
        </is>
      </c>
      <c r="E30" s="23">
        <f>VLOOKUP(D30,'DB Trading Economics'!$A:$E,2)</f>
        <v/>
      </c>
      <c r="F30" s="69">
        <f>VLOOKUP(D30,'DB Trading Economics'!$A:$E,3)</f>
        <v/>
      </c>
      <c r="G30" s="23">
        <f>VLOOKUP(D30,'DB Trading Economics'!$A:$E,4)</f>
        <v/>
      </c>
      <c r="H30" s="63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0000"/>
    <outlinePr summaryBelow="1" summaryRight="1"/>
    <pageSetUpPr/>
  </sheetPr>
  <dimension ref="A1:AI89"/>
  <sheetViews>
    <sheetView zoomScale="180" zoomScaleNormal="180" workbookViewId="0">
      <pane xSplit="1" ySplit="5" topLeftCell="B63" activePane="bottomRight" state="frozen"/>
      <selection pane="topRight" activeCell="B1" sqref="B1"/>
      <selection pane="bottomLeft" activeCell="A6" sqref="A6"/>
      <selection pane="bottomRight" activeCell="AC74" sqref="AC74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33203125" customWidth="1" style="67" min="3" max="3"/>
    <col width="6.1640625" customWidth="1" style="67" min="4" max="4"/>
    <col width="7.33203125" customWidth="1" style="67" min="5" max="5"/>
    <col width="6.6640625" customWidth="1" style="67" min="6" max="6"/>
    <col width="6.1640625" customWidth="1" style="67" min="7" max="9"/>
    <col width="5.33203125" customWidth="1" style="67" min="10" max="10"/>
    <col width="6.1640625" customWidth="1" style="67" min="11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9">
        <f>VLOOKUP(B7,Data!$A:$AN,MATCH(yoy!$C$1,Data!$A$1:$AN$1,),)</f>
        <v/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9">
        <f>VLOOKUP(B8,Data!$A:$AN,MATCH(yoy!$C$1,Data!$A$1:$AN$1,),)</f>
        <v/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9">
        <f>VLOOKUP(B9,Data!$A:$AN,MATCH(yoy!$C$1,Data!$A$1:$AN$1,),)</f>
        <v/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9">
        <f>VLOOKUP(B10,Data!$A:$AN,MATCH(yoy!$C$1,Data!$A$1:$AN$1,),)</f>
        <v/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9">
        <f>VLOOKUP(B11,Data!$A:$AN,MATCH(yoy!$C$1,Data!$A$1:$AN$1,),)</f>
        <v/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9">
        <f>VLOOKUP(B12,Data!$A:$AN,MATCH(yoy!$C$1,Data!$A$1:$AN$1,),)</f>
        <v/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9">
        <f>VLOOKUP(B13,Data!$A:$AN,MATCH(yoy!$C$1,Data!$A$1:$AN$1,),)</f>
        <v/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9">
        <f>VLOOKUP(B14,Data!$A:$AN,MATCH(yoy!$C$1,Data!$A$1:$AN$1,),)</f>
        <v/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9">
        <f>VLOOKUP(B15,Data!$A:$AN,MATCH(yoy!$C$1,Data!$A$1:$AN$1,),)</f>
        <v/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9">
        <f>VLOOKUP(B16,Data!$A:$AN,MATCH(yoy!$C$1,Data!$A$1:$AN$1,),)</f>
        <v/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9">
        <f>VLOOKUP(B17,Data!$A:$AN,MATCH(yoy!$C$1,Data!$A$1:$AN$1,),)</f>
        <v/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9">
        <f>VLOOKUP(B18,Data!$A:$AN,MATCH(yoy!$C$1,Data!$A$1:$AN$1,),)</f>
        <v/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9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9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9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9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9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9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9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9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9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9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9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9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9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9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9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9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9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9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9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9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9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9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9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9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9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9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9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9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9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9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9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9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9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9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9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9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9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9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9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9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9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9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9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9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9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9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9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9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9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9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9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0000"/>
    <outlinePr summaryBelow="1" summaryRight="1"/>
    <pageSetUpPr/>
  </sheetPr>
  <dimension ref="A1:AI88"/>
  <sheetViews>
    <sheetView zoomScale="150" zoomScaleNormal="150" workbookViewId="0">
      <pane xSplit="2" ySplit="5" topLeftCell="C58" activePane="bottomRight" state="frozen"/>
      <selection pane="topRight" activeCell="C1" sqref="C1"/>
      <selection pane="bottomLeft" activeCell="A6" sqref="A6"/>
      <selection pane="bottomRight" activeCell="AC88" sqref="AC88"/>
    </sheetView>
  </sheetViews>
  <sheetFormatPr baseColWidth="10" defaultColWidth="8.83203125" defaultRowHeight="15"/>
  <cols>
    <col width="10.6640625" bestFit="1" customWidth="1" style="79" min="1" max="1"/>
    <col width="13.6640625" customWidth="1" style="67" min="2" max="2"/>
    <col width="6.1640625" customWidth="1" style="67" min="3" max="22"/>
    <col width="5.6640625" customWidth="1" style="67" min="23" max="23"/>
    <col width="6.1640625" customWidth="1" style="67" min="24" max="27"/>
    <col width="9.1640625" customWidth="1" style="79" min="28" max="28"/>
    <col width="12.33203125" customWidth="1" style="79" min="29" max="29"/>
    <col width="9.1640625" customWidth="1" style="79" min="30" max="30"/>
    <col width="10.6640625" customWidth="1" style="79" min="31" max="31"/>
    <col width="10.6640625" bestFit="1" customWidth="1" style="79" min="32" max="32"/>
    <col width="9.1640625" customWidth="1" style="79" min="33" max="73"/>
  </cols>
  <sheetData>
    <row r="1" customFormat="1" s="79">
      <c r="C1" s="79" t="inlineStr">
        <is>
          <t>OECD</t>
        </is>
      </c>
      <c r="D1" s="79" t="inlineStr">
        <is>
          <t>USA</t>
        </is>
      </c>
      <c r="E1" s="79" t="inlineStr">
        <is>
          <t>CHN</t>
        </is>
      </c>
      <c r="F1" s="79" t="inlineStr">
        <is>
          <t>EA19</t>
        </is>
      </c>
      <c r="G1" s="79" t="inlineStr">
        <is>
          <t>JPN</t>
        </is>
      </c>
      <c r="H1" s="79" t="inlineStr">
        <is>
          <t>GBR</t>
        </is>
      </c>
      <c r="I1" s="79" t="inlineStr">
        <is>
          <t>CHE</t>
        </is>
      </c>
      <c r="J1" s="79" t="inlineStr">
        <is>
          <t>SWE</t>
        </is>
      </c>
      <c r="K1" s="79" t="inlineStr">
        <is>
          <t>NOR</t>
        </is>
      </c>
      <c r="L1" s="79" t="inlineStr">
        <is>
          <t>BRA</t>
        </is>
      </c>
      <c r="M1" s="79" t="inlineStr">
        <is>
          <t>MEX</t>
        </is>
      </c>
      <c r="N1" s="79" t="inlineStr">
        <is>
          <t>RUS</t>
        </is>
      </c>
      <c r="O1" s="79" t="inlineStr">
        <is>
          <t>IND</t>
        </is>
      </c>
      <c r="P1" s="79" t="inlineStr">
        <is>
          <t>CAN</t>
        </is>
      </c>
      <c r="Q1" s="79" t="inlineStr">
        <is>
          <t>AUS</t>
        </is>
      </c>
      <c r="R1" s="79" t="inlineStr">
        <is>
          <t>IDN</t>
        </is>
      </c>
      <c r="S1" s="79" t="inlineStr">
        <is>
          <t>KOR</t>
        </is>
      </c>
      <c r="T1" s="79" t="inlineStr">
        <is>
          <t>CHL</t>
        </is>
      </c>
      <c r="U1" s="79" t="inlineStr">
        <is>
          <t>DNK</t>
        </is>
      </c>
      <c r="V1" s="79" t="inlineStr">
        <is>
          <t>ISR</t>
        </is>
      </c>
      <c r="W1" s="79" t="inlineStr">
        <is>
          <t>TUR</t>
        </is>
      </c>
      <c r="X1" s="79" t="inlineStr">
        <is>
          <t>ZAF</t>
        </is>
      </c>
      <c r="Y1" s="79" t="inlineStr">
        <is>
          <t>NZL</t>
        </is>
      </c>
      <c r="Z1" s="79" t="inlineStr">
        <is>
          <t>CZE</t>
        </is>
      </c>
      <c r="AA1" s="79" t="inlineStr">
        <is>
          <t>POL</t>
        </is>
      </c>
      <c r="AI1" s="79" t="inlineStr">
        <is>
          <t>modify max/min/avg</t>
        </is>
      </c>
    </row>
    <row r="2" ht="90" customHeight="1" s="67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MAX(C34:C44)</f>
        <v/>
      </c>
      <c r="D3" s="15">
        <f>MAX(D34:D44)</f>
        <v/>
      </c>
      <c r="E3" s="15">
        <f>MAX(E34:E44)</f>
        <v/>
      </c>
      <c r="F3" s="15">
        <f>MAX(F34:F44)</f>
        <v/>
      </c>
      <c r="G3" s="15">
        <f>MAX(G34:G44)</f>
        <v/>
      </c>
      <c r="H3" s="15">
        <f>MAX(H34:H44)</f>
        <v/>
      </c>
      <c r="I3" s="15">
        <f>MAX(I34:I44)</f>
        <v/>
      </c>
      <c r="J3" s="15">
        <f>MAX(J34:J44)</f>
        <v/>
      </c>
      <c r="K3" s="15">
        <f>MAX(K34:K44)</f>
        <v/>
      </c>
      <c r="L3" s="15">
        <f>MAX(L34:L44)</f>
        <v/>
      </c>
      <c r="M3" s="15">
        <f>MAX(M34:M44)</f>
        <v/>
      </c>
      <c r="N3" s="15">
        <f>MAX(N34:N44)</f>
        <v/>
      </c>
      <c r="O3" s="15">
        <f>MAX(O34:O44)</f>
        <v/>
      </c>
      <c r="P3" s="15">
        <f>MAX(P34:P44)</f>
        <v/>
      </c>
      <c r="Q3" s="15">
        <f>MAX(Q34:Q44)</f>
        <v/>
      </c>
      <c r="R3" s="15">
        <f>MAX(R34:R44)</f>
        <v/>
      </c>
      <c r="S3" s="15">
        <f>MAX(S34:S44)</f>
        <v/>
      </c>
      <c r="T3" s="15">
        <f>MAX(T34:T44)</f>
        <v/>
      </c>
      <c r="U3" s="15">
        <f>MAX(U34:U44)</f>
        <v/>
      </c>
      <c r="V3" s="15">
        <f>MAX(V34:V44)</f>
        <v/>
      </c>
      <c r="W3" s="15">
        <f>MAX(W34:W44)</f>
        <v/>
      </c>
      <c r="X3" s="15">
        <f>MAX(X34:X44)</f>
        <v/>
      </c>
      <c r="Y3" s="15">
        <f>MAX(Y34:Y44)</f>
        <v/>
      </c>
      <c r="Z3" s="15">
        <f>MAX(Z34:Z44)</f>
        <v/>
      </c>
      <c r="AA3" s="15">
        <f>MAX(AA34:AA44)</f>
        <v/>
      </c>
    </row>
    <row r="4">
      <c r="B4" s="2" t="inlineStr">
        <is>
          <t>min 12m</t>
        </is>
      </c>
      <c r="C4" s="15">
        <f>MIN(C34:C44)</f>
        <v/>
      </c>
      <c r="D4" s="15">
        <f>MIN(D34:D44)</f>
        <v/>
      </c>
      <c r="E4" s="15">
        <f>MIN(E34:E44)</f>
        <v/>
      </c>
      <c r="F4" s="15">
        <f>MIN(F34:F44)</f>
        <v/>
      </c>
      <c r="G4" s="15">
        <f>MIN(G34:G44)</f>
        <v/>
      </c>
      <c r="H4" s="15">
        <f>MIN(H34:H44)</f>
        <v/>
      </c>
      <c r="I4" s="15">
        <f>MIN(I34:I44)</f>
        <v/>
      </c>
      <c r="J4" s="15">
        <f>MIN(J34:J44)</f>
        <v/>
      </c>
      <c r="K4" s="15">
        <f>MIN(K34:K44)</f>
        <v/>
      </c>
      <c r="L4" s="15">
        <f>MIN(L34:L44)</f>
        <v/>
      </c>
      <c r="M4" s="15">
        <f>MIN(M34:M44)</f>
        <v/>
      </c>
      <c r="N4" s="15">
        <f>MIN(N34:N44)</f>
        <v/>
      </c>
      <c r="O4" s="15">
        <f>MIN(O34:O44)</f>
        <v/>
      </c>
      <c r="P4" s="15">
        <f>MIN(P34:P44)</f>
        <v/>
      </c>
      <c r="Q4" s="15">
        <f>MIN(Q34:Q44)</f>
        <v/>
      </c>
      <c r="R4" s="15">
        <f>MIN(R34:R44)</f>
        <v/>
      </c>
      <c r="S4" s="15">
        <f>MIN(S34:S44)</f>
        <v/>
      </c>
      <c r="T4" s="15">
        <f>MIN(T34:T44)</f>
        <v/>
      </c>
      <c r="U4" s="15">
        <f>MIN(U34:U44)</f>
        <v/>
      </c>
      <c r="V4" s="15">
        <f>MIN(V34:V44)</f>
        <v/>
      </c>
      <c r="W4" s="15">
        <f>MIN(W34:W44)</f>
        <v/>
      </c>
      <c r="X4" s="15">
        <f>MIN(X34:X44)</f>
        <v/>
      </c>
      <c r="Y4" s="15">
        <f>MIN(Y34:Y44)</f>
        <v/>
      </c>
      <c r="Z4" s="15">
        <f>MIN(Z34:Z44)</f>
        <v/>
      </c>
      <c r="AA4" s="15">
        <f>MIN(AA34:AA44)</f>
        <v/>
      </c>
    </row>
    <row r="5">
      <c r="B5" s="2" t="inlineStr">
        <is>
          <t>12m avg</t>
        </is>
      </c>
      <c r="C5" s="15">
        <f>AVERAGE(C34:C44)</f>
        <v/>
      </c>
      <c r="D5" s="15">
        <f>AVERAGE(D34:D44)</f>
        <v/>
      </c>
      <c r="E5" s="15">
        <f>AVERAGE(E34:E44)</f>
        <v/>
      </c>
      <c r="F5" s="15">
        <f>AVERAGE(F34:F44)</f>
        <v/>
      </c>
      <c r="G5" s="15">
        <f>AVERAGE(G34:G44)</f>
        <v/>
      </c>
      <c r="H5" s="15">
        <f>AVERAGE(H34:H44)</f>
        <v/>
      </c>
      <c r="I5" s="15">
        <f>AVERAGE(I34:I44)</f>
        <v/>
      </c>
      <c r="J5" s="15">
        <f>AVERAGE(J34:J44)</f>
        <v/>
      </c>
      <c r="K5" s="15">
        <f>AVERAGE(K34:K44)</f>
        <v/>
      </c>
      <c r="L5" s="15">
        <f>AVERAGE(L34:L44)</f>
        <v/>
      </c>
      <c r="M5" s="15">
        <f>AVERAGE(M34:M44)</f>
        <v/>
      </c>
      <c r="N5" s="15">
        <f>AVERAGE(N34:N44)</f>
        <v/>
      </c>
      <c r="O5" s="15">
        <f>AVERAGE(O34:O44)</f>
        <v/>
      </c>
      <c r="P5" s="15">
        <f>AVERAGE(P34:P44)</f>
        <v/>
      </c>
      <c r="Q5" s="15">
        <f>AVERAGE(Q34:Q44)</f>
        <v/>
      </c>
      <c r="R5" s="15">
        <f>AVERAGE(R34:R44)</f>
        <v/>
      </c>
      <c r="S5" s="15">
        <f>AVERAGE(S34:S44)</f>
        <v/>
      </c>
      <c r="T5" s="15">
        <f>AVERAGE(T34:T44)</f>
        <v/>
      </c>
      <c r="U5" s="15">
        <f>AVERAGE(U34:U44)</f>
        <v/>
      </c>
      <c r="V5" s="15">
        <f>AVERAGE(V34:V44)</f>
        <v/>
      </c>
      <c r="W5" s="15">
        <f>AVERAGE(W34:W44)</f>
        <v/>
      </c>
      <c r="X5" s="15">
        <f>AVERAGE(X34:X44)</f>
        <v/>
      </c>
      <c r="Y5" s="15">
        <f>AVERAGE(Y34:Y44)</f>
        <v/>
      </c>
      <c r="Z5" s="15">
        <f>AVERAGE(Z34:Z44)</f>
        <v/>
      </c>
      <c r="AA5" s="15">
        <f>AVERAGE(AA34:AA44)</f>
        <v/>
      </c>
      <c r="AC5" s="79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 s="67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 s="67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 s="67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 s="67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 s="67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 s="67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 s="67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 s="67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 s="67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 s="67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 s="67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 s="67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 s="67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9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9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9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9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9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9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9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9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9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9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9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9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9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9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9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9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9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9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9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9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9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9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9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9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9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9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9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9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9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9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9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9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9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9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9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9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9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9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9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9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9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9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9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9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9"/>
    <row r="90" customFormat="1" s="79"/>
    <row r="91" customFormat="1" s="79"/>
    <row r="92" customFormat="1" s="79"/>
    <row r="93" customFormat="1" s="79"/>
    <row r="94" customFormat="1" s="79"/>
    <row r="95" customFormat="1" s="79"/>
    <row r="96" customFormat="1" s="79"/>
    <row r="97" customFormat="1" s="79"/>
    <row r="98" customFormat="1" s="79"/>
    <row r="99" customFormat="1" s="79"/>
    <row r="100" customFormat="1" s="79"/>
    <row r="101" customFormat="1" s="79"/>
    <row r="102" customFormat="1" s="79"/>
    <row r="103" customFormat="1" s="79"/>
    <row r="104" customFormat="1" s="79"/>
    <row r="105" customFormat="1" s="79"/>
    <row r="106" customFormat="1" s="79"/>
    <row r="107" customFormat="1" s="79"/>
    <row r="108" customFormat="1" s="79"/>
    <row r="109" customFormat="1" s="79"/>
    <row r="110" customFormat="1" s="79"/>
    <row r="111" customFormat="1" s="79"/>
    <row r="112" customFormat="1" s="79"/>
    <row r="113" customFormat="1" s="79"/>
    <row r="114" customFormat="1" s="79"/>
    <row r="115" customFormat="1" s="79"/>
    <row r="116" customFormat="1" s="79"/>
    <row r="117" customFormat="1" s="79"/>
    <row r="118" customFormat="1" s="79"/>
    <row r="119" customFormat="1" s="79"/>
    <row r="120" customFormat="1" s="79"/>
    <row r="121" customFormat="1" s="79"/>
    <row r="122" customFormat="1" s="79"/>
    <row r="123" customFormat="1" s="79"/>
    <row r="124" customFormat="1" s="79"/>
    <row r="125" customFormat="1" s="79"/>
    <row r="126" customFormat="1" s="79"/>
    <row r="127" customFormat="1" s="79"/>
    <row r="128" customFormat="1" s="79"/>
    <row r="129" customFormat="1" s="79"/>
    <row r="130" customFormat="1" s="79"/>
    <row r="131" customFormat="1" s="79"/>
    <row r="132" customFormat="1" s="79"/>
    <row r="133" customFormat="1" s="79"/>
    <row r="134" customFormat="1" s="79"/>
    <row r="135" customFormat="1" s="79"/>
    <row r="136" customFormat="1" s="79"/>
    <row r="137" customFormat="1" s="79"/>
    <row r="138" customFormat="1" s="79"/>
    <row r="139" customFormat="1" s="79"/>
    <row r="140" customFormat="1" s="79"/>
    <row r="141" customFormat="1" s="79"/>
    <row r="142" customFormat="1" s="79"/>
    <row r="143" customFormat="1" s="79"/>
    <row r="144" customFormat="1" s="79"/>
    <row r="145" customFormat="1" s="79"/>
    <row r="146" customFormat="1" s="79"/>
    <row r="147" customFormat="1" s="79"/>
    <row r="148" customFormat="1" s="79"/>
    <row r="149" customFormat="1" s="79"/>
    <row r="150" customFormat="1" s="79"/>
    <row r="151" customFormat="1" s="79"/>
    <row r="152" customFormat="1" s="79"/>
    <row r="153" customFormat="1" s="79"/>
    <row r="154" customFormat="1" s="79"/>
    <row r="155" customFormat="1" s="79"/>
    <row r="156" customFormat="1" s="79"/>
    <row r="157" customFormat="1" s="79"/>
    <row r="158" customFormat="1" s="79"/>
    <row r="159" customFormat="1" s="79"/>
    <row r="160" customFormat="1" s="79"/>
    <row r="161" customFormat="1" s="79"/>
    <row r="162" customFormat="1" s="79"/>
    <row r="163" customFormat="1" s="79"/>
    <row r="164" customFormat="1" s="79"/>
    <row r="165" customFormat="1" s="79"/>
    <row r="166" customFormat="1" s="79"/>
    <row r="167" customFormat="1" s="79"/>
    <row r="168" customFormat="1" s="79"/>
    <row r="169" customFormat="1" s="79"/>
    <row r="170" customFormat="1" s="79"/>
    <row r="171" customFormat="1" s="79"/>
    <row r="172" customFormat="1" s="79"/>
    <row r="173" customFormat="1" s="79"/>
    <row r="174" customFormat="1" s="79"/>
    <row r="175" customFormat="1" s="79"/>
    <row r="176" customFormat="1" s="79"/>
    <row r="177" customFormat="1" s="79"/>
    <row r="178" customFormat="1" s="79"/>
    <row r="179" customFormat="1" s="79"/>
    <row r="180" customFormat="1" s="79"/>
    <row r="181" customFormat="1" s="79"/>
    <row r="182" customFormat="1" s="79"/>
    <row r="183" customFormat="1" s="79"/>
    <row r="184" customFormat="1" s="79"/>
    <row r="185" customFormat="1" s="79"/>
    <row r="186" customFormat="1" s="79"/>
    <row r="187" customFormat="1" s="79"/>
    <row r="188" customFormat="1" s="79"/>
    <row r="189" customFormat="1" s="79"/>
    <row r="190" customFormat="1" s="79"/>
    <row r="191" customFormat="1" s="79"/>
    <row r="192" customFormat="1" s="79"/>
    <row r="193" customFormat="1" s="79"/>
    <row r="194" customFormat="1" s="79"/>
    <row r="195" customFormat="1" s="79"/>
    <row r="196" customFormat="1" s="79"/>
    <row r="197" customFormat="1" s="79"/>
    <row r="198" customFormat="1" s="79"/>
    <row r="199" customFormat="1" s="79"/>
    <row r="200" customFormat="1" s="79"/>
    <row r="201" customFormat="1" s="79"/>
    <row r="202" customFormat="1" s="79"/>
    <row r="203" customFormat="1" s="79"/>
    <row r="204" customFormat="1" s="79"/>
    <row r="205" customFormat="1" s="79"/>
    <row r="206" customFormat="1" s="79"/>
    <row r="207" customFormat="1" s="79"/>
    <row r="208" customFormat="1" s="79"/>
    <row r="209" customFormat="1" s="79"/>
    <row r="210" customFormat="1" s="79"/>
    <row r="211" customFormat="1" s="79"/>
    <row r="212" customFormat="1" s="79"/>
    <row r="213" customFormat="1" s="79"/>
    <row r="214" customFormat="1" s="79"/>
    <row r="215" customFormat="1" s="79"/>
    <row r="216" customFormat="1" s="79"/>
    <row r="217" customFormat="1" s="79"/>
    <row r="218" customFormat="1" s="79"/>
    <row r="219" customFormat="1" s="79"/>
    <row r="220" customFormat="1" s="79"/>
    <row r="221" customFormat="1" s="79"/>
    <row r="222" customFormat="1" s="79"/>
    <row r="223" customFormat="1" s="79"/>
    <row r="224" customFormat="1" s="79"/>
    <row r="225" customFormat="1" s="79"/>
    <row r="226" customFormat="1" s="79"/>
    <row r="227" customFormat="1" s="79"/>
    <row r="228" customFormat="1" s="79"/>
    <row r="229" customFormat="1" s="79"/>
    <row r="230" customFormat="1" s="79"/>
    <row r="231" customFormat="1" s="79"/>
    <row r="232" customFormat="1" s="79"/>
    <row r="233" customFormat="1" s="79"/>
    <row r="234" customFormat="1" s="79"/>
    <row r="235" customFormat="1" s="79"/>
    <row r="236" customFormat="1" s="79"/>
    <row r="237" customFormat="1" s="79"/>
    <row r="238" customFormat="1" s="79"/>
    <row r="239" customFormat="1" s="79"/>
    <row r="240" customFormat="1" s="79"/>
    <row r="241" customFormat="1" s="79"/>
    <row r="242" customFormat="1" s="79"/>
    <row r="243" customFormat="1" s="79"/>
    <row r="244" customFormat="1" s="79"/>
    <row r="245" customFormat="1" s="79"/>
    <row r="246" customFormat="1" s="79"/>
    <row r="247" customFormat="1" s="79"/>
    <row r="248" customFormat="1" s="79"/>
    <row r="249" customFormat="1" s="79"/>
    <row r="250" customFormat="1" s="79"/>
    <row r="251" customFormat="1" s="79"/>
    <row r="252" customFormat="1" s="79"/>
    <row r="253" customFormat="1" s="79"/>
    <row r="254" customFormat="1" s="79"/>
    <row r="255" customFormat="1" s="79"/>
    <row r="256" customFormat="1" s="79"/>
    <row r="257" customFormat="1" s="79"/>
    <row r="258" customFormat="1" s="79"/>
    <row r="259" customFormat="1" s="79"/>
    <row r="260" customFormat="1" s="79"/>
    <row r="261" customFormat="1" s="79"/>
    <row r="262" customFormat="1" s="79"/>
    <row r="263" customFormat="1" s="79"/>
    <row r="264" customFormat="1" s="79"/>
    <row r="265" customFormat="1" s="79"/>
    <row r="266" customFormat="1" s="79"/>
    <row r="267" customFormat="1" s="79"/>
    <row r="268" customFormat="1" s="79"/>
    <row r="269" customFormat="1" s="79"/>
    <row r="270" customFormat="1" s="79"/>
    <row r="271" customFormat="1" s="79"/>
    <row r="272" customFormat="1" s="79"/>
    <row r="273" customFormat="1" s="79"/>
    <row r="274" customFormat="1" s="79"/>
    <row r="275" customFormat="1" s="79"/>
    <row r="276" customFormat="1" s="79"/>
    <row r="277" customFormat="1" s="79"/>
    <row r="278" customFormat="1" s="79"/>
    <row r="279" customFormat="1" s="79"/>
    <row r="280" customFormat="1" s="79"/>
    <row r="281" customFormat="1" s="79"/>
    <row r="282" customFormat="1" s="79"/>
    <row r="283" customFormat="1" s="79"/>
    <row r="284" customFormat="1" s="79"/>
    <row r="285" customFormat="1" s="79"/>
    <row r="286" customFormat="1" s="79"/>
    <row r="287" customFormat="1" s="79"/>
    <row r="288" customFormat="1" s="79"/>
    <row r="289" customFormat="1" s="79"/>
    <row r="290" customFormat="1" s="79"/>
    <row r="291" customFormat="1" s="79"/>
    <row r="292" customFormat="1" s="79"/>
    <row r="293" customFormat="1" s="79"/>
    <row r="294" customFormat="1" s="79"/>
    <row r="295" customFormat="1" s="79"/>
    <row r="296" customFormat="1" s="79"/>
    <row r="297" customFormat="1" s="79"/>
    <row r="298" customFormat="1" s="79"/>
    <row r="299" customFormat="1" s="79"/>
    <row r="300" customFormat="1" s="79"/>
    <row r="301" customFormat="1" s="79"/>
    <row r="302" customFormat="1" s="79"/>
    <row r="303" customFormat="1" s="79"/>
    <row r="304" customFormat="1" s="79"/>
    <row r="305" customFormat="1" s="79"/>
    <row r="306" customFormat="1" s="79"/>
    <row r="307" customFormat="1" s="79"/>
    <row r="308" customFormat="1" s="79"/>
    <row r="309" customFormat="1" s="79"/>
    <row r="310" customFormat="1" s="79"/>
    <row r="311" customFormat="1" s="79"/>
    <row r="312" customFormat="1" s="79"/>
    <row r="313" customFormat="1" s="79"/>
    <row r="314" customFormat="1" s="79"/>
    <row r="315" customFormat="1" s="79"/>
    <row r="316" customFormat="1" s="79"/>
    <row r="317" customFormat="1" s="79"/>
    <row r="318" customFormat="1" s="79"/>
    <row r="319" customFormat="1" s="79"/>
    <row r="320" customFormat="1" s="79"/>
    <row r="321" customFormat="1" s="79"/>
    <row r="322" customFormat="1" s="79"/>
    <row r="323" customFormat="1" s="79"/>
    <row r="324" customFormat="1" s="79"/>
    <row r="325" customFormat="1" s="79"/>
    <row r="326" customFormat="1" s="79"/>
    <row r="327" customFormat="1" s="79"/>
    <row r="328" customFormat="1" s="79"/>
    <row r="329" customFormat="1" s="79"/>
    <row r="330" customFormat="1" s="79"/>
    <row r="331" customFormat="1" s="79"/>
    <row r="332" customFormat="1" s="79"/>
    <row r="333" customFormat="1" s="79"/>
    <row r="334" customFormat="1" s="79"/>
    <row r="335" customFormat="1" s="79"/>
    <row r="336" customFormat="1" s="79"/>
    <row r="337" customFormat="1" s="79"/>
    <row r="338" customFormat="1" s="79"/>
    <row r="339" customFormat="1" s="79"/>
    <row r="340" customFormat="1" s="79"/>
    <row r="341" customFormat="1" s="79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88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8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88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88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8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8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8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88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88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8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8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88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88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8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8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8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8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8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8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88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8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8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8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8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8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37"/>
  <sheetViews>
    <sheetView zoomScale="140" zoomScaleNormal="140" workbookViewId="0">
      <pane ySplit="5" topLeftCell="A693" activePane="bottomLeft" state="frozen"/>
      <selection pane="bottomLeft" activeCell="W728" sqref="W728"/>
    </sheetView>
  </sheetViews>
  <sheetFormatPr baseColWidth="10" defaultColWidth="9.1640625" defaultRowHeight="15"/>
  <cols>
    <col width="12" customWidth="1" style="79" min="1" max="1"/>
    <col width="14.33203125" customWidth="1" style="79" min="2" max="2"/>
    <col width="11.1640625" customWidth="1" style="16" min="3" max="4"/>
    <col width="9.1640625" customWidth="1" style="79" min="5" max="5"/>
    <col width="20.33203125" customWidth="1" style="79" min="6" max="6"/>
    <col width="14.6640625" customWidth="1" style="79" min="7" max="7"/>
    <col width="9.1640625" customWidth="1" style="79" min="8" max="19"/>
    <col width="9.1640625" customWidth="1" style="79" min="20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9">
        <f>"Money Supply M3 "&amp;A1</f>
        <v/>
      </c>
      <c r="G1" s="79">
        <f>F1&amp;" mom annualized"</f>
        <v/>
      </c>
    </row>
    <row r="2">
      <c r="F2" s="79" t="inlineStr">
        <is>
          <t>Average last 20 years</t>
        </is>
      </c>
      <c r="G2" s="37">
        <f>AVERAGE(D469:D708)</f>
        <v/>
      </c>
    </row>
    <row r="3">
      <c r="F3" s="79" t="inlineStr">
        <is>
          <t>Minimum last 20 years</t>
        </is>
      </c>
      <c r="G3" s="37">
        <f>MIN(D469:D738)</f>
        <v/>
      </c>
    </row>
    <row r="4" ht="16" customHeight="1" s="67" thickBot="1">
      <c r="F4" s="79" t="inlineStr">
        <is>
          <t>Maximum last 20 years</t>
        </is>
      </c>
      <c r="G4" s="37">
        <f>MAX(D469:D739)</f>
        <v/>
      </c>
    </row>
    <row r="5" ht="32" customHeight="1" s="67">
      <c r="A5" s="61" t="inlineStr">
        <is>
          <t>Date</t>
        </is>
      </c>
      <c r="B5" s="62" t="inlineStr">
        <is>
          <t>Country</t>
        </is>
      </c>
      <c r="C5" s="49" t="inlineStr">
        <is>
          <t>yoy</t>
        </is>
      </c>
      <c r="D5" s="50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63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63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63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63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63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63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63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63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63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63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63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63">
        <f>IF(B6&gt;0,(Table2[[#This Row],[Country]]-B6)/B6,0)</f>
        <v/>
      </c>
      <c r="D18" s="63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63">
        <f>IF(B7&gt;0,(Table2[[#This Row],[Country]]-B7)/B7,0)</f>
        <v/>
      </c>
      <c r="D19" s="63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63">
        <f>IF(B8&gt;0,(Table2[[#This Row],[Country]]-B8)/B8,0)</f>
        <v/>
      </c>
      <c r="D20" s="63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63">
        <f>IF(B9&gt;0,(Table2[[#This Row],[Country]]-B9)/B9,0)</f>
        <v/>
      </c>
      <c r="D21" s="63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63">
        <f>IF(B10&gt;0,(Table2[[#This Row],[Country]]-B10)/B10,0)</f>
        <v/>
      </c>
      <c r="D22" s="63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63">
        <f>IF(B11&gt;0,(Table2[[#This Row],[Country]]-B11)/B11,0)</f>
        <v/>
      </c>
      <c r="D23" s="63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63">
        <f>IF(B12&gt;0,(Table2[[#This Row],[Country]]-B12)/B12,0)</f>
        <v/>
      </c>
      <c r="D24" s="63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63">
        <f>IF(B13&gt;0,(Table2[[#This Row],[Country]]-B13)/B13,0)</f>
        <v/>
      </c>
      <c r="D25" s="63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63">
        <f>IF(B14&gt;0,(Table2[[#This Row],[Country]]-B14)/B14,0)</f>
        <v/>
      </c>
      <c r="D26" s="63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63">
        <f>IF(B15&gt;0,(Table2[[#This Row],[Country]]-B15)/B15,0)</f>
        <v/>
      </c>
      <c r="D27" s="63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63">
        <f>IF(B16&gt;0,(Table2[[#This Row],[Country]]-B16)/B16,0)</f>
        <v/>
      </c>
      <c r="D28" s="63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63">
        <f>IF(B17&gt;0,(Table2[[#This Row],[Country]]-B17)/B17,0)</f>
        <v/>
      </c>
      <c r="D29" s="63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63">
        <f>IF(B18&gt;0,(Table2[[#This Row],[Country]]-B18)/B18,0)</f>
        <v/>
      </c>
      <c r="D30" s="63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63">
        <f>IF(B19&gt;0,(Table2[[#This Row],[Country]]-B19)/B19,0)</f>
        <v/>
      </c>
      <c r="D31" s="63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63">
        <f>IF(B20&gt;0,(Table2[[#This Row],[Country]]-B20)/B20,0)</f>
        <v/>
      </c>
      <c r="D32" s="63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63">
        <f>IF(B21&gt;0,(Table2[[#This Row],[Country]]-B21)/B21,0)</f>
        <v/>
      </c>
      <c r="D33" s="63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63">
        <f>IF(B22&gt;0,(Table2[[#This Row],[Country]]-B22)/B22,0)</f>
        <v/>
      </c>
      <c r="D34" s="63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63">
        <f>IF(B23&gt;0,(Table2[[#This Row],[Country]]-B23)/B23,0)</f>
        <v/>
      </c>
      <c r="D35" s="63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63">
        <f>IF(B24&gt;0,(Table2[[#This Row],[Country]]-B24)/B24,0)</f>
        <v/>
      </c>
      <c r="D36" s="63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63">
        <f>IF(B25&gt;0,(Table2[[#This Row],[Country]]-B25)/B25,0)</f>
        <v/>
      </c>
      <c r="D37" s="63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63">
        <f>IF(B26&gt;0,(Table2[[#This Row],[Country]]-B26)/B26,0)</f>
        <v/>
      </c>
      <c r="D38" s="63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63">
        <f>IF(B27&gt;0,(Table2[[#This Row],[Country]]-B27)/B27,0)</f>
        <v/>
      </c>
      <c r="D39" s="63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63">
        <f>IF(B28&gt;0,(Table2[[#This Row],[Country]]-B28)/B28,0)</f>
        <v/>
      </c>
      <c r="D40" s="63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63">
        <f>IF(B29&gt;0,(Table2[[#This Row],[Country]]-B29)/B29,0)</f>
        <v/>
      </c>
      <c r="D41" s="63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63">
        <f>IF(B30&gt;0,(Table2[[#This Row],[Country]]-B30)/B30,0)</f>
        <v/>
      </c>
      <c r="D42" s="63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63">
        <f>IF(B31&gt;0,(Table2[[#This Row],[Country]]-B31)/B31,0)</f>
        <v/>
      </c>
      <c r="D43" s="63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63">
        <f>IF(B32&gt;0,(Table2[[#This Row],[Country]]-B32)/B32,0)</f>
        <v/>
      </c>
      <c r="D44" s="63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63">
        <f>IF(B33&gt;0,(Table2[[#This Row],[Country]]-B33)/B33,0)</f>
        <v/>
      </c>
      <c r="D45" s="63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63">
        <f>IF(B34&gt;0,(Table2[[#This Row],[Country]]-B34)/B34,0)</f>
        <v/>
      </c>
      <c r="D46" s="63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63">
        <f>IF(B35&gt;0,(Table2[[#This Row],[Country]]-B35)/B35,0)</f>
        <v/>
      </c>
      <c r="D47" s="63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63">
        <f>IF(B36&gt;0,(Table2[[#This Row],[Country]]-B36)/B36,0)</f>
        <v/>
      </c>
      <c r="D48" s="63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63">
        <f>IF(B37&gt;0,(Table2[[#This Row],[Country]]-B37)/B37,0)</f>
        <v/>
      </c>
      <c r="D49" s="63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63">
        <f>IF(B38&gt;0,(Table2[[#This Row],[Country]]-B38)/B38,0)</f>
        <v/>
      </c>
      <c r="D50" s="63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63">
        <f>IF(B39&gt;0,(Table2[[#This Row],[Country]]-B39)/B39,0)</f>
        <v/>
      </c>
      <c r="D51" s="63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63">
        <f>IF(B40&gt;0,(Table2[[#This Row],[Country]]-B40)/B40,0)</f>
        <v/>
      </c>
      <c r="D52" s="63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63">
        <f>IF(B41&gt;0,(Table2[[#This Row],[Country]]-B41)/B41,0)</f>
        <v/>
      </c>
      <c r="D53" s="63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63">
        <f>IF(B42&gt;0,(Table2[[#This Row],[Country]]-B42)/B42,0)</f>
        <v/>
      </c>
      <c r="D54" s="63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63">
        <f>IF(B43&gt;0,(Table2[[#This Row],[Country]]-B43)/B43,0)</f>
        <v/>
      </c>
      <c r="D55" s="63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63">
        <f>IF(B44&gt;0,(Table2[[#This Row],[Country]]-B44)/B44,0)</f>
        <v/>
      </c>
      <c r="D56" s="63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63">
        <f>IF(B45&gt;0,(Table2[[#This Row],[Country]]-B45)/B45,0)</f>
        <v/>
      </c>
      <c r="D57" s="63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63">
        <f>IF(B46&gt;0,(Table2[[#This Row],[Country]]-B46)/B46,0)</f>
        <v/>
      </c>
      <c r="D58" s="63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63">
        <f>IF(B47&gt;0,(Table2[[#This Row],[Country]]-B47)/B47,0)</f>
        <v/>
      </c>
      <c r="D59" s="63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63">
        <f>IF(B48&gt;0,(Table2[[#This Row],[Country]]-B48)/B48,0)</f>
        <v/>
      </c>
      <c r="D60" s="63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63">
        <f>IF(B49&gt;0,(Table2[[#This Row],[Country]]-B49)/B49,0)</f>
        <v/>
      </c>
      <c r="D61" s="63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63">
        <f>IF(B50&gt;0,(Table2[[#This Row],[Country]]-B50)/B50,0)</f>
        <v/>
      </c>
      <c r="D62" s="63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63">
        <f>IF(B51&gt;0,(Table2[[#This Row],[Country]]-B51)/B51,0)</f>
        <v/>
      </c>
      <c r="D63" s="63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63">
        <f>IF(B52&gt;0,(Table2[[#This Row],[Country]]-B52)/B52,0)</f>
        <v/>
      </c>
      <c r="D64" s="63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63">
        <f>IF(B53&gt;0,(Table2[[#This Row],[Country]]-B53)/B53,0)</f>
        <v/>
      </c>
      <c r="D65" s="63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63">
        <f>IF(B54&gt;0,(Table2[[#This Row],[Country]]-B54)/B54,0)</f>
        <v/>
      </c>
      <c r="D66" s="63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63">
        <f>IF(B55&gt;0,(Table2[[#This Row],[Country]]-B55)/B55,0)</f>
        <v/>
      </c>
      <c r="D67" s="63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63">
        <f>IF(B56&gt;0,(Table2[[#This Row],[Country]]-B56)/B56,0)</f>
        <v/>
      </c>
      <c r="D68" s="63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63">
        <f>IF(B57&gt;0,(Table2[[#This Row],[Country]]-B57)/B57,0)</f>
        <v/>
      </c>
      <c r="D69" s="63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63">
        <f>IF(B58&gt;0,(Table2[[#This Row],[Country]]-B58)/B58,0)</f>
        <v/>
      </c>
      <c r="D70" s="63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63">
        <f>IF(B59&gt;0,(Table2[[#This Row],[Country]]-B59)/B59,0)</f>
        <v/>
      </c>
      <c r="D71" s="63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63">
        <f>IF(B60&gt;0,(Table2[[#This Row],[Country]]-B60)/B60,0)</f>
        <v/>
      </c>
      <c r="D72" s="63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63">
        <f>IF(B61&gt;0,(Table2[[#This Row],[Country]]-B61)/B61,0)</f>
        <v/>
      </c>
      <c r="D73" s="63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63">
        <f>IF(B62&gt;0,(Table2[[#This Row],[Country]]-B62)/B62,0)</f>
        <v/>
      </c>
      <c r="D74" s="63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63">
        <f>IF(B63&gt;0,(Table2[[#This Row],[Country]]-B63)/B63,0)</f>
        <v/>
      </c>
      <c r="D75" s="63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63">
        <f>IF(B64&gt;0,(Table2[[#This Row],[Country]]-B64)/B64,0)</f>
        <v/>
      </c>
      <c r="D76" s="63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63">
        <f>IF(B65&gt;0,(Table2[[#This Row],[Country]]-B65)/B65,0)</f>
        <v/>
      </c>
      <c r="D77" s="63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63">
        <f>IF(B66&gt;0,(Table2[[#This Row],[Country]]-B66)/B66,0)</f>
        <v/>
      </c>
      <c r="D78" s="63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63">
        <f>IF(B67&gt;0,(Table2[[#This Row],[Country]]-B67)/B67,0)</f>
        <v/>
      </c>
      <c r="D79" s="63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63">
        <f>IF(B68&gt;0,(Table2[[#This Row],[Country]]-B68)/B68,0)</f>
        <v/>
      </c>
      <c r="D80" s="63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63">
        <f>IF(B69&gt;0,(Table2[[#This Row],[Country]]-B69)/B69,0)</f>
        <v/>
      </c>
      <c r="D81" s="63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63">
        <f>IF(B70&gt;0,(Table2[[#This Row],[Country]]-B70)/B70,0)</f>
        <v/>
      </c>
      <c r="D82" s="63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63">
        <f>IF(B71&gt;0,(Table2[[#This Row],[Country]]-B71)/B71,0)</f>
        <v/>
      </c>
      <c r="D83" s="63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63">
        <f>IF(B72&gt;0,(Table2[[#This Row],[Country]]-B72)/B72,0)</f>
        <v/>
      </c>
      <c r="D84" s="63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63">
        <f>IF(B73&gt;0,(Table2[[#This Row],[Country]]-B73)/B73,0)</f>
        <v/>
      </c>
      <c r="D85" s="63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63">
        <f>IF(B74&gt;0,(Table2[[#This Row],[Country]]-B74)/B74,0)</f>
        <v/>
      </c>
      <c r="D86" s="63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63">
        <f>IF(B75&gt;0,(Table2[[#This Row],[Country]]-B75)/B75,0)</f>
        <v/>
      </c>
      <c r="D87" s="63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63">
        <f>IF(B76&gt;0,(Table2[[#This Row],[Country]]-B76)/B76,0)</f>
        <v/>
      </c>
      <c r="D88" s="63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63">
        <f>IF(B77&gt;0,(Table2[[#This Row],[Country]]-B77)/B77,0)</f>
        <v/>
      </c>
      <c r="D89" s="63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63">
        <f>IF(B78&gt;0,(Table2[[#This Row],[Country]]-B78)/B78,0)</f>
        <v/>
      </c>
      <c r="D90" s="63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63">
        <f>IF(B79&gt;0,(Table2[[#This Row],[Country]]-B79)/B79,0)</f>
        <v/>
      </c>
      <c r="D91" s="63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63">
        <f>IF(B80&gt;0,(Table2[[#This Row],[Country]]-B80)/B80,0)</f>
        <v/>
      </c>
      <c r="D92" s="63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63">
        <f>IF(B81&gt;0,(Table2[[#This Row],[Country]]-B81)/B81,0)</f>
        <v/>
      </c>
      <c r="D93" s="63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63">
        <f>IF(B82&gt;0,(Table2[[#This Row],[Country]]-B82)/B82,0)</f>
        <v/>
      </c>
      <c r="D94" s="63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63">
        <f>IF(B83&gt;0,(Table2[[#This Row],[Country]]-B83)/B83,0)</f>
        <v/>
      </c>
      <c r="D95" s="63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63">
        <f>IF(B84&gt;0,(Table2[[#This Row],[Country]]-B84)/B84,0)</f>
        <v/>
      </c>
      <c r="D96" s="63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63">
        <f>IF(B85&gt;0,(Table2[[#This Row],[Country]]-B85)/B85,0)</f>
        <v/>
      </c>
      <c r="D97" s="63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63">
        <f>IF(B86&gt;0,(Table2[[#This Row],[Country]]-B86)/B86,0)</f>
        <v/>
      </c>
      <c r="D98" s="63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63">
        <f>IF(B87&gt;0,(Table2[[#This Row],[Country]]-B87)/B87,0)</f>
        <v/>
      </c>
      <c r="D99" s="63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63">
        <f>IF(B88&gt;0,(Table2[[#This Row],[Country]]-B88)/B88,0)</f>
        <v/>
      </c>
      <c r="D100" s="63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63">
        <f>IF(B89&gt;0,(Table2[[#This Row],[Country]]-B89)/B89,0)</f>
        <v/>
      </c>
      <c r="D101" s="63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63">
        <f>IF(B90&gt;0,(Table2[[#This Row],[Country]]-B90)/B90,0)</f>
        <v/>
      </c>
      <c r="D102" s="63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63">
        <f>IF(B91&gt;0,(Table2[[#This Row],[Country]]-B91)/B91,0)</f>
        <v/>
      </c>
      <c r="D103" s="63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63">
        <f>IF(B92&gt;0,(Table2[[#This Row],[Country]]-B92)/B92,0)</f>
        <v/>
      </c>
      <c r="D104" s="63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63">
        <f>IF(B93&gt;0,(Table2[[#This Row],[Country]]-B93)/B93,0)</f>
        <v/>
      </c>
      <c r="D105" s="63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63">
        <f>IF(B94&gt;0,(Table2[[#This Row],[Country]]-B94)/B94,0)</f>
        <v/>
      </c>
      <c r="D106" s="63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63">
        <f>IF(B95&gt;0,(Table2[[#This Row],[Country]]-B95)/B95,0)</f>
        <v/>
      </c>
      <c r="D107" s="63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63">
        <f>IF(B96&gt;0,(Table2[[#This Row],[Country]]-B96)/B96,0)</f>
        <v/>
      </c>
      <c r="D108" s="63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63">
        <f>IF(B97&gt;0,(Table2[[#This Row],[Country]]-B97)/B97,0)</f>
        <v/>
      </c>
      <c r="D109" s="63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63">
        <f>IF(B98&gt;0,(Table2[[#This Row],[Country]]-B98)/B98,0)</f>
        <v/>
      </c>
      <c r="D110" s="63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63">
        <f>IF(B99&gt;0,(Table2[[#This Row],[Country]]-B99)/B99,0)</f>
        <v/>
      </c>
      <c r="D111" s="63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63">
        <f>IF(B100&gt;0,(Table2[[#This Row],[Country]]-B100)/B100,0)</f>
        <v/>
      </c>
      <c r="D112" s="63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63">
        <f>IF(B101&gt;0,(Table2[[#This Row],[Country]]-B101)/B101,0)</f>
        <v/>
      </c>
      <c r="D113" s="63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63">
        <f>IF(B102&gt;0,(Table2[[#This Row],[Country]]-B102)/B102,0)</f>
        <v/>
      </c>
      <c r="D114" s="63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63">
        <f>IF(B103&gt;0,(Table2[[#This Row],[Country]]-B103)/B103,0)</f>
        <v/>
      </c>
      <c r="D115" s="63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63">
        <f>IF(B104&gt;0,(Table2[[#This Row],[Country]]-B104)/B104,0)</f>
        <v/>
      </c>
      <c r="D116" s="63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63">
        <f>IF(B105&gt;0,(Table2[[#This Row],[Country]]-B105)/B105,0)</f>
        <v/>
      </c>
      <c r="D117" s="63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63">
        <f>IF(B106&gt;0,(Table2[[#This Row],[Country]]-B106)/B106,0)</f>
        <v/>
      </c>
      <c r="D118" s="63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63">
        <f>IF(B107&gt;0,(Table2[[#This Row],[Country]]-B107)/B107,0)</f>
        <v/>
      </c>
      <c r="D119" s="63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63">
        <f>IF(B108&gt;0,(Table2[[#This Row],[Country]]-B108)/B108,0)</f>
        <v/>
      </c>
      <c r="D120" s="63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63">
        <f>IF(B109&gt;0,(Table2[[#This Row],[Country]]-B109)/B109,0)</f>
        <v/>
      </c>
      <c r="D121" s="63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63">
        <f>IF(B110&gt;0,(Table2[[#This Row],[Country]]-B110)/B110,0)</f>
        <v/>
      </c>
      <c r="D122" s="63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63">
        <f>IF(B111&gt;0,(Table2[[#This Row],[Country]]-B111)/B111,0)</f>
        <v/>
      </c>
      <c r="D123" s="63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63">
        <f>IF(B112&gt;0,(Table2[[#This Row],[Country]]-B112)/B112,0)</f>
        <v/>
      </c>
      <c r="D124" s="63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63">
        <f>IF(B113&gt;0,(Table2[[#This Row],[Country]]-B113)/B113,0)</f>
        <v/>
      </c>
      <c r="D125" s="63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63">
        <f>IF(B114&gt;0,(Table2[[#This Row],[Country]]-B114)/B114,0)</f>
        <v/>
      </c>
      <c r="D126" s="63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63">
        <f>IF(B115&gt;0,(Table2[[#This Row],[Country]]-B115)/B115,0)</f>
        <v/>
      </c>
      <c r="D127" s="63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63">
        <f>IF(B116&gt;0,(Table2[[#This Row],[Country]]-B116)/B116,0)</f>
        <v/>
      </c>
      <c r="D128" s="63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63">
        <f>IF(B117&gt;0,(Table2[[#This Row],[Country]]-B117)/B117,0)</f>
        <v/>
      </c>
      <c r="D129" s="63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63">
        <f>IF(B118&gt;0,(Table2[[#This Row],[Country]]-B118)/B118,0)</f>
        <v/>
      </c>
      <c r="D130" s="63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63">
        <f>IF(B119&gt;0,(Table2[[#This Row],[Country]]-B119)/B119,0)</f>
        <v/>
      </c>
      <c r="D131" s="63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63">
        <f>IF(B120&gt;0,(Table2[[#This Row],[Country]]-B120)/B120,0)</f>
        <v/>
      </c>
      <c r="D132" s="63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63">
        <f>IF(B121&gt;0,(Table2[[#This Row],[Country]]-B121)/B121,0)</f>
        <v/>
      </c>
      <c r="D133" s="63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63">
        <f>IF(B122&gt;0,(Table2[[#This Row],[Country]]-B122)/B122,0)</f>
        <v/>
      </c>
      <c r="D134" s="63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63">
        <f>IF(B123&gt;0,(Table2[[#This Row],[Country]]-B123)/B123,0)</f>
        <v/>
      </c>
      <c r="D135" s="63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63">
        <f>IF(B124&gt;0,(Table2[[#This Row],[Country]]-B124)/B124,0)</f>
        <v/>
      </c>
      <c r="D136" s="63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63">
        <f>IF(B125&gt;0,(Table2[[#This Row],[Country]]-B125)/B125,0)</f>
        <v/>
      </c>
      <c r="D137" s="63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63">
        <f>IF(B126&gt;0,(Table2[[#This Row],[Country]]-B126)/B126,0)</f>
        <v/>
      </c>
      <c r="D138" s="63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63">
        <f>IF(B127&gt;0,(Table2[[#This Row],[Country]]-B127)/B127,0)</f>
        <v/>
      </c>
      <c r="D139" s="63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63">
        <f>IF(B128&gt;0,(Table2[[#This Row],[Country]]-B128)/B128,0)</f>
        <v/>
      </c>
      <c r="D140" s="63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63">
        <f>IF(B129&gt;0,(Table2[[#This Row],[Country]]-B129)/B129,0)</f>
        <v/>
      </c>
      <c r="D141" s="63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63">
        <f>IF(B130&gt;0,(Table2[[#This Row],[Country]]-B130)/B130,0)</f>
        <v/>
      </c>
      <c r="D142" s="63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63">
        <f>IF(B131&gt;0,(Table2[[#This Row],[Country]]-B131)/B131,0)</f>
        <v/>
      </c>
      <c r="D143" s="63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63">
        <f>IF(B132&gt;0,(Table2[[#This Row],[Country]]-B132)/B132,0)</f>
        <v/>
      </c>
      <c r="D144" s="63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63">
        <f>IF(B133&gt;0,(Table2[[#This Row],[Country]]-B133)/B133,0)</f>
        <v/>
      </c>
      <c r="D145" s="63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63">
        <f>IF(B134&gt;0,(Table2[[#This Row],[Country]]-B134)/B134,0)</f>
        <v/>
      </c>
      <c r="D146" s="63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63">
        <f>IF(B135&gt;0,(Table2[[#This Row],[Country]]-B135)/B135,0)</f>
        <v/>
      </c>
      <c r="D147" s="63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63">
        <f>IF(B136&gt;0,(Table2[[#This Row],[Country]]-B136)/B136,0)</f>
        <v/>
      </c>
      <c r="D148" s="63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63">
        <f>IF(B137&gt;0,(Table2[[#This Row],[Country]]-B137)/B137,0)</f>
        <v/>
      </c>
      <c r="D149" s="63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63">
        <f>IF(B138&gt;0,(Table2[[#This Row],[Country]]-B138)/B138,0)</f>
        <v/>
      </c>
      <c r="D150" s="63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63">
        <f>IF(B139&gt;0,(Table2[[#This Row],[Country]]-B139)/B139,0)</f>
        <v/>
      </c>
      <c r="D151" s="63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63">
        <f>IF(B140&gt;0,(Table2[[#This Row],[Country]]-B140)/B140,0)</f>
        <v/>
      </c>
      <c r="D152" s="63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63">
        <f>IF(B141&gt;0,(Table2[[#This Row],[Country]]-B141)/B141,0)</f>
        <v/>
      </c>
      <c r="D153" s="63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63">
        <f>IF(B142&gt;0,(Table2[[#This Row],[Country]]-B142)/B142,0)</f>
        <v/>
      </c>
      <c r="D154" s="63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63">
        <f>IF(B143&gt;0,(Table2[[#This Row],[Country]]-B143)/B143,0)</f>
        <v/>
      </c>
      <c r="D155" s="63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63">
        <f>IF(B144&gt;0,(Table2[[#This Row],[Country]]-B144)/B144,0)</f>
        <v/>
      </c>
      <c r="D156" s="63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63">
        <f>IF(B145&gt;0,(Table2[[#This Row],[Country]]-B145)/B145,0)</f>
        <v/>
      </c>
      <c r="D157" s="63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63">
        <f>IF(B146&gt;0,(Table2[[#This Row],[Country]]-B146)/B146,0)</f>
        <v/>
      </c>
      <c r="D158" s="63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63">
        <f>IF(B147&gt;0,(Table2[[#This Row],[Country]]-B147)/B147,0)</f>
        <v/>
      </c>
      <c r="D159" s="63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63">
        <f>IF(B148&gt;0,(Table2[[#This Row],[Country]]-B148)/B148,0)</f>
        <v/>
      </c>
      <c r="D160" s="63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63">
        <f>IF(B149&gt;0,(Table2[[#This Row],[Country]]-B149)/B149,0)</f>
        <v/>
      </c>
      <c r="D161" s="63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63">
        <f>IF(B150&gt;0,(Table2[[#This Row],[Country]]-B150)/B150,0)</f>
        <v/>
      </c>
      <c r="D162" s="63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63">
        <f>IF(B151&gt;0,(Table2[[#This Row],[Country]]-B151)/B151,0)</f>
        <v/>
      </c>
      <c r="D163" s="63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63">
        <f>IF(B152&gt;0,(Table2[[#This Row],[Country]]-B152)/B152,0)</f>
        <v/>
      </c>
      <c r="D164" s="63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63">
        <f>IF(B153&gt;0,(Table2[[#This Row],[Country]]-B153)/B153,0)</f>
        <v/>
      </c>
      <c r="D165" s="63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63">
        <f>IF(B154&gt;0,(Table2[[#This Row],[Country]]-B154)/B154,0)</f>
        <v/>
      </c>
      <c r="D166" s="63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63">
        <f>IF(B155&gt;0,(Table2[[#This Row],[Country]]-B155)/B155,0)</f>
        <v/>
      </c>
      <c r="D167" s="63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63">
        <f>IF(B156&gt;0,(Table2[[#This Row],[Country]]-B156)/B156,0)</f>
        <v/>
      </c>
      <c r="D168" s="63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63">
        <f>IF(B157&gt;0,(Table2[[#This Row],[Country]]-B157)/B157,0)</f>
        <v/>
      </c>
      <c r="D169" s="63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63">
        <f>IF(B158&gt;0,(Table2[[#This Row],[Country]]-B158)/B158,0)</f>
        <v/>
      </c>
      <c r="D170" s="63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63">
        <f>IF(B159&gt;0,(Table2[[#This Row],[Country]]-B159)/B159,0)</f>
        <v/>
      </c>
      <c r="D171" s="63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63">
        <f>IF(B160&gt;0,(Table2[[#This Row],[Country]]-B160)/B160,0)</f>
        <v/>
      </c>
      <c r="D172" s="63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63">
        <f>IF(B161&gt;0,(Table2[[#This Row],[Country]]-B161)/B161,0)</f>
        <v/>
      </c>
      <c r="D173" s="63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63">
        <f>IF(B162&gt;0,(Table2[[#This Row],[Country]]-B162)/B162,0)</f>
        <v/>
      </c>
      <c r="D174" s="63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63">
        <f>IF(B163&gt;0,(Table2[[#This Row],[Country]]-B163)/B163,0)</f>
        <v/>
      </c>
      <c r="D175" s="63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63">
        <f>IF(B164&gt;0,(Table2[[#This Row],[Country]]-B164)/B164,0)</f>
        <v/>
      </c>
      <c r="D176" s="63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63">
        <f>IF(B165&gt;0,(Table2[[#This Row],[Country]]-B165)/B165,0)</f>
        <v/>
      </c>
      <c r="D177" s="63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63">
        <f>IF(B166&gt;0,(Table2[[#This Row],[Country]]-B166)/B166,0)</f>
        <v/>
      </c>
      <c r="D178" s="63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63">
        <f>IF(B167&gt;0,(Table2[[#This Row],[Country]]-B167)/B167,0)</f>
        <v/>
      </c>
      <c r="D179" s="63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63">
        <f>IF(B168&gt;0,(Table2[[#This Row],[Country]]-B168)/B168,0)</f>
        <v/>
      </c>
      <c r="D180" s="63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63">
        <f>IF(B169&gt;0,(Table2[[#This Row],[Country]]-B169)/B169,0)</f>
        <v/>
      </c>
      <c r="D181" s="63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63">
        <f>IF(B170&gt;0,(Table2[[#This Row],[Country]]-B170)/B170,0)</f>
        <v/>
      </c>
      <c r="D182" s="63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63">
        <f>IF(B171&gt;0,(Table2[[#This Row],[Country]]-B171)/B171,0)</f>
        <v/>
      </c>
      <c r="D183" s="63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63">
        <f>IF(B172&gt;0,(Table2[[#This Row],[Country]]-B172)/B172,0)</f>
        <v/>
      </c>
      <c r="D184" s="63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63">
        <f>IF(B173&gt;0,(Table2[[#This Row],[Country]]-B173)/B173,0)</f>
        <v/>
      </c>
      <c r="D185" s="63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63">
        <f>IF(B174&gt;0,(Table2[[#This Row],[Country]]-B174)/B174,0)</f>
        <v/>
      </c>
      <c r="D186" s="63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63">
        <f>IF(B175&gt;0,(Table2[[#This Row],[Country]]-B175)/B175,0)</f>
        <v/>
      </c>
      <c r="D187" s="63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63">
        <f>IF(B176&gt;0,(Table2[[#This Row],[Country]]-B176)/B176,0)</f>
        <v/>
      </c>
      <c r="D188" s="63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63">
        <f>IF(B177&gt;0,(Table2[[#This Row],[Country]]-B177)/B177,0)</f>
        <v/>
      </c>
      <c r="D189" s="63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63">
        <f>IF(B178&gt;0,(Table2[[#This Row],[Country]]-B178)/B178,0)</f>
        <v/>
      </c>
      <c r="D190" s="63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63">
        <f>IF(B179&gt;0,(Table2[[#This Row],[Country]]-B179)/B179,0)</f>
        <v/>
      </c>
      <c r="D191" s="63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63">
        <f>IF(B180&gt;0,(Table2[[#This Row],[Country]]-B180)/B180,0)</f>
        <v/>
      </c>
      <c r="D192" s="63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63">
        <f>IF(B181&gt;0,(Table2[[#This Row],[Country]]-B181)/B181,0)</f>
        <v/>
      </c>
      <c r="D193" s="63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63">
        <f>IF(B182&gt;0,(Table2[[#This Row],[Country]]-B182)/B182,0)</f>
        <v/>
      </c>
      <c r="D194" s="63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63">
        <f>IF(B183&gt;0,(Table2[[#This Row],[Country]]-B183)/B183,0)</f>
        <v/>
      </c>
      <c r="D195" s="63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63">
        <f>IF(B184&gt;0,(Table2[[#This Row],[Country]]-B184)/B184,0)</f>
        <v/>
      </c>
      <c r="D196" s="63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63">
        <f>IF(B185&gt;0,(Table2[[#This Row],[Country]]-B185)/B185,0)</f>
        <v/>
      </c>
      <c r="D197" s="63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63">
        <f>IF(B186&gt;0,(Table2[[#This Row],[Country]]-B186)/B186,0)</f>
        <v/>
      </c>
      <c r="D198" s="63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63">
        <f>IF(B187&gt;0,(Table2[[#This Row],[Country]]-B187)/B187,0)</f>
        <v/>
      </c>
      <c r="D199" s="63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63">
        <f>IF(B188&gt;0,(Table2[[#This Row],[Country]]-B188)/B188,0)</f>
        <v/>
      </c>
      <c r="D200" s="63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63">
        <f>IF(B189&gt;0,(Table2[[#This Row],[Country]]-B189)/B189,0)</f>
        <v/>
      </c>
      <c r="D201" s="63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63">
        <f>IF(B190&gt;0,(Table2[[#This Row],[Country]]-B190)/B190,0)</f>
        <v/>
      </c>
      <c r="D202" s="63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63">
        <f>IF(B191&gt;0,(Table2[[#This Row],[Country]]-B191)/B191,0)</f>
        <v/>
      </c>
      <c r="D203" s="63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63">
        <f>IF(B192&gt;0,(Table2[[#This Row],[Country]]-B192)/B192,0)</f>
        <v/>
      </c>
      <c r="D204" s="63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63">
        <f>IF(B193&gt;0,(Table2[[#This Row],[Country]]-B193)/B193,0)</f>
        <v/>
      </c>
      <c r="D205" s="63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63">
        <f>IF(B194&gt;0,(Table2[[#This Row],[Country]]-B194)/B194,0)</f>
        <v/>
      </c>
      <c r="D206" s="63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63">
        <f>IF(B195&gt;0,(Table2[[#This Row],[Country]]-B195)/B195,0)</f>
        <v/>
      </c>
      <c r="D207" s="63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63">
        <f>IF(B196&gt;0,(Table2[[#This Row],[Country]]-B196)/B196,0)</f>
        <v/>
      </c>
      <c r="D208" s="63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63">
        <f>IF(B197&gt;0,(Table2[[#This Row],[Country]]-B197)/B197,0)</f>
        <v/>
      </c>
      <c r="D209" s="63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63">
        <f>IF(B198&gt;0,(Table2[[#This Row],[Country]]-B198)/B198,0)</f>
        <v/>
      </c>
      <c r="D210" s="63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63">
        <f>IF(B199&gt;0,(Table2[[#This Row],[Country]]-B199)/B199,0)</f>
        <v/>
      </c>
      <c r="D211" s="63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63">
        <f>IF(B200&gt;0,(Table2[[#This Row],[Country]]-B200)/B200,0)</f>
        <v/>
      </c>
      <c r="D212" s="63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63">
        <f>IF(B201&gt;0,(Table2[[#This Row],[Country]]-B201)/B201,0)</f>
        <v/>
      </c>
      <c r="D213" s="63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63">
        <f>IF(B202&gt;0,(Table2[[#This Row],[Country]]-B202)/B202,0)</f>
        <v/>
      </c>
      <c r="D214" s="63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63">
        <f>IF(B203&gt;0,(Table2[[#This Row],[Country]]-B203)/B203,0)</f>
        <v/>
      </c>
      <c r="D215" s="63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63">
        <f>IF(B204&gt;0,(Table2[[#This Row],[Country]]-B204)/B204,0)</f>
        <v/>
      </c>
      <c r="D216" s="63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63">
        <f>IF(B205&gt;0,(Table2[[#This Row],[Country]]-B205)/B205,0)</f>
        <v/>
      </c>
      <c r="D217" s="63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63">
        <f>IF(B206&gt;0,(Table2[[#This Row],[Country]]-B206)/B206,0)</f>
        <v/>
      </c>
      <c r="D218" s="63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63">
        <f>IF(B207&gt;0,(Table2[[#This Row],[Country]]-B207)/B207,0)</f>
        <v/>
      </c>
      <c r="D219" s="63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63">
        <f>IF(B208&gt;0,(Table2[[#This Row],[Country]]-B208)/B208,0)</f>
        <v/>
      </c>
      <c r="D220" s="63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63">
        <f>IF(B209&gt;0,(Table2[[#This Row],[Country]]-B209)/B209,0)</f>
        <v/>
      </c>
      <c r="D221" s="63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63">
        <f>IF(B210&gt;0,(Table2[[#This Row],[Country]]-B210)/B210,0)</f>
        <v/>
      </c>
      <c r="D222" s="63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63">
        <f>IF(B211&gt;0,(Table2[[#This Row],[Country]]-B211)/B211,0)</f>
        <v/>
      </c>
      <c r="D223" s="63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63">
        <f>IF(B212&gt;0,(Table2[[#This Row],[Country]]-B212)/B212,0)</f>
        <v/>
      </c>
      <c r="D224" s="63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63">
        <f>IF(B213&gt;0,(Table2[[#This Row],[Country]]-B213)/B213,0)</f>
        <v/>
      </c>
      <c r="D225" s="63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63">
        <f>IF(B214&gt;0,(Table2[[#This Row],[Country]]-B214)/B214,0)</f>
        <v/>
      </c>
      <c r="D226" s="63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63">
        <f>IF(B215&gt;0,(Table2[[#This Row],[Country]]-B215)/B215,0)</f>
        <v/>
      </c>
      <c r="D227" s="63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63">
        <f>IF(B216&gt;0,(Table2[[#This Row],[Country]]-B216)/B216,0)</f>
        <v/>
      </c>
      <c r="D228" s="63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63">
        <f>IF(B217&gt;0,(Table2[[#This Row],[Country]]-B217)/B217,0)</f>
        <v/>
      </c>
      <c r="D229" s="63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63">
        <f>IF(B218&gt;0,(Table2[[#This Row],[Country]]-B218)/B218,0)</f>
        <v/>
      </c>
      <c r="D230" s="63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63">
        <f>IF(B219&gt;0,(Table2[[#This Row],[Country]]-B219)/B219,0)</f>
        <v/>
      </c>
      <c r="D231" s="63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63">
        <f>IF(B220&gt;0,(Table2[[#This Row],[Country]]-B220)/B220,0)</f>
        <v/>
      </c>
      <c r="D232" s="63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63">
        <f>IF(B221&gt;0,(Table2[[#This Row],[Country]]-B221)/B221,0)</f>
        <v/>
      </c>
      <c r="D233" s="63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63">
        <f>IF(B222&gt;0,(Table2[[#This Row],[Country]]-B222)/B222,0)</f>
        <v/>
      </c>
      <c r="D234" s="63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63">
        <f>IF(B223&gt;0,(Table2[[#This Row],[Country]]-B223)/B223,0)</f>
        <v/>
      </c>
      <c r="D235" s="63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63">
        <f>IF(B224&gt;0,(Table2[[#This Row],[Country]]-B224)/B224,0)</f>
        <v/>
      </c>
      <c r="D236" s="63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63">
        <f>IF(B225&gt;0,(Table2[[#This Row],[Country]]-B225)/B225,0)</f>
        <v/>
      </c>
      <c r="D237" s="63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63">
        <f>IF(B226&gt;0,(Table2[[#This Row],[Country]]-B226)/B226,0)</f>
        <v/>
      </c>
      <c r="D238" s="63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63">
        <f>IF(B227&gt;0,(Table2[[#This Row],[Country]]-B227)/B227,0)</f>
        <v/>
      </c>
      <c r="D239" s="63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63">
        <f>IF(B228&gt;0,(Table2[[#This Row],[Country]]-B228)/B228,0)</f>
        <v/>
      </c>
      <c r="D240" s="63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63">
        <f>IF(B229&gt;0,(Table2[[#This Row],[Country]]-B229)/B229,0)</f>
        <v/>
      </c>
      <c r="D241" s="63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63">
        <f>IF(B230&gt;0,(Table2[[#This Row],[Country]]-B230)/B230,0)</f>
        <v/>
      </c>
      <c r="D242" s="63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63">
        <f>IF(B231&gt;0,(Table2[[#This Row],[Country]]-B231)/B231,0)</f>
        <v/>
      </c>
      <c r="D243" s="63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63">
        <f>IF(B232&gt;0,(Table2[[#This Row],[Country]]-B232)/B232,0)</f>
        <v/>
      </c>
      <c r="D244" s="63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63">
        <f>IF(B233&gt;0,(Table2[[#This Row],[Country]]-B233)/B233,0)</f>
        <v/>
      </c>
      <c r="D245" s="63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63">
        <f>IF(B234&gt;0,(Table2[[#This Row],[Country]]-B234)/B234,0)</f>
        <v/>
      </c>
      <c r="D246" s="63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63">
        <f>IF(B235&gt;0,(Table2[[#This Row],[Country]]-B235)/B235,0)</f>
        <v/>
      </c>
      <c r="D247" s="63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63">
        <f>IF(B236&gt;0,(Table2[[#This Row],[Country]]-B236)/B236,0)</f>
        <v/>
      </c>
      <c r="D248" s="63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63">
        <f>IF(B237&gt;0,(Table2[[#This Row],[Country]]-B237)/B237,0)</f>
        <v/>
      </c>
      <c r="D249" s="63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63">
        <f>IF(B238&gt;0,(Table2[[#This Row],[Country]]-B238)/B238,0)</f>
        <v/>
      </c>
      <c r="D250" s="63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63">
        <f>IF(B239&gt;0,(Table2[[#This Row],[Country]]-B239)/B239,0)</f>
        <v/>
      </c>
      <c r="D251" s="63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63">
        <f>IF(B240&gt;0,(Table2[[#This Row],[Country]]-B240)/B240,0)</f>
        <v/>
      </c>
      <c r="D252" s="63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63">
        <f>IF(B241&gt;0,(Table2[[#This Row],[Country]]-B241)/B241,0)</f>
        <v/>
      </c>
      <c r="D253" s="63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63">
        <f>IF(B242&gt;0,(Table2[[#This Row],[Country]]-B242)/B242,0)</f>
        <v/>
      </c>
      <c r="D254" s="63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63">
        <f>IF(B243&gt;0,(Table2[[#This Row],[Country]]-B243)/B243,0)</f>
        <v/>
      </c>
      <c r="D255" s="63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63">
        <f>IF(B244&gt;0,(Table2[[#This Row],[Country]]-B244)/B244,0)</f>
        <v/>
      </c>
      <c r="D256" s="63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63">
        <f>IF(B245&gt;0,(Table2[[#This Row],[Country]]-B245)/B245,0)</f>
        <v/>
      </c>
      <c r="D257" s="63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63">
        <f>IF(B246&gt;0,(Table2[[#This Row],[Country]]-B246)/B246,0)</f>
        <v/>
      </c>
      <c r="D258" s="63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63">
        <f>IF(B247&gt;0,(Table2[[#This Row],[Country]]-B247)/B247,0)</f>
        <v/>
      </c>
      <c r="D259" s="63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63">
        <f>IF(B248&gt;0,(Table2[[#This Row],[Country]]-B248)/B248,0)</f>
        <v/>
      </c>
      <c r="D260" s="63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63">
        <f>IF(B249&gt;0,(Table2[[#This Row],[Country]]-B249)/B249,0)</f>
        <v/>
      </c>
      <c r="D261" s="63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63">
        <f>IF(B250&gt;0,(Table2[[#This Row],[Country]]-B250)/B250,0)</f>
        <v/>
      </c>
      <c r="D262" s="63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63">
        <f>IF(B251&gt;0,(Table2[[#This Row],[Country]]-B251)/B251,0)</f>
        <v/>
      </c>
      <c r="D263" s="63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63">
        <f>IF(B252&gt;0,(Table2[[#This Row],[Country]]-B252)/B252,0)</f>
        <v/>
      </c>
      <c r="D264" s="63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63">
        <f>IF(B253&gt;0,(Table2[[#This Row],[Country]]-B253)/B253,0)</f>
        <v/>
      </c>
      <c r="D265" s="63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63">
        <f>IF(B254&gt;0,(Table2[[#This Row],[Country]]-B254)/B254,0)</f>
        <v/>
      </c>
      <c r="D266" s="63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63">
        <f>IF(B255&gt;0,(Table2[[#This Row],[Country]]-B255)/B255,0)</f>
        <v/>
      </c>
      <c r="D267" s="63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63">
        <f>IF(B256&gt;0,(Table2[[#This Row],[Country]]-B256)/B256,0)</f>
        <v/>
      </c>
      <c r="D268" s="63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63">
        <f>IF(B257&gt;0,(Table2[[#This Row],[Country]]-B257)/B257,0)</f>
        <v/>
      </c>
      <c r="D269" s="63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63">
        <f>IF(B258&gt;0,(Table2[[#This Row],[Country]]-B258)/B258,0)</f>
        <v/>
      </c>
      <c r="D270" s="63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63">
        <f>IF(B259&gt;0,(Table2[[#This Row],[Country]]-B259)/B259,0)</f>
        <v/>
      </c>
      <c r="D271" s="63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63">
        <f>IF(B260&gt;0,(Table2[[#This Row],[Country]]-B260)/B260,0)</f>
        <v/>
      </c>
      <c r="D272" s="63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63">
        <f>IF(B261&gt;0,(Table2[[#This Row],[Country]]-B261)/B261,0)</f>
        <v/>
      </c>
      <c r="D273" s="63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63">
        <f>IF(B262&gt;0,(Table2[[#This Row],[Country]]-B262)/B262,0)</f>
        <v/>
      </c>
      <c r="D274" s="63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63">
        <f>IF(B263&gt;0,(Table2[[#This Row],[Country]]-B263)/B263,0)</f>
        <v/>
      </c>
      <c r="D275" s="63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63">
        <f>IF(B264&gt;0,(Table2[[#This Row],[Country]]-B264)/B264,0)</f>
        <v/>
      </c>
      <c r="D276" s="63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63">
        <f>IF(B265&gt;0,(Table2[[#This Row],[Country]]-B265)/B265,0)</f>
        <v/>
      </c>
      <c r="D277" s="63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63">
        <f>IF(B266&gt;0,(Table2[[#This Row],[Country]]-B266)/B266,0)</f>
        <v/>
      </c>
      <c r="D278" s="63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63">
        <f>IF(B267&gt;0,(Table2[[#This Row],[Country]]-B267)/B267,0)</f>
        <v/>
      </c>
      <c r="D279" s="63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63">
        <f>IF(B268&gt;0,(Table2[[#This Row],[Country]]-B268)/B268,0)</f>
        <v/>
      </c>
      <c r="D280" s="63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63">
        <f>IF(B269&gt;0,(Table2[[#This Row],[Country]]-B269)/B269,0)</f>
        <v/>
      </c>
      <c r="D281" s="63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63">
        <f>IF(B270&gt;0,(Table2[[#This Row],[Country]]-B270)/B270,0)</f>
        <v/>
      </c>
      <c r="D282" s="63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63">
        <f>IF(B271&gt;0,(Table2[[#This Row],[Country]]-B271)/B271,0)</f>
        <v/>
      </c>
      <c r="D283" s="63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63">
        <f>IF(B272&gt;0,(Table2[[#This Row],[Country]]-B272)/B272,0)</f>
        <v/>
      </c>
      <c r="D284" s="63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63">
        <f>IF(B273&gt;0,(Table2[[#This Row],[Country]]-B273)/B273,0)</f>
        <v/>
      </c>
      <c r="D285" s="63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63">
        <f>IF(B274&gt;0,(Table2[[#This Row],[Country]]-B274)/B274,0)</f>
        <v/>
      </c>
      <c r="D286" s="63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63">
        <f>IF(B275&gt;0,(Table2[[#This Row],[Country]]-B275)/B275,0)</f>
        <v/>
      </c>
      <c r="D287" s="63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63">
        <f>IF(B276&gt;0,(Table2[[#This Row],[Country]]-B276)/B276,0)</f>
        <v/>
      </c>
      <c r="D288" s="63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63">
        <f>IF(B277&gt;0,(Table2[[#This Row],[Country]]-B277)/B277,0)</f>
        <v/>
      </c>
      <c r="D289" s="63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63">
        <f>IF(B278&gt;0,(Table2[[#This Row],[Country]]-B278)/B278,0)</f>
        <v/>
      </c>
      <c r="D290" s="63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63">
        <f>IF(B279&gt;0,(Table2[[#This Row],[Country]]-B279)/B279,0)</f>
        <v/>
      </c>
      <c r="D291" s="63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63">
        <f>IF(B280&gt;0,(Table2[[#This Row],[Country]]-B280)/B280,0)</f>
        <v/>
      </c>
      <c r="D292" s="63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63">
        <f>IF(B281&gt;0,(Table2[[#This Row],[Country]]-B281)/B281,0)</f>
        <v/>
      </c>
      <c r="D293" s="63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63">
        <f>IF(B282&gt;0,(Table2[[#This Row],[Country]]-B282)/B282,0)</f>
        <v/>
      </c>
      <c r="D294" s="63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63">
        <f>IF(B283&gt;0,(Table2[[#This Row],[Country]]-B283)/B283,0)</f>
        <v/>
      </c>
      <c r="D295" s="63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63">
        <f>IF(B284&gt;0,(Table2[[#This Row],[Country]]-B284)/B284,0)</f>
        <v/>
      </c>
      <c r="D296" s="63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63">
        <f>IF(B285&gt;0,(Table2[[#This Row],[Country]]-B285)/B285,0)</f>
        <v/>
      </c>
      <c r="D297" s="63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63">
        <f>IF(B286&gt;0,(Table2[[#This Row],[Country]]-B286)/B286,0)</f>
        <v/>
      </c>
      <c r="D298" s="63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63">
        <f>IF(B287&gt;0,(Table2[[#This Row],[Country]]-B287)/B287,0)</f>
        <v/>
      </c>
      <c r="D299" s="63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63">
        <f>IF(B288&gt;0,(Table2[[#This Row],[Country]]-B288)/B288,0)</f>
        <v/>
      </c>
      <c r="D300" s="63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63">
        <f>IF(B289&gt;0,(Table2[[#This Row],[Country]]-B289)/B289,0)</f>
        <v/>
      </c>
      <c r="D301" s="63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63">
        <f>IF(B290&gt;0,(Table2[[#This Row],[Country]]-B290)/B290,0)</f>
        <v/>
      </c>
      <c r="D302" s="63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63">
        <f>IF(B291&gt;0,(Table2[[#This Row],[Country]]-B291)/B291,0)</f>
        <v/>
      </c>
      <c r="D303" s="63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63">
        <f>IF(B292&gt;0,(Table2[[#This Row],[Country]]-B292)/B292,0)</f>
        <v/>
      </c>
      <c r="D304" s="63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63">
        <f>IF(B293&gt;0,(Table2[[#This Row],[Country]]-B293)/B293,0)</f>
        <v/>
      </c>
      <c r="D305" s="63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63">
        <f>IF(B294&gt;0,(Table2[[#This Row],[Country]]-B294)/B294,0)</f>
        <v/>
      </c>
      <c r="D306" s="63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63">
        <f>IF(B295&gt;0,(Table2[[#This Row],[Country]]-B295)/B295,0)</f>
        <v/>
      </c>
      <c r="D307" s="63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63">
        <f>IF(B296&gt;0,(Table2[[#This Row],[Country]]-B296)/B296,0)</f>
        <v/>
      </c>
      <c r="D308" s="63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63">
        <f>IF(B297&gt;0,(Table2[[#This Row],[Country]]-B297)/B297,0)</f>
        <v/>
      </c>
      <c r="D309" s="63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63">
        <f>IF(B298&gt;0,(Table2[[#This Row],[Country]]-B298)/B298,0)</f>
        <v/>
      </c>
      <c r="D310" s="63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63">
        <f>IF(B299&gt;0,(Table2[[#This Row],[Country]]-B299)/B299,0)</f>
        <v/>
      </c>
      <c r="D311" s="63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63">
        <f>IF(B300&gt;0,(Table2[[#This Row],[Country]]-B300)/B300,0)</f>
        <v/>
      </c>
      <c r="D312" s="63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63">
        <f>IF(B301&gt;0,(Table2[[#This Row],[Country]]-B301)/B301,0)</f>
        <v/>
      </c>
      <c r="D313" s="63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63">
        <f>IF(B302&gt;0,(Table2[[#This Row],[Country]]-B302)/B302,0)</f>
        <v/>
      </c>
      <c r="D314" s="63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63">
        <f>IF(B303&gt;0,(Table2[[#This Row],[Country]]-B303)/B303,0)</f>
        <v/>
      </c>
      <c r="D315" s="63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63">
        <f>IF(B304&gt;0,(Table2[[#This Row],[Country]]-B304)/B304,0)</f>
        <v/>
      </c>
      <c r="D316" s="63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63">
        <f>IF(B305&gt;0,(Table2[[#This Row],[Country]]-B305)/B305,0)</f>
        <v/>
      </c>
      <c r="D317" s="63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63">
        <f>IF(B306&gt;0,(Table2[[#This Row],[Country]]-B306)/B306,0)</f>
        <v/>
      </c>
      <c r="D318" s="63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63">
        <f>IF(B307&gt;0,(Table2[[#This Row],[Country]]-B307)/B307,0)</f>
        <v/>
      </c>
      <c r="D319" s="63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63">
        <f>IF(B308&gt;0,(Table2[[#This Row],[Country]]-B308)/B308,0)</f>
        <v/>
      </c>
      <c r="D320" s="63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63">
        <f>IF(B309&gt;0,(Table2[[#This Row],[Country]]-B309)/B309,0)</f>
        <v/>
      </c>
      <c r="D321" s="63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63">
        <f>IF(B310&gt;0,(Table2[[#This Row],[Country]]-B310)/B310,0)</f>
        <v/>
      </c>
      <c r="D322" s="63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63">
        <f>IF(B311&gt;0,(Table2[[#This Row],[Country]]-B311)/B311,0)</f>
        <v/>
      </c>
      <c r="D323" s="63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63">
        <f>IF(B312&gt;0,(Table2[[#This Row],[Country]]-B312)/B312,0)</f>
        <v/>
      </c>
      <c r="D324" s="63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63">
        <f>IF(B313&gt;0,(Table2[[#This Row],[Country]]-B313)/B313,0)</f>
        <v/>
      </c>
      <c r="D325" s="63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63">
        <f>IF(B314&gt;0,(Table2[[#This Row],[Country]]-B314)/B314,0)</f>
        <v/>
      </c>
      <c r="D326" s="63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63">
        <f>IF(B315&gt;0,(Table2[[#This Row],[Country]]-B315)/B315,0)</f>
        <v/>
      </c>
      <c r="D327" s="63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63">
        <f>IF(B316&gt;0,(Table2[[#This Row],[Country]]-B316)/B316,0)</f>
        <v/>
      </c>
      <c r="D328" s="63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63">
        <f>IF(B317&gt;0,(Table2[[#This Row],[Country]]-B317)/B317,0)</f>
        <v/>
      </c>
      <c r="D329" s="63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63">
        <f>IF(B318&gt;0,(Table2[[#This Row],[Country]]-B318)/B318,0)</f>
        <v/>
      </c>
      <c r="D330" s="63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63">
        <f>IF(B319&gt;0,(Table2[[#This Row],[Country]]-B319)/B319,0)</f>
        <v/>
      </c>
      <c r="D331" s="63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63">
        <f>IF(B320&gt;0,(Table2[[#This Row],[Country]]-B320)/B320,0)</f>
        <v/>
      </c>
      <c r="D332" s="63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63">
        <f>IF(B321&gt;0,(Table2[[#This Row],[Country]]-B321)/B321,0)</f>
        <v/>
      </c>
      <c r="D333" s="63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63">
        <f>IF(B322&gt;0,(Table2[[#This Row],[Country]]-B322)/B322,0)</f>
        <v/>
      </c>
      <c r="D334" s="63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63">
        <f>IF(B323&gt;0,(Table2[[#This Row],[Country]]-B323)/B323,0)</f>
        <v/>
      </c>
      <c r="D335" s="63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63">
        <f>IF(B324&gt;0,(Table2[[#This Row],[Country]]-B324)/B324,0)</f>
        <v/>
      </c>
      <c r="D336" s="63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63">
        <f>IF(B325&gt;0,(Table2[[#This Row],[Country]]-B325)/B325,0)</f>
        <v/>
      </c>
      <c r="D337" s="63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63">
        <f>IF(B326&gt;0,(Table2[[#This Row],[Country]]-B326)/B326,0)</f>
        <v/>
      </c>
      <c r="D338" s="63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63">
        <f>IF(B327&gt;0,(Table2[[#This Row],[Country]]-B327)/B327,0)</f>
        <v/>
      </c>
      <c r="D339" s="63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63">
        <f>IF(B328&gt;0,(Table2[[#This Row],[Country]]-B328)/B328,0)</f>
        <v/>
      </c>
      <c r="D340" s="63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63">
        <f>IF(B329&gt;0,(Table2[[#This Row],[Country]]-B329)/B329,0)</f>
        <v/>
      </c>
      <c r="D341" s="63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63">
        <f>IF(B330&gt;0,(Table2[[#This Row],[Country]]-B330)/B330,0)</f>
        <v/>
      </c>
      <c r="D342" s="63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63">
        <f>IF(B331&gt;0,(Table2[[#This Row],[Country]]-B331)/B331,0)</f>
        <v/>
      </c>
      <c r="D343" s="63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63">
        <f>IF(B332&gt;0,(Table2[[#This Row],[Country]]-B332)/B332,0)</f>
        <v/>
      </c>
      <c r="D344" s="63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63">
        <f>IF(B333&gt;0,(Table2[[#This Row],[Country]]-B333)/B333,0)</f>
        <v/>
      </c>
      <c r="D345" s="63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63">
        <f>IF(B334&gt;0,(Table2[[#This Row],[Country]]-B334)/B334,0)</f>
        <v/>
      </c>
      <c r="D346" s="63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63">
        <f>IF(B335&gt;0,(Table2[[#This Row],[Country]]-B335)/B335,0)</f>
        <v/>
      </c>
      <c r="D347" s="63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63">
        <f>IF(B336&gt;0,(Table2[[#This Row],[Country]]-B336)/B336,0)</f>
        <v/>
      </c>
      <c r="D348" s="63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63">
        <f>IF(B337&gt;0,(Table2[[#This Row],[Country]]-B337)/B337,0)</f>
        <v/>
      </c>
      <c r="D349" s="63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63">
        <f>IF(B338&gt;0,(Table2[[#This Row],[Country]]-B338)/B338,0)</f>
        <v/>
      </c>
      <c r="D350" s="63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63">
        <f>IF(B339&gt;0,(Table2[[#This Row],[Country]]-B339)/B339,0)</f>
        <v/>
      </c>
      <c r="D351" s="63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63">
        <f>IF(B340&gt;0,(Table2[[#This Row],[Country]]-B340)/B340,0)</f>
        <v/>
      </c>
      <c r="D352" s="63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63">
        <f>IF(B341&gt;0,(Table2[[#This Row],[Country]]-B341)/B341,0)</f>
        <v/>
      </c>
      <c r="D353" s="63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63">
        <f>IF(B342&gt;0,(Table2[[#This Row],[Country]]-B342)/B342,0)</f>
        <v/>
      </c>
      <c r="D354" s="63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63">
        <f>IF(B343&gt;0,(Table2[[#This Row],[Country]]-B343)/B343,0)</f>
        <v/>
      </c>
      <c r="D355" s="63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63">
        <f>IF(B344&gt;0,(Table2[[#This Row],[Country]]-B344)/B344,0)</f>
        <v/>
      </c>
      <c r="D356" s="63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63">
        <f>IF(B345&gt;0,(Table2[[#This Row],[Country]]-B345)/B345,0)</f>
        <v/>
      </c>
      <c r="D357" s="63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63">
        <f>IF(B346&gt;0,(Table2[[#This Row],[Country]]-B346)/B346,0)</f>
        <v/>
      </c>
      <c r="D358" s="63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63">
        <f>IF(B347&gt;0,(Table2[[#This Row],[Country]]-B347)/B347,0)</f>
        <v/>
      </c>
      <c r="D359" s="63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63">
        <f>IF(B348&gt;0,(Table2[[#This Row],[Country]]-B348)/B348,0)</f>
        <v/>
      </c>
      <c r="D360" s="63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63">
        <f>IF(B349&gt;0,(Table2[[#This Row],[Country]]-B349)/B349,0)</f>
        <v/>
      </c>
      <c r="D361" s="63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63">
        <f>IF(B350&gt;0,(Table2[[#This Row],[Country]]-B350)/B350,0)</f>
        <v/>
      </c>
      <c r="D362" s="63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63">
        <f>IF(B351&gt;0,(Table2[[#This Row],[Country]]-B351)/B351,0)</f>
        <v/>
      </c>
      <c r="D363" s="63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63">
        <f>IF(B352&gt;0,(Table2[[#This Row],[Country]]-B352)/B352,0)</f>
        <v/>
      </c>
      <c r="D364" s="63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63">
        <f>IF(B353&gt;0,(Table2[[#This Row],[Country]]-B353)/B353,0)</f>
        <v/>
      </c>
      <c r="D365" s="63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63">
        <f>IF(B354&gt;0,(Table2[[#This Row],[Country]]-B354)/B354,0)</f>
        <v/>
      </c>
      <c r="D366" s="63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63">
        <f>IF(B355&gt;0,(Table2[[#This Row],[Country]]-B355)/B355,0)</f>
        <v/>
      </c>
      <c r="D367" s="63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63">
        <f>IF(B356&gt;0,(Table2[[#This Row],[Country]]-B356)/B356,0)</f>
        <v/>
      </c>
      <c r="D368" s="63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63">
        <f>IF(B357&gt;0,(Table2[[#This Row],[Country]]-B357)/B357,0)</f>
        <v/>
      </c>
      <c r="D369" s="63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63">
        <f>IF(B358&gt;0,(Table2[[#This Row],[Country]]-B358)/B358,0)</f>
        <v/>
      </c>
      <c r="D370" s="63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63">
        <f>IF(B359&gt;0,(Table2[[#This Row],[Country]]-B359)/B359,0)</f>
        <v/>
      </c>
      <c r="D371" s="63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63">
        <f>IF(B360&gt;0,(Table2[[#This Row],[Country]]-B360)/B360,0)</f>
        <v/>
      </c>
      <c r="D372" s="63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63">
        <f>IF(B361&gt;0,(Table2[[#This Row],[Country]]-B361)/B361,0)</f>
        <v/>
      </c>
      <c r="D373" s="63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63">
        <f>IF(B362&gt;0,(Table2[[#This Row],[Country]]-B362)/B362,0)</f>
        <v/>
      </c>
      <c r="D374" s="63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63">
        <f>IF(B363&gt;0,(Table2[[#This Row],[Country]]-B363)/B363,0)</f>
        <v/>
      </c>
      <c r="D375" s="63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63">
        <f>IF(B364&gt;0,(Table2[[#This Row],[Country]]-B364)/B364,0)</f>
        <v/>
      </c>
      <c r="D376" s="63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63">
        <f>IF(B365&gt;0,(Table2[[#This Row],[Country]]-B365)/B365,0)</f>
        <v/>
      </c>
      <c r="D377" s="63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63">
        <f>IF(B366&gt;0,(Table2[[#This Row],[Country]]-B366)/B366,0)</f>
        <v/>
      </c>
      <c r="D378" s="63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63">
        <f>IF(B367&gt;0,(Table2[[#This Row],[Country]]-B367)/B367,0)</f>
        <v/>
      </c>
      <c r="D379" s="63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63">
        <f>IF(B368&gt;0,(Table2[[#This Row],[Country]]-B368)/B368,0)</f>
        <v/>
      </c>
      <c r="D380" s="63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63">
        <f>IF(B369&gt;0,(Table2[[#This Row],[Country]]-B369)/B369,0)</f>
        <v/>
      </c>
      <c r="D381" s="63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63">
        <f>IF(B370&gt;0,(Table2[[#This Row],[Country]]-B370)/B370,0)</f>
        <v/>
      </c>
      <c r="D382" s="63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63">
        <f>IF(B371&gt;0,(Table2[[#This Row],[Country]]-B371)/B371,0)</f>
        <v/>
      </c>
      <c r="D383" s="63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63">
        <f>IF(B372&gt;0,(Table2[[#This Row],[Country]]-B372)/B372,0)</f>
        <v/>
      </c>
      <c r="D384" s="63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63">
        <f>IF(B373&gt;0,(Table2[[#This Row],[Country]]-B373)/B373,0)</f>
        <v/>
      </c>
      <c r="D385" s="63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63">
        <f>IF(B374&gt;0,(Table2[[#This Row],[Country]]-B374)/B374,0)</f>
        <v/>
      </c>
      <c r="D386" s="63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63">
        <f>IF(B375&gt;0,(Table2[[#This Row],[Country]]-B375)/B375,0)</f>
        <v/>
      </c>
      <c r="D387" s="63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63">
        <f>IF(B376&gt;0,(Table2[[#This Row],[Country]]-B376)/B376,0)</f>
        <v/>
      </c>
      <c r="D388" s="63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63">
        <f>IF(B377&gt;0,(Table2[[#This Row],[Country]]-B377)/B377,0)</f>
        <v/>
      </c>
      <c r="D389" s="63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63">
        <f>IF(B378&gt;0,(Table2[[#This Row],[Country]]-B378)/B378,0)</f>
        <v/>
      </c>
      <c r="D390" s="63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63">
        <f>IF(B379&gt;0,(Table2[[#This Row],[Country]]-B379)/B379,0)</f>
        <v/>
      </c>
      <c r="D391" s="63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63">
        <f>IF(B380&gt;0,(Table2[[#This Row],[Country]]-B380)/B380,0)</f>
        <v/>
      </c>
      <c r="D392" s="63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63">
        <f>IF(B381&gt;0,(Table2[[#This Row],[Country]]-B381)/B381,0)</f>
        <v/>
      </c>
      <c r="D393" s="63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63">
        <f>IF(B382&gt;0,(Table2[[#This Row],[Country]]-B382)/B382,0)</f>
        <v/>
      </c>
      <c r="D394" s="63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63">
        <f>IF(B383&gt;0,(Table2[[#This Row],[Country]]-B383)/B383,0)</f>
        <v/>
      </c>
      <c r="D395" s="63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63">
        <f>IF(B384&gt;0,(Table2[[#This Row],[Country]]-B384)/B384,0)</f>
        <v/>
      </c>
      <c r="D396" s="63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63">
        <f>IF(B385&gt;0,(Table2[[#This Row],[Country]]-B385)/B385,0)</f>
        <v/>
      </c>
      <c r="D397" s="63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63">
        <f>IF(B386&gt;0,(Table2[[#This Row],[Country]]-B386)/B386,0)</f>
        <v/>
      </c>
      <c r="D398" s="63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63">
        <f>IF(B387&gt;0,(Table2[[#This Row],[Country]]-B387)/B387,0)</f>
        <v/>
      </c>
      <c r="D399" s="63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63">
        <f>IF(B388&gt;0,(Table2[[#This Row],[Country]]-B388)/B388,0)</f>
        <v/>
      </c>
      <c r="D400" s="63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63">
        <f>IF(B389&gt;0,(Table2[[#This Row],[Country]]-B389)/B389,0)</f>
        <v/>
      </c>
      <c r="D401" s="63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63">
        <f>IF(B390&gt;0,(Table2[[#This Row],[Country]]-B390)/B390,0)</f>
        <v/>
      </c>
      <c r="D402" s="63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63">
        <f>IF(B391&gt;0,(Table2[[#This Row],[Country]]-B391)/B391,0)</f>
        <v/>
      </c>
      <c r="D403" s="63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63">
        <f>IF(B392&gt;0,(Table2[[#This Row],[Country]]-B392)/B392,0)</f>
        <v/>
      </c>
      <c r="D404" s="63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63">
        <f>IF(B393&gt;0,(Table2[[#This Row],[Country]]-B393)/B393,0)</f>
        <v/>
      </c>
      <c r="D405" s="63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63">
        <f>IF(B394&gt;0,(Table2[[#This Row],[Country]]-B394)/B394,0)</f>
        <v/>
      </c>
      <c r="D406" s="63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63">
        <f>IF(B395&gt;0,(Table2[[#This Row],[Country]]-B395)/B395,0)</f>
        <v/>
      </c>
      <c r="D407" s="63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63">
        <f>IF(B396&gt;0,(Table2[[#This Row],[Country]]-B396)/B396,0)</f>
        <v/>
      </c>
      <c r="D408" s="63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63">
        <f>IF(B397&gt;0,(Table2[[#This Row],[Country]]-B397)/B397,0)</f>
        <v/>
      </c>
      <c r="D409" s="63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63">
        <f>IF(B398&gt;0,(Table2[[#This Row],[Country]]-B398)/B398,0)</f>
        <v/>
      </c>
      <c r="D410" s="63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63">
        <f>IF(B399&gt;0,(Table2[[#This Row],[Country]]-B399)/B399,0)</f>
        <v/>
      </c>
      <c r="D411" s="63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63">
        <f>IF(B400&gt;0,(Table2[[#This Row],[Country]]-B400)/B400,0)</f>
        <v/>
      </c>
      <c r="D412" s="63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63">
        <f>IF(B401&gt;0,(Table2[[#This Row],[Country]]-B401)/B401,0)</f>
        <v/>
      </c>
      <c r="D413" s="63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63">
        <f>IF(B402&gt;0,(Table2[[#This Row],[Country]]-B402)/B402,0)</f>
        <v/>
      </c>
      <c r="D414" s="63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63">
        <f>IF(B403&gt;0,(Table2[[#This Row],[Country]]-B403)/B403,0)</f>
        <v/>
      </c>
      <c r="D415" s="63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63">
        <f>IF(B404&gt;0,(Table2[[#This Row],[Country]]-B404)/B404,0)</f>
        <v/>
      </c>
      <c r="D416" s="63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63">
        <f>IF(B405&gt;0,(Table2[[#This Row],[Country]]-B405)/B405,0)</f>
        <v/>
      </c>
      <c r="D417" s="63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63">
        <f>IF(B406&gt;0,(Table2[[#This Row],[Country]]-B406)/B406,0)</f>
        <v/>
      </c>
      <c r="D418" s="63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63">
        <f>IF(B407&gt;0,(Table2[[#This Row],[Country]]-B407)/B407,0)</f>
        <v/>
      </c>
      <c r="D419" s="63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63">
        <f>IF(B408&gt;0,(Table2[[#This Row],[Country]]-B408)/B408,0)</f>
        <v/>
      </c>
      <c r="D420" s="63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63">
        <f>IF(B409&gt;0,(Table2[[#This Row],[Country]]-B409)/B409,0)</f>
        <v/>
      </c>
      <c r="D421" s="63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63">
        <f>IF(B410&gt;0,(Table2[[#This Row],[Country]]-B410)/B410,0)</f>
        <v/>
      </c>
      <c r="D422" s="63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63">
        <f>IF(B411&gt;0,(Table2[[#This Row],[Country]]-B411)/B411,0)</f>
        <v/>
      </c>
      <c r="D423" s="63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63">
        <f>IF(B412&gt;0,(Table2[[#This Row],[Country]]-B412)/B412,0)</f>
        <v/>
      </c>
      <c r="D424" s="63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63">
        <f>IF(B413&gt;0,(Table2[[#This Row],[Country]]-B413)/B413,0)</f>
        <v/>
      </c>
      <c r="D425" s="63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63">
        <f>IF(B414&gt;0,(Table2[[#This Row],[Country]]-B414)/B414,0)</f>
        <v/>
      </c>
      <c r="D426" s="63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63">
        <f>IF(B415&gt;0,(Table2[[#This Row],[Country]]-B415)/B415,0)</f>
        <v/>
      </c>
      <c r="D427" s="63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63">
        <f>IF(B416&gt;0,(Table2[[#This Row],[Country]]-B416)/B416,0)</f>
        <v/>
      </c>
      <c r="D428" s="63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63">
        <f>IF(B417&gt;0,(Table2[[#This Row],[Country]]-B417)/B417,0)</f>
        <v/>
      </c>
      <c r="D429" s="63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63">
        <f>IF(B418&gt;0,(Table2[[#This Row],[Country]]-B418)/B418,0)</f>
        <v/>
      </c>
      <c r="D430" s="63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63">
        <f>IF(B419&gt;0,(Table2[[#This Row],[Country]]-B419)/B419,0)</f>
        <v/>
      </c>
      <c r="D431" s="63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63">
        <f>IF(B420&gt;0,(Table2[[#This Row],[Country]]-B420)/B420,0)</f>
        <v/>
      </c>
      <c r="D432" s="63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63">
        <f>IF(B421&gt;0,(Table2[[#This Row],[Country]]-B421)/B421,0)</f>
        <v/>
      </c>
      <c r="D433" s="63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63">
        <f>IF(B422&gt;0,(Table2[[#This Row],[Country]]-B422)/B422,0)</f>
        <v/>
      </c>
      <c r="D434" s="63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63">
        <f>IF(B423&gt;0,(Table2[[#This Row],[Country]]-B423)/B423,0)</f>
        <v/>
      </c>
      <c r="D435" s="63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63">
        <f>IF(B424&gt;0,(Table2[[#This Row],[Country]]-B424)/B424,0)</f>
        <v/>
      </c>
      <c r="D436" s="63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63">
        <f>IF(B425&gt;0,(Table2[[#This Row],[Country]]-B425)/B425,0)</f>
        <v/>
      </c>
      <c r="D437" s="63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63">
        <f>IF(B426&gt;0,(Table2[[#This Row],[Country]]-B426)/B426,0)</f>
        <v/>
      </c>
      <c r="D438" s="63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63">
        <f>IF(B427&gt;0,(Table2[[#This Row],[Country]]-B427)/B427,0)</f>
        <v/>
      </c>
      <c r="D439" s="63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63">
        <f>IF(B428&gt;0,(Table2[[#This Row],[Country]]-B428)/B428,0)</f>
        <v/>
      </c>
      <c r="D440" s="63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63">
        <f>IF(B429&gt;0,(Table2[[#This Row],[Country]]-B429)/B429,0)</f>
        <v/>
      </c>
      <c r="D441" s="63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63">
        <f>IF(B430&gt;0,(Table2[[#This Row],[Country]]-B430)/B430,0)</f>
        <v/>
      </c>
      <c r="D442" s="63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63">
        <f>IF(B431&gt;0,(Table2[[#This Row],[Country]]-B431)/B431,0)</f>
        <v/>
      </c>
      <c r="D443" s="63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63">
        <f>IF(B432&gt;0,(Table2[[#This Row],[Country]]-B432)/B432,0)</f>
        <v/>
      </c>
      <c r="D444" s="63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63">
        <f>IF(B433&gt;0,(Table2[[#This Row],[Country]]-B433)/B433,0)</f>
        <v/>
      </c>
      <c r="D445" s="63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63">
        <f>IF(B434&gt;0,(Table2[[#This Row],[Country]]-B434)/B434,0)</f>
        <v/>
      </c>
      <c r="D446" s="63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63">
        <f>IF(B435&gt;0,(Table2[[#This Row],[Country]]-B435)/B435,0)</f>
        <v/>
      </c>
      <c r="D447" s="63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63">
        <f>IF(B436&gt;0,(Table2[[#This Row],[Country]]-B436)/B436,0)</f>
        <v/>
      </c>
      <c r="D448" s="63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63">
        <f>IF(B437&gt;0,(Table2[[#This Row],[Country]]-B437)/B437,0)</f>
        <v/>
      </c>
      <c r="D449" s="63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63">
        <f>IF(B438&gt;0,(Table2[[#This Row],[Country]]-B438)/B438,0)</f>
        <v/>
      </c>
      <c r="D450" s="63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63">
        <f>IF(B439&gt;0,(Table2[[#This Row],[Country]]-B439)/B439,0)</f>
        <v/>
      </c>
      <c r="D451" s="63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63">
        <f>IF(B440&gt;0,(Table2[[#This Row],[Country]]-B440)/B440,0)</f>
        <v/>
      </c>
      <c r="D452" s="63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63">
        <f>IF(B441&gt;0,(Table2[[#This Row],[Country]]-B441)/B441,0)</f>
        <v/>
      </c>
      <c r="D453" s="63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63">
        <f>IF(B442&gt;0,(Table2[[#This Row],[Country]]-B442)/B442,0)</f>
        <v/>
      </c>
      <c r="D454" s="63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63">
        <f>IF(B443&gt;0,(Table2[[#This Row],[Country]]-B443)/B443,0)</f>
        <v/>
      </c>
      <c r="D455" s="63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63">
        <f>IF(B444&gt;0,(Table2[[#This Row],[Country]]-B444)/B444,0)</f>
        <v/>
      </c>
      <c r="D456" s="63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63">
        <f>IF(B445&gt;0,(Table2[[#This Row],[Country]]-B445)/B445,0)</f>
        <v/>
      </c>
      <c r="D457" s="63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63">
        <f>IF(B446&gt;0,(Table2[[#This Row],[Country]]-B446)/B446,0)</f>
        <v/>
      </c>
      <c r="D458" s="63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63">
        <f>IF(B447&gt;0,(Table2[[#This Row],[Country]]-B447)/B447,0)</f>
        <v/>
      </c>
      <c r="D459" s="63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63">
        <f>IF(B448&gt;0,(Table2[[#This Row],[Country]]-B448)/B448,0)</f>
        <v/>
      </c>
      <c r="D460" s="63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63">
        <f>IF(B449&gt;0,(Table2[[#This Row],[Country]]-B449)/B449,0)</f>
        <v/>
      </c>
      <c r="D461" s="63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63">
        <f>IF(B450&gt;0,(Table2[[#This Row],[Country]]-B450)/B450,0)</f>
        <v/>
      </c>
      <c r="D462" s="63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63">
        <f>IF(B451&gt;0,(Table2[[#This Row],[Country]]-B451)/B451,0)</f>
        <v/>
      </c>
      <c r="D463" s="63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63">
        <f>IF(B452&gt;0,(Table2[[#This Row],[Country]]-B452)/B452,0)</f>
        <v/>
      </c>
      <c r="D464" s="63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63">
        <f>IF(B453&gt;0,(Table2[[#This Row],[Country]]-B453)/B453,0)</f>
        <v/>
      </c>
      <c r="D465" s="63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63">
        <f>IF(B454&gt;0,(Table2[[#This Row],[Country]]-B454)/B454,0)</f>
        <v/>
      </c>
      <c r="D466" s="63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63">
        <f>IF(B455&gt;0,(Table2[[#This Row],[Country]]-B455)/B455,0)</f>
        <v/>
      </c>
      <c r="D467" s="63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63">
        <f>IF(B456&gt;0,(Table2[[#This Row],[Country]]-B456)/B456,0)</f>
        <v/>
      </c>
      <c r="D468" s="63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63">
        <f>IF(B457&gt;0,(Table2[[#This Row],[Country]]-B457)/B457,0)</f>
        <v/>
      </c>
      <c r="D469" s="63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63">
        <f>IF(B458&gt;0,(Table2[[#This Row],[Country]]-B458)/B458,0)</f>
        <v/>
      </c>
      <c r="D470" s="63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63">
        <f>IF(B459&gt;0,(Table2[[#This Row],[Country]]-B459)/B459,0)</f>
        <v/>
      </c>
      <c r="D471" s="63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63">
        <f>IF(B460&gt;0,(Table2[[#This Row],[Country]]-B460)/B460,0)</f>
        <v/>
      </c>
      <c r="D472" s="63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63">
        <f>IF(B461&gt;0,(Table2[[#This Row],[Country]]-B461)/B461,0)</f>
        <v/>
      </c>
      <c r="D473" s="63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63">
        <f>IF(B462&gt;0,(Table2[[#This Row],[Country]]-B462)/B462,0)</f>
        <v/>
      </c>
      <c r="D474" s="63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63">
        <f>IF(B463&gt;0,(Table2[[#This Row],[Country]]-B463)/B463,0)</f>
        <v/>
      </c>
      <c r="D475" s="63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63">
        <f>IF(B464&gt;0,(Table2[[#This Row],[Country]]-B464)/B464,0)</f>
        <v/>
      </c>
      <c r="D476" s="63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63">
        <f>IF(B465&gt;0,(Table2[[#This Row],[Country]]-B465)/B465,0)</f>
        <v/>
      </c>
      <c r="D477" s="63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63">
        <f>IF(B466&gt;0,(Table2[[#This Row],[Country]]-B466)/B466,0)</f>
        <v/>
      </c>
      <c r="D478" s="63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63">
        <f>IF(B467&gt;0,(Table2[[#This Row],[Country]]-B467)/B467,0)</f>
        <v/>
      </c>
      <c r="D479" s="63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63">
        <f>IF(B468&gt;0,(Table2[[#This Row],[Country]]-B468)/B468,0)</f>
        <v/>
      </c>
      <c r="D480" s="63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63">
        <f>IF(B469&gt;0,(Table2[[#This Row],[Country]]-B469)/B469,0)</f>
        <v/>
      </c>
      <c r="D481" s="63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63">
        <f>IF(B470&gt;0,(Table2[[#This Row],[Country]]-B470)/B470,0)</f>
        <v/>
      </c>
      <c r="D482" s="63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63">
        <f>IF(B471&gt;0,(Table2[[#This Row],[Country]]-B471)/B471,0)</f>
        <v/>
      </c>
      <c r="D483" s="63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63">
        <f>IF(B472&gt;0,(Table2[[#This Row],[Country]]-B472)/B472,0)</f>
        <v/>
      </c>
      <c r="D484" s="63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63">
        <f>IF(B473&gt;0,(Table2[[#This Row],[Country]]-B473)/B473,0)</f>
        <v/>
      </c>
      <c r="D485" s="63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63">
        <f>IF(B474&gt;0,(Table2[[#This Row],[Country]]-B474)/B474,0)</f>
        <v/>
      </c>
      <c r="D486" s="63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63">
        <f>IF(B475&gt;0,(Table2[[#This Row],[Country]]-B475)/B475,0)</f>
        <v/>
      </c>
      <c r="D487" s="63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63">
        <f>IF(B476&gt;0,(Table2[[#This Row],[Country]]-B476)/B476,0)</f>
        <v/>
      </c>
      <c r="D488" s="63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63">
        <f>IF(B477&gt;0,(Table2[[#This Row],[Country]]-B477)/B477,0)</f>
        <v/>
      </c>
      <c r="D489" s="63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63">
        <f>IF(B478&gt;0,(Table2[[#This Row],[Country]]-B478)/B478,0)</f>
        <v/>
      </c>
      <c r="D490" s="63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63">
        <f>IF(B479&gt;0,(Table2[[#This Row],[Country]]-B479)/B479,0)</f>
        <v/>
      </c>
      <c r="D491" s="63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63">
        <f>IF(B480&gt;0,(Table2[[#This Row],[Country]]-B480)/B480,0)</f>
        <v/>
      </c>
      <c r="D492" s="63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63">
        <f>IF(B481&gt;0,(Table2[[#This Row],[Country]]-B481)/B481,0)</f>
        <v/>
      </c>
      <c r="D493" s="63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63">
        <f>IF(B482&gt;0,(Table2[[#This Row],[Country]]-B482)/B482,0)</f>
        <v/>
      </c>
      <c r="D494" s="63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63">
        <f>IF(B483&gt;0,(Table2[[#This Row],[Country]]-B483)/B483,0)</f>
        <v/>
      </c>
      <c r="D495" s="63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63">
        <f>IF(B484&gt;0,(Table2[[#This Row],[Country]]-B484)/B484,0)</f>
        <v/>
      </c>
      <c r="D496" s="63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63">
        <f>IF(B485&gt;0,(Table2[[#This Row],[Country]]-B485)/B485,0)</f>
        <v/>
      </c>
      <c r="D497" s="63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63">
        <f>IF(B486&gt;0,(Table2[[#This Row],[Country]]-B486)/B486,0)</f>
        <v/>
      </c>
      <c r="D498" s="63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63">
        <f>IF(B487&gt;0,(Table2[[#This Row],[Country]]-B487)/B487,0)</f>
        <v/>
      </c>
      <c r="D499" s="63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63">
        <f>IF(B488&gt;0,(Table2[[#This Row],[Country]]-B488)/B488,0)</f>
        <v/>
      </c>
      <c r="D500" s="63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63">
        <f>IF(B489&gt;0,(Table2[[#This Row],[Country]]-B489)/B489,0)</f>
        <v/>
      </c>
      <c r="D501" s="63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63">
        <f>IF(B490&gt;0,(Table2[[#This Row],[Country]]-B490)/B490,0)</f>
        <v/>
      </c>
      <c r="D502" s="63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63">
        <f>IF(B491&gt;0,(Table2[[#This Row],[Country]]-B491)/B491,0)</f>
        <v/>
      </c>
      <c r="D503" s="63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63">
        <f>IF(B492&gt;0,(Table2[[#This Row],[Country]]-B492)/B492,0)</f>
        <v/>
      </c>
      <c r="D504" s="63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63">
        <f>IF(B493&gt;0,(Table2[[#This Row],[Country]]-B493)/B493,0)</f>
        <v/>
      </c>
      <c r="D505" s="63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63">
        <f>IF(B494&gt;0,(Table2[[#This Row],[Country]]-B494)/B494,0)</f>
        <v/>
      </c>
      <c r="D506" s="63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63">
        <f>IF(B495&gt;0,(Table2[[#This Row],[Country]]-B495)/B495,0)</f>
        <v/>
      </c>
      <c r="D507" s="63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63">
        <f>IF(B496&gt;0,(Table2[[#This Row],[Country]]-B496)/B496,0)</f>
        <v/>
      </c>
      <c r="D508" s="63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63">
        <f>IF(B497&gt;0,(Table2[[#This Row],[Country]]-B497)/B497,0)</f>
        <v/>
      </c>
      <c r="D509" s="63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63">
        <f>IF(B498&gt;0,(Table2[[#This Row],[Country]]-B498)/B498,0)</f>
        <v/>
      </c>
      <c r="D510" s="63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63">
        <f>IF(B499&gt;0,(Table2[[#This Row],[Country]]-B499)/B499,0)</f>
        <v/>
      </c>
      <c r="D511" s="63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63">
        <f>IF(B500&gt;0,(Table2[[#This Row],[Country]]-B500)/B500,0)</f>
        <v/>
      </c>
      <c r="D512" s="63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63">
        <f>IF(B501&gt;0,(Table2[[#This Row],[Country]]-B501)/B501,0)</f>
        <v/>
      </c>
      <c r="D513" s="63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63">
        <f>IF(B502&gt;0,(Table2[[#This Row],[Country]]-B502)/B502,0)</f>
        <v/>
      </c>
      <c r="D514" s="63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63">
        <f>IF(B503&gt;0,(Table2[[#This Row],[Country]]-B503)/B503,0)</f>
        <v/>
      </c>
      <c r="D515" s="63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63">
        <f>IF(B504&gt;0,(Table2[[#This Row],[Country]]-B504)/B504,0)</f>
        <v/>
      </c>
      <c r="D516" s="63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63">
        <f>IF(B505&gt;0,(Table2[[#This Row],[Country]]-B505)/B505,0)</f>
        <v/>
      </c>
      <c r="D517" s="63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63">
        <f>IF(B506&gt;0,(Table2[[#This Row],[Country]]-B506)/B506,0)</f>
        <v/>
      </c>
      <c r="D518" s="63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63">
        <f>IF(B507&gt;0,(Table2[[#This Row],[Country]]-B507)/B507,0)</f>
        <v/>
      </c>
      <c r="D519" s="63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63">
        <f>IF(B508&gt;0,(Table2[[#This Row],[Country]]-B508)/B508,0)</f>
        <v/>
      </c>
      <c r="D520" s="63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63">
        <f>IF(B509&gt;0,(Table2[[#This Row],[Country]]-B509)/B509,0)</f>
        <v/>
      </c>
      <c r="D521" s="63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63">
        <f>IF(B510&gt;0,(Table2[[#This Row],[Country]]-B510)/B510,0)</f>
        <v/>
      </c>
      <c r="D522" s="63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63">
        <f>IF(B511&gt;0,(Table2[[#This Row],[Country]]-B511)/B511,0)</f>
        <v/>
      </c>
      <c r="D523" s="63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63">
        <f>IF(B512&gt;0,(Table2[[#This Row],[Country]]-B512)/B512,0)</f>
        <v/>
      </c>
      <c r="D524" s="63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63">
        <f>IF(B513&gt;0,(Table2[[#This Row],[Country]]-B513)/B513,0)</f>
        <v/>
      </c>
      <c r="D525" s="63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63">
        <f>IF(B514&gt;0,(Table2[[#This Row],[Country]]-B514)/B514,0)</f>
        <v/>
      </c>
      <c r="D526" s="63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63">
        <f>IF(B515&gt;0,(Table2[[#This Row],[Country]]-B515)/B515,0)</f>
        <v/>
      </c>
      <c r="D527" s="63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63">
        <f>IF(B516&gt;0,(Table2[[#This Row],[Country]]-B516)/B516,0)</f>
        <v/>
      </c>
      <c r="D528" s="63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63">
        <f>IF(B517&gt;0,(Table2[[#This Row],[Country]]-B517)/B517,0)</f>
        <v/>
      </c>
      <c r="D529" s="63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63">
        <f>IF(B518&gt;0,(Table2[[#This Row],[Country]]-B518)/B518,0)</f>
        <v/>
      </c>
      <c r="D530" s="63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63">
        <f>IF(B519&gt;0,(Table2[[#This Row],[Country]]-B519)/B519,0)</f>
        <v/>
      </c>
      <c r="D531" s="63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63">
        <f>IF(B520&gt;0,(Table2[[#This Row],[Country]]-B520)/B520,0)</f>
        <v/>
      </c>
      <c r="D532" s="63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63">
        <f>IF(B521&gt;0,(Table2[[#This Row],[Country]]-B521)/B521,0)</f>
        <v/>
      </c>
      <c r="D533" s="63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63">
        <f>IF(B522&gt;0,(Table2[[#This Row],[Country]]-B522)/B522,0)</f>
        <v/>
      </c>
      <c r="D534" s="63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63">
        <f>IF(B523&gt;0,(Table2[[#This Row],[Country]]-B523)/B523,0)</f>
        <v/>
      </c>
      <c r="D535" s="63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63">
        <f>IF(B524&gt;0,(Table2[[#This Row],[Country]]-B524)/B524,0)</f>
        <v/>
      </c>
      <c r="D536" s="63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63">
        <f>IF(B525&gt;0,(Table2[[#This Row],[Country]]-B525)/B525,0)</f>
        <v/>
      </c>
      <c r="D537" s="63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63">
        <f>IF(B526&gt;0,(Table2[[#This Row],[Country]]-B526)/B526,0)</f>
        <v/>
      </c>
      <c r="D538" s="63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63">
        <f>IF(B527&gt;0,(Table2[[#This Row],[Country]]-B527)/B527,0)</f>
        <v/>
      </c>
      <c r="D539" s="63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63">
        <f>IF(B528&gt;0,(Table2[[#This Row],[Country]]-B528)/B528,0)</f>
        <v/>
      </c>
      <c r="D540" s="63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63">
        <f>IF(B529&gt;0,(Table2[[#This Row],[Country]]-B529)/B529,0)</f>
        <v/>
      </c>
      <c r="D541" s="63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63">
        <f>IF(B530&gt;0,(Table2[[#This Row],[Country]]-B530)/B530,0)</f>
        <v/>
      </c>
      <c r="D542" s="63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63">
        <f>IF(B531&gt;0,(Table2[[#This Row],[Country]]-B531)/B531,0)</f>
        <v/>
      </c>
      <c r="D543" s="63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63">
        <f>IF(B532&gt;0,(Table2[[#This Row],[Country]]-B532)/B532,0)</f>
        <v/>
      </c>
      <c r="D544" s="63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63">
        <f>IF(B533&gt;0,(Table2[[#This Row],[Country]]-B533)/B533,0)</f>
        <v/>
      </c>
      <c r="D545" s="63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63">
        <f>IF(B534&gt;0,(Table2[[#This Row],[Country]]-B534)/B534,0)</f>
        <v/>
      </c>
      <c r="D546" s="63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63">
        <f>IF(B535&gt;0,(Table2[[#This Row],[Country]]-B535)/B535,0)</f>
        <v/>
      </c>
      <c r="D547" s="63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63">
        <f>IF(B536&gt;0,(Table2[[#This Row],[Country]]-B536)/B536,0)</f>
        <v/>
      </c>
      <c r="D548" s="63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63">
        <f>IF(B537&gt;0,(Table2[[#This Row],[Country]]-B537)/B537,0)</f>
        <v/>
      </c>
      <c r="D549" s="63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63">
        <f>IF(B538&gt;0,(Table2[[#This Row],[Country]]-B538)/B538,0)</f>
        <v/>
      </c>
      <c r="D550" s="63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63">
        <f>IF(B539&gt;0,(Table2[[#This Row],[Country]]-B539)/B539,0)</f>
        <v/>
      </c>
      <c r="D551" s="63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63">
        <f>IF(B540&gt;0,(Table2[[#This Row],[Country]]-B540)/B540,0)</f>
        <v/>
      </c>
      <c r="D552" s="63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63">
        <f>IF(B541&gt;0,(Table2[[#This Row],[Country]]-B541)/B541,0)</f>
        <v/>
      </c>
      <c r="D553" s="63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63">
        <f>IF(B542&gt;0,(Table2[[#This Row],[Country]]-B542)/B542,0)</f>
        <v/>
      </c>
      <c r="D554" s="63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63">
        <f>IF(B543&gt;0,(Table2[[#This Row],[Country]]-B543)/B543,0)</f>
        <v/>
      </c>
      <c r="D555" s="63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63">
        <f>IF(B544&gt;0,(Table2[[#This Row],[Country]]-B544)/B544,0)</f>
        <v/>
      </c>
      <c r="D556" s="63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63">
        <f>IF(B545&gt;0,(Table2[[#This Row],[Country]]-B545)/B545,0)</f>
        <v/>
      </c>
      <c r="D557" s="63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63">
        <f>IF(B546&gt;0,(Table2[[#This Row],[Country]]-B546)/B546,0)</f>
        <v/>
      </c>
      <c r="D558" s="63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63">
        <f>IF(B547&gt;0,(Table2[[#This Row],[Country]]-B547)/B547,0)</f>
        <v/>
      </c>
      <c r="D559" s="63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63">
        <f>IF(B548&gt;0,(Table2[[#This Row],[Country]]-B548)/B548,0)</f>
        <v/>
      </c>
      <c r="D560" s="63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63">
        <f>IF(B549&gt;0,(Table2[[#This Row],[Country]]-B549)/B549,0)</f>
        <v/>
      </c>
      <c r="D561" s="63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63">
        <f>IF(B550&gt;0,(Table2[[#This Row],[Country]]-B550)/B550,0)</f>
        <v/>
      </c>
      <c r="D562" s="63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63">
        <f>IF(B551&gt;0,(Table2[[#This Row],[Country]]-B551)/B551,0)</f>
        <v/>
      </c>
      <c r="D563" s="63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63">
        <f>IF(B552&gt;0,(Table2[[#This Row],[Country]]-B552)/B552,0)</f>
        <v/>
      </c>
      <c r="D564" s="63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63">
        <f>IF(B553&gt;0,(Table2[[#This Row],[Country]]-B553)/B553,0)</f>
        <v/>
      </c>
      <c r="D565" s="63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63">
        <f>IF(B554&gt;0,(Table2[[#This Row],[Country]]-B554)/B554,0)</f>
        <v/>
      </c>
      <c r="D566" s="63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63">
        <f>IF(B555&gt;0,(Table2[[#This Row],[Country]]-B555)/B555,0)</f>
        <v/>
      </c>
      <c r="D567" s="63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63">
        <f>IF(B556&gt;0,(Table2[[#This Row],[Country]]-B556)/B556,0)</f>
        <v/>
      </c>
      <c r="D568" s="63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63">
        <f>IF(B557&gt;0,(Table2[[#This Row],[Country]]-B557)/B557,0)</f>
        <v/>
      </c>
      <c r="D569" s="63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63">
        <f>IF(B558&gt;0,(Table2[[#This Row],[Country]]-B558)/B558,0)</f>
        <v/>
      </c>
      <c r="D570" s="63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63">
        <f>IF(B559&gt;0,(Table2[[#This Row],[Country]]-B559)/B559,0)</f>
        <v/>
      </c>
      <c r="D571" s="63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63">
        <f>IF(B560&gt;0,(Table2[[#This Row],[Country]]-B560)/B560,0)</f>
        <v/>
      </c>
      <c r="D572" s="63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63">
        <f>IF(B561&gt;0,(Table2[[#This Row],[Country]]-B561)/B561,0)</f>
        <v/>
      </c>
      <c r="D573" s="63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63">
        <f>IF(B562&gt;0,(Table2[[#This Row],[Country]]-B562)/B562,0)</f>
        <v/>
      </c>
      <c r="D574" s="63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63">
        <f>IF(B563&gt;0,(Table2[[#This Row],[Country]]-B563)/B563,0)</f>
        <v/>
      </c>
      <c r="D575" s="63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63">
        <f>IF(B564&gt;0,(Table2[[#This Row],[Country]]-B564)/B564,0)</f>
        <v/>
      </c>
      <c r="D576" s="63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63">
        <f>IF(B565&gt;0,(Table2[[#This Row],[Country]]-B565)/B565,0)</f>
        <v/>
      </c>
      <c r="D577" s="63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63">
        <f>IF(B566&gt;0,(Table2[[#This Row],[Country]]-B566)/B566,0)</f>
        <v/>
      </c>
      <c r="D578" s="63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63">
        <f>IF(B567&gt;0,(Table2[[#This Row],[Country]]-B567)/B567,0)</f>
        <v/>
      </c>
      <c r="D579" s="63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63">
        <f>IF(B568&gt;0,(Table2[[#This Row],[Country]]-B568)/B568,0)</f>
        <v/>
      </c>
      <c r="D580" s="63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63">
        <f>IF(B569&gt;0,(Table2[[#This Row],[Country]]-B569)/B569,0)</f>
        <v/>
      </c>
      <c r="D581" s="63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63">
        <f>IF(B570&gt;0,(Table2[[#This Row],[Country]]-B570)/B570,0)</f>
        <v/>
      </c>
      <c r="D582" s="63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63">
        <f>IF(B571&gt;0,(Table2[[#This Row],[Country]]-B571)/B571,0)</f>
        <v/>
      </c>
      <c r="D583" s="63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63">
        <f>IF(B572&gt;0,(Table2[[#This Row],[Country]]-B572)/B572,0)</f>
        <v/>
      </c>
      <c r="D584" s="63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63">
        <f>IF(B573&gt;0,(Table2[[#This Row],[Country]]-B573)/B573,0)</f>
        <v/>
      </c>
      <c r="D585" s="63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63">
        <f>IF(B574&gt;0,(Table2[[#This Row],[Country]]-B574)/B574,0)</f>
        <v/>
      </c>
      <c r="D586" s="63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63">
        <f>IF(B575&gt;0,(Table2[[#This Row],[Country]]-B575)/B575,0)</f>
        <v/>
      </c>
      <c r="D587" s="63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63">
        <f>IF(B576&gt;0,(Table2[[#This Row],[Country]]-B576)/B576,0)</f>
        <v/>
      </c>
      <c r="D588" s="63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63">
        <f>IF(B577&gt;0,(Table2[[#This Row],[Country]]-B577)/B577,0)</f>
        <v/>
      </c>
      <c r="D589" s="63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63">
        <f>IF(B578&gt;0,(Table2[[#This Row],[Country]]-B578)/B578,0)</f>
        <v/>
      </c>
      <c r="D590" s="63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63">
        <f>IF(B579&gt;0,(Table2[[#This Row],[Country]]-B579)/B579,0)</f>
        <v/>
      </c>
      <c r="D591" s="63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63">
        <f>IF(B580&gt;0,(Table2[[#This Row],[Country]]-B580)/B580,0)</f>
        <v/>
      </c>
      <c r="D592" s="63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63">
        <f>IF(B581&gt;0,(Table2[[#This Row],[Country]]-B581)/B581,0)</f>
        <v/>
      </c>
      <c r="D593" s="63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63">
        <f>IF(B582&gt;0,(Table2[[#This Row],[Country]]-B582)/B582,0)</f>
        <v/>
      </c>
      <c r="D594" s="63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63">
        <f>IF(B583&gt;0,(Table2[[#This Row],[Country]]-B583)/B583,0)</f>
        <v/>
      </c>
      <c r="D595" s="63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63">
        <f>IF(B584&gt;0,(Table2[[#This Row],[Country]]-B584)/B584,0)</f>
        <v/>
      </c>
      <c r="D596" s="63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63">
        <f>IF(B585&gt;0,(Table2[[#This Row],[Country]]-B585)/B585,0)</f>
        <v/>
      </c>
      <c r="D597" s="63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63">
        <f>IF(B586&gt;0,(Table2[[#This Row],[Country]]-B586)/B586,0)</f>
        <v/>
      </c>
      <c r="D598" s="63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63">
        <f>IF(B587&gt;0,(Table2[[#This Row],[Country]]-B587)/B587,0)</f>
        <v/>
      </c>
      <c r="D599" s="63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63">
        <f>IF(B588&gt;0,(Table2[[#This Row],[Country]]-B588)/B588,0)</f>
        <v/>
      </c>
      <c r="D600" s="63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63">
        <f>IF(B589&gt;0,(Table2[[#This Row],[Country]]-B589)/B589,0)</f>
        <v/>
      </c>
      <c r="D601" s="63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63">
        <f>IF(B590&gt;0,(Table2[[#This Row],[Country]]-B590)/B590,0)</f>
        <v/>
      </c>
      <c r="D602" s="63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63">
        <f>IF(B591&gt;0,(Table2[[#This Row],[Country]]-B591)/B591,0)</f>
        <v/>
      </c>
      <c r="D603" s="63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63">
        <f>IF(B592&gt;0,(Table2[[#This Row],[Country]]-B592)/B592,0)</f>
        <v/>
      </c>
      <c r="D604" s="63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63">
        <f>IF(B593&gt;0,(Table2[[#This Row],[Country]]-B593)/B593,0)</f>
        <v/>
      </c>
      <c r="D605" s="63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63">
        <f>IF(B594&gt;0,(Table2[[#This Row],[Country]]-B594)/B594,0)</f>
        <v/>
      </c>
      <c r="D606" s="63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63">
        <f>IF(B595&gt;0,(Table2[[#This Row],[Country]]-B595)/B595,0)</f>
        <v/>
      </c>
      <c r="D607" s="63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63">
        <f>IF(B596&gt;0,(Table2[[#This Row],[Country]]-B596)/B596,0)</f>
        <v/>
      </c>
      <c r="D608" s="63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63">
        <f>IF(B597&gt;0,(Table2[[#This Row],[Country]]-B597)/B597,0)</f>
        <v/>
      </c>
      <c r="D609" s="63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63">
        <f>IF(B598&gt;0,(Table2[[#This Row],[Country]]-B598)/B598,0)</f>
        <v/>
      </c>
      <c r="D610" s="63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63">
        <f>IF(B599&gt;0,(Table2[[#This Row],[Country]]-B599)/B599,0)</f>
        <v/>
      </c>
      <c r="D611" s="63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63">
        <f>IF(B600&gt;0,(Table2[[#This Row],[Country]]-B600)/B600,0)</f>
        <v/>
      </c>
      <c r="D612" s="63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63">
        <f>IF(B601&gt;0,(Table2[[#This Row],[Country]]-B601)/B601,0)</f>
        <v/>
      </c>
      <c r="D613" s="63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63">
        <f>IF(B602&gt;0,(Table2[[#This Row],[Country]]-B602)/B602,0)</f>
        <v/>
      </c>
      <c r="D614" s="63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63">
        <f>IF(B603&gt;0,(Table2[[#This Row],[Country]]-B603)/B603,0)</f>
        <v/>
      </c>
      <c r="D615" s="63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63">
        <f>IF(B604&gt;0,(Table2[[#This Row],[Country]]-B604)/B604,0)</f>
        <v/>
      </c>
      <c r="D616" s="63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63">
        <f>IF(B605&gt;0,(Table2[[#This Row],[Country]]-B605)/B605,0)</f>
        <v/>
      </c>
      <c r="D617" s="63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63">
        <f>IF(B606&gt;0,(Table2[[#This Row],[Country]]-B606)/B606,0)</f>
        <v/>
      </c>
      <c r="D618" s="63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63">
        <f>IF(B607&gt;0,(Table2[[#This Row],[Country]]-B607)/B607,0)</f>
        <v/>
      </c>
      <c r="D619" s="63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63">
        <f>IF(B608&gt;0,(Table2[[#This Row],[Country]]-B608)/B608,0)</f>
        <v/>
      </c>
      <c r="D620" s="63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63">
        <f>IF(B609&gt;0,(Table2[[#This Row],[Country]]-B609)/B609,0)</f>
        <v/>
      </c>
      <c r="D621" s="63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63">
        <f>IF(B610&gt;0,(Table2[[#This Row],[Country]]-B610)/B610,0)</f>
        <v/>
      </c>
      <c r="D622" s="63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63">
        <f>IF(B611&gt;0,(Table2[[#This Row],[Country]]-B611)/B611,0)</f>
        <v/>
      </c>
      <c r="D623" s="63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63">
        <f>IF(B612&gt;0,(Table2[[#This Row],[Country]]-B612)/B612,0)</f>
        <v/>
      </c>
      <c r="D624" s="63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63">
        <f>IF(B613&gt;0,(Table2[[#This Row],[Country]]-B613)/B613,0)</f>
        <v/>
      </c>
      <c r="D625" s="63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63">
        <f>IF(B614&gt;0,(Table2[[#This Row],[Country]]-B614)/B614,0)</f>
        <v/>
      </c>
      <c r="D626" s="63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63">
        <f>IF(B615&gt;0,(Table2[[#This Row],[Country]]-B615)/B615,0)</f>
        <v/>
      </c>
      <c r="D627" s="63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63">
        <f>IF(B616&gt;0,(Table2[[#This Row],[Country]]-B616)/B616,0)</f>
        <v/>
      </c>
      <c r="D628" s="63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63">
        <f>IF(B617&gt;0,(Table2[[#This Row],[Country]]-B617)/B617,0)</f>
        <v/>
      </c>
      <c r="D629" s="63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63">
        <f>IF(B618&gt;0,(Table2[[#This Row],[Country]]-B618)/B618,0)</f>
        <v/>
      </c>
      <c r="D630" s="63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63">
        <f>IF(B619&gt;0,(Table2[[#This Row],[Country]]-B619)/B619,0)</f>
        <v/>
      </c>
      <c r="D631" s="63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63">
        <f>IF(B620&gt;0,(Table2[[#This Row],[Country]]-B620)/B620,0)</f>
        <v/>
      </c>
      <c r="D632" s="63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63">
        <f>IF(B621&gt;0,(Table2[[#This Row],[Country]]-B621)/B621,0)</f>
        <v/>
      </c>
      <c r="D633" s="63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63">
        <f>IF(B622&gt;0,(Table2[[#This Row],[Country]]-B622)/B622,0)</f>
        <v/>
      </c>
      <c r="D634" s="63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63">
        <f>IF(B623&gt;0,(Table2[[#This Row],[Country]]-B623)/B623,0)</f>
        <v/>
      </c>
      <c r="D635" s="63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63">
        <f>IF(B624&gt;0,(Table2[[#This Row],[Country]]-B624)/B624,0)</f>
        <v/>
      </c>
      <c r="D636" s="63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63">
        <f>IF(B625&gt;0,(Table2[[#This Row],[Country]]-B625)/B625,0)</f>
        <v/>
      </c>
      <c r="D637" s="63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63">
        <f>IF(B626&gt;0,(Table2[[#This Row],[Country]]-B626)/B626,0)</f>
        <v/>
      </c>
      <c r="D638" s="63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63">
        <f>IF(B627&gt;0,(Table2[[#This Row],[Country]]-B627)/B627,0)</f>
        <v/>
      </c>
      <c r="D639" s="63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63">
        <f>IF(B628&gt;0,(Table2[[#This Row],[Country]]-B628)/B628,0)</f>
        <v/>
      </c>
      <c r="D640" s="63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63">
        <f>IF(B629&gt;0,(Table2[[#This Row],[Country]]-B629)/B629,0)</f>
        <v/>
      </c>
      <c r="D641" s="63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63">
        <f>IF(B630&gt;0,(Table2[[#This Row],[Country]]-B630)/B630,0)</f>
        <v/>
      </c>
      <c r="D642" s="63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63">
        <f>IF(B631&gt;0,(Table2[[#This Row],[Country]]-B631)/B631,0)</f>
        <v/>
      </c>
      <c r="D643" s="63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63">
        <f>IF(B632&gt;0,(Table2[[#This Row],[Country]]-B632)/B632,0)</f>
        <v/>
      </c>
      <c r="D644" s="63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63">
        <f>IF(B633&gt;0,(Table2[[#This Row],[Country]]-B633)/B633,0)</f>
        <v/>
      </c>
      <c r="D645" s="63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63">
        <f>IF(B634&gt;0,(Table2[[#This Row],[Country]]-B634)/B634,0)</f>
        <v/>
      </c>
      <c r="D646" s="63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63">
        <f>IF(B635&gt;0,(Table2[[#This Row],[Country]]-B635)/B635,0)</f>
        <v/>
      </c>
      <c r="D647" s="63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63">
        <f>IF(B636&gt;0,(Table2[[#This Row],[Country]]-B636)/B636,0)</f>
        <v/>
      </c>
      <c r="D648" s="63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63">
        <f>IF(B637&gt;0,(Table2[[#This Row],[Country]]-B637)/B637,0)</f>
        <v/>
      </c>
      <c r="D649" s="63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63">
        <f>IF(B638&gt;0,(Table2[[#This Row],[Country]]-B638)/B638,0)</f>
        <v/>
      </c>
      <c r="D650" s="63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63">
        <f>IF(B639&gt;0,(Table2[[#This Row],[Country]]-B639)/B639,0)</f>
        <v/>
      </c>
      <c r="D651" s="63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63">
        <f>IF(B640&gt;0,(Table2[[#This Row],[Country]]-B640)/B640,0)</f>
        <v/>
      </c>
      <c r="D652" s="63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63">
        <f>IF(B641&gt;0,(Table2[[#This Row],[Country]]-B641)/B641,0)</f>
        <v/>
      </c>
      <c r="D653" s="63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63">
        <f>IF(B642&gt;0,(Table2[[#This Row],[Country]]-B642)/B642,0)</f>
        <v/>
      </c>
      <c r="D654" s="63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63">
        <f>IF(B643&gt;0,(Table2[[#This Row],[Country]]-B643)/B643,0)</f>
        <v/>
      </c>
      <c r="D655" s="63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63">
        <f>IF(B644&gt;0,(Table2[[#This Row],[Country]]-B644)/B644,0)</f>
        <v/>
      </c>
      <c r="D656" s="63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63">
        <f>IF(B645&gt;0,(Table2[[#This Row],[Country]]-B645)/B645,0)</f>
        <v/>
      </c>
      <c r="D657" s="63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63">
        <f>IF(B646&gt;0,(Table2[[#This Row],[Country]]-B646)/B646,0)</f>
        <v/>
      </c>
      <c r="D658" s="63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63">
        <f>IF(B647&gt;0,(Table2[[#This Row],[Country]]-B647)/B647,0)</f>
        <v/>
      </c>
      <c r="D659" s="63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63">
        <f>IF(B648&gt;0,(Table2[[#This Row],[Country]]-B648)/B648,0)</f>
        <v/>
      </c>
      <c r="D660" s="63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63">
        <f>IF(B649&gt;0,(Table2[[#This Row],[Country]]-B649)/B649,0)</f>
        <v/>
      </c>
      <c r="D661" s="63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63">
        <f>IF(B650&gt;0,(Table2[[#This Row],[Country]]-B650)/B650,0)</f>
        <v/>
      </c>
      <c r="D662" s="63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63">
        <f>IF(B651&gt;0,(Table2[[#This Row],[Country]]-B651)/B651,0)</f>
        <v/>
      </c>
      <c r="D663" s="63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63">
        <f>IF(B652&gt;0,(Table2[[#This Row],[Country]]-B652)/B652,0)</f>
        <v/>
      </c>
      <c r="D664" s="63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63">
        <f>IF(B653&gt;0,(Table2[[#This Row],[Country]]-B653)/B653,0)</f>
        <v/>
      </c>
      <c r="D665" s="63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63">
        <f>IF(B654&gt;0,(Table2[[#This Row],[Country]]-B654)/B654,0)</f>
        <v/>
      </c>
      <c r="D666" s="63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63">
        <f>IF(B655&gt;0,(Table2[[#This Row],[Country]]-B655)/B655,0)</f>
        <v/>
      </c>
      <c r="D667" s="63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63">
        <f>IF(B656&gt;0,(Table2[[#This Row],[Country]]-B656)/B656,0)</f>
        <v/>
      </c>
      <c r="D668" s="63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63">
        <f>IF(B657&gt;0,(Table2[[#This Row],[Country]]-B657)/B657,0)</f>
        <v/>
      </c>
      <c r="D669" s="63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63">
        <f>IF(B658&gt;0,(Table2[[#This Row],[Country]]-B658)/B658,0)</f>
        <v/>
      </c>
      <c r="D670" s="63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63">
        <f>IF(B659&gt;0,(Table2[[#This Row],[Country]]-B659)/B659,0)</f>
        <v/>
      </c>
      <c r="D671" s="63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63">
        <f>IF(B660&gt;0,(Table2[[#This Row],[Country]]-B660)/B660,0)</f>
        <v/>
      </c>
      <c r="D672" s="63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63">
        <f>IF(B661&gt;0,(Table2[[#This Row],[Country]]-B661)/B661,0)</f>
        <v/>
      </c>
      <c r="D673" s="63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63">
        <f>IF(B662&gt;0,(Table2[[#This Row],[Country]]-B662)/B662,0)</f>
        <v/>
      </c>
      <c r="D674" s="63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63">
        <f>IF(B663&gt;0,(Table2[[#This Row],[Country]]-B663)/B663,0)</f>
        <v/>
      </c>
      <c r="D675" s="63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63">
        <f>IF(B664&gt;0,(Table2[[#This Row],[Country]]-B664)/B664,0)</f>
        <v/>
      </c>
      <c r="D676" s="63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63">
        <f>IF(B665&gt;0,(Table2[[#This Row],[Country]]-B665)/B665,0)</f>
        <v/>
      </c>
      <c r="D677" s="63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63">
        <f>IF(B666&gt;0,(Table2[[#This Row],[Country]]-B666)/B666,0)</f>
        <v/>
      </c>
      <c r="D678" s="63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63">
        <f>IF(B667&gt;0,(Table2[[#This Row],[Country]]-B667)/B667,0)</f>
        <v/>
      </c>
      <c r="D679" s="63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63">
        <f>IF(B668&gt;0,(Table2[[#This Row],[Country]]-B668)/B668,0)</f>
        <v/>
      </c>
      <c r="D680" s="63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63">
        <f>IF(B669&gt;0,(Table2[[#This Row],[Country]]-B669)/B669,0)</f>
        <v/>
      </c>
      <c r="D681" s="63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63">
        <f>IF(B670&gt;0,(Table2[[#This Row],[Country]]-B670)/B670,0)</f>
        <v/>
      </c>
      <c r="D682" s="63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63">
        <f>IF(B671&gt;0,(Table2[[#This Row],[Country]]-B671)/B671,0)</f>
        <v/>
      </c>
      <c r="D683" s="63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63">
        <f>IF(B672&gt;0,(Table2[[#This Row],[Country]]-B672)/B672,0)</f>
        <v/>
      </c>
      <c r="D684" s="63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63">
        <f>IF(B673&gt;0,(Table2[[#This Row],[Country]]-B673)/B673,0)</f>
        <v/>
      </c>
      <c r="D685" s="63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63">
        <f>IF(B674&gt;0,(Table2[[#This Row],[Country]]-B674)/B674,0)</f>
        <v/>
      </c>
      <c r="D686" s="63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63">
        <f>IF(B675&gt;0,(Table2[[#This Row],[Country]]-B675)/B675,0)</f>
        <v/>
      </c>
      <c r="D687" s="63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63">
        <f>IF(B676&gt;0,(Table2[[#This Row],[Country]]-B676)/B676,0)</f>
        <v/>
      </c>
      <c r="D688" s="63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63">
        <f>IF(B677&gt;0,(Table2[[#This Row],[Country]]-B677)/B677,0)</f>
        <v/>
      </c>
      <c r="D689" s="63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63">
        <f>IF(B678&gt;0,(Table2[[#This Row],[Country]]-B678)/B678,0)</f>
        <v/>
      </c>
      <c r="D690" s="63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63">
        <f>IF(B679&gt;0,(Table2[[#This Row],[Country]]-B679)/B679,0)</f>
        <v/>
      </c>
      <c r="D691" s="63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63">
        <f>IF(B680&gt;0,(Table2[[#This Row],[Country]]-B680)/B680,0)</f>
        <v/>
      </c>
      <c r="D692" s="63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63">
        <f>IF(B681&gt;0,(Table2[[#This Row],[Country]]-B681)/B681,0)</f>
        <v/>
      </c>
      <c r="D693" s="63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63">
        <f>IF(B682&gt;0,(Table2[[#This Row],[Country]]-B682)/B682,0)</f>
        <v/>
      </c>
      <c r="D694" s="63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63">
        <f>IF(B683&gt;0,(Table2[[#This Row],[Country]]-B683)/B683,0)</f>
        <v/>
      </c>
      <c r="D695" s="63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63">
        <f>IF(B684&gt;0,(Table2[[#This Row],[Country]]-B684)/B684,0)</f>
        <v/>
      </c>
      <c r="D696" s="63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63">
        <f>IF(B685&gt;0,(Table2[[#This Row],[Country]]-B685)/B685,0)</f>
        <v/>
      </c>
      <c r="D697" s="63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63">
        <f>IF(B686&gt;0,(Table2[[#This Row],[Country]]-B686)/B686,0)</f>
        <v/>
      </c>
      <c r="D698" s="63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63">
        <f>IF(B687&gt;0,(Table2[[#This Row],[Country]]-B687)/B687,0)</f>
        <v/>
      </c>
      <c r="D699" s="63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63">
        <f>IF(B688&gt;0,(Table2[[#This Row],[Country]]-B688)/B688,0)</f>
        <v/>
      </c>
      <c r="D700" s="63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63">
        <f>IF(B689&gt;0,(Table2[[#This Row],[Country]]-B689)/B689,0)</f>
        <v/>
      </c>
      <c r="D701" s="63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63">
        <f>IF(B690&gt;0,(Table2[[#This Row],[Country]]-B690)/B690,0)</f>
        <v/>
      </c>
      <c r="D702" s="63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63">
        <f>IF(B691&gt;0,(Table2[[#This Row],[Country]]-B691)/B691,0)</f>
        <v/>
      </c>
      <c r="D703" s="63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63">
        <f>IF(B692&gt;0,(Table2[[#This Row],[Country]]-B692)/B692,0)</f>
        <v/>
      </c>
      <c r="D704" s="63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63">
        <f>IF(B693&gt;0,(Table2[[#This Row],[Country]]-B693)/B693,0)</f>
        <v/>
      </c>
      <c r="D705" s="63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63">
        <f>IF(B694&gt;0,(Table2[[#This Row],[Country]]-B694)/B694,0)</f>
        <v/>
      </c>
      <c r="D706" s="63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63">
        <f>IF(B695&gt;0,(Table2[[#This Row],[Country]]-B695)/B695,0)</f>
        <v/>
      </c>
      <c r="D707" s="63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63">
        <f>IF(B696&gt;0,(Table2[[#This Row],[Country]]-B696)/B696,0)</f>
        <v/>
      </c>
      <c r="D708" s="63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63">
        <f>IF(B697&gt;0,(Table2[[#This Row],[Country]]-B697)/B697,0)</f>
        <v/>
      </c>
      <c r="D709" s="63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63">
        <f>IF(B698&gt;0,(Table2[[#This Row],[Country]]-B698)/B698,0)</f>
        <v/>
      </c>
      <c r="D710" s="63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63">
        <f>IF(B699&gt;0,(Table2[[#This Row],[Country]]-B699)/B699,0)</f>
        <v/>
      </c>
      <c r="D711" s="63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63">
        <f>IF(B700&gt;0,(Table2[[#This Row],[Country]]-B700)/B700,0)</f>
        <v/>
      </c>
      <c r="D712" s="63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63">
        <f>IF(B701&gt;0,(Table2[[#This Row],[Country]]-B701)/B701,0)</f>
        <v/>
      </c>
      <c r="D713" s="63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63">
        <f>IF(B702&gt;0,(Table2[[#This Row],[Country]]-B702)/B702,0)</f>
        <v/>
      </c>
      <c r="D714" s="63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63">
        <f>IF(B703&gt;0,(Table2[[#This Row],[Country]]-B703)/B703,0)</f>
        <v/>
      </c>
      <c r="D715" s="63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63">
        <f>IF(B704&gt;0,(Table2[[#This Row],[Country]]-B704)/B704,0)</f>
        <v/>
      </c>
      <c r="D716" s="63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63">
        <f>IF(B705&gt;0,(Table2[[#This Row],[Country]]-B705)/B705,0)</f>
        <v/>
      </c>
      <c r="D717" s="63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63">
        <f>IF(B706&gt;0,(Table2[[#This Row],[Country]]-B706)/B706,0)</f>
        <v/>
      </c>
      <c r="D718" s="63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63">
        <f>IF(B707&gt;0,(Table2[[#This Row],[Country]]-B707)/B707,0)</f>
        <v/>
      </c>
      <c r="D719" s="63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63">
        <f>IF(B708&gt;0,(Table2[[#This Row],[Country]]-B708)/B708,0)</f>
        <v/>
      </c>
      <c r="D720" s="63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63">
        <f>IF(B709&gt;0,(Table2[[#This Row],[Country]]-B709)/B709,0)</f>
        <v/>
      </c>
      <c r="D721" s="63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63">
        <f>IF(B710&gt;0,(Table2[[#This Row],[Country]]-B710)/B710,0)</f>
        <v/>
      </c>
      <c r="D722" s="63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63">
        <f>IF(B711&gt;0,(Table2[[#This Row],[Country]]-B711)/B711,0)</f>
        <v/>
      </c>
      <c r="D723" s="63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63">
        <f>IF(B712&gt;0,(Table2[[#This Row],[Country]]-B712)/B712,0)</f>
        <v/>
      </c>
      <c r="D724" s="63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63">
        <f>IF(B713&gt;0,(Table2[[#This Row],[Country]]-B713)/B713,0)</f>
        <v/>
      </c>
      <c r="D725" s="63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63">
        <f>IF(B714&gt;0,(Table2[[#This Row],[Country]]-B714)/B714,0)</f>
        <v/>
      </c>
      <c r="D726" s="63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63">
        <f>IF(B715&gt;0,(Table2[[#This Row],[Country]]-B715)/B715,0)</f>
        <v/>
      </c>
      <c r="D727" s="63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63">
        <f>IF(B716&gt;0,(Table2[[#This Row],[Country]]-B716)/B716,0)</f>
        <v/>
      </c>
      <c r="D728" s="63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63">
        <f>IF(B717&gt;0,(Table2[[#This Row],[Country]]-B717)/B717,0)</f>
        <v/>
      </c>
      <c r="D729" s="63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63">
        <f>IF(B718&gt;0,(Table2[[#This Row],[Country]]-B718)/B718,0)</f>
        <v/>
      </c>
      <c r="D730" s="63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63">
        <f>IF(B719&gt;0,(Table2[[#This Row],[Country]]-B719)/B719,0)</f>
        <v/>
      </c>
      <c r="D731" s="63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63">
        <f>IF(B720&gt;0,(Table2[[#This Row],[Country]]-B720)/B720,0)</f>
        <v/>
      </c>
      <c r="D732" s="63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63">
        <f>IF(B721&gt;0,(Table2[[#This Row],[Country]]-B721)/B721,0)</f>
        <v/>
      </c>
      <c r="D733" s="63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63">
        <f>IF(B722&gt;0,(Table2[[#This Row],[Country]]-B722)/B722,0)</f>
        <v/>
      </c>
      <c r="D734" s="63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63">
        <f>IF(B723&gt;0,(Table2[[#This Row],[Country]]-B723)/B723,0)</f>
        <v/>
      </c>
      <c r="D735" s="63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63">
        <f>IF(B724&gt;0,(Table2[[#This Row],[Country]]-B724)/B724,0)</f>
        <v/>
      </c>
      <c r="D736" s="63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63">
        <f>IF(B725&gt;0,(Table2[[#This Row],[Country]]-B725)/B725,0)</f>
        <v/>
      </c>
      <c r="D737" s="63">
        <f>IF(Table2[[#This Row],[Country]]&gt;0,(((Table2[[#This Row],[Country]]-B736)/B736)+1)^12-1,"")</f>
        <v/>
      </c>
    </row>
  </sheetData>
  <conditionalFormatting sqref="D7:D737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2022-02-14T05:13:42Z</dcterms:modified>
  <cp:lastModifiedBy>Mark Mukherjee</cp:lastModifiedBy>
</cp:coreProperties>
</file>