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1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9" fillId="10" borderId="1" applyAlignment="1" pivotButton="0" quotePrefix="0" xfId="0">
      <alignment horizontal="center"/>
    </xf>
    <xf numFmtId="0" fontId="0" fillId="2" borderId="0" pivotButton="0" quotePrefix="0" xfId="0"/>
    <xf numFmtId="0" fontId="1" fillId="2" borderId="0" pivotButton="0" quotePrefix="0" xfId="1"/>
    <xf numFmtId="168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'!$A$6:$A$764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'!$B$6:$B$764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Velocity!$A$12:$A$263</f>
              <numCache>
                <formatCode>dd\-mm\-yyyy</formatCode>
                <ptCount val="252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</numCache>
            </numRef>
          </cat>
          <val>
            <numRef>
              <f>Velocity!$B$12:$B$263</f>
              <numCache>
                <formatCode>0.000</formatCode>
                <ptCount val="252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Monthly'!$A$6:$A$765</f>
              <numCache>
                <formatCode>yyyy\-mm\-dd</formatCode>
                <ptCount val="760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M1 Real Monthly'!$B$6:$B$765</f>
              <numCache>
                <formatCode>0.0</formatCode>
                <ptCount val="760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  <pt idx="756">
                  <v>7347.9</v>
                </pt>
                <pt idx="757">
                  <v>7282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Monthly'!$A$18:$A$765</f>
              <numCache>
                <formatCode>yyyy\-mm\-dd</formatCode>
                <ptCount val="74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'US M1 Real Monthly'!$C$18:$C$765</f>
              <numCache>
                <formatCode>0.0%</formatCode>
                <ptCount val="748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  <pt idx="744">
                  <v>0.06451192304349075</v>
                </pt>
                <pt idx="745">
                  <v>0.04208703616250953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562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Monthly'!$B$6:$B$763</f>
              <numCache>
                <formatCode>0.0</formatCode>
                <ptCount val="758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  <pt idx="756">
                  <v>7746.6</v>
                </pt>
                <pt idx="757">
                  <v>7675.3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Monthly'!$C$6:$C$763</f>
              <numCache>
                <formatCode>General</formatCode>
                <ptCount val="758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  <pt idx="756">
                  <formatCode>0.0%</formatCode>
                  <v>0.04747481576634445</v>
                </pt>
                <pt idx="757">
                  <formatCode>0.0%</formatCode>
                  <v>0.02711202109010135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  <pt idx="755">
                  <v>21840.1</v>
                </pt>
                <pt idx="756">
                  <v>21811.8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Country!$A$474:$A$742</f>
              <numCache>
                <formatCode>m/d/yy</formatCode>
                <ptCount val="26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Country!$B$474:$B$742</f>
              <numCache>
                <formatCode>0.00</formatCode>
                <ptCount val="269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Country!$D$474:$D$741</f>
              <numCache>
                <formatCode>0.0%</formatCode>
                <ptCount val="268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3" headerRowCount="1" totalsRowShown="0" headerRowCellStyle="Normal 3" dataCellStyle="Normal 3">
  <autoFilter ref="A11:B263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3" headerRowCount="1" totalsRowShown="0" headerRowDxfId="33" dataDxfId="31" headerRowBorderDxfId="32">
  <autoFilter ref="A5:C763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3" headerRowCount="1" totalsRowShown="0" headerRowDxfId="27" dataDxfId="26" tableBorderDxfId="25">
  <autoFilter ref="A5:C763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3" headerRowCount="1" totalsRowShown="0" headerRowDxfId="12" dataDxfId="10" headerRowBorderDxfId="11" dataCellStyle="Normal 2">
  <autoFilter ref="A5:D763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7" headerRowCount="1" totalsRowShown="0" headerRowDxfId="5" headerRowBorderDxfId="4">
  <autoFilter ref="A5:D73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76" min="1" max="1"/>
    <col width="12.83203125" customWidth="1" style="76" min="2" max="10"/>
    <col width="3.33203125" customWidth="1" style="76" min="11" max="13"/>
    <col width="21.33203125" customWidth="1" style="76" min="14" max="14"/>
    <col width="15.6640625" customWidth="1" style="76" min="15" max="15"/>
    <col width="16.83203125" customWidth="1" style="76" min="16" max="16"/>
    <col width="23" customWidth="1" style="76" min="17" max="17"/>
    <col width="9.1640625" customWidth="1" style="76" min="18" max="32"/>
    <col width="9.1640625" customWidth="1" style="76" min="33" max="16384"/>
  </cols>
  <sheetData>
    <row r="1">
      <c r="B1" s="82" t="n"/>
    </row>
    <row r="2" ht="16" customHeight="1" s="67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s="67" thickBot="1">
      <c r="B3" s="84" t="inlineStr">
        <is>
          <t>Money Supply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00.5" customHeight="1" s="67">
      <c r="B7" s="87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77" t="n"/>
    </row>
    <row r="9">
      <c r="B9" s="42" t="n"/>
      <c r="C9" s="42" t="n"/>
      <c r="D9" s="42" t="n"/>
      <c r="E9" s="42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</row>
    <row r="11" ht="16" customHeight="1" s="67"/>
    <row r="12" ht="16" customHeight="1" s="67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4" ht="19.5" customHeight="1" s="67">
      <c r="B14" s="1" t="inlineStr">
        <is>
          <t>https://fred.stlouisfed.org/series/M2REAL</t>
        </is>
      </c>
      <c r="G14" s="76" t="inlineStr">
        <is>
          <t>U.S.</t>
        </is>
      </c>
    </row>
    <row r="15" ht="16" customHeight="1" s="67" thickBot="1">
      <c r="B15" s="77" t="inlineStr">
        <is>
          <t>https://fred.stlouisfed.org/series/M1REAL</t>
        </is>
      </c>
      <c r="G15" s="75" t="inlineStr">
        <is>
          <t>U.S.</t>
        </is>
      </c>
    </row>
    <row r="16" ht="18" customHeight="1" s="67">
      <c r="B16" s="77" t="inlineStr">
        <is>
          <t>https://fred.stlouisfed.org/series/M1</t>
        </is>
      </c>
      <c r="G16" s="75" t="inlineStr">
        <is>
          <t xml:space="preserve">U.S. </t>
        </is>
      </c>
      <c r="Z16" s="43" t="inlineStr">
        <is>
          <t>DGORDER</t>
        </is>
      </c>
      <c r="AA16" s="76" t="inlineStr">
        <is>
          <t>Durable Goods New Orders</t>
        </is>
      </c>
    </row>
    <row r="17" ht="18" customHeight="1" s="67">
      <c r="B17" s="77" t="inlineStr">
        <is>
          <t>https://fred.stlouisfed.org/series/M2</t>
        </is>
      </c>
      <c r="G17" s="78" t="inlineStr">
        <is>
          <t>U.S. discontinued</t>
        </is>
      </c>
      <c r="Z17" s="44" t="inlineStr">
        <is>
          <t>ADXTNO</t>
        </is>
      </c>
      <c r="AA17" s="76" t="inlineStr">
        <is>
          <t>New Orders ex Transport</t>
        </is>
      </c>
    </row>
    <row r="18" ht="33.75" customHeight="1" s="67">
      <c r="B18" s="77" t="inlineStr">
        <is>
          <t>https://fred.stlouisfed.org/series/M2SL</t>
        </is>
      </c>
      <c r="G18" s="78" t="inlineStr">
        <is>
          <t>U.S.</t>
        </is>
      </c>
      <c r="Z18" s="45" t="inlineStr">
        <is>
          <t>NEWORDER</t>
        </is>
      </c>
      <c r="AA18" s="76" t="inlineStr">
        <is>
          <t>New Orders Nondefense Ex Aircraft &amp; Parts = Core</t>
        </is>
      </c>
    </row>
    <row r="19" ht="18" customHeight="1" s="67">
      <c r="B19" s="77" t="inlineStr">
        <is>
          <t>https://tradingeconomics.com/country-list/money-supply-m2?continent=g20</t>
        </is>
      </c>
      <c r="G19" s="78" t="inlineStr">
        <is>
          <t>Quick Country View</t>
        </is>
      </c>
      <c r="Z19" s="44" t="inlineStr">
        <is>
          <t>AMTUNO</t>
        </is>
      </c>
      <c r="AA19" s="76" t="inlineStr">
        <is>
          <t>New Orders - Manufacturing</t>
        </is>
      </c>
    </row>
    <row r="20" ht="18" customHeight="1" s="67">
      <c r="B20" s="77" t="inlineStr">
        <is>
          <t>https://data.oecd.org/money/broad-money-m3.htm</t>
        </is>
      </c>
      <c r="G20" s="76" t="inlineStr">
        <is>
          <t>Table</t>
        </is>
      </c>
      <c r="Z20" s="45" t="inlineStr">
        <is>
          <t>A36SNO</t>
        </is>
      </c>
      <c r="AA20" s="76" t="inlineStr">
        <is>
          <t>New Orders - Transportation Equipment</t>
        </is>
      </c>
    </row>
    <row r="21" ht="18" customHeight="1" s="67">
      <c r="B21" s="77" t="n"/>
      <c r="G21" s="76" t="inlineStr">
        <is>
          <t>Monthly</t>
        </is>
      </c>
      <c r="Z21" s="45" t="inlineStr">
        <is>
          <t>A32SNO</t>
        </is>
      </c>
      <c r="AA21" s="76" t="inlineStr">
        <is>
          <t>New Orders - Fabricated Metal Products</t>
        </is>
      </c>
    </row>
    <row r="22" ht="18" customHeight="1" s="67">
      <c r="B22" s="77" t="n"/>
      <c r="G22" s="76" t="inlineStr">
        <is>
          <t>from beginning</t>
        </is>
      </c>
      <c r="Z22" s="45" t="inlineStr">
        <is>
          <t>A33SNO</t>
        </is>
      </c>
      <c r="AA22" s="76" t="inlineStr">
        <is>
          <t>New Orders - Machinery</t>
        </is>
      </c>
    </row>
    <row r="23" ht="18" customHeight="1" s="67">
      <c r="B23" s="77" t="n"/>
      <c r="G23" s="76" t="inlineStr">
        <is>
          <t>download Select data only</t>
        </is>
      </c>
      <c r="Z23" s="45" t="inlineStr">
        <is>
          <t>A34SNO</t>
        </is>
      </c>
      <c r="AA23" s="76" t="inlineStr">
        <is>
          <t>New Orders - Computers</t>
        </is>
      </c>
    </row>
    <row r="24" ht="18" customHeight="1" s="67">
      <c r="B24" s="77" t="n"/>
      <c r="G24" s="78" t="inlineStr">
        <is>
          <t>Data</t>
        </is>
      </c>
      <c r="Z24" s="45" t="inlineStr">
        <is>
          <t>A31SNO</t>
        </is>
      </c>
      <c r="AA24" s="76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6" t="inlineStr">
        <is>
          <t>New Orders - Electrical Equipment</t>
        </is>
      </c>
    </row>
    <row r="35" ht="16" customHeight="1" s="67"/>
    <row r="39">
      <c r="B39" s="40" t="n"/>
    </row>
    <row r="40">
      <c r="B40" s="75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6"/>
  <sheetViews>
    <sheetView zoomScale="170" zoomScaleNormal="170" workbookViewId="0">
      <pane ySplit="1" topLeftCell="A3075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2801.4</v>
      </c>
      <c r="E1808" t="n">
        <v>4880.1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2820.6</v>
      </c>
      <c r="E1813" t="n">
        <v>4924.7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2848.6</v>
      </c>
      <c r="E1823" t="n">
        <v>5013.5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2879.7</v>
      </c>
      <c r="E1828" t="n">
        <v>5071.2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2894.6</v>
      </c>
      <c r="E1839" t="n">
        <v>5132.2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2910.8</v>
      </c>
      <c r="E1844" t="n">
        <v>5172.5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2951.7</v>
      </c>
      <c r="E1855" t="n">
        <v>5236.3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3002.5</v>
      </c>
      <c r="E1860" t="n">
        <v>5347.4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3030.8</v>
      </c>
      <c r="E1870" t="n">
        <v>5379.6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3062.4</v>
      </c>
      <c r="E1875" t="n">
        <v>5432.7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</v>
      </c>
      <c r="E1886" t="n">
        <v>5482.4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</v>
      </c>
      <c r="E1891" t="n">
        <v>5494.2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3075.5</v>
      </c>
      <c r="E1901" t="n">
        <v>5520.6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3087.8</v>
      </c>
      <c r="E1906" t="n">
        <v>5545.6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3119.4</v>
      </c>
      <c r="E1916" t="n">
        <v>5630.6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3127.8</v>
      </c>
      <c r="E1921" t="n">
        <v>5655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3167.9</v>
      </c>
      <c r="E1932" t="n">
        <v>5749.7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3174.3</v>
      </c>
      <c r="E1937" t="n">
        <v>5770.9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3180.6</v>
      </c>
      <c r="E1948" t="n">
        <v>5839.5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3186.7</v>
      </c>
      <c r="E1953" t="n">
        <v>5860.3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3257.5</v>
      </c>
      <c r="E1964" t="n">
        <v>5958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</v>
      </c>
      <c r="E1969" t="n">
        <v>5994.7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</v>
      </c>
      <c r="E1980" t="n">
        <v>6099.5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3279.8</v>
      </c>
      <c r="E1995" t="n">
        <v>6067.7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3274.3</v>
      </c>
      <c r="E2010" t="n">
        <v>6113.2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</v>
      </c>
      <c r="E2025" t="n">
        <v>6267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3318.9</v>
      </c>
      <c r="E2031" t="n">
        <v>6269.4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3334.7</v>
      </c>
      <c r="E2041" t="n">
        <v>6309.2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3342.4</v>
      </c>
      <c r="E2047" t="n">
        <v>6343.9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3347.5</v>
      </c>
      <c r="E2062" t="n">
        <v>6417.2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3342.9</v>
      </c>
      <c r="E2073" t="n">
        <v>6431.8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3335.5</v>
      </c>
      <c r="E2078" t="n">
        <v>6440.8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</v>
      </c>
      <c r="E2088" t="n">
        <v>6472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</v>
      </c>
      <c r="E2094" t="n">
        <v>6504.4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3321.4</v>
      </c>
      <c r="E2109" t="n">
        <v>6602.9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3358.6</v>
      </c>
      <c r="E2120" t="n">
        <v>6653.4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3372.1</v>
      </c>
      <c r="E2125" t="n">
        <v>6680.1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3383.6</v>
      </c>
      <c r="E2136" t="n">
        <v>6746.8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3385.6</v>
      </c>
      <c r="E2141" t="n">
        <v>6761.1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3391.1</v>
      </c>
      <c r="E2156" t="n">
        <v>6843.2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3393.2</v>
      </c>
      <c r="E2167" t="n">
        <v>6915.4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3423.4</v>
      </c>
      <c r="E2172" t="n">
        <v>6942.6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3478.5</v>
      </c>
      <c r="E2183" t="n">
        <v>7026.5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3480.8</v>
      </c>
      <c r="E2188" t="n">
        <v>7069.5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3487.9</v>
      </c>
      <c r="E2198" t="n">
        <v>7123.2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3486.3</v>
      </c>
      <c r="E2203" t="n">
        <v>7156.9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3503.3</v>
      </c>
      <c r="E2214" t="n">
        <v>7243.2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3511.2</v>
      </c>
      <c r="E2219" t="n">
        <v>7276.3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3555.1</v>
      </c>
      <c r="E2230" t="n">
        <v>7382.8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3548.9</v>
      </c>
      <c r="E2235" t="n">
        <v>7401.1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3528.7</v>
      </c>
      <c r="E2245" t="n">
        <v>7439.6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3532.5</v>
      </c>
      <c r="E2250" t="n">
        <v>7469.4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3567.5</v>
      </c>
      <c r="E2261" t="n">
        <v>7587.6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3585.6</v>
      </c>
      <c r="E2266" t="n">
        <v>7653.3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3581.8</v>
      </c>
      <c r="E2277" t="n">
        <v>7708.3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3552.7</v>
      </c>
      <c r="E2282" t="n">
        <v>7725.8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3560.7</v>
      </c>
      <c r="E2293" t="n">
        <v>7787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3759.5</v>
      </c>
      <c r="E2308" t="n">
        <v>8013.5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3902.4</v>
      </c>
      <c r="E2323" t="n">
        <v>8300.5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3937.3</v>
      </c>
      <c r="E2328" t="n">
        <v>8366.5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3956.2</v>
      </c>
      <c r="E2339" t="n">
        <v>8427.6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3910.4</v>
      </c>
      <c r="E2360" t="n">
        <v>8441.1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3912</v>
      </c>
      <c r="E2370" t="n">
        <v>8498.200000000001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3907.6</v>
      </c>
      <c r="E2376" t="n">
        <v>8493.1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3952.2</v>
      </c>
      <c r="E2400" t="n">
        <v>8587.700000000001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3977</v>
      </c>
      <c r="E2416" t="n">
        <v>8666.700000000001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3991.2</v>
      </c>
      <c r="E2437" t="n">
        <v>8799.4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4008.4</v>
      </c>
      <c r="E2453" t="n">
        <v>8940.6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4069.5</v>
      </c>
      <c r="E2469" t="n">
        <v>9148.4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4230.4</v>
      </c>
      <c r="E2495" t="n">
        <v>9610.1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975.7</v>
      </c>
      <c r="C2516" t="n">
        <v>4299.3</v>
      </c>
      <c r="E2516" t="n">
        <v>9837.1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988.3</v>
      </c>
      <c r="C2527" t="n">
        <v>4343.7</v>
      </c>
      <c r="E2527" t="n">
        <v>9934.6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998.5</v>
      </c>
      <c r="C2532" t="n">
        <v>4375.1</v>
      </c>
      <c r="E2532" t="n">
        <v>9998.1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1022.5</v>
      </c>
      <c r="C2543" t="n">
        <v>4399.5</v>
      </c>
      <c r="E2543" t="n">
        <v>10115.2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1031.3</v>
      </c>
      <c r="C2548" t="n">
        <v>4412.3</v>
      </c>
      <c r="E2548" t="n">
        <v>10193.1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1053.4</v>
      </c>
      <c r="C2558" t="n">
        <v>4462.6</v>
      </c>
      <c r="E2558" t="n">
        <v>10319.8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1063.7</v>
      </c>
      <c r="C2563" t="n">
        <v>4520.1</v>
      </c>
      <c r="E2563" t="n">
        <v>10451.5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1062.1</v>
      </c>
      <c r="C2574" t="n">
        <v>4503</v>
      </c>
      <c r="E2574" t="n">
        <v>10489.1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1068.6</v>
      </c>
      <c r="C2579" t="n">
        <v>4544.4</v>
      </c>
      <c r="E2579" t="n">
        <v>10555.8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1091.8</v>
      </c>
      <c r="C2589" t="n">
        <v>4584.1</v>
      </c>
      <c r="E2589" t="n">
        <v>10630.1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1089.5</v>
      </c>
      <c r="C2594" t="n">
        <v>4595.7</v>
      </c>
      <c r="E2594" t="n">
        <v>10682.5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1093.9</v>
      </c>
      <c r="C2604" t="n">
        <v>4619.1</v>
      </c>
      <c r="E2604" t="n">
        <v>10783.5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1105.2</v>
      </c>
      <c r="C2609" t="n">
        <v>4639.5</v>
      </c>
      <c r="E2609" t="n">
        <v>10835.3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1123.7</v>
      </c>
      <c r="C2620" t="n">
        <v>4679.2</v>
      </c>
      <c r="E2620" t="n">
        <v>10954.1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1134.5</v>
      </c>
      <c r="C2625" t="n">
        <v>4695.1</v>
      </c>
      <c r="E2625" t="n">
        <v>11020.3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1158.3</v>
      </c>
      <c r="C2636" t="n">
        <v>4741.9</v>
      </c>
      <c r="E2636" t="n">
        <v>11169.3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1167.3</v>
      </c>
      <c r="C2641" t="n">
        <v>4748.4</v>
      </c>
      <c r="E2641" t="n">
        <v>11207.6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1179.4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1192.7</v>
      </c>
      <c r="C2657" t="n">
        <v>4795.8</v>
      </c>
      <c r="E2657" t="n">
        <v>11377.2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1180.7</v>
      </c>
      <c r="C2668" t="n">
        <v>4827.3</v>
      </c>
      <c r="E2668" t="n">
        <v>11462.9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1217.9</v>
      </c>
      <c r="C2683" t="n">
        <v>4892.6</v>
      </c>
      <c r="E2683" t="n">
        <v>11594.7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1278.7</v>
      </c>
      <c r="C2698" t="n">
        <v>5044.4</v>
      </c>
      <c r="E2698" t="n">
        <v>11871.7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1272.2</v>
      </c>
      <c r="C2703" t="n">
        <v>5037.8</v>
      </c>
      <c r="E2703" t="n">
        <v>11888.1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1258.9</v>
      </c>
      <c r="C2714" t="n">
        <v>5045.5</v>
      </c>
      <c r="E2714" t="n">
        <v>11957.9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1272.3</v>
      </c>
      <c r="C2729" t="n">
        <v>5083.6</v>
      </c>
      <c r="E2729" t="n">
        <v>12100.6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1281.3</v>
      </c>
      <c r="C2735" t="n">
        <v>5117.8</v>
      </c>
      <c r="E2735" t="n">
        <v>12154.6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1294.5</v>
      </c>
      <c r="C2745" t="n">
        <v>5158</v>
      </c>
      <c r="E2745" t="n">
        <v>12277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1302.3</v>
      </c>
      <c r="C2751" t="n">
        <v>5190.1</v>
      </c>
      <c r="E2751" t="n">
        <v>12340.1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1326.1</v>
      </c>
      <c r="C2766" t="n">
        <v>5299.3</v>
      </c>
      <c r="E2766" t="n">
        <v>12616.6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1351.4</v>
      </c>
      <c r="C2776" t="n">
        <v>5328</v>
      </c>
      <c r="E2776" t="n">
        <v>12763.7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1350.5</v>
      </c>
      <c r="C2782" t="n">
        <v>5341.1</v>
      </c>
      <c r="E2782" t="n">
        <v>12830.6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1377.7</v>
      </c>
      <c r="C2797" t="n">
        <v>5401.6</v>
      </c>
      <c r="E2797" t="n">
        <v>13027.4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1386.1</v>
      </c>
      <c r="C2808" t="n">
        <v>5443.3</v>
      </c>
      <c r="E2808" t="n">
        <v>13174.1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1378.8</v>
      </c>
      <c r="C2813" t="n">
        <v>5446.1</v>
      </c>
      <c r="E2813" t="n">
        <v>13214.2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1398.8</v>
      </c>
      <c r="C2824" t="n">
        <v>5478</v>
      </c>
      <c r="E2824" t="n">
        <v>13359.2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1417.8</v>
      </c>
      <c r="C2829" t="n">
        <v>5508.8</v>
      </c>
      <c r="E2829" t="n">
        <v>13428.6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1441.7</v>
      </c>
      <c r="C2844" t="n">
        <v>5554.3</v>
      </c>
      <c r="E2844" t="n">
        <v>13564.7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1460.1</v>
      </c>
      <c r="C2855" t="n">
        <v>5575.5</v>
      </c>
      <c r="E2855" t="n">
        <v>13671.4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1445.3</v>
      </c>
      <c r="C2860" t="n">
        <v>5562.5</v>
      </c>
      <c r="E2860" t="n">
        <v>13714.4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1468.2</v>
      </c>
      <c r="C2871" t="n">
        <v>5579.5</v>
      </c>
      <c r="E2871" t="n">
        <v>13802.4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1460.8</v>
      </c>
      <c r="C2876" t="n">
        <v>5592.6</v>
      </c>
      <c r="E2876" t="n">
        <v>13854.8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89" t="n">
        <v>43108</v>
      </c>
      <c r="D2882" t="n">
        <v>3642.4</v>
      </c>
    </row>
    <row r="2883">
      <c r="A2883" s="89" t="n">
        <v>43115</v>
      </c>
      <c r="D2883" t="n">
        <v>3670.9</v>
      </c>
    </row>
    <row r="2884">
      <c r="A2884" s="89" t="n">
        <v>43122</v>
      </c>
      <c r="D2884" t="n">
        <v>3663.2</v>
      </c>
    </row>
    <row r="2885">
      <c r="A2885" s="89" t="n">
        <v>43129</v>
      </c>
      <c r="D2885" t="n">
        <v>3636.7</v>
      </c>
    </row>
    <row r="2886">
      <c r="A2886" s="89" t="n">
        <v>43132</v>
      </c>
      <c r="B2886" t="n">
        <v>1457.6</v>
      </c>
      <c r="C2886" t="n">
        <v>5581.5</v>
      </c>
      <c r="E2886" t="n">
        <v>13914.6</v>
      </c>
    </row>
    <row r="2887">
      <c r="A2887" s="89" t="n">
        <v>43136</v>
      </c>
      <c r="D2887" t="n">
        <v>3623</v>
      </c>
    </row>
    <row r="2888">
      <c r="A2888" s="89" t="n">
        <v>43143</v>
      </c>
      <c r="D2888" t="n">
        <v>3607.8</v>
      </c>
    </row>
    <row r="2889">
      <c r="A2889" s="89" t="n">
        <v>43150</v>
      </c>
      <c r="D2889" t="n">
        <v>3612.1</v>
      </c>
    </row>
    <row r="2890">
      <c r="A2890" s="89" t="n">
        <v>43157</v>
      </c>
      <c r="D2890" t="n">
        <v>3624.5</v>
      </c>
    </row>
    <row r="2891">
      <c r="A2891" s="89" t="n">
        <v>43160</v>
      </c>
      <c r="B2891" t="n">
        <v>1471.8</v>
      </c>
      <c r="C2891" t="n">
        <v>5599.3</v>
      </c>
      <c r="E2891" t="n">
        <v>13971.2</v>
      </c>
    </row>
    <row r="2892">
      <c r="A2892" s="89" t="n">
        <v>43164</v>
      </c>
      <c r="D2892" t="n">
        <v>3655.4</v>
      </c>
    </row>
    <row r="2893">
      <c r="A2893" s="89" t="n">
        <v>43171</v>
      </c>
      <c r="D2893" t="n">
        <v>3671</v>
      </c>
    </row>
    <row r="2894">
      <c r="A2894" s="89" t="n">
        <v>43178</v>
      </c>
      <c r="D2894" t="n">
        <v>3660.8</v>
      </c>
    </row>
    <row r="2895">
      <c r="A2895" s="89" t="n">
        <v>43185</v>
      </c>
      <c r="D2895" t="n">
        <v>3657.9</v>
      </c>
    </row>
    <row r="2896">
      <c r="A2896" s="89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89" t="n">
        <v>43192</v>
      </c>
      <c r="D2897" t="n">
        <v>3659.3</v>
      </c>
    </row>
    <row r="2898">
      <c r="A2898" s="89" t="n">
        <v>43199</v>
      </c>
      <c r="D2898" t="n">
        <v>3661.2</v>
      </c>
    </row>
    <row r="2899">
      <c r="A2899" s="89" t="n">
        <v>43206</v>
      </c>
      <c r="D2899" t="n">
        <v>3647.4</v>
      </c>
    </row>
    <row r="2900">
      <c r="A2900" s="89" t="n">
        <v>43213</v>
      </c>
      <c r="D2900" t="n">
        <v>3670.1</v>
      </c>
    </row>
    <row r="2901">
      <c r="A2901" s="89" t="n">
        <v>43220</v>
      </c>
      <c r="D2901" t="n">
        <v>3669.8</v>
      </c>
    </row>
    <row r="2902">
      <c r="A2902" s="89" t="n">
        <v>43221</v>
      </c>
      <c r="B2902" t="n">
        <v>1453.9</v>
      </c>
      <c r="C2902" t="n">
        <v>5608.8</v>
      </c>
      <c r="E2902" t="n">
        <v>14066</v>
      </c>
    </row>
    <row r="2903">
      <c r="A2903" s="89" t="n">
        <v>43227</v>
      </c>
      <c r="D2903" t="n">
        <v>3637.4</v>
      </c>
    </row>
    <row r="2904">
      <c r="A2904" s="89" t="n">
        <v>43234</v>
      </c>
      <c r="D2904" t="n">
        <v>3655.5</v>
      </c>
    </row>
    <row r="2905">
      <c r="A2905" s="89" t="n">
        <v>43241</v>
      </c>
      <c r="D2905" t="n">
        <v>3667</v>
      </c>
    </row>
    <row r="2906">
      <c r="A2906" s="89" t="n">
        <v>43248</v>
      </c>
      <c r="D2906" t="n">
        <v>3664.5</v>
      </c>
    </row>
    <row r="2907">
      <c r="A2907" s="89" t="n">
        <v>43252</v>
      </c>
      <c r="B2907" t="n">
        <v>1451.2</v>
      </c>
      <c r="C2907" t="n">
        <v>5624.4</v>
      </c>
      <c r="E2907" t="n">
        <v>14125.8</v>
      </c>
    </row>
    <row r="2908">
      <c r="A2908" s="89" t="n">
        <v>43255</v>
      </c>
      <c r="D2908" t="n">
        <v>3672.4</v>
      </c>
    </row>
    <row r="2909">
      <c r="A2909" s="89" t="n">
        <v>43262</v>
      </c>
      <c r="D2909" t="n">
        <v>3654.9</v>
      </c>
    </row>
    <row r="2910">
      <c r="A2910" s="89" t="n">
        <v>43269</v>
      </c>
      <c r="D2910" t="n">
        <v>3651.4</v>
      </c>
    </row>
    <row r="2911">
      <c r="A2911" s="89" t="n">
        <v>43276</v>
      </c>
      <c r="D2911" t="n">
        <v>3655.5</v>
      </c>
    </row>
    <row r="2912">
      <c r="A2912" s="89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89" t="n">
        <v>43283</v>
      </c>
      <c r="D2913" t="n">
        <v>3673.4</v>
      </c>
    </row>
    <row r="2914">
      <c r="A2914" s="89" t="n">
        <v>43290</v>
      </c>
      <c r="D2914" t="n">
        <v>3682.4</v>
      </c>
    </row>
    <row r="2915">
      <c r="A2915" s="89" t="n">
        <v>43297</v>
      </c>
      <c r="D2915" t="n">
        <v>3681.8</v>
      </c>
    </row>
    <row r="2916">
      <c r="A2916" s="89" t="n">
        <v>43304</v>
      </c>
      <c r="D2916" t="n">
        <v>3678</v>
      </c>
    </row>
    <row r="2917">
      <c r="A2917" s="89" t="n">
        <v>43311</v>
      </c>
      <c r="D2917" t="n">
        <v>3682.2</v>
      </c>
    </row>
    <row r="2918">
      <c r="A2918" s="89" t="n">
        <v>43313</v>
      </c>
      <c r="B2918" t="n">
        <v>1462.9</v>
      </c>
      <c r="C2918" t="n">
        <v>5639.9</v>
      </c>
      <c r="E2918" t="n">
        <v>14197.7</v>
      </c>
    </row>
    <row r="2919">
      <c r="A2919" s="89" t="n">
        <v>43318</v>
      </c>
      <c r="D2919" t="n">
        <v>3661.7</v>
      </c>
    </row>
    <row r="2920">
      <c r="A2920" s="89" t="n">
        <v>43325</v>
      </c>
      <c r="D2920" t="n">
        <v>3677.3</v>
      </c>
    </row>
    <row r="2921">
      <c r="A2921" s="89" t="n">
        <v>43332</v>
      </c>
      <c r="D2921" t="n">
        <v>3676.3</v>
      </c>
    </row>
    <row r="2922">
      <c r="A2922" s="89" t="n">
        <v>43339</v>
      </c>
      <c r="D2922" t="n">
        <v>3695.5</v>
      </c>
    </row>
    <row r="2923">
      <c r="A2923" s="89" t="n">
        <v>43344</v>
      </c>
      <c r="B2923" t="n">
        <v>1464.1</v>
      </c>
      <c r="C2923" t="n">
        <v>5642.1</v>
      </c>
      <c r="E2923" t="n">
        <v>14228.4</v>
      </c>
    </row>
    <row r="2924">
      <c r="A2924" s="89" t="n">
        <v>43346</v>
      </c>
      <c r="D2924" t="n">
        <v>3779.9</v>
      </c>
    </row>
    <row r="2925">
      <c r="A2925" s="89" t="n">
        <v>43353</v>
      </c>
      <c r="D2925" t="n">
        <v>3710.4</v>
      </c>
    </row>
    <row r="2926">
      <c r="A2926" s="89" t="n">
        <v>43360</v>
      </c>
      <c r="D2926" t="n">
        <v>3692</v>
      </c>
    </row>
    <row r="2927">
      <c r="A2927" s="89" t="n">
        <v>43367</v>
      </c>
      <c r="D2927" t="n">
        <v>3705</v>
      </c>
    </row>
    <row r="2928">
      <c r="A2928" s="89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89" t="n">
        <v>43381</v>
      </c>
      <c r="D2929" t="n">
        <v>3708.8</v>
      </c>
    </row>
    <row r="2930">
      <c r="A2930" s="89" t="n">
        <v>43388</v>
      </c>
      <c r="D2930" t="n">
        <v>3723.8</v>
      </c>
    </row>
    <row r="2931">
      <c r="A2931" s="89" t="n">
        <v>43395</v>
      </c>
      <c r="D2931" t="n">
        <v>3744.8</v>
      </c>
    </row>
    <row r="2932">
      <c r="A2932" s="89" t="n">
        <v>43402</v>
      </c>
      <c r="D2932" t="n">
        <v>3729.5</v>
      </c>
    </row>
    <row r="2933">
      <c r="A2933" s="89" t="n">
        <v>43405</v>
      </c>
      <c r="B2933" t="n">
        <v>1466.8</v>
      </c>
      <c r="C2933" t="n">
        <v>5638.3</v>
      </c>
      <c r="E2933" t="n">
        <v>14254.9</v>
      </c>
    </row>
    <row r="2934">
      <c r="A2934" s="89" t="n">
        <v>43409</v>
      </c>
      <c r="D2934" t="n">
        <v>3689.9</v>
      </c>
    </row>
    <row r="2935">
      <c r="A2935" s="89" t="n">
        <v>43416</v>
      </c>
      <c r="D2935" t="n">
        <v>3687.6</v>
      </c>
    </row>
    <row r="2936">
      <c r="A2936" s="89" t="n">
        <v>43423</v>
      </c>
      <c r="D2936" t="n">
        <v>3688.5</v>
      </c>
    </row>
    <row r="2937">
      <c r="A2937" s="89" t="n">
        <v>43430</v>
      </c>
      <c r="D2937" t="n">
        <v>3692.9</v>
      </c>
    </row>
    <row r="2938">
      <c r="A2938" s="89" t="n">
        <v>43435</v>
      </c>
      <c r="B2938" t="n">
        <v>1493.6</v>
      </c>
      <c r="C2938" t="n">
        <v>5692.8</v>
      </c>
      <c r="E2938" t="n">
        <v>14373.9</v>
      </c>
    </row>
    <row r="2939">
      <c r="A2939" s="89" t="n">
        <v>43437</v>
      </c>
      <c r="D2939" t="n">
        <v>3780.7</v>
      </c>
    </row>
    <row r="2940">
      <c r="A2940" s="89" t="n">
        <v>43444</v>
      </c>
      <c r="D2940" t="n">
        <v>3770.2</v>
      </c>
    </row>
    <row r="2941">
      <c r="A2941" s="89" t="n">
        <v>43451</v>
      </c>
      <c r="D2941" t="n">
        <v>3713.2</v>
      </c>
    </row>
    <row r="2942">
      <c r="A2942" s="89" t="n">
        <v>43458</v>
      </c>
      <c r="D2942" t="n">
        <v>3761</v>
      </c>
    </row>
    <row r="2943">
      <c r="A2943" s="89" t="n">
        <v>43465</v>
      </c>
      <c r="D2943" t="n">
        <v>3744.8</v>
      </c>
    </row>
    <row r="2944">
      <c r="A2944" s="89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1495.6</v>
      </c>
      <c r="C2949" t="n">
        <v>5726.5</v>
      </c>
      <c r="E2949" t="n">
        <v>14486.2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1474.1</v>
      </c>
      <c r="C2954" t="n">
        <v>5718.5</v>
      </c>
      <c r="E2954" t="n">
        <v>14533.5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89" t="n">
        <v>43563</v>
      </c>
      <c r="D2960" t="n">
        <v>3746.4</v>
      </c>
    </row>
    <row r="2961">
      <c r="A2961" s="89" t="n">
        <v>43570</v>
      </c>
      <c r="D2961" t="n">
        <v>3796.6</v>
      </c>
    </row>
    <row r="2962">
      <c r="A2962" s="89" t="n">
        <v>43577</v>
      </c>
      <c r="D2962" t="n">
        <v>3789.8</v>
      </c>
    </row>
    <row r="2963">
      <c r="A2963" s="89" t="n">
        <v>43584</v>
      </c>
      <c r="D2963" t="n">
        <v>3813.3</v>
      </c>
    </row>
    <row r="2964">
      <c r="A2964" s="89" t="n">
        <v>43586</v>
      </c>
      <c r="B2964" t="n">
        <v>1478.4</v>
      </c>
      <c r="C2964" t="n">
        <v>5744</v>
      </c>
      <c r="E2964" t="n">
        <v>14668.4</v>
      </c>
    </row>
    <row r="2965">
      <c r="A2965" s="89" t="n">
        <v>43591</v>
      </c>
      <c r="D2965" t="n">
        <v>3765.5</v>
      </c>
    </row>
    <row r="2966">
      <c r="A2966" s="89" t="n">
        <v>43598</v>
      </c>
      <c r="D2966" t="n">
        <v>3772.7</v>
      </c>
    </row>
    <row r="2967">
      <c r="A2967" s="89" t="n">
        <v>43605</v>
      </c>
      <c r="D2967" t="n">
        <v>3781.9</v>
      </c>
    </row>
    <row r="2968">
      <c r="A2968" s="89" t="n">
        <v>43612</v>
      </c>
      <c r="D2968" t="n">
        <v>3810</v>
      </c>
    </row>
    <row r="2969">
      <c r="A2969" s="89" t="n">
        <v>43617</v>
      </c>
      <c r="B2969" t="n">
        <v>1493</v>
      </c>
      <c r="C2969" t="n">
        <v>5789.2</v>
      </c>
      <c r="E2969" t="n">
        <v>14787</v>
      </c>
    </row>
    <row r="2970">
      <c r="A2970" s="89" t="n">
        <v>43619</v>
      </c>
      <c r="D2970" t="n">
        <v>3876.1</v>
      </c>
    </row>
    <row r="2971">
      <c r="A2971" s="89" t="n">
        <v>43626</v>
      </c>
      <c r="D2971" t="n">
        <v>3839.6</v>
      </c>
    </row>
    <row r="2972">
      <c r="A2972" s="89" t="n">
        <v>43633</v>
      </c>
      <c r="D2972" t="n">
        <v>3832.6</v>
      </c>
    </row>
    <row r="2973">
      <c r="A2973" s="89" t="n">
        <v>43640</v>
      </c>
      <c r="D2973" t="n">
        <v>3829.8</v>
      </c>
    </row>
    <row r="2974">
      <c r="A2974" s="89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89" t="n">
        <v>43654</v>
      </c>
      <c r="D2975" t="n">
        <v>3837.4</v>
      </c>
    </row>
    <row r="2976">
      <c r="A2976" s="89" t="n">
        <v>43661</v>
      </c>
      <c r="D2976" t="n">
        <v>3856.5</v>
      </c>
    </row>
    <row r="2977">
      <c r="A2977" s="89" t="n">
        <v>43668</v>
      </c>
      <c r="D2977" t="n">
        <v>3875.4</v>
      </c>
    </row>
    <row r="2978">
      <c r="A2978" s="89" t="n">
        <v>43675</v>
      </c>
      <c r="D2978" t="n">
        <v>3872.8</v>
      </c>
    </row>
    <row r="2979">
      <c r="A2979" s="89" t="n">
        <v>43678</v>
      </c>
      <c r="B2979" t="n">
        <v>1500.9</v>
      </c>
      <c r="C2979" t="n">
        <v>5831.4</v>
      </c>
      <c r="E2979" t="n">
        <v>14935.2</v>
      </c>
    </row>
    <row r="2980">
      <c r="A2980" s="89" t="n">
        <v>43682</v>
      </c>
      <c r="D2980" t="n">
        <v>3875.1</v>
      </c>
    </row>
    <row r="2981">
      <c r="A2981" s="89" t="n">
        <v>43689</v>
      </c>
      <c r="D2981" t="n">
        <v>3861</v>
      </c>
    </row>
    <row r="2982">
      <c r="A2982" s="89" t="n">
        <v>43696</v>
      </c>
      <c r="D2982" t="n">
        <v>3832.4</v>
      </c>
    </row>
    <row r="2983">
      <c r="A2983" s="89" t="n">
        <v>43703</v>
      </c>
      <c r="D2983" t="n">
        <v>3845</v>
      </c>
    </row>
    <row r="2984">
      <c r="A2984" s="89" t="n">
        <v>43709</v>
      </c>
      <c r="B2984" t="n">
        <v>1515.5</v>
      </c>
      <c r="C2984" t="n">
        <v>5857.6</v>
      </c>
      <c r="E2984" t="n">
        <v>15026.6</v>
      </c>
    </row>
    <row r="2985">
      <c r="A2985" s="89" t="n">
        <v>43710</v>
      </c>
      <c r="D2985" t="n">
        <v>3878</v>
      </c>
    </row>
    <row r="2986">
      <c r="A2986" s="89" t="n">
        <v>43717</v>
      </c>
      <c r="D2986" t="n">
        <v>3895.9</v>
      </c>
    </row>
    <row r="2987">
      <c r="A2987" s="89" t="n">
        <v>43724</v>
      </c>
      <c r="D2987" t="n">
        <v>3895.8</v>
      </c>
    </row>
    <row r="2988">
      <c r="A2988" s="89" t="n">
        <v>43731</v>
      </c>
      <c r="D2988" t="n">
        <v>3911.1</v>
      </c>
    </row>
    <row r="2989">
      <c r="A2989" s="89" t="n">
        <v>43738</v>
      </c>
      <c r="D2989" t="n">
        <v>3928.2</v>
      </c>
    </row>
    <row r="2990">
      <c r="A2990" s="89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89" t="n">
        <v>43745</v>
      </c>
      <c r="D2991" t="n">
        <v>3893.7</v>
      </c>
    </row>
    <row r="2992">
      <c r="A2992" s="89" t="n">
        <v>43752</v>
      </c>
      <c r="D2992" t="n">
        <v>3930.6</v>
      </c>
    </row>
    <row r="2993">
      <c r="A2993" s="89" t="n">
        <v>43759</v>
      </c>
      <c r="D2993" t="n">
        <v>3929</v>
      </c>
    </row>
    <row r="2994">
      <c r="A2994" s="89" t="n">
        <v>43766</v>
      </c>
      <c r="D2994" t="n">
        <v>3934.5</v>
      </c>
    </row>
    <row r="2995">
      <c r="A2995" s="89" t="n">
        <v>43770</v>
      </c>
      <c r="B2995" t="n">
        <v>1533.2</v>
      </c>
      <c r="C2995" t="n">
        <v>5911.6</v>
      </c>
      <c r="E2995" t="n">
        <v>15251.3</v>
      </c>
    </row>
    <row r="2996">
      <c r="A2996" s="89" t="n">
        <v>43773</v>
      </c>
      <c r="D2996" t="n">
        <v>3955.3</v>
      </c>
    </row>
    <row r="2997">
      <c r="A2997" s="89" t="n">
        <v>43780</v>
      </c>
      <c r="D2997" t="n">
        <v>3955.4</v>
      </c>
    </row>
    <row r="2998">
      <c r="A2998" s="89" t="n">
        <v>43787</v>
      </c>
      <c r="D2998" t="n">
        <v>3928</v>
      </c>
    </row>
    <row r="2999">
      <c r="A2999" s="89" t="n">
        <v>43794</v>
      </c>
      <c r="D2999" t="n">
        <v>3962.5</v>
      </c>
    </row>
    <row r="3000">
      <c r="A3000" s="89" t="n">
        <v>43800</v>
      </c>
      <c r="B3000" t="n">
        <v>1553.5</v>
      </c>
      <c r="C3000" t="n">
        <v>5935.6</v>
      </c>
      <c r="E3000" t="n">
        <v>15325.8</v>
      </c>
    </row>
    <row r="3001">
      <c r="A3001" s="89" t="n">
        <v>43801</v>
      </c>
      <c r="D3001" t="n">
        <v>3953.8</v>
      </c>
    </row>
    <row r="3002">
      <c r="A3002" s="89" t="n">
        <v>43808</v>
      </c>
      <c r="D3002" t="n">
        <v>3978.4</v>
      </c>
    </row>
    <row r="3003">
      <c r="A3003" s="89" t="n">
        <v>43815</v>
      </c>
      <c r="D3003" t="n">
        <v>3992</v>
      </c>
    </row>
    <row r="3004">
      <c r="A3004" s="89" t="n">
        <v>43822</v>
      </c>
      <c r="D3004" t="n">
        <v>3999</v>
      </c>
    </row>
    <row r="3005">
      <c r="A3005" s="89" t="n">
        <v>43829</v>
      </c>
      <c r="D3005" t="n">
        <v>3963.7</v>
      </c>
    </row>
    <row r="3006">
      <c r="A3006" s="89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89" t="n">
        <v>43836</v>
      </c>
      <c r="D3007" t="n">
        <v>3948</v>
      </c>
    </row>
    <row r="3008">
      <c r="A3008" s="89" t="n">
        <v>43843</v>
      </c>
      <c r="D3008" t="n">
        <v>3949.7</v>
      </c>
    </row>
    <row r="3009">
      <c r="A3009" s="89" t="n">
        <v>43850</v>
      </c>
      <c r="D3009" t="n">
        <v>3978</v>
      </c>
    </row>
    <row r="3010">
      <c r="A3010" s="89" t="n">
        <v>43857</v>
      </c>
      <c r="D3010" t="n">
        <v>3962.2</v>
      </c>
    </row>
    <row r="3011">
      <c r="A3011" s="89" t="n">
        <v>43862</v>
      </c>
      <c r="B3011" t="n">
        <v>1556.4</v>
      </c>
      <c r="C3011" t="n">
        <v>5977.2</v>
      </c>
      <c r="E3011" t="n">
        <v>15470.4</v>
      </c>
    </row>
    <row r="3012">
      <c r="A3012" s="89" t="n">
        <v>43864</v>
      </c>
      <c r="D3012" t="n">
        <v>4081.4</v>
      </c>
    </row>
    <row r="3013">
      <c r="A3013" s="89" t="n">
        <v>43871</v>
      </c>
      <c r="D3013" t="n">
        <v>4012.8</v>
      </c>
    </row>
    <row r="3014">
      <c r="A3014" s="89" t="n">
        <v>43878</v>
      </c>
      <c r="D3014" t="n">
        <v>3983.6</v>
      </c>
    </row>
    <row r="3015">
      <c r="A3015" s="89" t="n">
        <v>43885</v>
      </c>
      <c r="D3015" t="n">
        <v>3971.4</v>
      </c>
    </row>
    <row r="3016">
      <c r="A3016" s="89" t="n">
        <v>43891</v>
      </c>
      <c r="B3016" t="n">
        <v>1659.5</v>
      </c>
      <c r="C3016" t="n">
        <v>6206.2</v>
      </c>
      <c r="E3016" t="n">
        <v>16011.4</v>
      </c>
    </row>
    <row r="3017">
      <c r="A3017" s="89" t="n">
        <v>43892</v>
      </c>
      <c r="D3017" t="n">
        <v>4028.2</v>
      </c>
    </row>
    <row r="3018">
      <c r="A3018" s="89" t="n">
        <v>43899</v>
      </c>
      <c r="D3018" t="n">
        <v>4063.6</v>
      </c>
    </row>
    <row r="3019">
      <c r="A3019" s="89" t="n">
        <v>43906</v>
      </c>
      <c r="D3019" t="n">
        <v>4126.8</v>
      </c>
    </row>
    <row r="3020">
      <c r="A3020" s="89" t="n">
        <v>43913</v>
      </c>
      <c r="D3020" t="n">
        <v>4313.6</v>
      </c>
    </row>
    <row r="3021">
      <c r="A3021" s="89" t="n">
        <v>43920</v>
      </c>
      <c r="D3021" t="n">
        <v>4513.2</v>
      </c>
    </row>
    <row r="3022">
      <c r="A3022" s="89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89" t="n">
        <v>43927</v>
      </c>
      <c r="D3023" t="n">
        <v>4591.2</v>
      </c>
    </row>
    <row r="3024">
      <c r="A3024" s="89" t="n">
        <v>43934</v>
      </c>
      <c r="D3024" t="n">
        <v>4716.8</v>
      </c>
    </row>
    <row r="3025">
      <c r="A3025" s="89" t="n">
        <v>43941</v>
      </c>
      <c r="D3025" t="n">
        <v>4850.1</v>
      </c>
    </row>
    <row r="3026">
      <c r="A3026" s="89" t="n">
        <v>43948</v>
      </c>
      <c r="D3026" t="n">
        <v>4898.5</v>
      </c>
    </row>
    <row r="3027">
      <c r="A3027" s="89" t="n">
        <v>43952</v>
      </c>
      <c r="B3027" t="n">
        <v>6353.8</v>
      </c>
      <c r="C3027" t="n">
        <v>6989.6</v>
      </c>
      <c r="E3027" t="n">
        <v>17889.2</v>
      </c>
    </row>
    <row r="3028">
      <c r="A3028" s="89" t="n">
        <v>43955</v>
      </c>
      <c r="D3028" t="n">
        <v>15982.1</v>
      </c>
    </row>
    <row r="3029">
      <c r="A3029" s="89" t="n">
        <v>43962</v>
      </c>
      <c r="D3029" t="n">
        <v>16201.3</v>
      </c>
    </row>
    <row r="3030">
      <c r="A3030" s="89" t="n">
        <v>43969</v>
      </c>
      <c r="D3030" t="n">
        <v>16292.4</v>
      </c>
    </row>
    <row r="3031">
      <c r="A3031" s="89" t="n">
        <v>43976</v>
      </c>
      <c r="D3031" t="n">
        <v>16319.7</v>
      </c>
    </row>
    <row r="3032">
      <c r="A3032" s="89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9" t="n">
        <v>43990</v>
      </c>
      <c r="D3033" t="n">
        <v>16467</v>
      </c>
    </row>
    <row r="3034">
      <c r="A3034" s="89" t="n">
        <v>43997</v>
      </c>
      <c r="D3034" t="n">
        <v>16554.5</v>
      </c>
    </row>
    <row r="3035">
      <c r="A3035" s="89" t="n">
        <v>44004</v>
      </c>
      <c r="D3035" t="n">
        <v>16654.8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89" t="n">
        <v>44018</v>
      </c>
      <c r="D3038" t="n">
        <v>16763.3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16781.9</v>
      </c>
    </row>
    <row r="3041">
      <c r="A3041" s="89" t="n">
        <v>44039</v>
      </c>
      <c r="D3041" t="n">
        <v>16753.3</v>
      </c>
    </row>
    <row r="3042">
      <c r="A3042" s="89" t="n">
        <v>44044</v>
      </c>
      <c r="B3042" t="n">
        <v>6507.2</v>
      </c>
      <c r="C3042" t="n">
        <v>7082</v>
      </c>
      <c r="E3042" t="n">
        <v>18378.5</v>
      </c>
    </row>
    <row r="3043">
      <c r="A3043" s="89" t="n">
        <v>44046</v>
      </c>
      <c r="D3043" t="n">
        <v>16734.7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16880.6</v>
      </c>
    </row>
    <row r="3047">
      <c r="A3047" s="89" t="n">
        <v>44074</v>
      </c>
      <c r="D3047" t="n">
        <v>16962.8</v>
      </c>
    </row>
    <row r="3048">
      <c r="A3048" s="89" t="n">
        <v>44075</v>
      </c>
      <c r="B3048" t="n">
        <v>6595</v>
      </c>
      <c r="C3048" t="n">
        <v>7150.4</v>
      </c>
      <c r="E3048" t="n">
        <v>18601.6</v>
      </c>
    </row>
    <row r="3049">
      <c r="A3049" s="89" t="n">
        <v>44081</v>
      </c>
      <c r="D3049" t="n">
        <v>17087.5</v>
      </c>
    </row>
    <row r="3050">
      <c r="A3050" s="89" t="n">
        <v>44088</v>
      </c>
      <c r="D3050" t="n">
        <v>17214.5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17175</v>
      </c>
    </row>
    <row r="3053">
      <c r="A3053" s="89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89" t="n">
        <v>44109</v>
      </c>
      <c r="D3054" t="n">
        <v>17223.5</v>
      </c>
    </row>
    <row r="3055">
      <c r="A3055" s="89" t="n">
        <v>44116</v>
      </c>
      <c r="D3055" t="n">
        <v>17331.5</v>
      </c>
    </row>
    <row r="3056">
      <c r="A3056" s="89" t="n">
        <v>44123</v>
      </c>
      <c r="D3056" t="n">
        <v>17350.3</v>
      </c>
    </row>
    <row r="3057">
      <c r="A3057" s="89" t="n">
        <v>44130</v>
      </c>
      <c r="D3057" t="n">
        <v>17375.9</v>
      </c>
    </row>
    <row r="3058">
      <c r="A3058" s="89" t="n">
        <v>44136</v>
      </c>
      <c r="B3058" t="n">
        <v>6741</v>
      </c>
      <c r="C3058" t="n">
        <v>7265.9</v>
      </c>
      <c r="E3058" t="n">
        <v>18958.7</v>
      </c>
    </row>
    <row r="3059">
      <c r="A3059" s="89" t="n">
        <v>44137</v>
      </c>
      <c r="D3059" t="n">
        <v>17431</v>
      </c>
    </row>
    <row r="3060">
      <c r="A3060" s="89" t="n">
        <v>44144</v>
      </c>
      <c r="D3060" t="n">
        <v>17593.1</v>
      </c>
    </row>
    <row r="3061">
      <c r="A3061" s="89" t="n">
        <v>44151</v>
      </c>
      <c r="D3061" t="n">
        <v>17638.1</v>
      </c>
    </row>
    <row r="3062">
      <c r="A3062" s="89" t="n">
        <v>44158</v>
      </c>
      <c r="D3062" t="n">
        <v>17657.6</v>
      </c>
    </row>
    <row r="3063">
      <c r="A3063" s="89" t="n">
        <v>44165</v>
      </c>
      <c r="D3063" t="n">
        <v>17547.4</v>
      </c>
    </row>
    <row r="3064">
      <c r="A3064" s="89" t="n">
        <v>44166</v>
      </c>
      <c r="B3064" t="n">
        <v>6810.1</v>
      </c>
      <c r="C3064" t="n">
        <v>7313.6</v>
      </c>
      <c r="E3064" t="n">
        <v>19129.5</v>
      </c>
    </row>
    <row r="3065">
      <c r="A3065" s="89" t="n">
        <v>44172</v>
      </c>
      <c r="D3065" t="n">
        <v>17777</v>
      </c>
    </row>
    <row r="3066">
      <c r="A3066" s="89" t="n">
        <v>44179</v>
      </c>
      <c r="D3066" t="n">
        <v>17853.1</v>
      </c>
    </row>
    <row r="3067">
      <c r="A3067" s="89" t="n">
        <v>44186</v>
      </c>
      <c r="D3067" t="n">
        <v>17762.6</v>
      </c>
    </row>
    <row r="3068">
      <c r="A3068" s="89" t="n">
        <v>44193</v>
      </c>
      <c r="D3068" t="n">
        <v>17661.3</v>
      </c>
    </row>
    <row r="3069">
      <c r="A3069" s="89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89" t="n">
        <v>44200</v>
      </c>
      <c r="D3070" t="n">
        <v>17773.3</v>
      </c>
    </row>
    <row r="3071">
      <c r="A3071" s="89" t="n">
        <v>44207</v>
      </c>
      <c r="D3071" t="n">
        <v>18147.8</v>
      </c>
    </row>
    <row r="3072">
      <c r="A3072" s="89" t="n">
        <v>44214</v>
      </c>
      <c r="D3072" t="n">
        <v>18158.6</v>
      </c>
    </row>
    <row r="3073">
      <c r="A3073" s="89" t="n">
        <v>44221</v>
      </c>
      <c r="D3073" t="n">
        <v>18116.2</v>
      </c>
    </row>
    <row r="3074">
      <c r="A3074" s="89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9" t="n">
        <v>44256</v>
      </c>
      <c r="B3075" t="n">
        <v>7050.5</v>
      </c>
      <c r="C3075" t="n">
        <v>7520.3</v>
      </c>
      <c r="E3075" t="n">
        <v>19913.2</v>
      </c>
    </row>
    <row r="3076">
      <c r="A3076" s="89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89" t="n">
        <v>44317</v>
      </c>
      <c r="B3077" t="n">
        <v>7152.8</v>
      </c>
      <c r="C3077" t="n">
        <v>7597.4</v>
      </c>
      <c r="E3077" t="n">
        <v>20402.8</v>
      </c>
    </row>
    <row r="3078">
      <c r="A3078" s="89" t="n">
        <v>44348</v>
      </c>
      <c r="B3078" t="n">
        <v>7106</v>
      </c>
      <c r="C3078" t="n">
        <v>7539.1</v>
      </c>
      <c r="E3078" t="n">
        <v>20429.5</v>
      </c>
    </row>
    <row r="3079">
      <c r="A3079" s="89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89" t="n">
        <v>44409</v>
      </c>
      <c r="B3080" t="n">
        <v>7214</v>
      </c>
      <c r="C3080" t="n">
        <v>7630.6</v>
      </c>
      <c r="E3080" t="n">
        <v>20832.5</v>
      </c>
    </row>
    <row r="3081">
      <c r="A3081" s="89" t="n">
        <v>44440</v>
      </c>
      <c r="B3081" t="n">
        <v>7249.9</v>
      </c>
      <c r="C3081" t="n">
        <v>7658.5</v>
      </c>
      <c r="E3081" t="n">
        <v>20994.8</v>
      </c>
    </row>
    <row r="3082">
      <c r="A3082" s="89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89" t="n">
        <v>44501</v>
      </c>
      <c r="B3083" t="n">
        <v>7295.3</v>
      </c>
      <c r="C3083" t="n">
        <v>7686.7</v>
      </c>
      <c r="E3083" t="n">
        <v>21436.7</v>
      </c>
    </row>
    <row r="3084">
      <c r="A3084" s="89" t="n">
        <v>44531</v>
      </c>
      <c r="B3084" t="n">
        <v>7335.4</v>
      </c>
      <c r="C3084" t="n">
        <v>7722.6</v>
      </c>
      <c r="E3084" t="n">
        <v>21638.1</v>
      </c>
    </row>
    <row r="3085">
      <c r="A3085" s="89" t="n">
        <v>44562</v>
      </c>
      <c r="B3085" t="n">
        <v>7347.9</v>
      </c>
      <c r="C3085" t="n">
        <v>7746.6</v>
      </c>
      <c r="E3085" t="n">
        <v>21840.1</v>
      </c>
    </row>
    <row r="3086">
      <c r="A3086" s="89" t="n">
        <v>44593</v>
      </c>
      <c r="B3086" t="n">
        <v>7282</v>
      </c>
      <c r="C3086" t="n">
        <v>7675.3</v>
      </c>
      <c r="E3086" t="n">
        <v>21811.8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6" min="1" max="1"/>
    <col width="9.1640625" customWidth="1" style="76" min="2" max="3"/>
    <col width="10.6640625" bestFit="1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89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89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89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89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89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89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89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89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89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89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89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89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89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89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89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89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89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89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89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89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89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89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89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89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89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89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89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89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89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89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89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89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89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89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89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89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89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89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89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89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89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89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89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89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89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89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89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89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89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89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89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89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89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89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89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89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89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89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89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89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89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89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89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89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89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89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89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89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89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89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89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89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89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89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89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89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89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89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89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89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89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89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89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89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89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89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89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89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89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89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89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89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89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89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89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89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89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89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89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89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89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89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89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89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89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89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89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89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89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89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89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89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89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89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89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89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89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89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89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89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89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89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89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89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89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89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89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89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89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89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89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89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89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89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89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89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89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89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89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89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89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89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89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89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89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89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89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89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89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89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89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89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89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89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89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89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89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89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89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89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89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89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89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89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89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89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89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89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89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89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89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89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89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89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89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89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89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89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89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89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89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89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89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89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89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89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89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89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89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89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89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89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89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89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89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89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89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89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89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89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89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89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89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89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89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89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89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89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89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89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89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89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89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89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89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89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89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89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89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89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89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89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89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89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89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89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89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89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89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89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89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89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89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89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89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89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89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89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89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89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89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89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89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89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89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89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89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89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89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89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89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89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89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89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89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89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89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89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89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89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89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89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89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89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89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89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89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89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89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89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89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89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89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89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89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89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89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89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89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89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89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89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89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89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89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89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89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89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89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89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89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89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89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89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89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89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89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89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89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89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89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89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89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89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89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89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89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89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89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89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89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89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89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89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89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89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89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89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89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89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89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89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89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89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89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89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89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89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89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89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89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89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89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89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89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89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89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89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89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89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89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89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89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89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89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89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89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89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89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89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89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89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89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89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89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89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89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89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89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89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89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89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89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89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89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89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89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89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89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89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89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89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89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89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89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89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89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89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89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89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89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89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89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89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89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89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89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89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89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89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89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89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89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89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89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89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89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89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89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89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89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89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89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89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89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89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89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89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89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89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89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89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89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89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89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89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89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89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89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89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89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89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89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89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89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89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89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89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89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89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89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89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89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89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89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89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89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89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89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89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89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89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89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89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89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89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89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89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89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89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89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89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89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89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89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89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89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89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89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89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89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89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89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89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89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89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89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89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89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89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89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89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89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89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89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89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89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89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89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89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89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89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89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89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89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89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89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89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89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89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89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89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89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89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89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89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89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89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89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89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89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89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89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89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89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89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89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89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89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89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89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89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89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89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89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89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89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89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89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89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89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89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89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89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89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89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89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89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89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89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89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89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89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89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89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89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89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89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89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89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89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89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89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89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89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89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89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89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89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89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89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89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89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89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89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89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89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89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89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89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89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89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89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89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89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89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89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89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89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89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89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89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89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89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89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89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89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89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89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89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89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89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89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89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89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89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89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89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89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89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89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89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89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89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89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89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89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89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89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89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89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89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89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89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89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89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89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89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89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89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89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89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89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89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89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89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89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89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89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89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89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89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89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89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89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89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89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89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89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89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89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89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89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89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89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89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89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89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89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89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89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89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89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89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89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89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89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89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89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89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89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89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89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89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89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89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89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89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89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89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89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89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89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89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89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89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89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89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89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89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89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89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89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89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89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89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89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89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89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89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89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89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89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89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89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89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89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89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89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89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89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89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89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89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89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89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89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89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89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89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89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89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89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89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89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89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89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89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89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89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89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89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89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89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89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89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89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89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89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89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89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89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89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89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89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89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89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89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89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89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89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89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89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89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89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89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89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89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89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89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89" t="n">
        <v>44470</v>
      </c>
      <c r="B851" t="n">
        <v>145.0866</v>
      </c>
      <c r="C851" t="n">
        <v/>
      </c>
      <c r="D851" t="n">
        <v>161.1796</v>
      </c>
      <c r="E851" t="n">
        <v/>
      </c>
      <c r="F851" t="n">
        <v/>
      </c>
      <c r="G851" t="n">
        <v/>
      </c>
      <c r="H851" t="n">
        <v>167.6509</v>
      </c>
      <c r="I851" t="n">
        <v>141.2069</v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>176.7673</v>
      </c>
      <c r="S851" t="n">
        <v>124.8011</v>
      </c>
      <c r="T851" t="n">
        <v>161.201</v>
      </c>
      <c r="U851" t="n">
        <v/>
      </c>
      <c r="V851" t="n">
        <v>150.6122</v>
      </c>
      <c r="W851" t="n">
        <v/>
      </c>
      <c r="X851" t="n">
        <v>165.8145</v>
      </c>
      <c r="Y851" t="n">
        <v/>
      </c>
      <c r="Z851" t="n">
        <v/>
      </c>
      <c r="AA851" t="n">
        <v>175.8427</v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89" t="n">
        <v>44501</v>
      </c>
      <c r="B852" t="n">
        <v>146.1631</v>
      </c>
      <c r="C852" t="n">
        <v/>
      </c>
      <c r="D852" t="n">
        <v>163.1723</v>
      </c>
      <c r="E852" t="n">
        <v/>
      </c>
      <c r="F852" t="n">
        <v/>
      </c>
      <c r="G852" t="n">
        <v/>
      </c>
      <c r="H852" t="n">
        <v>169.7728</v>
      </c>
      <c r="I852" t="n">
        <v>141.7768</v>
      </c>
      <c r="J852" t="n">
        <v>165.2357</v>
      </c>
      <c r="K852" t="n">
        <v/>
      </c>
      <c r="L852" t="n">
        <v>144.9504</v>
      </c>
      <c r="M852" t="n">
        <v>146.8181</v>
      </c>
      <c r="N852" t="n">
        <v>199.0339</v>
      </c>
      <c r="O852" t="n">
        <v/>
      </c>
      <c r="P852" t="n">
        <v/>
      </c>
      <c r="Q852" t="n">
        <v>131.3167</v>
      </c>
      <c r="R852" t="n">
        <v>178.1669</v>
      </c>
      <c r="S852" t="n">
        <v>125.046</v>
      </c>
      <c r="T852" t="n">
        <v>162.6651</v>
      </c>
      <c r="U852" t="n">
        <v/>
      </c>
      <c r="V852" t="n">
        <v>151.6678</v>
      </c>
      <c r="W852" t="n">
        <v/>
      </c>
      <c r="X852" t="n">
        <v>167.3495</v>
      </c>
      <c r="Y852" t="n">
        <v/>
      </c>
      <c r="Z852" t="n">
        <v/>
      </c>
      <c r="AA852" t="n">
        <v>177.5027</v>
      </c>
      <c r="AB852" t="n">
        <v/>
      </c>
      <c r="AC852" t="n">
        <v/>
      </c>
      <c r="AD852" t="n">
        <v>178.0101</v>
      </c>
      <c r="AE852" t="n">
        <v>150.8427</v>
      </c>
    </row>
    <row r="853">
      <c r="A853" s="89" t="n">
        <v>44531</v>
      </c>
      <c r="B853" t="n">
        <v>147.9691</v>
      </c>
      <c r="C853" t="n">
        <v/>
      </c>
      <c r="D853" t="n">
        <v>163.2234</v>
      </c>
      <c r="E853" t="n">
        <v/>
      </c>
      <c r="F853" t="n">
        <v/>
      </c>
      <c r="G853" t="n">
        <v/>
      </c>
      <c r="H853" t="n">
        <v>173.5841</v>
      </c>
      <c r="I853" t="n">
        <v>142.3468</v>
      </c>
      <c r="J853" t="n">
        <v>164.1336</v>
      </c>
      <c r="K853" t="n">
        <v/>
      </c>
      <c r="L853" t="n">
        <v>145.8045</v>
      </c>
      <c r="M853" t="n">
        <v>147.6958</v>
      </c>
      <c r="N853" t="n">
        <v>203.0677</v>
      </c>
      <c r="O853" t="n">
        <v/>
      </c>
      <c r="P853" t="n">
        <v/>
      </c>
      <c r="Q853" t="n">
        <v>132.5015</v>
      </c>
      <c r="R853" t="n">
        <v>181.1464</v>
      </c>
      <c r="S853" t="n">
        <v>125.2681</v>
      </c>
      <c r="T853" t="n">
        <v>164.0435</v>
      </c>
      <c r="U853" t="n">
        <v/>
      </c>
      <c r="V853" t="n">
        <v>153.3172</v>
      </c>
      <c r="W853" t="n">
        <v/>
      </c>
      <c r="X853" t="n">
        <v>168.4642</v>
      </c>
      <c r="Y853" t="n">
        <v/>
      </c>
      <c r="Z853" t="n">
        <v/>
      </c>
      <c r="AA853" t="n">
        <v>180.2211</v>
      </c>
      <c r="AB853" t="n">
        <v/>
      </c>
      <c r="AC853" t="n">
        <v/>
      </c>
      <c r="AD853" t="n">
        <v>179.6825</v>
      </c>
      <c r="AE853" t="n">
        <v>152.4655</v>
      </c>
    </row>
    <row r="854">
      <c r="A854" s="89" t="n">
        <v>44562</v>
      </c>
      <c r="B854" t="n">
        <v>149.1686</v>
      </c>
      <c r="C854" t="n">
        <v/>
      </c>
      <c r="D854" t="n">
        <v>164.8314</v>
      </c>
      <c r="E854" t="n">
        <v/>
      </c>
      <c r="F854" t="n">
        <v/>
      </c>
      <c r="G854" t="n">
        <v/>
      </c>
      <c r="H854" t="n">
        <v>176.7987</v>
      </c>
      <c r="I854" t="n">
        <v/>
      </c>
      <c r="J854" t="n">
        <v>163.8784</v>
      </c>
      <c r="K854" t="n">
        <v/>
      </c>
      <c r="L854" t="n">
        <v>146.0898</v>
      </c>
      <c r="M854" t="n">
        <v>147.1338</v>
      </c>
      <c r="N854" t="n">
        <v>204.659</v>
      </c>
      <c r="O854" t="n">
        <v/>
      </c>
      <c r="P854" t="n">
        <v/>
      </c>
      <c r="Q854" t="n">
        <v>133.4847</v>
      </c>
      <c r="R854" t="n">
        <v>181.7977</v>
      </c>
      <c r="S854" t="n">
        <v>125.6899</v>
      </c>
      <c r="T854" t="n">
        <v>165.025</v>
      </c>
      <c r="U854" t="n">
        <v/>
      </c>
      <c r="V854" t="n">
        <v>154.7996</v>
      </c>
      <c r="W854" t="n">
        <v/>
      </c>
      <c r="X854" t="n">
        <v>169.3857</v>
      </c>
      <c r="Y854" t="n">
        <v/>
      </c>
      <c r="Z854" t="n">
        <v/>
      </c>
      <c r="AA854" t="n">
        <v>183.2603</v>
      </c>
      <c r="AB854" t="n">
        <v/>
      </c>
      <c r="AC854" t="n">
        <v/>
      </c>
      <c r="AD854" t="n">
        <v>181.3599</v>
      </c>
      <c r="AE854" t="n">
        <v>152.8765</v>
      </c>
    </row>
    <row r="855">
      <c r="A855" s="89" t="n">
        <v>44593</v>
      </c>
      <c r="B855" t="n">
        <v>149.2639</v>
      </c>
      <c r="C855" t="n">
        <v/>
      </c>
      <c r="D855" t="n">
        <v/>
      </c>
      <c r="E855" t="n">
        <v/>
      </c>
      <c r="F855" t="n">
        <v/>
      </c>
      <c r="G855" t="n">
        <v/>
      </c>
      <c r="H855" t="n">
        <v>177.2659</v>
      </c>
      <c r="I855" t="n">
        <v/>
      </c>
      <c r="J855" t="n">
        <v/>
      </c>
      <c r="K855" t="n">
        <v/>
      </c>
      <c r="L855" t="n">
        <v>146.1738</v>
      </c>
      <c r="M855" t="n">
        <v/>
      </c>
      <c r="N855" t="n">
        <v>208.6711</v>
      </c>
      <c r="O855" t="n">
        <v/>
      </c>
      <c r="P855" t="n">
        <v/>
      </c>
      <c r="Q855" t="n">
        <v>134.3541</v>
      </c>
      <c r="R855" t="n">
        <v/>
      </c>
      <c r="S855" t="n">
        <v>126.1058</v>
      </c>
      <c r="T855" t="n">
        <v/>
      </c>
      <c r="U855" t="n">
        <v/>
      </c>
      <c r="V855" t="n">
        <v>155.2155</v>
      </c>
      <c r="W855" t="n">
        <v/>
      </c>
      <c r="X855" t="n">
        <v/>
      </c>
      <c r="Y855" t="n">
        <v/>
      </c>
      <c r="Z855" t="n">
        <v/>
      </c>
      <c r="AA855" t="n">
        <v/>
      </c>
      <c r="AB855" t="n">
        <v/>
      </c>
      <c r="AC855" t="n">
        <v/>
      </c>
      <c r="AD855" t="n">
        <v>181.1264</v>
      </c>
      <c r="AE855" t="n">
        <v>153.6796</v>
      </c>
    </row>
    <row r="856">
      <c r="A856" s="89" t="n">
        <v>44621</v>
      </c>
      <c r="B856" t="n">
        <v/>
      </c>
      <c r="C856" t="n">
        <v/>
      </c>
      <c r="D856" t="n">
        <v/>
      </c>
      <c r="E856" t="n">
        <v/>
      </c>
      <c r="F856" t="n">
        <v/>
      </c>
      <c r="G856" t="n">
        <v/>
      </c>
      <c r="H856" t="n">
        <v/>
      </c>
      <c r="I856" t="n">
        <v/>
      </c>
      <c r="J856" t="n">
        <v/>
      </c>
      <c r="K856" t="n">
        <v/>
      </c>
      <c r="L856" t="n">
        <v/>
      </c>
      <c r="M856" t="n">
        <v/>
      </c>
      <c r="N856" t="n">
        <v/>
      </c>
      <c r="O856" t="n">
        <v/>
      </c>
      <c r="P856" t="n">
        <v/>
      </c>
      <c r="Q856" t="n">
        <v/>
      </c>
      <c r="R856" t="n">
        <v/>
      </c>
      <c r="S856" t="n">
        <v/>
      </c>
      <c r="T856" t="n">
        <v/>
      </c>
      <c r="U856" t="n">
        <v/>
      </c>
      <c r="V856" t="n">
        <v/>
      </c>
      <c r="W856" t="n">
        <v/>
      </c>
      <c r="X856" t="n">
        <v/>
      </c>
      <c r="Y856" t="n">
        <v/>
      </c>
      <c r="Z856" t="n">
        <v/>
      </c>
      <c r="AA856" t="n">
        <v/>
      </c>
      <c r="AB856" t="n">
        <v/>
      </c>
      <c r="AC856" t="n">
        <v/>
      </c>
      <c r="AD856" t="n">
        <v/>
      </c>
      <c r="AE856" t="n">
        <v/>
      </c>
    </row>
    <row r="857">
      <c r="A857" s="89" t="n">
        <v>44652</v>
      </c>
      <c r="B857" t="n">
        <v/>
      </c>
      <c r="C857" t="n">
        <v/>
      </c>
      <c r="D857" t="n">
        <v/>
      </c>
      <c r="E857" t="n">
        <v/>
      </c>
      <c r="F857" t="n">
        <v/>
      </c>
      <c r="G857" t="n">
        <v/>
      </c>
      <c r="H857" t="n">
        <v/>
      </c>
      <c r="I857" t="n">
        <v/>
      </c>
      <c r="J857" t="n">
        <v/>
      </c>
      <c r="K857" t="n">
        <v/>
      </c>
      <c r="L857" t="n">
        <v/>
      </c>
      <c r="M857" t="n">
        <v/>
      </c>
      <c r="N857" t="n">
        <v/>
      </c>
      <c r="O857" t="n">
        <v/>
      </c>
      <c r="P857" t="n">
        <v/>
      </c>
      <c r="Q857" t="n">
        <v/>
      </c>
      <c r="R857" t="n">
        <v/>
      </c>
      <c r="S857" t="n">
        <v/>
      </c>
      <c r="T857" t="n">
        <v/>
      </c>
      <c r="U857" t="n">
        <v/>
      </c>
      <c r="V857" t="n">
        <v/>
      </c>
      <c r="W857" t="n">
        <v/>
      </c>
      <c r="X857" t="n">
        <v/>
      </c>
      <c r="Y857" t="n">
        <v/>
      </c>
      <c r="Z857" t="n">
        <v/>
      </c>
      <c r="AA857" t="n">
        <v/>
      </c>
      <c r="AB857" t="n">
        <v/>
      </c>
      <c r="AC857" t="n">
        <v/>
      </c>
      <c r="AD857" t="n">
        <v/>
      </c>
      <c r="AE857" t="n">
        <v/>
      </c>
    </row>
    <row r="858">
      <c r="A858" s="89" t="n">
        <v>44682</v>
      </c>
      <c r="B858" t="n">
        <v/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/>
      </c>
      <c r="I858" t="n">
        <v/>
      </c>
      <c r="J858" t="n">
        <v/>
      </c>
      <c r="K858" t="n">
        <v/>
      </c>
      <c r="L858" t="n">
        <v/>
      </c>
      <c r="M858" t="n">
        <v/>
      </c>
      <c r="N858" t="n">
        <v/>
      </c>
      <c r="O858" t="n">
        <v/>
      </c>
      <c r="P858" t="n">
        <v/>
      </c>
      <c r="Q858" t="n">
        <v/>
      </c>
      <c r="R858" t="n">
        <v/>
      </c>
      <c r="S858" t="n">
        <v/>
      </c>
      <c r="T858" t="n">
        <v/>
      </c>
      <c r="U858" t="n">
        <v/>
      </c>
      <c r="V858" t="n">
        <v/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/>
      </c>
      <c r="AE858" t="n">
        <v/>
      </c>
    </row>
    <row r="859">
      <c r="A859" s="89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/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89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89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89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89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10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3"/>
  <sheetViews>
    <sheetView zoomScale="180" zoomScaleNormal="180" workbookViewId="0">
      <pane ySplit="11" topLeftCell="A258" activePane="bottomLeft" state="frozen"/>
      <selection pane="bottomLeft" activeCell="A259" sqref="A259:B263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3"/>
  <sheetViews>
    <sheetView zoomScale="180" zoomScaleNormal="180" workbookViewId="0">
      <pane ySplit="5" topLeftCell="A755" activePane="bottomLeft" state="frozen"/>
      <selection pane="bottomLeft" activeCell="D766" sqref="D766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</sheetData>
  <conditionalFormatting sqref="C18:C763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3"/>
  <sheetViews>
    <sheetView zoomScale="170" zoomScaleNormal="170" workbookViewId="0">
      <pane ySplit="5" topLeftCell="A748" activePane="bottomLeft" state="frozen"/>
      <selection pane="bottomLeft" activeCell="J764" sqref="J764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https://fred.stlouisfed.org/series/M2REAL</t>
        </is>
      </c>
    </row>
    <row r="2">
      <c r="A2" s="76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</sheetData>
  <conditionalFormatting sqref="C18:C76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93" activePane="bottomLeft" state="frozen"/>
      <selection pane="bottomLeft" activeCell="A2404" sqref="A2404:F2410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s="77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3"/>
  <sheetViews>
    <sheetView zoomScale="160" zoomScaleNormal="160" workbookViewId="0">
      <pane ySplit="5" topLeftCell="A749" activePane="bottomLeft" state="frozen"/>
      <selection pane="bottomLeft" activeCell="G766" sqref="G766"/>
    </sheetView>
  </sheetViews>
  <sheetFormatPr baseColWidth="10" defaultColWidth="9.1640625" defaultRowHeight="15"/>
  <cols>
    <col width="16.6640625" customWidth="1" style="16" min="1" max="1"/>
    <col width="19" customWidth="1" style="7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https://fred.stlouisfed.org/series/M2SL</t>
        </is>
      </c>
    </row>
    <row r="2">
      <c r="A2" s="76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A7" zoomScale="160" zoomScaleNormal="160" workbookViewId="0">
      <pane xSplit="4" topLeftCell="G1" activePane="topRight" state="frozen"/>
      <selection activeCell="A2" sqref="A2"/>
      <selection pane="topRight" activeCell="H32" sqref="H32"/>
    </sheetView>
  </sheetViews>
  <sheetFormatPr baseColWidth="10" defaultColWidth="9.1640625" defaultRowHeight="15"/>
  <cols>
    <col width="9.1640625" customWidth="1" style="76" min="1" max="3"/>
    <col width="28" customWidth="1" style="16" min="4" max="9"/>
    <col width="9.1640625" customWidth="1" style="76" min="10" max="24"/>
    <col width="9.1640625" customWidth="1" style="76" min="25" max="16384"/>
  </cols>
  <sheetData>
    <row r="2">
      <c r="D2" s="1" t="inlineStr">
        <is>
          <t>https://tradingeconomics.com/country-list/money-supply-m2?continent=g20</t>
        </is>
      </c>
    </row>
    <row r="7">
      <c r="D7" s="79" t="inlineStr">
        <is>
          <t>Country</t>
        </is>
      </c>
      <c r="E7" s="79" t="inlineStr">
        <is>
          <t>Last</t>
        </is>
      </c>
      <c r="F7" s="79" t="inlineStr">
        <is>
          <t>Month</t>
        </is>
      </c>
      <c r="G7" s="79" t="inlineStr">
        <is>
          <t>Previous</t>
        </is>
      </c>
      <c r="H7" s="79" t="inlineStr">
        <is>
          <t>mom annualized</t>
        </is>
      </c>
      <c r="I7" s="79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9"/>
  <sheetViews>
    <sheetView zoomScale="180" zoomScaleNormal="180" workbookViewId="0">
      <pane xSplit="1" ySplit="5" topLeftCell="B85" activePane="bottomRight" state="frozen"/>
      <selection pane="topRight" activeCell="B1" sqref="B1"/>
      <selection pane="bottomLeft" activeCell="A6" sqref="A6"/>
      <selection pane="bottomRight" activeCell="M91" sqref="M91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6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6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6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6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6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6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6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6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6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6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6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6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6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6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6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6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6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6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6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6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6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6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6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6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6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6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6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6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6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6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6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6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6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6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6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6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6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6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6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6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6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6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6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6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6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6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6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6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6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6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6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6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6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6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6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6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6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6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9"/>
  <sheetViews>
    <sheetView tabSelected="1" zoomScale="150" zoomScaleNormal="150" workbookViewId="0">
      <pane xSplit="2" ySplit="5" topLeftCell="D75" activePane="bottomRight" state="frozen"/>
      <selection pane="topRight" activeCell="C1" sqref="C1"/>
      <selection pane="bottomLeft" activeCell="A6" sqref="A6"/>
      <selection pane="bottomRight" activeCell="J92" sqref="J92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6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6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6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6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6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6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6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6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6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6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6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6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6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6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6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6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6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6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6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6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6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6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6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6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6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6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6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6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6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6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6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6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6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6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6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6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6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6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6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6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6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6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6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6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6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6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9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7"/>
  <sheetViews>
    <sheetView zoomScale="140" zoomScaleNormal="140" workbookViewId="0">
      <pane ySplit="5" topLeftCell="A700" activePane="bottomLeft" state="frozen"/>
      <selection pane="bottomLeft" activeCell="T733" sqref="T733"/>
    </sheetView>
  </sheetViews>
  <sheetFormatPr baseColWidth="10" defaultColWidth="9.1640625" defaultRowHeight="15"/>
  <cols>
    <col width="12" customWidth="1" style="76" min="1" max="1"/>
    <col width="14.33203125" customWidth="1" style="76" min="2" max="2"/>
    <col width="11.1640625" customWidth="1" style="16" min="3" max="4"/>
    <col width="9.1640625" customWidth="1" style="76" min="5" max="5"/>
    <col width="20.33203125" customWidth="1" style="76" min="6" max="6"/>
    <col width="14.6640625" customWidth="1" style="76" min="7" max="7"/>
    <col width="9.1640625" customWidth="1" style="76" min="8" max="22"/>
    <col width="9.1640625" customWidth="1" style="76" min="23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6">
        <f>"Money Supply M3 "&amp;A1</f>
        <v/>
      </c>
      <c r="G1" s="76">
        <f>F1&amp;" mom annualized"</f>
        <v/>
      </c>
    </row>
    <row r="2">
      <c r="F2" s="76" t="inlineStr">
        <is>
          <t>Average last 20 years</t>
        </is>
      </c>
      <c r="G2" s="37">
        <f>AVERAGE(D469:D708)</f>
        <v/>
      </c>
    </row>
    <row r="3">
      <c r="F3" s="76" t="inlineStr">
        <is>
          <t>Minimum last 20 years</t>
        </is>
      </c>
      <c r="G3" s="37">
        <f>MIN(D469:D738)</f>
        <v/>
      </c>
    </row>
    <row r="4" ht="16" customHeight="1" s="67" thickBot="1">
      <c r="F4" s="76" t="inlineStr">
        <is>
          <t>Maximum last 20 years</t>
        </is>
      </c>
      <c r="G4" s="37">
        <f>MAX(D469:D739)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2022-04-02T13:15:04Z</dcterms:modified>
  <cp:lastModifiedBy>Mark Mukherjee</cp:lastModifiedBy>
</cp:coreProperties>
</file>