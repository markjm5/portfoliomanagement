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2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Velocity!$A$12:$A$265</f>
              <numCache>
                <formatCode>dd\-mm\-yyyy</formatCode>
                <ptCount val="25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</numCache>
            </numRef>
          </cat>
          <val>
            <numRef>
              <f>Velocity!$B$12:$B$265</f>
              <numCache>
                <formatCode>0.000</formatCode>
                <ptCount val="25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1.435</v>
                </pt>
                <pt idx="233">
                  <v>1.429</v>
                </pt>
                <pt idx="234">
                  <v>1.43</v>
                </pt>
                <pt idx="235">
                  <v>1.44</v>
                </pt>
                <pt idx="236">
                  <v>1.448</v>
                </pt>
                <pt idx="237">
                  <v>1.459</v>
                </pt>
                <pt idx="238">
                  <v>1.457</v>
                </pt>
                <pt idx="239">
                  <v>1.458</v>
                </pt>
                <pt idx="240">
                  <v>1.451</v>
                </pt>
                <pt idx="241">
                  <v>1.454</v>
                </pt>
                <pt idx="242">
                  <v>1.441</v>
                </pt>
                <pt idx="243">
                  <v>1.424</v>
                </pt>
                <pt idx="244">
                  <v>1.376</v>
                </pt>
                <pt idx="245">
                  <v>1.103</v>
                </pt>
                <pt idx="246">
                  <v>1.149</v>
                </pt>
                <pt idx="247">
                  <v>1.134</v>
                </pt>
                <pt idx="248">
                  <v>1.124</v>
                </pt>
                <pt idx="249">
                  <v>1.119</v>
                </pt>
                <pt idx="250">
                  <v>1.114</v>
                </pt>
                <pt idx="251">
                  <v>1.125</v>
                </pt>
                <pt idx="252">
                  <v>1.124</v>
                </pt>
                <pt idx="253">
                  <v>1.147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Monthly'!$A$6:$A$769</f>
              <numCache>
                <formatCode>yyyy\-mm\-dd</formatCode>
                <ptCount val="764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'US M1 Real Monthly'!$B$6:$B$769</f>
              <numCache>
                <formatCode>0.0</formatCode>
                <ptCount val="764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6974.7</v>
                </pt>
                <pt idx="746">
                  <v>7033.6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7163.3</v>
                </pt>
                <pt idx="751">
                  <v>7230.7</v>
                </pt>
                <pt idx="752">
                  <v>7256.7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7301.5</v>
                </pt>
                <pt idx="757">
                  <v>7270.4</v>
                </pt>
                <pt idx="758">
                  <v>7194.6</v>
                </pt>
                <pt idx="759">
                  <v>7141.6</v>
                </pt>
                <pt idx="760">
                  <v>7074.6</v>
                </pt>
                <pt idx="761">
                  <v>6956.8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3.512908443869298</v>
                </pt>
                <pt idx="734">
                  <v>3.260722074145869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0.1047655768044417</v>
                </pt>
                <pt idx="739">
                  <v>0.1108431143612118</v>
                </pt>
                <pt idx="740">
                  <v>0.1002001273537705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0.05729966115439193</v>
                </pt>
                <pt idx="745">
                  <v>0.04239608872066179</v>
                </pt>
                <pt idx="746">
                  <v>0.02289012738853503</v>
                </pt>
                <pt idx="747">
                  <v>0.006397790366675199</v>
                </pt>
                <pt idx="748">
                  <v>-0.01336048198147931</v>
                </pt>
                <pt idx="749">
                  <v>-0.02431909343356423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713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Monthly'!$A$6:$A$768</f>
              <numCache>
                <formatCode>yyyy\-mm\-dd</formatCode>
                <ptCount val="76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'US M2 Real Monthly'!$B$6:$B$768</f>
              <numCache>
                <formatCode>0.0</formatCode>
                <ptCount val="76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7388.5</v>
                </pt>
                <pt idx="745">
                  <v>7448.5</v>
                </pt>
                <pt idx="746">
                  <v>7491.1</v>
                </pt>
                <pt idx="747">
                  <v>7539.7</v>
                </pt>
                <pt idx="748">
                  <v>7601.9</v>
                </pt>
                <pt idx="749">
                  <v>7551.1</v>
                </pt>
                <pt idx="750">
                  <v>7576.1</v>
                </pt>
                <pt idx="751">
                  <v>7636</v>
                </pt>
                <pt idx="752">
                  <v>7655.4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7639</v>
                </pt>
                <pt idx="758">
                  <v>7556.2</v>
                </pt>
                <pt idx="759">
                  <v>7502</v>
                </pt>
                <pt idx="760">
                  <v>7439.6</v>
                </pt>
                <pt idx="761">
                  <v>7336.8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Monthly'!$A$6:$A$768</f>
              <numCache>
                <formatCode>yyyy\-mm\-dd</formatCode>
                <ptCount val="76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'US M2 Real Monthly'!$C$6:$C$768</f>
              <numCache>
                <formatCode>General</formatCode>
                <ptCount val="763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0.2409304669129997</v>
                </pt>
                <pt idx="745">
                  <formatCode>0.0%</formatCode>
                  <v>0.247989410897393</v>
                </pt>
                <pt idx="746">
                  <formatCode>0.0%</formatCode>
                  <v>0.2095685590647808</v>
                </pt>
                <pt idx="747">
                  <formatCode>0.0%</formatCode>
                  <v>0.1356338113025666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0.07165994766249387</v>
                </pt>
                <pt idx="751">
                  <formatCode>0.0%</formatCode>
                  <v>0.07975113122171945</v>
                </pt>
                <pt idx="752">
                  <formatCode>0.0%</formatCode>
                  <v>0.07232004034121937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0.03931785883467551</v>
                </pt>
                <pt idx="757">
                  <formatCode>0.0%</formatCode>
                  <v>0.02557561925219843</v>
                </pt>
                <pt idx="758">
                  <formatCode>0.0%</formatCode>
                  <v>0.008690312504171543</v>
                </pt>
                <pt idx="759">
                  <formatCode>0.0%</formatCode>
                  <v>-0.005000198946907678</v>
                </pt>
                <pt idx="760">
                  <formatCode>0.0%</formatCode>
                  <v>-0.02134992567647552</v>
                </pt>
                <pt idx="761">
                  <formatCode>0.0%</formatCode>
                  <v>-0.02837997113003406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17769.8</v>
                </pt>
                <pt idx="2401">
                  <v>18142.4</v>
                </pt>
                <pt idx="2402">
                  <v>18151.4</v>
                </pt>
                <pt idx="2403">
                  <v>18108.2</v>
                </pt>
                <pt idx="2404">
                  <v>18105.1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'!$A$7:$A$773</f>
              <numCache>
                <formatCode>m/d/yy</formatCode>
                <ptCount val="76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</numCache>
            </numRef>
          </cat>
          <val>
            <numRef>
              <f>'US M2 '!$D$7:$D$773</f>
              <numCache>
                <formatCode>0.00%</formatCode>
                <ptCount val="76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0.167057114593423</v>
                </pt>
                <pt idx="744">
                  <v>0.1612108593226533</v>
                </pt>
                <pt idx="745">
                  <v>0.1558598739163597</v>
                </pt>
                <pt idx="746">
                  <v>0.1668182384264596</v>
                </pt>
                <pt idx="747">
                  <v>0.2001543830757904</v>
                </pt>
                <pt idx="748">
                  <v>0.02472412082481812</v>
                </pt>
                <pt idx="749">
                  <v>0.09836737604061341</v>
                </pt>
                <pt idx="750">
                  <v>0.1440140882452099</v>
                </pt>
                <pt idx="751">
                  <v>0.08298588705540411</v>
                </pt>
                <pt idx="752">
                  <v>0.09024853259638776</v>
                </pt>
                <pt idx="753">
                  <v>0.1229434287754307</v>
                </pt>
                <pt idx="754">
                  <v>0.08201506198424213</v>
                </pt>
                <pt idx="755">
                  <v>0.09285246072921005</v>
                </pt>
                <pt idx="756">
                  <v>0.03319733457720808</v>
                </pt>
                <pt idx="757">
                  <v>0.01743976504455702</v>
                </pt>
                <pt idx="758">
                  <v>-0.04560516245893598</v>
                </pt>
                <pt idx="759">
                  <v>0.01613247662766404</v>
                </pt>
                <pt idx="760">
                  <v>-0.009312360677114495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19372.6</v>
                </pt>
                <pt idx="744">
                  <v>19615.4</v>
                </pt>
                <pt idx="745">
                  <v>19853.6</v>
                </pt>
                <pt idx="746">
                  <v>20110.5</v>
                </pt>
                <pt idx="747">
                  <v>20418.6</v>
                </pt>
                <pt idx="748">
                  <v>20460.2</v>
                </pt>
                <pt idx="749">
                  <v>20620.8</v>
                </pt>
                <pt idx="750">
                  <v>20853.3</v>
                </pt>
                <pt idx="751">
                  <v>20992.3</v>
                </pt>
                <pt idx="752">
                  <v>21144</v>
                </pt>
                <pt idx="753">
                  <v>21349.3</v>
                </pt>
                <pt idx="754">
                  <v>21490</v>
                </pt>
                <pt idx="755">
                  <v>21649.6</v>
                </pt>
                <pt idx="756">
                  <v>21708.6</v>
                </pt>
                <pt idx="757">
                  <v>21739.9</v>
                </pt>
                <pt idx="758">
                  <v>21655.5</v>
                </pt>
                <pt idx="759">
                  <v>21684.4</v>
                </pt>
                <pt idx="760">
                  <v>21667.5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1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0.167057114593423</v>
                </pt>
                <pt idx="744">
                  <v>0.1612108593226533</v>
                </pt>
                <pt idx="745">
                  <v>0.1558598739163597</v>
                </pt>
                <pt idx="746">
                  <v>0.1668182384264596</v>
                </pt>
                <pt idx="747">
                  <v>0.2001543830757904</v>
                </pt>
                <pt idx="748">
                  <v>0.02472412082481812</v>
                </pt>
                <pt idx="749">
                  <v>0.09836737604061341</v>
                </pt>
                <pt idx="750">
                  <v>0.1440140882452099</v>
                </pt>
                <pt idx="751">
                  <v>0.08298588705540411</v>
                </pt>
                <pt idx="752">
                  <v>0.09024853259638776</v>
                </pt>
                <pt idx="753">
                  <v>0.1229434287754307</v>
                </pt>
                <pt idx="754">
                  <v>0.08201506198424213</v>
                </pt>
                <pt idx="755">
                  <v>0.09285246072921005</v>
                </pt>
                <pt idx="756">
                  <v>0.03319733457720808</v>
                </pt>
                <pt idx="757">
                  <v>0.01743976504455702</v>
                </pt>
                <pt idx="758">
                  <v>-0.04560516245893598</v>
                </pt>
                <pt idx="759">
                  <v>0.01613247662766404</v>
                </pt>
                <pt idx="760">
                  <v>-0.009312360677114495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Country!$A$474:$A$748</f>
              <numCache>
                <formatCode>m/d/yy</formatCode>
                <ptCount val="27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</numCache>
            </numRef>
          </cat>
          <val>
            <numRef>
              <f>Country!$B$474:$B$748</f>
              <numCache>
                <formatCode>0.00</formatCode>
                <ptCount val="275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158.7764</v>
                </pt>
                <pt idx="252">
                  <v>160.8336</v>
                </pt>
                <pt idx="253">
                  <v>162.8494</v>
                </pt>
                <pt idx="254">
                  <v>164.827</v>
                </pt>
                <pt idx="255">
                  <v>166.9598</v>
                </pt>
                <pt idx="256">
                  <v>169.5177</v>
                </pt>
                <pt idx="257">
                  <v>169.863</v>
                </pt>
                <pt idx="258">
                  <v>171.1964</v>
                </pt>
                <pt idx="259">
                  <v>173.1266</v>
                </pt>
                <pt idx="260">
                  <v>174.2806</v>
                </pt>
                <pt idx="261">
                  <v>175.54</v>
                </pt>
                <pt idx="262">
                  <v>177.2444</v>
                </pt>
                <pt idx="263">
                  <v>178.4126</v>
                </pt>
                <pt idx="264">
                  <v>179.7376</v>
                </pt>
                <pt idx="265">
                  <v>180.2274</v>
                </pt>
                <pt idx="266">
                  <v>180.4873</v>
                </pt>
                <pt idx="267">
                  <v>179.7866</v>
                </pt>
                <pt idx="268">
                  <v>180.0265</v>
                </pt>
                <pt idx="269">
                  <v>179.8862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Country!$A$474:$A$747</f>
              <numCache>
                <formatCode>m/d/yy</formatCode>
                <ptCount val="274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</numCache>
            </numRef>
          </cat>
          <val>
            <numRef>
              <f>Country!$D$474:$D$747</f>
              <numCache>
                <formatCode>0.0%</formatCode>
                <ptCount val="274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0.1025852012411261</v>
                </pt>
                <pt idx="252">
                  <v>0.1670514080339012</v>
                </pt>
                <pt idx="253">
                  <v>0.1612147859602153</v>
                </pt>
                <pt idx="254">
                  <v>0.1558628252934293</v>
                </pt>
                <pt idx="255">
                  <v>0.166816978718763</v>
                </pt>
                <pt idx="256">
                  <v>0.2001557922597905</v>
                </pt>
                <pt idx="257">
                  <v>0.02471917949225433</v>
                </pt>
                <pt idx="258">
                  <v>0.09837352044731418</v>
                </pt>
                <pt idx="259">
                  <v>0.1440106472189218</v>
                </pt>
                <pt idx="260">
                  <v>0.08298628326049373</v>
                </pt>
                <pt idx="261">
                  <v>0.09024617374949195</v>
                </pt>
                <pt idx="262">
                  <v>0.122941528826787</v>
                </pt>
                <pt idx="263">
                  <v>0.08202176097196845</v>
                </pt>
                <pt idx="264">
                  <v>0.09285109938426372</v>
                </pt>
                <pt idx="265">
                  <v>0.03319560496904161</v>
                </pt>
                <pt idx="266">
                  <v>0.01744271761696581</v>
                </pt>
                <pt idx="267">
                  <v>-0.04560522050582294</v>
                </pt>
                <pt idx="268">
                  <v>0.01613035513346928</v>
                </pt>
                <pt idx="269">
                  <v>-0.009311975051090826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5" headerRowCount="1" totalsRowShown="0" headerRowCellStyle="Normal 3" dataCellStyle="Normal 3">
  <autoFilter ref="A11:B265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7" headerRowCount="1" totalsRowShown="0" headerRowDxfId="33" dataDxfId="31" headerRowBorderDxfId="32">
  <autoFilter ref="A5:C767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7" headerRowCount="1" totalsRowShown="0" headerRowDxfId="27" dataDxfId="26" tableBorderDxfId="25">
  <autoFilter ref="A5:C767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7" headerRowCount="1" totalsRowShown="0" headerRowDxfId="12" dataDxfId="10" headerRowBorderDxfId="11" dataCellStyle="Normal 2">
  <autoFilter ref="A5:D767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3" headerRowCount="1" totalsRowShown="0" headerRowDxfId="5" headerRowBorderDxfId="4">
  <autoFilter ref="A5:D743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80" min="1" max="1"/>
    <col width="12.83203125" customWidth="1" style="80" min="2" max="10"/>
    <col width="3.33203125" customWidth="1" style="80" min="11" max="13"/>
    <col width="21.33203125" customWidth="1" style="80" min="14" max="14"/>
    <col width="15.6640625" customWidth="1" style="80" min="15" max="15"/>
    <col width="16.83203125" customWidth="1" style="80" min="16" max="16"/>
    <col width="23" customWidth="1" style="80" min="17" max="17"/>
    <col width="9.1640625" customWidth="1" style="80" min="18" max="35"/>
    <col width="9.1640625" customWidth="1" style="80" min="36" max="16384"/>
  </cols>
  <sheetData>
    <row r="1">
      <c r="B1" s="79" t="n"/>
    </row>
    <row r="2" ht="16" customHeight="1" s="67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s="67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6" t="inlineStr">
        <is>
          <t>Definition</t>
        </is>
      </c>
      <c r="C5" s="77" t="n"/>
      <c r="D5" s="77" t="n"/>
      <c r="E5" s="77" t="n"/>
      <c r="F5" s="77" t="n"/>
      <c r="G5" s="77" t="n"/>
      <c r="H5" s="77" t="n"/>
      <c r="I5" s="77" t="n"/>
      <c r="J5" s="78" t="n"/>
    </row>
    <row r="7" ht="100.5" customHeight="1" s="67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6" t="n"/>
    </row>
    <row r="9">
      <c r="B9" s="42" t="n"/>
      <c r="C9" s="42" t="n"/>
      <c r="D9" s="42" t="n"/>
      <c r="E9" s="42" t="n"/>
    </row>
    <row r="10">
      <c r="B10" s="76" t="inlineStr">
        <is>
          <t>Process / TO DO LIST</t>
        </is>
      </c>
      <c r="C10" s="77" t="n"/>
      <c r="D10" s="77" t="n"/>
      <c r="E10" s="77" t="n"/>
      <c r="F10" s="77" t="n"/>
      <c r="G10" s="77" t="n"/>
      <c r="H10" s="77" t="n"/>
      <c r="I10" s="77" t="n"/>
      <c r="J10" s="78" t="n"/>
    </row>
    <row r="11" ht="16" customHeight="1" s="67"/>
    <row r="12" ht="16" customHeight="1" s="67">
      <c r="B12" s="76" t="inlineStr">
        <is>
          <t>TO DO LIST</t>
        </is>
      </c>
      <c r="C12" s="77" t="n"/>
      <c r="D12" s="77" t="n"/>
      <c r="E12" s="77" t="n"/>
      <c r="F12" s="78" t="n"/>
      <c r="G12" s="76" t="inlineStr">
        <is>
          <t>Comments</t>
        </is>
      </c>
      <c r="H12" s="77" t="n"/>
      <c r="I12" s="77" t="n"/>
      <c r="J12" s="78" t="n"/>
    </row>
    <row r="14" ht="19.5" customHeight="1" s="67">
      <c r="B14" s="1" t="inlineStr">
        <is>
          <t>https://fred.stlouisfed.org/series/M2REAL</t>
        </is>
      </c>
      <c r="G14" s="80" t="inlineStr">
        <is>
          <t>U.S.</t>
        </is>
      </c>
    </row>
    <row r="15" ht="16" customHeight="1" s="67" thickBot="1">
      <c r="B15" s="86" t="inlineStr">
        <is>
          <t>https://fred.stlouisfed.org/series/M1REAL</t>
        </is>
      </c>
      <c r="G15" s="87" t="inlineStr">
        <is>
          <t>U.S.</t>
        </is>
      </c>
    </row>
    <row r="16" ht="18" customHeight="1" s="67">
      <c r="B16" s="86" t="inlineStr">
        <is>
          <t>https://fred.stlouisfed.org/series/M1</t>
        </is>
      </c>
      <c r="G16" s="87" t="inlineStr">
        <is>
          <t xml:space="preserve">U.S. </t>
        </is>
      </c>
      <c r="Z16" s="43" t="inlineStr">
        <is>
          <t>DGORDER</t>
        </is>
      </c>
      <c r="AA16" s="80" t="inlineStr">
        <is>
          <t>Durable Goods New Orders</t>
        </is>
      </c>
    </row>
    <row r="17" ht="18" customHeight="1" s="67">
      <c r="B17" s="86" t="inlineStr">
        <is>
          <t>https://fred.stlouisfed.org/series/M2</t>
        </is>
      </c>
      <c r="G17" s="88" t="inlineStr">
        <is>
          <t>U.S. discontinued</t>
        </is>
      </c>
      <c r="Z17" s="44" t="inlineStr">
        <is>
          <t>ADXTNO</t>
        </is>
      </c>
      <c r="AA17" s="80" t="inlineStr">
        <is>
          <t>New Orders ex Transport</t>
        </is>
      </c>
    </row>
    <row r="18" ht="33.75" customHeight="1" s="67">
      <c r="B18" s="86" t="inlineStr">
        <is>
          <t>https://fred.stlouisfed.org/series/M2SL</t>
        </is>
      </c>
      <c r="G18" s="88" t="inlineStr">
        <is>
          <t>U.S.</t>
        </is>
      </c>
      <c r="Z18" s="45" t="inlineStr">
        <is>
          <t>NEWORDER</t>
        </is>
      </c>
      <c r="AA18" s="80" t="inlineStr">
        <is>
          <t>New Orders Nondefense Ex Aircraft &amp; Parts = Core</t>
        </is>
      </c>
    </row>
    <row r="19" ht="18" customHeight="1" s="67">
      <c r="B19" s="86" t="inlineStr">
        <is>
          <t>https://tradingeconomics.com/country-list/money-supply-m2?continent=g20</t>
        </is>
      </c>
      <c r="G19" s="88" t="inlineStr">
        <is>
          <t>Quick Country View</t>
        </is>
      </c>
      <c r="Z19" s="44" t="inlineStr">
        <is>
          <t>AMTUNO</t>
        </is>
      </c>
      <c r="AA19" s="80" t="inlineStr">
        <is>
          <t>New Orders - Manufacturing</t>
        </is>
      </c>
    </row>
    <row r="20" ht="18" customHeight="1" s="67">
      <c r="B20" s="86" t="inlineStr">
        <is>
          <t>https://data.oecd.org/money/broad-money-m3.htm</t>
        </is>
      </c>
      <c r="G20" s="80" t="inlineStr">
        <is>
          <t>Table</t>
        </is>
      </c>
      <c r="Z20" s="45" t="inlineStr">
        <is>
          <t>A36SNO</t>
        </is>
      </c>
      <c r="AA20" s="80" t="inlineStr">
        <is>
          <t>New Orders - Transportation Equipment</t>
        </is>
      </c>
    </row>
    <row r="21" ht="18" customHeight="1" s="67">
      <c r="B21" s="86" t="n"/>
      <c r="G21" s="80" t="inlineStr">
        <is>
          <t>Monthly</t>
        </is>
      </c>
      <c r="Z21" s="45" t="inlineStr">
        <is>
          <t>A32SNO</t>
        </is>
      </c>
      <c r="AA21" s="80" t="inlineStr">
        <is>
          <t>New Orders - Fabricated Metal Products</t>
        </is>
      </c>
    </row>
    <row r="22" ht="18" customHeight="1" s="67">
      <c r="B22" s="86" t="n"/>
      <c r="G22" s="80" t="inlineStr">
        <is>
          <t>from beginning</t>
        </is>
      </c>
      <c r="Z22" s="45" t="inlineStr">
        <is>
          <t>A33SNO</t>
        </is>
      </c>
      <c r="AA22" s="80" t="inlineStr">
        <is>
          <t>New Orders - Machinery</t>
        </is>
      </c>
    </row>
    <row r="23" ht="18" customHeight="1" s="67">
      <c r="B23" s="86" t="n"/>
      <c r="G23" s="80" t="inlineStr">
        <is>
          <t>download Select data only</t>
        </is>
      </c>
      <c r="Z23" s="45" t="inlineStr">
        <is>
          <t>A34SNO</t>
        </is>
      </c>
      <c r="AA23" s="80" t="inlineStr">
        <is>
          <t>New Orders - Computers</t>
        </is>
      </c>
    </row>
    <row r="24" ht="18" customHeight="1" s="67">
      <c r="B24" s="86" t="n"/>
      <c r="G24" s="88" t="inlineStr">
        <is>
          <t>Data</t>
        </is>
      </c>
      <c r="Z24" s="45" t="inlineStr">
        <is>
          <t>A31SNO</t>
        </is>
      </c>
      <c r="AA24" s="80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80" t="inlineStr">
        <is>
          <t>New Orders - Electrical Equipment</t>
        </is>
      </c>
    </row>
    <row r="35" ht="16" customHeight="1" s="67"/>
    <row r="39">
      <c r="B39" s="40" t="n"/>
    </row>
    <row r="40">
      <c r="B40" s="87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0"/>
  <sheetViews>
    <sheetView zoomScale="170" zoomScaleNormal="170" workbookViewId="0">
      <pane ySplit="1" topLeftCell="A3072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1.435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1.429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1.448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1.459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1.457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1.451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1.454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1.441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1.424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1.376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1.103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1.149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1.134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19124.8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17659.7</v>
      </c>
    </row>
    <row r="3069">
      <c r="A3069" s="90" t="n">
        <v>44197</v>
      </c>
      <c r="B3069" t="n">
        <v>6905.8</v>
      </c>
      <c r="C3069" t="n">
        <v>7388.5</v>
      </c>
      <c r="E3069" t="n">
        <v>19372.6</v>
      </c>
      <c r="F3069" t="n">
        <v>1.124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18142.4</v>
      </c>
    </row>
    <row r="3072">
      <c r="A3072" s="90" t="n">
        <v>44214</v>
      </c>
      <c r="D3072" t="n">
        <v>18151.4</v>
      </c>
    </row>
    <row r="3073">
      <c r="A3073" s="90" t="n">
        <v>44221</v>
      </c>
      <c r="D3073" t="n">
        <v>18108.2</v>
      </c>
    </row>
    <row r="3074">
      <c r="A3074" s="90" t="n">
        <v>44228</v>
      </c>
      <c r="B3074" t="n">
        <v>6974.7</v>
      </c>
      <c r="C3074" t="n">
        <v>7448.5</v>
      </c>
      <c r="D3074" t="n">
        <v>18105.1</v>
      </c>
      <c r="E3074" t="n">
        <v>19615.4</v>
      </c>
    </row>
    <row r="3075">
      <c r="A3075" s="90" t="n">
        <v>44256</v>
      </c>
      <c r="B3075" t="n">
        <v>7033.6</v>
      </c>
      <c r="C3075" t="n">
        <v>7491.1</v>
      </c>
      <c r="E3075" t="n">
        <v>19853.6</v>
      </c>
    </row>
    <row r="3076">
      <c r="A3076" s="90" t="n">
        <v>44287</v>
      </c>
      <c r="B3076" t="n">
        <v>7096.2</v>
      </c>
      <c r="C3076" t="n">
        <v>7539.7</v>
      </c>
      <c r="E3076" t="n">
        <v>20110.5</v>
      </c>
      <c r="F3076" t="n">
        <v>1.119</v>
      </c>
    </row>
    <row r="3077">
      <c r="A3077" s="90" t="n">
        <v>44317</v>
      </c>
      <c r="B3077" t="n">
        <v>7170.4</v>
      </c>
      <c r="C3077" t="n">
        <v>7601.9</v>
      </c>
      <c r="E3077" t="n">
        <v>20418.6</v>
      </c>
    </row>
    <row r="3078">
      <c r="A3078" s="90" t="n">
        <v>44348</v>
      </c>
      <c r="B3078" t="n">
        <v>7130.2</v>
      </c>
      <c r="C3078" t="n">
        <v>7551.1</v>
      </c>
      <c r="E3078" t="n">
        <v>20460.2</v>
      </c>
    </row>
    <row r="3079">
      <c r="A3079" s="90" t="n">
        <v>44378</v>
      </c>
      <c r="B3079" t="n">
        <v>7163.3</v>
      </c>
      <c r="C3079" t="n">
        <v>7576.1</v>
      </c>
      <c r="E3079" t="n">
        <v>20620.8</v>
      </c>
      <c r="F3079" t="n">
        <v>1.114</v>
      </c>
    </row>
    <row r="3080">
      <c r="A3080" s="90" t="n">
        <v>44409</v>
      </c>
      <c r="B3080" t="n">
        <v>7230.7</v>
      </c>
      <c r="C3080" t="n">
        <v>7636</v>
      </c>
      <c r="E3080" t="n">
        <v>20853.3</v>
      </c>
    </row>
    <row r="3081">
      <c r="A3081" s="90" t="n">
        <v>44440</v>
      </c>
      <c r="B3081" t="n">
        <v>7256.7</v>
      </c>
      <c r="C3081" t="n">
        <v>7655.4</v>
      </c>
      <c r="E3081" t="n">
        <v>20992.3</v>
      </c>
    </row>
    <row r="3082">
      <c r="A3082" s="90" t="n">
        <v>44470</v>
      </c>
      <c r="B3082" t="n">
        <v>7253.9</v>
      </c>
      <c r="C3082" t="n">
        <v>7644.5</v>
      </c>
      <c r="E3082" t="n">
        <v>21144</v>
      </c>
      <c r="F3082" t="n">
        <v>1.125</v>
      </c>
    </row>
    <row r="3083">
      <c r="A3083" s="90" t="n">
        <v>44501</v>
      </c>
      <c r="B3083" t="n">
        <v>7281.2</v>
      </c>
      <c r="C3083" t="n">
        <v>7665.2</v>
      </c>
      <c r="E3083" t="n">
        <v>21349.3</v>
      </c>
    </row>
    <row r="3084">
      <c r="A3084" s="90" t="n">
        <v>44531</v>
      </c>
      <c r="B3084" t="n">
        <v>7293.4</v>
      </c>
      <c r="C3084" t="n">
        <v>7671.5</v>
      </c>
      <c r="E3084" t="n">
        <v>21490</v>
      </c>
    </row>
    <row r="3085">
      <c r="A3085" s="90" t="n">
        <v>44562</v>
      </c>
      <c r="B3085" t="n">
        <v>7301.5</v>
      </c>
      <c r="C3085" t="n">
        <v>7679</v>
      </c>
      <c r="E3085" t="n">
        <v>21649.6</v>
      </c>
      <c r="F3085" t="n">
        <v>1.124</v>
      </c>
    </row>
    <row r="3086">
      <c r="A3086" s="90" t="n">
        <v>44593</v>
      </c>
      <c r="B3086" t="n">
        <v>7270.4</v>
      </c>
      <c r="C3086" t="n">
        <v>7639</v>
      </c>
      <c r="E3086" t="n">
        <v>21708.6</v>
      </c>
    </row>
    <row r="3087">
      <c r="A3087" s="90" t="n">
        <v>44621</v>
      </c>
      <c r="B3087" t="n">
        <v>7194.6</v>
      </c>
      <c r="C3087" t="n">
        <v>7556.2</v>
      </c>
      <c r="E3087" t="n">
        <v>21739.9</v>
      </c>
    </row>
    <row r="3088">
      <c r="A3088" s="90" t="n">
        <v>44652</v>
      </c>
      <c r="B3088" t="n">
        <v>7141.6</v>
      </c>
      <c r="C3088" t="n">
        <v>7502</v>
      </c>
      <c r="E3088" t="n">
        <v>21655.5</v>
      </c>
      <c r="F3088" t="n">
        <v>1.147</v>
      </c>
    </row>
    <row r="3089">
      <c r="A3089" s="90" t="n">
        <v>44682</v>
      </c>
      <c r="B3089" t="n">
        <v>7074.6</v>
      </c>
      <c r="C3089" t="n">
        <v>7439.6</v>
      </c>
      <c r="E3089" t="n">
        <v>21684.4</v>
      </c>
    </row>
    <row r="3090">
      <c r="A3090" s="90" t="n">
        <v>44713</v>
      </c>
      <c r="B3090" t="n">
        <v>6956.8</v>
      </c>
      <c r="C3090" t="n">
        <v>7336.8</v>
      </c>
      <c r="E3090" t="n">
        <v>21667.5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00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80" min="1" max="1"/>
    <col width="9.1640625" customWidth="1" style="80" min="2" max="3"/>
    <col width="10.6640625" bestFit="1" customWidth="1" style="80" min="4" max="4"/>
    <col width="9.1640625" customWidth="1" style="80" min="5" max="22"/>
    <col width="9.1640625" customWidth="1" style="80" min="23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0.3945872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0.3977531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0.4003306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0.4047852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0.4070266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0.4082033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0.4096882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0.4099683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0.4107528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0.4103326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0.4091839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0.4078951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0.4071947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0.4070266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0.4090718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0.4121816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0.4138066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0.4156277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0.4170566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0.4196901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0.4231362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0.424453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0.4324377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0.4358558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0.4392178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0.4415432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0.4440647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0.4482111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0.4506206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0.4527498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0.4559998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0.4583532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0.4611268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0.4639845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0.4669543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0.4707366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0.474771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0.4778808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0.4817191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0.4861457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0.4900961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0.4941025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0.4972684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0.5021433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0.5085871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0.5132659000000001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0.5172163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0.5236881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0.5301319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0.5410305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0.5457093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0.5506962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0.5552068999999999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0.5590452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0.5636679999999999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0.5669459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0.5694114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0.5732496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0.5791892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0.5827473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0.1689011</v>
      </c>
    </row>
    <row r="174">
      <c r="A174" s="90" t="n">
        <v>23863</v>
      </c>
      <c r="B174" t="n">
        <v>0.5827473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0.1700639</v>
      </c>
    </row>
    <row r="175">
      <c r="A175" s="90" t="n">
        <v>23894</v>
      </c>
      <c r="B175" t="n">
        <v>0.585549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0.1692385</v>
      </c>
    </row>
    <row r="176">
      <c r="A176" s="90" t="n">
        <v>23924</v>
      </c>
      <c r="B176" t="n">
        <v>0.5883507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0.1690081</v>
      </c>
    </row>
    <row r="177">
      <c r="A177" s="90" t="n">
        <v>23955</v>
      </c>
      <c r="B177" t="n">
        <v>0.5883507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0.169466</v>
      </c>
    </row>
    <row r="178">
      <c r="A178" s="90" t="n">
        <v>23986</v>
      </c>
      <c r="B178" t="n">
        <v>0.5883507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0.1691621</v>
      </c>
    </row>
    <row r="179">
      <c r="A179" s="90" t="n">
        <v>24016</v>
      </c>
      <c r="B179" t="n">
        <v>0.5911523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0.1697875</v>
      </c>
    </row>
    <row r="180">
      <c r="A180" s="90" t="n">
        <v>24047</v>
      </c>
      <c r="B180" t="n">
        <v>0.593954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0.17073</v>
      </c>
    </row>
    <row r="181">
      <c r="A181" s="90" t="n">
        <v>24077</v>
      </c>
      <c r="B181" t="n">
        <v>0.5967557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0.1719275</v>
      </c>
    </row>
    <row r="182">
      <c r="A182" s="90" t="n">
        <v>24108</v>
      </c>
      <c r="B182" t="n">
        <v>0.5995573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0.1728712</v>
      </c>
    </row>
    <row r="183">
      <c r="A183" s="90" t="n">
        <v>24139</v>
      </c>
      <c r="B183" t="n">
        <v>0.6051607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0.1734393</v>
      </c>
    </row>
    <row r="184">
      <c r="A184" s="90" t="n">
        <v>24167</v>
      </c>
      <c r="B184" t="n">
        <v>0.610764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0.1738544</v>
      </c>
    </row>
    <row r="185">
      <c r="A185" s="90" t="n">
        <v>24198</v>
      </c>
      <c r="B185" t="n">
        <v>0.610764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0.1750641</v>
      </c>
    </row>
    <row r="186">
      <c r="A186" s="90" t="n">
        <v>24228</v>
      </c>
      <c r="B186" t="n">
        <v>0.6135657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0.1777355</v>
      </c>
    </row>
    <row r="187">
      <c r="A187" s="90" t="n">
        <v>24259</v>
      </c>
      <c r="B187" t="n">
        <v>0.619169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0.1802882</v>
      </c>
    </row>
    <row r="188">
      <c r="A188" s="90" t="n">
        <v>24289</v>
      </c>
      <c r="B188" t="n">
        <v>0.6219707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0.1830882</v>
      </c>
    </row>
    <row r="189">
      <c r="A189" s="90" t="n">
        <v>24320</v>
      </c>
      <c r="B189" t="n">
        <v>0.6247724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0.1844466</v>
      </c>
    </row>
    <row r="190">
      <c r="A190" s="90" t="n">
        <v>24351</v>
      </c>
      <c r="B190" t="n">
        <v>0.6303757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0.1855394</v>
      </c>
    </row>
    <row r="191">
      <c r="A191" s="90" t="n">
        <v>24381</v>
      </c>
      <c r="B191" t="n">
        <v>0.6359791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0.1870406</v>
      </c>
    </row>
    <row r="192">
      <c r="A192" s="90" t="n">
        <v>24412</v>
      </c>
      <c r="B192" t="n">
        <v>0.6415824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0.1872674</v>
      </c>
    </row>
    <row r="193">
      <c r="A193" s="90" t="n">
        <v>24442</v>
      </c>
      <c r="B193" t="n">
        <v>0.644384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0.1880332</v>
      </c>
    </row>
    <row r="194">
      <c r="A194" s="90" t="n">
        <v>24473</v>
      </c>
      <c r="B194" t="n">
        <v>0.6471857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0.1895375</v>
      </c>
    </row>
    <row r="195">
      <c r="A195" s="90" t="n">
        <v>24504</v>
      </c>
      <c r="B195" t="n">
        <v>0.6527891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0.1901628</v>
      </c>
    </row>
    <row r="196">
      <c r="A196" s="90" t="n">
        <v>24532</v>
      </c>
      <c r="B196" t="n">
        <v>0.6583924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0.1909009</v>
      </c>
    </row>
    <row r="197">
      <c r="A197" s="90" t="n">
        <v>24563</v>
      </c>
      <c r="B197" t="n">
        <v>0.6583924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0.1920945</v>
      </c>
    </row>
    <row r="198">
      <c r="A198" s="90" t="n">
        <v>24593</v>
      </c>
      <c r="B198" t="n">
        <v>0.6611941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0.1927336</v>
      </c>
    </row>
    <row r="199">
      <c r="A199" s="90" t="n">
        <v>24624</v>
      </c>
      <c r="B199" t="n">
        <v>0.6695991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0.1942216</v>
      </c>
    </row>
    <row r="200">
      <c r="A200" s="90" t="n">
        <v>24654</v>
      </c>
      <c r="B200" t="n">
        <v>0.6752024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0.1954997</v>
      </c>
    </row>
    <row r="201">
      <c r="A201" s="90" t="n">
        <v>24685</v>
      </c>
      <c r="B201" t="n">
        <v>0.6808057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0.1961848</v>
      </c>
    </row>
    <row r="202">
      <c r="A202" s="90" t="n">
        <v>24716</v>
      </c>
      <c r="B202" t="n">
        <v>0.6864091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0.1964858</v>
      </c>
    </row>
    <row r="203">
      <c r="A203" s="90" t="n">
        <v>24746</v>
      </c>
      <c r="B203" t="n">
        <v>0.6892108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0.1967327</v>
      </c>
    </row>
    <row r="204">
      <c r="A204" s="90" t="n">
        <v>24777</v>
      </c>
      <c r="B204" t="n">
        <v>0.6920124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0.1986843</v>
      </c>
    </row>
    <row r="205">
      <c r="A205" s="90" t="n">
        <v>24807</v>
      </c>
      <c r="B205" t="n">
        <v>0.6976158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0.2013636</v>
      </c>
    </row>
    <row r="206">
      <c r="A206" s="90" t="n">
        <v>24838</v>
      </c>
      <c r="B206" t="n">
        <v>0.7032191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0.2036441</v>
      </c>
    </row>
    <row r="207">
      <c r="A207" s="90" t="n">
        <v>24869</v>
      </c>
      <c r="B207" t="n">
        <v>0.7060208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0.204998</v>
      </c>
    </row>
    <row r="208">
      <c r="A208" s="90" t="n">
        <v>24898</v>
      </c>
      <c r="B208" t="n">
        <v>0.7088224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0.2060375</v>
      </c>
    </row>
    <row r="209">
      <c r="A209" s="90" t="n">
        <v>24929</v>
      </c>
      <c r="B209" t="n">
        <v>0.7116241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0.2081015</v>
      </c>
    </row>
    <row r="210">
      <c r="A210" s="90" t="n">
        <v>24959</v>
      </c>
      <c r="B210" t="n">
        <v>0.7144258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0.2107966</v>
      </c>
    </row>
    <row r="211">
      <c r="A211" s="90" t="n">
        <v>24990</v>
      </c>
      <c r="B211" t="n">
        <v>0.7228308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0.2133184</v>
      </c>
    </row>
    <row r="212">
      <c r="A212" s="90" t="n">
        <v>25020</v>
      </c>
      <c r="B212" t="n">
        <v>0.7312358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0.215802</v>
      </c>
    </row>
    <row r="213">
      <c r="A213" s="90" t="n">
        <v>25051</v>
      </c>
      <c r="B213" t="n">
        <v>0.7340375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0.2183992</v>
      </c>
    </row>
    <row r="214">
      <c r="A214" s="90" t="n">
        <v>25082</v>
      </c>
      <c r="B214" t="n">
        <v>0.7368392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0.2207133</v>
      </c>
    </row>
    <row r="215">
      <c r="A215" s="90" t="n">
        <v>25112</v>
      </c>
      <c r="B215" t="n">
        <v>0.7424425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0.2229626</v>
      </c>
    </row>
    <row r="216">
      <c r="A216" s="90" t="n">
        <v>25143</v>
      </c>
      <c r="B216" t="n">
        <v>0.7452441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0.2278049</v>
      </c>
    </row>
    <row r="217">
      <c r="A217" s="90" t="n">
        <v>25173</v>
      </c>
      <c r="B217" t="n">
        <v>0.7480459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0.2300133</v>
      </c>
    </row>
    <row r="218">
      <c r="A218" s="90" t="n">
        <v>25204</v>
      </c>
      <c r="B218" t="n">
        <v>0.7564508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0.2296112</v>
      </c>
    </row>
    <row r="219">
      <c r="A219" s="90" t="n">
        <v>25235</v>
      </c>
      <c r="B219" t="n">
        <v>0.7648559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0.2325165</v>
      </c>
    </row>
    <row r="220">
      <c r="A220" s="90" t="n">
        <v>25263</v>
      </c>
      <c r="B220" t="n">
        <v>0.7704592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0.2356508</v>
      </c>
    </row>
    <row r="221">
      <c r="A221" s="90" t="n">
        <v>25294</v>
      </c>
      <c r="B221" t="n">
        <v>0.7760625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0.2371763</v>
      </c>
    </row>
    <row r="222">
      <c r="A222" s="90" t="n">
        <v>25324</v>
      </c>
      <c r="B222" t="n">
        <v>0.7816659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0.2386307</v>
      </c>
    </row>
    <row r="223">
      <c r="A223" s="90" t="n">
        <v>25355</v>
      </c>
      <c r="B223" t="n">
        <v>0.7900709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0.238634</v>
      </c>
    </row>
    <row r="224">
      <c r="A224" s="90" t="n">
        <v>25385</v>
      </c>
      <c r="B224" t="n">
        <v>0.7984759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0.2374746</v>
      </c>
    </row>
    <row r="225">
      <c r="A225" s="90" t="n">
        <v>25416</v>
      </c>
      <c r="B225" t="n">
        <v>0.8040792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0.2387784</v>
      </c>
    </row>
    <row r="226">
      <c r="A226" s="90" t="n">
        <v>25447</v>
      </c>
      <c r="B226" t="n">
        <v>0.8068809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0.242866</v>
      </c>
    </row>
    <row r="227">
      <c r="A227" s="90" t="n">
        <v>25477</v>
      </c>
      <c r="B227" t="n">
        <v>0.8096825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0.247441</v>
      </c>
    </row>
    <row r="228">
      <c r="A228" s="90" t="n">
        <v>25508</v>
      </c>
      <c r="B228" t="n">
        <v>0.8152859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0.2506252</v>
      </c>
    </row>
    <row r="229">
      <c r="A229" s="90" t="n">
        <v>25538</v>
      </c>
      <c r="B229" t="n">
        <v>0.8208892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0.253642</v>
      </c>
    </row>
    <row r="230">
      <c r="A230" s="90" t="n">
        <v>25569</v>
      </c>
      <c r="B230" t="n">
        <v>0.8236909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0.254218</v>
      </c>
    </row>
    <row r="231">
      <c r="A231" s="90" t="n">
        <v>25600</v>
      </c>
      <c r="B231" t="n">
        <v>0.8264926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0.2530854</v>
      </c>
    </row>
    <row r="232">
      <c r="A232" s="90" t="n">
        <v>25628</v>
      </c>
      <c r="B232" t="n">
        <v>0.8320959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0.2554737</v>
      </c>
    </row>
    <row r="233">
      <c r="A233" s="90" t="n">
        <v>25659</v>
      </c>
      <c r="B233" t="n">
        <v>0.8348976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0.2588155</v>
      </c>
    </row>
    <row r="234">
      <c r="A234" s="90" t="n">
        <v>25689</v>
      </c>
      <c r="B234" t="n">
        <v>0.8376993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0.2605789</v>
      </c>
    </row>
    <row r="235">
      <c r="A235" s="90" t="n">
        <v>25720</v>
      </c>
      <c r="B235" t="n">
        <v>0.8405010000000001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0.2629929</v>
      </c>
    </row>
    <row r="236">
      <c r="A236" s="90" t="n">
        <v>25750</v>
      </c>
      <c r="B236" t="n">
        <v>0.8433026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0.265268</v>
      </c>
    </row>
    <row r="237">
      <c r="A237" s="90" t="n">
        <v>25781</v>
      </c>
      <c r="B237" t="n">
        <v>0.8461043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0.266302</v>
      </c>
    </row>
    <row r="238">
      <c r="A238" s="90" t="n">
        <v>25812</v>
      </c>
      <c r="B238" t="n">
        <v>0.8489059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0.2680131</v>
      </c>
    </row>
    <row r="239">
      <c r="A239" s="90" t="n">
        <v>25842</v>
      </c>
      <c r="B239" t="n">
        <v>0.8517076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0.2705621</v>
      </c>
    </row>
    <row r="240">
      <c r="A240" s="90" t="n">
        <v>25873</v>
      </c>
      <c r="B240" t="n">
        <v>0.8545093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0.272078</v>
      </c>
    </row>
    <row r="241">
      <c r="A241" s="90" t="n">
        <v>25903</v>
      </c>
      <c r="B241" t="n">
        <v>0.8601126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0.2735551</v>
      </c>
    </row>
    <row r="242">
      <c r="A242" s="90" t="n">
        <v>25934</v>
      </c>
      <c r="B242" t="n">
        <v>0.8629143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0.2765068</v>
      </c>
    </row>
    <row r="243">
      <c r="A243" s="90" t="n">
        <v>25965</v>
      </c>
      <c r="B243" t="n">
        <v>0.8685176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0.278814</v>
      </c>
    </row>
    <row r="244">
      <c r="A244" s="90" t="n">
        <v>25993</v>
      </c>
      <c r="B244" t="n">
        <v>0.8769227000000001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0.280654</v>
      </c>
    </row>
    <row r="245">
      <c r="A245" s="90" t="n">
        <v>26024</v>
      </c>
      <c r="B245" t="n">
        <v>0.882526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0.2832132</v>
      </c>
    </row>
    <row r="246">
      <c r="A246" s="90" t="n">
        <v>26054</v>
      </c>
      <c r="B246" t="n">
        <v>0.890931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0.2858628</v>
      </c>
    </row>
    <row r="247">
      <c r="A247" s="90" t="n">
        <v>26085</v>
      </c>
      <c r="B247" t="n">
        <v>0.899336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0.2871199</v>
      </c>
    </row>
    <row r="248">
      <c r="A248" s="90" t="n">
        <v>26115</v>
      </c>
      <c r="B248" t="n">
        <v>0.9021377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0.2871328</v>
      </c>
    </row>
    <row r="249">
      <c r="A249" s="90" t="n">
        <v>26146</v>
      </c>
      <c r="B249" t="n">
        <v>0.907741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0.2894966</v>
      </c>
    </row>
    <row r="250">
      <c r="A250" s="90" t="n">
        <v>26177</v>
      </c>
      <c r="B250" t="n">
        <v>0.9189477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0.2918229</v>
      </c>
    </row>
    <row r="251">
      <c r="A251" s="90" t="n">
        <v>26207</v>
      </c>
      <c r="B251" t="n">
        <v>0.9273527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0.2930707</v>
      </c>
    </row>
    <row r="252">
      <c r="A252" s="90" t="n">
        <v>26238</v>
      </c>
      <c r="B252" t="n">
        <v>0.9301544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0.2951781</v>
      </c>
    </row>
    <row r="253">
      <c r="A253" s="90" t="n">
        <v>26268</v>
      </c>
      <c r="B253" t="n">
        <v>0.9357577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0.2974969</v>
      </c>
    </row>
    <row r="254">
      <c r="A254" s="90" t="n">
        <v>26299</v>
      </c>
      <c r="B254" t="n">
        <v>0.9441627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0.2997762</v>
      </c>
    </row>
    <row r="255">
      <c r="A255" s="90" t="n">
        <v>26330</v>
      </c>
      <c r="B255" t="n">
        <v>0.9525678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0.3028557</v>
      </c>
    </row>
    <row r="256">
      <c r="A256" s="90" t="n">
        <v>26359</v>
      </c>
      <c r="B256" t="n">
        <v>0.9609727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0.305698</v>
      </c>
    </row>
    <row r="257">
      <c r="A257" s="90" t="n">
        <v>26390</v>
      </c>
      <c r="B257" t="n">
        <v>0.9693778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0.3074155</v>
      </c>
    </row>
    <row r="258">
      <c r="A258" s="90" t="n">
        <v>26420</v>
      </c>
      <c r="B258" t="n">
        <v>0.9805844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0.3094497</v>
      </c>
    </row>
    <row r="259">
      <c r="A259" s="90" t="n">
        <v>26451</v>
      </c>
      <c r="B259" t="n">
        <v>0.9917911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0.3136298</v>
      </c>
    </row>
    <row r="260">
      <c r="A260" s="90" t="n">
        <v>26481</v>
      </c>
      <c r="B260" t="n">
        <v>1.008601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0.3195812</v>
      </c>
    </row>
    <row r="261">
      <c r="A261" s="90" t="n">
        <v>26512</v>
      </c>
      <c r="B261" t="n">
        <v>1.031014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0.3257847</v>
      </c>
    </row>
    <row r="262">
      <c r="A262" s="90" t="n">
        <v>26543</v>
      </c>
      <c r="B262" t="n">
        <v>1.050626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0.3313638</v>
      </c>
    </row>
    <row r="263">
      <c r="A263" s="90" t="n">
        <v>26573</v>
      </c>
      <c r="B263" t="n">
        <v>1.070238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0.3348247</v>
      </c>
    </row>
    <row r="264">
      <c r="A264" s="90" t="n">
        <v>26604</v>
      </c>
      <c r="B264" t="n">
        <v>1.08985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0.3393196</v>
      </c>
    </row>
    <row r="265">
      <c r="A265" s="90" t="n">
        <v>26634</v>
      </c>
      <c r="B265" t="n">
        <v>1.112263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0.3462582</v>
      </c>
    </row>
    <row r="266">
      <c r="A266" s="90" t="n">
        <v>26665</v>
      </c>
      <c r="B266" t="n">
        <v>1.134676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0.350232</v>
      </c>
    </row>
    <row r="267">
      <c r="A267" s="90" t="n">
        <v>26696</v>
      </c>
      <c r="B267" t="n">
        <v>1.154288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0.3530811</v>
      </c>
    </row>
    <row r="268">
      <c r="A268" s="90" t="n">
        <v>26724</v>
      </c>
      <c r="B268" t="n">
        <v>1.171098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0.3598951</v>
      </c>
    </row>
    <row r="269">
      <c r="A269" s="90" t="n">
        <v>26755</v>
      </c>
      <c r="B269" t="n">
        <v>1.19071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0.3686755</v>
      </c>
    </row>
    <row r="270">
      <c r="A270" s="90" t="n">
        <v>26785</v>
      </c>
      <c r="B270" t="n">
        <v>1.218726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0.3780339</v>
      </c>
    </row>
    <row r="271">
      <c r="A271" s="90" t="n">
        <v>26816</v>
      </c>
      <c r="B271" t="n">
        <v>1.243941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0.3861646</v>
      </c>
    </row>
    <row r="272">
      <c r="A272" s="90" t="n">
        <v>26846</v>
      </c>
      <c r="B272" t="n">
        <v>1.269156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0.393177</v>
      </c>
    </row>
    <row r="273">
      <c r="A273" s="90" t="n">
        <v>26877</v>
      </c>
      <c r="B273" t="n">
        <v>1.294371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0.399902</v>
      </c>
    </row>
    <row r="274">
      <c r="A274" s="90" t="n">
        <v>26908</v>
      </c>
      <c r="B274" t="n">
        <v>1.316785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0.40692</v>
      </c>
    </row>
    <row r="275">
      <c r="A275" s="90" t="n">
        <v>26938</v>
      </c>
      <c r="B275" t="n">
        <v>1.333595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0.4123809</v>
      </c>
    </row>
    <row r="276">
      <c r="A276" s="90" t="n">
        <v>26969</v>
      </c>
      <c r="B276" t="n">
        <v>1.339198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0.4154501</v>
      </c>
    </row>
    <row r="277">
      <c r="A277" s="90" t="n">
        <v>26999</v>
      </c>
      <c r="B277" t="n">
        <v>1.350405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0.419131</v>
      </c>
    </row>
    <row r="278">
      <c r="A278" s="90" t="n">
        <v>27030</v>
      </c>
      <c r="B278" t="n">
        <v>1.367215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0.4235964</v>
      </c>
    </row>
    <row r="279">
      <c r="A279" s="90" t="n">
        <v>27061</v>
      </c>
      <c r="B279" t="n">
        <v>1.384025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0.4299194</v>
      </c>
    </row>
    <row r="280">
      <c r="A280" s="90" t="n">
        <v>27089</v>
      </c>
      <c r="B280" t="n">
        <v>1.400835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0.4375849</v>
      </c>
    </row>
    <row r="281">
      <c r="A281" s="90" t="n">
        <v>27120</v>
      </c>
      <c r="B281" t="n">
        <v>1.412042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0.4440742</v>
      </c>
    </row>
    <row r="282">
      <c r="A282" s="90" t="n">
        <v>27150</v>
      </c>
      <c r="B282" t="n">
        <v>1.428852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0.4505411</v>
      </c>
    </row>
    <row r="283">
      <c r="A283" s="90" t="n">
        <v>27181</v>
      </c>
      <c r="B283" t="n">
        <v>1.428852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0.4575538</v>
      </c>
    </row>
    <row r="284">
      <c r="A284" s="90" t="n">
        <v>27211</v>
      </c>
      <c r="B284" t="n">
        <v>1.40924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0.4620521</v>
      </c>
    </row>
    <row r="285">
      <c r="A285" s="90" t="n">
        <v>27242</v>
      </c>
      <c r="B285" t="n">
        <v>1.39243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0.464581</v>
      </c>
    </row>
    <row r="286">
      <c r="A286" s="90" t="n">
        <v>27273</v>
      </c>
      <c r="B286" t="n">
        <v>1.386827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0.4669874</v>
      </c>
    </row>
    <row r="287">
      <c r="A287" s="90" t="n">
        <v>27303</v>
      </c>
      <c r="B287" t="n">
        <v>1.403637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0.4738458</v>
      </c>
    </row>
    <row r="288">
      <c r="A288" s="90" t="n">
        <v>27334</v>
      </c>
      <c r="B288" t="n">
        <v>1.428852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0.4841326</v>
      </c>
    </row>
    <row r="289">
      <c r="A289" s="90" t="n">
        <v>27364</v>
      </c>
      <c r="B289" t="n">
        <v>1.448463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0.4919943</v>
      </c>
    </row>
    <row r="290">
      <c r="A290" s="90" t="n">
        <v>27395</v>
      </c>
      <c r="B290" t="n">
        <v>1.473678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0.5023027</v>
      </c>
    </row>
    <row r="291">
      <c r="A291" s="90" t="n">
        <v>27426</v>
      </c>
      <c r="B291" t="n">
        <v>1.507298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0.5112978</v>
      </c>
    </row>
    <row r="292">
      <c r="A292" s="90" t="n">
        <v>27454</v>
      </c>
      <c r="B292" t="n">
        <v>1.540918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0.5191613</v>
      </c>
    </row>
    <row r="293">
      <c r="A293" s="90" t="n">
        <v>27485</v>
      </c>
      <c r="B293" t="n">
        <v>1.574538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0.5267166</v>
      </c>
    </row>
    <row r="294">
      <c r="A294" s="90" t="n">
        <v>27515</v>
      </c>
      <c r="B294" t="n">
        <v>1.602555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0.5304126</v>
      </c>
    </row>
    <row r="295">
      <c r="A295" s="90" t="n">
        <v>27546</v>
      </c>
      <c r="B295" t="n">
        <v>1.624969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0.5372652999999999</v>
      </c>
    </row>
    <row r="296">
      <c r="A296" s="90" t="n">
        <v>27576</v>
      </c>
      <c r="B296" t="n">
        <v>1.655787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0.5478082</v>
      </c>
    </row>
    <row r="297">
      <c r="A297" s="90" t="n">
        <v>27607</v>
      </c>
      <c r="B297" t="n">
        <v>1.686605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0.5581419</v>
      </c>
    </row>
    <row r="298">
      <c r="A298" s="90" t="n">
        <v>27638</v>
      </c>
      <c r="B298" t="n">
        <v>1.706217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0.5654848</v>
      </c>
    </row>
    <row r="299">
      <c r="A299" s="90" t="n">
        <v>27668</v>
      </c>
      <c r="B299" t="n">
        <v>1.725829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0.5720716</v>
      </c>
    </row>
    <row r="300">
      <c r="A300" s="90" t="n">
        <v>27699</v>
      </c>
      <c r="B300" t="n">
        <v>1.74544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0.5820985</v>
      </c>
    </row>
    <row r="301">
      <c r="A301" s="90" t="n">
        <v>27729</v>
      </c>
      <c r="B301" t="n">
        <v>1.765052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0.5915943</v>
      </c>
    </row>
    <row r="302">
      <c r="A302" s="90" t="n">
        <v>27760</v>
      </c>
      <c r="B302" t="n">
        <v>1.784664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0.5969309</v>
      </c>
    </row>
    <row r="303">
      <c r="A303" s="90" t="n">
        <v>27791</v>
      </c>
      <c r="B303" t="n">
        <v>1.793069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0.6011030000000001</v>
      </c>
    </row>
    <row r="304">
      <c r="A304" s="90" t="n">
        <v>27820</v>
      </c>
      <c r="B304" t="n">
        <v>1.804275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0.6048126</v>
      </c>
    </row>
    <row r="305">
      <c r="A305" s="90" t="n">
        <v>27851</v>
      </c>
      <c r="B305" t="n">
        <v>1.82949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0.6095657</v>
      </c>
    </row>
    <row r="306">
      <c r="A306" s="90" t="n">
        <v>27881</v>
      </c>
      <c r="B306" t="n">
        <v>1.851904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0.6139775</v>
      </c>
    </row>
    <row r="307">
      <c r="A307" s="90" t="n">
        <v>27912</v>
      </c>
      <c r="B307" t="n">
        <v>1.868714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0.6198959000000001</v>
      </c>
    </row>
    <row r="308">
      <c r="A308" s="90" t="n">
        <v>27942</v>
      </c>
      <c r="B308" t="n">
        <v>1.888325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0.625509</v>
      </c>
    </row>
    <row r="309">
      <c r="A309" s="90" t="n">
        <v>27973</v>
      </c>
      <c r="B309" t="n">
        <v>2.036814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0.6290399</v>
      </c>
    </row>
    <row r="310">
      <c r="A310" s="90" t="n">
        <v>28004</v>
      </c>
      <c r="B310" t="n">
        <v>2.188104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0.6350414</v>
      </c>
    </row>
    <row r="311">
      <c r="A311" s="90" t="n">
        <v>28034</v>
      </c>
      <c r="B311" t="n">
        <v>2.207716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0.6417485000000001</v>
      </c>
    </row>
    <row r="312">
      <c r="A312" s="90" t="n">
        <v>28065</v>
      </c>
      <c r="B312" t="n">
        <v>2.227328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0.6463628</v>
      </c>
    </row>
    <row r="313">
      <c r="A313" s="90" t="n">
        <v>28095</v>
      </c>
      <c r="B313" t="n">
        <v>2.258146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0.6489388</v>
      </c>
    </row>
    <row r="314">
      <c r="A314" s="90" t="n">
        <v>28126</v>
      </c>
      <c r="B314" t="n">
        <v>2.288964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0.6514621</v>
      </c>
    </row>
    <row r="315">
      <c r="A315" s="90" t="n">
        <v>28157</v>
      </c>
      <c r="B315" t="n">
        <v>2.319782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0.6536189</v>
      </c>
    </row>
    <row r="316">
      <c r="A316" s="90" t="n">
        <v>28185</v>
      </c>
      <c r="B316" t="n">
        <v>2.344998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0.6577518</v>
      </c>
    </row>
    <row r="317">
      <c r="A317" s="90" t="n">
        <v>28216</v>
      </c>
      <c r="B317" t="n">
        <v>2.359006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0.6643974</v>
      </c>
    </row>
    <row r="318">
      <c r="A318" s="90" t="n">
        <v>28246</v>
      </c>
      <c r="B318" t="n">
        <v>2.375816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0.6734314</v>
      </c>
    </row>
    <row r="319">
      <c r="A319" s="90" t="n">
        <v>28277</v>
      </c>
      <c r="B319" t="n">
        <v>2.392626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0.6838273</v>
      </c>
    </row>
    <row r="320">
      <c r="A320" s="90" t="n">
        <v>28307</v>
      </c>
      <c r="B320" t="n">
        <v>2.403833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0.6873771</v>
      </c>
    </row>
    <row r="321">
      <c r="A321" s="90" t="n">
        <v>28338</v>
      </c>
      <c r="B321" t="n">
        <v>2.412238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0.6887984</v>
      </c>
    </row>
    <row r="322">
      <c r="A322" s="90" t="n">
        <v>28369</v>
      </c>
      <c r="B322" t="n">
        <v>2.417841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0.6941239</v>
      </c>
    </row>
    <row r="323">
      <c r="A323" s="90" t="n">
        <v>28399</v>
      </c>
      <c r="B323" t="n">
        <v>2.426246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0.6980436</v>
      </c>
    </row>
    <row r="324">
      <c r="A324" s="90" t="n">
        <v>28430</v>
      </c>
      <c r="B324" t="n">
        <v>2.443056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0.7027519</v>
      </c>
    </row>
    <row r="325">
      <c r="A325" s="90" t="n">
        <v>28460</v>
      </c>
      <c r="B325" t="n">
        <v>2.465469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0.7105621</v>
      </c>
    </row>
    <row r="326">
      <c r="A326" s="90" t="n">
        <v>28491</v>
      </c>
      <c r="B326" t="n">
        <v>2.485081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0.7260501</v>
      </c>
    </row>
    <row r="327">
      <c r="A327" s="90" t="n">
        <v>28522</v>
      </c>
      <c r="B327" t="n">
        <v>2.507494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0.7393022</v>
      </c>
    </row>
    <row r="328">
      <c r="A328" s="90" t="n">
        <v>28550</v>
      </c>
      <c r="B328" t="n">
        <v>2.538313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0.7458967</v>
      </c>
    </row>
    <row r="329">
      <c r="A329" s="90" t="n">
        <v>28581</v>
      </c>
      <c r="B329" t="n">
        <v>2.569131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0.7577389</v>
      </c>
    </row>
    <row r="330">
      <c r="A330" s="90" t="n">
        <v>28611</v>
      </c>
      <c r="B330" t="n">
        <v>2.59995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0.7711066</v>
      </c>
    </row>
    <row r="331">
      <c r="A331" s="90" t="n">
        <v>28642</v>
      </c>
      <c r="B331" t="n">
        <v>2.625165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0.7821346</v>
      </c>
    </row>
    <row r="332">
      <c r="A332" s="90" t="n">
        <v>28672</v>
      </c>
      <c r="B332" t="n">
        <v>2.647578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0.794615</v>
      </c>
    </row>
    <row r="333">
      <c r="A333" s="90" t="n">
        <v>28703</v>
      </c>
      <c r="B333" t="n">
        <v>2.675595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0.8113272</v>
      </c>
    </row>
    <row r="334">
      <c r="A334" s="90" t="n">
        <v>28734</v>
      </c>
      <c r="B334" t="n">
        <v>2.703611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0.8056955</v>
      </c>
    </row>
    <row r="335">
      <c r="A335" s="90" t="n">
        <v>28764</v>
      </c>
      <c r="B335" t="n">
        <v>2.726025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0.8108849</v>
      </c>
    </row>
    <row r="336">
      <c r="A336" s="90" t="n">
        <v>28795</v>
      </c>
      <c r="B336" t="n">
        <v>2.748438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0.8378706</v>
      </c>
    </row>
    <row r="337">
      <c r="A337" s="90" t="n">
        <v>28825</v>
      </c>
      <c r="B337" t="n">
        <v>2.773653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0.8464968</v>
      </c>
    </row>
    <row r="338">
      <c r="A338" s="90" t="n">
        <v>28856</v>
      </c>
      <c r="B338" t="n">
        <v>2.807273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0.8501735</v>
      </c>
    </row>
    <row r="339">
      <c r="A339" s="90" t="n">
        <v>28887</v>
      </c>
      <c r="B339" t="n">
        <v>2.849298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0.8581127</v>
      </c>
    </row>
    <row r="340">
      <c r="A340" s="90" t="n">
        <v>28915</v>
      </c>
      <c r="B340" t="n">
        <v>2.88572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0.8688436</v>
      </c>
    </row>
    <row r="341">
      <c r="A341" s="90" t="n">
        <v>28946</v>
      </c>
      <c r="B341" t="n">
        <v>2.922142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0.8765429</v>
      </c>
    </row>
    <row r="342">
      <c r="A342" s="90" t="n">
        <v>28976</v>
      </c>
      <c r="B342" t="n">
        <v>2.95296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0.884212</v>
      </c>
    </row>
    <row r="343">
      <c r="A343" s="90" t="n">
        <v>29007</v>
      </c>
      <c r="B343" t="n">
        <v>2.972572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0.8909767</v>
      </c>
    </row>
    <row r="344">
      <c r="A344" s="90" t="n">
        <v>29037</v>
      </c>
      <c r="B344" t="n">
        <v>2.989382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0.8980928</v>
      </c>
    </row>
    <row r="345">
      <c r="A345" s="90" t="n">
        <v>29068</v>
      </c>
      <c r="B345" t="n">
        <v>3.011795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0.9114954</v>
      </c>
    </row>
    <row r="346">
      <c r="A346" s="90" t="n">
        <v>29099</v>
      </c>
      <c r="B346" t="n">
        <v>3.03701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0.9245378</v>
      </c>
    </row>
    <row r="347">
      <c r="A347" s="90" t="n">
        <v>29129</v>
      </c>
      <c r="B347" t="n">
        <v>3.062225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0.9387982</v>
      </c>
    </row>
    <row r="348">
      <c r="A348" s="90" t="n">
        <v>29160</v>
      </c>
      <c r="B348" t="n">
        <v>3.098647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0.9564963</v>
      </c>
    </row>
    <row r="349">
      <c r="A349" s="90" t="n">
        <v>29190</v>
      </c>
      <c r="B349" t="n">
        <v>3.13787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0.9732311</v>
      </c>
    </row>
    <row r="350">
      <c r="A350" s="90" t="n">
        <v>29221</v>
      </c>
      <c r="B350" t="n">
        <v>3.191102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3.121307</v>
      </c>
      <c r="Y350" t="n">
        <v>0.2636056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0.987341</v>
      </c>
    </row>
    <row r="351">
      <c r="A351" s="90" t="n">
        <v>29252</v>
      </c>
      <c r="B351" t="n">
        <v>3.247135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3.156079</v>
      </c>
      <c r="Y351" t="n">
        <v>0.2695276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0.9988517</v>
      </c>
    </row>
    <row r="352">
      <c r="A352" s="90" t="n">
        <v>29281</v>
      </c>
      <c r="B352" t="n">
        <v>3.275152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3.178642</v>
      </c>
      <c r="Y352" t="n">
        <v>0.2718818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1.018906</v>
      </c>
    </row>
    <row r="353">
      <c r="A353" s="90" t="n">
        <v>29312</v>
      </c>
      <c r="B353" t="n">
        <v>3.294764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3.199175</v>
      </c>
      <c r="Y353" t="n">
        <v>0.2754059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1.029501</v>
      </c>
    </row>
    <row r="354">
      <c r="A354" s="90" t="n">
        <v>29342</v>
      </c>
      <c r="B354" t="n">
        <v>3.32278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3.230577</v>
      </c>
      <c r="Y354" t="n">
        <v>0.2792597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1.033571</v>
      </c>
    </row>
    <row r="355">
      <c r="A355" s="90" t="n">
        <v>29373</v>
      </c>
      <c r="B355" t="n">
        <v>3.3564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3.269584</v>
      </c>
      <c r="Y355" t="n">
        <v>0.2828592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1.053681</v>
      </c>
    </row>
    <row r="356">
      <c r="A356" s="90" t="n">
        <v>29403</v>
      </c>
      <c r="B356" t="n">
        <v>3.398426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3.315253</v>
      </c>
      <c r="Y356" t="n">
        <v>0.2942907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1.082661</v>
      </c>
    </row>
    <row r="357">
      <c r="A357" s="90" t="n">
        <v>29434</v>
      </c>
      <c r="B357" t="n">
        <v>3.44045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3.358243</v>
      </c>
      <c r="Y357" t="n">
        <v>0.3064789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1.107053</v>
      </c>
    </row>
    <row r="358">
      <c r="A358" s="90" t="n">
        <v>29465</v>
      </c>
      <c r="B358" t="n">
        <v>3.471269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3.394343</v>
      </c>
      <c r="Y358" t="n">
        <v>0.3139983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1.130301</v>
      </c>
    </row>
    <row r="359">
      <c r="A359" s="90" t="n">
        <v>29495</v>
      </c>
      <c r="B359" t="n">
        <v>3.510492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3.433035</v>
      </c>
      <c r="Y359" t="n">
        <v>0.3235874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1.158936</v>
      </c>
    </row>
    <row r="360">
      <c r="A360" s="90" t="n">
        <v>29526</v>
      </c>
      <c r="B360" t="n">
        <v>3.555319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3.47323</v>
      </c>
      <c r="Y360" t="n">
        <v>0.3311438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1.180304</v>
      </c>
    </row>
    <row r="361">
      <c r="A361" s="90" t="n">
        <v>29556</v>
      </c>
      <c r="B361" t="n">
        <v>3.594542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3.505599</v>
      </c>
      <c r="Y361" t="n">
        <v>0.337032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1.198539</v>
      </c>
    </row>
    <row r="362">
      <c r="A362" s="90" t="n">
        <v>29587</v>
      </c>
      <c r="B362" t="n">
        <v>3.628162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3.541545</v>
      </c>
      <c r="Y362" t="n">
        <v>0.3425827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1.220656</v>
      </c>
    </row>
    <row r="363">
      <c r="A363" s="90" t="n">
        <v>29618</v>
      </c>
      <c r="B363" t="n">
        <v>3.656179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3.579477</v>
      </c>
      <c r="Y363" t="n">
        <v>0.3475534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1.244737</v>
      </c>
    </row>
    <row r="364">
      <c r="A364" s="90" t="n">
        <v>29646</v>
      </c>
      <c r="B364" t="n">
        <v>3.686997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3.622396</v>
      </c>
      <c r="Y364" t="n">
        <v>0.3527135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1.272779</v>
      </c>
    </row>
    <row r="365">
      <c r="A365" s="90" t="n">
        <v>29677</v>
      </c>
      <c r="B365" t="n">
        <v>3.720618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3.684196</v>
      </c>
      <c r="Y365" t="n">
        <v>0.3644114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1.307369</v>
      </c>
    </row>
    <row r="366">
      <c r="A366" s="90" t="n">
        <v>29707</v>
      </c>
      <c r="B366" t="n">
        <v>3.759841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3.723259</v>
      </c>
      <c r="Y366" t="n">
        <v>0.3779696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1.334731</v>
      </c>
    </row>
    <row r="367">
      <c r="A367" s="90" t="n">
        <v>29738</v>
      </c>
      <c r="B367" t="n">
        <v>3.804667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3.763456</v>
      </c>
      <c r="Y367" t="n">
        <v>0.3856539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1.348952</v>
      </c>
    </row>
    <row r="368">
      <c r="A368" s="90" t="n">
        <v>29768</v>
      </c>
      <c r="B368" t="n">
        <v>3.841089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3.811144</v>
      </c>
      <c r="Y368" t="n">
        <v>0.3988336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1.366034</v>
      </c>
    </row>
    <row r="369">
      <c r="A369" s="90" t="n">
        <v>29799</v>
      </c>
      <c r="B369" t="n">
        <v>3.869106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3.860148</v>
      </c>
      <c r="Y369" t="n">
        <v>0.4108087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1.381538</v>
      </c>
    </row>
    <row r="370">
      <c r="A370" s="90" t="n">
        <v>29830</v>
      </c>
      <c r="B370" t="n">
        <v>3.899924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3.89992</v>
      </c>
      <c r="Y370" t="n">
        <v>0.4153804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1.381235</v>
      </c>
    </row>
    <row r="371">
      <c r="A371" s="90" t="n">
        <v>29860</v>
      </c>
      <c r="B371" t="n">
        <v>3.936346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3.953429</v>
      </c>
      <c r="Y371" t="n">
        <v>0.4293068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1.388174</v>
      </c>
    </row>
    <row r="372">
      <c r="A372" s="90" t="n">
        <v>29891</v>
      </c>
      <c r="B372" t="n">
        <v>3.972768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4.000426</v>
      </c>
      <c r="Y372" t="n">
        <v>0.4450067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1.40994</v>
      </c>
    </row>
    <row r="373">
      <c r="A373" s="90" t="n">
        <v>29921</v>
      </c>
      <c r="B373" t="n">
        <v>4.003586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4.059442</v>
      </c>
      <c r="Y373" t="n">
        <v>0.4598689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1.422759</v>
      </c>
    </row>
    <row r="374">
      <c r="A374" s="90" t="n">
        <v>29952</v>
      </c>
      <c r="B374" t="n">
        <v>4.037206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4.110189</v>
      </c>
      <c r="Y374" t="n">
        <v>0.4727326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1.428206</v>
      </c>
    </row>
    <row r="375">
      <c r="A375" s="90" t="n">
        <v>29983</v>
      </c>
      <c r="B375" t="n">
        <v>4.073628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0.1771619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4.159521</v>
      </c>
      <c r="Y375" t="n">
        <v>0.478066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1.436037</v>
      </c>
    </row>
    <row r="376">
      <c r="A376" s="90" t="n">
        <v>30011</v>
      </c>
      <c r="B376" t="n">
        <v>4.107248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0.1804316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4.217951</v>
      </c>
      <c r="Y376" t="n">
        <v>0.4836786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1.458421</v>
      </c>
    </row>
    <row r="377">
      <c r="A377" s="90" t="n">
        <v>30042</v>
      </c>
      <c r="B377" t="n">
        <v>4.149273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0.184338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4.257178</v>
      </c>
      <c r="Y377" t="n">
        <v>0.4927541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1.469753</v>
      </c>
    </row>
    <row r="378">
      <c r="A378" s="90" t="n">
        <v>30072</v>
      </c>
      <c r="B378" t="n">
        <v>4.21091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0.1894813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4.291298</v>
      </c>
      <c r="Y378" t="n">
        <v>0.5011249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1.465473</v>
      </c>
    </row>
    <row r="379">
      <c r="A379" s="90" t="n">
        <v>30103</v>
      </c>
      <c r="B379" t="n">
        <v>4.252935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0.1929944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4.327038</v>
      </c>
      <c r="Y379" t="n">
        <v>0.5068845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1.478107</v>
      </c>
    </row>
    <row r="380">
      <c r="A380" s="90" t="n">
        <v>30133</v>
      </c>
      <c r="B380" t="n">
        <v>4.269745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4.365262</v>
      </c>
      <c r="Y380" t="n">
        <v>0.5161998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1.498143</v>
      </c>
    </row>
    <row r="381">
      <c r="A381" s="90" t="n">
        <v>30164</v>
      </c>
      <c r="B381" t="n">
        <v>4.292158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0.1968203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4.437091</v>
      </c>
      <c r="Y381" t="n">
        <v>0.5262578999999999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1.520349</v>
      </c>
    </row>
    <row r="382">
      <c r="A382" s="90" t="n">
        <v>30195</v>
      </c>
      <c r="B382" t="n">
        <v>4.32858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0.1985228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4.50868</v>
      </c>
      <c r="Y382" t="n">
        <v>0.5360081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1.548351</v>
      </c>
    </row>
    <row r="383">
      <c r="A383" s="90" t="n">
        <v>30225</v>
      </c>
      <c r="B383" t="n">
        <v>4.3622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0.1996799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4.55735</v>
      </c>
      <c r="Y383" t="n">
        <v>0.5446567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1.571618</v>
      </c>
    </row>
    <row r="384">
      <c r="A384" s="90" t="n">
        <v>30256</v>
      </c>
      <c r="B384" t="n">
        <v>4.39582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0.2011388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4.609123</v>
      </c>
      <c r="Y384" t="n">
        <v>0.5523291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1.59784</v>
      </c>
    </row>
    <row r="385">
      <c r="A385" s="90" t="n">
        <v>30286</v>
      </c>
      <c r="B385" t="n">
        <v>4.449052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0.2044406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4.673553</v>
      </c>
      <c r="Y385" t="n">
        <v>0.5638146000000001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1.629446</v>
      </c>
    </row>
    <row r="386">
      <c r="A386" s="90" t="n">
        <v>30317</v>
      </c>
      <c r="B386" t="n">
        <v>4.493878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0.2080088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0.02095637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4.774267</v>
      </c>
      <c r="Y386" t="n">
        <v>0.5716889000000001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1.660487</v>
      </c>
    </row>
    <row r="387">
      <c r="A387" s="90" t="n">
        <v>30348</v>
      </c>
      <c r="B387" t="n">
        <v>4.535903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0.2107559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0.02273101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4.848262</v>
      </c>
      <c r="Y387" t="n">
        <v>0.5754942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1.689751</v>
      </c>
    </row>
    <row r="388">
      <c r="A388" s="90" t="n">
        <v>30376</v>
      </c>
      <c r="B388" t="n">
        <v>4.608747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0.2120955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0.02456615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4.89987</v>
      </c>
      <c r="Y388" t="n">
        <v>0.5841442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1.720347</v>
      </c>
    </row>
    <row r="389">
      <c r="A389" s="90" t="n">
        <v>30407</v>
      </c>
      <c r="B389" t="n">
        <v>4.670383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0.2164157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0.02604944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4.94809</v>
      </c>
      <c r="Y389" t="n">
        <v>0.5923744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1.749402</v>
      </c>
    </row>
    <row r="390">
      <c r="A390" s="90" t="n">
        <v>30437</v>
      </c>
      <c r="B390" t="n">
        <v>4.718012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0.224002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0.02811952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5.0028</v>
      </c>
      <c r="Y390" t="n">
        <v>0.6004317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1.775752</v>
      </c>
    </row>
    <row r="391">
      <c r="A391" s="90" t="n">
        <v>30468</v>
      </c>
      <c r="B391" t="n">
        <v>4.776847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0.2301101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0.03042491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5.058339</v>
      </c>
      <c r="Y391" t="n">
        <v>0.6104001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1.803113</v>
      </c>
    </row>
    <row r="392">
      <c r="A392" s="90" t="n">
        <v>30498</v>
      </c>
      <c r="B392" t="n">
        <v>4.824475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0.2363079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0.03285184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5.117201</v>
      </c>
      <c r="Y392" t="n">
        <v>0.6195739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1.815187</v>
      </c>
    </row>
    <row r="393">
      <c r="A393" s="90" t="n">
        <v>30529</v>
      </c>
      <c r="B393" t="n">
        <v>4.872104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0.2426312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0.03660585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5.174606</v>
      </c>
      <c r="Y393" t="n">
        <v>0.6251592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1.826455</v>
      </c>
    </row>
    <row r="394">
      <c r="A394" s="90" t="n">
        <v>30560</v>
      </c>
      <c r="B394" t="n">
        <v>4.922534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0.2478409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0.04088385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5.22951</v>
      </c>
      <c r="Y394" t="n">
        <v>0.6300835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1.857829</v>
      </c>
    </row>
    <row r="395">
      <c r="A395" s="90" t="n">
        <v>30590</v>
      </c>
      <c r="B395" t="n">
        <v>4.970162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0.2550722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0.04735092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5.299478</v>
      </c>
      <c r="Y395" t="n">
        <v>0.6387645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1.873138</v>
      </c>
    </row>
    <row r="396">
      <c r="A396" s="90" t="n">
        <v>30621</v>
      </c>
      <c r="B396" t="n">
        <v>5.020592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0.2631054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0.05619401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5.370053</v>
      </c>
      <c r="Y396" t="n">
        <v>0.6489049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1.880028</v>
      </c>
    </row>
    <row r="397">
      <c r="A397" s="90" t="n">
        <v>30651</v>
      </c>
      <c r="B397" t="n">
        <v>5.082229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0.2669102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0.06447951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5.443464</v>
      </c>
      <c r="Y397" t="n">
        <v>0.6593816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1.902195</v>
      </c>
    </row>
    <row r="398">
      <c r="A398" s="90" t="n">
        <v>30682</v>
      </c>
      <c r="B398" t="n">
        <v>5.146667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0.2689432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0.07366807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5.516829</v>
      </c>
      <c r="Y398" t="n">
        <v>0.6677514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1.932488</v>
      </c>
    </row>
    <row r="399">
      <c r="A399" s="90" t="n">
        <v>30713</v>
      </c>
      <c r="B399" t="n">
        <v>5.213908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0.2721813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5.585197</v>
      </c>
      <c r="Y399" t="n">
        <v>0.6768326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1.963846</v>
      </c>
    </row>
    <row r="400">
      <c r="A400" s="90" t="n">
        <v>30742</v>
      </c>
      <c r="B400" t="n">
        <v>5.272743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0.2759534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0.09761245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5.658073</v>
      </c>
      <c r="Y400" t="n">
        <v>0.6907418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1.97961</v>
      </c>
    </row>
    <row r="401">
      <c r="A401" s="90" t="n">
        <v>30773</v>
      </c>
      <c r="B401" t="n">
        <v>5.306363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0.2804785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0.1130176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5.723197</v>
      </c>
      <c r="Y401" t="n">
        <v>0.7030744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2.003437</v>
      </c>
    </row>
    <row r="402">
      <c r="A402" s="90" t="n">
        <v>30803</v>
      </c>
      <c r="B402" t="n">
        <v>5.337181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0.2839675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5.788456</v>
      </c>
      <c r="Y402" t="n">
        <v>0.7133716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2.033954</v>
      </c>
    </row>
    <row r="403">
      <c r="A403" s="90" t="n">
        <v>30834</v>
      </c>
      <c r="B403" t="n">
        <v>5.379206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0.2875665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0.1477881</v>
      </c>
      <c r="S403" t="n">
        <v>34.20883</v>
      </c>
      <c r="T403" t="n">
        <v>1.354109</v>
      </c>
      <c r="U403" t="n">
        <v>0.05764965</v>
      </c>
      <c r="V403" t="n">
        <v>11.12586</v>
      </c>
      <c r="W403" t="n">
        <v>5.851186</v>
      </c>
      <c r="X403" t="n">
        <v>5.857327</v>
      </c>
      <c r="Y403" t="n">
        <v>0.7276686999999999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2.056708</v>
      </c>
    </row>
    <row r="404">
      <c r="A404" s="90" t="n">
        <v>30864</v>
      </c>
      <c r="B404" t="n">
        <v>5.435239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0.2922314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0.1693427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5.921257</v>
      </c>
      <c r="Y404" t="n">
        <v>0.7389884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2.087083</v>
      </c>
    </row>
    <row r="405">
      <c r="A405" s="90" t="n">
        <v>30895</v>
      </c>
      <c r="B405" t="n">
        <v>5.508083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0.2978024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5.986213</v>
      </c>
      <c r="Y405" t="n">
        <v>0.7506074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2.115305</v>
      </c>
    </row>
    <row r="406">
      <c r="A406" s="90" t="n">
        <v>30926</v>
      </c>
      <c r="B406" t="n">
        <v>5.575323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0.3064998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0.2353673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6.069499</v>
      </c>
      <c r="Y406" t="n">
        <v>0.7662421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2.145564</v>
      </c>
    </row>
    <row r="407">
      <c r="A407" s="90" t="n">
        <v>30956</v>
      </c>
      <c r="B407" t="n">
        <v>5.634158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0.3144158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0.2814282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6.152275</v>
      </c>
      <c r="Y407" t="n">
        <v>0.7788707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2.185947</v>
      </c>
    </row>
    <row r="408">
      <c r="A408" s="90" t="n">
        <v>30987</v>
      </c>
      <c r="B408" t="n">
        <v>5.709803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0.3203268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0.3354053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6.255158</v>
      </c>
      <c r="Y408" t="n">
        <v>0.7970005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2.232666</v>
      </c>
    </row>
    <row r="409">
      <c r="A409" s="90" t="n">
        <v>31017</v>
      </c>
      <c r="B409" t="n">
        <v>5.793853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0.3286105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6.376672</v>
      </c>
      <c r="Y409" t="n">
        <v>0.8192201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2.256589</v>
      </c>
    </row>
    <row r="410">
      <c r="A410" s="90" t="n">
        <v>31048</v>
      </c>
      <c r="B410" t="n">
        <v>5.886308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0.3373996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0.4360049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6.487883</v>
      </c>
      <c r="Y410" t="n">
        <v>0.8320703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2.268608</v>
      </c>
    </row>
    <row r="411">
      <c r="A411" s="90" t="n">
        <v>31079</v>
      </c>
      <c r="B411" t="n">
        <v>5.975962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0.3438269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0.4852702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6.561761</v>
      </c>
      <c r="Y411" t="n">
        <v>0.8443284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2.293169</v>
      </c>
    </row>
    <row r="412">
      <c r="A412" s="90" t="n">
        <v>31107</v>
      </c>
      <c r="B412" t="n">
        <v>6.051607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0.3510473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0.5413553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6.628422</v>
      </c>
      <c r="Y412" t="n">
        <v>0.8617254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2.305591</v>
      </c>
    </row>
    <row r="413">
      <c r="A413" s="90" t="n">
        <v>31138</v>
      </c>
      <c r="B413" t="n">
        <v>6.12445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0.357784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0.6177171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6.696741</v>
      </c>
      <c r="Y413" t="n">
        <v>0.8776796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2.322314</v>
      </c>
    </row>
    <row r="414">
      <c r="A414" s="90" t="n">
        <v>31168</v>
      </c>
      <c r="B414" t="n">
        <v>6.200095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0.3643548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6.771733</v>
      </c>
      <c r="Y414" t="n">
        <v>0.8940709999999999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2.353278</v>
      </c>
    </row>
    <row r="415">
      <c r="A415" s="90" t="n">
        <v>31199</v>
      </c>
      <c r="B415" t="n">
        <v>6.244922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0.3732353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0.7561024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6.855992</v>
      </c>
      <c r="Y415" t="n">
        <v>0.9104712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2.389041</v>
      </c>
    </row>
    <row r="416">
      <c r="A416" s="90" t="n">
        <v>31229</v>
      </c>
      <c r="B416" t="n">
        <v>6.328972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0.3834661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0.9078443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6.944648</v>
      </c>
      <c r="Y416" t="n">
        <v>0.9286416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2.41753</v>
      </c>
    </row>
    <row r="417">
      <c r="A417" s="90" t="n">
        <v>31260</v>
      </c>
      <c r="B417" t="n">
        <v>6.446642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0.3955137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1.024949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7.036318</v>
      </c>
      <c r="Y417" t="n">
        <v>0.951941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2.442</v>
      </c>
    </row>
    <row r="418">
      <c r="A418" s="90" t="n">
        <v>31291</v>
      </c>
      <c r="B418" t="n">
        <v>6.525089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0.404394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1.047129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7.112937</v>
      </c>
      <c r="Y418" t="n">
        <v>0.9725747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2.448328</v>
      </c>
    </row>
    <row r="419">
      <c r="A419" s="90" t="n">
        <v>31321</v>
      </c>
      <c r="B419" t="n">
        <v>6.586726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0.4145226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1.076968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7.177385</v>
      </c>
      <c r="Y419" t="n">
        <v>0.9845479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2.461045</v>
      </c>
    </row>
    <row r="420">
      <c r="A420" s="90" t="n">
        <v>31352</v>
      </c>
      <c r="B420" t="n">
        <v>6.634354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0.4281445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7.239544</v>
      </c>
      <c r="Y420" t="n">
        <v>0.9961973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2.486035</v>
      </c>
    </row>
    <row r="421">
      <c r="A421" s="90" t="n">
        <v>31382</v>
      </c>
      <c r="B421" t="n">
        <v>6.673577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0.4399349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1.142665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7.483298</v>
      </c>
      <c r="Y421" t="n">
        <v>1.018163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2.508467</v>
      </c>
    </row>
    <row r="422">
      <c r="A422" s="90" t="n">
        <v>31413</v>
      </c>
      <c r="B422" t="n">
        <v>6.693189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0.4526662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1.149872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7.714454</v>
      </c>
      <c r="Y422" t="n">
        <v>1.042914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2.52803</v>
      </c>
    </row>
    <row r="423">
      <c r="A423" s="90" t="n">
        <v>31444</v>
      </c>
      <c r="B423" t="n">
        <v>6.707198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0.4650086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1.172309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7.767269</v>
      </c>
      <c r="Y423" t="n">
        <v>1.059515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2.566039</v>
      </c>
    </row>
    <row r="424">
      <c r="A424" s="90" t="n">
        <v>31472</v>
      </c>
      <c r="B424" t="n">
        <v>6.766033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0.4760374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1.195891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7.843071</v>
      </c>
      <c r="Y424" t="n">
        <v>1.085413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2.581367</v>
      </c>
    </row>
    <row r="425">
      <c r="A425" s="90" t="n">
        <v>31503</v>
      </c>
      <c r="B425" t="n">
        <v>6.875298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0.4847549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1.199048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7.923272</v>
      </c>
      <c r="Y425" t="n">
        <v>1.110453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2.586592</v>
      </c>
    </row>
    <row r="426">
      <c r="A426" s="90" t="n">
        <v>31533</v>
      </c>
      <c r="B426" t="n">
        <v>6.964951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0.4945128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1.187812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8.000325</v>
      </c>
      <c r="Y426" t="n">
        <v>1.134887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2.621361</v>
      </c>
    </row>
    <row r="427">
      <c r="A427" s="90" t="n">
        <v>31564</v>
      </c>
      <c r="B427" t="n">
        <v>7.015381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0.5069507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8.073919</v>
      </c>
      <c r="Y427" t="n">
        <v>1.161109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2.638045</v>
      </c>
    </row>
    <row r="428">
      <c r="A428" s="90" t="n">
        <v>31594</v>
      </c>
      <c r="B428" t="n">
        <v>7.057406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0.5173888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1.184664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8.146362</v>
      </c>
      <c r="Y428" t="n">
        <v>1.181308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2.653097</v>
      </c>
    </row>
    <row r="429">
      <c r="A429" s="90" t="n">
        <v>31625</v>
      </c>
      <c r="B429" t="n">
        <v>7.105035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0.5252523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8.233211000000001</v>
      </c>
      <c r="Y429" t="n">
        <v>1.197807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2.673688</v>
      </c>
    </row>
    <row r="430">
      <c r="A430" s="90" t="n">
        <v>31656</v>
      </c>
      <c r="B430" t="n">
        <v>7.138655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0.5321031000000001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8.337256999999999</v>
      </c>
      <c r="Y430" t="n">
        <v>1.212624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2.694715</v>
      </c>
    </row>
    <row r="431">
      <c r="A431" s="90" t="n">
        <v>31686</v>
      </c>
      <c r="B431" t="n">
        <v>7.18068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0.5419083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8.447431999999999</v>
      </c>
      <c r="Y431" t="n">
        <v>1.230883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2.718864</v>
      </c>
    </row>
    <row r="432">
      <c r="A432" s="90" t="n">
        <v>31717</v>
      </c>
      <c r="B432" t="n">
        <v>7.211498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0.5543453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1.321335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8.557178</v>
      </c>
      <c r="Y432" t="n">
        <v>1.252015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2.739918</v>
      </c>
    </row>
    <row r="433">
      <c r="A433" s="90" t="n">
        <v>31747</v>
      </c>
      <c r="B433" t="n">
        <v>7.253523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0.5672283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1.351371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8.697248999999999</v>
      </c>
      <c r="Y433" t="n">
        <v>1.275741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2.751057</v>
      </c>
    </row>
    <row r="434">
      <c r="A434" s="90" t="n">
        <v>31778</v>
      </c>
      <c r="B434" t="n">
        <v>7.343176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0.5793167</v>
      </c>
      <c r="I434" t="n">
        <v/>
      </c>
      <c r="J434" t="n">
        <v/>
      </c>
      <c r="K434" t="n">
        <v>22.63851</v>
      </c>
      <c r="L434" t="n">
        <v>19.34158</v>
      </c>
      <c r="M434" t="n">
        <v>9.223369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8.815681</v>
      </c>
      <c r="Y434" t="n">
        <v>1.298691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2.747724</v>
      </c>
    </row>
    <row r="435">
      <c r="A435" s="90" t="n">
        <v>31809</v>
      </c>
      <c r="B435" t="n">
        <v>7.421623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0.5926108</v>
      </c>
      <c r="I435" t="n">
        <v/>
      </c>
      <c r="J435" t="n">
        <v/>
      </c>
      <c r="K435" t="n">
        <v>22.56106</v>
      </c>
      <c r="L435" t="n">
        <v>19.25452</v>
      </c>
      <c r="M435" t="n">
        <v>11.16499</v>
      </c>
      <c r="N435" t="n">
        <v/>
      </c>
      <c r="O435" t="n">
        <v/>
      </c>
      <c r="P435" t="n">
        <v>1.280062</v>
      </c>
      <c r="Q435" t="n">
        <v>3.176628</v>
      </c>
      <c r="R435" t="n">
        <v>1.451146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9.048498</v>
      </c>
      <c r="Y435" t="n">
        <v>1.443129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2.765377</v>
      </c>
    </row>
    <row r="436">
      <c r="A436" s="90" t="n">
        <v>31837</v>
      </c>
      <c r="B436" t="n">
        <v>7.455243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0.6074686</v>
      </c>
      <c r="I436" t="n">
        <v/>
      </c>
      <c r="J436" t="n">
        <v/>
      </c>
      <c r="K436" t="n">
        <v>22.76226</v>
      </c>
      <c r="L436" t="n">
        <v>19.28458</v>
      </c>
      <c r="M436" t="n">
        <v>11.32884</v>
      </c>
      <c r="N436" t="n">
        <v/>
      </c>
      <c r="O436" t="n">
        <v/>
      </c>
      <c r="P436" t="n">
        <v>1.295625</v>
      </c>
      <c r="Q436" t="n">
        <v>3.294622</v>
      </c>
      <c r="R436" t="n">
        <v>1.499288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9.154037000000001</v>
      </c>
      <c r="Y436" t="n">
        <v>1.461777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2.803522</v>
      </c>
    </row>
    <row r="437">
      <c r="A437" s="90" t="n">
        <v>31868</v>
      </c>
      <c r="B437" t="n">
        <v>7.480458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0.6241002</v>
      </c>
      <c r="I437" t="n">
        <v/>
      </c>
      <c r="J437" t="n">
        <v/>
      </c>
      <c r="K437" t="n">
        <v>22.9657</v>
      </c>
      <c r="L437" t="n">
        <v>19.39494</v>
      </c>
      <c r="M437" t="n">
        <v>11.51295</v>
      </c>
      <c r="N437" t="n">
        <v/>
      </c>
      <c r="O437" t="n">
        <v/>
      </c>
      <c r="P437" t="n">
        <v>1.311164</v>
      </c>
      <c r="Q437" t="n">
        <v>3.401168</v>
      </c>
      <c r="R437" t="n">
        <v>1.557044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9.286626</v>
      </c>
      <c r="Y437" t="n">
        <v>1.485516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2.843594</v>
      </c>
    </row>
    <row r="438">
      <c r="A438" s="90" t="n">
        <v>31898</v>
      </c>
      <c r="B438" t="n">
        <v>7.561707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0.6405343999999999</v>
      </c>
      <c r="I438" t="n">
        <v/>
      </c>
      <c r="J438" t="n">
        <v/>
      </c>
      <c r="K438" t="n">
        <v>23.04919</v>
      </c>
      <c r="L438" t="n">
        <v>19.5495</v>
      </c>
      <c r="M438" t="n">
        <v>11.67351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9.409663999999999</v>
      </c>
      <c r="Y438" t="n">
        <v>1.509248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2.881439</v>
      </c>
    </row>
    <row r="439">
      <c r="A439" s="90" t="n">
        <v>31929</v>
      </c>
      <c r="B439" t="n">
        <v>7.662567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0.6531761</v>
      </c>
      <c r="I439" t="n">
        <v/>
      </c>
      <c r="J439" t="n">
        <v/>
      </c>
      <c r="K439" t="n">
        <v>23.31146</v>
      </c>
      <c r="L439" t="n">
        <v>19.7154</v>
      </c>
      <c r="M439" t="n">
        <v>11.78807</v>
      </c>
      <c r="N439" t="n">
        <v/>
      </c>
      <c r="O439" t="n">
        <v/>
      </c>
      <c r="P439" t="n">
        <v>1.336125</v>
      </c>
      <c r="Q439" t="n">
        <v>3.6236</v>
      </c>
      <c r="R439" t="n">
        <v>1.648811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9.527853</v>
      </c>
      <c r="Y439" t="n">
        <v>1.5296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2.90212</v>
      </c>
    </row>
    <row r="440">
      <c r="A440" s="90" t="n">
        <v>31959</v>
      </c>
      <c r="B440" t="n">
        <v>7.757823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0.6665567999999999</v>
      </c>
      <c r="I440" t="n">
        <v/>
      </c>
      <c r="J440" t="n">
        <v/>
      </c>
      <c r="K440" t="n">
        <v>23.43208</v>
      </c>
      <c r="L440" t="n">
        <v>19.81458</v>
      </c>
      <c r="M440" t="n">
        <v>11.95064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9.665095000000001</v>
      </c>
      <c r="Y440" t="n">
        <v>1.557461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2.9459</v>
      </c>
    </row>
    <row r="441">
      <c r="A441" s="90" t="n">
        <v>31990</v>
      </c>
      <c r="B441" t="n">
        <v>7.847477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0.6823891</v>
      </c>
      <c r="I441" t="n">
        <v/>
      </c>
      <c r="J441" t="n">
        <v/>
      </c>
      <c r="K441" t="n">
        <v>23.48534</v>
      </c>
      <c r="L441" t="n">
        <v>19.86186</v>
      </c>
      <c r="M441" t="n">
        <v>12.1298</v>
      </c>
      <c r="N441" t="n">
        <v/>
      </c>
      <c r="O441" t="n">
        <v/>
      </c>
      <c r="P441" t="n">
        <v>1.376741</v>
      </c>
      <c r="Q441" t="n">
        <v>3.866318</v>
      </c>
      <c r="R441" t="n">
        <v>1.701845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9.810287000000001</v>
      </c>
      <c r="Y441" t="n">
        <v>1.585985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2.977798</v>
      </c>
    </row>
    <row r="442">
      <c r="A442" s="90" t="n">
        <v>32021</v>
      </c>
      <c r="B442" t="n">
        <v>7.925924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0.7040876</v>
      </c>
      <c r="I442" t="n">
        <v/>
      </c>
      <c r="J442" t="n">
        <v/>
      </c>
      <c r="K442" t="n">
        <v>23.4671</v>
      </c>
      <c r="L442" t="n">
        <v>19.96626</v>
      </c>
      <c r="M442" t="n">
        <v>12.21369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9.951814000000001</v>
      </c>
      <c r="Y442" t="n">
        <v>1.605822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3.026915</v>
      </c>
    </row>
    <row r="443">
      <c r="A443" s="90" t="n">
        <v>32051</v>
      </c>
      <c r="B443" t="n">
        <v>8.015577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0.7225075</v>
      </c>
      <c r="I443" t="n">
        <v/>
      </c>
      <c r="J443" t="n">
        <v/>
      </c>
      <c r="K443" t="n">
        <v>23.46243</v>
      </c>
      <c r="L443" t="n">
        <v>20.09507</v>
      </c>
      <c r="M443" t="n">
        <v>12.35507</v>
      </c>
      <c r="N443" t="n">
        <v/>
      </c>
      <c r="O443" t="n">
        <v/>
      </c>
      <c r="P443" t="n">
        <v>1.417164</v>
      </c>
      <c r="Q443" t="n">
        <v>3.984225</v>
      </c>
      <c r="R443" t="n">
        <v>1.71333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1.63147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3.092947</v>
      </c>
    </row>
    <row r="444">
      <c r="A444" s="90" t="n">
        <v>32082</v>
      </c>
      <c r="B444" t="n">
        <v>8.122040999999999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0.7300205</v>
      </c>
      <c r="I444" t="n">
        <v/>
      </c>
      <c r="J444" t="n">
        <v/>
      </c>
      <c r="K444" t="n">
        <v>23.59049</v>
      </c>
      <c r="L444" t="n">
        <v>20.2728</v>
      </c>
      <c r="M444" t="n">
        <v>12.5027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10.23211</v>
      </c>
      <c r="Y444" t="n">
        <v>1.657871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3.167684</v>
      </c>
    </row>
    <row r="445">
      <c r="A445" s="90" t="n">
        <v>32112</v>
      </c>
      <c r="B445" t="n">
        <v>8.197685999999999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0.7393273</v>
      </c>
      <c r="I445" t="n">
        <v/>
      </c>
      <c r="J445" t="n">
        <v/>
      </c>
      <c r="K445" t="n">
        <v>23.6166</v>
      </c>
      <c r="L445" t="n">
        <v>20.67437</v>
      </c>
      <c r="M445" t="n">
        <v>12.61756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10.36388</v>
      </c>
      <c r="Y445" t="n">
        <v>1.686935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3.231989</v>
      </c>
    </row>
    <row r="446">
      <c r="A446" s="90" t="n">
        <v>32143</v>
      </c>
      <c r="B446" t="n">
        <v>8.234108000000001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0.7532833</v>
      </c>
      <c r="I446" t="n">
        <v/>
      </c>
      <c r="J446" t="n">
        <v/>
      </c>
      <c r="K446" t="n">
        <v>23.64436</v>
      </c>
      <c r="L446" t="n">
        <v>20.89334</v>
      </c>
      <c r="M446" t="n">
        <v>12.78179</v>
      </c>
      <c r="N446" t="n">
        <v/>
      </c>
      <c r="O446" t="n">
        <v/>
      </c>
      <c r="P446" t="n">
        <v>1.470109</v>
      </c>
      <c r="Q446" t="n">
        <v>4.252719</v>
      </c>
      <c r="R446" t="n">
        <v>1.785427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10.52894</v>
      </c>
      <c r="Y446" t="n">
        <v>1.718271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3.270913</v>
      </c>
    </row>
    <row r="447">
      <c r="A447" s="90" t="n">
        <v>32174</v>
      </c>
      <c r="B447" t="n">
        <v>8.278934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0.7677813</v>
      </c>
      <c r="I447" t="n">
        <v/>
      </c>
      <c r="J447" t="n">
        <v/>
      </c>
      <c r="K447" t="n">
        <v>23.62288</v>
      </c>
      <c r="L447" t="n">
        <v>20.8135</v>
      </c>
      <c r="M447" t="n">
        <v>12.9057</v>
      </c>
      <c r="N447" t="n">
        <v/>
      </c>
      <c r="O447" t="n">
        <v/>
      </c>
      <c r="P447" t="n">
        <v>1.48905</v>
      </c>
      <c r="Q447" t="n">
        <v>4.319077</v>
      </c>
      <c r="R447" t="n">
        <v>1.811572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1.735188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3.330125</v>
      </c>
    </row>
    <row r="448">
      <c r="A448" s="90" t="n">
        <v>32203</v>
      </c>
      <c r="B448" t="n">
        <v>8.354578999999999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0.7795714</v>
      </c>
      <c r="I448" t="n">
        <v/>
      </c>
      <c r="J448" t="n">
        <v/>
      </c>
      <c r="K448" t="n">
        <v>23.45168</v>
      </c>
      <c r="L448" t="n">
        <v>20.78639</v>
      </c>
      <c r="M448" t="n">
        <v>13.08588</v>
      </c>
      <c r="N448" t="n">
        <v/>
      </c>
      <c r="O448" t="n">
        <v/>
      </c>
      <c r="P448" t="n">
        <v>1.505517</v>
      </c>
      <c r="Q448" t="n">
        <v>4.396917</v>
      </c>
      <c r="R448" t="n">
        <v>1.852948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10.81557</v>
      </c>
      <c r="Y448" t="n">
        <v>1.755522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3.403881</v>
      </c>
    </row>
    <row r="449">
      <c r="A449" s="90" t="n">
        <v>32234</v>
      </c>
      <c r="B449" t="n">
        <v>8.444233000000001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0.79086</v>
      </c>
      <c r="I449" t="n">
        <v/>
      </c>
      <c r="J449" t="n">
        <v/>
      </c>
      <c r="K449" t="n">
        <v>23.48208</v>
      </c>
      <c r="L449" t="n">
        <v>20.90091</v>
      </c>
      <c r="M449" t="n">
        <v>13.25298</v>
      </c>
      <c r="N449" t="n">
        <v/>
      </c>
      <c r="O449" t="n">
        <v/>
      </c>
      <c r="P449" t="n">
        <v>1.522268</v>
      </c>
      <c r="Q449" t="n">
        <v>4.450884</v>
      </c>
      <c r="R449" t="n">
        <v>1.892323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1.777843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3.46525</v>
      </c>
    </row>
    <row r="450">
      <c r="A450" s="90" t="n">
        <v>32264</v>
      </c>
      <c r="B450" t="n">
        <v>8.525480999999999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0.8049765</v>
      </c>
      <c r="I450" t="n">
        <v/>
      </c>
      <c r="J450" t="n">
        <v/>
      </c>
      <c r="K450" t="n">
        <v>23.74325</v>
      </c>
      <c r="L450" t="n">
        <v>21.10526</v>
      </c>
      <c r="M450" t="n">
        <v>13.34986</v>
      </c>
      <c r="N450" t="n">
        <v/>
      </c>
      <c r="O450" t="n">
        <v/>
      </c>
      <c r="P450" t="n">
        <v>1.542621</v>
      </c>
      <c r="Q450" t="n">
        <v>4.491276</v>
      </c>
      <c r="R450" t="n">
        <v>1.918461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11.07301</v>
      </c>
      <c r="Y450" t="n">
        <v>1.803367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3.521785</v>
      </c>
    </row>
    <row r="451">
      <c r="A451" s="90" t="n">
        <v>32295</v>
      </c>
      <c r="B451" t="n">
        <v>8.631945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0.8258536</v>
      </c>
      <c r="I451" t="n">
        <v/>
      </c>
      <c r="J451" t="n">
        <v/>
      </c>
      <c r="K451" t="n">
        <v>24.00524</v>
      </c>
      <c r="L451" t="n">
        <v>21.27416</v>
      </c>
      <c r="M451" t="n">
        <v>13.54973</v>
      </c>
      <c r="N451" t="n">
        <v/>
      </c>
      <c r="O451" t="n">
        <v/>
      </c>
      <c r="P451" t="n">
        <v>1.548043</v>
      </c>
      <c r="Q451" t="n">
        <v>4.611727</v>
      </c>
      <c r="R451" t="n">
        <v>1.947172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11.18867</v>
      </c>
      <c r="Y451" t="n">
        <v>1.833909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3.602152</v>
      </c>
    </row>
    <row r="452">
      <c r="A452" s="90" t="n">
        <v>32325</v>
      </c>
      <c r="B452" t="n">
        <v>8.727201000000001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0.8416853</v>
      </c>
      <c r="I452" t="n">
        <v/>
      </c>
      <c r="J452" t="n">
        <v/>
      </c>
      <c r="K452" t="n">
        <v>24.33787</v>
      </c>
      <c r="L452" t="n">
        <v>21.45646</v>
      </c>
      <c r="M452" t="n">
        <v>13.82048</v>
      </c>
      <c r="N452" t="n">
        <v/>
      </c>
      <c r="O452" t="n">
        <v/>
      </c>
      <c r="P452" t="n">
        <v>1.580273</v>
      </c>
      <c r="Q452" t="n">
        <v>4.739569</v>
      </c>
      <c r="R452" t="n">
        <v>1.990701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11.28419</v>
      </c>
      <c r="Y452" t="n">
        <v>1.868353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3.671961</v>
      </c>
    </row>
    <row r="453">
      <c r="A453" s="90" t="n">
        <v>32356</v>
      </c>
      <c r="B453" t="n">
        <v>8.802847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0.855125</v>
      </c>
      <c r="I453" t="n">
        <v/>
      </c>
      <c r="J453" t="n">
        <v/>
      </c>
      <c r="K453" t="n">
        <v>24.46678</v>
      </c>
      <c r="L453" t="n">
        <v>21.5388</v>
      </c>
      <c r="M453" t="n">
        <v>14.05594</v>
      </c>
      <c r="N453" t="n">
        <v/>
      </c>
      <c r="O453" t="n">
        <v/>
      </c>
      <c r="P453" t="n">
        <v>1.624457</v>
      </c>
      <c r="Q453" t="n">
        <v>4.820896</v>
      </c>
      <c r="R453" t="n">
        <v>2.034313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11.37643</v>
      </c>
      <c r="Y453" t="n">
        <v>1.907028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3.750467</v>
      </c>
    </row>
    <row r="454">
      <c r="A454" s="90" t="n">
        <v>32387</v>
      </c>
      <c r="B454" t="n">
        <v>8.917714999999999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0.8724001</v>
      </c>
      <c r="I454" t="n">
        <v/>
      </c>
      <c r="J454" t="n">
        <v/>
      </c>
      <c r="K454" t="n">
        <v>24.49899</v>
      </c>
      <c r="L454" t="n">
        <v>21.58034</v>
      </c>
      <c r="M454" t="n">
        <v>14.26286</v>
      </c>
      <c r="N454" t="n">
        <v/>
      </c>
      <c r="O454" t="n">
        <v/>
      </c>
      <c r="P454" t="n">
        <v>1.635664</v>
      </c>
      <c r="Q454" t="n">
        <v>4.942592</v>
      </c>
      <c r="R454" t="n">
        <v>2.066099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11.47191</v>
      </c>
      <c r="Y454" t="n">
        <v>1.944888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3.850092</v>
      </c>
    </row>
    <row r="455">
      <c r="A455" s="90" t="n">
        <v>32417</v>
      </c>
      <c r="B455" t="n">
        <v>9.088616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0.8864584</v>
      </c>
      <c r="I455" t="n">
        <v/>
      </c>
      <c r="J455" t="n">
        <v/>
      </c>
      <c r="K455" t="n">
        <v>24.56776</v>
      </c>
      <c r="L455" t="n">
        <v>21.7571</v>
      </c>
      <c r="M455" t="n">
        <v>14.42649</v>
      </c>
      <c r="N455" t="n">
        <v/>
      </c>
      <c r="O455" t="n">
        <v/>
      </c>
      <c r="P455" t="n">
        <v>1.650658</v>
      </c>
      <c r="Q455" t="n">
        <v>5.047574</v>
      </c>
      <c r="R455" t="n">
        <v>2.052323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1.980024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3.933592</v>
      </c>
    </row>
    <row r="456">
      <c r="A456" s="90" t="n">
        <v>32448</v>
      </c>
      <c r="B456" t="n">
        <v>9.276329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0.9108511</v>
      </c>
      <c r="I456" t="n">
        <v/>
      </c>
      <c r="J456" t="n">
        <v/>
      </c>
      <c r="K456" t="n">
        <v>24.49643</v>
      </c>
      <c r="L456" t="n">
        <v>21.98185</v>
      </c>
      <c r="M456" t="n">
        <v>14.54304</v>
      </c>
      <c r="N456" t="n">
        <v/>
      </c>
      <c r="O456" t="n">
        <v/>
      </c>
      <c r="P456" t="n">
        <v>1.672618</v>
      </c>
      <c r="Q456" t="n">
        <v>5.072921</v>
      </c>
      <c r="R456" t="n">
        <v>2.003028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11.68379</v>
      </c>
      <c r="Y456" t="n">
        <v>2.015255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3.994583</v>
      </c>
    </row>
    <row r="457">
      <c r="A457" s="90" t="n">
        <v>32478</v>
      </c>
      <c r="B457" t="n">
        <v>9.475247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0.9283753</v>
      </c>
      <c r="I457" t="n">
        <v/>
      </c>
      <c r="J457" t="n">
        <v/>
      </c>
      <c r="K457" t="n">
        <v>24.75491</v>
      </c>
      <c r="L457" t="n">
        <v>22.4078</v>
      </c>
      <c r="M457" t="n">
        <v>14.72147</v>
      </c>
      <c r="N457" t="n">
        <v/>
      </c>
      <c r="O457" t="n">
        <v/>
      </c>
      <c r="P457" t="n">
        <v>1.723676</v>
      </c>
      <c r="Q457" t="n">
        <v>5.142262</v>
      </c>
      <c r="R457" t="n">
        <v>1.969099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11.79195</v>
      </c>
      <c r="Y457" t="n">
        <v>2.054015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4.072427</v>
      </c>
    </row>
    <row r="458">
      <c r="A458" s="90" t="n">
        <v>32509</v>
      </c>
      <c r="B458" t="n">
        <v>9.702183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0.9395303</v>
      </c>
      <c r="I458" t="n">
        <v/>
      </c>
      <c r="J458" t="n">
        <v/>
      </c>
      <c r="K458" t="n">
        <v>22.49386</v>
      </c>
      <c r="L458" t="n">
        <v>22.64933</v>
      </c>
      <c r="M458" t="n">
        <v>14.93184</v>
      </c>
      <c r="N458" t="n">
        <v/>
      </c>
      <c r="O458" t="n">
        <v/>
      </c>
      <c r="P458" t="n">
        <v>1.751553</v>
      </c>
      <c r="Q458" t="n">
        <v>5.248433</v>
      </c>
      <c r="R458" t="n">
        <v>2.019793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11.87944</v>
      </c>
      <c r="Y458" t="n">
        <v>2.076804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4.157771</v>
      </c>
    </row>
    <row r="459">
      <c r="A459" s="90" t="n">
        <v>32540</v>
      </c>
      <c r="B459" t="n">
        <v>9.917911999999999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0.961931</v>
      </c>
      <c r="I459" t="n">
        <v/>
      </c>
      <c r="J459" t="n">
        <v/>
      </c>
      <c r="K459" t="n">
        <v>20.39935</v>
      </c>
      <c r="L459" t="n">
        <v>22.59151</v>
      </c>
      <c r="M459" t="n">
        <v>15.15627</v>
      </c>
      <c r="N459" t="n">
        <v/>
      </c>
      <c r="O459" t="n">
        <v/>
      </c>
      <c r="P459" t="n">
        <v>1.747706</v>
      </c>
      <c r="Q459" t="n">
        <v>5.357343</v>
      </c>
      <c r="R459" t="n">
        <v>2.121247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11.99056</v>
      </c>
      <c r="Y459" t="n">
        <v>2.107391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4.231204</v>
      </c>
    </row>
    <row r="460">
      <c r="A460" s="90" t="n">
        <v>32568</v>
      </c>
      <c r="B460" t="n">
        <v>10.11403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0.9873455</v>
      </c>
      <c r="I460" t="n">
        <v/>
      </c>
      <c r="J460" t="n">
        <v/>
      </c>
      <c r="K460" t="n">
        <v>20.56858</v>
      </c>
      <c r="L460" t="n">
        <v>22.67284</v>
      </c>
      <c r="M460" t="n">
        <v>15.40816</v>
      </c>
      <c r="N460" t="n">
        <v/>
      </c>
      <c r="O460" t="n">
        <v/>
      </c>
      <c r="P460" t="n">
        <v>1.769631</v>
      </c>
      <c r="Q460" t="n">
        <v>5.43048</v>
      </c>
      <c r="R460" t="n">
        <v>2.190841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2.151602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4.313416</v>
      </c>
    </row>
    <row r="461">
      <c r="A461" s="90" t="n">
        <v>32599</v>
      </c>
      <c r="B461" t="n">
        <v>10.29614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1.006984</v>
      </c>
      <c r="I461" t="n">
        <v/>
      </c>
      <c r="J461" t="n">
        <v/>
      </c>
      <c r="K461" t="n">
        <v>20.10524</v>
      </c>
      <c r="L461" t="n">
        <v>22.84181</v>
      </c>
      <c r="M461" t="n">
        <v>15.59642</v>
      </c>
      <c r="N461" t="n">
        <v/>
      </c>
      <c r="O461" t="n">
        <v/>
      </c>
      <c r="P461" t="n">
        <v>1.800939</v>
      </c>
      <c r="Q461" t="n">
        <v>5.563546</v>
      </c>
      <c r="R461" t="n">
        <v>2.25024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12.21378</v>
      </c>
      <c r="Y461" t="n">
        <v>2.182777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4.351058</v>
      </c>
    </row>
    <row r="462">
      <c r="A462" s="90" t="n">
        <v>32629</v>
      </c>
      <c r="B462" t="n">
        <v>10.45583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1.036183</v>
      </c>
      <c r="I462" t="n">
        <v/>
      </c>
      <c r="J462" t="n">
        <v/>
      </c>
      <c r="K462" t="n">
        <v>19.84241</v>
      </c>
      <c r="L462" t="n">
        <v>23.01213</v>
      </c>
      <c r="M462" t="n">
        <v>15.78401</v>
      </c>
      <c r="N462" t="n">
        <v/>
      </c>
      <c r="O462" t="n">
        <v/>
      </c>
      <c r="P462" t="n">
        <v>1.829601</v>
      </c>
      <c r="Q462" t="n">
        <v>5.669227</v>
      </c>
      <c r="R462" t="n">
        <v>2.305704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12.31835</v>
      </c>
      <c r="Y462" t="n">
        <v>2.216291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4.421566</v>
      </c>
    </row>
    <row r="463">
      <c r="A463" s="90" t="n">
        <v>32660</v>
      </c>
      <c r="B463" t="n">
        <v>10.66596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1.075365</v>
      </c>
      <c r="I463" t="n">
        <v/>
      </c>
      <c r="J463" t="n">
        <v/>
      </c>
      <c r="K463" t="n">
        <v>20.02153</v>
      </c>
      <c r="L463" t="n">
        <v>23.22037</v>
      </c>
      <c r="M463" t="n">
        <v>16.1907</v>
      </c>
      <c r="N463" t="n">
        <v/>
      </c>
      <c r="O463" t="n">
        <v/>
      </c>
      <c r="P463" t="n">
        <v>1.857993</v>
      </c>
      <c r="Q463" t="n">
        <v>5.760977</v>
      </c>
      <c r="R463" t="n">
        <v>2.348838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2.265814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4.54816</v>
      </c>
    </row>
    <row r="464">
      <c r="A464" s="90" t="n">
        <v>32690</v>
      </c>
      <c r="B464" t="n">
        <v>10.8985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1.109038</v>
      </c>
      <c r="I464" t="n">
        <v/>
      </c>
      <c r="J464" t="n">
        <v/>
      </c>
      <c r="K464" t="n">
        <v>20.13582</v>
      </c>
      <c r="L464" t="n">
        <v>23.49319</v>
      </c>
      <c r="M464" t="n">
        <v>16.5161</v>
      </c>
      <c r="N464" t="n">
        <v/>
      </c>
      <c r="O464" t="n">
        <v/>
      </c>
      <c r="P464" t="n">
        <v>1.8845</v>
      </c>
      <c r="Q464" t="n">
        <v>5.854302</v>
      </c>
      <c r="R464" t="n">
        <v>2.383198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12.65211</v>
      </c>
      <c r="Y464" t="n">
        <v>2.311032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4.635023</v>
      </c>
    </row>
    <row r="465">
      <c r="A465" s="90" t="n">
        <v>32721</v>
      </c>
      <c r="B465" t="n">
        <v>11.09741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1.145259</v>
      </c>
      <c r="I465" t="n">
        <v/>
      </c>
      <c r="J465" t="n">
        <v/>
      </c>
      <c r="K465" t="n">
        <v>19.95938</v>
      </c>
      <c r="L465" t="n">
        <v>23.58496</v>
      </c>
      <c r="M465" t="n">
        <v>16.7139</v>
      </c>
      <c r="N465" t="n">
        <v/>
      </c>
      <c r="O465" t="n">
        <v/>
      </c>
      <c r="P465" t="n">
        <v>1.912364</v>
      </c>
      <c r="Q465" t="n">
        <v>5.940197</v>
      </c>
      <c r="R465" t="n">
        <v>2.404617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12.81073</v>
      </c>
      <c r="Y465" t="n">
        <v>2.346452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4.719935</v>
      </c>
    </row>
    <row r="466">
      <c r="A466" s="90" t="n">
        <v>32752</v>
      </c>
      <c r="B466" t="n">
        <v>11.20668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1.166677</v>
      </c>
      <c r="I466" t="n">
        <v/>
      </c>
      <c r="J466" t="n">
        <v/>
      </c>
      <c r="K466" t="n">
        <v>20.14634</v>
      </c>
      <c r="L466" t="n">
        <v>23.63899</v>
      </c>
      <c r="M466" t="n">
        <v>16.97459</v>
      </c>
      <c r="N466" t="n">
        <v/>
      </c>
      <c r="O466" t="n">
        <v/>
      </c>
      <c r="P466" t="n">
        <v>1.942242</v>
      </c>
      <c r="Q466" t="n">
        <v>6.058738</v>
      </c>
      <c r="R466" t="n">
        <v>2.452027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12.94841</v>
      </c>
      <c r="Y466" t="n">
        <v>2.390857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4.778428</v>
      </c>
    </row>
    <row r="467">
      <c r="A467" s="90" t="n">
        <v>32782</v>
      </c>
      <c r="B467" t="n">
        <v>11.26271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1.180021</v>
      </c>
      <c r="I467" t="n">
        <v/>
      </c>
      <c r="J467" t="n">
        <v/>
      </c>
      <c r="K467" t="n">
        <v>20.29394</v>
      </c>
      <c r="L467" t="n">
        <v>23.79332</v>
      </c>
      <c r="M467" t="n">
        <v>17.22875</v>
      </c>
      <c r="N467" t="n">
        <v/>
      </c>
      <c r="O467" t="n">
        <v/>
      </c>
      <c r="P467" t="n">
        <v>1.97581</v>
      </c>
      <c r="Q467" t="n">
        <v>6.180325</v>
      </c>
      <c r="R467" t="n">
        <v>2.500709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13.10348</v>
      </c>
      <c r="Y467" t="n">
        <v>2.443394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4.861646</v>
      </c>
    </row>
    <row r="468">
      <c r="A468" s="90" t="n">
        <v>32813</v>
      </c>
      <c r="B468" t="n">
        <v>11.35797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1.208214</v>
      </c>
      <c r="I468" t="n">
        <v/>
      </c>
      <c r="J468" t="n">
        <v/>
      </c>
      <c r="K468" t="n">
        <v>20.40583</v>
      </c>
      <c r="L468" t="n">
        <v>23.99078</v>
      </c>
      <c r="M468" t="n">
        <v>17.43821</v>
      </c>
      <c r="N468" t="n">
        <v/>
      </c>
      <c r="O468" t="n">
        <v/>
      </c>
      <c r="P468" t="n">
        <v>2.008104</v>
      </c>
      <c r="Q468" t="n">
        <v>6.34579</v>
      </c>
      <c r="R468" t="n">
        <v>2.52897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13.26669</v>
      </c>
      <c r="Y468" t="n">
        <v>2.495167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4.952192</v>
      </c>
    </row>
    <row r="469">
      <c r="A469" s="90" t="n">
        <v>32843</v>
      </c>
      <c r="B469" t="n">
        <v>11.45042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1.236195</v>
      </c>
      <c r="I469" t="n">
        <v/>
      </c>
      <c r="J469" t="n">
        <v/>
      </c>
      <c r="K469" t="n">
        <v>20.75683</v>
      </c>
      <c r="L469" t="n">
        <v>24.60379</v>
      </c>
      <c r="M469" t="n">
        <v>17.65483</v>
      </c>
      <c r="N469" t="n">
        <v/>
      </c>
      <c r="O469" t="n">
        <v/>
      </c>
      <c r="P469" t="n">
        <v>2.035583</v>
      </c>
      <c r="Q469" t="n">
        <v>6.499479</v>
      </c>
      <c r="R469" t="n">
        <v>2.55582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13.43953</v>
      </c>
      <c r="Y469" t="n">
        <v>2.533231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5.006632</v>
      </c>
    </row>
    <row r="470">
      <c r="A470" s="90" t="n">
        <v>32874</v>
      </c>
      <c r="B470" t="n">
        <v>11.55128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1.262656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17.93729</v>
      </c>
      <c r="N470" t="n">
        <v>3.722131</v>
      </c>
      <c r="O470" t="n">
        <v/>
      </c>
      <c r="P470" t="n">
        <v>2.062484</v>
      </c>
      <c r="Q470" t="n">
        <v>6.589669</v>
      </c>
      <c r="R470" t="n">
        <v>2.58648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13.60153</v>
      </c>
      <c r="Y470" t="n">
        <v>2.590241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5.114633</v>
      </c>
    </row>
    <row r="471">
      <c r="A471" s="90" t="n">
        <v>32905</v>
      </c>
      <c r="B471" t="n">
        <v>11.67456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1.300552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18.13568</v>
      </c>
      <c r="N471" t="n">
        <v>3.847584</v>
      </c>
      <c r="O471" t="n">
        <v>1.361583</v>
      </c>
      <c r="P471" t="n">
        <v>2.089263</v>
      </c>
      <c r="Q471" t="n">
        <v>6.712185</v>
      </c>
      <c r="R471" t="n">
        <v>2.632571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13.75263</v>
      </c>
      <c r="Y471" t="n">
        <v>2.631112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5.184311</v>
      </c>
    </row>
    <row r="472">
      <c r="A472" s="90" t="n">
        <v>32933</v>
      </c>
      <c r="B472" t="n">
        <v>11.79783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1.337734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18.36308</v>
      </c>
      <c r="N472" t="n">
        <v>3.973844</v>
      </c>
      <c r="O472" t="n">
        <v>1.438037</v>
      </c>
      <c r="P472" t="n">
        <v>2.118918</v>
      </c>
      <c r="Q472" t="n">
        <v>6.892989</v>
      </c>
      <c r="R472" t="n">
        <v>2.696088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13.86466</v>
      </c>
      <c r="Y472" t="n">
        <v>2.661983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5.208068</v>
      </c>
    </row>
    <row r="473">
      <c r="A473" s="90" t="n">
        <v>32964</v>
      </c>
      <c r="B473" t="n">
        <v>11.92951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1.371776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18.58255</v>
      </c>
      <c r="N473" t="n">
        <v>4.100912</v>
      </c>
      <c r="O473" t="n">
        <v>1.5416</v>
      </c>
      <c r="P473" t="n">
        <v>2.155439</v>
      </c>
      <c r="Q473" t="n">
        <v>6.972162</v>
      </c>
      <c r="R473" t="n">
        <v>2.779198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14.02087</v>
      </c>
      <c r="Y473" t="n">
        <v>2.703055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5.270365</v>
      </c>
    </row>
    <row r="474">
      <c r="A474" s="90" t="n">
        <v>32994</v>
      </c>
      <c r="B474" t="n">
        <v>12.03037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1.387678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18.71505</v>
      </c>
      <c r="N474" t="n">
        <v>4.228788</v>
      </c>
      <c r="O474" t="n">
        <v>1.569356</v>
      </c>
      <c r="P474" t="n">
        <v>2.18222</v>
      </c>
      <c r="Q474" t="n">
        <v>7.055731</v>
      </c>
      <c r="R474" t="n">
        <v>2.851378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14.10751</v>
      </c>
      <c r="Y474" t="n">
        <v>2.735662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5.337186</v>
      </c>
    </row>
    <row r="475">
      <c r="A475" s="90" t="n">
        <v>33025</v>
      </c>
      <c r="B475" t="n">
        <v>12.09481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1.406364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18.8775</v>
      </c>
      <c r="N475" t="n">
        <v>4.357203</v>
      </c>
      <c r="O475" t="n">
        <v>1.590602</v>
      </c>
      <c r="P475" t="n">
        <v>2.198584</v>
      </c>
      <c r="Q475" t="n">
        <v>7.166275</v>
      </c>
      <c r="R475" t="n">
        <v>2.915839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14.22145</v>
      </c>
      <c r="Y475" t="n">
        <v>2.77232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5.361627</v>
      </c>
    </row>
    <row r="476">
      <c r="A476" s="90" t="n">
        <v>33055</v>
      </c>
      <c r="B476" t="n">
        <v>12.14524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1.445067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18.98513</v>
      </c>
      <c r="N476" t="n">
        <v>4.486424</v>
      </c>
      <c r="O476" t="n">
        <v>1.648504</v>
      </c>
      <c r="P476" t="n">
        <v>2.222058</v>
      </c>
      <c r="Q476" t="n">
        <v>7.212004</v>
      </c>
      <c r="R476" t="n">
        <v>2.975261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14.34108</v>
      </c>
      <c r="Y476" t="n">
        <v>2.806762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5.374277</v>
      </c>
    </row>
    <row r="477">
      <c r="A477" s="90" t="n">
        <v>33086</v>
      </c>
      <c r="B477" t="n">
        <v>12.21528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1.480596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19.07315</v>
      </c>
      <c r="N477" t="n">
        <v>4.616454</v>
      </c>
      <c r="O477" t="n">
        <v>1.686617</v>
      </c>
      <c r="P477" t="n">
        <v>2.241195</v>
      </c>
      <c r="Q477" t="n">
        <v>7.277062</v>
      </c>
      <c r="R477" t="n">
        <v>3.048369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14.46723</v>
      </c>
      <c r="Y477" t="n">
        <v>2.83347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5.405008</v>
      </c>
    </row>
    <row r="478">
      <c r="A478" s="90" t="n">
        <v>33117</v>
      </c>
      <c r="B478" t="n">
        <v>12.34696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1.520701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19.25335</v>
      </c>
      <c r="N478" t="n">
        <v>4.747291</v>
      </c>
      <c r="O478" t="n">
        <v>1.730471</v>
      </c>
      <c r="P478" t="n">
        <v>2.266864</v>
      </c>
      <c r="Q478" t="n">
        <v>7.382695</v>
      </c>
      <c r="R478" t="n">
        <v>3.108603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</v>
      </c>
      <c r="Y478" t="n">
        <v>2.866559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5.4036</v>
      </c>
    </row>
    <row r="479">
      <c r="A479" s="90" t="n">
        <v>33147</v>
      </c>
      <c r="B479" t="n">
        <v>12.45622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1.563645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19.38211</v>
      </c>
      <c r="N479" t="n">
        <v>4.879205</v>
      </c>
      <c r="O479" t="n">
        <v>1.766847</v>
      </c>
      <c r="P479" t="n">
        <v>2.295778</v>
      </c>
      <c r="Q479" t="n">
        <v>7.495289</v>
      </c>
      <c r="R479" t="n">
        <v>3.142873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14.69248</v>
      </c>
      <c r="Y479" t="n">
        <v>2.893826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5.411447</v>
      </c>
    </row>
    <row r="480">
      <c r="A480" s="90" t="n">
        <v>33178</v>
      </c>
      <c r="B480" t="n">
        <v>12.55989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1.595498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19.50474</v>
      </c>
      <c r="N480" t="n">
        <v>5.011927</v>
      </c>
      <c r="O480" t="n">
        <v>1.810111</v>
      </c>
      <c r="P480" t="n">
        <v>2.324341</v>
      </c>
      <c r="Q480" t="n">
        <v>7.585234</v>
      </c>
      <c r="R480" t="n">
        <v>3.194194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14.77521</v>
      </c>
      <c r="Y480" t="n">
        <v>2.926096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5.523596</v>
      </c>
    </row>
    <row r="481">
      <c r="A481" s="90" t="n">
        <v>33208</v>
      </c>
      <c r="B481" t="n">
        <v>12.67475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1.627694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19.60099</v>
      </c>
      <c r="N481" t="n">
        <v>5.160868</v>
      </c>
      <c r="O481" t="n">
        <v>1.869222</v>
      </c>
      <c r="P481" t="n">
        <v>2.354901</v>
      </c>
      <c r="Q481" t="n">
        <v>7.566935</v>
      </c>
      <c r="R481" t="n">
        <v>3.279616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14.90109</v>
      </c>
      <c r="Y481" t="n">
        <v>2.96716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5.62982</v>
      </c>
    </row>
    <row r="482">
      <c r="A482" s="90" t="n">
        <v>33239</v>
      </c>
      <c r="B482" t="n">
        <v>12.66635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19.65844</v>
      </c>
      <c r="N482" t="n">
        <v>5.276504</v>
      </c>
      <c r="O482" t="n">
        <v>1.913423</v>
      </c>
      <c r="P482" t="n">
        <v>2.378565</v>
      </c>
      <c r="Q482" t="n">
        <v>7.50345</v>
      </c>
      <c r="R482" t="n">
        <v>3.438815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15.00737</v>
      </c>
      <c r="Y482" t="n">
        <v>2.993047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5.667765</v>
      </c>
    </row>
    <row r="483">
      <c r="A483" s="90" t="n">
        <v>33270</v>
      </c>
      <c r="B483" t="n">
        <v>12.60191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1.684323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19.72372</v>
      </c>
      <c r="N483" t="n">
        <v>5.371246</v>
      </c>
      <c r="O483" t="n">
        <v>1.934546</v>
      </c>
      <c r="P483" t="n">
        <v>2.411737</v>
      </c>
      <c r="Q483" t="n">
        <v>7.583294</v>
      </c>
      <c r="R483" t="n">
        <v>3.565747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15.10145</v>
      </c>
      <c r="Y483" t="n">
        <v>3.013942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5.837503</v>
      </c>
    </row>
    <row r="484">
      <c r="A484" s="90" t="n">
        <v>33298</v>
      </c>
      <c r="B484" t="n">
        <v>12.62152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1.704049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19.79837</v>
      </c>
      <c r="N484" t="n">
        <v>5.488744</v>
      </c>
      <c r="O484" t="n">
        <v>1.911813</v>
      </c>
      <c r="P484" t="n">
        <v>2.445956</v>
      </c>
      <c r="Q484" t="n">
        <v>7.735173</v>
      </c>
      <c r="R484" t="n">
        <v>3.632842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15.21636</v>
      </c>
      <c r="Y484" t="n">
        <v>3.049857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5.97605</v>
      </c>
    </row>
    <row r="485">
      <c r="A485" s="90" t="n">
        <v>33329</v>
      </c>
      <c r="B485" t="n">
        <v>12.64954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1.740021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19.91042</v>
      </c>
      <c r="N485" t="n">
        <v>5.598526</v>
      </c>
      <c r="O485" t="n">
        <v>1.918892</v>
      </c>
      <c r="P485" t="n">
        <v>2.474186</v>
      </c>
      <c r="Q485" t="n">
        <v>7.842461</v>
      </c>
      <c r="R485" t="n">
        <v>3.695169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15.32941</v>
      </c>
      <c r="Y485" t="n">
        <v>3.095512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6.004212</v>
      </c>
    </row>
    <row r="486">
      <c r="A486" s="90" t="n">
        <v>33359</v>
      </c>
      <c r="B486" t="n">
        <v>12.69997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1.786241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19.98456</v>
      </c>
      <c r="N486" t="n">
        <v>5.75594</v>
      </c>
      <c r="O486" t="n">
        <v>1.973093</v>
      </c>
      <c r="P486" t="n">
        <v>2.513268</v>
      </c>
      <c r="Q486" t="n">
        <v>7.930514</v>
      </c>
      <c r="R486" t="n">
        <v>3.759887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15.44674</v>
      </c>
      <c r="Y486" t="n">
        <v>3.142674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6.117739</v>
      </c>
    </row>
    <row r="487">
      <c r="A487" s="90" t="n">
        <v>33390</v>
      </c>
      <c r="B487" t="n">
        <v>12.77001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1.814215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20.02439</v>
      </c>
      <c r="N487" t="n">
        <v>5.897078</v>
      </c>
      <c r="O487" t="n">
        <v>2.016941</v>
      </c>
      <c r="P487" t="n">
        <v>2.543087</v>
      </c>
      <c r="Q487" t="n">
        <v>7.988161</v>
      </c>
      <c r="R487" t="n">
        <v>3.792031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15.54298</v>
      </c>
      <c r="Y487" t="n">
        <v>3.186074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6.196452</v>
      </c>
    </row>
    <row r="488">
      <c r="A488" s="90" t="n">
        <v>33420</v>
      </c>
      <c r="B488" t="n">
        <v>12.80923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1.814991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20.03496</v>
      </c>
      <c r="N488" t="n">
        <v>6.010375</v>
      </c>
      <c r="O488" t="n">
        <v>2.091114</v>
      </c>
      <c r="P488" t="n">
        <v>2.562158</v>
      </c>
      <c r="Q488" t="n">
        <v>8.067864</v>
      </c>
      <c r="R488" t="n">
        <v>3.782994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15.62408</v>
      </c>
      <c r="Y488" t="n">
        <v>3.22761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6.178376</v>
      </c>
    </row>
    <row r="489">
      <c r="A489" s="90" t="n">
        <v>33451</v>
      </c>
      <c r="B489" t="n">
        <v>12.84846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1.81229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20.04701</v>
      </c>
      <c r="N489" t="n">
        <v>6.135724</v>
      </c>
      <c r="O489" t="n">
        <v>2.120657</v>
      </c>
      <c r="P489" t="n">
        <v>2.593009</v>
      </c>
      <c r="Q489" t="n">
        <v>8.189533000000001</v>
      </c>
      <c r="R489" t="n">
        <v>3.848683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15.69205</v>
      </c>
      <c r="Y489" t="n">
        <v>3.271188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6.189117</v>
      </c>
    </row>
    <row r="490">
      <c r="A490" s="90" t="n">
        <v>33482</v>
      </c>
      <c r="B490" t="n">
        <v>12.90729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20.08516</v>
      </c>
      <c r="N490" t="n">
        <v>6.266926</v>
      </c>
      <c r="O490" t="n">
        <v>2.114997</v>
      </c>
      <c r="P490" t="n">
        <v>2.631315</v>
      </c>
      <c r="Q490" t="n">
        <v>8.287991</v>
      </c>
      <c r="R490" t="n">
        <v>3.876219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15.78421</v>
      </c>
      <c r="Y490" t="n">
        <v>3.333051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6.246459</v>
      </c>
    </row>
    <row r="491">
      <c r="A491" s="90" t="n">
        <v>33512</v>
      </c>
      <c r="B491" t="n">
        <v>12.93251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1.966914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20.11444</v>
      </c>
      <c r="N491" t="n">
        <v>6.415754</v>
      </c>
      <c r="O491" t="n">
        <v>2.149671</v>
      </c>
      <c r="P491" t="n">
        <v>2.680513</v>
      </c>
      <c r="Q491" t="n">
        <v>8.353813000000001</v>
      </c>
      <c r="R491" t="n">
        <v>3.871751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15.90274</v>
      </c>
      <c r="Y491" t="n">
        <v>3.400381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6.298707</v>
      </c>
    </row>
    <row r="492">
      <c r="A492" s="90" t="n">
        <v>33543</v>
      </c>
      <c r="B492" t="n">
        <v>12.91009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2.067256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20.13518</v>
      </c>
      <c r="N492" t="n">
        <v>6.607974</v>
      </c>
      <c r="O492" t="n">
        <v>2.17834</v>
      </c>
      <c r="P492" t="n">
        <v>2.743272</v>
      </c>
      <c r="Q492" t="n">
        <v>8.412444000000001</v>
      </c>
      <c r="R492" t="n">
        <v>4.015497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16.01387</v>
      </c>
      <c r="Y492" t="n">
        <v>3.454378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6.347534</v>
      </c>
    </row>
    <row r="493">
      <c r="A493" s="90" t="n">
        <v>33573</v>
      </c>
      <c r="B493" t="n">
        <v>12.94091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2.150654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20.18356</v>
      </c>
      <c r="N493" t="n">
        <v>6.923121</v>
      </c>
      <c r="O493" t="n">
        <v>2.204942</v>
      </c>
      <c r="P493" t="n">
        <v>2.792468</v>
      </c>
      <c r="Q493" t="n">
        <v>8.500567</v>
      </c>
      <c r="R493" t="n">
        <v>4.476469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16.11954</v>
      </c>
      <c r="Y493" t="n">
        <v>3.508609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6.364502</v>
      </c>
    </row>
    <row r="494">
      <c r="A494" s="90" t="n">
        <v>33604</v>
      </c>
      <c r="B494" t="n">
        <v>12.98854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2.236694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20.29475</v>
      </c>
      <c r="N494" t="n">
        <v>7.224757</v>
      </c>
      <c r="O494" t="n">
        <v>2.239434</v>
      </c>
      <c r="P494" t="n">
        <v>2.831384</v>
      </c>
      <c r="Q494" t="n">
        <v>8.575295000000001</v>
      </c>
      <c r="R494" t="n">
        <v>4.968941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16.23385</v>
      </c>
      <c r="Y494" t="n">
        <v>3.572976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6.435836</v>
      </c>
    </row>
    <row r="495">
      <c r="A495" s="90" t="n">
        <v>33635</v>
      </c>
      <c r="B495" t="n">
        <v>13.01936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2.312182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20.41529</v>
      </c>
      <c r="N495" t="n">
        <v>7.372198</v>
      </c>
      <c r="O495" t="n">
        <v>2.263876</v>
      </c>
      <c r="P495" t="n">
        <v>2.877242</v>
      </c>
      <c r="Q495" t="n">
        <v>8.598919</v>
      </c>
      <c r="R495" t="n">
        <v>5.258617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16.34881</v>
      </c>
      <c r="Y495" t="n">
        <v>3.625689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6.525487</v>
      </c>
    </row>
    <row r="496">
      <c r="A496" s="90" t="n">
        <v>33664</v>
      </c>
      <c r="B496" t="n">
        <v>13.00815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2.391213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20.49105</v>
      </c>
      <c r="N496" t="n">
        <v>7.508743</v>
      </c>
      <c r="O496" t="n">
        <v>2.305664</v>
      </c>
      <c r="P496" t="n">
        <v>2.916583</v>
      </c>
      <c r="Q496" t="n">
        <v>8.602059000000001</v>
      </c>
      <c r="R496" t="n">
        <v>5.408233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16.44225</v>
      </c>
      <c r="Y496" t="n">
        <v>3.678504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6.527075</v>
      </c>
    </row>
    <row r="497">
      <c r="A497" s="90" t="n">
        <v>33695</v>
      </c>
      <c r="B497" t="n">
        <v>13.03057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2.478067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20.53953</v>
      </c>
      <c r="N497" t="n">
        <v>7.75806</v>
      </c>
      <c r="O497" t="n">
        <v>2.370161</v>
      </c>
      <c r="P497" t="n">
        <v>2.947616</v>
      </c>
      <c r="Q497" t="n">
        <v>8.637072</v>
      </c>
      <c r="R497" t="n">
        <v>5.511364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16.49733</v>
      </c>
      <c r="Y497" t="n">
        <v>3.730624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6.571207</v>
      </c>
    </row>
    <row r="498">
      <c r="A498" s="90" t="n">
        <v>33725</v>
      </c>
      <c r="B498" t="n">
        <v>13.12022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2.542741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20.50253</v>
      </c>
      <c r="N498" t="n">
        <v>7.951885</v>
      </c>
      <c r="O498" t="n">
        <v>2.439597</v>
      </c>
      <c r="P498" t="n">
        <v>2.993605</v>
      </c>
      <c r="Q498" t="n">
        <v>8.687632000000001</v>
      </c>
      <c r="R498" t="n">
        <v>5.588239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16.55999</v>
      </c>
      <c r="Y498" t="n">
        <v>3.780322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6.589915</v>
      </c>
    </row>
    <row r="499">
      <c r="A499" s="90" t="n">
        <v>33756</v>
      </c>
      <c r="B499" t="n">
        <v>13.15944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2.618687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20.50662</v>
      </c>
      <c r="N499" t="n">
        <v>8.118255</v>
      </c>
      <c r="O499" t="n">
        <v>2.483678</v>
      </c>
      <c r="P499" t="n">
        <v>3.044239</v>
      </c>
      <c r="Q499" t="n">
        <v>8.666492</v>
      </c>
      <c r="R499" t="n">
        <v>5.668668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16.62461</v>
      </c>
      <c r="Y499" t="n">
        <v>3.83417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6.594224</v>
      </c>
    </row>
    <row r="500">
      <c r="A500" s="90" t="n">
        <v>33786</v>
      </c>
      <c r="B500" t="n">
        <v>13.21548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2.667965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20.58724</v>
      </c>
      <c r="N500" t="n">
        <v>8.32456</v>
      </c>
      <c r="O500" t="n">
        <v>2.503967</v>
      </c>
      <c r="P500" t="n">
        <v>3.087719</v>
      </c>
      <c r="Q500" t="n">
        <v>8.76732</v>
      </c>
      <c r="R500" t="n">
        <v>5.754964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16.70372</v>
      </c>
      <c r="Y500" t="n">
        <v>3.889279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6.692327</v>
      </c>
    </row>
    <row r="501">
      <c r="A501" s="90" t="n">
        <v>33817</v>
      </c>
      <c r="B501" t="n">
        <v>13.32474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2.673851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20.61325</v>
      </c>
      <c r="N501" t="n">
        <v>8.517250000000001</v>
      </c>
      <c r="O501" t="n">
        <v>2.5298</v>
      </c>
      <c r="P501" t="n">
        <v>3.125258</v>
      </c>
      <c r="Q501" t="n">
        <v>8.794103</v>
      </c>
      <c r="R501" t="n">
        <v>5.761797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16.78853</v>
      </c>
      <c r="Y501" t="n">
        <v>3.945356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6.749621</v>
      </c>
    </row>
    <row r="502">
      <c r="A502" s="90" t="n">
        <v>33848</v>
      </c>
      <c r="B502" t="n">
        <v>13.38077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2.722728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20.69834</v>
      </c>
      <c r="N502" t="n">
        <v>8.685333</v>
      </c>
      <c r="O502" t="n">
        <v>2.566596</v>
      </c>
      <c r="P502" t="n">
        <v>3.144758</v>
      </c>
      <c r="Q502" t="n">
        <v>8.722004</v>
      </c>
      <c r="R502" t="n">
        <v>5.96971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16.87754</v>
      </c>
      <c r="Y502" t="n">
        <v>4.000277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6.782862</v>
      </c>
    </row>
    <row r="503">
      <c r="A503" s="90" t="n">
        <v>33878</v>
      </c>
      <c r="B503" t="n">
        <v>13.37797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2.813943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20.91182</v>
      </c>
      <c r="N503" t="n">
        <v>8.804499</v>
      </c>
      <c r="O503" t="n">
        <v>2.618265</v>
      </c>
      <c r="P503" t="n">
        <v>3.181611</v>
      </c>
      <c r="Q503" t="n">
        <v>8.752135000000001</v>
      </c>
      <c r="R503" t="n">
        <v>6.118939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16.99829</v>
      </c>
      <c r="Y503" t="n">
        <v>4.054161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13.4144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2.893723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21.02541</v>
      </c>
      <c r="N504" t="n">
        <v>8.926202</v>
      </c>
      <c r="O504" t="n">
        <v>2.674046</v>
      </c>
      <c r="P504" t="n">
        <v>3.22471</v>
      </c>
      <c r="Q504" t="n">
        <v>8.777243</v>
      </c>
      <c r="R504" t="n">
        <v>6.122196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17.09781</v>
      </c>
      <c r="Y504" t="n">
        <v>4.110573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6.898299</v>
      </c>
    </row>
    <row r="505">
      <c r="A505" s="90" t="n">
        <v>33939</v>
      </c>
      <c r="B505" t="n">
        <v>13.47603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2.989694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20.98216</v>
      </c>
      <c r="N505" t="n">
        <v>9.020103000000001</v>
      </c>
      <c r="O505" t="n">
        <v>2.690278</v>
      </c>
      <c r="P505" t="n">
        <v>3.246403</v>
      </c>
      <c r="Q505" t="n">
        <v>8.829141999999999</v>
      </c>
      <c r="R505" t="n">
        <v>6.239229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17.17941</v>
      </c>
      <c r="Y505" t="n">
        <v>4.161848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6.895753</v>
      </c>
    </row>
    <row r="506">
      <c r="A506" s="90" t="n">
        <v>33970</v>
      </c>
      <c r="B506" t="n">
        <v>13.56008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3.070427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20.95665</v>
      </c>
      <c r="N506" t="n">
        <v>9.13908</v>
      </c>
      <c r="O506" t="n">
        <v>2.701066</v>
      </c>
      <c r="P506" t="n">
        <v>3.275181</v>
      </c>
      <c r="Q506" t="n">
        <v>8.854608000000001</v>
      </c>
      <c r="R506" t="n">
        <v>6.428154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17.26394</v>
      </c>
      <c r="Y506" t="n">
        <v>4.2173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6.865025</v>
      </c>
    </row>
    <row r="507">
      <c r="A507" s="90" t="n">
        <v>34001</v>
      </c>
      <c r="B507" t="n">
        <v>13.66094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3.140629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21.0275</v>
      </c>
      <c r="N507" t="n">
        <v>9.307544</v>
      </c>
      <c r="O507" t="n">
        <v>2.753246</v>
      </c>
      <c r="P507" t="n">
        <v>3.306375</v>
      </c>
      <c r="Q507" t="n">
        <v>8.875814</v>
      </c>
      <c r="R507" t="n">
        <v>6.573582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17.34546</v>
      </c>
      <c r="Y507" t="n">
        <v>4.267926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6.868108</v>
      </c>
    </row>
    <row r="508">
      <c r="A508" s="90" t="n">
        <v>34029</v>
      </c>
      <c r="B508" t="n">
        <v>13.73379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3.226233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21.10282</v>
      </c>
      <c r="N508" t="n">
        <v>9.434558000000001</v>
      </c>
      <c r="O508" t="n">
        <v>2.818631</v>
      </c>
      <c r="P508" t="n">
        <v>3.342468</v>
      </c>
      <c r="Q508" t="n">
        <v>8.860041000000001</v>
      </c>
      <c r="R508" t="n">
        <v>6.676845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17.4071</v>
      </c>
      <c r="Y508" t="n">
        <v>4.319956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6.876754</v>
      </c>
    </row>
    <row r="509">
      <c r="A509" s="90" t="n">
        <v>34060</v>
      </c>
      <c r="B509" t="n">
        <v>13.77021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3.300787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21.1171</v>
      </c>
      <c r="N509" t="n">
        <v>9.563858</v>
      </c>
      <c r="O509" t="n">
        <v>2.844302</v>
      </c>
      <c r="P509" t="n">
        <v>3.411236</v>
      </c>
      <c r="Q509" t="n">
        <v>8.862294</v>
      </c>
      <c r="R509" t="n">
        <v>6.780173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17.48922</v>
      </c>
      <c r="Y509" t="n">
        <v>4.362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6.868587</v>
      </c>
    </row>
    <row r="510">
      <c r="A510" s="90" t="n">
        <v>34090</v>
      </c>
      <c r="B510" t="n">
        <v>13.79822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3.395729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21.1317</v>
      </c>
      <c r="N510" t="n">
        <v>9.679926</v>
      </c>
      <c r="O510" t="n">
        <v>2.843684</v>
      </c>
      <c r="P510" t="n">
        <v>3.466968</v>
      </c>
      <c r="Q510" t="n">
        <v>8.869861999999999</v>
      </c>
      <c r="R510" t="n">
        <v>6.839764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17.6426</v>
      </c>
      <c r="Y510" t="n">
        <v>4.413078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6.856938</v>
      </c>
    </row>
    <row r="511">
      <c r="A511" s="90" t="n">
        <v>34121</v>
      </c>
      <c r="B511" t="n">
        <v>13.91029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3.521708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21.20316</v>
      </c>
      <c r="N511" t="n">
        <v>9.747643</v>
      </c>
      <c r="O511" t="n">
        <v>2.875759</v>
      </c>
      <c r="P511" t="n">
        <v>3.490485</v>
      </c>
      <c r="Q511" t="n">
        <v>8.937452</v>
      </c>
      <c r="R511" t="n">
        <v>6.918169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17.74133</v>
      </c>
      <c r="Y511" t="n">
        <v>4.453118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6.854609</v>
      </c>
    </row>
    <row r="512">
      <c r="A512" s="90" t="n">
        <v>34151</v>
      </c>
      <c r="B512" t="n">
        <v>14.02796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3.673421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21.34292</v>
      </c>
      <c r="N512" t="n">
        <v>9.881282000000001</v>
      </c>
      <c r="O512" t="n">
        <v>2.93056</v>
      </c>
      <c r="P512" t="n">
        <v>3.526952</v>
      </c>
      <c r="Q512" t="n">
        <v>9.141386000000001</v>
      </c>
      <c r="R512" t="n">
        <v>7.063814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17.82574</v>
      </c>
      <c r="Y512" t="n">
        <v>4.497335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6.868515</v>
      </c>
    </row>
    <row r="513">
      <c r="A513" s="90" t="n">
        <v>34182</v>
      </c>
      <c r="B513" t="n">
        <v>14.03637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3.809743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21.45734</v>
      </c>
      <c r="N513" t="n">
        <v>9.994744000000001</v>
      </c>
      <c r="O513" t="n">
        <v>3.009543</v>
      </c>
      <c r="P513" t="n">
        <v>3.577121</v>
      </c>
      <c r="Q513" t="n">
        <v>9.220406000000001</v>
      </c>
      <c r="R513" t="n">
        <v>7.232743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17.9284</v>
      </c>
      <c r="Y513" t="n">
        <v>4.565294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6.964565</v>
      </c>
    </row>
    <row r="514">
      <c r="A514" s="90" t="n">
        <v>34213</v>
      </c>
      <c r="B514" t="n">
        <v>14.07279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3.906988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21.50611</v>
      </c>
      <c r="N514" t="n">
        <v>10.09265</v>
      </c>
      <c r="O514" t="n">
        <v>3.087968</v>
      </c>
      <c r="P514" t="n">
        <v>3.615468</v>
      </c>
      <c r="Q514" t="n">
        <v>9.144838</v>
      </c>
      <c r="R514" t="n">
        <v>7.375233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18.02655</v>
      </c>
      <c r="Y514" t="n">
        <v>4.622847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7.072468</v>
      </c>
    </row>
    <row r="515">
      <c r="A515" s="90" t="n">
        <v>34243</v>
      </c>
      <c r="B515" t="n">
        <v>14.16524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4.022428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21.60711</v>
      </c>
      <c r="N515" t="n">
        <v>10.19191</v>
      </c>
      <c r="O515" t="n">
        <v>3.138422</v>
      </c>
      <c r="P515" t="n">
        <v>3.646096</v>
      </c>
      <c r="Q515" t="n">
        <v>9.119567</v>
      </c>
      <c r="R515" t="n">
        <v>7.555312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18.13137</v>
      </c>
      <c r="Y515" t="n">
        <v>4.691838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7.151015</v>
      </c>
    </row>
    <row r="516">
      <c r="A516" s="90" t="n">
        <v>34274</v>
      </c>
      <c r="B516" t="n">
        <v>14.23248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4.176938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21.77122</v>
      </c>
      <c r="N516" t="n">
        <v>10.2621</v>
      </c>
      <c r="O516" t="n">
        <v>3.190482</v>
      </c>
      <c r="P516" t="n">
        <v>3.698002</v>
      </c>
      <c r="Q516" t="n">
        <v>9.179973</v>
      </c>
      <c r="R516" t="n">
        <v>7.878479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18.24397</v>
      </c>
      <c r="Y516" t="n">
        <v>4.777138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7.262046</v>
      </c>
    </row>
    <row r="517">
      <c r="A517" s="90" t="n">
        <v>34304</v>
      </c>
      <c r="B517" t="n">
        <v>14.29412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4.319445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21.94093</v>
      </c>
      <c r="N517" t="n">
        <v>10.39151</v>
      </c>
      <c r="O517" t="n">
        <v>3.248032</v>
      </c>
      <c r="P517" t="n">
        <v>3.765539</v>
      </c>
      <c r="Q517" t="n">
        <v>9.312113999999999</v>
      </c>
      <c r="R517" t="n">
        <v>8.127136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18.35409</v>
      </c>
      <c r="Y517" t="n">
        <v>4.850871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7.332573</v>
      </c>
    </row>
    <row r="518">
      <c r="A518" s="90" t="n">
        <v>34335</v>
      </c>
      <c r="B518" t="n">
        <v>14.40619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4.476198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22.06299</v>
      </c>
      <c r="N518" t="n">
        <v>10.51913</v>
      </c>
      <c r="O518" t="n">
        <v>3.306293</v>
      </c>
      <c r="P518" t="n">
        <v>3.836406</v>
      </c>
      <c r="Q518" t="n">
        <v>9.396003</v>
      </c>
      <c r="R518" t="n">
        <v>8.242217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18.49448</v>
      </c>
      <c r="Y518" t="n">
        <v>4.964311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7.422632</v>
      </c>
    </row>
    <row r="519">
      <c r="A519" s="90" t="n">
        <v>34366</v>
      </c>
      <c r="B519" t="n">
        <v>14.52386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4.628346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22.18217</v>
      </c>
      <c r="N519" t="n">
        <v>10.61083</v>
      </c>
      <c r="O519" t="n">
        <v>3.404782</v>
      </c>
      <c r="P519" t="n">
        <v>3.905887</v>
      </c>
      <c r="Q519" t="n">
        <v>9.383606</v>
      </c>
      <c r="R519" t="n">
        <v>8.447238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18.62479</v>
      </c>
      <c r="Y519" t="n">
        <v>5.081387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7.577426</v>
      </c>
    </row>
    <row r="520">
      <c r="A520" s="90" t="n">
        <v>34394</v>
      </c>
      <c r="B520" t="n">
        <v>14.64713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4.747752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22.32773</v>
      </c>
      <c r="N520" t="n">
        <v>10.7247</v>
      </c>
      <c r="O520" t="n">
        <v>3.459284</v>
      </c>
      <c r="P520" t="n">
        <v>3.960797</v>
      </c>
      <c r="Q520" t="n">
        <v>9.502678</v>
      </c>
      <c r="R520" t="n">
        <v>8.850023999999999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18.75107</v>
      </c>
      <c r="Y520" t="n">
        <v>5.171573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7.674795</v>
      </c>
    </row>
    <row r="521">
      <c r="A521" s="90" t="n">
        <v>34425</v>
      </c>
      <c r="B521" t="n">
        <v>14.78721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4.888093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22.36531</v>
      </c>
      <c r="N521" t="n">
        <v>10.89158</v>
      </c>
      <c r="O521" t="n">
        <v>3.476745</v>
      </c>
      <c r="P521" t="n">
        <v>4.026421</v>
      </c>
      <c r="Q521" t="n">
        <v>9.546569999999999</v>
      </c>
      <c r="R521" t="n">
        <v>9.0352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18.89574</v>
      </c>
      <c r="Y521" t="n">
        <v>5.351679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7.74404</v>
      </c>
    </row>
    <row r="522">
      <c r="A522" s="90" t="n">
        <v>34455</v>
      </c>
      <c r="B522" t="n">
        <v>14.89928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5.068745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22.43833</v>
      </c>
      <c r="N522" t="n">
        <v>11.04286</v>
      </c>
      <c r="O522" t="n">
        <v>3.518213</v>
      </c>
      <c r="P522" t="n">
        <v>4.093244</v>
      </c>
      <c r="Q522" t="n">
        <v>9.437055000000001</v>
      </c>
      <c r="R522" t="n">
        <v>9.069615000000001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19.07042</v>
      </c>
      <c r="Y522" t="n">
        <v>5.562454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14.98053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5.215276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22.52295</v>
      </c>
      <c r="N523" t="n">
        <v>11.18492</v>
      </c>
      <c r="O523" t="n">
        <v>3.540255</v>
      </c>
      <c r="P523" t="n">
        <v>4.142064</v>
      </c>
      <c r="Q523" t="n">
        <v>9.433172000000001</v>
      </c>
      <c r="R523" t="n">
        <v>9.300988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19.20255</v>
      </c>
      <c r="Y523" t="n">
        <v>5.73269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7.90074</v>
      </c>
    </row>
    <row r="524">
      <c r="A524" s="90" t="n">
        <v>34516</v>
      </c>
      <c r="B524" t="n">
        <v>15.04216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5.348288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22.52924</v>
      </c>
      <c r="N524" t="n">
        <v>11.27486</v>
      </c>
      <c r="O524" t="n">
        <v>3.572779</v>
      </c>
      <c r="P524" t="n">
        <v>4.208702</v>
      </c>
      <c r="Q524" t="n">
        <v>9.449413</v>
      </c>
      <c r="R524" t="n">
        <v>9.497423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19.40794</v>
      </c>
      <c r="Y524" t="n">
        <v>5.920463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7.940683</v>
      </c>
    </row>
    <row r="525">
      <c r="A525" s="90" t="n">
        <v>34547</v>
      </c>
      <c r="B525" t="n">
        <v>15.14303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5.514297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22.58631</v>
      </c>
      <c r="N525" t="n">
        <v>11.39012</v>
      </c>
      <c r="O525" t="n">
        <v>3.630134</v>
      </c>
      <c r="P525" t="n">
        <v>4.264457</v>
      </c>
      <c r="Q525" t="n">
        <v>9.451738000000001</v>
      </c>
      <c r="R525" t="n">
        <v>9.715468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19.54515</v>
      </c>
      <c r="Y525" t="n">
        <v>6.0475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8.064133999999999</v>
      </c>
    </row>
    <row r="526">
      <c r="A526" s="90" t="n">
        <v>34578</v>
      </c>
      <c r="B526" t="n">
        <v>15.19906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5.684334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22.701</v>
      </c>
      <c r="N526" t="n">
        <v>11.53675</v>
      </c>
      <c r="O526" t="n">
        <v>3.699441</v>
      </c>
      <c r="P526" t="n">
        <v>4.337437</v>
      </c>
      <c r="Q526" t="n">
        <v>9.486117</v>
      </c>
      <c r="R526" t="n">
        <v>9.907869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19.69046</v>
      </c>
      <c r="Y526" t="n">
        <v>6.166409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8.107493</v>
      </c>
    </row>
    <row r="527">
      <c r="A527" s="90" t="n">
        <v>34608</v>
      </c>
      <c r="B527" t="n">
        <v>15.29712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5.84967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22.77101</v>
      </c>
      <c r="N527" t="n">
        <v>11.66624</v>
      </c>
      <c r="O527" t="n">
        <v>3.757281</v>
      </c>
      <c r="P527" t="n">
        <v>4.435031</v>
      </c>
      <c r="Q527" t="n">
        <v>9.530014</v>
      </c>
      <c r="R527" t="n">
        <v>10.01223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19.82465</v>
      </c>
      <c r="Y527" t="n">
        <v>6.303367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8.18741</v>
      </c>
    </row>
    <row r="528">
      <c r="A528" s="90" t="n">
        <v>34639</v>
      </c>
      <c r="B528" t="n">
        <v>15.49043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6.007757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22.87215</v>
      </c>
      <c r="N528" t="n">
        <v>11.86825</v>
      </c>
      <c r="O528" t="n">
        <v>3.814572</v>
      </c>
      <c r="P528" t="n">
        <v>4.49903</v>
      </c>
      <c r="Q528" t="n">
        <v>9.559862000000001</v>
      </c>
      <c r="R528" t="n">
        <v>10.14888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19.94769</v>
      </c>
      <c r="Y528" t="n">
        <v>6.426592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8.335099</v>
      </c>
    </row>
    <row r="529">
      <c r="A529" s="90" t="n">
        <v>34669</v>
      </c>
      <c r="B529" t="n">
        <v>15.65293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6.173799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23.01183</v>
      </c>
      <c r="N529" t="n">
        <v>11.90044</v>
      </c>
      <c r="O529" t="n">
        <v>3.893908</v>
      </c>
      <c r="P529" t="n">
        <v>4.548928</v>
      </c>
      <c r="Q529" t="n">
        <v>9.590674999999999</v>
      </c>
      <c r="R529" t="n">
        <v>10.22891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20.07561</v>
      </c>
      <c r="Y529" t="n">
        <v>6.527062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8.446875</v>
      </c>
    </row>
    <row r="530">
      <c r="A530" s="90" t="n">
        <v>34700</v>
      </c>
      <c r="B530" t="n">
        <v>15.72017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6.332616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23.10787</v>
      </c>
      <c r="N530" t="n">
        <v>11.92516</v>
      </c>
      <c r="O530" t="n">
        <v>3.986418</v>
      </c>
      <c r="P530" t="n">
        <v>4.585485</v>
      </c>
      <c r="Q530" t="n">
        <v>9.585978000000001</v>
      </c>
      <c r="R530" t="n">
        <v>10.24799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20.24088</v>
      </c>
      <c r="Y530" t="n">
        <v>6.661553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8.474339000000001</v>
      </c>
    </row>
    <row r="531">
      <c r="A531" s="90" t="n">
        <v>34731</v>
      </c>
      <c r="B531" t="n">
        <v>15.75099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6.478231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23.25364</v>
      </c>
      <c r="N531" t="n">
        <v>12.09271</v>
      </c>
      <c r="O531" t="n">
        <v>4.085904</v>
      </c>
      <c r="P531" t="n">
        <v>4.628234</v>
      </c>
      <c r="Q531" t="n">
        <v>9.587081</v>
      </c>
      <c r="R531" t="n">
        <v>10.36981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20.33878</v>
      </c>
      <c r="Y531" t="n">
        <v>6.782951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8.466618</v>
      </c>
    </row>
    <row r="532">
      <c r="A532" s="90" t="n">
        <v>34759</v>
      </c>
      <c r="B532" t="n">
        <v>15.87986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6.668773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23.53144</v>
      </c>
      <c r="N532" t="n">
        <v>12.2657</v>
      </c>
      <c r="O532" t="n">
        <v>4.17741</v>
      </c>
      <c r="P532" t="n">
        <v>4.764046</v>
      </c>
      <c r="Q532" t="n">
        <v>9.615411</v>
      </c>
      <c r="R532" t="n">
        <v>10.54469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20.47976</v>
      </c>
      <c r="Y532" t="n">
        <v>6.931828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8.575653000000001</v>
      </c>
    </row>
    <row r="533">
      <c r="A533" s="90" t="n">
        <v>34790</v>
      </c>
      <c r="B533" t="n">
        <v>16.01154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6.867757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23.72352</v>
      </c>
      <c r="N533" t="n">
        <v>12.41132</v>
      </c>
      <c r="O533" t="n">
        <v>4.238122</v>
      </c>
      <c r="P533" t="n">
        <v>4.822098</v>
      </c>
      <c r="Q533" t="n">
        <v>9.597218</v>
      </c>
      <c r="R533" t="n">
        <v>10.74897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20.62509</v>
      </c>
      <c r="Y533" t="n">
        <v>7.070228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8.777251</v>
      </c>
    </row>
    <row r="534">
      <c r="A534" s="90" t="n">
        <v>34820</v>
      </c>
      <c r="B534" t="n">
        <v>16.09839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7.038573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23.82279</v>
      </c>
      <c r="N534" t="n">
        <v>12.52528</v>
      </c>
      <c r="O534" t="n">
        <v>4.291777</v>
      </c>
      <c r="P534" t="n">
        <v>4.806061</v>
      </c>
      <c r="Q534" t="n">
        <v>9.601129999999999</v>
      </c>
      <c r="R534" t="n">
        <v>11.00898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20.79781</v>
      </c>
      <c r="Y534" t="n">
        <v>7.193327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9.033828</v>
      </c>
    </row>
    <row r="535">
      <c r="A535" s="90" t="n">
        <v>34851</v>
      </c>
      <c r="B535" t="n">
        <v>16.14602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7.205835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23.99685</v>
      </c>
      <c r="N535" t="n">
        <v>12.70826</v>
      </c>
      <c r="O535" t="n">
        <v>4.383917</v>
      </c>
      <c r="P535" t="n">
        <v>4.858943</v>
      </c>
      <c r="Q535" t="n">
        <v>9.658422</v>
      </c>
      <c r="R535" t="n">
        <v>11.23792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20.98644</v>
      </c>
      <c r="Y535" t="n">
        <v>7.317739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9.194853</v>
      </c>
    </row>
    <row r="536">
      <c r="A536" s="90" t="n">
        <v>34881</v>
      </c>
      <c r="B536" t="n">
        <v>16.20766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7.330617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24.23412</v>
      </c>
      <c r="N536" t="n">
        <v>12.91935</v>
      </c>
      <c r="O536" t="n">
        <v>4.495667</v>
      </c>
      <c r="P536" t="n">
        <v>4.904411</v>
      </c>
      <c r="Q536" t="n">
        <v>9.660066</v>
      </c>
      <c r="R536" t="n">
        <v>11.41752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21.15624</v>
      </c>
      <c r="Y536" t="n">
        <v>7.462956</v>
      </c>
      <c r="Z536" t="n">
        <v>8.576559</v>
      </c>
      <c r="AA536" t="n">
        <v>0.4704431</v>
      </c>
      <c r="AB536" t="n">
        <v>26.57784</v>
      </c>
      <c r="AC536" t="n">
        <v>0.1642164</v>
      </c>
      <c r="AD536" t="n">
        <v>29.61698</v>
      </c>
      <c r="AE536" t="n">
        <v>9.256536000000001</v>
      </c>
    </row>
    <row r="537">
      <c r="A537" s="90" t="n">
        <v>34912</v>
      </c>
      <c r="B537" t="n">
        <v>16.33934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7.420721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24.52665</v>
      </c>
      <c r="N537" t="n">
        <v>13.09738</v>
      </c>
      <c r="O537" t="n">
        <v>4.601474</v>
      </c>
      <c r="P537" t="n">
        <v>4.962574</v>
      </c>
      <c r="Q537" t="n">
        <v>9.686919</v>
      </c>
      <c r="R537" t="n">
        <v>11.62733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21.35539</v>
      </c>
      <c r="Y537" t="n">
        <v>7.625266</v>
      </c>
      <c r="Z537" t="n">
        <v>8.815132999999999</v>
      </c>
      <c r="AA537" t="n">
        <v>0.4819425</v>
      </c>
      <c r="AB537" t="n">
        <v>26.74956</v>
      </c>
      <c r="AC537" t="n">
        <v>0.1726184</v>
      </c>
      <c r="AD537" t="n">
        <v>29.79631</v>
      </c>
      <c r="AE537" t="n">
        <v>9.321443</v>
      </c>
    </row>
    <row r="538">
      <c r="A538" s="90" t="n">
        <v>34943</v>
      </c>
      <c r="B538" t="n">
        <v>16.50744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7.613503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24.73675</v>
      </c>
      <c r="N538" t="n">
        <v>13.34946</v>
      </c>
      <c r="O538" t="n">
        <v>4.694549</v>
      </c>
      <c r="P538" t="n">
        <v>5.037403</v>
      </c>
      <c r="Q538" t="n">
        <v>9.764265</v>
      </c>
      <c r="R538" t="n">
        <v>11.84678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21.53505</v>
      </c>
      <c r="Y538" t="n">
        <v>7.760341</v>
      </c>
      <c r="Z538" t="n">
        <v>9.037318000000001</v>
      </c>
      <c r="AA538" t="n">
        <v>0.5115834</v>
      </c>
      <c r="AB538" t="n">
        <v>26.98697</v>
      </c>
      <c r="AC538" t="n">
        <v>0.1798101</v>
      </c>
      <c r="AD538" t="n">
        <v>29.90507</v>
      </c>
      <c r="AE538" t="n">
        <v>9.364589</v>
      </c>
    </row>
    <row r="539">
      <c r="A539" s="90" t="n">
        <v>34973</v>
      </c>
      <c r="B539" t="n">
        <v>16.68394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7.881988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24.93887</v>
      </c>
      <c r="N539" t="n">
        <v>13.59306</v>
      </c>
      <c r="O539" t="n">
        <v>4.788361</v>
      </c>
      <c r="P539" t="n">
        <v>5.1109</v>
      </c>
      <c r="Q539" t="n">
        <v>9.77097</v>
      </c>
      <c r="R539" t="n">
        <v>12.06257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21.70053</v>
      </c>
      <c r="Y539" t="n">
        <v>7.887925</v>
      </c>
      <c r="Z539" t="n">
        <v>9.24896</v>
      </c>
      <c r="AA539" t="n">
        <v>0.5339767</v>
      </c>
      <c r="AB539" t="n">
        <v>27.17811</v>
      </c>
      <c r="AC539" t="n">
        <v>0.1863189</v>
      </c>
      <c r="AD539" t="n">
        <v>29.99888</v>
      </c>
      <c r="AE539" t="n">
        <v>9.420667</v>
      </c>
    </row>
    <row r="540">
      <c r="A540" s="90" t="n">
        <v>35004</v>
      </c>
      <c r="B540" t="n">
        <v>16.83243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7.999585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25.13889</v>
      </c>
      <c r="N540" t="n">
        <v>13.78566</v>
      </c>
      <c r="O540" t="n">
        <v>4.893164</v>
      </c>
      <c r="P540" t="n">
        <v>5.158834</v>
      </c>
      <c r="Q540" t="n">
        <v>9.727136</v>
      </c>
      <c r="R540" t="n">
        <v>12.28796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21.91515</v>
      </c>
      <c r="Y540" t="n">
        <v>8.069087</v>
      </c>
      <c r="Z540" t="n">
        <v>9.498862000000001</v>
      </c>
      <c r="AA540" t="n">
        <v>0.5498075</v>
      </c>
      <c r="AB540" t="n">
        <v>27.28294</v>
      </c>
      <c r="AC540" t="n">
        <v>0.1980051</v>
      </c>
      <c r="AD540" t="n">
        <v>30.05284</v>
      </c>
      <c r="AE540" t="n">
        <v>9.505252</v>
      </c>
    </row>
    <row r="541">
      <c r="A541" s="90" t="n">
        <v>35034</v>
      </c>
      <c r="B541" t="n">
        <v>17.02295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8.049186000000001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25.62263</v>
      </c>
      <c r="N541" t="n">
        <v>14.04969</v>
      </c>
      <c r="O541" t="n">
        <v>4.987531</v>
      </c>
      <c r="P541" t="n">
        <v>5.206399</v>
      </c>
      <c r="Q541" t="n">
        <v>9.769175000000001</v>
      </c>
      <c r="R541" t="n">
        <v>12.43717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22.15887</v>
      </c>
      <c r="Y541" t="n">
        <v>8.325538999999999</v>
      </c>
      <c r="Z541" t="n">
        <v>9.720267</v>
      </c>
      <c r="AA541" t="n">
        <v>0.5677856</v>
      </c>
      <c r="AB541" t="n">
        <v>27.32328</v>
      </c>
      <c r="AC541" t="n">
        <v>0.2145036</v>
      </c>
      <c r="AD541" t="n">
        <v>30.13254</v>
      </c>
      <c r="AE541" t="n">
        <v>9.668532000000001</v>
      </c>
    </row>
    <row r="542">
      <c r="A542" s="90" t="n">
        <v>35065</v>
      </c>
      <c r="B542" t="n">
        <v>17.17424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8.16201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26.42817</v>
      </c>
      <c r="N542" t="n">
        <v>14.33183</v>
      </c>
      <c r="O542" t="n">
        <v>5.067066</v>
      </c>
      <c r="P542" t="n">
        <v>5.27354</v>
      </c>
      <c r="Q542" t="n">
        <v>9.899778</v>
      </c>
      <c r="R542" t="n">
        <v>12.65314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22.44923</v>
      </c>
      <c r="Y542" t="n">
        <v>8.630775</v>
      </c>
      <c r="Z542" t="n">
        <v>9.970124</v>
      </c>
      <c r="AA542" t="n">
        <v>0.5897779</v>
      </c>
      <c r="AB542" t="n">
        <v>27.48259</v>
      </c>
      <c r="AC542" t="n">
        <v>0.2313573</v>
      </c>
      <c r="AD542" t="n">
        <v>30.2853</v>
      </c>
      <c r="AE542" t="n">
        <v>9.828851999999999</v>
      </c>
    </row>
    <row r="543">
      <c r="A543" s="90" t="n">
        <v>35096</v>
      </c>
      <c r="B543" t="n">
        <v>17.26389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8.321225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26.92263</v>
      </c>
      <c r="N543" t="n">
        <v>14.65192</v>
      </c>
      <c r="O543" t="n">
        <v>5.178958</v>
      </c>
      <c r="P543" t="n">
        <v>5.337564</v>
      </c>
      <c r="Q543" t="n">
        <v>9.973144</v>
      </c>
      <c r="R543" t="n">
        <v>12.97783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22.6597</v>
      </c>
      <c r="Y543" t="n">
        <v>8.853303</v>
      </c>
      <c r="Z543" t="n">
        <v>10.26811</v>
      </c>
      <c r="AA543" t="n">
        <v>0.6153302</v>
      </c>
      <c r="AB543" t="n">
        <v>27.82173</v>
      </c>
      <c r="AC543" t="n">
        <v>0.2465764</v>
      </c>
      <c r="AD543" t="n">
        <v>30.4007</v>
      </c>
      <c r="AE543" t="n">
        <v>10.02118</v>
      </c>
    </row>
    <row r="544">
      <c r="A544" s="90" t="n">
        <v>35125</v>
      </c>
      <c r="B544" t="n">
        <v>17.37035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8.510686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27.12752</v>
      </c>
      <c r="N544" t="n">
        <v>14.93515</v>
      </c>
      <c r="O544" t="n">
        <v>5.332672</v>
      </c>
      <c r="P544" t="n">
        <v>5.44497</v>
      </c>
      <c r="Q544" t="n">
        <v>10.02459</v>
      </c>
      <c r="R544" t="n">
        <v>13.22788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22.88724</v>
      </c>
      <c r="Y544" t="n">
        <v>9.018801</v>
      </c>
      <c r="Z544" t="n">
        <v>10.51237</v>
      </c>
      <c r="AA544" t="n">
        <v>0.6371574</v>
      </c>
      <c r="AB544" t="n">
        <v>28.34458</v>
      </c>
      <c r="AC544" t="n">
        <v>0.2598142</v>
      </c>
      <c r="AD544" t="n">
        <v>30.60909</v>
      </c>
      <c r="AE544" t="n">
        <v>10.24998</v>
      </c>
    </row>
    <row r="545">
      <c r="A545" s="90" t="n">
        <v>35156</v>
      </c>
      <c r="B545" t="n">
        <v>17.46561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8.680348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27.37838</v>
      </c>
      <c r="N545" t="n">
        <v>15.16891</v>
      </c>
      <c r="O545" t="n">
        <v>5.475049</v>
      </c>
      <c r="P545" t="n">
        <v>5.532153</v>
      </c>
      <c r="Q545" t="n">
        <v>10.10721</v>
      </c>
      <c r="R545" t="n">
        <v>13.49518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23.08511</v>
      </c>
      <c r="Y545" t="n">
        <v>9.219652999999999</v>
      </c>
      <c r="Z545" t="n">
        <v>10.78925</v>
      </c>
      <c r="AA545" t="n">
        <v>0.6554843</v>
      </c>
      <c r="AB545" t="n">
        <v>28.80081</v>
      </c>
      <c r="AC545" t="n">
        <v>0.2777974</v>
      </c>
      <c r="AD545" t="n">
        <v>30.69875</v>
      </c>
      <c r="AE545" t="n">
        <v>10.39091</v>
      </c>
    </row>
    <row r="546">
      <c r="A546" s="90" t="n">
        <v>35186</v>
      </c>
      <c r="B546" t="n">
        <v>17.51884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8.818860000000001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27.53257</v>
      </c>
      <c r="N546" t="n">
        <v>15.45123</v>
      </c>
      <c r="O546" t="n">
        <v>5.58922</v>
      </c>
      <c r="P546" t="n">
        <v>5.561161</v>
      </c>
      <c r="Q546" t="n">
        <v>10.17305</v>
      </c>
      <c r="R546" t="n">
        <v>13.84488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23.30061</v>
      </c>
      <c r="Y546" t="n">
        <v>9.421727000000001</v>
      </c>
      <c r="Z546" t="n">
        <v>11.04136</v>
      </c>
      <c r="AA546" t="n">
        <v>0.6705493</v>
      </c>
      <c r="AB546" t="n">
        <v>29.15482</v>
      </c>
      <c r="AC546" t="n">
        <v>0.2990035</v>
      </c>
      <c r="AD546" t="n">
        <v>30.79754</v>
      </c>
      <c r="AE546" t="n">
        <v>10.55751</v>
      </c>
    </row>
    <row r="547">
      <c r="A547" s="90" t="n">
        <v>35217</v>
      </c>
      <c r="B547" t="n">
        <v>17.6141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8.967729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27.78545</v>
      </c>
      <c r="N547" t="n">
        <v>15.7358</v>
      </c>
      <c r="O547" t="n">
        <v>5.691286</v>
      </c>
      <c r="P547" t="n">
        <v>5.631154</v>
      </c>
      <c r="Q547" t="n">
        <v>10.18427</v>
      </c>
      <c r="R547" t="n">
        <v>14.12057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23.49491</v>
      </c>
      <c r="Y547" t="n">
        <v>9.601511</v>
      </c>
      <c r="Z547" t="n">
        <v>11.21425</v>
      </c>
      <c r="AA547" t="n">
        <v>0.6859124</v>
      </c>
      <c r="AB547" t="n">
        <v>29.31986</v>
      </c>
      <c r="AC547" t="n">
        <v>0.3173686</v>
      </c>
      <c r="AD547" t="n">
        <v>30.90464</v>
      </c>
      <c r="AE547" t="n">
        <v>10.81016</v>
      </c>
    </row>
    <row r="548">
      <c r="A548" s="90" t="n">
        <v>35247</v>
      </c>
      <c r="B548" t="n">
        <v>17.80461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9.163586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28.16915</v>
      </c>
      <c r="N548" t="n">
        <v>15.98197</v>
      </c>
      <c r="O548" t="n">
        <v>5.784675</v>
      </c>
      <c r="P548" t="n">
        <v>5.713132</v>
      </c>
      <c r="Q548" t="n">
        <v>10.17818</v>
      </c>
      <c r="R548" t="n">
        <v>14.39528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23.68858</v>
      </c>
      <c r="Y548" t="n">
        <v>9.786668000000001</v>
      </c>
      <c r="Z548" t="n">
        <v>11.39647</v>
      </c>
      <c r="AA548" t="n">
        <v>0.7081544</v>
      </c>
      <c r="AB548" t="n">
        <v>29.48055</v>
      </c>
      <c r="AC548" t="n">
        <v>0.3336817</v>
      </c>
      <c r="AD548" t="n">
        <v>31.02585</v>
      </c>
      <c r="AE548" t="n">
        <v>10.99222</v>
      </c>
    </row>
    <row r="549">
      <c r="A549" s="90" t="n">
        <v>35278</v>
      </c>
      <c r="B549" t="n">
        <v>17.9503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9.350986000000001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28.41345</v>
      </c>
      <c r="N549" t="n">
        <v>16.27153</v>
      </c>
      <c r="O549" t="n">
        <v>5.848485</v>
      </c>
      <c r="P549" t="n">
        <v>5.774502</v>
      </c>
      <c r="Q549" t="n">
        <v>10.22822</v>
      </c>
      <c r="R549" t="n">
        <v>14.79404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23.88295</v>
      </c>
      <c r="Y549" t="n">
        <v>10.00747</v>
      </c>
      <c r="Z549" t="n">
        <v>11.57491</v>
      </c>
      <c r="AA549" t="n">
        <v>0.7318712000000001</v>
      </c>
      <c r="AB549" t="n">
        <v>29.68313</v>
      </c>
      <c r="AC549" t="n">
        <v>0.3579074</v>
      </c>
      <c r="AD549" t="n">
        <v>31.08314</v>
      </c>
      <c r="AE549" t="n">
        <v>11.10688</v>
      </c>
    </row>
    <row r="550">
      <c r="A550" s="90" t="n">
        <v>35309</v>
      </c>
      <c r="B550" t="n">
        <v>17.96711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9.542139000000001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28.66135</v>
      </c>
      <c r="N550" t="n">
        <v>16.53489</v>
      </c>
      <c r="O550" t="n">
        <v>5.923763</v>
      </c>
      <c r="P550" t="n">
        <v>5.842963</v>
      </c>
      <c r="Q550" t="n">
        <v>10.28307</v>
      </c>
      <c r="R550" t="n">
        <v>15.0487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24.10015</v>
      </c>
      <c r="Y550" t="n">
        <v>10.26423</v>
      </c>
      <c r="Z550" t="n">
        <v>11.78214</v>
      </c>
      <c r="AA550" t="n">
        <v>0.7501425</v>
      </c>
      <c r="AB550" t="n">
        <v>29.86357</v>
      </c>
      <c r="AC550" t="n">
        <v>0.3877662</v>
      </c>
      <c r="AD550" t="n">
        <v>31.16118</v>
      </c>
      <c r="AE550" t="n">
        <v>11.16728</v>
      </c>
    </row>
    <row r="551">
      <c r="A551" s="90" t="n">
        <v>35339</v>
      </c>
      <c r="B551" t="n">
        <v>18.124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9.723184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28.87132</v>
      </c>
      <c r="N551" t="n">
        <v>16.7768</v>
      </c>
      <c r="O551" t="n">
        <v>6.077827</v>
      </c>
      <c r="P551" t="n">
        <v>5.897906</v>
      </c>
      <c r="Q551" t="n">
        <v>10.27889</v>
      </c>
      <c r="R551" t="n">
        <v>15.27322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24.36102</v>
      </c>
      <c r="Y551" t="n">
        <v>10.5071</v>
      </c>
      <c r="Z551" t="n">
        <v>12.01356</v>
      </c>
      <c r="AA551" t="n">
        <v>0.7628076</v>
      </c>
      <c r="AB551" t="n">
        <v>29.99244</v>
      </c>
      <c r="AC551" t="n">
        <v>0.4158096</v>
      </c>
      <c r="AD551" t="n">
        <v>31.32224</v>
      </c>
      <c r="AE551" t="n">
        <v>11.28855</v>
      </c>
    </row>
    <row r="552">
      <c r="A552" s="90" t="n">
        <v>35370</v>
      </c>
      <c r="B552" t="n">
        <v>18.40697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9.843184000000001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29.27388</v>
      </c>
      <c r="N552" t="n">
        <v>17.05234</v>
      </c>
      <c r="O552" t="n">
        <v>6.27933</v>
      </c>
      <c r="P552" t="n">
        <v>5.962363</v>
      </c>
      <c r="Q552" t="n">
        <v>10.31674</v>
      </c>
      <c r="R552" t="n">
        <v>15.55119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24.62256</v>
      </c>
      <c r="Y552" t="n">
        <v>10.79718</v>
      </c>
      <c r="Z552" t="n">
        <v>12.23526</v>
      </c>
      <c r="AA552" t="n">
        <v>0.7750699</v>
      </c>
      <c r="AB552" t="n">
        <v>30.18898</v>
      </c>
      <c r="AC552" t="n">
        <v>0.4461176</v>
      </c>
      <c r="AD552" t="n">
        <v>31.50737</v>
      </c>
      <c r="AE552" t="n">
        <v>11.40055</v>
      </c>
    </row>
    <row r="553">
      <c r="A553" s="90" t="n">
        <v>35400</v>
      </c>
      <c r="B553" t="n">
        <v>18.56106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29.53941</v>
      </c>
      <c r="N553" t="n">
        <v>17.272</v>
      </c>
      <c r="O553" t="n">
        <v>6.4574</v>
      </c>
      <c r="P553" t="n">
        <v>6.050006</v>
      </c>
      <c r="Q553" t="n">
        <v>10.45908</v>
      </c>
      <c r="R553" t="n">
        <v>15.76721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24.90182</v>
      </c>
      <c r="Y553" t="n">
        <v>11.10782</v>
      </c>
      <c r="Z553" t="n">
        <v>12.51805</v>
      </c>
      <c r="AA553" t="n">
        <v>0.7881154</v>
      </c>
      <c r="AB553" t="n">
        <v>30.45578</v>
      </c>
      <c r="AC553" t="n">
        <v>0.4823274</v>
      </c>
      <c r="AD553" t="n">
        <v>31.70247</v>
      </c>
      <c r="AE553" t="n">
        <v>11.43086</v>
      </c>
    </row>
    <row r="554">
      <c r="A554" s="90" t="n">
        <v>35431</v>
      </c>
      <c r="B554" t="n">
        <v>18.67033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10.5126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29.82675</v>
      </c>
      <c r="N554" t="n">
        <v>17.44362</v>
      </c>
      <c r="O554" t="n">
        <v>6.598531</v>
      </c>
      <c r="P554" t="n">
        <v>6.157489</v>
      </c>
      <c r="Q554" t="n">
        <v>10.50854</v>
      </c>
      <c r="R554" t="n">
        <v>16.07504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25.15745</v>
      </c>
      <c r="Y554" t="n">
        <v>11.38846</v>
      </c>
      <c r="Z554" t="n">
        <v>12.78282</v>
      </c>
      <c r="AA554" t="n">
        <v>0.7873413</v>
      </c>
      <c r="AB554" t="n">
        <v>30.09051</v>
      </c>
      <c r="AC554" t="n">
        <v>0.5164651</v>
      </c>
      <c r="AD554" t="n">
        <v>31.83531</v>
      </c>
      <c r="AE554" t="n">
        <v>11.59726</v>
      </c>
    </row>
    <row r="555">
      <c r="A555" s="90" t="n">
        <v>35462</v>
      </c>
      <c r="B555" t="n">
        <v>18.7992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10.60066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30.31395</v>
      </c>
      <c r="N555" t="n">
        <v>17.61104</v>
      </c>
      <c r="O555" t="n">
        <v>6.718781</v>
      </c>
      <c r="P555" t="n">
        <v>6.260836</v>
      </c>
      <c r="Q555" t="n">
        <v>10.57753</v>
      </c>
      <c r="R555" t="n">
        <v>16.38899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25.34548</v>
      </c>
      <c r="Y555" t="n">
        <v>11.6029</v>
      </c>
      <c r="Z555" t="n">
        <v>12.98265</v>
      </c>
      <c r="AA555" t="n">
        <v>0.7975799</v>
      </c>
      <c r="AB555" t="n">
        <v>29.95451</v>
      </c>
      <c r="AC555" t="n">
        <v>0.5456225</v>
      </c>
      <c r="AD555" t="n">
        <v>31.93244</v>
      </c>
      <c r="AE555" t="n">
        <v>11.78414</v>
      </c>
    </row>
    <row r="556">
      <c r="A556" s="90" t="n">
        <v>35490</v>
      </c>
      <c r="B556" t="n">
        <v>18.91407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10.71267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30.54692</v>
      </c>
      <c r="N556" t="n">
        <v>17.76632</v>
      </c>
      <c r="O556" t="n">
        <v>6.824524</v>
      </c>
      <c r="P556" t="n">
        <v>6.354182</v>
      </c>
      <c r="Q556" t="n">
        <v>10.64474</v>
      </c>
      <c r="R556" t="n">
        <v>16.60829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25.55232</v>
      </c>
      <c r="Y556" t="n">
        <v>11.79617</v>
      </c>
      <c r="Z556" t="n">
        <v>13.22568</v>
      </c>
      <c r="AA556" t="n">
        <v>0.8230712</v>
      </c>
      <c r="AB556" t="n">
        <v>30.3448</v>
      </c>
      <c r="AC556" t="n">
        <v>0.5767538</v>
      </c>
      <c r="AD556" t="n">
        <v>32.05614</v>
      </c>
      <c r="AE556" t="n">
        <v>11.95954</v>
      </c>
    </row>
    <row r="557">
      <c r="A557" s="90" t="n">
        <v>35521</v>
      </c>
      <c r="B557" t="n">
        <v>19.02894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10.92687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30.65026</v>
      </c>
      <c r="N557" t="n">
        <v>17.94171</v>
      </c>
      <c r="O557" t="n">
        <v>6.913844</v>
      </c>
      <c r="P557" t="n">
        <v>6.42922</v>
      </c>
      <c r="Q557" t="n">
        <v>10.74691</v>
      </c>
      <c r="R557" t="n">
        <v>16.84236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</v>
      </c>
      <c r="Y557" t="n">
        <v>11.96184</v>
      </c>
      <c r="Z557" t="n">
        <v>13.53003</v>
      </c>
      <c r="AA557" t="n">
        <v>0.8416231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19.17743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11.12408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30.79852</v>
      </c>
      <c r="N558" t="n">
        <v>18.2588</v>
      </c>
      <c r="O558" t="n">
        <v>6.994459</v>
      </c>
      <c r="P558" t="n">
        <v>6.495253</v>
      </c>
      <c r="Q558" t="n">
        <v>10.86526</v>
      </c>
      <c r="R558" t="n">
        <v>17.1064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25.94042</v>
      </c>
      <c r="Y558" t="n">
        <v>12.14703</v>
      </c>
      <c r="Z558" t="n">
        <v>13.86675</v>
      </c>
      <c r="AA558" t="n">
        <v>0.8648366</v>
      </c>
      <c r="AB558" t="n">
        <v>30.32071</v>
      </c>
      <c r="AC558" t="n">
        <v>0.6342878</v>
      </c>
      <c r="AD558" t="n">
        <v>32.2886</v>
      </c>
      <c r="AE558" t="n">
        <v>12.33898</v>
      </c>
    </row>
    <row r="559">
      <c r="A559" s="90" t="n">
        <v>35582</v>
      </c>
      <c r="B559" t="n">
        <v>19.2923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31.35887</v>
      </c>
      <c r="N559" t="n">
        <v>18.5611</v>
      </c>
      <c r="O559" t="n">
        <v>7.104663</v>
      </c>
      <c r="P559" t="n">
        <v>6.591904</v>
      </c>
      <c r="Q559" t="n">
        <v>10.84021</v>
      </c>
      <c r="R559" t="n">
        <v>17.42244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26.19041</v>
      </c>
      <c r="Y559" t="n">
        <v>12.42179</v>
      </c>
      <c r="Z559" t="n">
        <v>14.18745</v>
      </c>
      <c r="AA559" t="n">
        <v>0.8869145000000001</v>
      </c>
      <c r="AB559" t="n">
        <v>30.60115</v>
      </c>
      <c r="AC559" t="n">
        <v>0.6678741</v>
      </c>
      <c r="AD559" t="n">
        <v>32.42808</v>
      </c>
      <c r="AE559" t="n">
        <v>12.46334</v>
      </c>
    </row>
    <row r="560">
      <c r="A560" s="90" t="n">
        <v>35612</v>
      </c>
      <c r="B560" t="n">
        <v>19.36514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11.64701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32.03415</v>
      </c>
      <c r="N560" t="n">
        <v>18.89863</v>
      </c>
      <c r="O560" t="n">
        <v>7.220211</v>
      </c>
      <c r="P560" t="n">
        <v>6.673553</v>
      </c>
      <c r="Q560" t="n">
        <v>10.92542</v>
      </c>
      <c r="R560" t="n">
        <v>17.69519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26.46427</v>
      </c>
      <c r="Y560" t="n">
        <v>12.75881</v>
      </c>
      <c r="Z560" t="n">
        <v>14.56986</v>
      </c>
      <c r="AA560" t="n">
        <v>0.9112440000000001</v>
      </c>
      <c r="AB560" t="n">
        <v>30.65915</v>
      </c>
      <c r="AC560" t="n">
        <v>0.7129062</v>
      </c>
      <c r="AD560" t="n">
        <v>32.57669</v>
      </c>
      <c r="AE560" t="n">
        <v>12.56517</v>
      </c>
    </row>
    <row r="561">
      <c r="A561" s="90" t="n">
        <v>35643</v>
      </c>
      <c r="B561" t="n">
        <v>19.43238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11.84531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32.39713</v>
      </c>
      <c r="N561" t="n">
        <v>19.21545</v>
      </c>
      <c r="O561" t="n">
        <v>7.380085</v>
      </c>
      <c r="P561" t="n">
        <v>6.733028</v>
      </c>
      <c r="Q561" t="n">
        <v>11.01565</v>
      </c>
      <c r="R561" t="n">
        <v>17.8769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26.77413</v>
      </c>
      <c r="Y561" t="n">
        <v>13.07126</v>
      </c>
      <c r="Z561" t="n">
        <v>14.87917</v>
      </c>
      <c r="AA561" t="n">
        <v>0.942487</v>
      </c>
      <c r="AB561" t="n">
        <v>30.73143</v>
      </c>
      <c r="AC561" t="n">
        <v>0.7659566</v>
      </c>
      <c r="AD561" t="n">
        <v>32.85481</v>
      </c>
      <c r="AE561" t="n">
        <v>12.74658</v>
      </c>
    </row>
    <row r="562">
      <c r="A562" s="90" t="n">
        <v>35674</v>
      </c>
      <c r="B562" t="n">
        <v>19.4632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12.07911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31.6363</v>
      </c>
      <c r="N562" t="n">
        <v>19.45376</v>
      </c>
      <c r="O562" t="n">
        <v>7.535261</v>
      </c>
      <c r="P562" t="n">
        <v>6.807507</v>
      </c>
      <c r="Q562" t="n">
        <v>11.09088</v>
      </c>
      <c r="R562" t="n">
        <v>18.13267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26.94615</v>
      </c>
      <c r="Y562" t="n">
        <v>13.20249</v>
      </c>
      <c r="Z562" t="n">
        <v>15.12022</v>
      </c>
      <c r="AA562" t="n">
        <v>0.9708462</v>
      </c>
      <c r="AB562" t="n">
        <v>30.76234</v>
      </c>
      <c r="AC562" t="n">
        <v>0.8213317</v>
      </c>
      <c r="AD562" t="n">
        <v>32.98515</v>
      </c>
      <c r="AE562" t="n">
        <v>13.00674</v>
      </c>
    </row>
    <row r="563">
      <c r="A563" s="90" t="n">
        <v>35704</v>
      </c>
      <c r="B563" t="n">
        <v>19.54725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12.3939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31.33528</v>
      </c>
      <c r="N563" t="n">
        <v>19.87734</v>
      </c>
      <c r="O563" t="n">
        <v>7.729321</v>
      </c>
      <c r="P563" t="n">
        <v>6.900248</v>
      </c>
      <c r="Q563" t="n">
        <v>11.21893</v>
      </c>
      <c r="R563" t="n">
        <v>18.38846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27.18111</v>
      </c>
      <c r="Y563" t="n">
        <v>13.43987</v>
      </c>
      <c r="Z563" t="n">
        <v>15.49076</v>
      </c>
      <c r="AA563" t="n">
        <v>0.9902175</v>
      </c>
      <c r="AB563" t="n">
        <v>30.71762</v>
      </c>
      <c r="AC563" t="n">
        <v>0.8797743</v>
      </c>
      <c r="AD563" t="n">
        <v>33.14455</v>
      </c>
      <c r="AE563" t="n">
        <v>13.30424</v>
      </c>
    </row>
    <row r="564">
      <c r="A564" s="90" t="n">
        <v>35735</v>
      </c>
      <c r="B564" t="n">
        <v>19.67613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12.71954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32.01275</v>
      </c>
      <c r="N564" t="n">
        <v>20.14887</v>
      </c>
      <c r="O564" t="n">
        <v>7.756963</v>
      </c>
      <c r="P564" t="n">
        <v>7.008625</v>
      </c>
      <c r="Q564" t="n">
        <v>11.31841</v>
      </c>
      <c r="R564" t="n">
        <v>18.62107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27.48265</v>
      </c>
      <c r="Y564" t="n">
        <v>13.81673</v>
      </c>
      <c r="Z564" t="n">
        <v>15.87218</v>
      </c>
      <c r="AA564" t="n">
        <v>1.013782</v>
      </c>
      <c r="AB564" t="n">
        <v>30.77787</v>
      </c>
      <c r="AC564" t="n">
        <v>0.9361539</v>
      </c>
      <c r="AD564" t="n">
        <v>33.33135</v>
      </c>
      <c r="AE564" t="n">
        <v>13.45254</v>
      </c>
    </row>
    <row r="565">
      <c r="A565" s="90" t="n">
        <v>35765</v>
      </c>
      <c r="B565" t="n">
        <v>19.77979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13.07173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32.38592</v>
      </c>
      <c r="N565" t="n">
        <v>20.48269</v>
      </c>
      <c r="O565" t="n">
        <v>7.851746</v>
      </c>
      <c r="P565" t="n">
        <v>7.115165</v>
      </c>
      <c r="Q565" t="n">
        <v>11.43372</v>
      </c>
      <c r="R565" t="n">
        <v>18.92791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27.75469</v>
      </c>
      <c r="Y565" t="n">
        <v>14.0952</v>
      </c>
      <c r="Z565" t="n">
        <v>16.14701</v>
      </c>
      <c r="AA565" t="n">
        <v>1.017785</v>
      </c>
      <c r="AB565" t="n">
        <v>30.84664</v>
      </c>
      <c r="AC565" t="n">
        <v>0.9816454999999999</v>
      </c>
      <c r="AD565" t="n">
        <v>33.48162</v>
      </c>
      <c r="AE565" t="n">
        <v>13.46525</v>
      </c>
    </row>
    <row r="566">
      <c r="A566" s="90" t="n">
        <v>35796</v>
      </c>
      <c r="B566" t="n">
        <v>19.88905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13.28355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32.79856</v>
      </c>
      <c r="N566" t="n">
        <v>20.51295</v>
      </c>
      <c r="O566" t="n">
        <v>9.1999</v>
      </c>
      <c r="P566" t="n">
        <v>7.197979</v>
      </c>
      <c r="Q566" t="n">
        <v>11.57543</v>
      </c>
      <c r="R566" t="n">
        <v>19.20027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28.03094</v>
      </c>
      <c r="Y566" t="n">
        <v>14.38035</v>
      </c>
      <c r="Z566" t="n">
        <v>16.36671</v>
      </c>
      <c r="AA566" t="n">
        <v>1.005233</v>
      </c>
      <c r="AB566" t="n">
        <v>30.87088</v>
      </c>
      <c r="AC566" t="n">
        <v>1.032217</v>
      </c>
      <c r="AD566" t="n">
        <v>33.67506</v>
      </c>
      <c r="AE566" t="n">
        <v>13.59869</v>
      </c>
    </row>
    <row r="567">
      <c r="A567" s="90" t="n">
        <v>35827</v>
      </c>
      <c r="B567" t="n">
        <v>19.98151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13.38245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33.08464</v>
      </c>
      <c r="N567" t="n">
        <v>20.42085</v>
      </c>
      <c r="O567" t="n">
        <v>10.13579</v>
      </c>
      <c r="P567" t="n">
        <v>7.301435</v>
      </c>
      <c r="Q567" t="n">
        <v>11.71373</v>
      </c>
      <c r="R567" t="n">
        <v>19.40916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</v>
      </c>
      <c r="Y567" t="n">
        <v>14.57935</v>
      </c>
      <c r="Z567" t="n">
        <v>16.59349</v>
      </c>
      <c r="AA567" t="n">
        <v>0.9918426</v>
      </c>
      <c r="AB567" t="n">
        <v>30.91277</v>
      </c>
      <c r="AC567" t="n">
        <v>1.08533</v>
      </c>
      <c r="AD567" t="n">
        <v>33.94654</v>
      </c>
      <c r="AE567" t="n">
        <v>13.90755</v>
      </c>
    </row>
    <row r="568">
      <c r="A568" s="90" t="n">
        <v>35855</v>
      </c>
      <c r="B568" t="n">
        <v>20.05435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13.57988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33.26149</v>
      </c>
      <c r="N568" t="n">
        <v>20.99352</v>
      </c>
      <c r="O568" t="n">
        <v>10.21984</v>
      </c>
      <c r="P568" t="n">
        <v>7.467092</v>
      </c>
      <c r="Q568" t="n">
        <v>11.86561</v>
      </c>
      <c r="R568" t="n">
        <v>19.38136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28.50271</v>
      </c>
      <c r="Y568" t="n">
        <v>14.8056</v>
      </c>
      <c r="Z568" t="n">
        <v>16.7987</v>
      </c>
      <c r="AA568" t="n">
        <v>0.9820423</v>
      </c>
      <c r="AB568" t="n">
        <v>30.70568</v>
      </c>
      <c r="AC568" t="n">
        <v>1.149293</v>
      </c>
      <c r="AD568" t="n">
        <v>34.15741</v>
      </c>
      <c r="AE568" t="n">
        <v>14.0296</v>
      </c>
    </row>
    <row r="569">
      <c r="A569" s="90" t="n">
        <v>35886</v>
      </c>
      <c r="B569" t="n">
        <v>20.15801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13.74278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33.4108</v>
      </c>
      <c r="N569" t="n">
        <v>21.5408</v>
      </c>
      <c r="O569" t="n">
        <v>10.50697</v>
      </c>
      <c r="P569" t="n">
        <v>7.595877</v>
      </c>
      <c r="Q569" t="n">
        <v>12.02549</v>
      </c>
      <c r="R569" t="n">
        <v>19.55425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28.75534</v>
      </c>
      <c r="Y569" t="n">
        <v>15.09495</v>
      </c>
      <c r="Z569" t="n">
        <v>17.05557</v>
      </c>
      <c r="AA569" t="n">
        <v>0.9895813</v>
      </c>
      <c r="AB569" t="n">
        <v>30.61753</v>
      </c>
      <c r="AC569" t="n">
        <v>1.236946</v>
      </c>
      <c r="AD569" t="n">
        <v>34.37244</v>
      </c>
      <c r="AE569" t="n">
        <v>14.13862</v>
      </c>
    </row>
    <row r="570">
      <c r="A570" s="90" t="n">
        <v>35916</v>
      </c>
      <c r="B570" t="n">
        <v>20.28409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13.94129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33.69234</v>
      </c>
      <c r="N570" t="n">
        <v>21.88131</v>
      </c>
      <c r="O570" t="n">
        <v>10.94937</v>
      </c>
      <c r="P570" t="n">
        <v>7.678203</v>
      </c>
      <c r="Q570" t="n">
        <v>12.19087</v>
      </c>
      <c r="R570" t="n">
        <v>19.92846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29.04679</v>
      </c>
      <c r="Y570" t="n">
        <v>15.43909</v>
      </c>
      <c r="Z570" t="n">
        <v>17.44366</v>
      </c>
      <c r="AA570" t="n">
        <v>1.000062</v>
      </c>
      <c r="AB570" t="n">
        <v>31.0512</v>
      </c>
      <c r="AC570" t="n">
        <v>1.326741</v>
      </c>
      <c r="AD570" t="n">
        <v>34.57335</v>
      </c>
      <c r="AE570" t="n">
        <v>14.32537</v>
      </c>
    </row>
    <row r="571">
      <c r="A571" s="90" t="n">
        <v>35947</v>
      </c>
      <c r="B571" t="n">
        <v>20.42417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14.14626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33.9771</v>
      </c>
      <c r="N571" t="n">
        <v>22.18472</v>
      </c>
      <c r="O571" t="n">
        <v>12.16559</v>
      </c>
      <c r="P571" t="n">
        <v>7.781397</v>
      </c>
      <c r="Q571" t="n">
        <v>12.35153</v>
      </c>
      <c r="R571" t="n">
        <v>20.18865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29.30604</v>
      </c>
      <c r="Y571" t="n">
        <v>15.7908</v>
      </c>
      <c r="Z571" t="n">
        <v>17.88143</v>
      </c>
      <c r="AA571" t="n">
        <v>1.013691</v>
      </c>
      <c r="AB571" t="n">
        <v>31.50948</v>
      </c>
      <c r="AC571" t="n">
        <v>1.417856</v>
      </c>
      <c r="AD571" t="n">
        <v>34.7369</v>
      </c>
      <c r="AE571" t="n">
        <v>14.4754</v>
      </c>
    </row>
    <row r="572">
      <c r="A572" s="90" t="n">
        <v>35977</v>
      </c>
      <c r="B572" t="n">
        <v>20.65671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14.22259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34.30411</v>
      </c>
      <c r="N572" t="n">
        <v>22.5204</v>
      </c>
      <c r="O572" t="n">
        <v>12.83269</v>
      </c>
      <c r="P572" t="n">
        <v>7.901356</v>
      </c>
      <c r="Q572" t="n">
        <v>12.49437</v>
      </c>
      <c r="R572" t="n">
        <v>20.5476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</v>
      </c>
      <c r="Y572" t="n">
        <v>16.15407</v>
      </c>
      <c r="Z572" t="n">
        <v>18.25863</v>
      </c>
      <c r="AA572" t="n">
        <v>1.007961</v>
      </c>
      <c r="AB572" t="n">
        <v>32.07583</v>
      </c>
      <c r="AC572" t="n">
        <v>1.511153</v>
      </c>
      <c r="AD572" t="n">
        <v>34.90045</v>
      </c>
      <c r="AE572" t="n">
        <v>14.60595</v>
      </c>
    </row>
    <row r="573">
      <c r="A573" s="90" t="n">
        <v>36008</v>
      </c>
      <c r="B573" t="n">
        <v>20.87244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14.33707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34.56444</v>
      </c>
      <c r="N573" t="n">
        <v>22.89441</v>
      </c>
      <c r="O573" t="n">
        <v>12.58121</v>
      </c>
      <c r="P573" t="n">
        <v>8.079919</v>
      </c>
      <c r="Q573" t="n">
        <v>12.626</v>
      </c>
      <c r="R573" t="n">
        <v>20.85114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29.83908</v>
      </c>
      <c r="Y573" t="n">
        <v>16.41447</v>
      </c>
      <c r="Z573" t="n">
        <v>18.67018</v>
      </c>
      <c r="AA573" t="n">
        <v>0.9935305</v>
      </c>
      <c r="AB573" t="n">
        <v>32.28146</v>
      </c>
      <c r="AC573" t="n">
        <v>1.569285</v>
      </c>
      <c r="AD573" t="n">
        <v>35.10717</v>
      </c>
      <c r="AE573" t="n">
        <v>14.72964</v>
      </c>
    </row>
    <row r="574">
      <c r="A574" s="90" t="n">
        <v>36039</v>
      </c>
      <c r="B574" t="n">
        <v>21.01533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14.34139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34.71766</v>
      </c>
      <c r="N574" t="n">
        <v>23.1319</v>
      </c>
      <c r="O574" t="n">
        <v>12.57286</v>
      </c>
      <c r="P574" t="n">
        <v>8.246589</v>
      </c>
      <c r="Q574" t="n">
        <v>12.78166</v>
      </c>
      <c r="R574" t="n">
        <v>21.15364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16.82756</v>
      </c>
      <c r="Z574" t="n">
        <v>19.01336</v>
      </c>
      <c r="AA574" t="n">
        <v>0.997193</v>
      </c>
      <c r="AB574" t="n">
        <v>32.20287</v>
      </c>
      <c r="AC574" t="n">
        <v>1.706612</v>
      </c>
      <c r="AD574" t="n">
        <v>35.43013</v>
      </c>
      <c r="AE574" t="n">
        <v>14.85268</v>
      </c>
    </row>
    <row r="575">
      <c r="A575" s="90" t="n">
        <v>36069</v>
      </c>
      <c r="B575" t="n">
        <v>21.12179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14.24609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34.8829</v>
      </c>
      <c r="N575" t="n">
        <v>23.27011</v>
      </c>
      <c r="O575" t="n">
        <v>12.519</v>
      </c>
      <c r="P575" t="n">
        <v>8.376474999999999</v>
      </c>
      <c r="Q575" t="n">
        <v>12.97385</v>
      </c>
      <c r="R575" t="n">
        <v>21.63083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30.4395</v>
      </c>
      <c r="Y575" t="n">
        <v>17.04236</v>
      </c>
      <c r="Z575" t="n">
        <v>19.11622</v>
      </c>
      <c r="AA575" t="n">
        <v>1.106466</v>
      </c>
      <c r="AB575" t="n">
        <v>32.41929</v>
      </c>
      <c r="AC575" t="n">
        <v>1.77298</v>
      </c>
      <c r="AD575" t="n">
        <v>35.76304</v>
      </c>
      <c r="AE575" t="n">
        <v>14.87623</v>
      </c>
    </row>
    <row r="576">
      <c r="A576" s="90" t="n">
        <v>36100</v>
      </c>
      <c r="B576" t="n">
        <v>21.19463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14.23292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34.95139</v>
      </c>
      <c r="N576" t="n">
        <v>23.52862</v>
      </c>
      <c r="O576" t="n">
        <v>12.54263</v>
      </c>
      <c r="P576" t="n">
        <v>8.477225000000001</v>
      </c>
      <c r="Q576" t="n">
        <v>13.17164</v>
      </c>
      <c r="R576" t="n">
        <v>21.95601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30.64286</v>
      </c>
      <c r="Y576" t="n">
        <v>17.04725</v>
      </c>
      <c r="Z576" t="n">
        <v>19.29577</v>
      </c>
      <c r="AA576" t="n">
        <v>1.214598</v>
      </c>
      <c r="AB576" t="n">
        <v>32.5724</v>
      </c>
      <c r="AC576" t="n">
        <v>1.756922</v>
      </c>
      <c r="AD576" t="n">
        <v>36.08433</v>
      </c>
      <c r="AE576" t="n">
        <v>15.02681</v>
      </c>
    </row>
    <row r="577">
      <c r="A577" s="90" t="n">
        <v>36130</v>
      </c>
      <c r="B577" t="n">
        <v>21.31791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14.25692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35.103</v>
      </c>
      <c r="N577" t="n">
        <v>23.83737</v>
      </c>
      <c r="O577" t="n">
        <v>12.93419</v>
      </c>
      <c r="P577" t="n">
        <v>8.552349</v>
      </c>
      <c r="Q577" t="n">
        <v>13.36471</v>
      </c>
      <c r="R577" t="n">
        <v>22.17513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30.93236</v>
      </c>
      <c r="Y577" t="n">
        <v>17.34748</v>
      </c>
      <c r="Z577" t="n">
        <v>19.88132</v>
      </c>
      <c r="AA577" t="n">
        <v>1.256832</v>
      </c>
      <c r="AB577" t="n">
        <v>32.1797</v>
      </c>
      <c r="AC577" t="n">
        <v>1.83922</v>
      </c>
      <c r="AD577" t="n">
        <v>36.32343</v>
      </c>
      <c r="AE577" t="n">
        <v>15.21245</v>
      </c>
    </row>
    <row r="578">
      <c r="A578" s="90" t="n">
        <v>36161</v>
      </c>
      <c r="B578" t="n">
        <v>21.49721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14.37067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35.12125</v>
      </c>
      <c r="N578" t="n">
        <v>24.15319</v>
      </c>
      <c r="O578" t="n">
        <v>13.39988</v>
      </c>
      <c r="P578" t="n">
        <v>8.667878999999999</v>
      </c>
      <c r="Q578" t="n">
        <v>13.55872</v>
      </c>
      <c r="R578" t="n">
        <v>22.51718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31.22055</v>
      </c>
      <c r="Y578" t="n">
        <v>17.72882</v>
      </c>
      <c r="Z578" t="n">
        <v>20.62853</v>
      </c>
      <c r="AA578" t="n">
        <v>1.339089</v>
      </c>
      <c r="AB578" t="n">
        <v>34.83103</v>
      </c>
      <c r="AC578" t="n">
        <v>1.921589</v>
      </c>
      <c r="AD578" t="n">
        <v>36.55091</v>
      </c>
      <c r="AE578" t="n">
        <v>15.26565</v>
      </c>
    </row>
    <row r="579">
      <c r="A579" s="90" t="n">
        <v>36192</v>
      </c>
      <c r="B579" t="n">
        <v>21.6485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14.56336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35.01527</v>
      </c>
      <c r="N579" t="n">
        <v>24.53589</v>
      </c>
      <c r="O579" t="n">
        <v>13.79843</v>
      </c>
      <c r="P579" t="n">
        <v>8.793066</v>
      </c>
      <c r="Q579" t="n">
        <v>13.74295</v>
      </c>
      <c r="R579" t="n">
        <v>22.7449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31.49366</v>
      </c>
      <c r="Y579" t="n">
        <v>18.06154</v>
      </c>
      <c r="Z579" t="n">
        <v>21.26293</v>
      </c>
      <c r="AA579" t="n">
        <v>1.420606</v>
      </c>
      <c r="AB579" t="n">
        <v>37.86425</v>
      </c>
      <c r="AC579" t="n">
        <v>2.024119</v>
      </c>
      <c r="AD579" t="n">
        <v>36.73937</v>
      </c>
      <c r="AE579" t="n">
        <v>15.08</v>
      </c>
    </row>
    <row r="580">
      <c r="A580" s="90" t="n">
        <v>36220</v>
      </c>
      <c r="B580" t="n">
        <v>21.82221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14.63443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35.01624</v>
      </c>
      <c r="N580" t="n">
        <v>24.72175</v>
      </c>
      <c r="O580" t="n">
        <v>13.98854</v>
      </c>
      <c r="P580" t="n">
        <v>8.949646</v>
      </c>
      <c r="Q580" t="n">
        <v>13.91555</v>
      </c>
      <c r="R580" t="n">
        <v>23.07129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31.70317</v>
      </c>
      <c r="Y580" t="n">
        <v>18.34997</v>
      </c>
      <c r="Z580" t="n">
        <v>21.69757</v>
      </c>
      <c r="AA580" t="n">
        <v>1.474073</v>
      </c>
      <c r="AB580" t="n">
        <v>37.776</v>
      </c>
      <c r="AC580" t="n">
        <v>2.162853</v>
      </c>
      <c r="AD580" t="n">
        <v>36.79583</v>
      </c>
      <c r="AE580" t="n">
        <v>15.07491</v>
      </c>
    </row>
    <row r="581">
      <c r="A581" s="90" t="n">
        <v>36251</v>
      </c>
      <c r="B581" t="n">
        <v>22.05194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14.70127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35.07268</v>
      </c>
      <c r="N581" t="n">
        <v>24.73544</v>
      </c>
      <c r="O581" t="n">
        <v>14.12927</v>
      </c>
      <c r="P581" t="n">
        <v>9.056244</v>
      </c>
      <c r="Q581" t="n">
        <v>14.08532</v>
      </c>
      <c r="R581" t="n">
        <v>23.53145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31.9533</v>
      </c>
      <c r="Y581" t="n">
        <v>18.63253</v>
      </c>
      <c r="Z581" t="n">
        <v>21.89099</v>
      </c>
      <c r="AA581" t="n">
        <v>1.516552</v>
      </c>
      <c r="AB581" t="n">
        <v>38.03074</v>
      </c>
      <c r="AC581" t="n">
        <v>2.301165</v>
      </c>
      <c r="AD581" t="n">
        <v>37.03326</v>
      </c>
      <c r="AE581" t="n">
        <v>15.32684</v>
      </c>
    </row>
    <row r="582">
      <c r="A582" s="90" t="n">
        <v>36281</v>
      </c>
      <c r="B582" t="n">
        <v>22.29008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14.784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35.1645</v>
      </c>
      <c r="N582" t="n">
        <v>24.977</v>
      </c>
      <c r="O582" t="n">
        <v>14.31181</v>
      </c>
      <c r="P582" t="n">
        <v>9.122043</v>
      </c>
      <c r="Q582" t="n">
        <v>14.26329</v>
      </c>
      <c r="R582" t="n">
        <v>23.82537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32.22696</v>
      </c>
      <c r="Y582" t="n">
        <v>18.98462</v>
      </c>
      <c r="Z582" t="n">
        <v>22.07282</v>
      </c>
      <c r="AA582" t="n">
        <v>1.587451</v>
      </c>
      <c r="AB582" t="n">
        <v>39.18481</v>
      </c>
      <c r="AC582" t="n">
        <v>2.457563</v>
      </c>
      <c r="AD582" t="n">
        <v>37.2375</v>
      </c>
      <c r="AE582" t="n">
        <v>15.41034</v>
      </c>
    </row>
    <row r="583">
      <c r="A583" s="90" t="n">
        <v>36312</v>
      </c>
      <c r="B583" t="n">
        <v>22.49741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14.82207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35.24524</v>
      </c>
      <c r="N583" t="n">
        <v>25.17179</v>
      </c>
      <c r="O583" t="n">
        <v>14.2508</v>
      </c>
      <c r="P583" t="n">
        <v>9.221332</v>
      </c>
      <c r="Q583" t="n">
        <v>14.45124</v>
      </c>
      <c r="R583" t="n">
        <v>24.03297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32.48379</v>
      </c>
      <c r="Y583" t="n">
        <v>19.30262</v>
      </c>
      <c r="Z583" t="n">
        <v>22.32683</v>
      </c>
      <c r="AA583" t="n">
        <v>1.675926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22.6543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14.83741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35.31704</v>
      </c>
      <c r="N584" t="n">
        <v>25.29402</v>
      </c>
      <c r="O584" t="n">
        <v>14.20318</v>
      </c>
      <c r="P584" t="n">
        <v>9.353161999999999</v>
      </c>
      <c r="Q584" t="n">
        <v>14.64447</v>
      </c>
      <c r="R584" t="n">
        <v>24.42161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32.71811</v>
      </c>
      <c r="Y584" t="n">
        <v>19.53416</v>
      </c>
      <c r="Z584" t="n">
        <v>22.48635</v>
      </c>
      <c r="AA584" t="n">
        <v>1.737849</v>
      </c>
      <c r="AB584" t="n">
        <v>40.1792</v>
      </c>
      <c r="AC584" t="n">
        <v>2.701561</v>
      </c>
      <c r="AD584" t="n">
        <v>37.64596</v>
      </c>
      <c r="AE584" t="n">
        <v>15.79737</v>
      </c>
    </row>
    <row r="585">
      <c r="A585" s="90" t="n">
        <v>36373</v>
      </c>
      <c r="B585" t="n">
        <v>22.78878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14.89222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35.42234</v>
      </c>
      <c r="N585" t="n">
        <v>25.60971</v>
      </c>
      <c r="O585" t="n">
        <v>14.50525</v>
      </c>
      <c r="P585" t="n">
        <v>9.500515</v>
      </c>
      <c r="Q585" t="n">
        <v>14.83462</v>
      </c>
      <c r="R585" t="n">
        <v>24.87574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32.94929</v>
      </c>
      <c r="Y585" t="n">
        <v>19.85457</v>
      </c>
      <c r="Z585" t="n">
        <v>22.67171</v>
      </c>
      <c r="AA585" t="n">
        <v>1.773925</v>
      </c>
      <c r="AB585" t="n">
        <v>40.64315</v>
      </c>
      <c r="AC585" t="n">
        <v>2.845474</v>
      </c>
      <c r="AD585" t="n">
        <v>37.78876</v>
      </c>
      <c r="AE585" t="n">
        <v>15.79073</v>
      </c>
    </row>
    <row r="586">
      <c r="A586" s="90" t="n">
        <v>36404</v>
      </c>
      <c r="B586" t="n">
        <v>22.94287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14.98107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35.42477</v>
      </c>
      <c r="N586" t="n">
        <v>25.90887</v>
      </c>
      <c r="O586" t="n">
        <v>14.88413</v>
      </c>
      <c r="P586" t="n">
        <v>9.623896999999999</v>
      </c>
      <c r="Q586" t="n">
        <v>15.01057</v>
      </c>
      <c r="R586" t="n">
        <v>25.20452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33.15845</v>
      </c>
      <c r="Y586" t="n">
        <v>20.17743</v>
      </c>
      <c r="Z586" t="n">
        <v>23.05414</v>
      </c>
      <c r="AA586" t="n">
        <v>1.833652</v>
      </c>
      <c r="AB586" t="n">
        <v>40.8618</v>
      </c>
      <c r="AC586" t="n">
        <v>3.007553</v>
      </c>
      <c r="AD586" t="n">
        <v>37.92159</v>
      </c>
      <c r="AE586" t="n">
        <v>15.98156</v>
      </c>
    </row>
    <row r="587">
      <c r="A587" s="90" t="n">
        <v>36434</v>
      </c>
      <c r="B587" t="n">
        <v>23.12778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15.02851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35.3781</v>
      </c>
      <c r="N587" t="n">
        <v>26.12511</v>
      </c>
      <c r="O587" t="n">
        <v>14.84825</v>
      </c>
      <c r="P587" t="n">
        <v>9.752648000000001</v>
      </c>
      <c r="Q587" t="n">
        <v>15.17673</v>
      </c>
      <c r="R587" t="n">
        <v>25.52595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33.42669</v>
      </c>
      <c r="Y587" t="n">
        <v>20.51686</v>
      </c>
      <c r="Z587" t="n">
        <v>23.45243</v>
      </c>
      <c r="AA587" t="n">
        <v>1.891358</v>
      </c>
      <c r="AB587" t="n">
        <v>41.27076</v>
      </c>
      <c r="AC587" t="n">
        <v>3.180906</v>
      </c>
      <c r="AD587" t="n">
        <v>38.11918</v>
      </c>
      <c r="AE587" t="n">
        <v>16.2601</v>
      </c>
    </row>
    <row r="588">
      <c r="A588" s="90" t="n">
        <v>36465</v>
      </c>
      <c r="B588" t="n">
        <v>23.3183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15.08521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35.70238</v>
      </c>
      <c r="N588" t="n">
        <v>26.39345</v>
      </c>
      <c r="O588" t="n">
        <v>14.70467</v>
      </c>
      <c r="P588" t="n">
        <v>9.855180000000001</v>
      </c>
      <c r="Q588" t="n">
        <v>15.34073</v>
      </c>
      <c r="R588" t="n">
        <v>25.85498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33.71506</v>
      </c>
      <c r="Y588" t="n">
        <v>21.02208</v>
      </c>
      <c r="Z588" t="n">
        <v>23.88944</v>
      </c>
      <c r="AA588" t="n">
        <v>1.965077</v>
      </c>
      <c r="AB588" t="n">
        <v>41.62099</v>
      </c>
      <c r="AC588" t="n">
        <v>3.397039</v>
      </c>
      <c r="AD588" t="n">
        <v>38.27692</v>
      </c>
      <c r="AE588" t="n">
        <v>16.52213</v>
      </c>
    </row>
    <row r="589">
      <c r="A589" s="90" t="n">
        <v>36495</v>
      </c>
      <c r="B589" t="n">
        <v>23.41356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15.17122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35.99012</v>
      </c>
      <c r="N589" t="n">
        <v>26.8559</v>
      </c>
      <c r="O589" t="n">
        <v>14.74371</v>
      </c>
      <c r="P589" t="n">
        <v>10.04146</v>
      </c>
      <c r="Q589" t="n">
        <v>15.50191</v>
      </c>
      <c r="R589" t="n">
        <v>26.15781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34.03468</v>
      </c>
      <c r="Y589" t="n">
        <v>21.52902</v>
      </c>
      <c r="Z589" t="n">
        <v>24.29217</v>
      </c>
      <c r="AA589" t="n">
        <v>2.070719</v>
      </c>
      <c r="AB589" t="n">
        <v>41.1742</v>
      </c>
      <c r="AC589" t="n">
        <v>3.633562</v>
      </c>
      <c r="AD589" t="n">
        <v>38.50523</v>
      </c>
      <c r="AE589" t="n">
        <v>16.78071</v>
      </c>
    </row>
    <row r="590">
      <c r="A590" s="90" t="n">
        <v>36526</v>
      </c>
      <c r="B590" t="n">
        <v>23.44437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15.33672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35.93263</v>
      </c>
      <c r="N590" t="n">
        <v>27.2567</v>
      </c>
      <c r="O590" t="n">
        <v>14.80523</v>
      </c>
      <c r="P590" t="n">
        <v>10.1776</v>
      </c>
      <c r="Q590" t="n">
        <v>15.6591</v>
      </c>
      <c r="R590" t="n">
        <v>26.58503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34.30377</v>
      </c>
      <c r="Y590" t="n">
        <v>21.91823</v>
      </c>
      <c r="Z590" t="n">
        <v>24.32207</v>
      </c>
      <c r="AA590" t="n">
        <v>2.142452</v>
      </c>
      <c r="AB590" t="n">
        <v>41.58322</v>
      </c>
      <c r="AC590" t="n">
        <v>3.858876</v>
      </c>
      <c r="AD590" t="n">
        <v>38.73935</v>
      </c>
      <c r="AE590" t="n">
        <v>16.80905</v>
      </c>
    </row>
    <row r="591">
      <c r="A591" s="90" t="n">
        <v>36557</v>
      </c>
      <c r="B591" t="n">
        <v>23.52002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15.20117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36.16733</v>
      </c>
      <c r="N591" t="n">
        <v>27.64091</v>
      </c>
      <c r="O591" t="n">
        <v>14.98777</v>
      </c>
      <c r="P591" t="n">
        <v>10.25099</v>
      </c>
      <c r="Q591" t="n">
        <v>15.81323</v>
      </c>
      <c r="R591" t="n">
        <v>27.01596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34.50751</v>
      </c>
      <c r="Y591" t="n">
        <v>22.21244</v>
      </c>
      <c r="Z591" t="n">
        <v>24.3294</v>
      </c>
      <c r="AA591" t="n">
        <v>2.228634</v>
      </c>
      <c r="AB591" t="n">
        <v>42.87687</v>
      </c>
      <c r="AC591" t="n">
        <v>4.045871</v>
      </c>
      <c r="AD591" t="n">
        <v>38.84894</v>
      </c>
      <c r="AE591" t="n">
        <v>16.79707</v>
      </c>
    </row>
    <row r="592">
      <c r="A592" s="90" t="n">
        <v>36586</v>
      </c>
      <c r="B592" t="n">
        <v>23.62368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15.01378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36.82765</v>
      </c>
      <c r="N592" t="n">
        <v>28.24681</v>
      </c>
      <c r="O592" t="n">
        <v>15.15074</v>
      </c>
      <c r="P592" t="n">
        <v>10.35824</v>
      </c>
      <c r="Q592" t="n">
        <v>15.96292</v>
      </c>
      <c r="R592" t="n">
        <v>27.45958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34.7832</v>
      </c>
      <c r="Y592" t="n">
        <v>22.60116</v>
      </c>
      <c r="Z592" t="n">
        <v>24.66117</v>
      </c>
      <c r="AA592" t="n">
        <v>2.350176</v>
      </c>
      <c r="AB592" t="n">
        <v>43.52835</v>
      </c>
      <c r="AC592" t="n">
        <v>4.182989</v>
      </c>
      <c r="AD592" t="n">
        <v>39.10464</v>
      </c>
      <c r="AE592" t="n">
        <v>16.77214</v>
      </c>
    </row>
    <row r="593">
      <c r="A593" s="90" t="n">
        <v>36617</v>
      </c>
      <c r="B593" t="n">
        <v>23.78057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15.07343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37.29082</v>
      </c>
      <c r="N593" t="n">
        <v>28.83581</v>
      </c>
      <c r="O593" t="n">
        <v>15.32567</v>
      </c>
      <c r="P593" t="n">
        <v>10.45477</v>
      </c>
      <c r="Q593" t="n">
        <v>16.10706</v>
      </c>
      <c r="R593" t="n">
        <v>27.84001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35.13768</v>
      </c>
      <c r="Y593" t="n">
        <v>22.90935</v>
      </c>
      <c r="Z593" t="n">
        <v>25.1083</v>
      </c>
      <c r="AA593" t="n">
        <v>2.447962</v>
      </c>
      <c r="AB593" t="n">
        <v>43.80904</v>
      </c>
      <c r="AC593" t="n">
        <v>4.311923</v>
      </c>
      <c r="AD593" t="n">
        <v>39.56873</v>
      </c>
      <c r="AE593" t="n">
        <v>16.7872</v>
      </c>
    </row>
    <row r="594">
      <c r="A594" s="90" t="n">
        <v>36647</v>
      </c>
      <c r="B594" t="n">
        <v>23.97949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15.11675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37.75264</v>
      </c>
      <c r="N594" t="n">
        <v>29.26037</v>
      </c>
      <c r="O594" t="n">
        <v>15.53429</v>
      </c>
      <c r="P594" t="n">
        <v>10.57086</v>
      </c>
      <c r="Q594" t="n">
        <v>16.24347</v>
      </c>
      <c r="R594" t="n">
        <v>28.13721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35.2431</v>
      </c>
      <c r="Y594" t="n">
        <v>23.24848</v>
      </c>
      <c r="Z594" t="n">
        <v>25.4723</v>
      </c>
      <c r="AA594" t="n">
        <v>2.519468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24.14199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15.1404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38.31899</v>
      </c>
      <c r="N595" t="n">
        <v>29.55702</v>
      </c>
      <c r="O595" t="n">
        <v>15.67749</v>
      </c>
      <c r="P595" t="n">
        <v>10.70087</v>
      </c>
      <c r="Q595" t="n">
        <v>16.37674</v>
      </c>
      <c r="R595" t="n">
        <v>28.47476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35.47111</v>
      </c>
      <c r="Y595" t="n">
        <v>23.64063</v>
      </c>
      <c r="Z595" t="n">
        <v>26.30262</v>
      </c>
      <c r="AA595" t="n">
        <v>2.604021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24.29048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15.24134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38.47601</v>
      </c>
      <c r="N596" t="n">
        <v>29.84221</v>
      </c>
      <c r="O596" t="n">
        <v>15.74661</v>
      </c>
      <c r="P596" t="n">
        <v>10.82681</v>
      </c>
      <c r="Q596" t="n">
        <v>16.5167</v>
      </c>
      <c r="R596" t="n">
        <v>28.8024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35.6676</v>
      </c>
      <c r="Y596" t="n">
        <v>23.84304</v>
      </c>
      <c r="Z596" t="n">
        <v>26.60752</v>
      </c>
      <c r="AA596" t="n">
        <v>2.714375</v>
      </c>
      <c r="AB596" t="n">
        <v>43.49865</v>
      </c>
      <c r="AC596" t="n">
        <v>4.796945</v>
      </c>
      <c r="AD596" t="n">
        <v>39.76217</v>
      </c>
      <c r="AE596" t="n">
        <v>16.90158</v>
      </c>
    </row>
    <row r="597">
      <c r="A597" s="90" t="n">
        <v>36739</v>
      </c>
      <c r="B597" t="n">
        <v>24.46698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15.2963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38.63867</v>
      </c>
      <c r="N597" t="n">
        <v>30.47996</v>
      </c>
      <c r="O597" t="n">
        <v>15.82709</v>
      </c>
      <c r="P597" t="n">
        <v>10.91949</v>
      </c>
      <c r="Q597" t="n">
        <v>16.66068</v>
      </c>
      <c r="R597" t="n">
        <v>29.11843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35.88047</v>
      </c>
      <c r="Y597" t="n">
        <v>23.97157</v>
      </c>
      <c r="Z597" t="n">
        <v>26.25238</v>
      </c>
      <c r="AA597" t="n">
        <v>2.852476</v>
      </c>
      <c r="AB597" t="n">
        <v>43.4716</v>
      </c>
      <c r="AC597" t="n">
        <v>4.900766</v>
      </c>
      <c r="AD597" t="n">
        <v>39.99546</v>
      </c>
      <c r="AE597" t="n">
        <v>16.96479</v>
      </c>
    </row>
    <row r="598">
      <c r="A598" s="90" t="n">
        <v>36770</v>
      </c>
      <c r="B598" t="n">
        <v>24.60707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15.34725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38.77419</v>
      </c>
      <c r="N598" t="n">
        <v>31.28361</v>
      </c>
      <c r="O598" t="n">
        <v>15.87884</v>
      </c>
      <c r="P598" t="n">
        <v>11.04442</v>
      </c>
      <c r="Q598" t="n">
        <v>16.81042</v>
      </c>
      <c r="R598" t="n">
        <v>29.37574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36.11703</v>
      </c>
      <c r="Y598" t="n">
        <v>24.13995</v>
      </c>
      <c r="Z598" t="n">
        <v>26.47404</v>
      </c>
      <c r="AA598" t="n">
        <v>2.98526</v>
      </c>
      <c r="AB598" t="n">
        <v>43.46398</v>
      </c>
      <c r="AC598" t="n">
        <v>4.953609</v>
      </c>
      <c r="AD598" t="n">
        <v>40.29185</v>
      </c>
      <c r="AE598" t="n">
        <v>17.29513</v>
      </c>
    </row>
    <row r="599">
      <c r="A599" s="90" t="n">
        <v>36800</v>
      </c>
      <c r="B599" t="n">
        <v>24.71913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15.54096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38.99064</v>
      </c>
      <c r="N599" t="n">
        <v>31.75665</v>
      </c>
      <c r="O599" t="n">
        <v>16.16258</v>
      </c>
      <c r="P599" t="n">
        <v>11.21075</v>
      </c>
      <c r="Q599" t="n">
        <v>16.98198</v>
      </c>
      <c r="R599" t="n">
        <v>29.67211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36.29383</v>
      </c>
      <c r="Y599" t="n">
        <v>24.33456</v>
      </c>
      <c r="Z599" t="n">
        <v>26.90085</v>
      </c>
      <c r="AA599" t="n">
        <v>3.110464</v>
      </c>
      <c r="AB599" t="n">
        <v>43.27105</v>
      </c>
      <c r="AC599" t="n">
        <v>5.050842</v>
      </c>
      <c r="AD599" t="n">
        <v>40.42468</v>
      </c>
      <c r="AE599" t="n">
        <v>17.51264</v>
      </c>
    </row>
    <row r="600">
      <c r="A600" s="90" t="n">
        <v>36831</v>
      </c>
      <c r="B600" t="n">
        <v>24.62388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15.7315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39.43398</v>
      </c>
      <c r="N600" t="n">
        <v>32.0862</v>
      </c>
      <c r="O600" t="n">
        <v>16.52472</v>
      </c>
      <c r="P600" t="n">
        <v>11.44868</v>
      </c>
      <c r="Q600" t="n">
        <v>17.17207</v>
      </c>
      <c r="R600" t="n">
        <v>30.17006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36.45607</v>
      </c>
      <c r="Y600" t="n">
        <v>24.62194</v>
      </c>
      <c r="Z600" t="n">
        <v>27.37924</v>
      </c>
      <c r="AA600" t="n">
        <v>3.227514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24.51461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15.79497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39.83508</v>
      </c>
      <c r="N601" t="n">
        <v>32.16814</v>
      </c>
      <c r="O601" t="n">
        <v>16.79229</v>
      </c>
      <c r="P601" t="n">
        <v>11.70729</v>
      </c>
      <c r="Q601" t="n">
        <v>17.35549</v>
      </c>
      <c r="R601" t="n">
        <v>30.67783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36.89095</v>
      </c>
      <c r="Y601" t="n">
        <v>24.86808</v>
      </c>
      <c r="Z601" t="n">
        <v>27.5067</v>
      </c>
      <c r="AA601" t="n">
        <v>3.318509</v>
      </c>
      <c r="AB601" t="n">
        <v>43.33724</v>
      </c>
      <c r="AC601" t="n">
        <v>5.268686</v>
      </c>
      <c r="AD601" t="n">
        <v>40.88794</v>
      </c>
      <c r="AE601" t="n">
        <v>17.87616</v>
      </c>
    </row>
    <row r="602">
      <c r="A602" s="90" t="n">
        <v>36892</v>
      </c>
      <c r="B602" t="n">
        <v>24.70232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15.82287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40.34075</v>
      </c>
      <c r="N602" t="n">
        <v>32.3001</v>
      </c>
      <c r="O602" t="n">
        <v>16.95087</v>
      </c>
      <c r="P602" t="n">
        <v>11.84291</v>
      </c>
      <c r="Q602" t="n">
        <v>17.52728</v>
      </c>
      <c r="R602" t="n">
        <v>31.09958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37.35046</v>
      </c>
      <c r="Y602" t="n">
        <v>25.15832</v>
      </c>
      <c r="Z602" t="n">
        <v>27.60328</v>
      </c>
      <c r="AA602" t="n">
        <v>3.397448</v>
      </c>
      <c r="AB602" t="n">
        <v>43.14142</v>
      </c>
      <c r="AC602" t="n">
        <v>5.389837</v>
      </c>
      <c r="AD602" t="n">
        <v>41.30886</v>
      </c>
      <c r="AE602" t="n">
        <v>18.21089</v>
      </c>
    </row>
    <row r="603">
      <c r="A603" s="90" t="n">
        <v>36923</v>
      </c>
      <c r="B603" t="n">
        <v>24.99089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15.95637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40.51464</v>
      </c>
      <c r="N603" t="n">
        <v>32.78356</v>
      </c>
      <c r="O603" t="n">
        <v>17.17239</v>
      </c>
      <c r="P603" t="n">
        <v>11.93126</v>
      </c>
      <c r="Q603" t="n">
        <v>17.70635</v>
      </c>
      <c r="R603" t="n">
        <v>31.82487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37.68371</v>
      </c>
      <c r="Y603" t="n">
        <v>25.67922</v>
      </c>
      <c r="Z603" t="n">
        <v>27.94683</v>
      </c>
      <c r="AA603" t="n">
        <v>3.473028</v>
      </c>
      <c r="AB603" t="n">
        <v>42.77682</v>
      </c>
      <c r="AC603" t="n">
        <v>5.858421</v>
      </c>
      <c r="AD603" t="n">
        <v>41.62766</v>
      </c>
      <c r="AE603" t="n">
        <v>18.42745</v>
      </c>
    </row>
    <row r="604">
      <c r="A604" s="90" t="n">
        <v>36951</v>
      </c>
      <c r="B604" t="n">
        <v>25.27666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16.03391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40.86194</v>
      </c>
      <c r="N604" t="n">
        <v>33.27213</v>
      </c>
      <c r="O604" t="n">
        <v>17.58521</v>
      </c>
      <c r="P604" t="n">
        <v>12.06677</v>
      </c>
      <c r="Q604" t="n">
        <v>17.90319</v>
      </c>
      <c r="R604" t="n">
        <v>32.38799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38.17115</v>
      </c>
      <c r="Y604" t="n">
        <v>26.47643</v>
      </c>
      <c r="Z604" t="n">
        <v>28.32005</v>
      </c>
      <c r="AA604" t="n">
        <v>3.585421</v>
      </c>
      <c r="AB604" t="n">
        <v>42.64083</v>
      </c>
      <c r="AC604" t="n">
        <v>6.641609</v>
      </c>
      <c r="AD604" t="n">
        <v>42.10835</v>
      </c>
      <c r="AE604" t="n">
        <v>18.68356</v>
      </c>
    </row>
    <row r="605">
      <c r="A605" s="90" t="n">
        <v>36982</v>
      </c>
      <c r="B605" t="n">
        <v>25.53162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16.03575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41.39337</v>
      </c>
      <c r="N605" t="n">
        <v>33.70008</v>
      </c>
      <c r="O605" t="n">
        <v>18.05528</v>
      </c>
      <c r="P605" t="n">
        <v>12.22381</v>
      </c>
      <c r="Q605" t="n">
        <v>18.10699</v>
      </c>
      <c r="R605" t="n">
        <v>32.53123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38.63736</v>
      </c>
      <c r="Y605" t="n">
        <v>27.16192</v>
      </c>
      <c r="Z605" t="n">
        <v>28.68064</v>
      </c>
      <c r="AA605" t="n">
        <v>3.691752</v>
      </c>
      <c r="AB605" t="n">
        <v>43.09443</v>
      </c>
      <c r="AC605" t="n">
        <v>7.212993</v>
      </c>
      <c r="AD605" t="n">
        <v>42.63885</v>
      </c>
      <c r="AE605" t="n">
        <v>18.89667</v>
      </c>
    </row>
    <row r="606">
      <c r="A606" s="90" t="n">
        <v>37012</v>
      </c>
      <c r="B606" t="n">
        <v>25.81458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16.1187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41.46055</v>
      </c>
      <c r="N606" t="n">
        <v>34.19146</v>
      </c>
      <c r="O606" t="n">
        <v>18.21256</v>
      </c>
      <c r="P606" t="n">
        <v>12.41516</v>
      </c>
      <c r="Q606" t="n">
        <v>18.31321</v>
      </c>
      <c r="R606" t="n">
        <v>32.82302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38.81592</v>
      </c>
      <c r="Y606" t="n">
        <v>27.55469</v>
      </c>
      <c r="Z606" t="n">
        <v>28.87013</v>
      </c>
      <c r="AA606" t="n">
        <v>3.785346</v>
      </c>
      <c r="AB606" t="n">
        <v>43.39737</v>
      </c>
      <c r="AC606" t="n">
        <v>7.556115</v>
      </c>
      <c r="AD606" t="n">
        <v>42.61478</v>
      </c>
      <c r="AE606" t="n">
        <v>19.06473</v>
      </c>
    </row>
    <row r="607">
      <c r="A607" s="90" t="n">
        <v>37043</v>
      </c>
      <c r="B607" t="n">
        <v>26.11436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16.26786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41.56629</v>
      </c>
      <c r="N607" t="n">
        <v>34.52194</v>
      </c>
      <c r="O607" t="n">
        <v>18.19463</v>
      </c>
      <c r="P607" t="n">
        <v>12.59801</v>
      </c>
      <c r="Q607" t="n">
        <v>18.52725</v>
      </c>
      <c r="R607" t="n">
        <v>33.19131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39.15134</v>
      </c>
      <c r="Y607" t="n">
        <v>27.98725</v>
      </c>
      <c r="Z607" t="n">
        <v>29.0166</v>
      </c>
      <c r="AA607" t="n">
        <v>3.88556</v>
      </c>
      <c r="AB607" t="n">
        <v>44.47362</v>
      </c>
      <c r="AC607" t="n">
        <v>7.915514</v>
      </c>
      <c r="AD607" t="n">
        <v>42.95102</v>
      </c>
      <c r="AE607" t="n">
        <v>19.31937</v>
      </c>
    </row>
    <row r="608">
      <c r="A608" s="90" t="n">
        <v>37073</v>
      </c>
      <c r="B608" t="n">
        <v>26.20402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16.37721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41.96016</v>
      </c>
      <c r="N608" t="n">
        <v>34.71255</v>
      </c>
      <c r="O608" t="n">
        <v>18.00674</v>
      </c>
      <c r="P608" t="n">
        <v>12.73767</v>
      </c>
      <c r="Q608" t="n">
        <v>18.74914</v>
      </c>
      <c r="R608" t="n">
        <v>33.43864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39.42751</v>
      </c>
      <c r="Y608" t="n">
        <v>28.37624</v>
      </c>
      <c r="Z608" t="n">
        <v>29.33099</v>
      </c>
      <c r="AA608" t="n">
        <v>3.972875</v>
      </c>
      <c r="AB608" t="n">
        <v>44.76649</v>
      </c>
      <c r="AC608" t="n">
        <v>8.193991</v>
      </c>
      <c r="AD608" t="n">
        <v>43.19925</v>
      </c>
      <c r="AE608" t="n">
        <v>19.63999</v>
      </c>
    </row>
    <row r="609">
      <c r="A609" s="90" t="n">
        <v>37104</v>
      </c>
      <c r="B609" t="n">
        <v>26.36651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16.50541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42.45975</v>
      </c>
      <c r="N609" t="n">
        <v>35.2742</v>
      </c>
      <c r="O609" t="n">
        <v>17.81949</v>
      </c>
      <c r="P609" t="n">
        <v>12.86392</v>
      </c>
      <c r="Q609" t="n">
        <v>18.98635</v>
      </c>
      <c r="R609" t="n">
        <v>33.70272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39.78542</v>
      </c>
      <c r="Y609" t="n">
        <v>28.94678</v>
      </c>
      <c r="Z609" t="n">
        <v>29.75009</v>
      </c>
      <c r="AA609" t="n">
        <v>4.085111</v>
      </c>
      <c r="AB609" t="n">
        <v>44.34686</v>
      </c>
      <c r="AC609" t="n">
        <v>8.651270999999999</v>
      </c>
      <c r="AD609" t="n">
        <v>43.47986</v>
      </c>
      <c r="AE609" t="n">
        <v>20.06904</v>
      </c>
    </row>
    <row r="610">
      <c r="A610" s="90" t="n">
        <v>37135</v>
      </c>
      <c r="B610" t="n">
        <v>26.76435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16.64561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42.76025</v>
      </c>
      <c r="N610" t="n">
        <v>35.87214</v>
      </c>
      <c r="O610" t="n">
        <v>18.04943</v>
      </c>
      <c r="P610" t="n">
        <v>12.97775</v>
      </c>
      <c r="Q610" t="n">
        <v>19.23208</v>
      </c>
      <c r="R610" t="n">
        <v>34.19131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40.49915</v>
      </c>
      <c r="Y610" t="n">
        <v>29.65862</v>
      </c>
      <c r="Z610" t="n">
        <v>30.04326</v>
      </c>
      <c r="AA610" t="n">
        <v>4.218233</v>
      </c>
      <c r="AB610" t="n">
        <v>45.01808</v>
      </c>
      <c r="AC610" t="n">
        <v>9.299973</v>
      </c>
      <c r="AD610" t="n">
        <v>44.40306</v>
      </c>
      <c r="AE610" t="n">
        <v>20.20996</v>
      </c>
    </row>
    <row r="611">
      <c r="A611" s="90" t="n">
        <v>37165</v>
      </c>
      <c r="B611" t="n">
        <v>27.15939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16.89534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43.10641</v>
      </c>
      <c r="N611" t="n">
        <v>36.38994</v>
      </c>
      <c r="O611" t="n">
        <v>18.43945</v>
      </c>
      <c r="P611" t="n">
        <v>13.08113</v>
      </c>
      <c r="Q611" t="n">
        <v>19.45749</v>
      </c>
      <c r="R611" t="n">
        <v>34.58049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40.68015</v>
      </c>
      <c r="Y611" t="n">
        <v>30.16333</v>
      </c>
      <c r="Z611" t="n">
        <v>30.26114</v>
      </c>
      <c r="AA611" t="n">
        <v>4.347425</v>
      </c>
      <c r="AB611" t="n">
        <v>45.61308</v>
      </c>
      <c r="AC611" t="n">
        <v>9.709228</v>
      </c>
      <c r="AD611" t="n">
        <v>44.30924</v>
      </c>
      <c r="AE611" t="n">
        <v>20.2001</v>
      </c>
    </row>
    <row r="612">
      <c r="A612" s="90" t="n">
        <v>37196</v>
      </c>
      <c r="B612" t="n">
        <v>27.52641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17.08324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43.53106</v>
      </c>
      <c r="N612" t="n">
        <v>36.70482</v>
      </c>
      <c r="O612" t="n">
        <v>18.80783</v>
      </c>
      <c r="P612" t="n">
        <v>13.23063</v>
      </c>
      <c r="Q612" t="n">
        <v>19.65967</v>
      </c>
      <c r="R612" t="n">
        <v>34.74769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</v>
      </c>
      <c r="Y612" t="n">
        <v>30.40146</v>
      </c>
      <c r="Z612" t="n">
        <v>30.09591</v>
      </c>
      <c r="AA612" t="n">
        <v>4.489469</v>
      </c>
      <c r="AB612" t="n">
        <v>45.84876</v>
      </c>
      <c r="AC612" t="n">
        <v>9.810295</v>
      </c>
      <c r="AD612" t="n">
        <v>44.67205</v>
      </c>
      <c r="AE612" t="n">
        <v>20.48095</v>
      </c>
    </row>
    <row r="613">
      <c r="A613" s="90" t="n">
        <v>37226</v>
      </c>
      <c r="B613" t="n">
        <v>27.81218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17.1387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43.70485</v>
      </c>
      <c r="N613" t="n">
        <v>37.13815</v>
      </c>
      <c r="O613" t="n">
        <v>19.00094</v>
      </c>
      <c r="P613" t="n">
        <v>13.40002</v>
      </c>
      <c r="Q613" t="n">
        <v>19.863</v>
      </c>
      <c r="R613" t="n">
        <v>34.86073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41.21477</v>
      </c>
      <c r="Y613" t="n">
        <v>30.44302</v>
      </c>
      <c r="Z613" t="n">
        <v>29.9631</v>
      </c>
      <c r="AA613" t="n">
        <v>4.58228</v>
      </c>
      <c r="AB613" t="n">
        <v>44.45295</v>
      </c>
      <c r="AC613" t="n">
        <v>9.840127000000001</v>
      </c>
      <c r="AD613" t="n">
        <v>45.11206</v>
      </c>
      <c r="AE613" t="n">
        <v>20.87076</v>
      </c>
    </row>
    <row r="614">
      <c r="A614" s="90" t="n">
        <v>37257</v>
      </c>
      <c r="B614" t="n">
        <v>28.07553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17.14349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43.44397</v>
      </c>
      <c r="N614" t="n">
        <v>37.61049</v>
      </c>
      <c r="O614" t="n">
        <v>19.16421</v>
      </c>
      <c r="P614" t="n">
        <v>13.51709</v>
      </c>
      <c r="Q614" t="n">
        <v>20.07222</v>
      </c>
      <c r="R614" t="n">
        <v>34.70665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41.23153</v>
      </c>
      <c r="Y614" t="n">
        <v>30.09329</v>
      </c>
      <c r="Z614" t="n">
        <v>30.11077</v>
      </c>
      <c r="AA614" t="n">
        <v>4.626163</v>
      </c>
      <c r="AB614" t="n">
        <v>43.03252</v>
      </c>
      <c r="AC614" t="n">
        <v>9.646126000000001</v>
      </c>
      <c r="AD614" t="n">
        <v>45.28059</v>
      </c>
      <c r="AE614" t="n">
        <v>21.56531</v>
      </c>
    </row>
    <row r="615">
      <c r="A615" s="90" t="n">
        <v>37288</v>
      </c>
      <c r="B615" t="n">
        <v>28.29126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17.14576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43.28316</v>
      </c>
      <c r="N615" t="n">
        <v>37.22824</v>
      </c>
      <c r="O615" t="n">
        <v>19.25138</v>
      </c>
      <c r="P615" t="n">
        <v>13.6293</v>
      </c>
      <c r="Q615" t="n">
        <v>20.27951</v>
      </c>
      <c r="R615" t="n">
        <v>34.46609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41.36893</v>
      </c>
      <c r="Y615" t="n">
        <v>29.96977</v>
      </c>
      <c r="Z615" t="n">
        <v>30.14452</v>
      </c>
      <c r="AA615" t="n">
        <v>4.685304</v>
      </c>
      <c r="AB615" t="n">
        <v>42.95807</v>
      </c>
      <c r="AC615" t="n">
        <v>9.743899000000001</v>
      </c>
      <c r="AD615" t="n">
        <v>45.52384</v>
      </c>
      <c r="AE615" t="n">
        <v>22.21117</v>
      </c>
    </row>
    <row r="616">
      <c r="A616" s="90" t="n">
        <v>37316</v>
      </c>
      <c r="B616" t="n">
        <v>28.56302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17.25218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43.54383</v>
      </c>
      <c r="N616" t="n">
        <v>36.79438</v>
      </c>
      <c r="O616" t="n">
        <v>19.26405</v>
      </c>
      <c r="P616" t="n">
        <v>13.76843</v>
      </c>
      <c r="Q616" t="n">
        <v>20.49522</v>
      </c>
      <c r="R616" t="n">
        <v>34.57205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41.55006</v>
      </c>
      <c r="Y616" t="n">
        <v>30.1929</v>
      </c>
      <c r="Z616" t="n">
        <v>29.91855</v>
      </c>
      <c r="AA616" t="n">
        <v>4.741415</v>
      </c>
      <c r="AB616" t="n">
        <v>43.35147</v>
      </c>
      <c r="AC616" t="n">
        <v>10.06746</v>
      </c>
      <c r="AD616" t="n">
        <v>45.62181</v>
      </c>
      <c r="AE616" t="n">
        <v>22.47052</v>
      </c>
    </row>
    <row r="617">
      <c r="A617" s="90" t="n">
        <v>37347</v>
      </c>
      <c r="B617" t="n">
        <v>28.36411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17.41862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43.66561</v>
      </c>
      <c r="N617" t="n">
        <v>37.14375</v>
      </c>
      <c r="O617" t="n">
        <v>19.22424</v>
      </c>
      <c r="P617" t="n">
        <v>13.94097</v>
      </c>
      <c r="Q617" t="n">
        <v>20.7202</v>
      </c>
      <c r="R617" t="n">
        <v>34.93719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41.6409</v>
      </c>
      <c r="Y617" t="n">
        <v>30.3262</v>
      </c>
      <c r="Z617" t="n">
        <v>29.65802</v>
      </c>
      <c r="AA617" t="n">
        <v>4.823805</v>
      </c>
      <c r="AB617" t="n">
        <v>44.17275</v>
      </c>
      <c r="AC617" t="n">
        <v>10.1795</v>
      </c>
      <c r="AD617" t="n">
        <v>45.62347</v>
      </c>
      <c r="AE617" t="n">
        <v>22.73351</v>
      </c>
    </row>
    <row r="618">
      <c r="A618" s="90" t="n">
        <v>37377</v>
      </c>
      <c r="B618" t="n">
        <v>28.07553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17.5815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43.86535</v>
      </c>
      <c r="N618" t="n">
        <v>37.54888</v>
      </c>
      <c r="O618" t="n">
        <v>19.1845</v>
      </c>
      <c r="P618" t="n">
        <v>14.35914</v>
      </c>
      <c r="Q618" t="n">
        <v>20.94656</v>
      </c>
      <c r="R618" t="n">
        <v>35.27291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41.84605</v>
      </c>
      <c r="Y618" t="n">
        <v>30.65169</v>
      </c>
      <c r="Z618" t="n">
        <v>29.83765</v>
      </c>
      <c r="AA618" t="n">
        <v>4.959825</v>
      </c>
      <c r="AB618" t="n">
        <v>44.46016</v>
      </c>
      <c r="AC618" t="n">
        <v>10.56251</v>
      </c>
      <c r="AD618" t="n">
        <v>45.84015</v>
      </c>
      <c r="AE618" t="n">
        <v>23.25074</v>
      </c>
    </row>
    <row r="619">
      <c r="A619" s="90" t="n">
        <v>37408</v>
      </c>
      <c r="B619" t="n">
        <v>27.99428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17.62753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43.99221</v>
      </c>
      <c r="N619" t="n">
        <v>37.65025</v>
      </c>
      <c r="O619" t="n">
        <v>19.24552</v>
      </c>
      <c r="P619" t="n">
        <v>14.70696</v>
      </c>
      <c r="Q619" t="n">
        <v>21.18389</v>
      </c>
      <c r="R619" t="n">
        <v>35.43104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42.0582</v>
      </c>
      <c r="Y619" t="n">
        <v>31.00528</v>
      </c>
      <c r="Z619" t="n">
        <v>30.00146</v>
      </c>
      <c r="AA619" t="n">
        <v>5.116921</v>
      </c>
      <c r="AB619" t="n">
        <v>44.82401</v>
      </c>
      <c r="AC619" t="n">
        <v>11.05595</v>
      </c>
      <c r="AD619" t="n">
        <v>46.04771</v>
      </c>
      <c r="AE619" t="n">
        <v>23.46191</v>
      </c>
    </row>
    <row r="620">
      <c r="A620" s="90" t="n">
        <v>37438</v>
      </c>
      <c r="B620" t="n">
        <v>28.08674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17.7263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43.96618</v>
      </c>
      <c r="N620" t="n">
        <v>37.86004</v>
      </c>
      <c r="O620" t="n">
        <v>19.48093</v>
      </c>
      <c r="P620" t="n">
        <v>14.81467</v>
      </c>
      <c r="Q620" t="n">
        <v>21.42385</v>
      </c>
      <c r="R620" t="n">
        <v>35.25015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42.36623</v>
      </c>
      <c r="Y620" t="n">
        <v>31.3763</v>
      </c>
      <c r="Z620" t="n">
        <v>30.06733</v>
      </c>
      <c r="AA620" t="n">
        <v>5.229836</v>
      </c>
      <c r="AB620" t="n">
        <v>45.34597</v>
      </c>
      <c r="AC620" t="n">
        <v>11.63259</v>
      </c>
      <c r="AD620" t="n">
        <v>46.40138</v>
      </c>
      <c r="AE620" t="n">
        <v>23.42545</v>
      </c>
    </row>
    <row r="621">
      <c r="A621" s="90" t="n">
        <v>37469</v>
      </c>
      <c r="B621" t="n">
        <v>28.56022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17.87846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44.24366</v>
      </c>
      <c r="N621" t="n">
        <v>38.40453</v>
      </c>
      <c r="O621" t="n">
        <v>19.75081</v>
      </c>
      <c r="P621" t="n">
        <v>14.97889</v>
      </c>
      <c r="Q621" t="n">
        <v>21.64597</v>
      </c>
      <c r="R621" t="n">
        <v>35.27184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42.66768</v>
      </c>
      <c r="Y621" t="n">
        <v>31.69063</v>
      </c>
      <c r="Z621" t="n">
        <v>30.10386</v>
      </c>
      <c r="AA621" t="n">
        <v>5.339374</v>
      </c>
      <c r="AB621" t="n">
        <v>46.31201</v>
      </c>
      <c r="AC621" t="n">
        <v>11.87934</v>
      </c>
      <c r="AD621" t="n">
        <v>46.75422</v>
      </c>
      <c r="AE621" t="n">
        <v>23.71426</v>
      </c>
    </row>
    <row r="622">
      <c r="A622" s="90" t="n">
        <v>37500</v>
      </c>
      <c r="B622" t="n">
        <v>28.83198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18.0529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44.6708</v>
      </c>
      <c r="N622" t="n">
        <v>38.71146</v>
      </c>
      <c r="O622" t="n">
        <v>19.89742</v>
      </c>
      <c r="P622" t="n">
        <v>15.12812</v>
      </c>
      <c r="Q622" t="n">
        <v>21.85909</v>
      </c>
      <c r="R622" t="n">
        <v>35.6503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42.85168</v>
      </c>
      <c r="Y622" t="n">
        <v>31.83797</v>
      </c>
      <c r="Z622" t="n">
        <v>29.9701</v>
      </c>
      <c r="AA622" t="n">
        <v>5.494443</v>
      </c>
      <c r="AB622" t="n">
        <v>46.52808</v>
      </c>
      <c r="AC622" t="n">
        <v>11.87021</v>
      </c>
      <c r="AD622" t="n">
        <v>46.95679</v>
      </c>
      <c r="AE622" t="n">
        <v>23.86353</v>
      </c>
    </row>
    <row r="623">
      <c r="A623" s="90" t="n">
        <v>37530</v>
      </c>
      <c r="B623" t="n">
        <v>29.00569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18.20358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45.04023</v>
      </c>
      <c r="N623" t="n">
        <v>39.11787</v>
      </c>
      <c r="O623" t="n">
        <v>19.90388</v>
      </c>
      <c r="P623" t="n">
        <v>15.26559</v>
      </c>
      <c r="Q623" t="n">
        <v>22.08961</v>
      </c>
      <c r="R623" t="n">
        <v>35.9095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43.11378</v>
      </c>
      <c r="Y623" t="n">
        <v>32.05049</v>
      </c>
      <c r="Z623" t="n">
        <v>29.83474</v>
      </c>
      <c r="AA623" t="n">
        <v>5.633734</v>
      </c>
      <c r="AB623" t="n">
        <v>46.15462</v>
      </c>
      <c r="AC623" t="n">
        <v>12.01448</v>
      </c>
      <c r="AD623" t="n">
        <v>47.3254</v>
      </c>
      <c r="AE623" t="n">
        <v>24.15259</v>
      </c>
    </row>
    <row r="624">
      <c r="A624" s="90" t="n">
        <v>37561</v>
      </c>
      <c r="B624" t="n">
        <v>29.29426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18.30557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45.33217</v>
      </c>
      <c r="N624" t="n">
        <v>39.96038</v>
      </c>
      <c r="O624" t="n">
        <v>19.9094</v>
      </c>
      <c r="P624" t="n">
        <v>15.42774</v>
      </c>
      <c r="Q624" t="n">
        <v>22.36234</v>
      </c>
      <c r="R624" t="n">
        <v>36.0416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43.45609</v>
      </c>
      <c r="Y624" t="n">
        <v>32.24183</v>
      </c>
      <c r="Z624" t="n">
        <v>29.79882</v>
      </c>
      <c r="AA624" t="n">
        <v>5.776549</v>
      </c>
      <c r="AB624" t="n">
        <v>46.08729</v>
      </c>
      <c r="AC624" t="n">
        <v>12.05636</v>
      </c>
      <c r="AD624" t="n">
        <v>47.74217</v>
      </c>
      <c r="AE624" t="n">
        <v>24.6135</v>
      </c>
    </row>
    <row r="625">
      <c r="A625" s="90" t="n">
        <v>37591</v>
      </c>
      <c r="B625" t="n">
        <v>29.63606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18.48131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45.44619</v>
      </c>
      <c r="N625" t="n">
        <v>40.74363</v>
      </c>
      <c r="O625" t="n">
        <v>19.9397</v>
      </c>
      <c r="P625" t="n">
        <v>15.57108</v>
      </c>
      <c r="Q625" t="n">
        <v>22.68001</v>
      </c>
      <c r="R625" t="n">
        <v>36.36671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43.65185</v>
      </c>
      <c r="Y625" t="n">
        <v>32.46346</v>
      </c>
      <c r="Z625" t="n">
        <v>29.822</v>
      </c>
      <c r="AA625" t="n">
        <v>5.940141</v>
      </c>
      <c r="AB625" t="n">
        <v>46.08027</v>
      </c>
      <c r="AC625" t="n">
        <v>12.24594</v>
      </c>
      <c r="AD625" t="n">
        <v>47.91983</v>
      </c>
      <c r="AE625" t="n">
        <v>24.82866</v>
      </c>
    </row>
    <row r="626">
      <c r="A626" s="90" t="n">
        <v>37622</v>
      </c>
      <c r="B626" t="n">
        <v>29.95545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18.67073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45.36933</v>
      </c>
      <c r="N626" t="n">
        <v>41.50945</v>
      </c>
      <c r="O626" t="n">
        <v>19.98559</v>
      </c>
      <c r="P626" t="n">
        <v>15.69335</v>
      </c>
      <c r="Q626" t="n">
        <v>22.99959</v>
      </c>
      <c r="R626" t="n">
        <v>36.81359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43.88787</v>
      </c>
      <c r="Y626" t="n">
        <v>32.75613</v>
      </c>
      <c r="Z626" t="n">
        <v>29.90573</v>
      </c>
      <c r="AA626" t="n">
        <v>6.118219</v>
      </c>
      <c r="AB626" t="n">
        <v>46.36288</v>
      </c>
      <c r="AC626" t="n">
        <v>12.61259</v>
      </c>
      <c r="AD626" t="n">
        <v>48.19048</v>
      </c>
      <c r="AE626" t="n">
        <v>25.11057</v>
      </c>
    </row>
    <row r="627">
      <c r="A627" s="90" t="n">
        <v>37653</v>
      </c>
      <c r="B627" t="n">
        <v>30.2076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18.89342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45.65793</v>
      </c>
      <c r="N627" t="n">
        <v>41.99147</v>
      </c>
      <c r="O627" t="n">
        <v>20.18415</v>
      </c>
      <c r="P627" t="n">
        <v>15.80506</v>
      </c>
      <c r="Q627" t="n">
        <v>23.30667</v>
      </c>
      <c r="R627" t="n">
        <v>37.1926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44.13456</v>
      </c>
      <c r="Y627" t="n">
        <v>33.05831</v>
      </c>
      <c r="Z627" t="n">
        <v>30.04069</v>
      </c>
      <c r="AA627" t="n">
        <v>6.272886</v>
      </c>
      <c r="AB627" t="n">
        <v>46.68241</v>
      </c>
      <c r="AC627" t="n">
        <v>12.84485</v>
      </c>
      <c r="AD627" t="n">
        <v>48.49019</v>
      </c>
      <c r="AE627" t="n">
        <v>25.39423</v>
      </c>
    </row>
    <row r="628">
      <c r="A628" s="90" t="n">
        <v>37681</v>
      </c>
      <c r="B628" t="n">
        <v>30.48497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19.11179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45.88105</v>
      </c>
      <c r="N628" t="n">
        <v>42.06669</v>
      </c>
      <c r="O628" t="n">
        <v>20.35237</v>
      </c>
      <c r="P628" t="n">
        <v>15.84547</v>
      </c>
      <c r="Q628" t="n">
        <v>23.65201</v>
      </c>
      <c r="R628" t="n">
        <v>37.29488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44.29045</v>
      </c>
      <c r="Y628" t="n">
        <v>33.22326</v>
      </c>
      <c r="Z628" t="n">
        <v>30.09305</v>
      </c>
      <c r="AA628" t="n">
        <v>6.453903</v>
      </c>
      <c r="AB628" t="n">
        <v>47.05596</v>
      </c>
      <c r="AC628" t="n">
        <v>12.9497</v>
      </c>
      <c r="AD628" t="n">
        <v>48.66204</v>
      </c>
      <c r="AE628" t="n">
        <v>25.57475</v>
      </c>
    </row>
    <row r="629">
      <c r="A629" s="90" t="n">
        <v>37712</v>
      </c>
      <c r="B629" t="n">
        <v>30.83518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19.21286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45.97162</v>
      </c>
      <c r="N629" t="n">
        <v>42.3176</v>
      </c>
      <c r="O629" t="n">
        <v>20.43513</v>
      </c>
      <c r="P629" t="n">
        <v>15.96908</v>
      </c>
      <c r="Q629" t="n">
        <v>24.04226</v>
      </c>
      <c r="R629" t="n">
        <v>37.1794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44.47105</v>
      </c>
      <c r="Y629" t="n">
        <v>33.27586</v>
      </c>
      <c r="Z629" t="n">
        <v>30.09495</v>
      </c>
      <c r="AA629" t="n">
        <v>6.6796</v>
      </c>
      <c r="AB629" t="n">
        <v>47.02227</v>
      </c>
      <c r="AC629" t="n">
        <v>12.86963</v>
      </c>
      <c r="AD629" t="n">
        <v>48.97254</v>
      </c>
      <c r="AE629" t="n">
        <v>26.02061</v>
      </c>
    </row>
    <row r="630">
      <c r="A630" s="90" t="n">
        <v>37742</v>
      </c>
      <c r="B630" t="n">
        <v>31.28905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19.42841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46.0607</v>
      </c>
      <c r="N630" t="n">
        <v>42.86791</v>
      </c>
      <c r="O630" t="n">
        <v>20.57022</v>
      </c>
      <c r="P630" t="n">
        <v>16.21034</v>
      </c>
      <c r="Q630" t="n">
        <v>24.43196</v>
      </c>
      <c r="R630" t="n">
        <v>37.25053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44.78294</v>
      </c>
      <c r="Y630" t="n">
        <v>33.34627</v>
      </c>
      <c r="Z630" t="n">
        <v>30.1843</v>
      </c>
      <c r="AA630" t="n">
        <v>6.858364</v>
      </c>
      <c r="AB630" t="n">
        <v>46.99745</v>
      </c>
      <c r="AC630" t="n">
        <v>12.73953</v>
      </c>
      <c r="AD630" t="n">
        <v>49.47482</v>
      </c>
      <c r="AE630" t="n">
        <v>26.53008</v>
      </c>
    </row>
    <row r="631">
      <c r="A631" s="90" t="n">
        <v>37773</v>
      </c>
      <c r="B631" t="n">
        <v>31.60564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19.80643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46.30603</v>
      </c>
      <c r="N631" t="n">
        <v>43.55236</v>
      </c>
      <c r="O631" t="n">
        <v>20.6298</v>
      </c>
      <c r="P631" t="n">
        <v>16.42286</v>
      </c>
      <c r="Q631" t="n">
        <v>24.79387</v>
      </c>
      <c r="R631" t="n">
        <v>37.32143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44.99305</v>
      </c>
      <c r="Y631" t="n">
        <v>33.47267</v>
      </c>
      <c r="Z631" t="n">
        <v>30.39019</v>
      </c>
      <c r="AA631" t="n">
        <v>7.044069</v>
      </c>
      <c r="AB631" t="n">
        <v>46.92306</v>
      </c>
      <c r="AC631" t="n">
        <v>12.741</v>
      </c>
      <c r="AD631" t="n">
        <v>49.77951</v>
      </c>
      <c r="AE631" t="n">
        <v>26.81152</v>
      </c>
    </row>
    <row r="632">
      <c r="A632" s="90" t="n">
        <v>37803</v>
      </c>
      <c r="B632" t="n">
        <v>31.44314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20.02851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46.84875</v>
      </c>
      <c r="N632" t="n">
        <v>44.10166</v>
      </c>
      <c r="O632" t="n">
        <v>20.7093</v>
      </c>
      <c r="P632" t="n">
        <v>16.60148</v>
      </c>
      <c r="Q632" t="n">
        <v>25.14957</v>
      </c>
      <c r="R632" t="n">
        <v>37.50229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45.27958</v>
      </c>
      <c r="Y632" t="n">
        <v>33.75197</v>
      </c>
      <c r="Z632" t="n">
        <v>30.54515</v>
      </c>
      <c r="AA632" t="n">
        <v>7.284513</v>
      </c>
      <c r="AB632" t="n">
        <v>46.69656</v>
      </c>
      <c r="AC632" t="n">
        <v>12.88372</v>
      </c>
      <c r="AD632" t="n">
        <v>50.16722</v>
      </c>
      <c r="AE632" t="n">
        <v>27.04331</v>
      </c>
    </row>
    <row r="633">
      <c r="A633" s="90" t="n">
        <v>37834</v>
      </c>
      <c r="B633" t="n">
        <v>31.62245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20.17444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47.12725</v>
      </c>
      <c r="N633" t="n">
        <v>44.12452</v>
      </c>
      <c r="O633" t="n">
        <v>20.88194</v>
      </c>
      <c r="P633" t="n">
        <v>16.7388</v>
      </c>
      <c r="Q633" t="n">
        <v>25.53171</v>
      </c>
      <c r="R633" t="n">
        <v>37.84151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45.61417</v>
      </c>
      <c r="Y633" t="n">
        <v>33.94289</v>
      </c>
      <c r="Z633" t="n">
        <v>30.65388</v>
      </c>
      <c r="AA633" t="n">
        <v>7.522729</v>
      </c>
      <c r="AB633" t="n">
        <v>46.54638</v>
      </c>
      <c r="AC633" t="n">
        <v>12.96383</v>
      </c>
      <c r="AD633" t="n">
        <v>50.64957</v>
      </c>
      <c r="AE633" t="n">
        <v>27.0423</v>
      </c>
    </row>
    <row r="634">
      <c r="A634" s="90" t="n">
        <v>37865</v>
      </c>
      <c r="B634" t="n">
        <v>32.17998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20.29466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47.42824</v>
      </c>
      <c r="N634" t="n">
        <v>44.43134</v>
      </c>
      <c r="O634" t="n">
        <v>21.01863</v>
      </c>
      <c r="P634" t="n">
        <v>16.87585</v>
      </c>
      <c r="Q634" t="n">
        <v>25.94106</v>
      </c>
      <c r="R634" t="n">
        <v>38.18463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45.63159</v>
      </c>
      <c r="Y634" t="n">
        <v>34.16154</v>
      </c>
      <c r="Z634" t="n">
        <v>30.86336</v>
      </c>
      <c r="AA634" t="n">
        <v>7.726156</v>
      </c>
      <c r="AB634" t="n">
        <v>46.79406</v>
      </c>
      <c r="AC634" t="n">
        <v>13.10701</v>
      </c>
      <c r="AD634" t="n">
        <v>50.41711</v>
      </c>
      <c r="AE634" t="n">
        <v>27.12009</v>
      </c>
    </row>
    <row r="635">
      <c r="A635" s="90" t="n">
        <v>37895</v>
      </c>
      <c r="B635" t="n">
        <v>32.50497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20.28069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47.78953</v>
      </c>
      <c r="N635" t="n">
        <v>45.19695</v>
      </c>
      <c r="O635" t="n">
        <v>21.15718</v>
      </c>
      <c r="P635" t="n">
        <v>17.10302</v>
      </c>
      <c r="Q635" t="n">
        <v>26.35884</v>
      </c>
      <c r="R635" t="n">
        <v>38.4446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45.75303</v>
      </c>
      <c r="Y635" t="n">
        <v>34.5984</v>
      </c>
      <c r="Z635" t="n">
        <v>31.17385</v>
      </c>
      <c r="AA635" t="n">
        <v>7.973147</v>
      </c>
      <c r="AB635" t="n">
        <v>47.16284</v>
      </c>
      <c r="AC635" t="n">
        <v>13.56899</v>
      </c>
      <c r="AD635" t="n">
        <v>50.34073</v>
      </c>
      <c r="AE635" t="n">
        <v>27.49162</v>
      </c>
    </row>
    <row r="636">
      <c r="A636" s="90" t="n">
        <v>37926</v>
      </c>
      <c r="B636" t="n">
        <v>32.76833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48.20344</v>
      </c>
      <c r="N636" t="n">
        <v>45.81711</v>
      </c>
      <c r="O636" t="n">
        <v>21.42836</v>
      </c>
      <c r="P636" t="n">
        <v>17.32626</v>
      </c>
      <c r="Q636" t="n">
        <v>26.74733</v>
      </c>
      <c r="R636" t="n">
        <v>38.57331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45.91962</v>
      </c>
      <c r="Y636" t="n">
        <v>35.06578</v>
      </c>
      <c r="Z636" t="n">
        <v>31.47654</v>
      </c>
      <c r="AA636" t="n">
        <v>8.138907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33.09893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20.72456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48.83928</v>
      </c>
      <c r="N637" t="n">
        <v>46.07872</v>
      </c>
      <c r="O637" t="n">
        <v>21.55904</v>
      </c>
      <c r="P637" t="n">
        <v>17.51785</v>
      </c>
      <c r="Q637" t="n">
        <v>27.09871</v>
      </c>
      <c r="R637" t="n">
        <v>38.6315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46.06436</v>
      </c>
      <c r="Y637" t="n">
        <v>35.36938</v>
      </c>
      <c r="Z637" t="n">
        <v>31.60649</v>
      </c>
      <c r="AA637" t="n">
        <v>8.252684</v>
      </c>
      <c r="AB637" t="n">
        <v>47.75187</v>
      </c>
      <c r="AC637" t="n">
        <v>14.27344</v>
      </c>
      <c r="AD637" t="n">
        <v>50.37145</v>
      </c>
      <c r="AE637" t="n">
        <v>28.04889</v>
      </c>
    </row>
    <row r="638">
      <c r="A638" s="90" t="n">
        <v>37987</v>
      </c>
      <c r="B638" t="n">
        <v>33.32866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21.05422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49.91652</v>
      </c>
      <c r="N638" t="n">
        <v>46.69527</v>
      </c>
      <c r="O638" t="n">
        <v>21.51542</v>
      </c>
      <c r="P638" t="n">
        <v>17.76559</v>
      </c>
      <c r="Q638" t="n">
        <v>27.46705</v>
      </c>
      <c r="R638" t="n">
        <v>38.83756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46.34089</v>
      </c>
      <c r="Y638" t="n">
        <v>35.86939</v>
      </c>
      <c r="Z638" t="n">
        <v>31.6207</v>
      </c>
      <c r="AA638" t="n">
        <v>8.463632</v>
      </c>
      <c r="AB638" t="n">
        <v>47.78617</v>
      </c>
      <c r="AC638" t="n">
        <v>14.53837</v>
      </c>
      <c r="AD638" t="n">
        <v>50.43953</v>
      </c>
      <c r="AE638" t="n">
        <v>28.66742</v>
      </c>
    </row>
    <row r="639">
      <c r="A639" s="90" t="n">
        <v>38018</v>
      </c>
      <c r="B639" t="n">
        <v>33.59763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21.28099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50.38926</v>
      </c>
      <c r="N639" t="n">
        <v>47.23078</v>
      </c>
      <c r="O639" t="n">
        <v>21.48142</v>
      </c>
      <c r="P639" t="n">
        <v>18.03639</v>
      </c>
      <c r="Q639" t="n">
        <v>27.84657</v>
      </c>
      <c r="R639" t="n">
        <v>38.99314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46.63931</v>
      </c>
      <c r="Y639" t="n">
        <v>36.26991</v>
      </c>
      <c r="Z639" t="n">
        <v>31.67077</v>
      </c>
      <c r="AA639" t="n">
        <v>8.74788</v>
      </c>
      <c r="AB639" t="n">
        <v>47.80943</v>
      </c>
      <c r="AC639" t="n">
        <v>14.88588</v>
      </c>
      <c r="AD639" t="n">
        <v>50.76165</v>
      </c>
      <c r="AE639" t="n">
        <v>29.81041</v>
      </c>
    </row>
    <row r="640">
      <c r="A640" s="90" t="n">
        <v>38047</v>
      </c>
      <c r="B640" t="n">
        <v>34.01788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21.53801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50.39925</v>
      </c>
      <c r="N640" t="n">
        <v>47.0997</v>
      </c>
      <c r="O640" t="n">
        <v>21.5072</v>
      </c>
      <c r="P640" t="n">
        <v>18.31292</v>
      </c>
      <c r="Q640" t="n">
        <v>28.19962</v>
      </c>
      <c r="R640" t="n">
        <v>39.10982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46.87641</v>
      </c>
      <c r="Y640" t="n">
        <v>36.4101</v>
      </c>
      <c r="Z640" t="n">
        <v>31.83132</v>
      </c>
      <c r="AA640" t="n">
        <v>9.054626000000001</v>
      </c>
      <c r="AB640" t="n">
        <v>47.71036</v>
      </c>
      <c r="AC640" t="n">
        <v>15.10175</v>
      </c>
      <c r="AD640" t="n">
        <v>51.05886</v>
      </c>
      <c r="AE640" t="n">
        <v>29.95231</v>
      </c>
    </row>
    <row r="641">
      <c r="A641" s="90" t="n">
        <v>38078</v>
      </c>
      <c r="B641" t="n">
        <v>34.36528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21.70039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50.84108</v>
      </c>
      <c r="N641" t="n">
        <v>47.32616</v>
      </c>
      <c r="O641" t="n">
        <v>21.58955</v>
      </c>
      <c r="P641" t="n">
        <v>18.57175</v>
      </c>
      <c r="Q641" t="n">
        <v>28.57566</v>
      </c>
      <c r="R641" t="n">
        <v>39.49303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47.18258</v>
      </c>
      <c r="Y641" t="n">
        <v>36.81693</v>
      </c>
      <c r="Z641" t="n">
        <v>32.35956</v>
      </c>
      <c r="AA641" t="n">
        <v>9.309443</v>
      </c>
      <c r="AB641" t="n">
        <v>47.5995</v>
      </c>
      <c r="AC641" t="n">
        <v>15.48062</v>
      </c>
      <c r="AD641" t="n">
        <v>51.40008</v>
      </c>
      <c r="AE641" t="n">
        <v>29.70591</v>
      </c>
    </row>
    <row r="642">
      <c r="A642" s="90" t="n">
        <v>38108</v>
      </c>
      <c r="B642" t="n">
        <v>34.53338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21.71355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50.99531</v>
      </c>
      <c r="N642" t="n">
        <v>47.79033</v>
      </c>
      <c r="O642" t="n">
        <v>21.84179</v>
      </c>
      <c r="P642" t="n">
        <v>18.75677</v>
      </c>
      <c r="Q642" t="n">
        <v>28.97564</v>
      </c>
      <c r="R642" t="n">
        <v>39.84595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47.62498</v>
      </c>
      <c r="Y642" t="n">
        <v>37.22444</v>
      </c>
      <c r="Z642" t="n">
        <v>32.51569</v>
      </c>
      <c r="AA642" t="n">
        <v>9.601315</v>
      </c>
      <c r="AB642" t="n">
        <v>47.63603</v>
      </c>
      <c r="AC642" t="n">
        <v>16.11405</v>
      </c>
      <c r="AD642" t="n">
        <v>52.03852</v>
      </c>
      <c r="AE642" t="n">
        <v>29.70729</v>
      </c>
    </row>
    <row r="643">
      <c r="A643" s="90" t="n">
        <v>38139</v>
      </c>
      <c r="B643" t="n">
        <v>34.67907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22.16996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51.33195</v>
      </c>
      <c r="N643" t="n">
        <v>48.26322</v>
      </c>
      <c r="O643" t="n">
        <v>22.27279</v>
      </c>
      <c r="P643" t="n">
        <v>18.88158</v>
      </c>
      <c r="Q643" t="n">
        <v>29.34883</v>
      </c>
      <c r="R643" t="n">
        <v>40.15448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47.73893</v>
      </c>
      <c r="Y643" t="n">
        <v>37.43098</v>
      </c>
      <c r="Z643" t="n">
        <v>32.52868</v>
      </c>
      <c r="AA643" t="n">
        <v>9.795156</v>
      </c>
      <c r="AB643" t="n">
        <v>47.32349</v>
      </c>
      <c r="AC643" t="n">
        <v>16.34474</v>
      </c>
      <c r="AD643" t="n">
        <v>52.05844</v>
      </c>
      <c r="AE643" t="n">
        <v>29.88152</v>
      </c>
    </row>
    <row r="644">
      <c r="A644" s="90" t="n">
        <v>38169</v>
      </c>
      <c r="B644" t="n">
        <v>35.01247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22.60493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51.74953</v>
      </c>
      <c r="N644" t="n">
        <v>48.93451</v>
      </c>
      <c r="O644" t="n">
        <v>22.48644</v>
      </c>
      <c r="P644" t="n">
        <v>18.9977</v>
      </c>
      <c r="Q644" t="n">
        <v>29.70762</v>
      </c>
      <c r="R644" t="n">
        <v>40.50722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47.90945</v>
      </c>
      <c r="Y644" t="n">
        <v>37.59312</v>
      </c>
      <c r="Z644" t="n">
        <v>32.83386</v>
      </c>
      <c r="AA644" t="n">
        <v>9.921931000000001</v>
      </c>
      <c r="AB644" t="n">
        <v>47.42359</v>
      </c>
      <c r="AC644" t="n">
        <v>16.2727</v>
      </c>
      <c r="AD644" t="n">
        <v>52.17301</v>
      </c>
      <c r="AE644" t="n">
        <v>29.97438</v>
      </c>
    </row>
    <row r="645">
      <c r="A645" s="90" t="n">
        <v>38200</v>
      </c>
      <c r="B645" t="n">
        <v>35.30384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22.71778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52.08236</v>
      </c>
      <c r="N645" t="n">
        <v>49.58598</v>
      </c>
      <c r="O645" t="n">
        <v>22.61004</v>
      </c>
      <c r="P645" t="n">
        <v>19.14314</v>
      </c>
      <c r="Q645" t="n">
        <v>30.0749</v>
      </c>
      <c r="R645" t="n">
        <v>40.86152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48.14583</v>
      </c>
      <c r="Y645" t="n">
        <v>37.91147</v>
      </c>
      <c r="Z645" t="n">
        <v>33.0296</v>
      </c>
      <c r="AA645" t="n">
        <v>10.10764</v>
      </c>
      <c r="AB645" t="n">
        <v>47.90796</v>
      </c>
      <c r="AC645" t="n">
        <v>16.54558</v>
      </c>
      <c r="AD645" t="n">
        <v>52.39136</v>
      </c>
      <c r="AE645" t="n">
        <v>29.90012</v>
      </c>
    </row>
    <row r="646">
      <c r="A646" s="90" t="n">
        <v>38231</v>
      </c>
      <c r="B646" t="n">
        <v>35.4047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23.0541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52.35187</v>
      </c>
      <c r="N646" t="n">
        <v>50.02246</v>
      </c>
      <c r="O646" t="n">
        <v>22.74047</v>
      </c>
      <c r="P646" t="n">
        <v>19.27585</v>
      </c>
      <c r="Q646" t="n">
        <v>30.43938</v>
      </c>
      <c r="R646" t="n">
        <v>41.09424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48.37785</v>
      </c>
      <c r="Y646" t="n">
        <v>38.21661</v>
      </c>
      <c r="Z646" t="n">
        <v>33.24492</v>
      </c>
      <c r="AA646" t="n">
        <v>10.24954</v>
      </c>
      <c r="AB646" t="n">
        <v>48.42654</v>
      </c>
      <c r="AC646" t="n">
        <v>16.8805</v>
      </c>
      <c r="AD646" t="n">
        <v>52.67944</v>
      </c>
      <c r="AE646" t="n">
        <v>30.52115</v>
      </c>
    </row>
    <row r="647">
      <c r="A647" s="90" t="n">
        <v>38261</v>
      </c>
      <c r="B647" t="n">
        <v>35.53918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23.3537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52.55716</v>
      </c>
      <c r="N647" t="n">
        <v>50.35753</v>
      </c>
      <c r="O647" t="n">
        <v>22.79824</v>
      </c>
      <c r="P647" t="n">
        <v>19.43704</v>
      </c>
      <c r="Q647" t="n">
        <v>30.81153</v>
      </c>
      <c r="R647" t="n">
        <v>41.42153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48.63053</v>
      </c>
      <c r="Y647" t="n">
        <v>38.5237</v>
      </c>
      <c r="Z647" t="n">
        <v>34.12419</v>
      </c>
      <c r="AA647" t="n">
        <v>10.39503</v>
      </c>
      <c r="AB647" t="n">
        <v>48.99923</v>
      </c>
      <c r="AC647" t="n">
        <v>17.07384</v>
      </c>
      <c r="AD647" t="n">
        <v>52.9119</v>
      </c>
      <c r="AE647" t="n">
        <v>31.25816</v>
      </c>
    </row>
    <row r="648">
      <c r="A648" s="90" t="n">
        <v>38292</v>
      </c>
      <c r="B648" t="n">
        <v>35.86698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23.56984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53.10975</v>
      </c>
      <c r="N648" t="n">
        <v>50.91489</v>
      </c>
      <c r="O648" t="n">
        <v>22.85875</v>
      </c>
      <c r="P648" t="n">
        <v>19.62199</v>
      </c>
      <c r="Q648" t="n">
        <v>31.2238</v>
      </c>
      <c r="R648" t="n">
        <v>41.91232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48.90837</v>
      </c>
      <c r="Y648" t="n">
        <v>38.94733</v>
      </c>
      <c r="Z648" t="n">
        <v>34.41983</v>
      </c>
      <c r="AA648" t="n">
        <v>10.66239</v>
      </c>
      <c r="AB648" t="n">
        <v>49.32876</v>
      </c>
      <c r="AC648" t="n">
        <v>17.3736</v>
      </c>
      <c r="AD648" t="n">
        <v>53.1319</v>
      </c>
      <c r="AE648" t="n">
        <v>31.43837</v>
      </c>
    </row>
    <row r="649">
      <c r="A649" s="90" t="n">
        <v>38322</v>
      </c>
      <c r="B649" t="n">
        <v>36.15835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24.08932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53.57626</v>
      </c>
      <c r="N649" t="n">
        <v>51.40154</v>
      </c>
      <c r="O649" t="n">
        <v>23.06058</v>
      </c>
      <c r="P649" t="n">
        <v>19.82857</v>
      </c>
      <c r="Q649" t="n">
        <v>31.68365</v>
      </c>
      <c r="R649" t="n">
        <v>42.30986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49.09967</v>
      </c>
      <c r="Y649" t="n">
        <v>39.11646</v>
      </c>
      <c r="Z649" t="n">
        <v>34.24634</v>
      </c>
      <c r="AA649" t="n">
        <v>11.00957</v>
      </c>
      <c r="AB649" t="n">
        <v>49.59037</v>
      </c>
      <c r="AC649" t="n">
        <v>17.58027</v>
      </c>
      <c r="AD649" t="n">
        <v>53.2855</v>
      </c>
      <c r="AE649" t="n">
        <v>31.62221</v>
      </c>
    </row>
    <row r="650">
      <c r="A650" s="90" t="n">
        <v>38353</v>
      </c>
      <c r="B650" t="n">
        <v>36.39089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24.66497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54.07245</v>
      </c>
      <c r="N650" t="n">
        <v>51.75613</v>
      </c>
      <c r="O650" t="n">
        <v>23.27019</v>
      </c>
      <c r="P650" t="n">
        <v>20.25499</v>
      </c>
      <c r="Q650" t="n">
        <v>32.17133</v>
      </c>
      <c r="R650" t="n">
        <v>42.70846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49.23515</v>
      </c>
      <c r="Y650" t="n">
        <v>39.24489</v>
      </c>
      <c r="Z650" t="n">
        <v>34.80701</v>
      </c>
      <c r="AA650" t="n">
        <v>11.30884</v>
      </c>
      <c r="AB650" t="n">
        <v>49.6881</v>
      </c>
      <c r="AC650" t="n">
        <v>17.55759</v>
      </c>
      <c r="AD650" t="n">
        <v>53.33697</v>
      </c>
      <c r="AE650" t="n">
        <v>32.42761</v>
      </c>
    </row>
    <row r="651">
      <c r="A651" s="90" t="n">
        <v>38384</v>
      </c>
      <c r="B651" t="n">
        <v>36.63183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24.90413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54.45612</v>
      </c>
      <c r="N651" t="n">
        <v>52.31221</v>
      </c>
      <c r="O651" t="n">
        <v>23.4021</v>
      </c>
      <c r="P651" t="n">
        <v>20.53226</v>
      </c>
      <c r="Q651" t="n">
        <v>32.66627</v>
      </c>
      <c r="R651" t="n">
        <v>43.1388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49.4076</v>
      </c>
      <c r="Y651" t="n">
        <v>39.49469</v>
      </c>
      <c r="Z651" t="n">
        <v>35.11959</v>
      </c>
      <c r="AA651" t="n">
        <v>11.5761</v>
      </c>
      <c r="AB651" t="n">
        <v>50.08786</v>
      </c>
      <c r="AC651" t="n">
        <v>17.60101</v>
      </c>
      <c r="AD651" t="n">
        <v>53.40588</v>
      </c>
      <c r="AE651" t="n">
        <v>33.50933</v>
      </c>
    </row>
    <row r="652">
      <c r="A652" s="90" t="n">
        <v>38412</v>
      </c>
      <c r="B652" t="n">
        <v>36.80834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25.19979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54.78007</v>
      </c>
      <c r="N652" t="n">
        <v>53.191</v>
      </c>
      <c r="O652" t="n">
        <v>23.67588</v>
      </c>
      <c r="P652" t="n">
        <v>20.56539</v>
      </c>
      <c r="Q652" t="n">
        <v>33.13094</v>
      </c>
      <c r="R652" t="n">
        <v>43.3828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49.60074</v>
      </c>
      <c r="Y652" t="n">
        <v>39.89377</v>
      </c>
      <c r="Z652" t="n">
        <v>35.67332</v>
      </c>
      <c r="AA652" t="n">
        <v>11.8659</v>
      </c>
      <c r="AB652" t="n">
        <v>50.5237</v>
      </c>
      <c r="AC652" t="n">
        <v>17.97128</v>
      </c>
      <c r="AD652" t="n">
        <v>53.48143</v>
      </c>
      <c r="AE652" t="n">
        <v>33.69832</v>
      </c>
    </row>
    <row r="653">
      <c r="A653" s="90" t="n">
        <v>38443</v>
      </c>
      <c r="B653" t="n">
        <v>37.02407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25.58164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55.31148</v>
      </c>
      <c r="N653" t="n">
        <v>54.32136</v>
      </c>
      <c r="O653" t="n">
        <v>24.12606</v>
      </c>
      <c r="P653" t="n">
        <v>20.8876</v>
      </c>
      <c r="Q653" t="n">
        <v>33.56136</v>
      </c>
      <c r="R653" t="n">
        <v>43.71716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49.84462</v>
      </c>
      <c r="Y653" t="n">
        <v>40.48259</v>
      </c>
      <c r="Z653" t="n">
        <v>36.41202</v>
      </c>
      <c r="AA653" t="n">
        <v>12.19587</v>
      </c>
      <c r="AB653" t="n">
        <v>50.49871</v>
      </c>
      <c r="AC653" t="n">
        <v>18.56349</v>
      </c>
      <c r="AD653" t="n">
        <v>53.59766</v>
      </c>
      <c r="AE653" t="n">
        <v>33.74708</v>
      </c>
    </row>
    <row r="654">
      <c r="A654" s="90" t="n">
        <v>38473</v>
      </c>
      <c r="B654" t="n">
        <v>37.35746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25.94532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55.98158</v>
      </c>
      <c r="N654" t="n">
        <v>55.22904</v>
      </c>
      <c r="O654" t="n">
        <v>24.40152</v>
      </c>
      <c r="P654" t="n">
        <v>21.25314</v>
      </c>
      <c r="Q654" t="n">
        <v>34.08271</v>
      </c>
      <c r="R654" t="n">
        <v>44.37607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50.11713</v>
      </c>
      <c r="Y654" t="n">
        <v>41.05981</v>
      </c>
      <c r="Z654" t="n">
        <v>36.96402</v>
      </c>
      <c r="AA654" t="n">
        <v>12.50541</v>
      </c>
      <c r="AB654" t="n">
        <v>50.85361</v>
      </c>
      <c r="AC654" t="n">
        <v>19.01084</v>
      </c>
      <c r="AD654" t="n">
        <v>53.74211</v>
      </c>
      <c r="AE654" t="n">
        <v>34.26422</v>
      </c>
    </row>
    <row r="655">
      <c r="A655" s="90" t="n">
        <v>38504</v>
      </c>
      <c r="B655" t="n">
        <v>37.74129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26.30408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56.65682</v>
      </c>
      <c r="N655" t="n">
        <v>55.60769</v>
      </c>
      <c r="O655" t="n">
        <v>24.61522</v>
      </c>
      <c r="P655" t="n">
        <v>21.45936</v>
      </c>
      <c r="Q655" t="n">
        <v>34.71707</v>
      </c>
      <c r="R655" t="n">
        <v>44.97243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50.44884</v>
      </c>
      <c r="Y655" t="n">
        <v>41.62728</v>
      </c>
      <c r="Z655" t="n">
        <v>37.22631</v>
      </c>
      <c r="AA655" t="n">
        <v>12.77739</v>
      </c>
      <c r="AB655" t="n">
        <v>52.07392</v>
      </c>
      <c r="AC655" t="n">
        <v>19.37633</v>
      </c>
      <c r="AD655" t="n">
        <v>54.01193</v>
      </c>
      <c r="AE655" t="n">
        <v>34.84028</v>
      </c>
    </row>
    <row r="656">
      <c r="A656" s="90" t="n">
        <v>38534</v>
      </c>
      <c r="B656" t="n">
        <v>37.97663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26.47318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57.27743</v>
      </c>
      <c r="N656" t="n">
        <v>55.94024</v>
      </c>
      <c r="O656" t="n">
        <v>25.0488</v>
      </c>
      <c r="P656" t="n">
        <v>21.68746</v>
      </c>
      <c r="Q656" t="n">
        <v>35.31264</v>
      </c>
      <c r="R656" t="n">
        <v>45.32358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50.80822</v>
      </c>
      <c r="Y656" t="n">
        <v>42.16833</v>
      </c>
      <c r="Z656" t="n">
        <v>37.25824</v>
      </c>
      <c r="AA656" t="n">
        <v>13.09429</v>
      </c>
      <c r="AB656" t="n">
        <v>52.96393</v>
      </c>
      <c r="AC656" t="n">
        <v>19.78846</v>
      </c>
      <c r="AD656" t="n">
        <v>54.27428</v>
      </c>
      <c r="AE656" t="n">
        <v>35.50487</v>
      </c>
    </row>
    <row r="657">
      <c r="A657" s="90" t="n">
        <v>38565</v>
      </c>
      <c r="B657" t="n">
        <v>38.0943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26.61106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57.45073</v>
      </c>
      <c r="N657" t="n">
        <v>56.35263</v>
      </c>
      <c r="O657" t="n">
        <v>25.55486</v>
      </c>
      <c r="P657" t="n">
        <v>21.91241</v>
      </c>
      <c r="Q657" t="n">
        <v>35.83746</v>
      </c>
      <c r="R657" t="n">
        <v>45.51866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51.09807</v>
      </c>
      <c r="Y657" t="n">
        <v>42.53716</v>
      </c>
      <c r="Z657" t="n">
        <v>37.54126</v>
      </c>
      <c r="AA657" t="n">
        <v>13.46333</v>
      </c>
      <c r="AB657" t="n">
        <v>53.25996</v>
      </c>
      <c r="AC657" t="n">
        <v>20.28823</v>
      </c>
      <c r="AD657" t="n">
        <v>54.54659</v>
      </c>
      <c r="AE657" t="n">
        <v>35.78053</v>
      </c>
    </row>
    <row r="658">
      <c r="A658" s="90" t="n">
        <v>38596</v>
      </c>
      <c r="B658" t="n">
        <v>38.4193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27.02969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57.93142</v>
      </c>
      <c r="N658" t="n">
        <v>56.99663</v>
      </c>
      <c r="O658" t="n">
        <v>26.18155</v>
      </c>
      <c r="P658" t="n">
        <v>22.41583</v>
      </c>
      <c r="Q658" t="n">
        <v>36.41407</v>
      </c>
      <c r="R658" t="n">
        <v>45.50897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</v>
      </c>
      <c r="Y658" t="n">
        <v>42.98857</v>
      </c>
      <c r="Z658" t="n">
        <v>38.0673</v>
      </c>
      <c r="AA658" t="n">
        <v>13.91878</v>
      </c>
      <c r="AB658" t="n">
        <v>53.30558</v>
      </c>
      <c r="AC658" t="n">
        <v>20.74949</v>
      </c>
      <c r="AD658" t="n">
        <v>54.82969</v>
      </c>
      <c r="AE658" t="n">
        <v>36.14792</v>
      </c>
    </row>
    <row r="659">
      <c r="A659" s="90" t="n">
        <v>38626</v>
      </c>
      <c r="B659" t="n">
        <v>38.61541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27.57986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58.85652</v>
      </c>
      <c r="N659" t="n">
        <v>57.61074</v>
      </c>
      <c r="O659" t="n">
        <v>26.61066</v>
      </c>
      <c r="P659" t="n">
        <v>22.83817</v>
      </c>
      <c r="Q659" t="n">
        <v>37.10153</v>
      </c>
      <c r="R659" t="n">
        <v>45.56134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51.76966</v>
      </c>
      <c r="Y659" t="n">
        <v>43.55605</v>
      </c>
      <c r="Z659" t="n">
        <v>38.6686</v>
      </c>
      <c r="AA659" t="n">
        <v>14.38312</v>
      </c>
      <c r="AB659" t="n">
        <v>54.3091</v>
      </c>
      <c r="AC659" t="n">
        <v>21.01513</v>
      </c>
      <c r="AD659" t="n">
        <v>55.11445</v>
      </c>
      <c r="AE659" t="n">
        <v>36.6041</v>
      </c>
    </row>
    <row r="660">
      <c r="A660" s="90" t="n">
        <v>38657</v>
      </c>
      <c r="B660" t="n">
        <v>38.67705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28.2206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59.2172</v>
      </c>
      <c r="N660" t="n">
        <v>58.19079</v>
      </c>
      <c r="O660" t="n">
        <v>26.69896</v>
      </c>
      <c r="P660" t="n">
        <v>23.00184</v>
      </c>
      <c r="Q660" t="n">
        <v>37.81456</v>
      </c>
      <c r="R660" t="n">
        <v>45.89834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51.99761</v>
      </c>
      <c r="Y660" t="n">
        <v>43.963</v>
      </c>
      <c r="Z660" t="n">
        <v>39.0327</v>
      </c>
      <c r="AA660" t="n">
        <v>14.73698</v>
      </c>
      <c r="AB660" t="n">
        <v>54.96763</v>
      </c>
      <c r="AC660" t="n">
        <v>21.32644</v>
      </c>
      <c r="AD660" t="n">
        <v>55.25061</v>
      </c>
      <c r="AE660" t="n">
        <v>36.77314</v>
      </c>
    </row>
    <row r="661">
      <c r="A661" s="90" t="n">
        <v>38687</v>
      </c>
      <c r="B661" t="n">
        <v>39.00765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28.5202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59.92902</v>
      </c>
      <c r="N661" t="n">
        <v>58.91299</v>
      </c>
      <c r="O661" t="n">
        <v>26.84932</v>
      </c>
      <c r="P661" t="n">
        <v>23.29244</v>
      </c>
      <c r="Q661" t="n">
        <v>38.46975</v>
      </c>
      <c r="R661" t="n">
        <v>46.04449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52.28285</v>
      </c>
      <c r="Y661" t="n">
        <v>44.46323</v>
      </c>
      <c r="Z661" t="n">
        <v>39.10976</v>
      </c>
      <c r="AA661" t="n">
        <v>15.03372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39.45031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28.55906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60.39831</v>
      </c>
      <c r="N662" t="n">
        <v>59.78632</v>
      </c>
      <c r="O662" t="n">
        <v>27.19197</v>
      </c>
      <c r="P662" t="n">
        <v>23.46516</v>
      </c>
      <c r="Q662" t="n">
        <v>39.08581</v>
      </c>
      <c r="R662" t="n">
        <v>45.79052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52.59054</v>
      </c>
      <c r="Y662" t="n">
        <v>44.84388</v>
      </c>
      <c r="Z662" t="n">
        <v>39.11385</v>
      </c>
      <c r="AA662" t="n">
        <v>15.37647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39.7669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28.83872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60.79152</v>
      </c>
      <c r="N663" t="n">
        <v>60.89198</v>
      </c>
      <c r="O663" t="n">
        <v>27.56912</v>
      </c>
      <c r="P663" t="n">
        <v>23.62107</v>
      </c>
      <c r="Q663" t="n">
        <v>39.6841</v>
      </c>
      <c r="R663" t="n">
        <v>45.8473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52.85993</v>
      </c>
      <c r="Y663" t="n">
        <v>45.19374</v>
      </c>
      <c r="Z663" t="n">
        <v>39.38215</v>
      </c>
      <c r="AA663" t="n">
        <v>15.71373</v>
      </c>
      <c r="AB663" t="n">
        <v>56.631</v>
      </c>
      <c r="AC663" t="n">
        <v>22.30262</v>
      </c>
      <c r="AD663" t="n">
        <v>56.02768</v>
      </c>
      <c r="AE663" t="n">
        <v>40.33771</v>
      </c>
    </row>
    <row r="664">
      <c r="A664" s="90" t="n">
        <v>38777</v>
      </c>
      <c r="B664" t="n">
        <v>40.14513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28.85634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62.09758</v>
      </c>
      <c r="N664" t="n">
        <v>62.83565</v>
      </c>
      <c r="O664" t="n">
        <v>27.86011</v>
      </c>
      <c r="P664" t="n">
        <v>24.33838</v>
      </c>
      <c r="Q664" t="n">
        <v>40.24675</v>
      </c>
      <c r="R664" t="n">
        <v>46.65593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53.24173</v>
      </c>
      <c r="Y664" t="n">
        <v>45.98262</v>
      </c>
      <c r="Z664" t="n">
        <v>39.84482</v>
      </c>
      <c r="AA664" t="n">
        <v>15.96429</v>
      </c>
      <c r="AB664" t="n">
        <v>57.35555</v>
      </c>
      <c r="AC664" t="n">
        <v>22.95119</v>
      </c>
      <c r="AD664" t="n">
        <v>56.1464</v>
      </c>
      <c r="AE664" t="n">
        <v>41.67496</v>
      </c>
    </row>
    <row r="665">
      <c r="A665" s="90" t="n">
        <v>38808</v>
      </c>
      <c r="B665" t="n">
        <v>40.87076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29.40694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62.95531</v>
      </c>
      <c r="N665" t="n">
        <v>63.93137</v>
      </c>
      <c r="O665" t="n">
        <v>27.95644</v>
      </c>
      <c r="P665" t="n">
        <v>25.00314</v>
      </c>
      <c r="Q665" t="n">
        <v>40.80737</v>
      </c>
      <c r="R665" t="n">
        <v>47.2535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53.69082</v>
      </c>
      <c r="Y665" t="n">
        <v>46.6647</v>
      </c>
      <c r="Z665" t="n">
        <v>40.2368</v>
      </c>
      <c r="AA665" t="n">
        <v>16.34126</v>
      </c>
      <c r="AB665" t="n">
        <v>58.52439</v>
      </c>
      <c r="AC665" t="n">
        <v>23.47533</v>
      </c>
      <c r="AD665" t="n">
        <v>56.45524</v>
      </c>
      <c r="AE665" t="n">
        <v>42.27646</v>
      </c>
    </row>
    <row r="666">
      <c r="A666" s="90" t="n">
        <v>38838</v>
      </c>
      <c r="B666" t="n">
        <v>41.38907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30.19653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62.97413</v>
      </c>
      <c r="N666" t="n">
        <v>63.54995</v>
      </c>
      <c r="O666" t="n">
        <v>28.43944</v>
      </c>
      <c r="P666" t="n">
        <v>25.23626</v>
      </c>
      <c r="Q666" t="n">
        <v>41.33091</v>
      </c>
      <c r="R666" t="n">
        <v>47.53825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53.98827</v>
      </c>
      <c r="Y666" t="n">
        <v>47.36221</v>
      </c>
      <c r="Z666" t="n">
        <v>40.86657</v>
      </c>
      <c r="AA666" t="n">
        <v>16.80095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41.64402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30.60709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63.35141</v>
      </c>
      <c r="N667" t="n">
        <v>64.65015</v>
      </c>
      <c r="O667" t="n">
        <v>28.94695</v>
      </c>
      <c r="P667" t="n">
        <v>25.46471</v>
      </c>
      <c r="Q667" t="n">
        <v>41.79917</v>
      </c>
      <c r="R667" t="n">
        <v>47.82371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54.3884</v>
      </c>
      <c r="Y667" t="n">
        <v>48.17414</v>
      </c>
      <c r="Z667" t="n">
        <v>41.54684</v>
      </c>
      <c r="AA667" t="n">
        <v>17.35106</v>
      </c>
      <c r="AB667" t="n">
        <v>60.55233</v>
      </c>
      <c r="AC667" t="n">
        <v>25.97089</v>
      </c>
      <c r="AD667" t="n">
        <v>56.82718</v>
      </c>
      <c r="AE667" t="n">
        <v>43.13977</v>
      </c>
    </row>
    <row r="668">
      <c r="A668" s="90" t="n">
        <v>38899</v>
      </c>
      <c r="B668" t="n">
        <v>42.00544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31.30418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64.09184</v>
      </c>
      <c r="N668" t="n">
        <v>65.94123999999999</v>
      </c>
      <c r="O668" t="n">
        <v>28.99599</v>
      </c>
      <c r="P668" t="n">
        <v>25.83794</v>
      </c>
      <c r="Q668" t="n">
        <v>42.30915</v>
      </c>
      <c r="R668" t="n">
        <v>48.20193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54.66893</v>
      </c>
      <c r="Y668" t="n">
        <v>48.50584</v>
      </c>
      <c r="Z668" t="n">
        <v>42.04191</v>
      </c>
      <c r="AA668" t="n">
        <v>18.00597</v>
      </c>
      <c r="AB668" t="n">
        <v>61.83969</v>
      </c>
      <c r="AC668" t="n">
        <v>25.64908</v>
      </c>
      <c r="AD668" t="n">
        <v>57.17089</v>
      </c>
      <c r="AE668" t="n">
        <v>43.42159</v>
      </c>
    </row>
    <row r="669">
      <c r="A669" s="90" t="n">
        <v>38930</v>
      </c>
      <c r="B669" t="n">
        <v>42.42569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31.9049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64.67272</v>
      </c>
      <c r="N669" t="n">
        <v>66.09591</v>
      </c>
      <c r="O669" t="n">
        <v>29.22624</v>
      </c>
      <c r="P669" t="n">
        <v>26.39097</v>
      </c>
      <c r="Q669" t="n">
        <v>42.84776</v>
      </c>
      <c r="R669" t="n">
        <v>48.85418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54.89164</v>
      </c>
      <c r="Y669" t="n">
        <v>48.71668</v>
      </c>
      <c r="Z669" t="n">
        <v>42.4836</v>
      </c>
      <c r="AA669" t="n">
        <v>18.59054</v>
      </c>
      <c r="AB669" t="n">
        <v>62.5967</v>
      </c>
      <c r="AC669" t="n">
        <v>25.31731</v>
      </c>
      <c r="AD669" t="n">
        <v>57.42659</v>
      </c>
      <c r="AE669" t="n">
        <v>43.56567</v>
      </c>
    </row>
    <row r="670">
      <c r="A670" s="90" t="n">
        <v>38961</v>
      </c>
      <c r="B670" t="n">
        <v>42.82912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32.01372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65.56626</v>
      </c>
      <c r="N670" t="n">
        <v>66.30559</v>
      </c>
      <c r="O670" t="n">
        <v>29.57489</v>
      </c>
      <c r="P670" t="n">
        <v>26.89985</v>
      </c>
      <c r="Q670" t="n">
        <v>43.38371</v>
      </c>
      <c r="R670" t="n">
        <v>49.44456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55.23321</v>
      </c>
      <c r="Y670" t="n">
        <v>49.27365</v>
      </c>
      <c r="Z670" t="n">
        <v>43.12127</v>
      </c>
      <c r="AA670" t="n">
        <v>19.10075</v>
      </c>
      <c r="AB670" t="n">
        <v>63.12055</v>
      </c>
      <c r="AC670" t="n">
        <v>25.60769</v>
      </c>
      <c r="AD670" t="n">
        <v>57.65158</v>
      </c>
      <c r="AE670" t="n">
        <v>44.14303</v>
      </c>
    </row>
    <row r="671">
      <c r="A671" s="90" t="n">
        <v>38991</v>
      </c>
      <c r="B671" t="n">
        <v>43.25778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32.18143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66.58466</v>
      </c>
      <c r="N671" t="n">
        <v>66.35585</v>
      </c>
      <c r="O671" t="n">
        <v>30.05068</v>
      </c>
      <c r="P671" t="n">
        <v>27.16799</v>
      </c>
      <c r="Q671" t="n">
        <v>44.0172</v>
      </c>
      <c r="R671" t="n">
        <v>49.91061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55.60494</v>
      </c>
      <c r="Y671" t="n">
        <v>49.87421</v>
      </c>
      <c r="Z671" t="n">
        <v>43.80297</v>
      </c>
      <c r="AA671" t="n">
        <v>19.71683</v>
      </c>
      <c r="AB671" t="n">
        <v>63.23695</v>
      </c>
      <c r="AC671" t="n">
        <v>25.93095</v>
      </c>
      <c r="AD671" t="n">
        <v>58.05921</v>
      </c>
      <c r="AE671" t="n">
        <v>45.04009</v>
      </c>
    </row>
    <row r="672">
      <c r="A672" s="90" t="n">
        <v>39022</v>
      </c>
      <c r="B672" t="n">
        <v>43.65842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32.87693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67.15528999999999</v>
      </c>
      <c r="N672" t="n">
        <v>66.58371</v>
      </c>
      <c r="O672" t="n">
        <v>30.50355</v>
      </c>
      <c r="P672" t="n">
        <v>27.4556</v>
      </c>
      <c r="Q672" t="n">
        <v>44.85639</v>
      </c>
      <c r="R672" t="n">
        <v>50.32962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55.92595</v>
      </c>
      <c r="Y672" t="n">
        <v>50.30752</v>
      </c>
      <c r="Z672" t="n">
        <v>44.4305</v>
      </c>
      <c r="AA672" t="n">
        <v>20.38825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44.07027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33.2953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67.86011000000001</v>
      </c>
      <c r="N673" t="n">
        <v>67.14581</v>
      </c>
      <c r="O673" t="n">
        <v>30.81024</v>
      </c>
      <c r="P673" t="n">
        <v>27.88753</v>
      </c>
      <c r="Q673" t="n">
        <v>45.8675</v>
      </c>
      <c r="R673" t="n">
        <v>50.98019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56.37772</v>
      </c>
      <c r="Y673" t="n">
        <v>50.91157</v>
      </c>
      <c r="Z673" t="n">
        <v>45.07062</v>
      </c>
      <c r="AA673" t="n">
        <v>20.92948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44.51853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33.24594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68.50038000000001</v>
      </c>
      <c r="N674" t="n">
        <v>67.64337</v>
      </c>
      <c r="O674" t="n">
        <v>31.17442</v>
      </c>
      <c r="P674" t="n">
        <v>28.2892</v>
      </c>
      <c r="Q674" t="n">
        <v>47.02999</v>
      </c>
      <c r="R674" t="n">
        <v>51.67394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56.7501</v>
      </c>
      <c r="Y674" t="n">
        <v>51.5846</v>
      </c>
      <c r="Z674" t="n">
        <v>45.93355</v>
      </c>
      <c r="AA674" t="n">
        <v>21.51549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45.16011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33.695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68.99191</v>
      </c>
      <c r="N675" t="n">
        <v>67.99335000000001</v>
      </c>
      <c r="O675" t="n">
        <v>31.5383</v>
      </c>
      <c r="P675" t="n">
        <v>28.77255</v>
      </c>
      <c r="Q675" t="n">
        <v>48.37229</v>
      </c>
      <c r="R675" t="n">
        <v>52.16936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56.98505</v>
      </c>
      <c r="Y675" t="n">
        <v>52.13155</v>
      </c>
      <c r="Z675" t="n">
        <v>46.63795</v>
      </c>
      <c r="AA675" t="n">
        <v>22.04913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45.94458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34.97334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69.84063999999999</v>
      </c>
      <c r="N676" t="n">
        <v>68.31099</v>
      </c>
      <c r="O676" t="n">
        <v>31.92796</v>
      </c>
      <c r="P676" t="n">
        <v>29.65061</v>
      </c>
      <c r="Q676" t="n">
        <v>49.96592</v>
      </c>
      <c r="R676" t="n">
        <v>52.53299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57.38677</v>
      </c>
      <c r="Y676" t="n">
        <v>52.67948</v>
      </c>
      <c r="Z676" t="n">
        <v>46.97087</v>
      </c>
      <c r="AA676" t="n">
        <v>22.54871</v>
      </c>
      <c r="AB676" t="n">
        <v>66.90176</v>
      </c>
      <c r="AC676" t="n">
        <v>27.86996</v>
      </c>
      <c r="AD676" t="n">
        <v>59.4357</v>
      </c>
      <c r="AE676" t="n">
        <v>50.59858</v>
      </c>
    </row>
    <row r="677">
      <c r="A677" s="90" t="n">
        <v>39173</v>
      </c>
      <c r="B677" t="n">
        <v>46.6422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36.00262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70.6771</v>
      </c>
      <c r="N677" t="n">
        <v>68.57208</v>
      </c>
      <c r="O677" t="n">
        <v>32.26581</v>
      </c>
      <c r="P677" t="n">
        <v>30.16648</v>
      </c>
      <c r="Q677" t="n">
        <v>51.80834</v>
      </c>
      <c r="R677" t="n">
        <v>52.82667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57.87195</v>
      </c>
      <c r="Y677" t="n">
        <v>53.22637</v>
      </c>
      <c r="Z677" t="n">
        <v>47.43393</v>
      </c>
      <c r="AA677" t="n">
        <v>23.64921</v>
      </c>
      <c r="AB677" t="n">
        <v>67.52734</v>
      </c>
      <c r="AC677" t="n">
        <v>28.21742</v>
      </c>
      <c r="AD677" t="n">
        <v>60.03512</v>
      </c>
      <c r="AE677" t="n">
        <v>51.20173</v>
      </c>
    </row>
    <row r="678">
      <c r="A678" s="90" t="n">
        <v>39203</v>
      </c>
      <c r="B678" t="n">
        <v>47.22495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36.54716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71.80247</v>
      </c>
      <c r="N678" t="n">
        <v>68.94575</v>
      </c>
      <c r="O678" t="n">
        <v>32.47444</v>
      </c>
      <c r="P678" t="n">
        <v>30.2391</v>
      </c>
      <c r="Q678" t="n">
        <v>53.67901</v>
      </c>
      <c r="R678" t="n">
        <v>53.13245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58.16517</v>
      </c>
      <c r="Y678" t="n">
        <v>53.92859</v>
      </c>
      <c r="Z678" t="n">
        <v>47.78672</v>
      </c>
      <c r="AA678" t="n">
        <v>24.85893</v>
      </c>
      <c r="AB678" t="n">
        <v>68.17231</v>
      </c>
      <c r="AC678" t="n">
        <v>28.75617</v>
      </c>
      <c r="AD678" t="n">
        <v>60.15218</v>
      </c>
      <c r="AE678" t="n">
        <v>52.10322</v>
      </c>
    </row>
    <row r="679">
      <c r="A679" s="90" t="n">
        <v>39234</v>
      </c>
      <c r="B679" t="n">
        <v>48.07946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36.52549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72.84429</v>
      </c>
      <c r="N679" t="n">
        <v>69.87694</v>
      </c>
      <c r="O679" t="n">
        <v>32.99313</v>
      </c>
      <c r="P679" t="n">
        <v>30.80192</v>
      </c>
      <c r="Q679" t="n">
        <v>55.58387</v>
      </c>
      <c r="R679" t="n">
        <v>53.67398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58.56512</v>
      </c>
      <c r="Y679" t="n">
        <v>54.63715</v>
      </c>
      <c r="Z679" t="n">
        <v>47.96987</v>
      </c>
      <c r="AA679" t="n">
        <v>26.0107</v>
      </c>
      <c r="AB679" t="n">
        <v>68.99571</v>
      </c>
      <c r="AC679" t="n">
        <v>29.29412</v>
      </c>
      <c r="AD679" t="n">
        <v>60.42781</v>
      </c>
      <c r="AE679" t="n">
        <v>53.04712</v>
      </c>
    </row>
    <row r="680">
      <c r="A680" s="90" t="n">
        <v>39264</v>
      </c>
      <c r="B680" t="n">
        <v>49.02642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36.72482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73.67619999999999</v>
      </c>
      <c r="N680" t="n">
        <v>70.82813</v>
      </c>
      <c r="O680" t="n">
        <v>33.82523</v>
      </c>
      <c r="P680" t="n">
        <v>31.54329</v>
      </c>
      <c r="Q680" t="n">
        <v>57.63438</v>
      </c>
      <c r="R680" t="n">
        <v>54.69267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58.92289</v>
      </c>
      <c r="Y680" t="n">
        <v>55.283</v>
      </c>
      <c r="Z680" t="n">
        <v>48.46305</v>
      </c>
      <c r="AA680" t="n">
        <v>26.69495</v>
      </c>
      <c r="AB680" t="n">
        <v>69.62703999999999</v>
      </c>
      <c r="AC680" t="n">
        <v>29.79032</v>
      </c>
      <c r="AD680" t="n">
        <v>60.68019</v>
      </c>
      <c r="AE680" t="n">
        <v>53.80827</v>
      </c>
    </row>
    <row r="681">
      <c r="A681" s="90" t="n">
        <v>39295</v>
      </c>
      <c r="B681" t="n">
        <v>49.85011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37.04261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74.39211</v>
      </c>
      <c r="N681" t="n">
        <v>71.77221</v>
      </c>
      <c r="O681" t="n">
        <v>34.36432</v>
      </c>
      <c r="P681" t="n">
        <v>32.06529</v>
      </c>
      <c r="Q681" t="n">
        <v>59.66856</v>
      </c>
      <c r="R681" t="n">
        <v>55.01434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59.51654</v>
      </c>
      <c r="Y681" t="n">
        <v>55.92567</v>
      </c>
      <c r="Z681" t="n">
        <v>49.24147</v>
      </c>
      <c r="AA681" t="n">
        <v>26.90814</v>
      </c>
      <c r="AB681" t="n">
        <v>70.86176</v>
      </c>
      <c r="AC681" t="n">
        <v>30.18801</v>
      </c>
      <c r="AD681" t="n">
        <v>61.31199</v>
      </c>
      <c r="AE681" t="n">
        <v>54.6107</v>
      </c>
    </row>
    <row r="682">
      <c r="A682" s="90" t="n">
        <v>39326</v>
      </c>
      <c r="B682" t="n">
        <v>50.76345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37.56911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74.88630999999999</v>
      </c>
      <c r="N682" t="n">
        <v>72.74507</v>
      </c>
      <c r="O682" t="n">
        <v>34.66786</v>
      </c>
      <c r="P682" t="n">
        <v>32.65668</v>
      </c>
      <c r="Q682" t="n">
        <v>61.7862</v>
      </c>
      <c r="R682" t="n">
        <v>54.98709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59.88177</v>
      </c>
      <c r="Y682" t="n">
        <v>56.35706</v>
      </c>
      <c r="Z682" t="n">
        <v>49.73889</v>
      </c>
      <c r="AA682" t="n">
        <v>27.55936</v>
      </c>
      <c r="AB682" t="n">
        <v>72.91373</v>
      </c>
      <c r="AC682" t="n">
        <v>30.19838</v>
      </c>
      <c r="AD682" t="n">
        <v>61.46225</v>
      </c>
      <c r="AE682" t="n">
        <v>55.45543</v>
      </c>
    </row>
    <row r="683">
      <c r="A683" s="90" t="n">
        <v>39356</v>
      </c>
      <c r="B683" t="n">
        <v>51.86731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38.61782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74.93861</v>
      </c>
      <c r="N683" t="n">
        <v>73.88889</v>
      </c>
      <c r="O683" t="n">
        <v>34.96779</v>
      </c>
      <c r="P683" t="n">
        <v>33.28186</v>
      </c>
      <c r="Q683" t="n">
        <v>64.06158000000001</v>
      </c>
      <c r="R683" t="n">
        <v>55.21818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60.13073</v>
      </c>
      <c r="Y683" t="n">
        <v>56.61261</v>
      </c>
      <c r="Z683" t="n">
        <v>50.05168</v>
      </c>
      <c r="AA683" t="n">
        <v>28.34111</v>
      </c>
      <c r="AB683" t="n">
        <v>74.87245</v>
      </c>
      <c r="AC683" t="n">
        <v>30.14376</v>
      </c>
      <c r="AD683" t="n">
        <v>61.57848</v>
      </c>
      <c r="AE683" t="n">
        <v>55.99046</v>
      </c>
    </row>
    <row r="684">
      <c r="A684" s="90" t="n">
        <v>39387</v>
      </c>
      <c r="B684" t="n">
        <v>53.25974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39.25344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75.21245999999999</v>
      </c>
      <c r="N684" t="n">
        <v>74.45124</v>
      </c>
      <c r="O684" t="n">
        <v>35.35355</v>
      </c>
      <c r="P684" t="n">
        <v>33.84077</v>
      </c>
      <c r="Q684" t="n">
        <v>66.1571</v>
      </c>
      <c r="R684" t="n">
        <v>54.95098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60.49492</v>
      </c>
      <c r="Y684" t="n">
        <v>57.02866</v>
      </c>
      <c r="Z684" t="n">
        <v>50.55756</v>
      </c>
      <c r="AA684" t="n">
        <v>29.02738</v>
      </c>
      <c r="AB684" t="n">
        <v>76.27435</v>
      </c>
      <c r="AC684" t="n">
        <v>30.36072</v>
      </c>
      <c r="AD684" t="n">
        <v>61.78271</v>
      </c>
      <c r="AE684" t="n">
        <v>56.72097</v>
      </c>
    </row>
    <row r="685">
      <c r="A685" s="90" t="n">
        <v>39417</v>
      </c>
      <c r="B685" t="n">
        <v>54.1955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39.44982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76.40128</v>
      </c>
      <c r="N685" t="n">
        <v>74.55533</v>
      </c>
      <c r="O685" t="n">
        <v>36.25618</v>
      </c>
      <c r="P685" t="n">
        <v>34.40535</v>
      </c>
      <c r="Q685" t="n">
        <v>68.10549</v>
      </c>
      <c r="R685" t="n">
        <v>54.96562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60.89835</v>
      </c>
      <c r="Y685" t="n">
        <v>57.78364</v>
      </c>
      <c r="Z685" t="n">
        <v>51.10683</v>
      </c>
      <c r="AA685" t="n">
        <v>29.72735</v>
      </c>
      <c r="AB685" t="n">
        <v>76.52672</v>
      </c>
      <c r="AC685" t="n">
        <v>30.78401</v>
      </c>
      <c r="AD685" t="n">
        <v>62.03012</v>
      </c>
      <c r="AE685" t="n">
        <v>57.71618</v>
      </c>
    </row>
    <row r="686">
      <c r="A686" s="90" t="n">
        <v>39448</v>
      </c>
      <c r="B686" t="n">
        <v>54.80346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39.61535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78.35455</v>
      </c>
      <c r="N686" t="n">
        <v>75.06675</v>
      </c>
      <c r="O686" t="n">
        <v>36.76052</v>
      </c>
      <c r="P686" t="n">
        <v>34.97416</v>
      </c>
      <c r="Q686" t="n">
        <v>70.05381</v>
      </c>
      <c r="R686" t="n">
        <v>55.28019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61.36639</v>
      </c>
      <c r="Y686" t="n">
        <v>58.66886</v>
      </c>
      <c r="Z686" t="n">
        <v>51.88093</v>
      </c>
      <c r="AA686" t="n">
        <v>30.47499</v>
      </c>
      <c r="AB686" t="n">
        <v>75.6069</v>
      </c>
      <c r="AC686" t="n">
        <v>31.3584</v>
      </c>
      <c r="AD686" t="n">
        <v>62.31156</v>
      </c>
      <c r="AE686" t="n">
        <v>58.89767</v>
      </c>
    </row>
    <row r="687">
      <c r="A687" s="90" t="n">
        <v>39479</v>
      </c>
      <c r="B687" t="n">
        <v>55.3694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39.94396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79.92359999999999</v>
      </c>
      <c r="N687" t="n">
        <v>76.73327999999999</v>
      </c>
      <c r="O687" t="n">
        <v>36.86916</v>
      </c>
      <c r="P687" t="n">
        <v>35.61239</v>
      </c>
      <c r="Q687" t="n">
        <v>71.93932</v>
      </c>
      <c r="R687" t="n">
        <v>55.63526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61.98929</v>
      </c>
      <c r="Y687" t="n">
        <v>59.49421</v>
      </c>
      <c r="Z687" t="n">
        <v>52.71478</v>
      </c>
      <c r="AA687" t="n">
        <v>31.13445</v>
      </c>
      <c r="AB687" t="n">
        <v>75.2496</v>
      </c>
      <c r="AC687" t="n">
        <v>31.98899</v>
      </c>
      <c r="AD687" t="n">
        <v>63.01807</v>
      </c>
      <c r="AE687" t="n">
        <v>60.12882</v>
      </c>
    </row>
    <row r="688">
      <c r="A688" s="90" t="n">
        <v>39508</v>
      </c>
      <c r="B688" t="n">
        <v>55.84848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40.16536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80.88506</v>
      </c>
      <c r="N688" t="n">
        <v>78.10375999999999</v>
      </c>
      <c r="O688" t="n">
        <v>37.09291</v>
      </c>
      <c r="P688" t="n">
        <v>36.30758</v>
      </c>
      <c r="Q688" t="n">
        <v>73.63397999999999</v>
      </c>
      <c r="R688" t="n">
        <v>56.0061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62.53398</v>
      </c>
      <c r="Y688" t="n">
        <v>60.42719</v>
      </c>
      <c r="Z688" t="n">
        <v>53.27646</v>
      </c>
      <c r="AA688" t="n">
        <v>31.7872</v>
      </c>
      <c r="AB688" t="n">
        <v>76.11665000000001</v>
      </c>
      <c r="AC688" t="n">
        <v>33.13153</v>
      </c>
      <c r="AD688" t="n">
        <v>63.56269</v>
      </c>
      <c r="AE688" t="n">
        <v>60.94813</v>
      </c>
    </row>
    <row r="689">
      <c r="A689" s="90" t="n">
        <v>39539</v>
      </c>
      <c r="B689" t="n">
        <v>56.42843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41.03592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81.69298999999999</v>
      </c>
      <c r="N689" t="n">
        <v>78.16193</v>
      </c>
      <c r="O689" t="n">
        <v>37.38252</v>
      </c>
      <c r="P689" t="n">
        <v>36.73304</v>
      </c>
      <c r="Q689" t="n">
        <v>75.22147</v>
      </c>
      <c r="R689" t="n">
        <v>56.28986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62.99507</v>
      </c>
      <c r="Y689" t="n">
        <v>61.29242</v>
      </c>
      <c r="Z689" t="n">
        <v>54.21083</v>
      </c>
      <c r="AA689" t="n">
        <v>32.42801</v>
      </c>
      <c r="AB689" t="n">
        <v>77.6349</v>
      </c>
      <c r="AC689" t="n">
        <v>34.12496</v>
      </c>
      <c r="AD689" t="n">
        <v>63.91968</v>
      </c>
      <c r="AE689" t="n">
        <v>61.75613</v>
      </c>
    </row>
    <row r="690">
      <c r="A690" s="90" t="n">
        <v>39569</v>
      </c>
      <c r="B690" t="n">
        <v>56.84588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41.54286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81.96516</v>
      </c>
      <c r="N690" t="n">
        <v>77.55081</v>
      </c>
      <c r="O690" t="n">
        <v>38.00879</v>
      </c>
      <c r="P690" t="n">
        <v>37.1142</v>
      </c>
      <c r="Q690" t="n">
        <v>77.15434999999999</v>
      </c>
      <c r="R690" t="n">
        <v>56.52232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63.27163</v>
      </c>
      <c r="Y690" t="n">
        <v>61.56448</v>
      </c>
      <c r="Z690" t="n">
        <v>55.02856</v>
      </c>
      <c r="AA690" t="n">
        <v>32.78534</v>
      </c>
      <c r="AB690" t="n">
        <v>78.36812999999999</v>
      </c>
      <c r="AC690" t="n">
        <v>34.10747</v>
      </c>
      <c r="AD690" t="n">
        <v>64.0193</v>
      </c>
      <c r="AE690" t="n">
        <v>62.84327</v>
      </c>
    </row>
    <row r="691">
      <c r="A691" s="90" t="n">
        <v>39600</v>
      </c>
      <c r="B691" t="n">
        <v>57.48746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41.50314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82.29652</v>
      </c>
      <c r="N691" t="n">
        <v>76.37238000000001</v>
      </c>
      <c r="O691" t="n">
        <v>38.71209</v>
      </c>
      <c r="P691" t="n">
        <v>37.70275</v>
      </c>
      <c r="Q691" t="n">
        <v>79.34676</v>
      </c>
      <c r="R691" t="n">
        <v>56.93607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63.47204</v>
      </c>
      <c r="Y691" t="n">
        <v>61.65016</v>
      </c>
      <c r="Z691" t="n">
        <v>55.58471</v>
      </c>
      <c r="AA691" t="n">
        <v>33.37312</v>
      </c>
      <c r="AB691" t="n">
        <v>77.32256</v>
      </c>
      <c r="AC691" t="n">
        <v>34.16924</v>
      </c>
      <c r="AD691" t="n">
        <v>64.16625000000001</v>
      </c>
      <c r="AE691" t="n">
        <v>63.76631</v>
      </c>
    </row>
    <row r="692">
      <c r="A692" s="90" t="n">
        <v>39630</v>
      </c>
      <c r="B692" t="n">
        <v>58.62774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41.96413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82.55337</v>
      </c>
      <c r="N692" t="n">
        <v>77.29885</v>
      </c>
      <c r="O692" t="n">
        <v>39.12234</v>
      </c>
      <c r="P692" t="n">
        <v>38.07385</v>
      </c>
      <c r="Q692" t="n">
        <v>81.38454</v>
      </c>
      <c r="R692" t="n">
        <v>57.65147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63.83971</v>
      </c>
      <c r="Y692" t="n">
        <v>62.06332</v>
      </c>
      <c r="Z692" t="n">
        <v>56.54437</v>
      </c>
      <c r="AA692" t="n">
        <v>34.30642</v>
      </c>
      <c r="AB692" t="n">
        <v>77.42921</v>
      </c>
      <c r="AC692" t="n">
        <v>34.64274</v>
      </c>
      <c r="AD692" t="n">
        <v>64.5523</v>
      </c>
      <c r="AE692" t="n">
        <v>64.28667</v>
      </c>
    </row>
    <row r="693">
      <c r="A693" s="90" t="n">
        <v>39661</v>
      </c>
      <c r="B693" t="n">
        <v>59.57471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42.71153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83.18206000000001</v>
      </c>
      <c r="N693" t="n">
        <v>78.29901</v>
      </c>
      <c r="O693" t="n">
        <v>39.02028</v>
      </c>
      <c r="P693" t="n">
        <v>38.6682</v>
      </c>
      <c r="Q693" t="n">
        <v>83.35777</v>
      </c>
      <c r="R693" t="n">
        <v>58.27448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64.15103999999999</v>
      </c>
      <c r="Y693" t="n">
        <v>62.57932</v>
      </c>
      <c r="Z693" t="n">
        <v>57.54346</v>
      </c>
      <c r="AA693" t="n">
        <v>34.78097</v>
      </c>
      <c r="AB693" t="n">
        <v>78.19653</v>
      </c>
      <c r="AC693" t="n">
        <v>34.80141</v>
      </c>
      <c r="AD693" t="n">
        <v>64.67516999999999</v>
      </c>
      <c r="AE693" t="n">
        <v>64.33398</v>
      </c>
    </row>
    <row r="694">
      <c r="A694" s="90" t="n">
        <v>39692</v>
      </c>
      <c r="B694" t="n">
        <v>60.47684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43.68932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83.61778</v>
      </c>
      <c r="N694" t="n">
        <v>78.35001</v>
      </c>
      <c r="O694" t="n">
        <v>39.88288</v>
      </c>
      <c r="P694" t="n">
        <v>39.34351</v>
      </c>
      <c r="Q694" t="n">
        <v>85.1036</v>
      </c>
      <c r="R694" t="n">
        <v>58.77125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64.63489</v>
      </c>
      <c r="Y694" t="n">
        <v>63.09166</v>
      </c>
      <c r="Z694" t="n">
        <v>58.25437</v>
      </c>
      <c r="AA694" t="n">
        <v>35.47</v>
      </c>
      <c r="AB694" t="n">
        <v>77.58879</v>
      </c>
      <c r="AC694" t="n">
        <v>35.52542</v>
      </c>
      <c r="AD694" t="n">
        <v>65.25051000000001</v>
      </c>
      <c r="AE694" t="n">
        <v>64.59796</v>
      </c>
    </row>
    <row r="695">
      <c r="A695" s="90" t="n">
        <v>39722</v>
      </c>
      <c r="B695" t="n">
        <v>61.41541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44.44751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85.21295000000001</v>
      </c>
      <c r="N695" t="n">
        <v>79.20116</v>
      </c>
      <c r="O695" t="n">
        <v>41.23006</v>
      </c>
      <c r="P695" t="n">
        <v>39.96434</v>
      </c>
      <c r="Q695" t="n">
        <v>86.43982</v>
      </c>
      <c r="R695" t="n">
        <v>59.66986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65.37953</v>
      </c>
      <c r="Y695" t="n">
        <v>64.26425</v>
      </c>
      <c r="Z695" t="n">
        <v>58.75585</v>
      </c>
      <c r="AA695" t="n">
        <v>35.98756</v>
      </c>
      <c r="AB695" t="n">
        <v>76.96893</v>
      </c>
      <c r="AC695" t="n">
        <v>37.01697</v>
      </c>
      <c r="AD695" t="n">
        <v>66.12888</v>
      </c>
      <c r="AE695" t="n">
        <v>65.36953</v>
      </c>
    </row>
    <row r="696">
      <c r="A696" s="90" t="n">
        <v>39753</v>
      </c>
      <c r="B696" t="n">
        <v>62.53887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44.95379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88.00064999999999</v>
      </c>
      <c r="N696" t="n">
        <v>79.82532999999999</v>
      </c>
      <c r="O696" t="n">
        <v>41.94718</v>
      </c>
      <c r="P696" t="n">
        <v>40.56256</v>
      </c>
      <c r="Q696" t="n">
        <v>87.78527</v>
      </c>
      <c r="R696" t="n">
        <v>60.84385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65.99481</v>
      </c>
      <c r="Y696" t="n">
        <v>65.68275</v>
      </c>
      <c r="Z696" t="n">
        <v>59.516</v>
      </c>
      <c r="AA696" t="n">
        <v>35.53139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63.32054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45.78374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89.89879000000001</v>
      </c>
      <c r="N697" t="n">
        <v>80.33932</v>
      </c>
      <c r="O697" t="n">
        <v>42.31048</v>
      </c>
      <c r="P697" t="n">
        <v>41.13558</v>
      </c>
      <c r="Q697" t="n">
        <v>89.18861</v>
      </c>
      <c r="R697" t="n">
        <v>61.76123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67.0078</v>
      </c>
      <c r="Y697" t="n">
        <v>66.67021</v>
      </c>
      <c r="Z697" t="n">
        <v>60.38609</v>
      </c>
      <c r="AA697" t="n">
        <v>34.90947</v>
      </c>
      <c r="AB697" t="n">
        <v>77.92988</v>
      </c>
      <c r="AC697" t="n">
        <v>38.51681</v>
      </c>
      <c r="AD697" t="n">
        <v>68.01179999999999</v>
      </c>
      <c r="AE697" t="n">
        <v>67.12298</v>
      </c>
    </row>
    <row r="698">
      <c r="A698" s="90" t="n">
        <v>39814</v>
      </c>
      <c r="B698" t="n">
        <v>63.7576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46.57104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91.39787</v>
      </c>
      <c r="N698" t="n">
        <v>81.89278</v>
      </c>
      <c r="O698" t="n">
        <v>42.64483</v>
      </c>
      <c r="P698" t="n">
        <v>41.97978</v>
      </c>
      <c r="Q698" t="n">
        <v>90.44477000000001</v>
      </c>
      <c r="R698" t="n">
        <v>62.89418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67.66348000000001</v>
      </c>
      <c r="Y698" t="n">
        <v>67.62299</v>
      </c>
      <c r="Z698" t="n">
        <v>61.16327</v>
      </c>
      <c r="AA698" t="n">
        <v>34.90507</v>
      </c>
      <c r="AB698" t="n">
        <v>79.14561999999999</v>
      </c>
      <c r="AC698" t="n">
        <v>39.1078</v>
      </c>
      <c r="AD698" t="n">
        <v>68.68925</v>
      </c>
      <c r="AE698" t="n">
        <v>67.43598</v>
      </c>
    </row>
    <row r="699">
      <c r="A699" s="90" t="n">
        <v>39845</v>
      </c>
      <c r="B699" t="n">
        <v>64.68214999999999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47.16123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92.21348999999999</v>
      </c>
      <c r="N699" t="n">
        <v>83.60451999999999</v>
      </c>
      <c r="O699" t="n">
        <v>43.4848</v>
      </c>
      <c r="P699" t="n">
        <v>42.79417</v>
      </c>
      <c r="Q699" t="n">
        <v>91.63162</v>
      </c>
      <c r="R699" t="n">
        <v>64.43016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68.09389</v>
      </c>
      <c r="Y699" t="n">
        <v>68.43642</v>
      </c>
      <c r="Z699" t="n">
        <v>62.03027</v>
      </c>
      <c r="AA699" t="n">
        <v>35.36014</v>
      </c>
      <c r="AB699" t="n">
        <v>79.52621000000001</v>
      </c>
      <c r="AC699" t="n">
        <v>39.9133</v>
      </c>
      <c r="AD699" t="n">
        <v>68.93333</v>
      </c>
      <c r="AE699" t="n">
        <v>68.60704</v>
      </c>
    </row>
    <row r="700">
      <c r="A700" s="90" t="n">
        <v>39873</v>
      </c>
      <c r="B700" t="n">
        <v>64.60651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47.6026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92.21505999999999</v>
      </c>
      <c r="N700" t="n">
        <v>84.53436000000001</v>
      </c>
      <c r="O700" t="n">
        <v>44.22987</v>
      </c>
      <c r="P700" t="n">
        <v>43.48389</v>
      </c>
      <c r="Q700" t="n">
        <v>92.79858</v>
      </c>
      <c r="R700" t="n">
        <v>65.32684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68.47784</v>
      </c>
      <c r="Y700" t="n">
        <v>68.7266</v>
      </c>
      <c r="Z700" t="n">
        <v>62.67338</v>
      </c>
      <c r="AA700" t="n">
        <v>35.59574</v>
      </c>
      <c r="AB700" t="n">
        <v>79.50556</v>
      </c>
      <c r="AC700" t="n">
        <v>40.34041</v>
      </c>
      <c r="AD700" t="n">
        <v>69.48293</v>
      </c>
      <c r="AE700" t="n">
        <v>68.45565000000001</v>
      </c>
    </row>
    <row r="701">
      <c r="A701" s="90" t="n">
        <v>39904</v>
      </c>
      <c r="B701" t="n">
        <v>64.53927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47.74585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91.57726</v>
      </c>
      <c r="N701" t="n">
        <v>85.30103</v>
      </c>
      <c r="O701" t="n">
        <v>44.60754</v>
      </c>
      <c r="P701" t="n">
        <v>44.24037</v>
      </c>
      <c r="Q701" t="n">
        <v>93.752</v>
      </c>
      <c r="R701" t="n">
        <v>65.47366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68.51040999999999</v>
      </c>
      <c r="Y701" t="n">
        <v>68.59608</v>
      </c>
      <c r="Z701" t="n">
        <v>62.88032</v>
      </c>
      <c r="AA701" t="n">
        <v>35.59852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65.25369000000001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48.02741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90.74549</v>
      </c>
      <c r="N702" t="n">
        <v>85.66529</v>
      </c>
      <c r="O702" t="n">
        <v>44.85314</v>
      </c>
      <c r="P702" t="n">
        <v>44.97268</v>
      </c>
      <c r="Q702" t="n">
        <v>94.21514000000001</v>
      </c>
      <c r="R702" t="n">
        <v>65.57671000000001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68.76418</v>
      </c>
      <c r="Y702" t="n">
        <v>68.52793</v>
      </c>
      <c r="Z702" t="n">
        <v>62.97614</v>
      </c>
      <c r="AA702" t="n">
        <v>35.75638</v>
      </c>
      <c r="AB702" t="n">
        <v>79.76007</v>
      </c>
      <c r="AC702" t="n">
        <v>40.30639</v>
      </c>
      <c r="AD702" t="n">
        <v>69.99267999999999</v>
      </c>
      <c r="AE702" t="n">
        <v>67.98874000000001</v>
      </c>
    </row>
    <row r="703">
      <c r="A703" s="90" t="n">
        <v>39965</v>
      </c>
      <c r="B703" t="n">
        <v>65.74679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48.45834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90.35626000000001</v>
      </c>
      <c r="N703" t="n">
        <v>85.84137</v>
      </c>
      <c r="O703" t="n">
        <v>45.15517</v>
      </c>
      <c r="P703" t="n">
        <v>45.54815</v>
      </c>
      <c r="Q703" t="n">
        <v>94.27115999999999</v>
      </c>
      <c r="R703" t="n">
        <v>65.66254000000001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68.88471</v>
      </c>
      <c r="Y703" t="n">
        <v>68.58984</v>
      </c>
      <c r="Z703" t="n">
        <v>63.576</v>
      </c>
      <c r="AA703" t="n">
        <v>36.12996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66.11941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48.91069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90.49169000000001</v>
      </c>
      <c r="N704" t="n">
        <v>85.60585</v>
      </c>
      <c r="O704" t="n">
        <v>45.43369</v>
      </c>
      <c r="P704" t="n">
        <v>46.12276</v>
      </c>
      <c r="Q704" t="n">
        <v>94.22166</v>
      </c>
      <c r="R704" t="n">
        <v>65.46832999999999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69.04133</v>
      </c>
      <c r="Y704" t="n">
        <v>68.72605</v>
      </c>
      <c r="Z704" t="n">
        <v>64.00772000000001</v>
      </c>
      <c r="AA704" t="n">
        <v>36.69043</v>
      </c>
      <c r="AB704" t="n">
        <v>78.33105</v>
      </c>
      <c r="AC704" t="n">
        <v>40.85394</v>
      </c>
      <c r="AD704" t="n">
        <v>70.11223</v>
      </c>
      <c r="AE704" t="n">
        <v>67.94150999999999</v>
      </c>
    </row>
    <row r="705">
      <c r="A705" s="90" t="n">
        <v>40026</v>
      </c>
      <c r="B705" t="n">
        <v>66.29591000000001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49.16524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91.20974</v>
      </c>
      <c r="N705" t="n">
        <v>85.62627999999999</v>
      </c>
      <c r="O705" t="n">
        <v>45.82233</v>
      </c>
      <c r="P705" t="n">
        <v>46.66395</v>
      </c>
      <c r="Q705" t="n">
        <v>94.1589</v>
      </c>
      <c r="R705" t="n">
        <v>65.27679000000001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69.16357000000001</v>
      </c>
      <c r="Y705" t="n">
        <v>69.01719</v>
      </c>
      <c r="Z705" t="n">
        <v>63.58854</v>
      </c>
      <c r="AA705" t="n">
        <v>37.4712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66.40237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49.11067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92.11068</v>
      </c>
      <c r="N706" t="n">
        <v>85.67355000000001</v>
      </c>
      <c r="O706" t="n">
        <v>46.27817</v>
      </c>
      <c r="P706" t="n">
        <v>47.14355</v>
      </c>
      <c r="Q706" t="n">
        <v>94.09206</v>
      </c>
      <c r="R706" t="n">
        <v>65.53313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69.31022</v>
      </c>
      <c r="Y706" t="n">
        <v>69.48841</v>
      </c>
      <c r="Z706" t="n">
        <v>63.69664</v>
      </c>
      <c r="AA706" t="n">
        <v>38.16539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66.35474000000001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49.26682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93.101</v>
      </c>
      <c r="N707" t="n">
        <v>85.19155000000001</v>
      </c>
      <c r="O707" t="n">
        <v>46.4633</v>
      </c>
      <c r="P707" t="n">
        <v>47.68745</v>
      </c>
      <c r="Q707" t="n">
        <v>93.96486</v>
      </c>
      <c r="R707" t="n">
        <v>65.71474000000001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69.63453</v>
      </c>
      <c r="Y707" t="n">
        <v>70.15815000000001</v>
      </c>
      <c r="Z707" t="n">
        <v>65.07482</v>
      </c>
      <c r="AA707" t="n">
        <v>38.61166</v>
      </c>
      <c r="AB707" t="n">
        <v>77.88074</v>
      </c>
      <c r="AC707" t="n">
        <v>42.50012</v>
      </c>
      <c r="AD707" t="n">
        <v>70.32809</v>
      </c>
      <c r="AE707" t="n">
        <v>67.39654</v>
      </c>
    </row>
    <row r="708">
      <c r="A708" s="90" t="n">
        <v>40118</v>
      </c>
      <c r="B708" t="n">
        <v>66.28191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49.62095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93.67831</v>
      </c>
      <c r="N708" t="n">
        <v>84.78917</v>
      </c>
      <c r="O708" t="n">
        <v>46.85012</v>
      </c>
      <c r="P708" t="n">
        <v>48.27664</v>
      </c>
      <c r="Q708" t="n">
        <v>93.62202000000001</v>
      </c>
      <c r="R708" t="n">
        <v>65.99227999999999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69.95348</v>
      </c>
      <c r="Y708" t="n">
        <v>70.65416</v>
      </c>
      <c r="Z708" t="n">
        <v>65.3856</v>
      </c>
      <c r="AA708" t="n">
        <v>39.22072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66.13621999999999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49.67754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93.37399000000001</v>
      </c>
      <c r="N709" t="n">
        <v>84.37645999999999</v>
      </c>
      <c r="O709" t="n">
        <v>47.47656</v>
      </c>
      <c r="P709" t="n">
        <v>48.75244</v>
      </c>
      <c r="Q709" t="n">
        <v>93.08241</v>
      </c>
      <c r="R709" t="n">
        <v>66.01613999999999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69.99796000000001</v>
      </c>
      <c r="Y709" t="n">
        <v>70.74285</v>
      </c>
      <c r="Z709" t="n">
        <v>65.12603</v>
      </c>
      <c r="AA709" t="n">
        <v>40.10471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66.15863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50.09521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96.96149</v>
      </c>
      <c r="N710" t="n">
        <v>84.45119</v>
      </c>
      <c r="O710" t="n">
        <v>47.64731</v>
      </c>
      <c r="P710" t="n">
        <v>49.36239</v>
      </c>
      <c r="Q710" t="n">
        <v>92.45927</v>
      </c>
      <c r="R710" t="n">
        <v>66.05788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70.12109</v>
      </c>
      <c r="Y710" t="n">
        <v>71.90459</v>
      </c>
      <c r="Z710" t="n">
        <v>65.47638999999999</v>
      </c>
      <c r="AA710" t="n">
        <v>40.88443</v>
      </c>
      <c r="AB710" t="n">
        <v>78.7852</v>
      </c>
      <c r="AC710" t="n">
        <v>44.12033</v>
      </c>
      <c r="AD710" t="n">
        <v>70.22016000000001</v>
      </c>
      <c r="AE710" t="n">
        <v>68.33632</v>
      </c>
    </row>
    <row r="711">
      <c r="A711" s="90" t="n">
        <v>40210</v>
      </c>
      <c r="B711" t="n">
        <v>66.65173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50.66838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101.3951</v>
      </c>
      <c r="N711" t="n">
        <v>85.24225</v>
      </c>
      <c r="O711" t="n">
        <v>47.71336</v>
      </c>
      <c r="P711" t="n">
        <v>50.14887</v>
      </c>
      <c r="Q711" t="n">
        <v>91.81712</v>
      </c>
      <c r="R711" t="n">
        <v>66.06135999999999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70.69587</v>
      </c>
      <c r="Y711" t="n">
        <v>73.39487</v>
      </c>
      <c r="Z711" t="n">
        <v>65.59350000000001</v>
      </c>
      <c r="AA711" t="n">
        <v>41.66986</v>
      </c>
      <c r="AB711" t="n">
        <v>79.35886000000001</v>
      </c>
      <c r="AC711" t="n">
        <v>44.81744</v>
      </c>
      <c r="AD711" t="n">
        <v>70.62945999999999</v>
      </c>
      <c r="AE711" t="n">
        <v>68.84856000000001</v>
      </c>
    </row>
    <row r="712">
      <c r="A712" s="90" t="n">
        <v>40238</v>
      </c>
      <c r="B712" t="n">
        <v>67.39697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50.80815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101.7414</v>
      </c>
      <c r="N712" t="n">
        <v>85.82529</v>
      </c>
      <c r="O712" t="n">
        <v>48.39354</v>
      </c>
      <c r="P712" t="n">
        <v>50.89152</v>
      </c>
      <c r="Q712" t="n">
        <v>91.13728</v>
      </c>
      <c r="R712" t="n">
        <v>65.92626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70.86914</v>
      </c>
      <c r="Y712" t="n">
        <v>73.79552</v>
      </c>
      <c r="Z712" t="n">
        <v>66.0201</v>
      </c>
      <c r="AA712" t="n">
        <v>42.44051</v>
      </c>
      <c r="AB712" t="n">
        <v>79.60847</v>
      </c>
      <c r="AC712" t="n">
        <v>45.36288</v>
      </c>
      <c r="AD712" t="n">
        <v>70.60538</v>
      </c>
      <c r="AE712" t="n">
        <v>69.05627</v>
      </c>
    </row>
    <row r="713">
      <c r="A713" s="90" t="n">
        <v>40269</v>
      </c>
      <c r="B713" t="n">
        <v>67.97971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51.19683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100.859</v>
      </c>
      <c r="N713" t="n">
        <v>86.66288</v>
      </c>
      <c r="O713" t="n">
        <v>49.18651</v>
      </c>
      <c r="P713" t="n">
        <v>51.37198</v>
      </c>
      <c r="Q713" t="n">
        <v>90.35993000000001</v>
      </c>
      <c r="R713" t="n">
        <v>66.29906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71.17829</v>
      </c>
      <c r="Y713" t="n">
        <v>73.85099</v>
      </c>
      <c r="Z713" t="n">
        <v>66.53712</v>
      </c>
      <c r="AA713" t="n">
        <v>43.0804</v>
      </c>
      <c r="AB713" t="n">
        <v>79.58385</v>
      </c>
      <c r="AC713" t="n">
        <v>45.6802</v>
      </c>
      <c r="AD713" t="n">
        <v>70.86024999999999</v>
      </c>
      <c r="AE713" t="n">
        <v>68.81847999999999</v>
      </c>
    </row>
    <row r="714">
      <c r="A714" s="90" t="n">
        <v>40299</v>
      </c>
      <c r="B714" t="n">
        <v>68.31592000000001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51.58025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100.2621</v>
      </c>
      <c r="N714" t="n">
        <v>87.64847</v>
      </c>
      <c r="O714" t="n">
        <v>49.70914</v>
      </c>
      <c r="P714" t="n">
        <v>51.81095</v>
      </c>
      <c r="Q714" t="n">
        <v>89.54711</v>
      </c>
      <c r="R714" t="n">
        <v>66.52237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71.61891</v>
      </c>
      <c r="Y714" t="n">
        <v>74.14597000000001</v>
      </c>
      <c r="Z714" t="n">
        <v>67.3522</v>
      </c>
      <c r="AA714" t="n">
        <v>43.98716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68.73056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52.06066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100.2335</v>
      </c>
      <c r="N715" t="n">
        <v>88.35713</v>
      </c>
      <c r="O715" t="n">
        <v>50.56684</v>
      </c>
      <c r="P715" t="n">
        <v>52.44637</v>
      </c>
      <c r="Q715" t="n">
        <v>88.76714</v>
      </c>
      <c r="R715" t="n">
        <v>67.06125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71.91323</v>
      </c>
      <c r="Y715" t="n">
        <v>74.72569</v>
      </c>
      <c r="Z715" t="n">
        <v>68.29809</v>
      </c>
      <c r="AA715" t="n">
        <v>44.9972</v>
      </c>
      <c r="AB715" t="n">
        <v>79.74033</v>
      </c>
      <c r="AC715" t="n">
        <v>47.08384</v>
      </c>
      <c r="AD715" t="n">
        <v>71.47295</v>
      </c>
      <c r="AE715" t="n">
        <v>69.45453000000001</v>
      </c>
    </row>
    <row r="716">
      <c r="A716" s="90" t="n">
        <v>40360</v>
      </c>
      <c r="B716" t="n">
        <v>69.31892000000001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52.55703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100.104</v>
      </c>
      <c r="N716" t="n">
        <v>88.73677000000001</v>
      </c>
      <c r="O716" t="n">
        <v>51.29067</v>
      </c>
      <c r="P716" t="n">
        <v>53.21127</v>
      </c>
      <c r="Q716" t="n">
        <v>88.01714</v>
      </c>
      <c r="R716" t="n">
        <v>67.29199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72.14637</v>
      </c>
      <c r="Y716" t="n">
        <v>75.15304</v>
      </c>
      <c r="Z716" t="n">
        <v>68.80833</v>
      </c>
      <c r="AA716" t="n">
        <v>45.75395</v>
      </c>
      <c r="AB716" t="n">
        <v>80.36462</v>
      </c>
      <c r="AC716" t="n">
        <v>47.81548</v>
      </c>
      <c r="AD716" t="n">
        <v>71.55431</v>
      </c>
      <c r="AE716" t="n">
        <v>70.06393</v>
      </c>
    </row>
    <row r="717">
      <c r="A717" s="90" t="n">
        <v>40391</v>
      </c>
      <c r="B717" t="n">
        <v>69.91847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52.80862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99.86108</v>
      </c>
      <c r="N717" t="n">
        <v>88.85621</v>
      </c>
      <c r="O717" t="n">
        <v>51.54492</v>
      </c>
      <c r="P717" t="n">
        <v>53.93836</v>
      </c>
      <c r="Q717" t="n">
        <v>87.30452</v>
      </c>
      <c r="R717" t="n">
        <v>66.96028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72.52558999999999</v>
      </c>
      <c r="Y717" t="n">
        <v>75.3456</v>
      </c>
      <c r="Z717" t="n">
        <v>69.08750999999999</v>
      </c>
      <c r="AA717" t="n">
        <v>46.59394</v>
      </c>
      <c r="AB717" t="n">
        <v>80.58204000000001</v>
      </c>
      <c r="AC717" t="n">
        <v>48.1311</v>
      </c>
      <c r="AD717" t="n">
        <v>71.97190999999999</v>
      </c>
      <c r="AE717" t="n">
        <v>70.31703</v>
      </c>
    </row>
    <row r="718">
      <c r="A718" s="90" t="n">
        <v>40422</v>
      </c>
      <c r="B718" t="n">
        <v>70.42838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53.25514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99.68894</v>
      </c>
      <c r="N718" t="n">
        <v>88.32503</v>
      </c>
      <c r="O718" t="n">
        <v>52.02149</v>
      </c>
      <c r="P718" t="n">
        <v>54.45184</v>
      </c>
      <c r="Q718" t="n">
        <v>86.63753</v>
      </c>
      <c r="R718" t="n">
        <v>66.97763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72.78484</v>
      </c>
      <c r="Y718" t="n">
        <v>75.49003999999999</v>
      </c>
      <c r="Z718" t="n">
        <v>69.51988</v>
      </c>
      <c r="AA718" t="n">
        <v>47.42061</v>
      </c>
      <c r="AB718" t="n">
        <v>80.40182</v>
      </c>
      <c r="AC718" t="n">
        <v>48.58194</v>
      </c>
      <c r="AD718" t="n">
        <v>72.22927</v>
      </c>
      <c r="AE718" t="n">
        <v>70.59019000000001</v>
      </c>
    </row>
    <row r="719">
      <c r="A719" s="90" t="n">
        <v>40452</v>
      </c>
      <c r="B719" t="n">
        <v>71.01392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53.74411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99.84115</v>
      </c>
      <c r="N719" t="n">
        <v>87.67156</v>
      </c>
      <c r="O719" t="n">
        <v>52.78292</v>
      </c>
      <c r="P719" t="n">
        <v>55.49382</v>
      </c>
      <c r="Q719" t="n">
        <v>86.01361</v>
      </c>
      <c r="R719" t="n">
        <v>67.16598999999999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73.19853999999999</v>
      </c>
      <c r="Y719" t="n">
        <v>75.82525</v>
      </c>
      <c r="Z719" t="n">
        <v>69.97942999999999</v>
      </c>
      <c r="AA719" t="n">
        <v>48.21659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71.95247999999999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54.18371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99.50935</v>
      </c>
      <c r="N720" t="n">
        <v>87.79255000000001</v>
      </c>
      <c r="O720" t="n">
        <v>53.52609</v>
      </c>
      <c r="P720" t="n">
        <v>56.39669</v>
      </c>
      <c r="Q720" t="n">
        <v>85.44056999999999</v>
      </c>
      <c r="R720" t="n">
        <v>67.48166999999999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73.45316</v>
      </c>
      <c r="Y720" t="n">
        <v>76.09984</v>
      </c>
      <c r="Z720" t="n">
        <v>70.36121</v>
      </c>
      <c r="AA720" t="n">
        <v>49.2181</v>
      </c>
      <c r="AB720" t="n">
        <v>81.12514</v>
      </c>
      <c r="AC720" t="n">
        <v>49.95992</v>
      </c>
      <c r="AD720" t="n">
        <v>72.80959</v>
      </c>
      <c r="AE720" t="n">
        <v>72.14709999999999</v>
      </c>
    </row>
    <row r="721">
      <c r="A721" s="90" t="n">
        <v>40513</v>
      </c>
      <c r="B721" t="n">
        <v>72.74816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54.86112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98.59892000000001</v>
      </c>
      <c r="N721" t="n">
        <v>87.22031</v>
      </c>
      <c r="O721" t="n">
        <v>54.47383</v>
      </c>
      <c r="P721" t="n">
        <v>57.2337</v>
      </c>
      <c r="Q721" t="n">
        <v>84.94898000000001</v>
      </c>
      <c r="R721" t="n">
        <v>67.6786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73.69626</v>
      </c>
      <c r="Y721" t="n">
        <v>76.37551000000001</v>
      </c>
      <c r="Z721" t="n">
        <v>70.84219</v>
      </c>
      <c r="AA721" t="n">
        <v>50.21867</v>
      </c>
      <c r="AB721" t="n">
        <v>80.81652</v>
      </c>
      <c r="AC721" t="n">
        <v>51.14685</v>
      </c>
      <c r="AD721" t="n">
        <v>73.07359</v>
      </c>
      <c r="AE721" t="n">
        <v>72.81018</v>
      </c>
    </row>
    <row r="722">
      <c r="A722" s="90" t="n">
        <v>40544</v>
      </c>
      <c r="B722" t="n">
        <v>73.23004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55.52385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98.11439</v>
      </c>
      <c r="N722" t="n">
        <v>86.99637</v>
      </c>
      <c r="O722" t="n">
        <v>55.49007</v>
      </c>
      <c r="P722" t="n">
        <v>57.98042</v>
      </c>
      <c r="Q722" t="n">
        <v>84.60115</v>
      </c>
      <c r="R722" t="n">
        <v>67.58602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73.92854</v>
      </c>
      <c r="Y722" t="n">
        <v>76.48783</v>
      </c>
      <c r="Z722" t="n">
        <v>70.97681</v>
      </c>
      <c r="AA722" t="n">
        <v>50.99963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73.87163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56.07346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98.27516</v>
      </c>
      <c r="N723" t="n">
        <v>87.52245000000001</v>
      </c>
      <c r="O723" t="n">
        <v>56.01678</v>
      </c>
      <c r="P723" t="n">
        <v>58.48793</v>
      </c>
      <c r="Q723" t="n">
        <v>84.43562</v>
      </c>
      <c r="R723" t="n">
        <v>67.91915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74.36660000000001</v>
      </c>
      <c r="Y723" t="n">
        <v>76.68867</v>
      </c>
      <c r="Z723" t="n">
        <v>71.13297</v>
      </c>
      <c r="AA723" t="n">
        <v>51.5019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74.49079999999999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56.89909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98.80791000000001</v>
      </c>
      <c r="N724" t="n">
        <v>87.43162</v>
      </c>
      <c r="O724" t="n">
        <v>56.44234</v>
      </c>
      <c r="P724" t="n">
        <v>59.30288</v>
      </c>
      <c r="Q724" t="n">
        <v>84.49773</v>
      </c>
      <c r="R724" t="n">
        <v>68.38588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74.88769000000001</v>
      </c>
      <c r="Y724" t="n">
        <v>77.44821</v>
      </c>
      <c r="Z724" t="n">
        <v>72.53009</v>
      </c>
      <c r="AA724" t="n">
        <v>52.1363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74.98108999999999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57.35106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99.00873</v>
      </c>
      <c r="N725" t="n">
        <v>87.4229</v>
      </c>
      <c r="O725" t="n">
        <v>56.77438</v>
      </c>
      <c r="P725" t="n">
        <v>60.11048</v>
      </c>
      <c r="Q725" t="n">
        <v>84.7855</v>
      </c>
      <c r="R725" t="n">
        <v>68.61817000000001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75.40237</v>
      </c>
      <c r="Y725" t="n">
        <v>77.97736</v>
      </c>
      <c r="Z725" t="n">
        <v>73.42412</v>
      </c>
      <c r="AA725" t="n">
        <v>52.80592</v>
      </c>
      <c r="AB725" t="n">
        <v>80.99875</v>
      </c>
      <c r="AC725" t="n">
        <v>55.41262</v>
      </c>
      <c r="AD725" t="n">
        <v>74.75976</v>
      </c>
      <c r="AE725" t="n">
        <v>73.11787</v>
      </c>
    </row>
    <row r="726">
      <c r="A726" s="90" t="n">
        <v>40664</v>
      </c>
      <c r="B726" t="n">
        <v>75.37893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58.0785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99.09186</v>
      </c>
      <c r="N726" t="n">
        <v>87.86902000000001</v>
      </c>
      <c r="O726" t="n">
        <v>57.20158</v>
      </c>
      <c r="P726" t="n">
        <v>60.80894</v>
      </c>
      <c r="Q726" t="n">
        <v>85.16862</v>
      </c>
      <c r="R726" t="n">
        <v>69.33239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75.93731</v>
      </c>
      <c r="Y726" t="n">
        <v>78.37925</v>
      </c>
      <c r="Z726" t="n">
        <v>73.23405</v>
      </c>
      <c r="AA726" t="n">
        <v>53.30445</v>
      </c>
      <c r="AB726" t="n">
        <v>80.87933</v>
      </c>
      <c r="AC726" t="n">
        <v>56.44921</v>
      </c>
      <c r="AD726" t="n">
        <v>75.34589</v>
      </c>
      <c r="AE726" t="n">
        <v>73.22084</v>
      </c>
    </row>
    <row r="727">
      <c r="A727" s="90" t="n">
        <v>40695</v>
      </c>
      <c r="B727" t="n">
        <v>75.40134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59.29468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99.03118000000001</v>
      </c>
      <c r="N727" t="n">
        <v>88.04331000000001</v>
      </c>
      <c r="O727" t="n">
        <v>57.7276</v>
      </c>
      <c r="P727" t="n">
        <v>61.4224</v>
      </c>
      <c r="Q727" t="n">
        <v>85.61903</v>
      </c>
      <c r="R727" t="n">
        <v>70.00266000000001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76.4327</v>
      </c>
      <c r="Y727" t="n">
        <v>78.72409</v>
      </c>
      <c r="Z727" t="n">
        <v>73.48196</v>
      </c>
      <c r="AA727" t="n">
        <v>53.88754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75.53861999999999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59.78033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98.62658999999999</v>
      </c>
      <c r="N728" t="n">
        <v>88.71199</v>
      </c>
      <c r="O728" t="n">
        <v>58.60151</v>
      </c>
      <c r="P728" t="n">
        <v>62.20903</v>
      </c>
      <c r="Q728" t="n">
        <v>86.24661</v>
      </c>
      <c r="R728" t="n">
        <v>70.71271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77.27391</v>
      </c>
      <c r="Y728" t="n">
        <v>78.98833</v>
      </c>
      <c r="Z728" t="n">
        <v>73.92207000000001</v>
      </c>
      <c r="AA728" t="n">
        <v>54.55703</v>
      </c>
      <c r="AB728" t="n">
        <v>82.35326000000001</v>
      </c>
      <c r="AC728" t="n">
        <v>57.99232</v>
      </c>
      <c r="AD728" t="n">
        <v>77.34753000000001</v>
      </c>
      <c r="AE728" t="n">
        <v>74.13869</v>
      </c>
    </row>
    <row r="729">
      <c r="A729" s="90" t="n">
        <v>40756</v>
      </c>
      <c r="B729" t="n">
        <v>76.37352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60.89551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98.55522000000001</v>
      </c>
      <c r="N729" t="n">
        <v>89.49887</v>
      </c>
      <c r="O729" t="n">
        <v>59.96376</v>
      </c>
      <c r="P729" t="n">
        <v>63.00852</v>
      </c>
      <c r="Q729" t="n">
        <v>87.04745</v>
      </c>
      <c r="R729" t="n">
        <v>71.89011000000001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78.36405999999999</v>
      </c>
      <c r="Y729" t="n">
        <v>79.59209</v>
      </c>
      <c r="Z729" t="n">
        <v>74.76437</v>
      </c>
      <c r="AA729" t="n">
        <v>55.31834</v>
      </c>
      <c r="AB729" t="n">
        <v>83.02489</v>
      </c>
      <c r="AC729" t="n">
        <v>59.05373</v>
      </c>
      <c r="AD729" t="n">
        <v>78.93324</v>
      </c>
      <c r="AE729" t="n">
        <v>74.51711</v>
      </c>
    </row>
    <row r="730">
      <c r="A730" s="90" t="n">
        <v>40787</v>
      </c>
      <c r="B730" t="n">
        <v>77.24482999999999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62.1095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98.65071</v>
      </c>
      <c r="N730" t="n">
        <v>90.92117</v>
      </c>
      <c r="O730" t="n">
        <v>60.70778</v>
      </c>
      <c r="P730" t="n">
        <v>63.65287</v>
      </c>
      <c r="Q730" t="n">
        <v>87.82154</v>
      </c>
      <c r="R730" t="n">
        <v>73.19579</v>
      </c>
      <c r="S730" t="n">
        <v>90.38104</v>
      </c>
      <c r="T730" t="n">
        <v>75.00078000000001</v>
      </c>
      <c r="U730" t="n">
        <v>63.49236</v>
      </c>
      <c r="V730" t="n">
        <v>83.23323000000001</v>
      </c>
      <c r="W730" t="n">
        <v>73.47382</v>
      </c>
      <c r="X730" t="n">
        <v>78.81231</v>
      </c>
      <c r="Y730" t="n">
        <v>80.29523</v>
      </c>
      <c r="Z730" t="n">
        <v>76.12429</v>
      </c>
      <c r="AA730" t="n">
        <v>56.2256</v>
      </c>
      <c r="AB730" t="n">
        <v>84.50314</v>
      </c>
      <c r="AC730" t="n">
        <v>59.57923</v>
      </c>
      <c r="AD730" t="n">
        <v>79.10509</v>
      </c>
      <c r="AE730" t="n">
        <v>75.23278000000001</v>
      </c>
    </row>
    <row r="731">
      <c r="A731" s="90" t="n">
        <v>40817</v>
      </c>
      <c r="B731" t="n">
        <v>77.72392000000001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62.60848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98.04552</v>
      </c>
      <c r="N731" t="n">
        <v>92.36591</v>
      </c>
      <c r="O731" t="n">
        <v>61.28997</v>
      </c>
      <c r="P731" t="n">
        <v>64.26879</v>
      </c>
      <c r="Q731" t="n">
        <v>88.46034</v>
      </c>
      <c r="R731" t="n">
        <v>73.86292</v>
      </c>
      <c r="S731" t="n">
        <v>90.57961</v>
      </c>
      <c r="T731" t="n">
        <v>75.57868999999999</v>
      </c>
      <c r="U731" t="n">
        <v>64.12192</v>
      </c>
      <c r="V731" t="n">
        <v>84.11108</v>
      </c>
      <c r="W731" t="n">
        <v>74.19101999999999</v>
      </c>
      <c r="X731" t="n">
        <v>79.10849</v>
      </c>
      <c r="Y731" t="n">
        <v>80.4007</v>
      </c>
      <c r="Z731" t="n">
        <v>77.10892</v>
      </c>
      <c r="AA731" t="n">
        <v>57.69764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78.06573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63.65252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97.29416999999999</v>
      </c>
      <c r="N732" t="n">
        <v>92.58036</v>
      </c>
      <c r="O732" t="n">
        <v>62.23756</v>
      </c>
      <c r="P732" t="n">
        <v>64.91753</v>
      </c>
      <c r="Q732" t="n">
        <v>89.09663999999999</v>
      </c>
      <c r="R732" t="n">
        <v>74.11888999999999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79.47588</v>
      </c>
      <c r="Y732" t="n">
        <v>80.42569</v>
      </c>
      <c r="Z732" t="n">
        <v>78.11331</v>
      </c>
      <c r="AA732" t="n">
        <v>59.65392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64.87814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96.45797</v>
      </c>
      <c r="N733" t="n">
        <v>92.18434000000001</v>
      </c>
      <c r="O733" t="n">
        <v>63.49059</v>
      </c>
      <c r="P733" t="n">
        <v>66.11778</v>
      </c>
      <c r="Q733" t="n">
        <v>89.76569000000001</v>
      </c>
      <c r="R733" t="n">
        <v>75.04235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79.86842</v>
      </c>
      <c r="Y733" t="n">
        <v>80.64819</v>
      </c>
      <c r="Z733" t="n">
        <v>79.38422</v>
      </c>
      <c r="AA733" t="n">
        <v>60.35054</v>
      </c>
      <c r="AB733" t="n">
        <v>85.87872</v>
      </c>
      <c r="AC733" t="n">
        <v>59.89473</v>
      </c>
      <c r="AD733" t="n">
        <v>80.19929999999999</v>
      </c>
      <c r="AE733" t="n">
        <v>78.47779</v>
      </c>
    </row>
    <row r="734">
      <c r="A734" s="90" t="n">
        <v>40909</v>
      </c>
      <c r="B734" t="n">
        <v>79.09954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65.63571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96.28874</v>
      </c>
      <c r="N734" t="n">
        <v>90.45865000000001</v>
      </c>
      <c r="O734" t="n">
        <v>64.91365999999999</v>
      </c>
      <c r="P734" t="n">
        <v>66.79622999999999</v>
      </c>
      <c r="Q734" t="n">
        <v>90.31177</v>
      </c>
      <c r="R734" t="n">
        <v>75.97423000000001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80.40525</v>
      </c>
      <c r="Y734" t="n">
        <v>80.89533</v>
      </c>
      <c r="Z734" t="n">
        <v>80.27134</v>
      </c>
      <c r="AA734" t="n">
        <v>60.70104</v>
      </c>
      <c r="AB734" t="n">
        <v>87.25421</v>
      </c>
      <c r="AC734" t="n">
        <v>59.84365</v>
      </c>
      <c r="AD734" t="n">
        <v>80.80701999999999</v>
      </c>
      <c r="AE734" t="n">
        <v>78.91289999999999</v>
      </c>
    </row>
    <row r="735">
      <c r="A735" s="90" t="n">
        <v>40940</v>
      </c>
      <c r="B735" t="n">
        <v>79.58984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66.27951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96.25315000000001</v>
      </c>
      <c r="N735" t="n">
        <v>88.76461999999999</v>
      </c>
      <c r="O735" t="n">
        <v>65.89452</v>
      </c>
      <c r="P735" t="n">
        <v>66.89743</v>
      </c>
      <c r="Q735" t="n">
        <v>90.6636</v>
      </c>
      <c r="R735" t="n">
        <v>76.5086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80.78522</v>
      </c>
      <c r="Y735" t="n">
        <v>81.05589000000001</v>
      </c>
      <c r="Z735" t="n">
        <v>80.51809</v>
      </c>
      <c r="AA735" t="n">
        <v>61.55015</v>
      </c>
      <c r="AB735" t="n">
        <v>88.35012999999999</v>
      </c>
      <c r="AC735" t="n">
        <v>59.86065</v>
      </c>
      <c r="AD735" t="n">
        <v>81.24205000000001</v>
      </c>
      <c r="AE735" t="n">
        <v>78.76202000000001</v>
      </c>
    </row>
    <row r="736">
      <c r="A736" s="90" t="n">
        <v>40969</v>
      </c>
      <c r="B736" t="n">
        <v>80.06332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66.96701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95.75491</v>
      </c>
      <c r="N736" t="n">
        <v>88.31879000000001</v>
      </c>
      <c r="O736" t="n">
        <v>66.83452</v>
      </c>
      <c r="P736" t="n">
        <v>67.42928000000001</v>
      </c>
      <c r="Q736" t="n">
        <v>90.82443000000001</v>
      </c>
      <c r="R736" t="n">
        <v>77.01121999999999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81.20016</v>
      </c>
      <c r="Y736" t="n">
        <v>81.15134999999999</v>
      </c>
      <c r="Z736" t="n">
        <v>80.39945</v>
      </c>
      <c r="AA736" t="n">
        <v>61.96619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80.48636999999999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67.6926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96.11624</v>
      </c>
      <c r="N737" t="n">
        <v>87.69044</v>
      </c>
      <c r="O737" t="n">
        <v>67.8466</v>
      </c>
      <c r="P737" t="n">
        <v>68.09089</v>
      </c>
      <c r="Q737" t="n">
        <v>88.87139999999999</v>
      </c>
      <c r="R737" t="n">
        <v>77.37174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81.6767</v>
      </c>
      <c r="Y737" t="n">
        <v>81.58365000000001</v>
      </c>
      <c r="Z737" t="n">
        <v>80.51199</v>
      </c>
      <c r="AA737" t="n">
        <v>62.65504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81.15597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68.55362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96.58475</v>
      </c>
      <c r="N738" t="n">
        <v>87.6641</v>
      </c>
      <c r="O738" t="n">
        <v>68.89955999999999</v>
      </c>
      <c r="P738" t="n">
        <v>68.91785</v>
      </c>
      <c r="Q738" t="n">
        <v>86.73504</v>
      </c>
      <c r="R738" t="n">
        <v>77.79685000000001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82.06493</v>
      </c>
      <c r="Y738" t="n">
        <v>82.01137</v>
      </c>
      <c r="Z738" t="n">
        <v>81.05106000000001</v>
      </c>
      <c r="AA738" t="n">
        <v>63.50192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81.88721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69.0397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96.60033</v>
      </c>
      <c r="N739" t="n">
        <v>88.17944</v>
      </c>
      <c r="O739" t="n">
        <v>69.80886</v>
      </c>
      <c r="P739" t="n">
        <v>70.32758</v>
      </c>
      <c r="Q739" t="n">
        <v>86.40366</v>
      </c>
      <c r="R739" t="n">
        <v>78.61568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82.59515</v>
      </c>
      <c r="Y739" t="n">
        <v>82.37672999999999</v>
      </c>
      <c r="Z739" t="n">
        <v>81.63194</v>
      </c>
      <c r="AA739" t="n">
        <v>64.40268</v>
      </c>
      <c r="AB739" t="n">
        <v>87.53909</v>
      </c>
      <c r="AC739" t="n">
        <v>62.51052</v>
      </c>
      <c r="AD739" t="n">
        <v>83.01539</v>
      </c>
      <c r="AE739" t="n">
        <v>78.61405999999999</v>
      </c>
    </row>
    <row r="740">
      <c r="A740" s="90" t="n">
        <v>41091</v>
      </c>
      <c r="B740" t="n">
        <v>82.30185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69.11136999999999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96.70761</v>
      </c>
      <c r="N740" t="n">
        <v>87.88827999999999</v>
      </c>
      <c r="O740" t="n">
        <v>70.31336</v>
      </c>
      <c r="P740" t="n">
        <v>71.29208</v>
      </c>
      <c r="Q740" t="n">
        <v>85.98086000000001</v>
      </c>
      <c r="R740" t="n">
        <v>79.48882999999999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83.05238</v>
      </c>
      <c r="Y740" t="n">
        <v>82.69405</v>
      </c>
      <c r="Z740" t="n">
        <v>82.02043</v>
      </c>
      <c r="AA740" t="n">
        <v>65.32658000000001</v>
      </c>
      <c r="AB740" t="n">
        <v>87.2321</v>
      </c>
      <c r="AC740" t="n">
        <v>62.95073</v>
      </c>
      <c r="AD740" t="n">
        <v>83.45125</v>
      </c>
      <c r="AE740" t="n">
        <v>79.80647</v>
      </c>
    </row>
    <row r="741">
      <c r="A741" s="90" t="n">
        <v>41122</v>
      </c>
      <c r="B741" t="n">
        <v>82.79494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69.96516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96.8622</v>
      </c>
      <c r="N741" t="n">
        <v>87.85822</v>
      </c>
      <c r="O741" t="n">
        <v>71.00194999999999</v>
      </c>
      <c r="P741" t="n">
        <v>71.69177999999999</v>
      </c>
      <c r="Q741" t="n">
        <v>85.45679</v>
      </c>
      <c r="R741" t="n">
        <v>80.18832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83.51842000000001</v>
      </c>
      <c r="Y741" t="n">
        <v>83.02055</v>
      </c>
      <c r="Z741" t="n">
        <v>82.52744</v>
      </c>
      <c r="AA741" t="n">
        <v>65.85406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83.24881999999999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71.61624999999999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96.92513</v>
      </c>
      <c r="N742" t="n">
        <v>88.23393</v>
      </c>
      <c r="O742" t="n">
        <v>71.67303</v>
      </c>
      <c r="P742" t="n">
        <v>72.33672</v>
      </c>
      <c r="Q742" t="n">
        <v>85.01085</v>
      </c>
      <c r="R742" t="n">
        <v>80.47157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84.04301</v>
      </c>
      <c r="Y742" t="n">
        <v>83.47381</v>
      </c>
      <c r="Z742" t="n">
        <v>82.72402</v>
      </c>
      <c r="AA742" t="n">
        <v>66.24963</v>
      </c>
      <c r="AB742" t="n">
        <v>88.43702999999999</v>
      </c>
      <c r="AC742" t="n">
        <v>64.1832</v>
      </c>
      <c r="AD742" t="n">
        <v>84.68826</v>
      </c>
      <c r="AE742" t="n">
        <v>81.05913</v>
      </c>
    </row>
    <row r="743">
      <c r="A743" s="90" t="n">
        <v>41183</v>
      </c>
      <c r="B743" t="n">
        <v>83.60183000000001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72.84687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97.20050999999999</v>
      </c>
      <c r="N743" t="n">
        <v>88.83786000000001</v>
      </c>
      <c r="O743" t="n">
        <v>72.45862</v>
      </c>
      <c r="P743" t="n">
        <v>72.80526</v>
      </c>
      <c r="Q743" t="n">
        <v>84.74043</v>
      </c>
      <c r="R743" t="n">
        <v>80.46249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84.52256</v>
      </c>
      <c r="Y743" t="n">
        <v>83.91679000000001</v>
      </c>
      <c r="Z743" t="n">
        <v>83.04114</v>
      </c>
      <c r="AA743" t="n">
        <v>66.88023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83.92682000000001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73.38934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97.07255000000001</v>
      </c>
      <c r="N744" t="n">
        <v>88.84497</v>
      </c>
      <c r="O744" t="n">
        <v>73.42202</v>
      </c>
      <c r="P744" t="n">
        <v>73.48820000000001</v>
      </c>
      <c r="Q744" t="n">
        <v>84.57143000000001</v>
      </c>
      <c r="R744" t="n">
        <v>80.52276999999999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84.92805</v>
      </c>
      <c r="Y744" t="n">
        <v>84.04697</v>
      </c>
      <c r="Z744" t="n">
        <v>83.37549</v>
      </c>
      <c r="AA744" t="n">
        <v>67.79088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84.28824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74.64811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97.64328</v>
      </c>
      <c r="N745" t="n">
        <v>88.53176000000001</v>
      </c>
      <c r="O745" t="n">
        <v>73.95171000000001</v>
      </c>
      <c r="P745" t="n">
        <v>74.17709000000001</v>
      </c>
      <c r="Q745" t="n">
        <v>84.50312</v>
      </c>
      <c r="R745" t="n">
        <v>80.48447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85.64758999999999</v>
      </c>
      <c r="Y745" t="n">
        <v>84.41153</v>
      </c>
      <c r="Z745" t="n">
        <v>83.41615</v>
      </c>
      <c r="AA745" t="n">
        <v>68.25395</v>
      </c>
      <c r="AB745" t="n">
        <v>88.6028</v>
      </c>
      <c r="AC745" t="n">
        <v>66.17831</v>
      </c>
      <c r="AD745" t="n">
        <v>86.83768000000001</v>
      </c>
      <c r="AE745" t="n">
        <v>82.97806</v>
      </c>
    </row>
    <row r="746">
      <c r="A746" s="90" t="n">
        <v>41275</v>
      </c>
      <c r="B746" t="n">
        <v>84.82056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75.81914999999999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98.98896000000001</v>
      </c>
      <c r="N746" t="n">
        <v>89.23278000000001</v>
      </c>
      <c r="O746" t="n">
        <v>74.59144999999999</v>
      </c>
      <c r="P746" t="n">
        <v>74.86604</v>
      </c>
      <c r="Q746" t="n">
        <v>84.52992999999999</v>
      </c>
      <c r="R746" t="n">
        <v>80.53119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86.04118</v>
      </c>
      <c r="Y746" t="n">
        <v>85.09743</v>
      </c>
      <c r="Z746" t="n">
        <v>83.88326000000001</v>
      </c>
      <c r="AA746" t="n">
        <v>68.77755000000001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85.19598000000001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76.3031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99.72546</v>
      </c>
      <c r="N747" t="n">
        <v>90.43487</v>
      </c>
      <c r="O747" t="n">
        <v>75.65025</v>
      </c>
      <c r="P747" t="n">
        <v>75.50530999999999</v>
      </c>
      <c r="Q747" t="n">
        <v>84.60297</v>
      </c>
      <c r="R747" t="n">
        <v>80.6687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86.31601999999999</v>
      </c>
      <c r="Y747" t="n">
        <v>85.57735</v>
      </c>
      <c r="Z747" t="n">
        <v>84.59865000000001</v>
      </c>
      <c r="AA747" t="n">
        <v>69.68268</v>
      </c>
      <c r="AB747" t="n">
        <v>89.14943</v>
      </c>
      <c r="AC747" t="n">
        <v>67.82664</v>
      </c>
      <c r="AD747" t="n">
        <v>87.02282</v>
      </c>
      <c r="AE747" t="n">
        <v>84.28361</v>
      </c>
    </row>
    <row r="748">
      <c r="A748" s="90" t="n">
        <v>41334</v>
      </c>
      <c r="B748" t="n">
        <v>85.58821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77.53688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99.95124</v>
      </c>
      <c r="N748" t="n">
        <v>92.11964</v>
      </c>
      <c r="O748" t="n">
        <v>76.57335</v>
      </c>
      <c r="P748" t="n">
        <v>76.46850000000001</v>
      </c>
      <c r="Q748" t="n">
        <v>84.74718</v>
      </c>
      <c r="R748" t="n">
        <v>81.36982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86.86736000000001</v>
      </c>
      <c r="Y748" t="n">
        <v>86.06989</v>
      </c>
      <c r="Z748" t="n">
        <v>85.35046</v>
      </c>
      <c r="AA748" t="n">
        <v>70.74198</v>
      </c>
      <c r="AB748" t="n">
        <v>89.34601000000001</v>
      </c>
      <c r="AC748" t="n">
        <v>68.66079999999999</v>
      </c>
      <c r="AD748" t="n">
        <v>87.58736</v>
      </c>
      <c r="AE748" t="n">
        <v>84.48284</v>
      </c>
    </row>
    <row r="749">
      <c r="A749" s="90" t="n">
        <v>41365</v>
      </c>
      <c r="B749" t="n">
        <v>86.22978999999999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78.75237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100.1513</v>
      </c>
      <c r="N749" t="n">
        <v>92.97333999999999</v>
      </c>
      <c r="O749" t="n">
        <v>77.55507</v>
      </c>
      <c r="P749" t="n">
        <v>77.27903999999999</v>
      </c>
      <c r="Q749" t="n">
        <v>84.97607000000001</v>
      </c>
      <c r="R749" t="n">
        <v>82.60518999999999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87.30849000000001</v>
      </c>
      <c r="Y749" t="n">
        <v>86.57471</v>
      </c>
      <c r="Z749" t="n">
        <v>86.14792</v>
      </c>
      <c r="AA749" t="n">
        <v>72.38899000000001</v>
      </c>
      <c r="AB749" t="n">
        <v>89.46212</v>
      </c>
      <c r="AC749" t="n">
        <v>69.63083</v>
      </c>
      <c r="AD749" t="n">
        <v>87.88540999999999</v>
      </c>
      <c r="AE749" t="n">
        <v>84.79264000000001</v>
      </c>
    </row>
    <row r="750">
      <c r="A750" s="90" t="n">
        <v>41395</v>
      </c>
      <c r="B750" t="n">
        <v>87.00866000000001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79.65349999999999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100.6382</v>
      </c>
      <c r="N750" t="n">
        <v>92.59851</v>
      </c>
      <c r="O750" t="n">
        <v>78.809</v>
      </c>
      <c r="P750" t="n">
        <v>78.24915</v>
      </c>
      <c r="Q750" t="n">
        <v>85.24466</v>
      </c>
      <c r="R750" t="n">
        <v>83.56563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87.74827000000001</v>
      </c>
      <c r="Y750" t="n">
        <v>87.17317</v>
      </c>
      <c r="Z750" t="n">
        <v>86.69123</v>
      </c>
      <c r="AA750" t="n">
        <v>73.88741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87.47373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80.8185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101.1926</v>
      </c>
      <c r="N751" t="n">
        <v>92.32239</v>
      </c>
      <c r="O751" t="n">
        <v>78.87822</v>
      </c>
      <c r="P751" t="n">
        <v>79.79736</v>
      </c>
      <c r="Q751" t="n">
        <v>85.53988</v>
      </c>
      <c r="R751" t="n">
        <v>84.08512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88.24764</v>
      </c>
      <c r="Y751" t="n">
        <v>87.94136</v>
      </c>
      <c r="Z751" t="n">
        <v>87.16758</v>
      </c>
      <c r="AA751" t="n">
        <v>74.74181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87.60822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81.94363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101.5301</v>
      </c>
      <c r="N752" t="n">
        <v>91.85641</v>
      </c>
      <c r="O752" t="n">
        <v>79.54201</v>
      </c>
      <c r="P752" t="n">
        <v>80.4289</v>
      </c>
      <c r="Q752" t="n">
        <v>85.92254</v>
      </c>
      <c r="R752" t="n">
        <v>84.39591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88.64059</v>
      </c>
      <c r="Y752" t="n">
        <v>88.65054000000001</v>
      </c>
      <c r="Z752" t="n">
        <v>87.53129</v>
      </c>
      <c r="AA752" t="n">
        <v>75.99256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87.76791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82.76693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101.8452</v>
      </c>
      <c r="N753" t="n">
        <v>91.54883</v>
      </c>
      <c r="O753" t="n">
        <v>80.85387</v>
      </c>
      <c r="P753" t="n">
        <v>80.67558</v>
      </c>
      <c r="Q753" t="n">
        <v>86.41982</v>
      </c>
      <c r="R753" t="n">
        <v>84.90143999999999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89.16949</v>
      </c>
      <c r="Y753" t="n">
        <v>89.29234</v>
      </c>
      <c r="Z753" t="n">
        <v>87.72041</v>
      </c>
      <c r="AA753" t="n">
        <v>77.48130999999999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88.12092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83.45555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101.5692</v>
      </c>
      <c r="N754" t="n">
        <v>91.47638999999999</v>
      </c>
      <c r="O754" t="n">
        <v>81.60601</v>
      </c>
      <c r="P754" t="n">
        <v>81.55840999999999</v>
      </c>
      <c r="Q754" t="n">
        <v>86.92628000000001</v>
      </c>
      <c r="R754" t="n">
        <v>85.58956000000001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89.64792</v>
      </c>
      <c r="Y754" t="n">
        <v>89.75631</v>
      </c>
      <c r="Z754" t="n">
        <v>87.77283</v>
      </c>
      <c r="AA754" t="n">
        <v>78.34347</v>
      </c>
      <c r="AB754" t="n">
        <v>90.36704</v>
      </c>
      <c r="AC754" t="n">
        <v>76.37061</v>
      </c>
      <c r="AD754" t="n">
        <v>90.00577</v>
      </c>
      <c r="AE754" t="n">
        <v>86.73909</v>
      </c>
    </row>
    <row r="755">
      <c r="A755" s="90" t="n">
        <v>41548</v>
      </c>
      <c r="B755" t="n">
        <v>88.7597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84.3373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101.1743</v>
      </c>
      <c r="N755" t="n">
        <v>91.68343</v>
      </c>
      <c r="O755" t="n">
        <v>82.41486999999999</v>
      </c>
      <c r="P755" t="n">
        <v>82.46393</v>
      </c>
      <c r="Q755" t="n">
        <v>87.39869</v>
      </c>
      <c r="R755" t="n">
        <v>86.15085000000001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90.35173</v>
      </c>
      <c r="Y755" t="n">
        <v>90.15034</v>
      </c>
      <c r="Z755" t="n">
        <v>87.96783000000001</v>
      </c>
      <c r="AA755" t="n">
        <v>78.79528000000001</v>
      </c>
      <c r="AB755" t="n">
        <v>90.55736</v>
      </c>
      <c r="AC755" t="n">
        <v>77.3801</v>
      </c>
      <c r="AD755" t="n">
        <v>90.96384</v>
      </c>
      <c r="AE755" t="n">
        <v>87.15344</v>
      </c>
    </row>
    <row r="756">
      <c r="A756" s="90" t="n">
        <v>41579</v>
      </c>
      <c r="B756" t="n">
        <v>89.36485999999999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85.36400999999999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101.2044</v>
      </c>
      <c r="N756" t="n">
        <v>92.00784</v>
      </c>
      <c r="O756" t="n">
        <v>82.90501999999999</v>
      </c>
      <c r="P756" t="n">
        <v>83.69793</v>
      </c>
      <c r="Q756" t="n">
        <v>87.86087999999999</v>
      </c>
      <c r="R756" t="n">
        <v>86.61982999999999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90.69365000000001</v>
      </c>
      <c r="Y756" t="n">
        <v>90.65517</v>
      </c>
      <c r="Z756" t="n">
        <v>88.1614</v>
      </c>
      <c r="AA756" t="n">
        <v>79.08441999999999</v>
      </c>
      <c r="AB756" t="n">
        <v>91.33378</v>
      </c>
      <c r="AC756" t="n">
        <v>78.54979</v>
      </c>
      <c r="AD756" t="n">
        <v>91.06595</v>
      </c>
      <c r="AE756" t="n">
        <v>87.55589000000001</v>
      </c>
    </row>
    <row r="757">
      <c r="A757" s="90" t="n">
        <v>41609</v>
      </c>
      <c r="B757" t="n">
        <v>90.03446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85.91258000000001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100.649</v>
      </c>
      <c r="N757" t="n">
        <v>92.75444</v>
      </c>
      <c r="O757" t="n">
        <v>83.56206</v>
      </c>
      <c r="P757" t="n">
        <v>84.97423999999999</v>
      </c>
      <c r="Q757" t="n">
        <v>88.25217000000001</v>
      </c>
      <c r="R757" t="n">
        <v>87.20406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91.18462</v>
      </c>
      <c r="Y757" t="n">
        <v>91.08526000000001</v>
      </c>
      <c r="Z757" t="n">
        <v>88.4218</v>
      </c>
      <c r="AA757" t="n">
        <v>79.63692</v>
      </c>
      <c r="AB757" t="n">
        <v>91.93442</v>
      </c>
      <c r="AC757" t="n">
        <v>79.92269</v>
      </c>
      <c r="AD757" t="n">
        <v>91.56242</v>
      </c>
      <c r="AE757" t="n">
        <v>88.00694</v>
      </c>
    </row>
    <row r="758">
      <c r="A758" s="90" t="n">
        <v>41640</v>
      </c>
      <c r="B758" t="n">
        <v>90.66203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86.69989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100.7149</v>
      </c>
      <c r="N758" t="n">
        <v>93.41896</v>
      </c>
      <c r="O758" t="n">
        <v>83.96827999999999</v>
      </c>
      <c r="P758" t="n">
        <v>85.74196999999999</v>
      </c>
      <c r="Q758" t="n">
        <v>88.58984</v>
      </c>
      <c r="R758" t="n">
        <v>87.86427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91.65201999999999</v>
      </c>
      <c r="Y758" t="n">
        <v>91.70037000000001</v>
      </c>
      <c r="Z758" t="n">
        <v>88.78416</v>
      </c>
      <c r="AA758" t="n">
        <v>80.29106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91.17474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88.03946999999999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101.812</v>
      </c>
      <c r="N759" t="n">
        <v>93.77381</v>
      </c>
      <c r="O759" t="n">
        <v>84.23650000000001</v>
      </c>
      <c r="P759" t="n">
        <v>86.46075</v>
      </c>
      <c r="Q759" t="n">
        <v>88.95541</v>
      </c>
      <c r="R759" t="n">
        <v>88.45872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92.23900999999999</v>
      </c>
      <c r="Y759" t="n">
        <v>92.42582</v>
      </c>
      <c r="Z759" t="n">
        <v>89.10265</v>
      </c>
      <c r="AA759" t="n">
        <v>81.42104999999999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91.58659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88.89754000000001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101.3114</v>
      </c>
      <c r="N760" t="n">
        <v>94.02943999999999</v>
      </c>
      <c r="O760" t="n">
        <v>84.51299</v>
      </c>
      <c r="P760" t="n">
        <v>86.9819</v>
      </c>
      <c r="Q760" t="n">
        <v>89.31674</v>
      </c>
      <c r="R760" t="n">
        <v>89.31142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92.56950999999999</v>
      </c>
      <c r="Y760" t="n">
        <v>92.50453</v>
      </c>
      <c r="Z760" t="n">
        <v>89.83784</v>
      </c>
      <c r="AA760" t="n">
        <v>83.07328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92.06287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89.36762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100.2768</v>
      </c>
      <c r="N761" t="n">
        <v>94.73480000000001</v>
      </c>
      <c r="O761" t="n">
        <v>85.53346999999999</v>
      </c>
      <c r="P761" t="n">
        <v>87.79392</v>
      </c>
      <c r="Q761" t="n">
        <v>89.7916</v>
      </c>
      <c r="R761" t="n">
        <v>90.16106000000001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92.91018</v>
      </c>
      <c r="Y761" t="n">
        <v>92.49516</v>
      </c>
      <c r="Z761" t="n">
        <v>90.71773</v>
      </c>
      <c r="AA761" t="n">
        <v>83.62085999999999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92.74088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89.88418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100.1123</v>
      </c>
      <c r="N762" t="n">
        <v>95.34177</v>
      </c>
      <c r="O762" t="n">
        <v>87.01186</v>
      </c>
      <c r="P762" t="n">
        <v>88.67983</v>
      </c>
      <c r="Q762" t="n">
        <v>90.50658</v>
      </c>
      <c r="R762" t="n">
        <v>90.89671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93.35872999999999</v>
      </c>
      <c r="Y762" t="n">
        <v>92.65826</v>
      </c>
      <c r="Z762" t="n">
        <v>91.31384</v>
      </c>
      <c r="AA762" t="n">
        <v>83.82438999999999</v>
      </c>
      <c r="AB762" t="n">
        <v>93.25601</v>
      </c>
      <c r="AC762" t="n">
        <v>83.08673</v>
      </c>
      <c r="AD762" t="n">
        <v>94.03230000000001</v>
      </c>
      <c r="AE762" t="n">
        <v>91.66691</v>
      </c>
    </row>
    <row r="763">
      <c r="A763" s="90" t="n">
        <v>41791</v>
      </c>
      <c r="B763" t="n">
        <v>93.30681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90.43714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99.88536999999999</v>
      </c>
      <c r="N763" t="n">
        <v>95.18747</v>
      </c>
      <c r="O763" t="n">
        <v>87.99495</v>
      </c>
      <c r="P763" t="n">
        <v>89.3116</v>
      </c>
      <c r="Q763" t="n">
        <v>91.22573</v>
      </c>
      <c r="R763" t="n">
        <v>91.74933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93.8009</v>
      </c>
      <c r="Y763" t="n">
        <v>92.88070999999999</v>
      </c>
      <c r="Z763" t="n">
        <v>91.75373</v>
      </c>
      <c r="AA763" t="n">
        <v>84.28254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93.84473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91.17484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99.64821999999999</v>
      </c>
      <c r="N764" t="n">
        <v>95.63011</v>
      </c>
      <c r="O764" t="n">
        <v>88.94174</v>
      </c>
      <c r="P764" t="n">
        <v>90.13514000000001</v>
      </c>
      <c r="Q764" t="n">
        <v>91.77403</v>
      </c>
      <c r="R764" t="n">
        <v>91.96968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94.33309</v>
      </c>
      <c r="Y764" t="n">
        <v>93.40385000000001</v>
      </c>
      <c r="Z764" t="n">
        <v>92.41628</v>
      </c>
      <c r="AA764" t="n">
        <v>84.09036</v>
      </c>
      <c r="AB764" t="n">
        <v>94.44925000000001</v>
      </c>
      <c r="AC764" t="n">
        <v>85.24516</v>
      </c>
      <c r="AD764" t="n">
        <v>94.97542</v>
      </c>
      <c r="AE764" t="n">
        <v>92.39758</v>
      </c>
    </row>
    <row r="765">
      <c r="A765" s="90" t="n">
        <v>41852</v>
      </c>
      <c r="B765" t="n">
        <v>94.53394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91.80049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99.83566</v>
      </c>
      <c r="N765" t="n">
        <v>96.50857999999999</v>
      </c>
      <c r="O765" t="n">
        <v>89.61060000000001</v>
      </c>
      <c r="P765" t="n">
        <v>91.09347</v>
      </c>
      <c r="Q765" t="n">
        <v>92.29244</v>
      </c>
      <c r="R765" t="n">
        <v>92.76078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94.76163</v>
      </c>
      <c r="Y765" t="n">
        <v>94.05159999999999</v>
      </c>
      <c r="Z765" t="n">
        <v>93.61959</v>
      </c>
      <c r="AA765" t="n">
        <v>84.33853000000001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95.25117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92.10119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100.0713</v>
      </c>
      <c r="N766" t="n">
        <v>96.81950000000001</v>
      </c>
      <c r="O766" t="n">
        <v>90.8656</v>
      </c>
      <c r="P766" t="n">
        <v>91.92004</v>
      </c>
      <c r="Q766" t="n">
        <v>92.96449</v>
      </c>
      <c r="R766" t="n">
        <v>94.10608999999999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95.16351</v>
      </c>
      <c r="Y766" t="n">
        <v>94.71031000000001</v>
      </c>
      <c r="Z766" t="n">
        <v>94.53576</v>
      </c>
      <c r="AA766" t="n">
        <v>85.20918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95.77227999999999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92.73246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99.71186</v>
      </c>
      <c r="N767" t="n">
        <v>96.74843</v>
      </c>
      <c r="O767" t="n">
        <v>92.44128000000001</v>
      </c>
      <c r="P767" t="n">
        <v>92.89429</v>
      </c>
      <c r="Q767" t="n">
        <v>93.79935</v>
      </c>
      <c r="R767" t="n">
        <v>94.66032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95.62586</v>
      </c>
      <c r="Y767" t="n">
        <v>94.95392</v>
      </c>
      <c r="Z767" t="n">
        <v>94.79667999999999</v>
      </c>
      <c r="AA767" t="n">
        <v>86.37624</v>
      </c>
      <c r="AB767" t="n">
        <v>95.29895999999999</v>
      </c>
      <c r="AC767" t="n">
        <v>88.27893</v>
      </c>
      <c r="AD767" t="n">
        <v>96.00073</v>
      </c>
      <c r="AE767" t="n">
        <v>94.0433</v>
      </c>
    </row>
    <row r="768">
      <c r="A768" s="90" t="n">
        <v>41944</v>
      </c>
      <c r="B768" t="n">
        <v>96.07486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93.46333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99.54075</v>
      </c>
      <c r="N768" t="n">
        <v>96.7384</v>
      </c>
      <c r="O768" t="n">
        <v>93.3813</v>
      </c>
      <c r="P768" t="n">
        <v>93.98775999999999</v>
      </c>
      <c r="Q768" t="n">
        <v>94.69482000000001</v>
      </c>
      <c r="R768" t="n">
        <v>96.02658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96.08902</v>
      </c>
      <c r="Y768" t="n">
        <v>95.20525000000001</v>
      </c>
      <c r="Z768" t="n">
        <v>95.20764</v>
      </c>
      <c r="AA768" t="n">
        <v>88.1658</v>
      </c>
      <c r="AB768" t="n">
        <v>95.42379</v>
      </c>
      <c r="AC768" t="n">
        <v>88.52528</v>
      </c>
      <c r="AD768" t="n">
        <v>96.34361</v>
      </c>
      <c r="AE768" t="n">
        <v>94.71071999999999</v>
      </c>
    </row>
    <row r="769">
      <c r="A769" s="90" t="n">
        <v>41974</v>
      </c>
      <c r="B769" t="n">
        <v>96.59877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94.00703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99.73609999999999</v>
      </c>
      <c r="N769" t="n">
        <v>97.38933</v>
      </c>
      <c r="O769" t="n">
        <v>93.97318</v>
      </c>
      <c r="P769" t="n">
        <v>94.74309</v>
      </c>
      <c r="Q769" t="n">
        <v>95.63424000000001</v>
      </c>
      <c r="R769" t="n">
        <v>97.65683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96.69880000000001</v>
      </c>
      <c r="Y769" t="n">
        <v>95.85401</v>
      </c>
      <c r="Z769" t="n">
        <v>95.75127999999999</v>
      </c>
      <c r="AA769" t="n">
        <v>90.17462</v>
      </c>
      <c r="AB769" t="n">
        <v>95.86845</v>
      </c>
      <c r="AC769" t="n">
        <v>89.59627999999999</v>
      </c>
      <c r="AD769" t="n">
        <v>96.98121</v>
      </c>
      <c r="AE769" t="n">
        <v>94.84644</v>
      </c>
    </row>
    <row r="770">
      <c r="A770" s="90" t="n">
        <v>42005</v>
      </c>
      <c r="B770" t="n">
        <v>97.11987999999999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94.82867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99.60046</v>
      </c>
      <c r="N770" t="n">
        <v>98.40000999999999</v>
      </c>
      <c r="O770" t="n">
        <v>95.19379000000001</v>
      </c>
      <c r="P770" t="n">
        <v>95.43456</v>
      </c>
      <c r="Q770" t="n">
        <v>96.66092999999999</v>
      </c>
      <c r="R770" t="n">
        <v>98.4704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97.23241</v>
      </c>
      <c r="Y770" t="n">
        <v>96.41607</v>
      </c>
      <c r="Z770" t="n">
        <v>96.21702000000001</v>
      </c>
      <c r="AA770" t="n">
        <v>91.95466999999999</v>
      </c>
      <c r="AB770" t="n">
        <v>95.83710000000001</v>
      </c>
      <c r="AC770" t="n">
        <v>90.92272</v>
      </c>
      <c r="AD770" t="n">
        <v>97.51006</v>
      </c>
      <c r="AE770" t="n">
        <v>94.99808</v>
      </c>
    </row>
    <row r="771">
      <c r="A771" s="90" t="n">
        <v>42036</v>
      </c>
      <c r="B771" t="n">
        <v>97.8175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95.85168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99.23161</v>
      </c>
      <c r="N771" t="n">
        <v>98.86263</v>
      </c>
      <c r="O771" t="n">
        <v>97.14249</v>
      </c>
      <c r="P771" t="n">
        <v>96.15666</v>
      </c>
      <c r="Q771" t="n">
        <v>97.73345999999999</v>
      </c>
      <c r="R771" t="n">
        <v>99.07762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97.98634</v>
      </c>
      <c r="Y771" t="n">
        <v>96.99155</v>
      </c>
      <c r="Z771" t="n">
        <v>96.776</v>
      </c>
      <c r="AA771" t="n">
        <v>96.46416000000001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98.4871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96.70621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99.61322</v>
      </c>
      <c r="N772" t="n">
        <v>98.72136</v>
      </c>
      <c r="O772" t="n">
        <v>98.16839</v>
      </c>
      <c r="P772" t="n">
        <v>97.02437999999999</v>
      </c>
      <c r="Q772" t="n">
        <v>98.74702000000001</v>
      </c>
      <c r="R772" t="n">
        <v>99.3265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98.37421999999999</v>
      </c>
      <c r="Y772" t="n">
        <v>97.90343</v>
      </c>
      <c r="Z772" t="n">
        <v>97.69101999999999</v>
      </c>
      <c r="AA772" t="n">
        <v>98.93912</v>
      </c>
      <c r="AB772" t="n">
        <v>97.48978</v>
      </c>
      <c r="AC772" t="n">
        <v>94.89382999999999</v>
      </c>
      <c r="AD772" t="n">
        <v>98.62586</v>
      </c>
      <c r="AE772" t="n">
        <v>96.98455</v>
      </c>
    </row>
    <row r="773">
      <c r="A773" s="90" t="n">
        <v>42095</v>
      </c>
      <c r="B773" t="n">
        <v>98.87653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97.20981999999999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100.1352</v>
      </c>
      <c r="N773" t="n">
        <v>98.68939</v>
      </c>
      <c r="O773" t="n">
        <v>98.78548000000001</v>
      </c>
      <c r="P773" t="n">
        <v>97.81892999999999</v>
      </c>
      <c r="Q773" t="n">
        <v>99.59853</v>
      </c>
      <c r="R773" t="n">
        <v>99.49968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98.85593</v>
      </c>
      <c r="Y773" t="n">
        <v>98.69708</v>
      </c>
      <c r="Z773" t="n">
        <v>97.88842</v>
      </c>
      <c r="AA773" t="n">
        <v>97.54336000000001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99.25194999999999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98.25533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100.0844</v>
      </c>
      <c r="N774" t="n">
        <v>99.47689</v>
      </c>
      <c r="O774" t="n">
        <v>99.23581</v>
      </c>
      <c r="P774" t="n">
        <v>98.57868000000001</v>
      </c>
      <c r="Q774" t="n">
        <v>100.3195</v>
      </c>
      <c r="R774" t="n">
        <v>99.47964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99.30855</v>
      </c>
      <c r="Y774" t="n">
        <v>99.23372999999999</v>
      </c>
      <c r="Z774" t="n">
        <v>97.9697</v>
      </c>
      <c r="AA774" t="n">
        <v>96.97112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99.57695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99.49272999999999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99.7222</v>
      </c>
      <c r="N775" t="n">
        <v>99.46401</v>
      </c>
      <c r="O775" t="n">
        <v>99.48523</v>
      </c>
      <c r="P775" t="n">
        <v>99.84487</v>
      </c>
      <c r="Q775" t="n">
        <v>100.9733</v>
      </c>
      <c r="R775" t="n">
        <v>99.28010999999999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99.68559999999999</v>
      </c>
      <c r="Y775" t="n">
        <v>99.5703</v>
      </c>
      <c r="Z775" t="n">
        <v>98.96714</v>
      </c>
      <c r="AA775" t="n">
        <v>96.68375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100.2269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100.2359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99.79534</v>
      </c>
      <c r="N776" t="n">
        <v>99.03955999999999</v>
      </c>
      <c r="O776" t="n">
        <v>100.1818</v>
      </c>
      <c r="P776" t="n">
        <v>100.6861</v>
      </c>
      <c r="Q776" t="n">
        <v>101.4503</v>
      </c>
      <c r="R776" t="n">
        <v>99.16283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100.2235</v>
      </c>
      <c r="Y776" t="n">
        <v>100.2167</v>
      </c>
      <c r="Z776" t="n">
        <v>100.0967</v>
      </c>
      <c r="AA776" t="n">
        <v>97.73466000000001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100.7228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101.4139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100.2533</v>
      </c>
      <c r="N777" t="n">
        <v>99.5822</v>
      </c>
      <c r="O777" t="n">
        <v>101.1357</v>
      </c>
      <c r="P777" t="n">
        <v>101.3252</v>
      </c>
      <c r="Q777" t="n">
        <v>101.6116</v>
      </c>
      <c r="R777" t="n">
        <v>99.36797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100.8234</v>
      </c>
      <c r="Y777" t="n">
        <v>101.1215</v>
      </c>
      <c r="Z777" t="n">
        <v>101.0039</v>
      </c>
      <c r="AA777" t="n">
        <v>99.67039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101.1823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102.7163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100.2478</v>
      </c>
      <c r="N778" t="n">
        <v>100.3441</v>
      </c>
      <c r="O778" t="n">
        <v>102.5197</v>
      </c>
      <c r="P778" t="n">
        <v>102.1573</v>
      </c>
      <c r="Q778" t="n">
        <v>101.4107</v>
      </c>
      <c r="R778" t="n">
        <v>100.351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101.3033</v>
      </c>
      <c r="Y778" t="n">
        <v>101.9015</v>
      </c>
      <c r="Z778" t="n">
        <v>101.9448</v>
      </c>
      <c r="AA778" t="n">
        <v>103.0981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101.7202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103.7846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100.2546</v>
      </c>
      <c r="N779" t="n">
        <v>101.1406</v>
      </c>
      <c r="O779" t="n">
        <v>102.9776</v>
      </c>
      <c r="P779" t="n">
        <v>102.7561</v>
      </c>
      <c r="Q779" t="n">
        <v>100.9895</v>
      </c>
      <c r="R779" t="n">
        <v>101.5864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101.6175</v>
      </c>
      <c r="Y779" t="n">
        <v>102.4316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102.2581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104.4677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100.2966</v>
      </c>
      <c r="N780" t="n">
        <v>102.4865</v>
      </c>
      <c r="O780" t="n">
        <v>102.5325</v>
      </c>
      <c r="P780" t="n">
        <v>103.5811</v>
      </c>
      <c r="Q780" t="n">
        <v>100.5141</v>
      </c>
      <c r="R780" t="n">
        <v>102.1368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102.0904</v>
      </c>
      <c r="Y780" t="n">
        <v>102.6096</v>
      </c>
      <c r="Z780" t="n">
        <v>103.9069</v>
      </c>
      <c r="AA780" t="n">
        <v>107.1174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102.7596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105.0372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100.7652</v>
      </c>
      <c r="N781" t="n">
        <v>103.7927</v>
      </c>
      <c r="O781" t="n">
        <v>102.6416</v>
      </c>
      <c r="P781" t="n">
        <v>104.636</v>
      </c>
      <c r="Q781" t="n">
        <v>99.99091</v>
      </c>
      <c r="R781" t="n">
        <v>102.261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102.4988</v>
      </c>
      <c r="Y781" t="n">
        <v>102.907</v>
      </c>
      <c r="Z781" t="n">
        <v>104.5416</v>
      </c>
      <c r="AA781" t="n">
        <v>107.5525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103.1715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105.9405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101.6318</v>
      </c>
      <c r="N782" t="n">
        <v>104.0231</v>
      </c>
      <c r="O782" t="n">
        <v>103.3395</v>
      </c>
      <c r="P782" t="n">
        <v>105.6285</v>
      </c>
      <c r="Q782" t="n">
        <v>99.40437</v>
      </c>
      <c r="R782" t="n">
        <v>102.6162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103.2952</v>
      </c>
      <c r="Y782" t="n">
        <v>103.4639</v>
      </c>
      <c r="Z782" t="n">
        <v>105.4562</v>
      </c>
      <c r="AA782" t="n">
        <v>109.6475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103.6366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106.8062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102.4755</v>
      </c>
      <c r="N783" t="n">
        <v>103.4598</v>
      </c>
      <c r="O783" t="n">
        <v>104.4958</v>
      </c>
      <c r="P783" t="n">
        <v>106.6381</v>
      </c>
      <c r="Q783" t="n">
        <v>98.75668</v>
      </c>
      <c r="R783" t="n">
        <v>103.2191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103.8837</v>
      </c>
      <c r="Y783" t="n">
        <v>104.1933</v>
      </c>
      <c r="Z783" t="n">
        <v>106.5334</v>
      </c>
      <c r="AA783" t="n">
        <v>112.1267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104.1409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107.7435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103.165</v>
      </c>
      <c r="N784" t="n">
        <v>103.2264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104.3789</v>
      </c>
      <c r="Y784" t="n">
        <v>104.8456</v>
      </c>
      <c r="Z784" t="n">
        <v>107.019</v>
      </c>
      <c r="AA784" t="n">
        <v>113.3578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104.5835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108.7341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103.2246</v>
      </c>
      <c r="N785" t="n">
        <v>103.2057</v>
      </c>
      <c r="O785" t="n">
        <v>105.9369</v>
      </c>
      <c r="P785" t="n">
        <v>108.4104</v>
      </c>
      <c r="Q785" t="n">
        <v>97.29808</v>
      </c>
      <c r="R785" t="n">
        <v>103.6452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</v>
      </c>
      <c r="Y785" t="n">
        <v>105.3025</v>
      </c>
      <c r="Z785" t="n">
        <v>107.9957</v>
      </c>
      <c r="AA785" t="n">
        <v>113.4069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104.9197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109.4441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103.3681</v>
      </c>
      <c r="N786" t="n">
        <v>103.4151</v>
      </c>
      <c r="O786" t="n">
        <v>106.5111</v>
      </c>
      <c r="P786" t="n">
        <v>109.3104</v>
      </c>
      <c r="Q786" t="n">
        <v>96.46853</v>
      </c>
      <c r="R786" t="n">
        <v>104.7716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105.556</v>
      </c>
      <c r="Y786" t="n">
        <v>105.9591</v>
      </c>
      <c r="Z786" t="n">
        <v>109.3193</v>
      </c>
      <c r="AA786" t="n">
        <v>112.5963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105.3484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109.9095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105.3981</v>
      </c>
      <c r="N787" t="n">
        <v>103.9998</v>
      </c>
      <c r="O787" t="n">
        <v>107.4927</v>
      </c>
      <c r="P787" t="n">
        <v>109.3151</v>
      </c>
      <c r="Q787" t="n">
        <v>95.72318</v>
      </c>
      <c r="R787" t="n">
        <v>105.5821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</v>
      </c>
      <c r="Y787" t="n">
        <v>107.2835</v>
      </c>
      <c r="Z787" t="n">
        <v>110.3683</v>
      </c>
      <c r="AA787" t="n">
        <v>112.9613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106.0628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110.5178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107.7253</v>
      </c>
      <c r="N788" t="n">
        <v>104.2552</v>
      </c>
      <c r="O788" t="n">
        <v>108.5878</v>
      </c>
      <c r="P788" t="n">
        <v>110.2634</v>
      </c>
      <c r="Q788" t="n">
        <v>95.27303000000001</v>
      </c>
      <c r="R788" t="n">
        <v>106.3375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106.9465</v>
      </c>
      <c r="Y788" t="n">
        <v>108.6406</v>
      </c>
      <c r="Z788" t="n">
        <v>111.1972</v>
      </c>
      <c r="AA788" t="n">
        <v>113.1796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106.78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108.708</v>
      </c>
      <c r="N789" t="n">
        <v>104.2991</v>
      </c>
      <c r="O789" t="n">
        <v>109.1512</v>
      </c>
      <c r="P789" t="n">
        <v>111.6638</v>
      </c>
      <c r="Q789" t="n">
        <v>95.12656</v>
      </c>
      <c r="R789" t="n">
        <v>106.6381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107.576</v>
      </c>
      <c r="Y789" t="n">
        <v>109.3608</v>
      </c>
      <c r="Z789" t="n">
        <v>111.5546</v>
      </c>
      <c r="AA789" t="n">
        <v>113.1492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107.1302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111.815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109.5206</v>
      </c>
      <c r="N790" t="n">
        <v>104.6113</v>
      </c>
      <c r="O790" t="n">
        <v>109.0556</v>
      </c>
      <c r="P790" t="n">
        <v>112.9333</v>
      </c>
      <c r="Q790" t="n">
        <v>95.29783999999999</v>
      </c>
      <c r="R790" t="n">
        <v>106.6546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108.1407</v>
      </c>
      <c r="Y790" t="n">
        <v>109.9891</v>
      </c>
      <c r="Z790" t="n">
        <v>111.9094</v>
      </c>
      <c r="AA790" t="n">
        <v>113.2984</v>
      </c>
      <c r="AB790" t="n">
        <v>110.2269</v>
      </c>
      <c r="AC790" t="n">
        <v>114.335</v>
      </c>
      <c r="AD790" t="n">
        <v>108.2422</v>
      </c>
      <c r="AE790" t="n">
        <v>107.1649</v>
      </c>
    </row>
    <row r="791">
      <c r="A791" s="90" t="n">
        <v>42644</v>
      </c>
      <c r="B791" t="n">
        <v>107.6233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110.5432</v>
      </c>
      <c r="N791" t="n">
        <v>105.1948</v>
      </c>
      <c r="O791" t="n">
        <v>109.4764</v>
      </c>
      <c r="P791" t="n">
        <v>113.9786</v>
      </c>
      <c r="Q791" t="n">
        <v>95.74462</v>
      </c>
      <c r="R791" t="n">
        <v>107.1632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108.7649</v>
      </c>
      <c r="Y791" t="n">
        <v>110.9298</v>
      </c>
      <c r="Z791" t="n">
        <v>112.3453</v>
      </c>
      <c r="AA791" t="n">
        <v>112.9843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108.4498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112.4456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111.0758</v>
      </c>
      <c r="N792" t="n">
        <v>106.0164</v>
      </c>
      <c r="O792" t="n">
        <v>111.1805</v>
      </c>
      <c r="P792" t="n">
        <v>114.4473</v>
      </c>
      <c r="Q792" t="n">
        <v>96.19054</v>
      </c>
      <c r="R792" t="n">
        <v>107.7403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109.4133</v>
      </c>
      <c r="Y792" t="n">
        <v>112.1728</v>
      </c>
      <c r="Z792" t="n">
        <v>113.4661</v>
      </c>
      <c r="AA792" t="n">
        <v>112.9568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113.0159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111.1065</v>
      </c>
      <c r="N793" t="n">
        <v>109.0707</v>
      </c>
      <c r="O793" t="n">
        <v>112.6748</v>
      </c>
      <c r="P793" t="n">
        <v>113.1645</v>
      </c>
      <c r="Q793" t="n">
        <v>96.53201</v>
      </c>
      <c r="R793" t="n">
        <v>108.1604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109.9376</v>
      </c>
      <c r="Y793" t="n">
        <v>113.2891</v>
      </c>
      <c r="Z793" t="n">
        <v>114.5689</v>
      </c>
      <c r="AA793" t="n">
        <v>113.0701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110.3438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113.7806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111.5905</v>
      </c>
      <c r="N794" t="n">
        <v>111.0748</v>
      </c>
      <c r="O794" t="n">
        <v>113.6743</v>
      </c>
      <c r="P794" t="n">
        <v>112.252</v>
      </c>
      <c r="Q794" t="n">
        <v>96.86812999999999</v>
      </c>
      <c r="R794" t="n">
        <v>108.7164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110.5644</v>
      </c>
      <c r="Y794" t="n">
        <v>114.2817</v>
      </c>
      <c r="Z794" t="n">
        <v>114.9385</v>
      </c>
      <c r="AA794" t="n">
        <v>112.013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110.9713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114.4555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112.6519</v>
      </c>
      <c r="N795" t="n">
        <v>110.3185</v>
      </c>
      <c r="O795" t="n">
        <v>114.5266</v>
      </c>
      <c r="P795" t="n">
        <v>113.2879</v>
      </c>
      <c r="Q795" t="n">
        <v>97.20923000000001</v>
      </c>
      <c r="R795" t="n">
        <v>109.0606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111.1289</v>
      </c>
      <c r="Y795" t="n">
        <v>115.0766</v>
      </c>
      <c r="Z795" t="n">
        <v>115.3637</v>
      </c>
      <c r="AA795" t="n">
        <v>112.3524</v>
      </c>
      <c r="AB795" t="n">
        <v>115.7784</v>
      </c>
      <c r="AC795" t="n">
        <v>125.1601</v>
      </c>
      <c r="AD795" t="n">
        <v>110.8449</v>
      </c>
      <c r="AE795" t="n">
        <v>111.6519</v>
      </c>
    </row>
    <row r="796">
      <c r="A796" s="90" t="n">
        <v>42795</v>
      </c>
      <c r="B796" t="n">
        <v>111.3356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114.5038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113.9112</v>
      </c>
      <c r="N796" t="n">
        <v>110.604</v>
      </c>
      <c r="O796" t="n">
        <v>115.4727</v>
      </c>
      <c r="P796" t="n">
        <v>116.216</v>
      </c>
      <c r="Q796" t="n">
        <v>97.61906999999999</v>
      </c>
      <c r="R796" t="n">
        <v>109.1268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111.789</v>
      </c>
      <c r="Y796" t="n">
        <v>116.0554</v>
      </c>
      <c r="Z796" t="n">
        <v>115.5592</v>
      </c>
      <c r="AA796" t="n">
        <v>113.886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111.9519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115.3807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114.7704</v>
      </c>
      <c r="N797" t="n">
        <v>111.551</v>
      </c>
      <c r="O797" t="n">
        <v>116.4062</v>
      </c>
      <c r="P797" t="n">
        <v>117.1298</v>
      </c>
      <c r="Q797" t="n">
        <v>98.13142000000001</v>
      </c>
      <c r="R797" t="n">
        <v>109.2518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112.4774</v>
      </c>
      <c r="Y797" t="n">
        <v>117.3035</v>
      </c>
      <c r="Z797" t="n">
        <v>115.8415</v>
      </c>
      <c r="AA797" t="n">
        <v>114.1496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112.6916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116.0335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115.0339</v>
      </c>
      <c r="N798" t="n">
        <v>112.3296</v>
      </c>
      <c r="O798" t="n">
        <v>117.6562</v>
      </c>
      <c r="P798" t="n">
        <v>116.5616</v>
      </c>
      <c r="Q798" t="n">
        <v>98.63141</v>
      </c>
      <c r="R798" t="n">
        <v>109.7071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112.9387</v>
      </c>
      <c r="Y798" t="n">
        <v>118.0177</v>
      </c>
      <c r="Z798" t="n">
        <v>116.4001</v>
      </c>
      <c r="AA798" t="n">
        <v>114.5695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113.3247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116.316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115.1658</v>
      </c>
      <c r="N799" t="n">
        <v>113.6059</v>
      </c>
      <c r="O799" t="n">
        <v>118.9115</v>
      </c>
      <c r="P799" t="n">
        <v>117.4433</v>
      </c>
      <c r="Q799" t="n">
        <v>99.06856000000001</v>
      </c>
      <c r="R799" t="n">
        <v>111.0474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113.2742</v>
      </c>
      <c r="Y799" t="n">
        <v>118.5423</v>
      </c>
      <c r="Z799" t="n">
        <v>116.5683</v>
      </c>
      <c r="AA799" t="n">
        <v>115.3289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113.8459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117.0864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115.467</v>
      </c>
      <c r="N800" t="n">
        <v>114.5193</v>
      </c>
      <c r="O800" t="n">
        <v>119.3028</v>
      </c>
      <c r="P800" t="n">
        <v>118.0385</v>
      </c>
      <c r="Q800" t="n">
        <v>99.46514999999999</v>
      </c>
      <c r="R800" t="n">
        <v>112.2101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113.8101</v>
      </c>
      <c r="Y800" t="n">
        <v>119.0999</v>
      </c>
      <c r="Z800" t="n">
        <v>116.7728</v>
      </c>
      <c r="AA800" t="n">
        <v>116.73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114.0756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117.2509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116.3102</v>
      </c>
      <c r="N801" t="n">
        <v>115.3484</v>
      </c>
      <c r="O801" t="n">
        <v>119.7398</v>
      </c>
      <c r="P801" t="n">
        <v>118.535</v>
      </c>
      <c r="Q801" t="n">
        <v>99.86273</v>
      </c>
      <c r="R801" t="n">
        <v>112.9491</v>
      </c>
      <c r="S801" t="n">
        <v>106.6885</v>
      </c>
      <c r="T801" t="n">
        <v>116.6068</v>
      </c>
      <c r="U801" t="n">
        <v>113.5552</v>
      </c>
      <c r="V801" t="n">
        <v>111.2591</v>
      </c>
      <c r="W801" t="n">
        <v>117.065</v>
      </c>
      <c r="X801" t="n">
        <v>114.323</v>
      </c>
      <c r="Y801" t="n">
        <v>119.9866</v>
      </c>
      <c r="Z801" t="n">
        <v>117.4069</v>
      </c>
      <c r="AA801" t="n">
        <v>117.584</v>
      </c>
      <c r="AB801" t="n">
        <v>120.0205</v>
      </c>
      <c r="AC801" t="n">
        <v>135.169</v>
      </c>
      <c r="AD801" t="n">
        <v>113.5697</v>
      </c>
      <c r="AE801" t="n">
        <v>113.8326</v>
      </c>
    </row>
    <row r="802">
      <c r="A802" s="90" t="n">
        <v>42979</v>
      </c>
      <c r="B802" t="n">
        <v>114.3978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117.5028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117.3109</v>
      </c>
      <c r="N802" t="n">
        <v>117.2412</v>
      </c>
      <c r="O802" t="n">
        <v>120.4274</v>
      </c>
      <c r="P802" t="n">
        <v>119.2442</v>
      </c>
      <c r="Q802" t="n">
        <v>100.2001</v>
      </c>
      <c r="R802" t="n">
        <v>113.5244</v>
      </c>
      <c r="S802" t="n">
        <v>106.9707</v>
      </c>
      <c r="T802" t="n">
        <v>116.8371</v>
      </c>
      <c r="U802" t="n">
        <v>114.443</v>
      </c>
      <c r="V802" t="n">
        <v>111.5446</v>
      </c>
      <c r="W802" t="n">
        <v>117.5615</v>
      </c>
      <c r="X802" t="n">
        <v>114.8405</v>
      </c>
      <c r="Y802" t="n">
        <v>121.0898</v>
      </c>
      <c r="Z802" t="n">
        <v>118.0416</v>
      </c>
      <c r="AA802" t="n">
        <v>117.4856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114.8404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118.1931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117.9219</v>
      </c>
      <c r="N803" t="n">
        <v>118.6315</v>
      </c>
      <c r="O803" t="n">
        <v>121.2595</v>
      </c>
      <c r="P803" t="n">
        <v>121.0234</v>
      </c>
      <c r="Q803" t="n">
        <v>100.3614</v>
      </c>
      <c r="R803" t="n">
        <v>113.3904</v>
      </c>
      <c r="S803" t="n">
        <v>107.2832</v>
      </c>
      <c r="T803" t="n">
        <v>117.3732</v>
      </c>
      <c r="U803" t="n">
        <v>115.278</v>
      </c>
      <c r="V803" t="n">
        <v>112.5092</v>
      </c>
      <c r="W803" t="n">
        <v>118.5498</v>
      </c>
      <c r="X803" t="n">
        <v>115.4574</v>
      </c>
      <c r="Y803" t="n">
        <v>122.2429</v>
      </c>
      <c r="Z803" t="n">
        <v>118.6555</v>
      </c>
      <c r="AA803" t="n">
        <v>117.6714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115.2131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119.0097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118.2314</v>
      </c>
      <c r="N804" t="n">
        <v>119.6084</v>
      </c>
      <c r="O804" t="n">
        <v>122.2036</v>
      </c>
      <c r="P804" t="n">
        <v>122.2668</v>
      </c>
      <c r="Q804" t="n">
        <v>100.5153</v>
      </c>
      <c r="R804" t="n">
        <v>113.3107</v>
      </c>
      <c r="S804" t="n">
        <v>107.6396</v>
      </c>
      <c r="T804" t="n">
        <v>117.9518</v>
      </c>
      <c r="U804" t="n">
        <v>115.8947</v>
      </c>
      <c r="V804" t="n">
        <v>113.0978</v>
      </c>
      <c r="W804" t="n">
        <v>119.5862</v>
      </c>
      <c r="X804" t="n">
        <v>115.9228</v>
      </c>
      <c r="Y804" t="n">
        <v>123.2227</v>
      </c>
      <c r="Z804" t="n">
        <v>119.2572</v>
      </c>
      <c r="AA804" t="n">
        <v>118.4543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115.2355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120.4561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118.2221</v>
      </c>
      <c r="N805" t="n">
        <v>120.3106</v>
      </c>
      <c r="O805" t="n">
        <v>122.6267</v>
      </c>
      <c r="P805" t="n">
        <v>122.8887</v>
      </c>
      <c r="Q805" t="n">
        <v>100.8441</v>
      </c>
      <c r="R805" t="n">
        <v>113.7505</v>
      </c>
      <c r="S805" t="n">
        <v>107.7243</v>
      </c>
      <c r="T805" t="n">
        <v>118.5219</v>
      </c>
      <c r="U805" t="n">
        <v>117.0107</v>
      </c>
      <c r="V805" t="n">
        <v>113.0396</v>
      </c>
      <c r="W805" t="n">
        <v>120.2819</v>
      </c>
      <c r="X805" t="n">
        <v>116.3083</v>
      </c>
      <c r="Y805" t="n">
        <v>123.4334</v>
      </c>
      <c r="Z805" t="n">
        <v>119.7729</v>
      </c>
      <c r="AA805" t="n">
        <v>119.1926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115.3363</v>
      </c>
      <c r="C806" t="n">
        <v>125.8874</v>
      </c>
      <c r="D806" t="n">
        <v>117.8155</v>
      </c>
      <c r="E806" t="n">
        <v>107.9691</v>
      </c>
      <c r="F806" t="n">
        <v>120.5811</v>
      </c>
      <c r="G806" t="n">
        <v>129.0859</v>
      </c>
      <c r="H806" t="n">
        <v>121.2288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118.7519</v>
      </c>
      <c r="N806" t="n">
        <v>122.0511</v>
      </c>
      <c r="O806" t="n">
        <v>123.2196</v>
      </c>
      <c r="P806" t="n">
        <v>123.8216</v>
      </c>
      <c r="Q806" t="n">
        <v>101.2755</v>
      </c>
      <c r="R806" t="n">
        <v>113.9692</v>
      </c>
      <c r="S806" t="n">
        <v>107.9335</v>
      </c>
      <c r="T806" t="n">
        <v>119.5776</v>
      </c>
      <c r="U806" t="n">
        <v>116.0421</v>
      </c>
      <c r="V806" t="n">
        <v>113.6738</v>
      </c>
      <c r="W806" t="n">
        <v>120.9594</v>
      </c>
      <c r="X806" t="n">
        <v>116.4401</v>
      </c>
      <c r="Y806" t="n">
        <v>123.6555</v>
      </c>
      <c r="Z806" t="n">
        <v>120.3315</v>
      </c>
      <c r="AA806" t="n">
        <v>119.4958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115.5549</v>
      </c>
      <c r="C807" t="n">
        <v>126.5311</v>
      </c>
      <c r="D807" t="n">
        <v>118.7296</v>
      </c>
      <c r="E807" t="n">
        <v>108.2808</v>
      </c>
      <c r="F807" t="n">
        <v>120.8162</v>
      </c>
      <c r="G807" t="n">
        <v>130.5695</v>
      </c>
      <c r="H807" t="n">
        <v>121.2791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119.3093</v>
      </c>
      <c r="N807" t="n">
        <v>124.2753</v>
      </c>
      <c r="O807" t="n">
        <v>124.0943</v>
      </c>
      <c r="P807" t="n">
        <v>124.7564</v>
      </c>
      <c r="Q807" t="n">
        <v>101.7775</v>
      </c>
      <c r="R807" t="n">
        <v>113.6862</v>
      </c>
      <c r="S807" t="n">
        <v>108.08</v>
      </c>
      <c r="T807" t="n">
        <v>120.5629</v>
      </c>
      <c r="U807" t="n">
        <v>115.15</v>
      </c>
      <c r="V807" t="n">
        <v>114.3148</v>
      </c>
      <c r="W807" t="n">
        <v>121.4189</v>
      </c>
      <c r="X807" t="n">
        <v>116.7921</v>
      </c>
      <c r="Y807" t="n">
        <v>124.328</v>
      </c>
      <c r="Z807" t="n">
        <v>120.9332</v>
      </c>
      <c r="AA807" t="n">
        <v>120.1114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115.5493</v>
      </c>
      <c r="C808" t="n">
        <v>127.3854</v>
      </c>
      <c r="D808" t="n">
        <v>119.1829</v>
      </c>
      <c r="E808" t="n">
        <v>108.2908</v>
      </c>
      <c r="F808" t="n">
        <v>121.526</v>
      </c>
      <c r="G808" t="n">
        <v>131.1126</v>
      </c>
      <c r="H808" t="n">
        <v>121.652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118.6104</v>
      </c>
      <c r="N808" t="n">
        <v>125.5433</v>
      </c>
      <c r="O808" t="n">
        <v>124.5713</v>
      </c>
      <c r="P808" t="n">
        <v>125.6895</v>
      </c>
      <c r="Q808" t="n">
        <v>102.3663</v>
      </c>
      <c r="R808" t="n">
        <v>113.9238</v>
      </c>
      <c r="S808" t="n">
        <v>108.2662</v>
      </c>
      <c r="T808" t="n">
        <v>121.219</v>
      </c>
      <c r="U808" t="n">
        <v>117.4669</v>
      </c>
      <c r="V808" t="n">
        <v>114.8105</v>
      </c>
      <c r="W808" t="n">
        <v>121.8422</v>
      </c>
      <c r="X808" t="n">
        <v>117.3636</v>
      </c>
      <c r="Y808" t="n">
        <v>125.0284</v>
      </c>
      <c r="Z808" t="n">
        <v>121.7213</v>
      </c>
      <c r="AA808" t="n">
        <v>120.6144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115.398</v>
      </c>
      <c r="C809" t="n">
        <v>128.2491</v>
      </c>
      <c r="D809" t="n">
        <v>119.3206</v>
      </c>
      <c r="E809" t="n">
        <v>108.4202</v>
      </c>
      <c r="F809" t="n">
        <v>123.4717</v>
      </c>
      <c r="G809" t="n">
        <v>131.7365</v>
      </c>
      <c r="H809" t="n">
        <v>121.7552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117.8119</v>
      </c>
      <c r="N809" t="n">
        <v>127.2152</v>
      </c>
      <c r="O809" t="n">
        <v>125.1125</v>
      </c>
      <c r="P809" t="n">
        <v>126.8122</v>
      </c>
      <c r="Q809" t="n">
        <v>103.0184</v>
      </c>
      <c r="R809" t="n">
        <v>114.6849</v>
      </c>
      <c r="S809" t="n">
        <v>108.4695</v>
      </c>
      <c r="T809" t="n">
        <v>121.9051</v>
      </c>
      <c r="U809" t="n">
        <v>119.638</v>
      </c>
      <c r="V809" t="n">
        <v>116.1457</v>
      </c>
      <c r="W809" t="n">
        <v>122.3044</v>
      </c>
      <c r="X809" t="n">
        <v>117.8219</v>
      </c>
      <c r="Y809" t="n">
        <v>125.8358</v>
      </c>
      <c r="Z809" t="n">
        <v>122.5093</v>
      </c>
      <c r="AA809" t="n">
        <v>121.9999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115.426</v>
      </c>
      <c r="C810" t="n">
        <v>128.6957</v>
      </c>
      <c r="D810" t="n">
        <v>119.8198</v>
      </c>
      <c r="E810" t="n">
        <v>108.7153</v>
      </c>
      <c r="F810" t="n">
        <v>124.9933</v>
      </c>
      <c r="G810" t="n">
        <v>132.2975</v>
      </c>
      <c r="H810" t="n">
        <v>121.9108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118.5838</v>
      </c>
      <c r="N810" t="n">
        <v>128.7378</v>
      </c>
      <c r="O810" t="n">
        <v>125.5814</v>
      </c>
      <c r="P810" t="n">
        <v>127.9901</v>
      </c>
      <c r="Q810" t="n">
        <v>103.7161</v>
      </c>
      <c r="R810" t="n">
        <v>114.9761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118.4914</v>
      </c>
      <c r="Y810" t="n">
        <v>127.4511</v>
      </c>
      <c r="Z810" t="n">
        <v>123.5361</v>
      </c>
      <c r="AA810" t="n">
        <v>124.9971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115.6781</v>
      </c>
      <c r="C811" t="n">
        <v>129.576</v>
      </c>
      <c r="D811" t="n">
        <v>120.6109</v>
      </c>
      <c r="E811" t="n">
        <v>108.7727</v>
      </c>
      <c r="F811" t="n">
        <v>125.7396</v>
      </c>
      <c r="G811" t="n">
        <v>132.8013</v>
      </c>
      <c r="H811" t="n">
        <v>122.339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119.3643</v>
      </c>
      <c r="N811" t="n">
        <v>130.9076</v>
      </c>
      <c r="O811" t="n">
        <v>125.9678</v>
      </c>
      <c r="P811" t="n">
        <v>128.8645</v>
      </c>
      <c r="Q811" t="n">
        <v>104.3891</v>
      </c>
      <c r="R811" t="n">
        <v>114.9617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119.2087</v>
      </c>
      <c r="Y811" t="n">
        <v>128.9138</v>
      </c>
      <c r="Z811" t="n">
        <v>124.6257</v>
      </c>
      <c r="AA811" t="n">
        <v>127.0367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115.9751</v>
      </c>
      <c r="C812" t="n">
        <v>130.4622</v>
      </c>
      <c r="D812" t="n">
        <v>121.0728</v>
      </c>
      <c r="E812" t="n">
        <v>108.9035</v>
      </c>
      <c r="F812" t="n">
        <v>126.8182</v>
      </c>
      <c r="G812" t="n">
        <v>133.9594</v>
      </c>
      <c r="H812" t="n">
        <v>123.0323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119.3034</v>
      </c>
      <c r="N812" t="n">
        <v>133.1365</v>
      </c>
      <c r="O812" t="n">
        <v>126.6165</v>
      </c>
      <c r="P812" t="n">
        <v>129.6466</v>
      </c>
      <c r="Q812" t="n">
        <v>105.0022</v>
      </c>
      <c r="R812" t="n">
        <v>115.4545</v>
      </c>
      <c r="S812" t="n">
        <v>109.1362</v>
      </c>
      <c r="T812" t="n">
        <v>123.8277</v>
      </c>
      <c r="U812" t="n">
        <v>121.6698</v>
      </c>
      <c r="V812" t="n">
        <v>117.4823</v>
      </c>
      <c r="W812" t="n">
        <v>124.4688</v>
      </c>
      <c r="X812" t="n">
        <v>119.6349</v>
      </c>
      <c r="Y812" t="n">
        <v>129.8828</v>
      </c>
      <c r="Z812" t="n">
        <v>125.3072</v>
      </c>
      <c r="AA812" t="n">
        <v>128.2726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116.5803</v>
      </c>
      <c r="C813" t="n">
        <v>131.3856</v>
      </c>
      <c r="D813" t="n">
        <v>121.7372</v>
      </c>
      <c r="E813" t="n">
        <v>109.3182</v>
      </c>
      <c r="F813" t="n">
        <v>127.7573</v>
      </c>
      <c r="G813" t="n">
        <v>134.9996</v>
      </c>
      <c r="H813" t="n">
        <v>123.9091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119.4344</v>
      </c>
      <c r="N813" t="n">
        <v>134.036</v>
      </c>
      <c r="O813" t="n">
        <v>127.0985</v>
      </c>
      <c r="P813" t="n">
        <v>130.8387</v>
      </c>
      <c r="Q813" t="n">
        <v>105.5971</v>
      </c>
      <c r="R813" t="n">
        <v>115.7835</v>
      </c>
      <c r="S813" t="n">
        <v>109.3182</v>
      </c>
      <c r="T813" t="n">
        <v>124.6092</v>
      </c>
      <c r="U813" t="n">
        <v>121.9145</v>
      </c>
      <c r="V813" t="n">
        <v>117.5479</v>
      </c>
      <c r="W813" t="n">
        <v>125.5168</v>
      </c>
      <c r="X813" t="n">
        <v>120.1676</v>
      </c>
      <c r="Y813" t="n">
        <v>130.8566</v>
      </c>
      <c r="Z813" t="n">
        <v>126.1469</v>
      </c>
      <c r="AA813" t="n">
        <v>128.9146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116.9865</v>
      </c>
      <c r="C814" t="n">
        <v>132.8934</v>
      </c>
      <c r="D814" t="n">
        <v>122.4611</v>
      </c>
      <c r="E814" t="n">
        <v>109.6353</v>
      </c>
      <c r="F814" t="n">
        <v>128.8906</v>
      </c>
      <c r="G814" t="n">
        <v>135.9704</v>
      </c>
      <c r="H814" t="n">
        <v>124.3043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119.9151</v>
      </c>
      <c r="N814" t="n">
        <v>134.0679</v>
      </c>
      <c r="O814" t="n">
        <v>128.0515</v>
      </c>
      <c r="P814" t="n">
        <v>131.7674</v>
      </c>
      <c r="Q814" t="n">
        <v>106.2291</v>
      </c>
      <c r="R814" t="n">
        <v>116.3615</v>
      </c>
      <c r="S814" t="n">
        <v>109.5555</v>
      </c>
      <c r="T814" t="n">
        <v>125.1817</v>
      </c>
      <c r="U814" t="n">
        <v>122.6511</v>
      </c>
      <c r="V814" t="n">
        <v>117.7965</v>
      </c>
      <c r="W814" t="n">
        <v>126.5449</v>
      </c>
      <c r="X814" t="n">
        <v>120.7854</v>
      </c>
      <c r="Y814" t="n">
        <v>132.6034</v>
      </c>
      <c r="Z814" t="n">
        <v>127.163</v>
      </c>
      <c r="AA814" t="n">
        <v>129.9678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117.1994</v>
      </c>
      <c r="C815" t="n">
        <v>133.8896</v>
      </c>
      <c r="D815" t="n">
        <v>123.1178</v>
      </c>
      <c r="E815" t="n">
        <v>109.9593</v>
      </c>
      <c r="F815" t="n">
        <v>129.6778</v>
      </c>
      <c r="G815" t="n">
        <v>136.975</v>
      </c>
      <c r="H815" t="n">
        <v>124.7429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120.9743</v>
      </c>
      <c r="N815" t="n">
        <v>134.3465</v>
      </c>
      <c r="O815" t="n">
        <v>129.7608</v>
      </c>
      <c r="P815" t="n">
        <v>132.5771</v>
      </c>
      <c r="Q815" t="n">
        <v>106.9454</v>
      </c>
      <c r="R815" t="n">
        <v>117.3528</v>
      </c>
      <c r="S815" t="n">
        <v>109.7687</v>
      </c>
      <c r="T815" t="n">
        <v>126.0249</v>
      </c>
      <c r="U815" t="n">
        <v>122.3772</v>
      </c>
      <c r="V815" t="n">
        <v>117.8375</v>
      </c>
      <c r="W815" t="n">
        <v>127.0077</v>
      </c>
      <c r="X815" t="n">
        <v>121.2154</v>
      </c>
      <c r="Y815" t="n">
        <v>133.9396</v>
      </c>
      <c r="Z815" t="n">
        <v>128.2795</v>
      </c>
      <c r="AA815" t="n">
        <v>130.9618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117.4544</v>
      </c>
      <c r="C816" t="n">
        <v>134.4371</v>
      </c>
      <c r="D816" t="n">
        <v>123.9472</v>
      </c>
      <c r="E816" t="n">
        <v>110.3706</v>
      </c>
      <c r="F816" t="n">
        <v>130.9885</v>
      </c>
      <c r="G816" t="n">
        <v>137.9958</v>
      </c>
      <c r="H816" t="n">
        <v>125.4994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121.6776</v>
      </c>
      <c r="N816" t="n">
        <v>135.143</v>
      </c>
      <c r="O816" t="n">
        <v>130.635</v>
      </c>
      <c r="P816" t="n">
        <v>133.7899</v>
      </c>
      <c r="Q816" t="n">
        <v>107.6995</v>
      </c>
      <c r="R816" t="n">
        <v>118.5756</v>
      </c>
      <c r="S816" t="n">
        <v>109.8841</v>
      </c>
      <c r="T816" t="n">
        <v>126.7798</v>
      </c>
      <c r="U816" t="n">
        <v>122.814</v>
      </c>
      <c r="V816" t="n">
        <v>118.1722</v>
      </c>
      <c r="W816" t="n">
        <v>127.3549</v>
      </c>
      <c r="X816" t="n">
        <v>121.2983</v>
      </c>
      <c r="Y816" t="n">
        <v>133.3101</v>
      </c>
      <c r="Z816" t="n">
        <v>129.4469</v>
      </c>
      <c r="AA816" t="n">
        <v>131.3172</v>
      </c>
      <c r="AB816" t="n">
        <v>127.9025</v>
      </c>
      <c r="AC816" t="n">
        <v>170.5484</v>
      </c>
      <c r="AD816" t="n">
        <v>118.2355</v>
      </c>
      <c r="AE816" t="n">
        <v>122.9752</v>
      </c>
    </row>
    <row r="817">
      <c r="A817" s="90" t="n">
        <v>43435</v>
      </c>
      <c r="B817" t="n">
        <v>117.7878</v>
      </c>
      <c r="C817" t="n">
        <v>136.1795</v>
      </c>
      <c r="D817" t="n">
        <v>125.6016</v>
      </c>
      <c r="E817" t="n">
        <v>110.7943</v>
      </c>
      <c r="F817" t="n">
        <v>132.9372</v>
      </c>
      <c r="G817" t="n">
        <v>139.0737</v>
      </c>
      <c r="H817" t="n">
        <v>126.9889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122.1705</v>
      </c>
      <c r="N817" t="n">
        <v>135.0161</v>
      </c>
      <c r="O817" t="n">
        <v>130.5066</v>
      </c>
      <c r="P817" t="n">
        <v>134.8019</v>
      </c>
      <c r="Q817" t="n">
        <v>108.3908</v>
      </c>
      <c r="R817" t="n">
        <v>119.2415</v>
      </c>
      <c r="S817" t="n">
        <v>110.0519</v>
      </c>
      <c r="T817" t="n">
        <v>127.434</v>
      </c>
      <c r="U817" t="n">
        <v>123.2104</v>
      </c>
      <c r="V817" t="n">
        <v>118.8557</v>
      </c>
      <c r="W817" t="n">
        <v>127.9911</v>
      </c>
      <c r="X817" t="n">
        <v>121.9325</v>
      </c>
      <c r="Y817" t="n">
        <v>133.2383</v>
      </c>
      <c r="Z817" t="n">
        <v>130.5016</v>
      </c>
      <c r="AA817" t="n">
        <v>132.3147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118.3846</v>
      </c>
      <c r="C818" t="n">
        <v/>
      </c>
      <c r="D818" t="n">
        <v>125.3302</v>
      </c>
      <c r="E818" t="n">
        <v/>
      </c>
      <c r="F818" t="n">
        <v/>
      </c>
      <c r="G818" t="n">
        <v/>
      </c>
      <c r="H818" t="n">
        <v>127.7371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121.9957</v>
      </c>
      <c r="N818" t="n">
        <v>135.1965</v>
      </c>
      <c r="O818" t="n">
        <v/>
      </c>
      <c r="P818" t="n">
        <v/>
      </c>
      <c r="Q818" t="n">
        <v>108.9879</v>
      </c>
      <c r="R818" t="n">
        <v>119.7899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122.3762</v>
      </c>
      <c r="Y818" t="n">
        <v/>
      </c>
      <c r="Z818" t="n">
        <v/>
      </c>
      <c r="AA818" t="n">
        <v>133.8125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119.0317</v>
      </c>
      <c r="C819" t="n">
        <v/>
      </c>
      <c r="D819" t="n">
        <v>126.099</v>
      </c>
      <c r="E819" t="n">
        <v/>
      </c>
      <c r="F819" t="n">
        <v/>
      </c>
      <c r="G819" t="n">
        <v/>
      </c>
      <c r="H819" t="n">
        <v>127.8475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120.784</v>
      </c>
      <c r="N819" t="n">
        <v>136.2011</v>
      </c>
      <c r="O819" t="n">
        <v/>
      </c>
      <c r="P819" t="n">
        <v/>
      </c>
      <c r="Q819" t="n">
        <v>109.5066</v>
      </c>
      <c r="R819" t="n">
        <v>121.1366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122.6403</v>
      </c>
      <c r="Y819" t="n">
        <v/>
      </c>
      <c r="Z819" t="n">
        <v/>
      </c>
      <c r="AA819" t="n">
        <v>134.1146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119.7574</v>
      </c>
      <c r="C820" t="n">
        <v/>
      </c>
      <c r="D820" t="n">
        <v>127.8952</v>
      </c>
      <c r="E820" t="n">
        <v/>
      </c>
      <c r="F820" t="n">
        <v/>
      </c>
      <c r="G820" t="n">
        <v/>
      </c>
      <c r="H820" t="n">
        <v>129.003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120.3482</v>
      </c>
      <c r="N820" t="n">
        <v>136.9741</v>
      </c>
      <c r="O820" t="n">
        <v/>
      </c>
      <c r="P820" t="n">
        <v/>
      </c>
      <c r="Q820" t="n">
        <v>109.9536</v>
      </c>
      <c r="R820" t="n">
        <v>121.7382</v>
      </c>
      <c r="S820" t="n">
        <v>110.5393</v>
      </c>
      <c r="T820" t="n">
        <v>130.1355</v>
      </c>
      <c r="U820" t="n">
        <v/>
      </c>
      <c r="V820" t="n">
        <v>120.1252</v>
      </c>
      <c r="W820" t="n">
        <v/>
      </c>
      <c r="X820" t="n">
        <v>123.0288</v>
      </c>
      <c r="Y820" t="n">
        <v/>
      </c>
      <c r="Z820" t="n">
        <v/>
      </c>
      <c r="AA820" t="n">
        <v>134.161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120.2337</v>
      </c>
      <c r="C821" t="n">
        <v/>
      </c>
      <c r="D821" t="n">
        <v>128.8912</v>
      </c>
      <c r="E821" t="n">
        <v/>
      </c>
      <c r="F821" t="n">
        <v/>
      </c>
      <c r="G821" t="n">
        <v/>
      </c>
      <c r="H821" t="n">
        <v>130.147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120.5874</v>
      </c>
      <c r="N821" t="n">
        <v>137.7501</v>
      </c>
      <c r="O821" t="n">
        <v/>
      </c>
      <c r="P821" t="n">
        <v/>
      </c>
      <c r="Q821" t="n">
        <v>110.3307</v>
      </c>
      <c r="R821" t="n">
        <v>122.676</v>
      </c>
      <c r="S821" t="n">
        <v>110.6781</v>
      </c>
      <c r="T821" t="n">
        <v>131.2129</v>
      </c>
      <c r="U821" t="n">
        <v/>
      </c>
      <c r="V821" t="n">
        <v>120.375</v>
      </c>
      <c r="W821" t="n">
        <v/>
      </c>
      <c r="X821" t="n">
        <v>123.3919</v>
      </c>
      <c r="Y821" t="n">
        <v/>
      </c>
      <c r="Z821" t="n">
        <v/>
      </c>
      <c r="AA821" t="n">
        <v>135.2118</v>
      </c>
      <c r="AB821" t="n">
        <v/>
      </c>
      <c r="AC821" t="n">
        <v/>
      </c>
      <c r="AD821" t="n">
        <v>120.7211</v>
      </c>
      <c r="AE821" t="n">
        <v>128.0404</v>
      </c>
    </row>
    <row r="822">
      <c r="A822" s="90" t="n">
        <v>43586</v>
      </c>
      <c r="B822" t="n">
        <v>120.2645</v>
      </c>
      <c r="C822" t="n">
        <v/>
      </c>
      <c r="D822" t="n">
        <v>129.1729</v>
      </c>
      <c r="E822" t="n">
        <v/>
      </c>
      <c r="F822" t="n">
        <v/>
      </c>
      <c r="G822" t="n">
        <v/>
      </c>
      <c r="H822" t="n">
        <v>131.0193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120.88</v>
      </c>
      <c r="N822" t="n">
        <v>139.5422</v>
      </c>
      <c r="O822" t="n">
        <v/>
      </c>
      <c r="P822" t="n">
        <v/>
      </c>
      <c r="Q822" t="n">
        <v>110.6381</v>
      </c>
      <c r="R822" t="n">
        <v>123.702</v>
      </c>
      <c r="S822" t="n">
        <v>110.8378</v>
      </c>
      <c r="T822" t="n">
        <v>132.1298</v>
      </c>
      <c r="U822" t="n">
        <v/>
      </c>
      <c r="V822" t="n">
        <v>121.0175</v>
      </c>
      <c r="W822" t="n">
        <v/>
      </c>
      <c r="X822" t="n">
        <v>124.007</v>
      </c>
      <c r="Y822" t="n">
        <v/>
      </c>
      <c r="Z822" t="n">
        <v/>
      </c>
      <c r="AA822" t="n">
        <v>135.6118</v>
      </c>
      <c r="AB822" t="n">
        <v/>
      </c>
      <c r="AC822" t="n">
        <v/>
      </c>
      <c r="AD822" t="n">
        <v>121.4808</v>
      </c>
      <c r="AE822" t="n">
        <v>129.1637</v>
      </c>
    </row>
    <row r="823">
      <c r="A823" s="90" t="n">
        <v>43617</v>
      </c>
      <c r="B823" t="n">
        <v>120.2477</v>
      </c>
      <c r="C823" t="n">
        <v/>
      </c>
      <c r="D823" t="n">
        <v>129.65</v>
      </c>
      <c r="E823" t="n">
        <v/>
      </c>
      <c r="F823" t="n">
        <v/>
      </c>
      <c r="G823" t="n">
        <v/>
      </c>
      <c r="H823" t="n">
        <v>131.8065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121.1637</v>
      </c>
      <c r="N823" t="n">
        <v>139.9233</v>
      </c>
      <c r="O823" t="n">
        <v/>
      </c>
      <c r="P823" t="n">
        <v/>
      </c>
      <c r="Q823" t="n">
        <v>110.9913</v>
      </c>
      <c r="R823" t="n">
        <v>124.1371</v>
      </c>
      <c r="S823" t="n">
        <v>110.9726</v>
      </c>
      <c r="T823" t="n">
        <v>132.8957</v>
      </c>
      <c r="U823" t="n">
        <v/>
      </c>
      <c r="V823" t="n">
        <v>121.613</v>
      </c>
      <c r="W823" t="n">
        <v/>
      </c>
      <c r="X823" t="n">
        <v>124.7339</v>
      </c>
      <c r="Y823" t="n">
        <v/>
      </c>
      <c r="Z823" t="n">
        <v/>
      </c>
      <c r="AA823" t="n">
        <v>136.4192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119.6649</v>
      </c>
      <c r="C824" t="n">
        <v/>
      </c>
      <c r="D824" t="n">
        <v>130.7486</v>
      </c>
      <c r="E824" t="n">
        <v/>
      </c>
      <c r="F824" t="n">
        <v/>
      </c>
      <c r="G824" t="n">
        <v/>
      </c>
      <c r="H824" t="n">
        <v>132.6106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121.4963</v>
      </c>
      <c r="N824" t="n">
        <v>139.6359</v>
      </c>
      <c r="O824" t="n">
        <v/>
      </c>
      <c r="P824" t="n">
        <v/>
      </c>
      <c r="Q824" t="n">
        <v>109.8995</v>
      </c>
      <c r="R824" t="n">
        <v>124.3676</v>
      </c>
      <c r="S824" t="n">
        <v>111.1782</v>
      </c>
      <c r="T824" t="n">
        <v>133.8487</v>
      </c>
      <c r="U824" t="n">
        <v/>
      </c>
      <c r="V824" t="n">
        <v>122.0122</v>
      </c>
      <c r="W824" t="n">
        <v/>
      </c>
      <c r="X824" t="n">
        <v>125.2793</v>
      </c>
      <c r="Y824" t="n">
        <v/>
      </c>
      <c r="Z824" t="n">
        <v/>
      </c>
      <c r="AA824" t="n">
        <v>137.3198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119.1046</v>
      </c>
      <c r="C825" t="n">
        <v/>
      </c>
      <c r="D825" t="n">
        <v>131.7618</v>
      </c>
      <c r="E825" t="n">
        <v/>
      </c>
      <c r="F825" t="n">
        <v/>
      </c>
      <c r="G825" t="n">
        <v/>
      </c>
      <c r="H825" t="n">
        <v>133.7711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121.9694</v>
      </c>
      <c r="N825" t="n">
        <v>141.0466</v>
      </c>
      <c r="O825" t="n">
        <v/>
      </c>
      <c r="P825" t="n">
        <v/>
      </c>
      <c r="Q825" t="n">
        <v>108.7908</v>
      </c>
      <c r="R825" t="n">
        <v>124.3253</v>
      </c>
      <c r="S825" t="n">
        <v>111.3698</v>
      </c>
      <c r="T825" t="n">
        <v>134.8647</v>
      </c>
      <c r="U825" t="n">
        <v/>
      </c>
      <c r="V825" t="n">
        <v>123.3637</v>
      </c>
      <c r="W825" t="n">
        <v/>
      </c>
      <c r="X825" t="n">
        <v>125.9052</v>
      </c>
      <c r="Y825" t="n">
        <v/>
      </c>
      <c r="Z825" t="n">
        <v/>
      </c>
      <c r="AA825" t="n">
        <v>137.9197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119.3231</v>
      </c>
      <c r="C826" t="n">
        <v/>
      </c>
      <c r="D826" t="n">
        <v>132.68</v>
      </c>
      <c r="E826" t="n">
        <v/>
      </c>
      <c r="F826" t="n">
        <v/>
      </c>
      <c r="G826" t="n">
        <v/>
      </c>
      <c r="H826" t="n">
        <v>135.4584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121.9261</v>
      </c>
      <c r="N826" t="n">
        <v>142.3407</v>
      </c>
      <c r="O826" t="n">
        <v/>
      </c>
      <c r="P826" t="n">
        <v/>
      </c>
      <c r="Q826" t="n">
        <v>109.2616</v>
      </c>
      <c r="R826" t="n">
        <v>124.8263</v>
      </c>
      <c r="S826" t="n">
        <v>111.6245</v>
      </c>
      <c r="T826" t="n">
        <v>135.7226</v>
      </c>
      <c r="U826" t="n">
        <v/>
      </c>
      <c r="V826" t="n">
        <v>123.6488</v>
      </c>
      <c r="W826" t="n">
        <v/>
      </c>
      <c r="X826" t="n">
        <v>126.5086</v>
      </c>
      <c r="Y826" t="n">
        <v/>
      </c>
      <c r="Z826" t="n">
        <v/>
      </c>
      <c r="AA826" t="n">
        <v>139.1054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119.7882</v>
      </c>
      <c r="C827" t="n">
        <v/>
      </c>
      <c r="D827" t="n">
        <v>133.6194</v>
      </c>
      <c r="E827" t="n">
        <v/>
      </c>
      <c r="F827" t="n">
        <v/>
      </c>
      <c r="G827" t="n">
        <v/>
      </c>
      <c r="H827" t="n">
        <v>136.6169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121.3444</v>
      </c>
      <c r="N827" t="n">
        <v>143.5194</v>
      </c>
      <c r="O827" t="n">
        <v/>
      </c>
      <c r="P827" t="n">
        <v/>
      </c>
      <c r="Q827" t="n">
        <v>109.8457</v>
      </c>
      <c r="R827" t="n">
        <v>125.9155</v>
      </c>
      <c r="S827" t="n">
        <v>111.8718</v>
      </c>
      <c r="T827" t="n">
        <v>136.4365</v>
      </c>
      <c r="U827" t="n">
        <v/>
      </c>
      <c r="V827" t="n">
        <v>123.2678</v>
      </c>
      <c r="W827" t="n">
        <v/>
      </c>
      <c r="X827" t="n">
        <v>127.306</v>
      </c>
      <c r="Y827" t="n">
        <v/>
      </c>
      <c r="Z827" t="n">
        <v/>
      </c>
      <c r="AA827" t="n">
        <v>140.1564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120.3513</v>
      </c>
      <c r="C828" t="n">
        <v/>
      </c>
      <c r="D828" t="n">
        <v>134.3898</v>
      </c>
      <c r="E828" t="n">
        <v/>
      </c>
      <c r="F828" t="n">
        <v/>
      </c>
      <c r="G828" t="n">
        <v/>
      </c>
      <c r="H828" t="n">
        <v>137.6545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121.4135</v>
      </c>
      <c r="N828" t="n">
        <v>145.1163</v>
      </c>
      <c r="O828" t="n">
        <v/>
      </c>
      <c r="P828" t="n">
        <v/>
      </c>
      <c r="Q828" t="n">
        <v>110.488</v>
      </c>
      <c r="R828" t="n">
        <v>126.7969</v>
      </c>
      <c r="S828" t="n">
        <v>112.245</v>
      </c>
      <c r="T828" t="n">
        <v>137.2464</v>
      </c>
      <c r="U828" t="n">
        <v/>
      </c>
      <c r="V828" t="n">
        <v>123.7453</v>
      </c>
      <c r="W828" t="n">
        <v/>
      </c>
      <c r="X828" t="n">
        <v>128.0344</v>
      </c>
      <c r="Y828" t="n">
        <v/>
      </c>
      <c r="Z828" t="n">
        <v/>
      </c>
      <c r="AA828" t="n">
        <v>141.0771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120.7716</v>
      </c>
      <c r="C829" t="n">
        <v/>
      </c>
      <c r="D829" t="n">
        <v>135.4514</v>
      </c>
      <c r="E829" t="n">
        <v/>
      </c>
      <c r="F829" t="n">
        <v/>
      </c>
      <c r="G829" t="n">
        <v/>
      </c>
      <c r="H829" t="n">
        <v>138.2756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121.9027</v>
      </c>
      <c r="N829" t="n">
        <v>145.8251</v>
      </c>
      <c r="O829" t="n">
        <v/>
      </c>
      <c r="P829" t="n">
        <v/>
      </c>
      <c r="Q829" t="n">
        <v>111.1854</v>
      </c>
      <c r="R829" t="n">
        <v>127.6319</v>
      </c>
      <c r="S829" t="n">
        <v>112.5145</v>
      </c>
      <c r="T829" t="n">
        <v>137.8909</v>
      </c>
      <c r="U829" t="n">
        <v/>
      </c>
      <c r="V829" t="n">
        <v>124.0303</v>
      </c>
      <c r="W829" t="n">
        <v/>
      </c>
      <c r="X829" t="n">
        <v>128.5905</v>
      </c>
      <c r="Y829" t="n">
        <v/>
      </c>
      <c r="Z829" t="n">
        <v/>
      </c>
      <c r="AA829" t="n">
        <v>142.1941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121.2479</v>
      </c>
      <c r="C830" t="n">
        <v/>
      </c>
      <c r="D830" t="n">
        <v>135.9837</v>
      </c>
      <c r="E830" t="n">
        <v/>
      </c>
      <c r="F830" t="n">
        <v/>
      </c>
      <c r="G830" t="n">
        <v/>
      </c>
      <c r="H830" t="n">
        <v>138.6839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122.3017</v>
      </c>
      <c r="N830" t="n">
        <v>147.0424</v>
      </c>
      <c r="O830" t="n">
        <v/>
      </c>
      <c r="P830" t="n">
        <v/>
      </c>
      <c r="Q830" t="n">
        <v>111.9834</v>
      </c>
      <c r="R830" t="n">
        <v>128.3761</v>
      </c>
      <c r="S830" t="n">
        <v>112.7619</v>
      </c>
      <c r="T830" t="n">
        <v>138.6937</v>
      </c>
      <c r="U830" t="n">
        <v/>
      </c>
      <c r="V830" t="n">
        <v>124.1792</v>
      </c>
      <c r="W830" t="n">
        <v/>
      </c>
      <c r="X830" t="n">
        <v>129.1898</v>
      </c>
      <c r="Y830" t="n">
        <v/>
      </c>
      <c r="Z830" t="n">
        <v/>
      </c>
      <c r="AA830" t="n">
        <v>142.3596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121.839</v>
      </c>
      <c r="C831" t="n">
        <v/>
      </c>
      <c r="D831" t="n">
        <v>136.9669</v>
      </c>
      <c r="E831" t="n">
        <v/>
      </c>
      <c r="F831" t="n">
        <v/>
      </c>
      <c r="G831" t="n">
        <v/>
      </c>
      <c r="H831" t="n">
        <v>139.9984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123.1441</v>
      </c>
      <c r="N831" t="n">
        <v>149.2377</v>
      </c>
      <c r="O831" t="n">
        <v/>
      </c>
      <c r="P831" t="n">
        <v/>
      </c>
      <c r="Q831" t="n">
        <v>112.9041</v>
      </c>
      <c r="R831" t="n">
        <v>129.1952</v>
      </c>
      <c r="S831" t="n">
        <v>113.0159</v>
      </c>
      <c r="T831" t="n">
        <v>139.86</v>
      </c>
      <c r="U831" t="n">
        <v/>
      </c>
      <c r="V831" t="n">
        <v>124.7547</v>
      </c>
      <c r="W831" t="n">
        <v/>
      </c>
      <c r="X831" t="n">
        <v>129.7897</v>
      </c>
      <c r="Y831" t="n">
        <v/>
      </c>
      <c r="Z831" t="n">
        <v/>
      </c>
      <c r="AA831" t="n">
        <v>142.4467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123.8282</v>
      </c>
      <c r="C832" t="n">
        <v/>
      </c>
      <c r="D832" t="n">
        <v>140.8966</v>
      </c>
      <c r="E832" t="n">
        <v/>
      </c>
      <c r="F832" t="n">
        <v/>
      </c>
      <c r="G832" t="n">
        <v/>
      </c>
      <c r="H832" t="n">
        <v>144.1438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127.1328</v>
      </c>
      <c r="N832" t="n">
        <v>152.1459</v>
      </c>
      <c r="O832" t="n">
        <v/>
      </c>
      <c r="P832" t="n">
        <v/>
      </c>
      <c r="Q832" t="n">
        <v>113.9457</v>
      </c>
      <c r="R832" t="n">
        <v>133.9073</v>
      </c>
      <c r="S832" t="n">
        <v>113.4515</v>
      </c>
      <c r="T832" t="n">
        <v>140.9297</v>
      </c>
      <c r="U832" t="n">
        <v/>
      </c>
      <c r="V832" t="n">
        <v>128.0392</v>
      </c>
      <c r="W832" t="n">
        <v/>
      </c>
      <c r="X832" t="n">
        <v>133.2513</v>
      </c>
      <c r="Y832" t="n">
        <v/>
      </c>
      <c r="Z832" t="n">
        <v/>
      </c>
      <c r="AA832" t="n">
        <v>144.4755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127.434</v>
      </c>
      <c r="C833" t="n">
        <v/>
      </c>
      <c r="D833" t="n">
        <v>145.7226</v>
      </c>
      <c r="E833" t="n">
        <v/>
      </c>
      <c r="F833" t="n">
        <v/>
      </c>
      <c r="G833" t="n">
        <v/>
      </c>
      <c r="H833" t="n">
        <v>149.3049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130.9329</v>
      </c>
      <c r="N833" t="n">
        <v>154.949</v>
      </c>
      <c r="O833" t="n">
        <v/>
      </c>
      <c r="P833" t="n">
        <v/>
      </c>
      <c r="Q833" t="n">
        <v>115.092</v>
      </c>
      <c r="R833" t="n">
        <v>139.0863</v>
      </c>
      <c r="S833" t="n">
        <v>113.9797</v>
      </c>
      <c r="T833" t="n">
        <v>142.0995</v>
      </c>
      <c r="U833" t="n">
        <v/>
      </c>
      <c r="V833" t="n">
        <v>132.0657</v>
      </c>
      <c r="W833" t="n">
        <v/>
      </c>
      <c r="X833" t="n">
        <v>139.1227</v>
      </c>
      <c r="Y833" t="n">
        <v/>
      </c>
      <c r="Z833" t="n">
        <v/>
      </c>
      <c r="AA833" t="n">
        <v>149.8597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129.4764</v>
      </c>
      <c r="C834" t="n">
        <v/>
      </c>
      <c r="D834" t="n">
        <v>148.3623</v>
      </c>
      <c r="E834" t="n">
        <v/>
      </c>
      <c r="F834" t="n">
        <v/>
      </c>
      <c r="G834" t="n">
        <v/>
      </c>
      <c r="H834" t="n">
        <v>152.0125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132.1848</v>
      </c>
      <c r="N834" t="n">
        <v>156.5115</v>
      </c>
      <c r="O834" t="n">
        <v/>
      </c>
      <c r="P834" t="n">
        <v/>
      </c>
      <c r="Q834" t="n">
        <v>116.294</v>
      </c>
      <c r="R834" t="n">
        <v>140.9471</v>
      </c>
      <c r="S834" t="n">
        <v>115.3938</v>
      </c>
      <c r="T834" t="n">
        <v>143.3289</v>
      </c>
      <c r="U834" t="n">
        <v/>
      </c>
      <c r="V834" t="n">
        <v>133.9946</v>
      </c>
      <c r="W834" t="n">
        <v/>
      </c>
      <c r="X834" t="n">
        <v>143.7743</v>
      </c>
      <c r="Y834" t="n">
        <v/>
      </c>
      <c r="Z834" t="n">
        <v/>
      </c>
      <c r="AA834" t="n">
        <v>153.1237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130.0507</v>
      </c>
      <c r="C835" t="n">
        <v/>
      </c>
      <c r="D835" t="n">
        <v>150.7798</v>
      </c>
      <c r="E835" t="n">
        <v/>
      </c>
      <c r="F835" t="n">
        <v/>
      </c>
      <c r="G835" t="n">
        <v/>
      </c>
      <c r="H835" t="n">
        <v>153.109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133.628</v>
      </c>
      <c r="N835" t="n">
        <v>158.5052</v>
      </c>
      <c r="O835" t="n">
        <v/>
      </c>
      <c r="P835" t="n">
        <v/>
      </c>
      <c r="Q835" t="n">
        <v>117.4781</v>
      </c>
      <c r="R835" t="n">
        <v>142.3517</v>
      </c>
      <c r="S835" t="n">
        <v>117.5076</v>
      </c>
      <c r="T835" t="n">
        <v>144.2846</v>
      </c>
      <c r="U835" t="n">
        <v/>
      </c>
      <c r="V835" t="n">
        <v>133.6654</v>
      </c>
      <c r="W835" t="n">
        <v/>
      </c>
      <c r="X835" t="n">
        <v>145.8972</v>
      </c>
      <c r="Y835" t="n">
        <v/>
      </c>
      <c r="Z835" t="n">
        <v/>
      </c>
      <c r="AA835" t="n">
        <v>152.6166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131.3059</v>
      </c>
      <c r="C836" t="n">
        <v/>
      </c>
      <c r="D836" t="n">
        <v>151.6527</v>
      </c>
      <c r="E836" t="n">
        <v/>
      </c>
      <c r="F836" t="n">
        <v/>
      </c>
      <c r="G836" t="n">
        <v/>
      </c>
      <c r="H836" t="n">
        <v>153.4786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134.6453</v>
      </c>
      <c r="N836" t="n">
        <v>160.6873</v>
      </c>
      <c r="O836" t="n">
        <v/>
      </c>
      <c r="P836" t="n">
        <v/>
      </c>
      <c r="Q836" t="n">
        <v>118.5918</v>
      </c>
      <c r="R836" t="n">
        <v>144.0313</v>
      </c>
      <c r="S836" t="n">
        <v>118.4371</v>
      </c>
      <c r="T836" t="n">
        <v>145.228</v>
      </c>
      <c r="U836" t="n">
        <v/>
      </c>
      <c r="V836" t="n">
        <v>133.8185</v>
      </c>
      <c r="W836" t="n">
        <v/>
      </c>
      <c r="X836" t="n">
        <v>147.0437</v>
      </c>
      <c r="Y836" t="n">
        <v/>
      </c>
      <c r="Z836" t="n">
        <v/>
      </c>
      <c r="AA836" t="n">
        <v>153.9202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132.6787</v>
      </c>
      <c r="C837" t="n">
        <v/>
      </c>
      <c r="D837" t="n">
        <v>152.0209</v>
      </c>
      <c r="E837" t="n">
        <v/>
      </c>
      <c r="F837" t="n">
        <v/>
      </c>
      <c r="G837" t="n">
        <v/>
      </c>
      <c r="H837" t="n">
        <v>154.0584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134.6501</v>
      </c>
      <c r="N837" t="n">
        <v>162.9759</v>
      </c>
      <c r="O837" t="n">
        <v/>
      </c>
      <c r="P837" t="n">
        <v/>
      </c>
      <c r="Q837" t="n">
        <v>119.5895</v>
      </c>
      <c r="R837" t="n">
        <v>146.4497</v>
      </c>
      <c r="S837" t="n">
        <v>119.2867</v>
      </c>
      <c r="T837" t="n">
        <v>145.8374</v>
      </c>
      <c r="U837" t="n">
        <v/>
      </c>
      <c r="V837" t="n">
        <v>135.1563</v>
      </c>
      <c r="W837" t="n">
        <v/>
      </c>
      <c r="X837" t="n">
        <v>147.7462</v>
      </c>
      <c r="Y837" t="n">
        <v/>
      </c>
      <c r="Z837" t="n">
        <v/>
      </c>
      <c r="AA837" t="n">
        <v>156.9481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133.578</v>
      </c>
      <c r="C838" t="n">
        <v/>
      </c>
      <c r="D838" t="n">
        <v>153.3471</v>
      </c>
      <c r="E838" t="n">
        <v/>
      </c>
      <c r="F838" t="n">
        <v/>
      </c>
      <c r="G838" t="n">
        <v/>
      </c>
      <c r="H838" t="n">
        <v>154.9289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134.7905</v>
      </c>
      <c r="N838" t="n">
        <v>165.5807</v>
      </c>
      <c r="O838" t="n">
        <v/>
      </c>
      <c r="P838" t="n">
        <v/>
      </c>
      <c r="Q838" t="n">
        <v>120.3922</v>
      </c>
      <c r="R838" t="n">
        <v>149.0759</v>
      </c>
      <c r="S838" t="n">
        <v>119.9406</v>
      </c>
      <c r="T838" t="n">
        <v>146.3757</v>
      </c>
      <c r="U838" t="n">
        <v/>
      </c>
      <c r="V838" t="n">
        <v>136.0137</v>
      </c>
      <c r="W838" t="n">
        <v/>
      </c>
      <c r="X838" t="n">
        <v>149.1122</v>
      </c>
      <c r="Y838" t="n">
        <v/>
      </c>
      <c r="Z838" t="n">
        <v/>
      </c>
      <c r="AA838" t="n">
        <v>159.406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134.3036</v>
      </c>
      <c r="C839" t="n">
        <v/>
      </c>
      <c r="D839" t="n">
        <v>149.9773</v>
      </c>
      <c r="E839" t="n">
        <v/>
      </c>
      <c r="F839" t="n">
        <v/>
      </c>
      <c r="G839" t="n">
        <v/>
      </c>
      <c r="H839" t="n">
        <v>155.9592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135.1835</v>
      </c>
      <c r="N839" t="n">
        <v>168.1232</v>
      </c>
      <c r="O839" t="n">
        <v/>
      </c>
      <c r="P839" t="n">
        <v/>
      </c>
      <c r="Q839" t="n">
        <v>121.0558</v>
      </c>
      <c r="R839" t="n">
        <v>151.378</v>
      </c>
      <c r="S839" t="n">
        <v>120.3108</v>
      </c>
      <c r="T839" t="n">
        <v>147.6214</v>
      </c>
      <c r="U839" t="n">
        <v/>
      </c>
      <c r="V839" t="n">
        <v>137.421</v>
      </c>
      <c r="W839" t="n">
        <v/>
      </c>
      <c r="X839" t="n">
        <v>149.9945</v>
      </c>
      <c r="Y839" t="n">
        <v/>
      </c>
      <c r="Z839" t="n">
        <v/>
      </c>
      <c r="AA839" t="n">
        <v>162.0954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135.1413</v>
      </c>
      <c r="C840" t="n">
        <v/>
      </c>
      <c r="D840" t="n">
        <v>150.6101</v>
      </c>
      <c r="E840" t="n">
        <v/>
      </c>
      <c r="F840" t="n">
        <v/>
      </c>
      <c r="G840" t="n">
        <v/>
      </c>
      <c r="H840" t="n">
        <v>155.9095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135.0896</v>
      </c>
      <c r="N840" t="n">
        <v>169.9365</v>
      </c>
      <c r="O840" t="n">
        <v/>
      </c>
      <c r="P840" t="n">
        <v/>
      </c>
      <c r="Q840" t="n">
        <v>121.751</v>
      </c>
      <c r="R840" t="n">
        <v>153.8108</v>
      </c>
      <c r="S840" t="n">
        <v>120.7966</v>
      </c>
      <c r="T840" t="n">
        <v>149.0209</v>
      </c>
      <c r="U840" t="n">
        <v/>
      </c>
      <c r="V840" t="n">
        <v>138.4978</v>
      </c>
      <c r="W840" t="n">
        <v/>
      </c>
      <c r="X840" t="n">
        <v>151.3639</v>
      </c>
      <c r="Y840" t="n">
        <v/>
      </c>
      <c r="Z840" t="n">
        <v/>
      </c>
      <c r="AA840" t="n">
        <v>164.6888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135.9342</v>
      </c>
      <c r="C841" t="n">
        <v/>
      </c>
      <c r="D841" t="n">
        <v>151.179</v>
      </c>
      <c r="E841" t="n">
        <v/>
      </c>
      <c r="F841" t="n">
        <v/>
      </c>
      <c r="G841" t="n">
        <v/>
      </c>
      <c r="H841" t="n">
        <v>156.2766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136.2741</v>
      </c>
      <c r="N841" t="n">
        <v>173.3893</v>
      </c>
      <c r="O841" t="n">
        <v/>
      </c>
      <c r="P841" t="n">
        <v/>
      </c>
      <c r="Q841" t="n">
        <v>122.5301</v>
      </c>
      <c r="R841" t="n">
        <v>156.0652</v>
      </c>
      <c r="S841" t="n">
        <v>121.1847</v>
      </c>
      <c r="T841" t="n">
        <v>149.5323</v>
      </c>
      <c r="U841" t="n">
        <v/>
      </c>
      <c r="V841" t="n">
        <v>139.0635</v>
      </c>
      <c r="W841" t="n">
        <v/>
      </c>
      <c r="X841" t="n">
        <v>152.4083</v>
      </c>
      <c r="Y841" t="n">
        <v/>
      </c>
      <c r="Z841" t="n">
        <v/>
      </c>
      <c r="AA841" t="n">
        <v>165.1437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90" t="n">
        <v>44197</v>
      </c>
      <c r="B842" t="n">
        <v>136.7103</v>
      </c>
      <c r="C842" t="n">
        <v/>
      </c>
      <c r="D842" t="n">
        <v>152.2179</v>
      </c>
      <c r="E842" t="n">
        <v/>
      </c>
      <c r="F842" t="n">
        <v/>
      </c>
      <c r="G842" t="n">
        <v/>
      </c>
      <c r="H842" t="n">
        <v>157.5067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137.6498</v>
      </c>
      <c r="N842" t="n">
        <v>176.9291</v>
      </c>
      <c r="O842" t="n">
        <v/>
      </c>
      <c r="P842" t="n">
        <v/>
      </c>
      <c r="Q842" t="n">
        <v>123.3292</v>
      </c>
      <c r="R842" t="n">
        <v>158.0166</v>
      </c>
      <c r="S842" t="n">
        <v>121.7173</v>
      </c>
      <c r="T842" t="n">
        <v>150.1967</v>
      </c>
      <c r="U842" t="n">
        <v/>
      </c>
      <c r="V842" t="n">
        <v>139.8586</v>
      </c>
      <c r="W842" t="n">
        <v/>
      </c>
      <c r="X842" t="n">
        <v>153.9938</v>
      </c>
      <c r="Y842" t="n">
        <v/>
      </c>
      <c r="Z842" t="n">
        <v/>
      </c>
      <c r="AA842" t="n">
        <v>165.4803</v>
      </c>
      <c r="AB842" t="n">
        <v/>
      </c>
      <c r="AC842" t="n">
        <v/>
      </c>
      <c r="AD842" t="n">
        <v>160.8336</v>
      </c>
      <c r="AE842" t="n">
        <v>144.8026</v>
      </c>
    </row>
    <row r="843">
      <c r="A843" s="90" t="n">
        <v>44228</v>
      </c>
      <c r="B843" t="n">
        <v>137.4275</v>
      </c>
      <c r="C843" t="n">
        <v/>
      </c>
      <c r="D843" t="n">
        <v>153.3678</v>
      </c>
      <c r="E843" t="n">
        <v/>
      </c>
      <c r="F843" t="n">
        <v/>
      </c>
      <c r="G843" t="n">
        <v/>
      </c>
      <c r="H843" t="n">
        <v>158.3419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138.2677</v>
      </c>
      <c r="N843" t="n">
        <v>179.2882</v>
      </c>
      <c r="O843" t="n">
        <v/>
      </c>
      <c r="P843" t="n">
        <v/>
      </c>
      <c r="Q843" t="n">
        <v>124.1201</v>
      </c>
      <c r="R843" t="n">
        <v>159.9153</v>
      </c>
      <c r="S843" t="n">
        <v>122.1502</v>
      </c>
      <c r="T843" t="n">
        <v>151.631</v>
      </c>
      <c r="U843" t="n">
        <v/>
      </c>
      <c r="V843" t="n">
        <v>141.8697</v>
      </c>
      <c r="W843" t="n">
        <v/>
      </c>
      <c r="X843" t="n">
        <v>155.5095</v>
      </c>
      <c r="Y843" t="n">
        <v/>
      </c>
      <c r="Z843" t="n">
        <v/>
      </c>
      <c r="AA843" t="n">
        <v>166.7866</v>
      </c>
      <c r="AB843" t="n">
        <v/>
      </c>
      <c r="AC843" t="n">
        <v/>
      </c>
      <c r="AD843" t="n">
        <v>162.8494</v>
      </c>
      <c r="AE843" t="n">
        <v>145.1855</v>
      </c>
    </row>
    <row r="844">
      <c r="A844" s="90" t="n">
        <v>44256</v>
      </c>
      <c r="B844" t="n">
        <v>137.8029</v>
      </c>
      <c r="C844" t="n">
        <v/>
      </c>
      <c r="D844" t="n">
        <v>153.6772</v>
      </c>
      <c r="E844" t="n">
        <v/>
      </c>
      <c r="F844" t="n">
        <v/>
      </c>
      <c r="G844" t="n">
        <v/>
      </c>
      <c r="H844" t="n">
        <v>159.3102</v>
      </c>
      <c r="I844" t="n">
        <v>136.8376</v>
      </c>
      <c r="J844" t="n">
        <v>158.9986</v>
      </c>
      <c r="K844" t="n">
        <v/>
      </c>
      <c r="L844" t="n">
        <v>138.1805</v>
      </c>
      <c r="M844" t="n">
        <v>139.19</v>
      </c>
      <c r="N844" t="n">
        <v>181.7229</v>
      </c>
      <c r="O844" t="n">
        <v/>
      </c>
      <c r="P844" t="n">
        <v/>
      </c>
      <c r="Q844" t="n">
        <v>124.9445</v>
      </c>
      <c r="R844" t="n">
        <v>161.7374</v>
      </c>
      <c r="S844" t="n">
        <v>122.5467</v>
      </c>
      <c r="T844" t="n">
        <v>153.1997</v>
      </c>
      <c r="U844" t="n">
        <v/>
      </c>
      <c r="V844" t="n">
        <v>143.3259</v>
      </c>
      <c r="W844" t="n">
        <v/>
      </c>
      <c r="X844" t="n">
        <v>156.9637</v>
      </c>
      <c r="Y844" t="n">
        <v/>
      </c>
      <c r="Z844" t="n">
        <v/>
      </c>
      <c r="AA844" t="n">
        <v>167.8589</v>
      </c>
      <c r="AB844" t="n">
        <v/>
      </c>
      <c r="AC844" t="n">
        <v/>
      </c>
      <c r="AD844" t="n">
        <v>164.827</v>
      </c>
      <c r="AE844" t="n">
        <v>144.9261</v>
      </c>
    </row>
    <row r="845">
      <c r="A845" s="90" t="n">
        <v>44287</v>
      </c>
      <c r="B845" t="n">
        <v>138.1615</v>
      </c>
      <c r="C845" t="n">
        <v/>
      </c>
      <c r="D845" t="n">
        <v>153.5755</v>
      </c>
      <c r="E845" t="n">
        <v/>
      </c>
      <c r="F845" t="n">
        <v/>
      </c>
      <c r="G845" t="n">
        <v/>
      </c>
      <c r="H845" t="n">
        <v>160.1978</v>
      </c>
      <c r="I845" t="n">
        <v>137.5715</v>
      </c>
      <c r="J845" t="n">
        <v>160.1879</v>
      </c>
      <c r="K845" t="n">
        <v/>
      </c>
      <c r="L845" t="n">
        <v>139.0142</v>
      </c>
      <c r="M845" t="n">
        <v>140.1964</v>
      </c>
      <c r="N845" t="n">
        <v>182.8293</v>
      </c>
      <c r="O845" t="n">
        <v/>
      </c>
      <c r="P845" t="n">
        <v/>
      </c>
      <c r="Q845" t="n">
        <v>125.8224</v>
      </c>
      <c r="R845" t="n">
        <v>163.7048</v>
      </c>
      <c r="S845" t="n">
        <v>122.9391</v>
      </c>
      <c r="T845" t="n">
        <v>155.7242</v>
      </c>
      <c r="U845" t="n">
        <v/>
      </c>
      <c r="V845" t="n">
        <v>144.3737</v>
      </c>
      <c r="W845" t="n">
        <v/>
      </c>
      <c r="X845" t="n">
        <v>158.5214</v>
      </c>
      <c r="Y845" t="n">
        <v/>
      </c>
      <c r="Z845" t="n">
        <v/>
      </c>
      <c r="AA845" t="n">
        <v>168.6861</v>
      </c>
      <c r="AB845" t="n">
        <v/>
      </c>
      <c r="AC845" t="n">
        <v/>
      </c>
      <c r="AD845" t="n">
        <v>166.9598</v>
      </c>
      <c r="AE845" t="n">
        <v>144.8995</v>
      </c>
    </row>
    <row r="846">
      <c r="A846" s="90" t="n">
        <v>44317</v>
      </c>
      <c r="B846" t="n">
        <v>138.5342</v>
      </c>
      <c r="C846" t="n">
        <v/>
      </c>
      <c r="D846" t="n">
        <v>155.5913</v>
      </c>
      <c r="E846" t="n">
        <v/>
      </c>
      <c r="F846" t="n">
        <v/>
      </c>
      <c r="G846" t="n">
        <v/>
      </c>
      <c r="H846" t="n">
        <v>161.4778</v>
      </c>
      <c r="I846" t="n">
        <v>138.3573</v>
      </c>
      <c r="J846" t="n">
        <v>161.0406</v>
      </c>
      <c r="K846" t="n">
        <v/>
      </c>
      <c r="L846" t="n">
        <v>139.9006</v>
      </c>
      <c r="M846" t="n">
        <v>140.9441</v>
      </c>
      <c r="N846" t="n">
        <v>183.0866</v>
      </c>
      <c r="O846" t="n">
        <v/>
      </c>
      <c r="P846" t="n">
        <v/>
      </c>
      <c r="Q846" t="n">
        <v>126.7349</v>
      </c>
      <c r="R846" t="n">
        <v>165.2197</v>
      </c>
      <c r="S846" t="n">
        <v>123.2841</v>
      </c>
      <c r="T846" t="n">
        <v>156.8199</v>
      </c>
      <c r="U846" t="n">
        <v/>
      </c>
      <c r="V846" t="n">
        <v>146.0436</v>
      </c>
      <c r="W846" t="n">
        <v/>
      </c>
      <c r="X846" t="n">
        <v>160.2918</v>
      </c>
      <c r="Y846" t="n">
        <v/>
      </c>
      <c r="Z846" t="n">
        <v/>
      </c>
      <c r="AA846" t="n">
        <v>169.9181</v>
      </c>
      <c r="AB846" t="n">
        <v/>
      </c>
      <c r="AC846" t="n">
        <v/>
      </c>
      <c r="AD846" t="n">
        <v>169.5177</v>
      </c>
      <c r="AE846" t="n">
        <v>145.0968</v>
      </c>
    </row>
    <row r="847">
      <c r="A847" s="90" t="n">
        <v>44348</v>
      </c>
      <c r="B847" t="n">
        <v>139.6072</v>
      </c>
      <c r="C847" t="n">
        <v/>
      </c>
      <c r="D847" t="n">
        <v>156.3659</v>
      </c>
      <c r="E847" t="n">
        <v/>
      </c>
      <c r="F847" t="n">
        <v/>
      </c>
      <c r="G847" t="n">
        <v/>
      </c>
      <c r="H847" t="n">
        <v>162.8912</v>
      </c>
      <c r="I847" t="n">
        <v>138.9272</v>
      </c>
      <c r="J847" t="n">
        <v>161.9499</v>
      </c>
      <c r="K847" t="n">
        <v/>
      </c>
      <c r="L847" t="n">
        <v>140.7967</v>
      </c>
      <c r="M847" t="n">
        <v>141.8604</v>
      </c>
      <c r="N847" t="n">
        <v>184.5106</v>
      </c>
      <c r="O847" t="n">
        <v/>
      </c>
      <c r="P847" t="n">
        <v/>
      </c>
      <c r="Q847" t="n">
        <v>127.7043</v>
      </c>
      <c r="R847" t="n">
        <v>167.5073</v>
      </c>
      <c r="S847" t="n">
        <v>123.5836</v>
      </c>
      <c r="T847" t="n">
        <v>156.9046</v>
      </c>
      <c r="U847" t="n">
        <v/>
      </c>
      <c r="V847" t="n">
        <v>147.1435</v>
      </c>
      <c r="W847" t="n">
        <v/>
      </c>
      <c r="X847" t="n">
        <v>160.7898</v>
      </c>
      <c r="Y847" t="n">
        <v/>
      </c>
      <c r="Z847" t="n">
        <v/>
      </c>
      <c r="AA847" t="n">
        <v>171.1432</v>
      </c>
      <c r="AB847" t="n">
        <v/>
      </c>
      <c r="AC847" t="n">
        <v/>
      </c>
      <c r="AD847" t="n">
        <v>169.863</v>
      </c>
      <c r="AE847" t="n">
        <v>145.086</v>
      </c>
    </row>
    <row r="848">
      <c r="A848" s="90" t="n">
        <v>44378</v>
      </c>
      <c r="B848" t="n">
        <v>141.5095</v>
      </c>
      <c r="C848" t="n">
        <v/>
      </c>
      <c r="D848" t="n">
        <v>158.9334</v>
      </c>
      <c r="E848" t="n">
        <v/>
      </c>
      <c r="F848" t="n">
        <v/>
      </c>
      <c r="G848" t="n">
        <v/>
      </c>
      <c r="H848" t="n">
        <v>164.2924</v>
      </c>
      <c r="I848" t="n">
        <v>139.4971</v>
      </c>
      <c r="J848" t="n">
        <v>162.7865</v>
      </c>
      <c r="K848" t="n">
        <v/>
      </c>
      <c r="L848" t="n">
        <v>141.9075</v>
      </c>
      <c r="M848" t="n">
        <v>142.4049</v>
      </c>
      <c r="N848" t="n">
        <v>187.5316</v>
      </c>
      <c r="O848" t="n">
        <v/>
      </c>
      <c r="P848" t="n">
        <v/>
      </c>
      <c r="Q848" t="n">
        <v>128.7641</v>
      </c>
      <c r="R848" t="n">
        <v>171.1818</v>
      </c>
      <c r="S848" t="n">
        <v>123.879</v>
      </c>
      <c r="T848" t="n">
        <v>158.2462</v>
      </c>
      <c r="U848" t="n">
        <v/>
      </c>
      <c r="V848" t="n">
        <v>148.3956</v>
      </c>
      <c r="W848" t="n">
        <v/>
      </c>
      <c r="X848" t="n">
        <v>162.0174</v>
      </c>
      <c r="Y848" t="n">
        <v/>
      </c>
      <c r="Z848" t="n">
        <v/>
      </c>
      <c r="AA848" t="n">
        <v>171.8606</v>
      </c>
      <c r="AB848" t="n">
        <v/>
      </c>
      <c r="AC848" t="n">
        <v/>
      </c>
      <c r="AD848" t="n">
        <v>171.1964</v>
      </c>
      <c r="AE848" t="n">
        <v>145.761</v>
      </c>
    </row>
    <row r="849">
      <c r="A849" s="90" t="n">
        <v>44409</v>
      </c>
      <c r="B849" t="n">
        <v>142.5518</v>
      </c>
      <c r="C849" t="n">
        <v/>
      </c>
      <c r="D849" t="n">
        <v>160.1783</v>
      </c>
      <c r="E849" t="n">
        <v/>
      </c>
      <c r="F849" t="n">
        <v/>
      </c>
      <c r="G849" t="n">
        <v/>
      </c>
      <c r="H849" t="n">
        <v>165.7447</v>
      </c>
      <c r="I849" t="n">
        <v>140.067</v>
      </c>
      <c r="J849" t="n">
        <v>163.5496</v>
      </c>
      <c r="K849" t="n">
        <v/>
      </c>
      <c r="L849" t="n">
        <v>142.7649</v>
      </c>
      <c r="M849" t="n">
        <v>142.8051</v>
      </c>
      <c r="N849" t="n">
        <v>189.6644</v>
      </c>
      <c r="O849" t="n">
        <v/>
      </c>
      <c r="P849" t="n">
        <v/>
      </c>
      <c r="Q849" t="n">
        <v>129.9127</v>
      </c>
      <c r="R849" t="n">
        <v>173.1283</v>
      </c>
      <c r="S849" t="n">
        <v>124.1613</v>
      </c>
      <c r="T849" t="n">
        <v>159.6352</v>
      </c>
      <c r="U849" t="n">
        <v/>
      </c>
      <c r="V849" t="n">
        <v>149.3261</v>
      </c>
      <c r="W849" t="n">
        <v/>
      </c>
      <c r="X849" t="n">
        <v>163.4253</v>
      </c>
      <c r="Y849" t="n">
        <v/>
      </c>
      <c r="Z849" t="n">
        <v/>
      </c>
      <c r="AA849" t="n">
        <v>172.5441</v>
      </c>
      <c r="AB849" t="n">
        <v/>
      </c>
      <c r="AC849" t="n">
        <v/>
      </c>
      <c r="AD849" t="n">
        <v>173.1266</v>
      </c>
      <c r="AE849" t="n">
        <v>147.4206</v>
      </c>
    </row>
    <row r="850">
      <c r="A850" s="90" t="n">
        <v>44440</v>
      </c>
      <c r="B850" t="n">
        <v>143.5968</v>
      </c>
      <c r="C850" t="n">
        <v/>
      </c>
      <c r="D850" t="n">
        <v>160.9095</v>
      </c>
      <c r="E850" t="n">
        <v/>
      </c>
      <c r="F850" t="n">
        <v/>
      </c>
      <c r="G850" t="n">
        <v/>
      </c>
      <c r="H850" t="n">
        <v>166.4207</v>
      </c>
      <c r="I850" t="n">
        <v>140.637</v>
      </c>
      <c r="J850" t="n">
        <v>164.182</v>
      </c>
      <c r="K850" t="n">
        <v/>
      </c>
      <c r="L850" t="n">
        <v>143.091</v>
      </c>
      <c r="M850" t="n">
        <v>144.4691</v>
      </c>
      <c r="N850" t="n">
        <v>191.7592</v>
      </c>
      <c r="O850" t="n">
        <v/>
      </c>
      <c r="P850" t="n">
        <v/>
      </c>
      <c r="Q850" t="n">
        <v>131.1326</v>
      </c>
      <c r="R850" t="n">
        <v>174.7767</v>
      </c>
      <c r="S850" t="n">
        <v>124.4294</v>
      </c>
      <c r="T850" t="n">
        <v>160.4632</v>
      </c>
      <c r="U850" t="n">
        <v/>
      </c>
      <c r="V850" t="n">
        <v>150.1435</v>
      </c>
      <c r="W850" t="n">
        <v/>
      </c>
      <c r="X850" t="n">
        <v>164.4452</v>
      </c>
      <c r="Y850" t="n">
        <v/>
      </c>
      <c r="Z850" t="n">
        <v/>
      </c>
      <c r="AA850" t="n">
        <v>174.0162</v>
      </c>
      <c r="AB850" t="n">
        <v/>
      </c>
      <c r="AC850" t="n">
        <v/>
      </c>
      <c r="AD850" t="n">
        <v>174.2806</v>
      </c>
      <c r="AE850" t="n">
        <v>148.7777</v>
      </c>
    </row>
    <row r="851">
      <c r="A851" s="90" t="n">
        <v>44470</v>
      </c>
      <c r="B851" t="n">
        <v>145.0116</v>
      </c>
      <c r="C851" t="n">
        <v/>
      </c>
      <c r="D851" t="n">
        <v>161.0288</v>
      </c>
      <c r="E851" t="n">
        <v/>
      </c>
      <c r="F851" t="n">
        <v/>
      </c>
      <c r="G851" t="n">
        <v/>
      </c>
      <c r="H851" t="n">
        <v>167.9161</v>
      </c>
      <c r="I851" t="n">
        <v>141.2069</v>
      </c>
      <c r="J851" t="n">
        <v>164.6461</v>
      </c>
      <c r="K851" t="n">
        <v/>
      </c>
      <c r="L851" t="n">
        <v>143.8714</v>
      </c>
      <c r="M851" t="n">
        <v>145.8168</v>
      </c>
      <c r="N851" t="n">
        <v>195.0482</v>
      </c>
      <c r="O851" t="n">
        <v/>
      </c>
      <c r="P851" t="n">
        <v/>
      </c>
      <c r="Q851" t="n">
        <v>132.3727</v>
      </c>
      <c r="R851" t="n">
        <v>176.2846</v>
      </c>
      <c r="S851" t="n">
        <v>124.7843</v>
      </c>
      <c r="T851" t="n">
        <v>161.3676</v>
      </c>
      <c r="U851" t="n">
        <v/>
      </c>
      <c r="V851" t="n">
        <v>150.5805</v>
      </c>
      <c r="W851" t="n">
        <v/>
      </c>
      <c r="X851" t="n">
        <v>165.5148</v>
      </c>
      <c r="Y851" t="n">
        <v/>
      </c>
      <c r="Z851" t="n">
        <v/>
      </c>
      <c r="AA851" t="n">
        <v>176.0383</v>
      </c>
      <c r="AB851" t="n">
        <v/>
      </c>
      <c r="AC851" t="n">
        <v/>
      </c>
      <c r="AD851" t="n">
        <v>175.54</v>
      </c>
      <c r="AE851" t="n">
        <v>149.3851</v>
      </c>
    </row>
    <row r="852">
      <c r="A852" s="90" t="n">
        <v>44501</v>
      </c>
      <c r="B852" t="n">
        <v>146.0735</v>
      </c>
      <c r="C852" t="n">
        <v/>
      </c>
      <c r="D852" t="n">
        <v>162.8716</v>
      </c>
      <c r="E852" t="n">
        <v/>
      </c>
      <c r="F852" t="n">
        <v/>
      </c>
      <c r="G852" t="n">
        <v/>
      </c>
      <c r="H852" t="n">
        <v>170.1776</v>
      </c>
      <c r="I852" t="n">
        <v>141.7768</v>
      </c>
      <c r="J852" t="n">
        <v>165.2357</v>
      </c>
      <c r="K852" t="n">
        <v/>
      </c>
      <c r="L852" t="n">
        <v>144.9217</v>
      </c>
      <c r="M852" t="n">
        <v>146.6188</v>
      </c>
      <c r="N852" t="n">
        <v>199.2231</v>
      </c>
      <c r="O852" t="n">
        <v/>
      </c>
      <c r="P852" t="n">
        <v/>
      </c>
      <c r="Q852" t="n">
        <v>133.5994</v>
      </c>
      <c r="R852" t="n">
        <v>177.2722</v>
      </c>
      <c r="S852" t="n">
        <v>125.0818</v>
      </c>
      <c r="T852" t="n">
        <v>162.8601</v>
      </c>
      <c r="U852" t="n">
        <v/>
      </c>
      <c r="V852" t="n">
        <v>151.7081</v>
      </c>
      <c r="W852" t="n">
        <v/>
      </c>
      <c r="X852" t="n">
        <v>166.8998</v>
      </c>
      <c r="Y852" t="n">
        <v/>
      </c>
      <c r="Z852" t="n">
        <v/>
      </c>
      <c r="AA852" t="n">
        <v>177.7672</v>
      </c>
      <c r="AB852" t="n">
        <v/>
      </c>
      <c r="AC852" t="n">
        <v/>
      </c>
      <c r="AD852" t="n">
        <v>177.2444</v>
      </c>
      <c r="AE852" t="n">
        <v>150.8226</v>
      </c>
    </row>
    <row r="853">
      <c r="A853" s="90" t="n">
        <v>44531</v>
      </c>
      <c r="B853" t="n">
        <v>147.8161</v>
      </c>
      <c r="C853" t="n">
        <v/>
      </c>
      <c r="D853" t="n">
        <v>163.1942</v>
      </c>
      <c r="E853" t="n">
        <v/>
      </c>
      <c r="F853" t="n">
        <v/>
      </c>
      <c r="G853" t="n">
        <v/>
      </c>
      <c r="H853" t="n">
        <v>173.5087</v>
      </c>
      <c r="I853" t="n">
        <v>142.3468</v>
      </c>
      <c r="J853" t="n">
        <v>164.134</v>
      </c>
      <c r="K853" t="n">
        <v/>
      </c>
      <c r="L853" t="n">
        <v>145.7889</v>
      </c>
      <c r="M853" t="n">
        <v>147.3186</v>
      </c>
      <c r="N853" t="n">
        <v>203.1944</v>
      </c>
      <c r="O853" t="n">
        <v/>
      </c>
      <c r="P853" t="n">
        <v/>
      </c>
      <c r="Q853" t="n">
        <v>134.6446</v>
      </c>
      <c r="R853" t="n">
        <v>179.7463</v>
      </c>
      <c r="S853" t="n">
        <v>125.307</v>
      </c>
      <c r="T853" t="n">
        <v>164.0382</v>
      </c>
      <c r="U853" t="n">
        <v/>
      </c>
      <c r="V853" t="n">
        <v>153.4863</v>
      </c>
      <c r="W853" t="n">
        <v/>
      </c>
      <c r="X853" t="n">
        <v>167.9239</v>
      </c>
      <c r="Y853" t="n">
        <v/>
      </c>
      <c r="Z853" t="n">
        <v/>
      </c>
      <c r="AA853" t="n">
        <v>180.5699</v>
      </c>
      <c r="AB853" t="n">
        <v/>
      </c>
      <c r="AC853" t="n">
        <v/>
      </c>
      <c r="AD853" t="n">
        <v>178.4126</v>
      </c>
      <c r="AE853" t="n">
        <v>152.4621</v>
      </c>
    </row>
    <row r="854">
      <c r="A854" s="90" t="n">
        <v>44562</v>
      </c>
      <c r="B854" t="n">
        <v>149.0404</v>
      </c>
      <c r="C854" t="n">
        <v/>
      </c>
      <c r="D854" t="n">
        <v>164.8636</v>
      </c>
      <c r="E854" t="n">
        <v/>
      </c>
      <c r="F854" t="n">
        <v/>
      </c>
      <c r="G854" t="n">
        <v/>
      </c>
      <c r="H854" t="n">
        <v>176.6075</v>
      </c>
      <c r="I854" t="n">
        <v>142.9167</v>
      </c>
      <c r="J854" t="n">
        <v>163.8779</v>
      </c>
      <c r="K854" t="n">
        <v/>
      </c>
      <c r="L854" t="n">
        <v>146.115</v>
      </c>
      <c r="M854" t="n">
        <v>146.9984</v>
      </c>
      <c r="N854" t="n">
        <v>204.9416</v>
      </c>
      <c r="O854" t="n">
        <v/>
      </c>
      <c r="P854" t="n">
        <v/>
      </c>
      <c r="Q854" t="n">
        <v>135.3532</v>
      </c>
      <c r="R854" t="n">
        <v>180.9467</v>
      </c>
      <c r="S854" t="n">
        <v>125.7228</v>
      </c>
      <c r="T854" t="n">
        <v>165.025</v>
      </c>
      <c r="U854" t="n">
        <v/>
      </c>
      <c r="V854" t="n">
        <v>154.9182</v>
      </c>
      <c r="W854" t="n">
        <v/>
      </c>
      <c r="X854" t="n">
        <v>168.9807</v>
      </c>
      <c r="Y854" t="n">
        <v/>
      </c>
      <c r="Z854" t="n">
        <v/>
      </c>
      <c r="AA854" t="n">
        <v>183.7626</v>
      </c>
      <c r="AB854" t="n">
        <v/>
      </c>
      <c r="AC854" t="n">
        <v/>
      </c>
      <c r="AD854" t="n">
        <v>179.7376</v>
      </c>
      <c r="AE854" t="n">
        <v>152.9015</v>
      </c>
    </row>
    <row r="855">
      <c r="A855" s="90" t="n">
        <v>44593</v>
      </c>
      <c r="B855" t="n">
        <v>149.329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177.3368</v>
      </c>
      <c r="I855" t="n">
        <v>143.4866</v>
      </c>
      <c r="J855" t="n">
        <v>166.2576</v>
      </c>
      <c r="K855" t="n">
        <v/>
      </c>
      <c r="L855" t="n">
        <v>146.2153</v>
      </c>
      <c r="M855" t="n">
        <v>147.6725</v>
      </c>
      <c r="N855" t="n">
        <v>207.3881</v>
      </c>
      <c r="O855" t="n">
        <v/>
      </c>
      <c r="P855" t="n">
        <v/>
      </c>
      <c r="Q855" t="n">
        <v>135.8902</v>
      </c>
      <c r="R855" t="n">
        <v>181.9304</v>
      </c>
      <c r="S855" t="n">
        <v>126.0628</v>
      </c>
      <c r="T855" t="n">
        <v>165.9249</v>
      </c>
      <c r="U855" t="n">
        <v/>
      </c>
      <c r="V855" t="n">
        <v>155.3603</v>
      </c>
      <c r="W855" t="n">
        <v/>
      </c>
      <c r="X855" t="n">
        <v>169.5767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180.2274</v>
      </c>
      <c r="AE855" t="n">
        <v>153.6773</v>
      </c>
    </row>
    <row r="856">
      <c r="A856" s="90" t="n">
        <v>44621</v>
      </c>
      <c r="B856" t="n">
        <v>150.1499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178.4444</v>
      </c>
      <c r="I856" t="n">
        <v>144.0565</v>
      </c>
      <c r="J856" t="n">
        <v>167.8531</v>
      </c>
      <c r="K856" t="n">
        <v/>
      </c>
      <c r="L856" t="n">
        <v>146.903</v>
      </c>
      <c r="M856" t="n">
        <v>149.3651</v>
      </c>
      <c r="N856" t="n">
        <v>209.99</v>
      </c>
      <c r="O856" t="n">
        <v/>
      </c>
      <c r="P856" t="n">
        <v/>
      </c>
      <c r="Q856" t="n">
        <v>136.3759</v>
      </c>
      <c r="R856" t="n">
        <v>182.5559</v>
      </c>
      <c r="S856" t="n">
        <v>126.3712</v>
      </c>
      <c r="T856" t="n">
        <v>166.2056</v>
      </c>
      <c r="U856" t="n">
        <v/>
      </c>
      <c r="V856" t="n">
        <v>156.2707</v>
      </c>
      <c r="W856" t="n">
        <v/>
      </c>
      <c r="X856" t="n">
        <v>170.0986</v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180.4873</v>
      </c>
      <c r="AE856" t="n">
        <v>155.6474</v>
      </c>
    </row>
    <row r="857">
      <c r="A857" s="90" t="n">
        <v>44652</v>
      </c>
      <c r="B857" t="n">
        <v>151.2257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180.2737</v>
      </c>
      <c r="I857" t="n">
        <v>144.6265</v>
      </c>
      <c r="J857" t="n">
        <v>168.4133</v>
      </c>
      <c r="K857" t="n">
        <v/>
      </c>
      <c r="L857" t="n">
        <v>147.9454</v>
      </c>
      <c r="M857" t="n">
        <v>149.8728</v>
      </c>
      <c r="N857" t="n">
        <v>211.8577</v>
      </c>
      <c r="O857" t="n">
        <v/>
      </c>
      <c r="P857" t="n">
        <v/>
      </c>
      <c r="Q857" t="n">
        <v>136.7534</v>
      </c>
      <c r="R857" t="n">
        <v>182.7251</v>
      </c>
      <c r="S857" t="n">
        <v>126.7356</v>
      </c>
      <c r="T857" t="n">
        <v>166.5137</v>
      </c>
      <c r="U857" t="n">
        <v/>
      </c>
      <c r="V857" t="n">
        <v>157.9967</v>
      </c>
      <c r="W857" t="n">
        <v/>
      </c>
      <c r="X857" t="n">
        <v>170.0515</v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>179.7866</v>
      </c>
      <c r="AE857" t="n">
        <v>156.4266</v>
      </c>
    </row>
    <row r="858">
      <c r="A858" s="90" t="n">
        <v>44682</v>
      </c>
      <c r="B858" t="n">
        <v>152.3128</v>
      </c>
      <c r="C858" t="n">
        <v/>
      </c>
      <c r="D858" t="n">
        <v>169.7496</v>
      </c>
      <c r="E858" t="n">
        <v/>
      </c>
      <c r="F858" t="n">
        <v/>
      </c>
      <c r="G858" t="n">
        <v/>
      </c>
      <c r="H858" t="n">
        <v>181.8024</v>
      </c>
      <c r="I858" t="n">
        <v>145.1964</v>
      </c>
      <c r="J858" t="n">
        <v>169.6831</v>
      </c>
      <c r="K858" t="n">
        <v/>
      </c>
      <c r="L858" t="n">
        <v>148.7107</v>
      </c>
      <c r="M858" t="n">
        <v>149.5887</v>
      </c>
      <c r="N858" t="n">
        <v>214.3396</v>
      </c>
      <c r="O858" t="n">
        <v/>
      </c>
      <c r="P858" t="n">
        <v/>
      </c>
      <c r="Q858" t="n">
        <v>137.0909</v>
      </c>
      <c r="R858" t="n">
        <v>184.5014</v>
      </c>
      <c r="S858" t="n">
        <v>126.7862</v>
      </c>
      <c r="T858" t="n">
        <v>167.637</v>
      </c>
      <c r="U858" t="n">
        <v/>
      </c>
      <c r="V858" t="n">
        <v>158.9272</v>
      </c>
      <c r="W858" t="n">
        <v/>
      </c>
      <c r="X858" t="n">
        <v>170.4546</v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>180.0265</v>
      </c>
      <c r="AE858" t="n">
        <v>156.0393</v>
      </c>
    </row>
    <row r="859">
      <c r="A859" s="90" t="n">
        <v>44713</v>
      </c>
      <c r="B859" t="n">
        <v>153.6548</v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>183.8009</v>
      </c>
      <c r="I859" t="n">
        <v>145.7663</v>
      </c>
      <c r="J859" t="n">
        <v>170.5556</v>
      </c>
      <c r="K859" t="n">
        <v/>
      </c>
      <c r="L859" t="n">
        <v>149.34</v>
      </c>
      <c r="M859" t="n">
        <v>150.1275</v>
      </c>
      <c r="N859" t="n">
        <v>216.953</v>
      </c>
      <c r="O859" t="n">
        <v/>
      </c>
      <c r="P859" t="n">
        <v/>
      </c>
      <c r="Q859" t="n">
        <v>137.4973</v>
      </c>
      <c r="R859" t="n">
        <v>187.5412</v>
      </c>
      <c r="S859" t="n">
        <v>127.2527</v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>179.8862</v>
      </c>
      <c r="AE859" t="n">
        <v>156.3404</v>
      </c>
    </row>
    <row r="860">
      <c r="A860" s="90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>146.3363</v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9203759</v>
      </c>
      <c r="C2" s="91" t="n">
        <v>44713</v>
      </c>
      <c r="D2" t="n">
        <v>8162697</v>
      </c>
      <c r="E2" t="inlineStr">
        <is>
          <t>ARS Million</t>
        </is>
      </c>
    </row>
    <row r="3">
      <c r="A3" t="inlineStr">
        <is>
          <t>Brazil</t>
        </is>
      </c>
      <c r="B3" t="n">
        <v>4432101</v>
      </c>
      <c r="C3" s="91" t="n">
        <v>44652</v>
      </c>
      <c r="D3" t="n">
        <v>4360675</v>
      </c>
      <c r="E3" t="inlineStr">
        <is>
          <t>BRL Million</t>
        </is>
      </c>
    </row>
    <row r="4">
      <c r="A4" t="inlineStr">
        <is>
          <t>Canada</t>
        </is>
      </c>
      <c r="B4" t="n">
        <v>2358518</v>
      </c>
      <c r="C4" s="91" t="n">
        <v>44682</v>
      </c>
      <c r="D4" t="n">
        <v>2347490</v>
      </c>
      <c r="E4" t="inlineStr">
        <is>
          <t>CAD Million</t>
        </is>
      </c>
    </row>
    <row r="5">
      <c r="A5" t="inlineStr">
        <is>
          <t>China</t>
        </is>
      </c>
      <c r="B5" t="n">
        <v>257808</v>
      </c>
      <c r="C5" s="91" t="n">
        <v>44743</v>
      </c>
      <c r="D5" t="n">
        <v>258145</v>
      </c>
      <c r="E5" t="inlineStr">
        <is>
          <t>CNY Billion</t>
        </is>
      </c>
    </row>
    <row r="6">
      <c r="A6" t="inlineStr">
        <is>
          <t>Euro Area</t>
        </is>
      </c>
      <c r="B6" t="n">
        <v>15068115</v>
      </c>
      <c r="C6" s="91" t="n">
        <v>44713</v>
      </c>
      <c r="D6" t="n">
        <v>14996203</v>
      </c>
      <c r="E6" t="inlineStr">
        <is>
          <t>EUR Million</t>
        </is>
      </c>
    </row>
    <row r="7">
      <c r="A7" t="inlineStr">
        <is>
          <t>France</t>
        </is>
      </c>
      <c r="B7" t="n">
        <v>2968102</v>
      </c>
      <c r="C7" s="91" t="n">
        <v>44713</v>
      </c>
      <c r="D7" t="n">
        <v>2949583</v>
      </c>
      <c r="E7" t="inlineStr">
        <is>
          <t>EUR Million</t>
        </is>
      </c>
    </row>
    <row r="8">
      <c r="A8" t="inlineStr">
        <is>
          <t>Germany</t>
        </is>
      </c>
      <c r="B8" t="n">
        <v>3727</v>
      </c>
      <c r="C8" s="91" t="n">
        <v>44713</v>
      </c>
      <c r="D8" t="n">
        <v>3690</v>
      </c>
      <c r="E8" t="inlineStr">
        <is>
          <t>EUR Billion</t>
        </is>
      </c>
    </row>
    <row r="9">
      <c r="A9" t="inlineStr">
        <is>
          <t>India</t>
        </is>
      </c>
      <c r="B9" t="n">
        <v>55150</v>
      </c>
      <c r="C9" s="91" t="n">
        <v>44743</v>
      </c>
      <c r="D9" t="n">
        <v>54623</v>
      </c>
      <c r="E9" t="inlineStr">
        <is>
          <t>INR Billion</t>
        </is>
      </c>
    </row>
    <row r="10">
      <c r="A10" t="inlineStr">
        <is>
          <t>Indonesia</t>
        </is>
      </c>
      <c r="B10" t="n">
        <v>7888600</v>
      </c>
      <c r="C10" s="91" t="n">
        <v>44713</v>
      </c>
      <c r="D10" t="n">
        <v>7854800</v>
      </c>
      <c r="E10" t="inlineStr">
        <is>
          <t>IDR Billion</t>
        </is>
      </c>
    </row>
    <row r="11">
      <c r="A11" t="inlineStr">
        <is>
          <t>Italy</t>
        </is>
      </c>
      <c r="B11" t="n">
        <v>1923154</v>
      </c>
      <c r="C11" s="91" t="n">
        <v>44713</v>
      </c>
      <c r="D11" t="n">
        <v>1940446</v>
      </c>
      <c r="E11" t="inlineStr">
        <is>
          <t>EUR Million</t>
        </is>
      </c>
    </row>
    <row r="12">
      <c r="A12" t="inlineStr">
        <is>
          <t>Japan</t>
        </is>
      </c>
      <c r="B12" t="n">
        <v>1208589</v>
      </c>
      <c r="C12" s="91" t="n">
        <v>44743</v>
      </c>
      <c r="D12" t="n">
        <v>1208179</v>
      </c>
      <c r="E12" t="inlineStr">
        <is>
          <t>JPY Billion</t>
        </is>
      </c>
    </row>
    <row r="13">
      <c r="A13" t="inlineStr">
        <is>
          <t>Mexico</t>
        </is>
      </c>
      <c r="B13" t="n">
        <v>11638513726</v>
      </c>
      <c r="C13" s="91" t="n">
        <v>44713</v>
      </c>
      <c r="D13" t="n">
        <v>11569948173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1124496</v>
      </c>
      <c r="C14" s="91" t="n">
        <v>44713</v>
      </c>
      <c r="D14" t="n">
        <v>1110086</v>
      </c>
      <c r="E14" t="inlineStr">
        <is>
          <t>EUR Million</t>
        </is>
      </c>
    </row>
    <row r="15">
      <c r="A15" t="inlineStr">
        <is>
          <t>Russia</t>
        </is>
      </c>
      <c r="B15" t="n">
        <v>69623</v>
      </c>
      <c r="C15" s="91" t="n">
        <v>44713</v>
      </c>
      <c r="D15" t="n">
        <v>68993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2140473</v>
      </c>
      <c r="C16" s="91" t="n">
        <v>44713</v>
      </c>
      <c r="D16" t="n">
        <v>2087172</v>
      </c>
      <c r="E16" t="inlineStr">
        <is>
          <t>SAR Million</t>
        </is>
      </c>
    </row>
    <row r="17">
      <c r="A17" t="inlineStr">
        <is>
          <t>Singapore</t>
        </is>
      </c>
      <c r="B17" t="n">
        <v>759470</v>
      </c>
      <c r="C17" s="91" t="n">
        <v>44713</v>
      </c>
      <c r="D17" t="n">
        <v>759001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3622048</v>
      </c>
      <c r="C18" s="91" t="n">
        <v>44713</v>
      </c>
      <c r="D18" t="n">
        <v>3682997</v>
      </c>
      <c r="E18" t="inlineStr">
        <is>
          <t>ZAR Million</t>
        </is>
      </c>
    </row>
    <row r="19">
      <c r="A19" t="inlineStr">
        <is>
          <t>South Korea</t>
        </is>
      </c>
      <c r="B19" t="n">
        <v>3691546</v>
      </c>
      <c r="C19" s="91" t="n">
        <v>44713</v>
      </c>
      <c r="D19" t="n">
        <v>3699663</v>
      </c>
      <c r="E19" t="inlineStr">
        <is>
          <t>KRW Billion</t>
        </is>
      </c>
    </row>
    <row r="20">
      <c r="A20" t="inlineStr">
        <is>
          <t>Spain</t>
        </is>
      </c>
      <c r="B20" t="n">
        <v>1507112</v>
      </c>
      <c r="C20" s="91" t="n">
        <v>44713</v>
      </c>
      <c r="D20" t="n">
        <v>1476619</v>
      </c>
      <c r="E20" t="inlineStr">
        <is>
          <t>EUR Million</t>
        </is>
      </c>
    </row>
    <row r="21">
      <c r="A21" t="inlineStr">
        <is>
          <t>Switzerland</t>
        </is>
      </c>
      <c r="B21" t="n">
        <v>1088920</v>
      </c>
      <c r="C21" s="91" t="n">
        <v>44713</v>
      </c>
      <c r="D21" t="n">
        <v>1093355</v>
      </c>
      <c r="E21" t="inlineStr">
        <is>
          <t>CHF Million</t>
        </is>
      </c>
    </row>
    <row r="22">
      <c r="A22" t="inlineStr">
        <is>
          <t>Turkey</t>
        </is>
      </c>
      <c r="B22" t="n">
        <v>6820437968</v>
      </c>
      <c r="C22" s="91" t="n">
        <v>44743</v>
      </c>
      <c r="D22" t="n">
        <v>6672682758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3070326</v>
      </c>
      <c r="C23" s="91" t="n">
        <v>44713</v>
      </c>
      <c r="D23" t="n">
        <v>3038313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21668</v>
      </c>
      <c r="C24" s="91" t="n">
        <v>44713</v>
      </c>
      <c r="D24" t="n">
        <v>21754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5"/>
  <sheetViews>
    <sheetView zoomScale="180" zoomScaleNormal="180" workbookViewId="0">
      <pane ySplit="11" topLeftCell="A218" activePane="bottomLeft" state="frozen"/>
      <selection pane="bottomLeft" activeCell="E11" sqref="E11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7"/>
  <sheetViews>
    <sheetView zoomScale="180" zoomScaleNormal="180" workbookViewId="0">
      <pane ySplit="5" topLeftCell="A762" activePane="bottomLeft" state="frozen"/>
      <selection pane="bottomLeft" activeCell="C775" sqref="C775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5"/>
    <col width="9.1640625" customWidth="1" style="80" min="26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</sheetData>
  <conditionalFormatting sqref="C18:C767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7"/>
  <sheetViews>
    <sheetView zoomScaleNormal="100" workbookViewId="0">
      <pane ySplit="5" topLeftCell="A738" activePane="bottomLeft" state="frozen"/>
      <selection pane="bottomLeft" activeCell="P761" sqref="P761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5"/>
    <col width="9.1640625" customWidth="1" style="80" min="26" max="16384"/>
  </cols>
  <sheetData>
    <row r="1">
      <c r="A1" s="1" t="inlineStr">
        <is>
          <t>https://fred.stlouisfed.org/series/M2REAL</t>
        </is>
      </c>
    </row>
    <row r="2">
      <c r="A2" s="80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</sheetData>
  <conditionalFormatting sqref="C18:C767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10" zoomScaleNormal="110" workbookViewId="0">
      <pane ySplit="5" topLeftCell="A2381" activePane="bottomLeft" state="frozen"/>
      <selection pane="bottomLeft" activeCell="F2419" sqref="F2419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80" min="4" max="4"/>
    <col width="9.1640625" customWidth="1" style="80" min="5" max="22"/>
    <col width="9.1640625" customWidth="1" style="80" min="23" max="16384"/>
  </cols>
  <sheetData>
    <row r="1">
      <c r="A1" s="86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7"/>
  <sheetViews>
    <sheetView zoomScale="110" zoomScaleNormal="110" workbookViewId="0">
      <pane ySplit="5" topLeftCell="A742" activePane="bottomLeft" state="frozen"/>
      <selection pane="bottomLeft" activeCell="A758" sqref="A758:D767"/>
    </sheetView>
  </sheetViews>
  <sheetFormatPr baseColWidth="10" defaultColWidth="9.1640625" defaultRowHeight="15"/>
  <cols>
    <col width="16.6640625" customWidth="1" style="16" min="1" max="1"/>
    <col width="19" customWidth="1" style="80" min="2" max="2"/>
    <col width="14.6640625" customWidth="1" style="16" min="3" max="3"/>
    <col width="14.6640625" customWidth="1" style="80" min="4" max="4"/>
    <col width="9.1640625" customWidth="1" style="80" min="5" max="22"/>
    <col width="9.1640625" customWidth="1" style="80" min="23" max="16384"/>
  </cols>
  <sheetData>
    <row r="1">
      <c r="A1" t="inlineStr">
        <is>
          <t>https://fred.stlouisfed.org/series/M2SL</t>
        </is>
      </c>
    </row>
    <row r="2">
      <c r="A2" s="80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30" zoomScaleNormal="130" workbookViewId="0">
      <pane xSplit="4" topLeftCell="F1" activePane="topRight" state="frozen"/>
      <selection activeCell="A2" sqref="A2"/>
      <selection pane="topRight" activeCell="D7" sqref="D7:I30"/>
    </sheetView>
  </sheetViews>
  <sheetFormatPr baseColWidth="10" defaultColWidth="9.1640625" defaultRowHeight="15"/>
  <cols>
    <col width="9.1640625" customWidth="1" style="80" min="1" max="3"/>
    <col width="28" customWidth="1" style="16" min="4" max="9"/>
    <col width="9.1640625" customWidth="1" style="80" min="10" max="27"/>
    <col width="9.1640625" customWidth="1" style="80" min="28" max="16384"/>
  </cols>
  <sheetData>
    <row r="2">
      <c r="D2" s="1" t="inlineStr">
        <is>
          <t>https://tradingeconomics.com/country-list/money-supply-m2?continent=g20</t>
        </is>
      </c>
    </row>
    <row r="7">
      <c r="D7" s="76" t="inlineStr">
        <is>
          <t>Country</t>
        </is>
      </c>
      <c r="E7" s="76" t="inlineStr">
        <is>
          <t>Last</t>
        </is>
      </c>
      <c r="F7" s="76" t="inlineStr">
        <is>
          <t>Month</t>
        </is>
      </c>
      <c r="G7" s="76" t="inlineStr">
        <is>
          <t>Previous</t>
        </is>
      </c>
      <c r="H7" s="76" t="inlineStr">
        <is>
          <t>mom annualized</t>
        </is>
      </c>
      <c r="I7" s="76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4"/>
  <sheetViews>
    <sheetView zoomScale="130" zoomScaleNormal="130" workbookViewId="0">
      <pane xSplit="1" ySplit="5" topLeftCell="B77" activePane="bottomRight" state="frozen"/>
      <selection pane="topRight" activeCell="B1" sqref="B1"/>
      <selection pane="bottomLeft" activeCell="A6" sqref="A6"/>
      <selection pane="bottomRight" activeCell="C3" sqref="C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0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0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0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0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0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0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0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0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0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0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0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0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0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0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0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0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0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0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0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0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0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0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0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0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0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0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0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0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0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0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0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0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0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0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0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0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0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0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0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0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0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0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0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0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0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0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0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0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0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0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0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0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0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0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0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0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80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80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80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80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80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80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80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4"/>
  <sheetViews>
    <sheetView zoomScale="150" zoomScaleNormal="150" workbookViewId="0">
      <pane xSplit="2" ySplit="5" topLeftCell="C87" activePane="bottomRight" state="frozen"/>
      <selection activeCell="AB17" sqref="AB17"/>
      <selection pane="topRight" activeCell="AB17" sqref="AB17"/>
      <selection pane="bottomLeft" activeCell="AB17" sqref="AB17"/>
      <selection pane="bottomRight" activeCell="C5" sqref="C5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80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0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0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0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0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0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0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0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0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0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0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0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0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0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0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0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0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0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0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0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0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0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0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0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0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0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0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0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0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0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0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0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0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0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0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0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0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0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0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0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0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0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0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0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80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80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80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80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80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80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80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4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4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4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3"/>
  <sheetViews>
    <sheetView tabSelected="1" zoomScale="140" zoomScaleNormal="140" workbookViewId="0">
      <pane ySplit="5" topLeftCell="A731" activePane="bottomLeft" state="frozen"/>
      <selection pane="bottomLeft" activeCell="N745" sqref="N745"/>
    </sheetView>
  </sheetViews>
  <sheetFormatPr baseColWidth="10" defaultColWidth="9.1640625" defaultRowHeight="15"/>
  <cols>
    <col width="12" customWidth="1" style="80" min="1" max="1"/>
    <col width="14.33203125" customWidth="1" style="80" min="2" max="2"/>
    <col width="11.1640625" customWidth="1" style="16" min="3" max="4"/>
    <col width="9.1640625" customWidth="1" style="80" min="5" max="5"/>
    <col width="20.33203125" customWidth="1" style="80" min="6" max="6"/>
    <col width="14.6640625" customWidth="1" style="80" min="7" max="7"/>
    <col width="9.1640625" customWidth="1" style="80" min="8" max="25"/>
    <col width="9.1640625" customWidth="1" style="80" min="26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0">
        <f>"Money Supply M3 "&amp;A1</f>
        <v/>
      </c>
      <c r="G1" s="80">
        <f>F1&amp;" mom annualized"</f>
        <v/>
      </c>
    </row>
    <row r="2">
      <c r="F2" s="80" t="inlineStr">
        <is>
          <t>Average last 20 years</t>
        </is>
      </c>
      <c r="G2" s="37">
        <f>AVERAGE(D469:D708)</f>
        <v/>
      </c>
    </row>
    <row r="3">
      <c r="F3" s="80" t="inlineStr">
        <is>
          <t>Minimum last 20 years</t>
        </is>
      </c>
      <c r="G3" s="37">
        <f>MIN(D469:D744)</f>
        <v/>
      </c>
    </row>
    <row r="4" ht="16" customHeight="1" s="67" thickBot="1">
      <c r="F4" s="80" t="inlineStr">
        <is>
          <t>Maximum last 20 years</t>
        </is>
      </c>
      <c r="G4" s="37">
        <f>MAX(D469:D745)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</sheetData>
  <conditionalFormatting sqref="D7:D743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2022-08-09T13:32:27Z</dcterms:modified>
  <cp:lastModifiedBy>Mark Mukherjee</cp:lastModifiedBy>
</cp:coreProperties>
</file>