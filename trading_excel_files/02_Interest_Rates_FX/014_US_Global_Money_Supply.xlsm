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1160" yWindow="-240" windowWidth="40040" windowHeight="2264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Velocity" sheetId="2" state="visible" r:id="rId2"/>
    <sheet xmlns:r="http://schemas.openxmlformats.org/officeDocument/2006/relationships" name="DB Money Supply" sheetId="3" state="visible" r:id="rId3"/>
    <sheet xmlns:r="http://schemas.openxmlformats.org/officeDocument/2006/relationships" name="Data" sheetId="4" state="visible" r:id="rId4"/>
    <sheet xmlns:r="http://schemas.openxmlformats.org/officeDocument/2006/relationships" name="DB Trading Economics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104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7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6" applyAlignment="1" pivotButton="0" quotePrefix="0" xfId="0">
      <alignment horizontal="center"/>
    </xf>
    <xf numFmtId="0" fontId="3" fillId="2" borderId="17" applyAlignment="1" pivotButton="0" quotePrefix="0" xfId="0">
      <alignment horizontal="center"/>
    </xf>
    <xf numFmtId="0" fontId="3" fillId="2" borderId="17" applyAlignment="1" pivotButton="0" quotePrefix="0" xfId="0">
      <alignment horizontal="center" vertical="center"/>
    </xf>
    <xf numFmtId="0" fontId="3" fillId="2" borderId="18" applyAlignment="1" pivotButton="0" quotePrefix="0" xfId="0">
      <alignment horizontal="center" vertical="center"/>
    </xf>
    <xf numFmtId="17" fontId="0" fillId="2" borderId="1" applyAlignment="1" pivotButton="0" quotePrefix="0" xfId="0">
      <alignment horizont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0" fillId="2" borderId="22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21" applyAlignment="1" pivotButton="0" quotePrefix="0" xfId="0">
      <alignment horizontal="center"/>
    </xf>
    <xf numFmtId="0" fontId="9" fillId="10" borderId="23" applyAlignment="1" pivotButton="0" quotePrefix="0" xfId="0">
      <alignment horizontal="center"/>
    </xf>
    <xf numFmtId="0" fontId="9" fillId="10" borderId="19" applyAlignment="1" pivotButton="0" quotePrefix="0" xfId="0">
      <alignment horizontal="center"/>
    </xf>
    <xf numFmtId="165" fontId="0" fillId="2" borderId="16" applyAlignment="1" pivotButton="0" quotePrefix="0" xfId="2">
      <alignment horizontal="center"/>
    </xf>
    <xf numFmtId="165" fontId="0" fillId="2" borderId="17" applyAlignment="1" pivotButton="0" quotePrefix="0" xfId="2">
      <alignment horizontal="center"/>
    </xf>
    <xf numFmtId="165" fontId="0" fillId="2" borderId="18" applyAlignment="1" pivotButton="0" quotePrefix="0" xfId="2">
      <alignment horizontal="center"/>
    </xf>
    <xf numFmtId="0" fontId="15" fillId="0" borderId="0" pivotButton="0" quotePrefix="0" xfId="4"/>
    <xf numFmtId="166" fontId="15" fillId="0" borderId="0" pivotButton="0" quotePrefix="0" xfId="4"/>
    <xf numFmtId="167" fontId="15" fillId="0" borderId="0" pivotButton="0" quotePrefix="0" xfId="4"/>
    <xf numFmtId="0" fontId="0" fillId="0" borderId="0" pivotButton="0" quotePrefix="0" xfId="0"/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30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9" fillId="10" borderId="1" applyAlignment="1" pivotButton="0" quotePrefix="0" xfId="0">
      <alignment horizontal="center"/>
    </xf>
    <xf numFmtId="0" fontId="0" fillId="0" borderId="14" pivotButton="0" quotePrefix="0" xfId="0"/>
    <xf numFmtId="0" fontId="0" fillId="0" borderId="15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9" fillId="10" borderId="13" applyAlignment="1" pivotButton="0" quotePrefix="0" xfId="0">
      <alignment horizontal="center"/>
    </xf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0" fontId="10" fillId="10" borderId="27" applyAlignment="1" pivotButton="0" quotePrefix="0" xfId="0">
      <alignment horizontal="center"/>
    </xf>
    <xf numFmtId="0" fontId="9" fillId="10" borderId="28" applyAlignment="1" pivotButton="0" quotePrefix="0" xfId="0">
      <alignment horizontal="center"/>
    </xf>
    <xf numFmtId="0" fontId="0" fillId="0" borderId="25" pivotButton="0" quotePrefix="0" xfId="0"/>
    <xf numFmtId="0" fontId="10" fillId="10" borderId="29" applyAlignment="1" pivotButton="0" quotePrefix="0" xfId="0">
      <alignment horizontal="center"/>
    </xf>
    <xf numFmtId="0" fontId="0" fillId="0" borderId="24" pivotButton="0" quotePrefix="0" xfId="0"/>
    <xf numFmtId="0" fontId="10" fillId="10" borderId="26" applyAlignment="1" pivotButton="0" quotePrefix="0" xfId="0">
      <alignment horizontal="center"/>
    </xf>
    <xf numFmtId="0" fontId="0" fillId="0" borderId="2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'!$A$6:$A$760</f>
              <numCache>
                <formatCode>m/d/yy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M2 '!$B$6:$B$760</f>
              <numCache>
                <formatCode>0.0</formatCode>
                <ptCount val="755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 lang="en-SG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Velocity!$A$12:$A$255</f>
              <numCache>
                <formatCode>yyyy\-mm\-dd</formatCode>
                <ptCount val="24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</numCache>
            </numRef>
          </cat>
          <val>
            <numRef>
              <f>Velocity!$B$12:$B$255</f>
              <numCache>
                <formatCode>0.000</formatCode>
                <ptCount val="24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1.724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1.694</v>
                </pt>
                <pt idx="35">
                  <v>1.69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2.179</v>
                </pt>
                <pt idx="152">
                  <v>2.179</v>
                </pt>
                <pt idx="153">
                  <v>2.195</v>
                </pt>
                <pt idx="154">
                  <v>2.198</v>
                </pt>
                <pt idx="155">
                  <v>2.19</v>
                </pt>
                <pt idx="156">
                  <v>2.175</v>
                </pt>
                <pt idx="157">
                  <v>2.16</v>
                </pt>
                <pt idx="158">
                  <v>2.16</v>
                </pt>
                <pt idx="159">
                  <v>2.145</v>
                </pt>
                <pt idx="160">
                  <v>2.136</v>
                </pt>
                <pt idx="161">
                  <v>2.129</v>
                </pt>
                <pt idx="162">
                  <v>2.132</v>
                </pt>
                <pt idx="163">
                  <v>2.151</v>
                </pt>
                <pt idx="164">
                  <v>2.14</v>
                </pt>
                <pt idx="165">
                  <v>2.156</v>
                </pt>
                <pt idx="166">
                  <v>2.146</v>
                </pt>
                <pt idx="167">
                  <v>2.139</v>
                </pt>
                <pt idx="168">
                  <v>2.091</v>
                </pt>
                <pt idx="169">
                  <v>2.064</v>
                </pt>
                <pt idx="170">
                  <v>2.018</v>
                </pt>
                <pt idx="171">
                  <v>1.985</v>
                </pt>
                <pt idx="172">
                  <v>1.974</v>
                </pt>
                <pt idx="173">
                  <v>1.977</v>
                </pt>
                <pt idx="174">
                  <v>1.958</v>
                </pt>
                <pt idx="175">
                  <v>1.933</v>
                </pt>
                <pt idx="176">
                  <v>1.92</v>
                </pt>
                <pt idx="177">
                  <v>1.905</v>
                </pt>
                <pt idx="178">
                  <v>1.909</v>
                </pt>
                <pt idx="179">
                  <v>1.944</v>
                </pt>
                <pt idx="180">
                  <v>1.954</v>
                </pt>
                <pt idx="181">
                  <v>1.944</v>
                </pt>
                <pt idx="182">
                  <v>1.953</v>
                </pt>
                <pt idx="183">
                  <v>1.962</v>
                </pt>
                <pt idx="184">
                  <v>1.988</v>
                </pt>
                <pt idx="185">
                  <v>1.997</v>
                </pt>
                <pt idx="186">
                  <v>2.004</v>
                </pt>
                <pt idx="187">
                  <v>2.006</v>
                </pt>
                <pt idx="188">
                  <v>2.021</v>
                </pt>
                <pt idx="189">
                  <v>2.021</v>
                </pt>
                <pt idx="190">
                  <v>2.009</v>
                </pt>
                <pt idx="191">
                  <v>2</v>
                </pt>
                <pt idx="192">
                  <v>1.996</v>
                </pt>
                <pt idx="193">
                  <v>1.987</v>
                </pt>
                <pt idx="194">
                  <v>1.977</v>
                </pt>
                <pt idx="195">
                  <v>1.976</v>
                </pt>
                <pt idx="196">
                  <v>1.935</v>
                </pt>
                <pt idx="197">
                  <v>1.923</v>
                </pt>
                <pt idx="198">
                  <v>1.903</v>
                </pt>
                <pt idx="199">
                  <v>1.809</v>
                </pt>
                <pt idx="200">
                  <v>1.733</v>
                </pt>
                <pt idx="201">
                  <v>1.708</v>
                </pt>
                <pt idx="202">
                  <v>1.71</v>
                </pt>
                <pt idx="203">
                  <v>1.726</v>
                </pt>
                <pt idx="204">
                  <v>1.736</v>
                </pt>
                <pt idx="205">
                  <v>1.743</v>
                </pt>
                <pt idx="206">
                  <v>1.743</v>
                </pt>
                <pt idx="207">
                  <v>1.74</v>
                </pt>
                <pt idx="208">
                  <v>1.723</v>
                </pt>
                <pt idx="209">
                  <v>1.714</v>
                </pt>
                <pt idx="210">
                  <v>1.65</v>
                </pt>
                <pt idx="211">
                  <v>1.643</v>
                </pt>
                <pt idx="212">
                  <v>1.639</v>
                </pt>
                <pt idx="213">
                  <v>1.629</v>
                </pt>
                <pt idx="214">
                  <v>1.606</v>
                </pt>
                <pt idx="215">
                  <v>1.582</v>
                </pt>
                <pt idx="216">
                  <v>1.579</v>
                </pt>
                <pt idx="217">
                  <v>1.567</v>
                </pt>
                <pt idx="218">
                  <v>1.563</v>
                </pt>
                <pt idx="219">
                  <v>1.557</v>
                </pt>
                <pt idx="220">
                  <v>1.536</v>
                </pt>
                <pt idx="221">
                  <v>1.541</v>
                </pt>
                <pt idx="222">
                  <v>1.546</v>
                </pt>
                <pt idx="223">
                  <v>1.538</v>
                </pt>
                <pt idx="224">
                  <v>1.522</v>
                </pt>
                <pt idx="225">
                  <v>1.524</v>
                </pt>
                <pt idx="226">
                  <v>1.516</v>
                </pt>
                <pt idx="227">
                  <v>1.496</v>
                </pt>
                <pt idx="228">
                  <v>1.47</v>
                </pt>
                <pt idx="229">
                  <v>1.461</v>
                </pt>
                <pt idx="230">
                  <v>1.451</v>
                </pt>
                <pt idx="231">
                  <v>1.444</v>
                </pt>
                <pt idx="232">
                  <v>1.438</v>
                </pt>
                <pt idx="233">
                  <v>1.432</v>
                </pt>
                <pt idx="234">
                  <v>1.435</v>
                </pt>
                <pt idx="235">
                  <v>1.443</v>
                </pt>
                <pt idx="236">
                  <v>1.45</v>
                </pt>
                <pt idx="237">
                  <v>1.459</v>
                </pt>
                <pt idx="238">
                  <v>1.462</v>
                </pt>
                <pt idx="239">
                  <v>1.464</v>
                </pt>
                <pt idx="240">
                  <v>1.458</v>
                </pt>
                <pt idx="241">
                  <v>1.455</v>
                </pt>
                <pt idx="242">
                  <v>1.442</v>
                </pt>
                <pt idx="243">
                  <v>1.425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 lang="en-SG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Monthly'!$A$6:$A$760</f>
              <numCache>
                <formatCode>yyyy\-mm\-dd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M1 Real Monthly'!$B$6:$B$760</f>
              <numCache>
                <formatCode>0.0</formatCode>
                <ptCount val="755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Monthly'!$A$18:$A$760</f>
              <numCache>
                <formatCode>yyyy\-mm\-dd</formatCode>
                <ptCount val="74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</numCache>
            </numRef>
          </cat>
          <val>
            <numRef>
              <f>'US M1 Real Monthly'!$C$18:$C$760</f>
              <numCache>
                <formatCode>0.0%</formatCode>
                <ptCount val="743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 lang="en-SG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 Monthly'!$A$6:$A$760</f>
              <numCache>
                <formatCode>yyyy\-mm\-dd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M2 Real  Monthly'!$B$6:$B$760</f>
              <numCache>
                <formatCode>0.0</formatCode>
                <ptCount val="755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 lang="en-SG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 Monthly'!$A$6:$A$760</f>
              <numCache>
                <formatCode>yyyy\-mm\-dd</formatCode>
                <ptCount val="75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</numCache>
            </numRef>
          </cat>
          <val>
            <numRef>
              <f>'US M2 Real  Monthly'!$C$6:$C$760</f>
              <numCache>
                <formatCode>General</formatCode>
                <ptCount val="755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M1'!$A$6:$A$2410</f>
              <numCache>
                <formatCode>yyyy\-mm\-dd</formatCode>
                <ptCount val="2405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M1'!$B$6:$B$2410</f>
              <numCache>
                <formatCode>0.0</formatCode>
                <ptCount val="2405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 lang="en-SG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'!$A$7:$A$760</f>
              <numCache>
                <formatCode>m/d/yy</formatCode>
                <ptCount val="75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</numCache>
            </numRef>
          </cat>
          <val>
            <numRef>
              <f>'US M2 '!$D$7:$D$760</f>
              <numCache>
                <formatCode>0.00%</formatCode>
                <ptCount val="754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'!$A$7:$A$752</f>
              <numCache>
                <formatCode>m/d/yy</formatCode>
                <ptCount val="74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</numCache>
            </numRef>
          </cat>
          <val>
            <numRef>
              <f>'US M2 '!$B$7:$B$752</f>
              <numCache>
                <formatCode>0.0</formatCode>
                <ptCount val="746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 lang="en-SG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'!$A$7:$A$760</f>
              <numCache>
                <formatCode>m/d/yy</formatCode>
                <ptCount val="75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</numCache>
            </numRef>
          </cat>
          <val>
            <numRef>
              <f>'US M2 '!$D$7:$D$760</f>
              <numCache>
                <formatCode>0.00%</formatCode>
                <ptCount val="754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Country!$A$474:$A$708</f>
              <numCache>
                <formatCode>m/d/yy</formatCode>
                <ptCount val="23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</numCache>
            </numRef>
          </cat>
          <val>
            <numRef>
              <f>Country!$B$474:$B$708</f>
              <numCache>
                <formatCode>0.00</formatCode>
                <ptCount val="235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Country!$A$474:$A$708</f>
              <numCache>
                <formatCode>m/d/yy</formatCode>
                <ptCount val="23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</numCache>
            </numRef>
          </cat>
          <val>
            <numRef>
              <f>Country!$D$474:$D$708</f>
              <numCache>
                <formatCode>0.0%</formatCode>
                <ptCount val="235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7</col>
      <colOff>76199</colOff>
      <row>14</row>
      <rowOff>95249</rowOff>
    </from>
    <to>
      <col>15</col>
      <colOff>542924</colOff>
      <row>35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5</col>
      <colOff>542925</colOff>
      <row>732</row>
      <rowOff>90486</rowOff>
    </from>
    <to>
      <col>14</col>
      <colOff>561975</colOff>
      <row>751</row>
      <rowOff>38099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514349</colOff>
      <row>713</row>
      <rowOff>19049</rowOff>
    </from>
    <to>
      <col>14</col>
      <colOff>600075</colOff>
      <row>731</row>
      <rowOff>85724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16</col>
      <colOff>0</colOff>
      <row>733</row>
      <rowOff>0</rowOff>
    </from>
    <to>
      <col>25</col>
      <colOff>19050</colOff>
      <row>751</row>
      <rowOff>138113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5</col>
      <colOff>666750</colOff>
      <row>676</row>
      <rowOff>171450</rowOff>
    </from>
    <to>
      <col>12</col>
      <colOff>542925</colOff>
      <row>693</row>
      <rowOff>52387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809625</colOff>
      <row>693</row>
      <rowOff>185737</rowOff>
    </from>
    <to>
      <col>12</col>
      <colOff>9525</colOff>
      <row>708</row>
      <rowOff>71437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55" headerRowCount="1" totalsRowShown="0" headerRowCellStyle="Normal 3" dataCellStyle="Normal 3">
  <autoFilter ref="A11:B255"/>
  <tableColumns count="2">
    <tableColumn id="1" name="Date" dataDxfId="35" dataCellStyle="Normal 3"/>
    <tableColumn id="2" name="Velocity of M2 Money Stock, Ratio, Quarterly, Seasonally Adjusted" dataDxfId="3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0" headerRowCount="1" totalsRowShown="0" headerRowDxfId="33" dataDxfId="31" headerRowBorderDxfId="32">
  <autoFilter ref="A5:C760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0" headerRowCount="1" totalsRowShown="0" headerRowDxfId="27" dataDxfId="26" tableBorderDxfId="25">
  <autoFilter ref="A5:C760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0" headerRowCount="1" totalsRowShown="0" headerRowDxfId="12" dataDxfId="10" headerRowBorderDxfId="11" dataCellStyle="Normal 2">
  <autoFilter ref="A5:D760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15" headerRowCount="1" totalsRowShown="0" headerRowDxfId="5" headerRowBorderDxfId="4">
  <autoFilter ref="A5:D715"/>
  <tableColumns count="4">
    <tableColumn id="1" name="Date" dataDxfId="3"/>
    <tableColumn id="2" name="Country" dataDxfId="2">
      <calculatedColumnFormula>VLOOKUP(A6,Data!$E:$BG,MATCH(Country!$A$1,Data!$E$1:$BG$1,),)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drawing" Target="/xl/drawings/drawing1.xml" Id="rId4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zoomScale="150" zoomScaleNormal="150" workbookViewId="0">
      <selection activeCell="W38" sqref="W38"/>
    </sheetView>
  </sheetViews>
  <sheetFormatPr baseColWidth="10" defaultColWidth="9.1640625" defaultRowHeight="15"/>
  <cols>
    <col width="9.1640625" customWidth="1" style="83" min="1" max="1"/>
    <col width="12.83203125" customWidth="1" style="83" min="2" max="10"/>
    <col width="3.33203125" customWidth="1" style="83" min="11" max="13"/>
    <col width="21.33203125" customWidth="1" style="83" min="14" max="14"/>
    <col width="15.6640625" customWidth="1" style="83" min="15" max="15"/>
    <col width="16.83203125" customWidth="1" style="83" min="16" max="16"/>
    <col width="23" customWidth="1" style="83" min="17" max="17"/>
    <col width="9.1640625" customWidth="1" style="83" min="18" max="21"/>
    <col width="9.1640625" customWidth="1" style="83" min="22" max="16384"/>
  </cols>
  <sheetData>
    <row r="1">
      <c r="B1" s="82" t="n"/>
    </row>
    <row r="2" ht="16" customHeight="1" s="77" thickBot="1">
      <c r="B2" s="84" t="n"/>
      <c r="C2" s="84" t="n"/>
      <c r="D2" s="84" t="n"/>
      <c r="E2" s="84" t="n"/>
      <c r="F2" s="84" t="n"/>
      <c r="G2" s="84" t="n"/>
      <c r="H2" s="84" t="n"/>
      <c r="I2" s="84" t="n"/>
      <c r="J2" s="84" t="n"/>
    </row>
    <row r="3" ht="16" customHeight="1" s="77" thickBot="1">
      <c r="B3" s="85" t="inlineStr">
        <is>
          <t>Money Supply</t>
        </is>
      </c>
      <c r="C3" s="86" t="n"/>
      <c r="D3" s="86" t="n"/>
      <c r="E3" s="86" t="n"/>
      <c r="F3" s="86" t="n"/>
      <c r="G3" s="86" t="n"/>
      <c r="H3" s="86" t="n"/>
      <c r="I3" s="86" t="n"/>
      <c r="J3" s="87" t="n"/>
    </row>
    <row r="5">
      <c r="B5" s="88" t="inlineStr">
        <is>
          <t>Definition</t>
        </is>
      </c>
      <c r="C5" s="89" t="n"/>
      <c r="D5" s="89" t="n"/>
      <c r="E5" s="89" t="n"/>
      <c r="F5" s="89" t="n"/>
      <c r="G5" s="89" t="n"/>
      <c r="H5" s="89" t="n"/>
      <c r="I5" s="89" t="n"/>
      <c r="J5" s="90" t="n"/>
    </row>
    <row r="7" ht="100.5" customHeight="1" s="77">
      <c r="B7" s="91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77">
      <c r="B8" s="92" t="n"/>
    </row>
    <row r="9">
      <c r="B9" s="43" t="n"/>
      <c r="C9" s="43" t="n"/>
      <c r="D9" s="43" t="n"/>
      <c r="E9" s="43" t="n"/>
    </row>
    <row r="10">
      <c r="B10" s="88" t="inlineStr">
        <is>
          <t>Process / TO DO LIST</t>
        </is>
      </c>
      <c r="C10" s="89" t="n"/>
      <c r="D10" s="89" t="n"/>
      <c r="E10" s="89" t="n"/>
      <c r="F10" s="89" t="n"/>
      <c r="G10" s="89" t="n"/>
      <c r="H10" s="89" t="n"/>
      <c r="I10" s="89" t="n"/>
      <c r="J10" s="90" t="n"/>
      <c r="N10" s="93" t="inlineStr">
        <is>
          <t>Summary</t>
        </is>
      </c>
      <c r="O10" s="89" t="n"/>
      <c r="P10" s="89" t="n"/>
      <c r="Q10" s="89" t="n"/>
    </row>
    <row r="11" ht="16" customHeight="1" s="77" thickBot="1"/>
    <row r="12" ht="16" customHeight="1" s="77" thickBot="1">
      <c r="B12" s="88" t="inlineStr">
        <is>
          <t>TO DO LIST</t>
        </is>
      </c>
      <c r="C12" s="89" t="n"/>
      <c r="D12" s="89" t="n"/>
      <c r="E12" s="89" t="n"/>
      <c r="F12" s="90" t="n"/>
      <c r="G12" s="88" t="inlineStr">
        <is>
          <t>Comments</t>
        </is>
      </c>
      <c r="H12" s="89" t="n"/>
      <c r="I12" s="89" t="n"/>
      <c r="J12" s="90" t="n"/>
      <c r="N12" s="97" t="inlineStr">
        <is>
          <t>Country</t>
        </is>
      </c>
      <c r="O12" s="98" t="n"/>
      <c r="P12" s="69" t="inlineStr">
        <is>
          <t>Last</t>
        </is>
      </c>
      <c r="Q12" s="70" t="inlineStr">
        <is>
          <t>mom annualized</t>
        </is>
      </c>
    </row>
    <row r="13">
      <c r="N13" s="99" t="inlineStr">
        <is>
          <t>Argentina</t>
        </is>
      </c>
      <c r="O13" s="100" t="n"/>
      <c r="P13" s="66" t="n">
        <v>2738509</v>
      </c>
      <c r="Q13" s="71" t="n">
        <v>5.983722589047115</v>
      </c>
    </row>
    <row r="14" ht="19.5" customHeight="1" s="77">
      <c r="B14" s="1" t="inlineStr">
        <is>
          <t>https://fred.stlouisfed.org/series/M2REAL</t>
        </is>
      </c>
      <c r="G14" s="83" t="inlineStr">
        <is>
          <t>U.S.</t>
        </is>
      </c>
      <c r="N14" s="96" t="inlineStr">
        <is>
          <t>Brazil</t>
        </is>
      </c>
      <c r="O14" s="90" t="n"/>
      <c r="P14" s="67" t="n">
        <v>3036685</v>
      </c>
      <c r="Q14" s="72" t="n">
        <v>0.05154424881624364</v>
      </c>
    </row>
    <row r="15" ht="16" customHeight="1" s="77" thickBot="1">
      <c r="B15" s="92" t="inlineStr">
        <is>
          <t>https://fred.stlouisfed.org/series/M1REAL</t>
        </is>
      </c>
      <c r="G15" s="94" t="inlineStr">
        <is>
          <t>U.S.</t>
        </is>
      </c>
      <c r="N15" s="96" t="inlineStr">
        <is>
          <t>Canada</t>
        </is>
      </c>
      <c r="O15" s="90" t="n"/>
      <c r="P15" s="67" t="n">
        <v>1814298</v>
      </c>
      <c r="Q15" s="72" t="n">
        <v>0.09221961385042943</v>
      </c>
    </row>
    <row r="16" ht="18" customHeight="1" s="77">
      <c r="B16" s="92" t="inlineStr">
        <is>
          <t>https://fred.stlouisfed.org/series/M1</t>
        </is>
      </c>
      <c r="G16" s="94" t="inlineStr">
        <is>
          <t xml:space="preserve">U.S. </t>
        </is>
      </c>
      <c r="N16" s="96" t="inlineStr">
        <is>
          <t>China</t>
        </is>
      </c>
      <c r="O16" s="90" t="n"/>
      <c r="P16" s="67" t="n">
        <v>208090</v>
      </c>
      <c r="Q16" s="72" t="n">
        <v>0.3397034187112868</v>
      </c>
      <c r="Z16" s="44" t="inlineStr">
        <is>
          <t>DGORDER</t>
        </is>
      </c>
      <c r="AA16" s="83" t="inlineStr">
        <is>
          <t>Durable Goods New Orders</t>
        </is>
      </c>
    </row>
    <row r="17" ht="18" customHeight="1" s="77">
      <c r="B17" s="92" t="inlineStr">
        <is>
          <t>https://fred.stlouisfed.org/series/M2</t>
        </is>
      </c>
      <c r="G17" s="95" t="inlineStr">
        <is>
          <t>U.S. discontinued</t>
        </is>
      </c>
      <c r="N17" s="96" t="inlineStr">
        <is>
          <t>Euro Area</t>
        </is>
      </c>
      <c r="O17" s="90" t="n"/>
      <c r="P17" s="67" t="n">
        <v>12484479</v>
      </c>
      <c r="Q17" s="72" t="n">
        <v>0.08563462770952901</v>
      </c>
      <c r="Z17" s="45" t="inlineStr">
        <is>
          <t>ADXTNO</t>
        </is>
      </c>
      <c r="AA17" s="83" t="inlineStr">
        <is>
          <t>New Orders ex Transport</t>
        </is>
      </c>
    </row>
    <row r="18" ht="33.75" customHeight="1" s="77">
      <c r="B18" s="92" t="inlineStr">
        <is>
          <t>https://fred.stlouisfed.org/series/M2SL</t>
        </is>
      </c>
      <c r="G18" s="95" t="inlineStr">
        <is>
          <t>U.S.</t>
        </is>
      </c>
      <c r="N18" s="96" t="inlineStr">
        <is>
          <t>France</t>
        </is>
      </c>
      <c r="O18" s="90" t="n"/>
      <c r="P18" s="67" t="n">
        <v>2332570</v>
      </c>
      <c r="Q18" s="72" t="n">
        <v>0.08361955079551664</v>
      </c>
      <c r="Z18" s="46" t="inlineStr">
        <is>
          <t>NEWORDER</t>
        </is>
      </c>
      <c r="AA18" s="83" t="inlineStr">
        <is>
          <t>New Orders Nondefense Ex Aircraft &amp; Parts = Core</t>
        </is>
      </c>
    </row>
    <row r="19" ht="18" customHeight="1" s="77">
      <c r="B19" s="92" t="inlineStr">
        <is>
          <t>https://tradingeconomics.com/country-list/money-supply-m2?continent=g20</t>
        </is>
      </c>
      <c r="G19" s="95" t="inlineStr">
        <is>
          <t>Quick Country View</t>
        </is>
      </c>
      <c r="N19" s="96" t="inlineStr">
        <is>
          <t>Germany</t>
        </is>
      </c>
      <c r="O19" s="90" t="n"/>
      <c r="P19" s="67" t="n">
        <v>3174</v>
      </c>
      <c r="Q19" s="72" t="n">
        <v>0.05849194677046343</v>
      </c>
      <c r="Z19" s="45" t="inlineStr">
        <is>
          <t>AMTUNO</t>
        </is>
      </c>
      <c r="AA19" s="83" t="inlineStr">
        <is>
          <t>New Orders - Manufacturing</t>
        </is>
      </c>
    </row>
    <row r="20" ht="18" customHeight="1" s="77">
      <c r="B20" s="92" t="inlineStr">
        <is>
          <t>https://data.oecd.org/money/broad-money-m3.htm</t>
        </is>
      </c>
      <c r="G20" s="83" t="inlineStr">
        <is>
          <t>Table</t>
        </is>
      </c>
      <c r="N20" s="96" t="inlineStr">
        <is>
          <t>India</t>
        </is>
      </c>
      <c r="O20" s="90" t="n"/>
      <c r="P20" s="67" t="n">
        <v>40623</v>
      </c>
      <c r="Q20" s="72" t="n">
        <v>0.5591291219939156</v>
      </c>
      <c r="Z20" s="46" t="inlineStr">
        <is>
          <t>A36SNO</t>
        </is>
      </c>
      <c r="AA20" s="83" t="inlineStr">
        <is>
          <t>New Orders - Transportation Equipment</t>
        </is>
      </c>
    </row>
    <row r="21" ht="18" customHeight="1" s="77">
      <c r="B21" s="92" t="n"/>
      <c r="G21" s="83" t="inlineStr">
        <is>
          <t>Monthly</t>
        </is>
      </c>
      <c r="N21" s="96" t="inlineStr">
        <is>
          <t>Indonesia</t>
        </is>
      </c>
      <c r="O21" s="90" t="n"/>
      <c r="P21" s="67" t="n">
        <v>6116500</v>
      </c>
      <c r="Q21" s="72" t="n">
        <v>0.1476638321349768</v>
      </c>
      <c r="Z21" s="46" t="inlineStr">
        <is>
          <t>A32SNO</t>
        </is>
      </c>
      <c r="AA21" s="83" t="inlineStr">
        <is>
          <t>New Orders - Fabricated Metal Products</t>
        </is>
      </c>
    </row>
    <row r="22" ht="18" customHeight="1" s="77">
      <c r="B22" s="92" t="n"/>
      <c r="G22" s="83" t="inlineStr">
        <is>
          <t>from beginning</t>
        </is>
      </c>
      <c r="N22" s="96" t="inlineStr">
        <is>
          <t>Italy</t>
        </is>
      </c>
      <c r="O22" s="90" t="n"/>
      <c r="P22" s="67" t="n">
        <v>1647897</v>
      </c>
      <c r="Q22" s="72" t="n">
        <v>0.1551770381206552</v>
      </c>
      <c r="Z22" s="46" t="inlineStr">
        <is>
          <t>A33SNO</t>
        </is>
      </c>
      <c r="AA22" s="83" t="inlineStr">
        <is>
          <t>New Orders - Machinery</t>
        </is>
      </c>
    </row>
    <row r="23" ht="18" customHeight="1" s="77">
      <c r="B23" s="92" t="n"/>
      <c r="G23" s="83" t="inlineStr">
        <is>
          <t>download Select data only</t>
        </is>
      </c>
      <c r="N23" s="96" t="inlineStr">
        <is>
          <t>Japan</t>
        </is>
      </c>
      <c r="O23" s="90" t="n"/>
      <c r="P23" s="67" t="n">
        <v>1046008</v>
      </c>
      <c r="Q23" s="72" t="n">
        <v>0.07349936062564422</v>
      </c>
      <c r="Z23" s="46" t="inlineStr">
        <is>
          <t>A34SNO</t>
        </is>
      </c>
      <c r="AA23" s="83" t="inlineStr">
        <is>
          <t>New Orders - Computers</t>
        </is>
      </c>
    </row>
    <row r="24" ht="18" customHeight="1" s="77">
      <c r="B24" s="92" t="n"/>
      <c r="G24" s="95" t="inlineStr">
        <is>
          <t>Data</t>
        </is>
      </c>
      <c r="N24" s="96" t="inlineStr">
        <is>
          <t>Mexico</t>
        </is>
      </c>
      <c r="O24" s="90" t="n"/>
      <c r="P24" s="67" t="n">
        <v>9371776319</v>
      </c>
      <c r="Q24" s="72" t="n">
        <v>0.1570492202895741</v>
      </c>
      <c r="Z24" s="46" t="inlineStr">
        <is>
          <t>A31SNO</t>
        </is>
      </c>
      <c r="AA24" s="83" t="inlineStr">
        <is>
          <t>New Orders - Primary Metals</t>
        </is>
      </c>
    </row>
    <row r="25" ht="16" customHeight="1" s="77" thickBot="1">
      <c r="N25" s="96" t="inlineStr">
        <is>
          <t>Netherlands</t>
        </is>
      </c>
      <c r="O25" s="90" t="n"/>
      <c r="P25" s="67" t="n">
        <v>898932</v>
      </c>
      <c r="Q25" s="72" t="n">
        <v>0.1207307101192132</v>
      </c>
      <c r="Z25" s="47" t="inlineStr">
        <is>
          <t>A35SNO</t>
        </is>
      </c>
      <c r="AA25" s="83" t="inlineStr">
        <is>
          <t>New Orders - Electrical Equipment</t>
        </is>
      </c>
    </row>
    <row r="26">
      <c r="N26" s="96" t="inlineStr">
        <is>
          <t>Russia</t>
        </is>
      </c>
      <c r="O26" s="90" t="n"/>
      <c r="P26" s="67" t="n">
        <v>51314</v>
      </c>
      <c r="Q26" s="72" t="n">
        <v>0.1766732903575534</v>
      </c>
    </row>
    <row r="27">
      <c r="N27" s="96" t="inlineStr">
        <is>
          <t>Saudi Arabia</t>
        </is>
      </c>
      <c r="O27" s="90" t="n"/>
      <c r="P27" s="67" t="n">
        <v>1791108</v>
      </c>
      <c r="Q27" s="72" t="n">
        <v>0.1294685815601222</v>
      </c>
    </row>
    <row r="28">
      <c r="N28" s="96" t="inlineStr">
        <is>
          <t>Singapore</t>
        </is>
      </c>
      <c r="O28" s="90" t="n"/>
      <c r="P28" s="67" t="n">
        <v>646295</v>
      </c>
      <c r="Q28" s="72" t="n">
        <v>0.0869525817796386</v>
      </c>
    </row>
    <row r="29">
      <c r="N29" s="96" t="inlineStr">
        <is>
          <t>South Africa</t>
        </is>
      </c>
      <c r="O29" s="90" t="n"/>
      <c r="P29" s="67" t="n">
        <v>3039985</v>
      </c>
      <c r="Q29" s="72" t="n">
        <v>0.04750614104302353</v>
      </c>
    </row>
    <row r="30">
      <c r="N30" s="96" t="inlineStr">
        <is>
          <t>South Korea</t>
        </is>
      </c>
      <c r="O30" s="90" t="n"/>
      <c r="P30" s="67" t="n">
        <v>2958283</v>
      </c>
      <c r="Q30" s="72" t="n">
        <v>0.138818589182685</v>
      </c>
    </row>
    <row r="31">
      <c r="N31" s="96" t="inlineStr">
        <is>
          <t>Spain</t>
        </is>
      </c>
      <c r="O31" s="90" t="n"/>
      <c r="P31" s="67" t="n">
        <v>1237649</v>
      </c>
      <c r="Q31" s="72" t="n">
        <v>0.08581151143213783</v>
      </c>
    </row>
    <row r="32">
      <c r="N32" s="96" t="inlineStr">
        <is>
          <t>Switzerland</t>
        </is>
      </c>
      <c r="O32" s="90" t="n"/>
      <c r="P32" s="67" t="n">
        <v>1025336</v>
      </c>
      <c r="Q32" s="72" t="n">
        <v>0.1695318040716536</v>
      </c>
    </row>
    <row r="33">
      <c r="N33" s="96" t="inlineStr">
        <is>
          <t>Turkey</t>
        </is>
      </c>
      <c r="O33" s="90" t="n"/>
      <c r="P33" s="67" t="n">
        <v>2666743294</v>
      </c>
      <c r="Q33" s="72" t="n">
        <v>0.6998313283289304</v>
      </c>
    </row>
    <row r="34">
      <c r="N34" s="96" t="inlineStr">
        <is>
          <t>United Kingdom</t>
        </is>
      </c>
      <c r="O34" s="90" t="n"/>
      <c r="P34" s="67" t="n">
        <v>2472269</v>
      </c>
      <c r="Q34" s="72" t="n">
        <v>0.005510935669963413</v>
      </c>
    </row>
    <row r="35" ht="16" customHeight="1" s="77" thickBot="1">
      <c r="N35" s="101" t="inlineStr">
        <is>
          <t>United States</t>
        </is>
      </c>
      <c r="O35" s="102" t="n"/>
      <c r="P35" s="68" t="n">
        <v>16104</v>
      </c>
      <c r="Q35" s="73" t="n">
        <v>0.5398203378865365</v>
      </c>
    </row>
    <row r="39">
      <c r="B39" s="41" t="n"/>
    </row>
    <row r="40">
      <c r="B40" s="94" t="n"/>
    </row>
    <row r="41">
      <c r="B41" s="42" t="n"/>
    </row>
  </sheetData>
  <mergeCells count="51">
    <mergeCell ref="B40:Q40"/>
    <mergeCell ref="N35:O35"/>
    <mergeCell ref="N34:O34"/>
    <mergeCell ref="N30:O30"/>
    <mergeCell ref="N31:O31"/>
    <mergeCell ref="N32:O32"/>
    <mergeCell ref="N33:O33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N10:Q10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</hyperlinks>
  <pageMargins left="0.7" right="0.7" top="0.75" bottom="0.75" header="0.3" footer="0.3"/>
  <drawing xmlns:r="http://schemas.openxmlformats.org/officeDocument/2006/relationships" r:id="rId4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55"/>
  <sheetViews>
    <sheetView zoomScale="190" zoomScaleNormal="190" workbookViewId="0">
      <selection activeCell="B11" sqref="B11"/>
    </sheetView>
  </sheetViews>
  <sheetFormatPr baseColWidth="10" defaultColWidth="8.83203125" defaultRowHeight="15"/>
  <cols>
    <col width="26.33203125" customWidth="1" style="77" min="1" max="1"/>
  </cols>
  <sheetData>
    <row r="1">
      <c r="A1" s="74" t="inlineStr">
        <is>
          <t>FRED Graph Observations</t>
        </is>
      </c>
      <c r="B1" s="74" t="n"/>
    </row>
    <row r="2">
      <c r="A2" s="74" t="inlineStr">
        <is>
          <t>Federal Reserve Economic Data</t>
        </is>
      </c>
      <c r="B2" s="74" t="n"/>
    </row>
    <row r="3">
      <c r="A3" s="74" t="inlineStr">
        <is>
          <t>Link: https://fred.stlouisfed.org</t>
        </is>
      </c>
      <c r="B3" s="74" t="n"/>
    </row>
    <row r="4">
      <c r="A4" s="74" t="inlineStr">
        <is>
          <t>Help: https://fred.stlouisfed.org/help-faq</t>
        </is>
      </c>
      <c r="B4" s="74" t="n"/>
    </row>
    <row r="5">
      <c r="A5" s="74" t="inlineStr">
        <is>
          <t>Economic Research Division</t>
        </is>
      </c>
      <c r="B5" s="74" t="n"/>
    </row>
    <row r="6">
      <c r="A6" s="74" t="inlineStr">
        <is>
          <t>Federal Reserve Bank of St. Louis</t>
        </is>
      </c>
      <c r="B6" s="74" t="n"/>
    </row>
    <row r="8">
      <c r="A8" s="74" t="inlineStr">
        <is>
          <t>M2V</t>
        </is>
      </c>
      <c r="B8" s="74" t="inlineStr">
        <is>
          <t>Velocity of M2 Money Stock, Ratio, Quarterly, Seasonally Adjusted</t>
        </is>
      </c>
    </row>
    <row r="10">
      <c r="A10" s="74" t="inlineStr">
        <is>
          <t>Frequency: Quarterly</t>
        </is>
      </c>
      <c r="B10" s="74" t="n"/>
    </row>
    <row r="11">
      <c r="A11" s="74" t="inlineStr">
        <is>
          <t>Date</t>
        </is>
      </c>
      <c r="B11" s="74" t="inlineStr">
        <is>
          <t>Velocity of M2 Money Stock, Ratio, Quarterly, Seasonally Adjusted</t>
        </is>
      </c>
    </row>
    <row r="12">
      <c r="A12" s="75" t="n">
        <v>21551</v>
      </c>
      <c r="B12" s="76" t="n">
        <v>1.773</v>
      </c>
    </row>
    <row r="13">
      <c r="A13" s="75" t="n">
        <v>21641</v>
      </c>
      <c r="B13" s="76" t="n">
        <v>1.789</v>
      </c>
    </row>
    <row r="14">
      <c r="A14" s="75" t="n">
        <v>21732</v>
      </c>
      <c r="B14" s="76" t="n">
        <v>1.773</v>
      </c>
    </row>
    <row r="15">
      <c r="A15" s="75" t="n">
        <v>21824</v>
      </c>
      <c r="B15" s="76" t="n">
        <v>1.779</v>
      </c>
    </row>
    <row r="16">
      <c r="A16" s="75" t="n">
        <v>21916</v>
      </c>
      <c r="B16" s="76" t="n">
        <v>1.817</v>
      </c>
    </row>
    <row r="17">
      <c r="A17" s="75" t="n">
        <v>22007</v>
      </c>
      <c r="B17" s="76" t="n">
        <v>1.797</v>
      </c>
    </row>
    <row r="18">
      <c r="A18" s="75" t="n">
        <v>22098</v>
      </c>
      <c r="B18" s="76" t="n">
        <v>1.78</v>
      </c>
    </row>
    <row r="19">
      <c r="A19" s="75" t="n">
        <v>22190</v>
      </c>
      <c r="B19" s="76" t="n">
        <v>1.737</v>
      </c>
    </row>
    <row r="20">
      <c r="A20" s="75" t="n">
        <v>22282</v>
      </c>
      <c r="B20" s="76" t="n">
        <v>1.723</v>
      </c>
    </row>
    <row r="21">
      <c r="A21" s="75" t="n">
        <v>22372</v>
      </c>
      <c r="B21" s="76" t="n">
        <v>1.724</v>
      </c>
    </row>
    <row r="22">
      <c r="A22" s="75" t="n">
        <v>22463</v>
      </c>
      <c r="B22" s="76" t="n">
        <v>1.733</v>
      </c>
    </row>
    <row r="23">
      <c r="A23" s="75" t="n">
        <v>22555</v>
      </c>
      <c r="B23" s="76" t="n">
        <v>1.742</v>
      </c>
    </row>
    <row r="24">
      <c r="A24" s="75" t="n">
        <v>22647</v>
      </c>
      <c r="B24" s="76" t="n">
        <v>1.746</v>
      </c>
    </row>
    <row r="25">
      <c r="A25" s="75" t="n">
        <v>22737</v>
      </c>
      <c r="B25" s="76" t="n">
        <v>1.728</v>
      </c>
    </row>
    <row r="26">
      <c r="A26" s="75" t="n">
        <v>22828</v>
      </c>
      <c r="B26" s="76" t="n">
        <v>1.726</v>
      </c>
    </row>
    <row r="27">
      <c r="A27" s="75" t="n">
        <v>22920</v>
      </c>
      <c r="B27" s="76" t="n">
        <v>1.701</v>
      </c>
    </row>
    <row r="28">
      <c r="A28" s="75" t="n">
        <v>23012</v>
      </c>
      <c r="B28" s="76" t="n">
        <v>1.69</v>
      </c>
    </row>
    <row r="29">
      <c r="A29" s="75" t="n">
        <v>23102</v>
      </c>
      <c r="B29" s="76" t="n">
        <v>1.675</v>
      </c>
    </row>
    <row r="30">
      <c r="A30" s="75" t="n">
        <v>23193</v>
      </c>
      <c r="B30" s="76" t="n">
        <v>1.68</v>
      </c>
    </row>
    <row r="31">
      <c r="A31" s="75" t="n">
        <v>23285</v>
      </c>
      <c r="B31" s="76" t="n">
        <v>1.672</v>
      </c>
    </row>
    <row r="32">
      <c r="A32" s="75" t="n">
        <v>23377</v>
      </c>
      <c r="B32" s="76" t="n">
        <v>1.685</v>
      </c>
    </row>
    <row r="33">
      <c r="A33" s="75" t="n">
        <v>23468</v>
      </c>
      <c r="B33" s="76" t="n">
        <v>1.679</v>
      </c>
    </row>
    <row r="34">
      <c r="A34" s="75" t="n">
        <v>23559</v>
      </c>
      <c r="B34" s="76" t="n">
        <v>1.674</v>
      </c>
    </row>
    <row r="35">
      <c r="A35" s="75" t="n">
        <v>23651</v>
      </c>
      <c r="B35" s="76" t="n">
        <v>1.653</v>
      </c>
    </row>
    <row r="36">
      <c r="A36" s="75" t="n">
        <v>23743</v>
      </c>
      <c r="B36" s="76" t="n">
        <v>1.668</v>
      </c>
    </row>
    <row r="37">
      <c r="A37" s="75" t="n">
        <v>23833</v>
      </c>
      <c r="B37" s="76" t="n">
        <v>1.669</v>
      </c>
    </row>
    <row r="38">
      <c r="A38" s="75" t="n">
        <v>23924</v>
      </c>
      <c r="B38" s="76" t="n">
        <v>1.68</v>
      </c>
    </row>
    <row r="39">
      <c r="A39" s="75" t="n">
        <v>24016</v>
      </c>
      <c r="B39" s="76" t="n">
        <v>1.693</v>
      </c>
    </row>
    <row r="40">
      <c r="A40" s="75" t="n">
        <v>24108</v>
      </c>
      <c r="B40" s="76" t="n">
        <v>1.713</v>
      </c>
    </row>
    <row r="41">
      <c r="A41" s="75" t="n">
        <v>24198</v>
      </c>
      <c r="B41" s="76" t="n">
        <v>1.712</v>
      </c>
    </row>
    <row r="42">
      <c r="A42" s="75" t="n">
        <v>24289</v>
      </c>
      <c r="B42" s="76" t="n">
        <v>1.733</v>
      </c>
    </row>
    <row r="43">
      <c r="A43" s="75" t="n">
        <v>24381</v>
      </c>
      <c r="B43" s="76" t="n">
        <v>1.744</v>
      </c>
    </row>
    <row r="44">
      <c r="A44" s="75" t="n">
        <v>24473</v>
      </c>
      <c r="B44" s="76" t="n">
        <v>1.739</v>
      </c>
    </row>
    <row r="45">
      <c r="A45" s="75" t="n">
        <v>24563</v>
      </c>
      <c r="B45" s="76" t="n">
        <v>1.708</v>
      </c>
    </row>
    <row r="46">
      <c r="A46" s="75" t="n">
        <v>24654</v>
      </c>
      <c r="B46" s="76" t="n">
        <v>1.694</v>
      </c>
    </row>
    <row r="47">
      <c r="A47" s="75" t="n">
        <v>24746</v>
      </c>
      <c r="B47" s="76" t="n">
        <v>1.69</v>
      </c>
    </row>
    <row r="48">
      <c r="A48" s="75" t="n">
        <v>24838</v>
      </c>
      <c r="B48" s="76" t="n">
        <v>1.715</v>
      </c>
    </row>
    <row r="49">
      <c r="A49" s="75" t="n">
        <v>24929</v>
      </c>
      <c r="B49" s="76" t="n">
        <v>1.733</v>
      </c>
    </row>
    <row r="50">
      <c r="A50" s="75" t="n">
        <v>25020</v>
      </c>
      <c r="B50" s="76" t="n">
        <v>1.73</v>
      </c>
    </row>
    <row r="51">
      <c r="A51" s="75" t="n">
        <v>25112</v>
      </c>
      <c r="B51" s="76" t="n">
        <v>1.722</v>
      </c>
    </row>
    <row r="52">
      <c r="A52" s="75" t="n">
        <v>25204</v>
      </c>
      <c r="B52" s="76" t="n">
        <v>1.737</v>
      </c>
    </row>
    <row r="53">
      <c r="A53" s="75" t="n">
        <v>25294</v>
      </c>
      <c r="B53" s="76" t="n">
        <v>1.749</v>
      </c>
    </row>
    <row r="54">
      <c r="A54" s="75" t="n">
        <v>25385</v>
      </c>
      <c r="B54" s="76" t="n">
        <v>1.774</v>
      </c>
    </row>
    <row r="55">
      <c r="A55" s="75" t="n">
        <v>25477</v>
      </c>
      <c r="B55" s="76" t="n">
        <v>1.773</v>
      </c>
    </row>
    <row r="56">
      <c r="A56" s="75" t="n">
        <v>25569</v>
      </c>
      <c r="B56" s="76" t="n">
        <v>1.789</v>
      </c>
    </row>
    <row r="57">
      <c r="A57" s="75" t="n">
        <v>25659</v>
      </c>
      <c r="B57" s="76" t="n">
        <v>1.804</v>
      </c>
    </row>
    <row r="58">
      <c r="A58" s="75" t="n">
        <v>25750</v>
      </c>
      <c r="B58" s="76" t="n">
        <v>1.795</v>
      </c>
    </row>
    <row r="59">
      <c r="A59" s="75" t="n">
        <v>25842</v>
      </c>
      <c r="B59" s="76" t="n">
        <v>1.752</v>
      </c>
    </row>
    <row r="60">
      <c r="A60" s="75" t="n">
        <v>25934</v>
      </c>
      <c r="B60" s="76" t="n">
        <v>1.77</v>
      </c>
    </row>
    <row r="61">
      <c r="A61" s="75" t="n">
        <v>26024</v>
      </c>
      <c r="B61" s="76" t="n">
        <v>1.736</v>
      </c>
    </row>
    <row r="62">
      <c r="A62" s="75" t="n">
        <v>26115</v>
      </c>
      <c r="B62" s="76" t="n">
        <v>1.717</v>
      </c>
    </row>
    <row r="63">
      <c r="A63" s="75" t="n">
        <v>26207</v>
      </c>
      <c r="B63" s="76" t="n">
        <v>1.69</v>
      </c>
    </row>
    <row r="64">
      <c r="A64" s="75" t="n">
        <v>26299</v>
      </c>
      <c r="B64" s="76" t="n">
        <v>1.696</v>
      </c>
    </row>
    <row r="65">
      <c r="A65" s="75" t="n">
        <v>26390</v>
      </c>
      <c r="B65" s="76" t="n">
        <v>1.703</v>
      </c>
    </row>
    <row r="66">
      <c r="A66" s="75" t="n">
        <v>26481</v>
      </c>
      <c r="B66" s="76" t="n">
        <v>1.679</v>
      </c>
    </row>
    <row r="67">
      <c r="A67" s="75" t="n">
        <v>26573</v>
      </c>
      <c r="B67" s="76" t="n">
        <v>1.673</v>
      </c>
    </row>
    <row r="68">
      <c r="A68" s="75" t="n">
        <v>26665</v>
      </c>
      <c r="B68" s="76" t="n">
        <v>1.694</v>
      </c>
    </row>
    <row r="69">
      <c r="A69" s="75" t="n">
        <v>26755</v>
      </c>
      <c r="B69" s="76" t="n">
        <v>1.711</v>
      </c>
    </row>
    <row r="70">
      <c r="A70" s="75" t="n">
        <v>26846</v>
      </c>
      <c r="B70" s="76" t="n">
        <v>1.711</v>
      </c>
    </row>
    <row r="71">
      <c r="A71" s="75" t="n">
        <v>26938</v>
      </c>
      <c r="B71" s="76" t="n">
        <v>1.739</v>
      </c>
    </row>
    <row r="72">
      <c r="A72" s="75" t="n">
        <v>27030</v>
      </c>
      <c r="B72" s="76" t="n">
        <v>1.725</v>
      </c>
    </row>
    <row r="73">
      <c r="A73" s="75" t="n">
        <v>27120</v>
      </c>
      <c r="B73" s="76" t="n">
        <v>1.748</v>
      </c>
    </row>
    <row r="74">
      <c r="A74" s="75" t="n">
        <v>27211</v>
      </c>
      <c r="B74" s="76" t="n">
        <v>1.764</v>
      </c>
    </row>
    <row r="75">
      <c r="A75" s="75" t="n">
        <v>27303</v>
      </c>
      <c r="B75" s="76" t="n">
        <v>1.781</v>
      </c>
    </row>
    <row r="76">
      <c r="A76" s="75" t="n">
        <v>27395</v>
      </c>
      <c r="B76" s="76" t="n">
        <v>1.766</v>
      </c>
    </row>
    <row r="77">
      <c r="A77" s="75" t="n">
        <v>27485</v>
      </c>
      <c r="B77" s="76" t="n">
        <v>1.741</v>
      </c>
    </row>
    <row r="78">
      <c r="A78" s="75" t="n">
        <v>27576</v>
      </c>
      <c r="B78" s="76" t="n">
        <v>1.739</v>
      </c>
    </row>
    <row r="79">
      <c r="A79" s="75" t="n">
        <v>27668</v>
      </c>
      <c r="B79" s="76" t="n">
        <v>1.75</v>
      </c>
    </row>
    <row r="80">
      <c r="A80" s="75" t="n">
        <v>27760</v>
      </c>
      <c r="B80" s="76" t="n">
        <v>1.752</v>
      </c>
    </row>
    <row r="81">
      <c r="A81" s="75" t="n">
        <v>27851</v>
      </c>
      <c r="B81" s="76" t="n">
        <v>1.731</v>
      </c>
    </row>
    <row r="82">
      <c r="A82" s="75" t="n">
        <v>27942</v>
      </c>
      <c r="B82" s="76" t="n">
        <v>1.717</v>
      </c>
    </row>
    <row r="83">
      <c r="A83" s="75" t="n">
        <v>28034</v>
      </c>
      <c r="B83" s="76" t="n">
        <v>1.699</v>
      </c>
    </row>
    <row r="84">
      <c r="A84" s="75" t="n">
        <v>28126</v>
      </c>
      <c r="B84" s="76" t="n">
        <v>1.689</v>
      </c>
    </row>
    <row r="85">
      <c r="A85" s="75" t="n">
        <v>28216</v>
      </c>
      <c r="B85" s="76" t="n">
        <v>1.701</v>
      </c>
    </row>
    <row r="86">
      <c r="A86" s="75" t="n">
        <v>28307</v>
      </c>
      <c r="B86" s="76" t="n">
        <v>1.713</v>
      </c>
    </row>
    <row r="87">
      <c r="A87" s="75" t="n">
        <v>28399</v>
      </c>
      <c r="B87" s="76" t="n">
        <v>1.715</v>
      </c>
    </row>
    <row r="88">
      <c r="A88" s="75" t="n">
        <v>28491</v>
      </c>
      <c r="B88" s="76" t="n">
        <v>1.713</v>
      </c>
    </row>
    <row r="89">
      <c r="A89" s="75" t="n">
        <v>28581</v>
      </c>
      <c r="B89" s="76" t="n">
        <v>1.78</v>
      </c>
    </row>
    <row r="90">
      <c r="A90" s="75" t="n">
        <v>28672</v>
      </c>
      <c r="B90" s="76" t="n">
        <v>1.795</v>
      </c>
    </row>
    <row r="91">
      <c r="A91" s="75" t="n">
        <v>28764</v>
      </c>
      <c r="B91" s="76" t="n">
        <v>1.822</v>
      </c>
    </row>
    <row r="92">
      <c r="A92" s="75" t="n">
        <v>28856</v>
      </c>
      <c r="B92" s="76" t="n">
        <v>1.832</v>
      </c>
    </row>
    <row r="93">
      <c r="A93" s="75" t="n">
        <v>28946</v>
      </c>
      <c r="B93" s="76" t="n">
        <v>1.835</v>
      </c>
    </row>
    <row r="94">
      <c r="A94" s="75" t="n">
        <v>29037</v>
      </c>
      <c r="B94" s="76" t="n">
        <v>1.846</v>
      </c>
    </row>
    <row r="95">
      <c r="A95" s="75" t="n">
        <v>29129</v>
      </c>
      <c r="B95" s="76" t="n">
        <v>1.857</v>
      </c>
    </row>
    <row r="96">
      <c r="A96" s="75" t="n">
        <v>29221</v>
      </c>
      <c r="B96" s="76" t="n">
        <v>1.869</v>
      </c>
    </row>
    <row r="97">
      <c r="A97" s="75" t="n">
        <v>29312</v>
      </c>
      <c r="B97" s="76" t="n">
        <v>1.847</v>
      </c>
    </row>
    <row r="98">
      <c r="A98" s="75" t="n">
        <v>29403</v>
      </c>
      <c r="B98" s="76" t="n">
        <v>1.831</v>
      </c>
    </row>
    <row r="99">
      <c r="A99" s="75" t="n">
        <v>29495</v>
      </c>
      <c r="B99" s="76" t="n">
        <v>1.874</v>
      </c>
    </row>
    <row r="100">
      <c r="A100" s="75" t="n">
        <v>29587</v>
      </c>
      <c r="B100" s="76" t="n">
        <v>1.928</v>
      </c>
    </row>
    <row r="101">
      <c r="A101" s="75" t="n">
        <v>29677</v>
      </c>
      <c r="B101" s="76" t="n">
        <v>1.9</v>
      </c>
    </row>
    <row r="102">
      <c r="A102" s="75" t="n">
        <v>29768</v>
      </c>
      <c r="B102" s="76" t="n">
        <v>1.925</v>
      </c>
    </row>
    <row r="103">
      <c r="A103" s="75" t="n">
        <v>29860</v>
      </c>
      <c r="B103" s="76" t="n">
        <v>1.888</v>
      </c>
    </row>
    <row r="104">
      <c r="A104" s="75" t="n">
        <v>29952</v>
      </c>
      <c r="B104" s="76" t="n">
        <v>1.842</v>
      </c>
    </row>
    <row r="105">
      <c r="A105" s="75" t="n">
        <v>30042</v>
      </c>
      <c r="B105" s="76" t="n">
        <v>1.836</v>
      </c>
    </row>
    <row r="106">
      <c r="A106" s="75" t="n">
        <v>30133</v>
      </c>
      <c r="B106" s="76" t="n">
        <v>1.825</v>
      </c>
    </row>
    <row r="107">
      <c r="A107" s="75" t="n">
        <v>30225</v>
      </c>
      <c r="B107" s="76" t="n">
        <v>1.804</v>
      </c>
    </row>
    <row r="108">
      <c r="A108" s="75" t="n">
        <v>30317</v>
      </c>
      <c r="B108" s="76" t="n">
        <v>1.745</v>
      </c>
    </row>
    <row r="109">
      <c r="A109" s="75" t="n">
        <v>30407</v>
      </c>
      <c r="B109" s="76" t="n">
        <v>1.753</v>
      </c>
    </row>
    <row r="110">
      <c r="A110" s="75" t="n">
        <v>30498</v>
      </c>
      <c r="B110" s="76" t="n">
        <v>1.779</v>
      </c>
    </row>
    <row r="111">
      <c r="A111" s="75" t="n">
        <v>30590</v>
      </c>
      <c r="B111" s="76" t="n">
        <v>1.797</v>
      </c>
    </row>
    <row r="112">
      <c r="A112" s="75" t="n">
        <v>30682</v>
      </c>
      <c r="B112" s="76" t="n">
        <v>1.812</v>
      </c>
    </row>
    <row r="113">
      <c r="A113" s="75" t="n">
        <v>30773</v>
      </c>
      <c r="B113" s="76" t="n">
        <v>1.82</v>
      </c>
    </row>
    <row r="114">
      <c r="A114" s="75" t="n">
        <v>30864</v>
      </c>
      <c r="B114" s="76" t="n">
        <v>1.829</v>
      </c>
    </row>
    <row r="115">
      <c r="A115" s="75" t="n">
        <v>30956</v>
      </c>
      <c r="B115" s="76" t="n">
        <v>1.818</v>
      </c>
    </row>
    <row r="116">
      <c r="A116" s="75" t="n">
        <v>31048</v>
      </c>
      <c r="B116" s="76" t="n">
        <v>1.799</v>
      </c>
    </row>
    <row r="117">
      <c r="A117" s="75" t="n">
        <v>31138</v>
      </c>
      <c r="B117" s="76" t="n">
        <v>1.795</v>
      </c>
    </row>
    <row r="118">
      <c r="A118" s="75" t="n">
        <v>31229</v>
      </c>
      <c r="B118" s="76" t="n">
        <v>1.795</v>
      </c>
    </row>
    <row r="119">
      <c r="A119" s="75" t="n">
        <v>31321</v>
      </c>
      <c r="B119" s="76" t="n">
        <v>1.792</v>
      </c>
    </row>
    <row r="120">
      <c r="A120" s="75" t="n">
        <v>31413</v>
      </c>
      <c r="B120" s="76" t="n">
        <v>1.792</v>
      </c>
    </row>
    <row r="121">
      <c r="A121" s="75" t="n">
        <v>31503</v>
      </c>
      <c r="B121" s="76" t="n">
        <v>1.76</v>
      </c>
    </row>
    <row r="122">
      <c r="A122" s="75" t="n">
        <v>31594</v>
      </c>
      <c r="B122" s="76" t="n">
        <v>1.741</v>
      </c>
    </row>
    <row r="123">
      <c r="A123" s="75" t="n">
        <v>31686</v>
      </c>
      <c r="B123" s="76" t="n">
        <v>1.721</v>
      </c>
    </row>
    <row r="124">
      <c r="A124" s="75" t="n">
        <v>31778</v>
      </c>
      <c r="B124" s="76" t="n">
        <v>1.718</v>
      </c>
    </row>
    <row r="125">
      <c r="A125" s="75" t="n">
        <v>31868</v>
      </c>
      <c r="B125" s="76" t="n">
        <v>1.734</v>
      </c>
    </row>
    <row r="126">
      <c r="A126" s="75" t="n">
        <v>31959</v>
      </c>
      <c r="B126" s="76" t="n">
        <v>1.751</v>
      </c>
    </row>
    <row r="127">
      <c r="A127" s="75" t="n">
        <v>32051</v>
      </c>
      <c r="B127" s="76" t="n">
        <v>1.776</v>
      </c>
    </row>
    <row r="128">
      <c r="A128" s="75" t="n">
        <v>32143</v>
      </c>
      <c r="B128" s="76" t="n">
        <v>1.768</v>
      </c>
    </row>
    <row r="129">
      <c r="A129" s="75" t="n">
        <v>32234</v>
      </c>
      <c r="B129" s="76" t="n">
        <v>1.774</v>
      </c>
    </row>
    <row r="130">
      <c r="A130" s="75" t="n">
        <v>32325</v>
      </c>
      <c r="B130" s="76" t="n">
        <v>1.79</v>
      </c>
    </row>
    <row r="131">
      <c r="A131" s="75" t="n">
        <v>32417</v>
      </c>
      <c r="B131" s="76" t="n">
        <v>1.813</v>
      </c>
    </row>
    <row r="132">
      <c r="A132" s="75" t="n">
        <v>32509</v>
      </c>
      <c r="B132" s="76" t="n">
        <v>1.84</v>
      </c>
    </row>
    <row r="133">
      <c r="A133" s="75" t="n">
        <v>32599</v>
      </c>
      <c r="B133" s="76" t="n">
        <v>1.861</v>
      </c>
    </row>
    <row r="134">
      <c r="A134" s="75" t="n">
        <v>32690</v>
      </c>
      <c r="B134" s="76" t="n">
        <v>1.853</v>
      </c>
    </row>
    <row r="135">
      <c r="A135" s="75" t="n">
        <v>32782</v>
      </c>
      <c r="B135" s="76" t="n">
        <v>1.834</v>
      </c>
    </row>
    <row r="136">
      <c r="A136" s="75" t="n">
        <v>32874</v>
      </c>
      <c r="B136" s="76" t="n">
        <v>1.848</v>
      </c>
    </row>
    <row r="137">
      <c r="A137" s="75" t="n">
        <v>32964</v>
      </c>
      <c r="B137" s="76" t="n">
        <v>1.859</v>
      </c>
    </row>
    <row r="138">
      <c r="A138" s="75" t="n">
        <v>33055</v>
      </c>
      <c r="B138" s="76" t="n">
        <v>1.856</v>
      </c>
    </row>
    <row r="139">
      <c r="A139" s="75" t="n">
        <v>33147</v>
      </c>
      <c r="B139" s="76" t="n">
        <v>1.839</v>
      </c>
    </row>
    <row r="140">
      <c r="A140" s="75" t="n">
        <v>33239</v>
      </c>
      <c r="B140" s="76" t="n">
        <v>1.826</v>
      </c>
    </row>
    <row r="141">
      <c r="A141" s="75" t="n">
        <v>33329</v>
      </c>
      <c r="B141" s="76" t="n">
        <v>1.833</v>
      </c>
    </row>
    <row r="142">
      <c r="A142" s="75" t="n">
        <v>33420</v>
      </c>
      <c r="B142" s="76" t="n">
        <v>1.85</v>
      </c>
    </row>
    <row r="143">
      <c r="A143" s="75" t="n">
        <v>33512</v>
      </c>
      <c r="B143" s="76" t="n">
        <v>1.861</v>
      </c>
    </row>
    <row r="144">
      <c r="A144" s="75" t="n">
        <v>33604</v>
      </c>
      <c r="B144" s="76" t="n">
        <v>1.874</v>
      </c>
    </row>
    <row r="145">
      <c r="A145" s="75" t="n">
        <v>33695</v>
      </c>
      <c r="B145" s="76" t="n">
        <v>1.905</v>
      </c>
    </row>
    <row r="146">
      <c r="A146" s="75" t="n">
        <v>33786</v>
      </c>
      <c r="B146" s="76" t="n">
        <v>1.931</v>
      </c>
    </row>
    <row r="147">
      <c r="A147" s="75" t="n">
        <v>33878</v>
      </c>
      <c r="B147" s="76" t="n">
        <v>1.951</v>
      </c>
    </row>
    <row r="148">
      <c r="A148" s="75" t="n">
        <v>33970</v>
      </c>
      <c r="B148" s="76" t="n">
        <v>1.971</v>
      </c>
    </row>
    <row r="149">
      <c r="A149" s="75" t="n">
        <v>34060</v>
      </c>
      <c r="B149" s="76" t="n">
        <v>1.985</v>
      </c>
    </row>
    <row r="150">
      <c r="A150" s="75" t="n">
        <v>34151</v>
      </c>
      <c r="B150" s="76" t="n">
        <v>1.997</v>
      </c>
    </row>
    <row r="151">
      <c r="A151" s="75" t="n">
        <v>34243</v>
      </c>
      <c r="B151" s="76" t="n">
        <v>2.023</v>
      </c>
    </row>
    <row r="152">
      <c r="A152" s="75" t="n">
        <v>34335</v>
      </c>
      <c r="B152" s="76" t="n">
        <v>2.047</v>
      </c>
    </row>
    <row r="153">
      <c r="A153" s="75" t="n">
        <v>34425</v>
      </c>
      <c r="B153" s="76" t="n">
        <v>2.08</v>
      </c>
    </row>
    <row r="154">
      <c r="A154" s="75" t="n">
        <v>34516</v>
      </c>
      <c r="B154" s="76" t="n">
        <v>2.103</v>
      </c>
    </row>
    <row r="155">
      <c r="A155" s="75" t="n">
        <v>34608</v>
      </c>
      <c r="B155" s="76" t="n">
        <v>2.139</v>
      </c>
    </row>
    <row r="156">
      <c r="A156" s="75" t="n">
        <v>34700</v>
      </c>
      <c r="B156" s="76" t="n">
        <v>2.155</v>
      </c>
    </row>
    <row r="157">
      <c r="A157" s="75" t="n">
        <v>34790</v>
      </c>
      <c r="B157" s="76" t="n">
        <v>2.151</v>
      </c>
    </row>
    <row r="158">
      <c r="A158" s="75" t="n">
        <v>34881</v>
      </c>
      <c r="B158" s="76" t="n">
        <v>2.142</v>
      </c>
    </row>
    <row r="159">
      <c r="A159" s="75" t="n">
        <v>34973</v>
      </c>
      <c r="B159" s="76" t="n">
        <v>2.147</v>
      </c>
    </row>
    <row r="160">
      <c r="A160" s="75" t="n">
        <v>35065</v>
      </c>
      <c r="B160" s="76" t="n">
        <v>2.147</v>
      </c>
    </row>
    <row r="161">
      <c r="A161" s="75" t="n">
        <v>35156</v>
      </c>
      <c r="B161" s="76" t="n">
        <v>2.165</v>
      </c>
    </row>
    <row r="162">
      <c r="A162" s="75" t="n">
        <v>35247</v>
      </c>
      <c r="B162" s="76" t="n">
        <v>2.171</v>
      </c>
    </row>
    <row r="163">
      <c r="A163" s="75" t="n">
        <v>35339</v>
      </c>
      <c r="B163" s="76" t="n">
        <v>2.179</v>
      </c>
    </row>
    <row r="164">
      <c r="A164" s="75" t="n">
        <v>35431</v>
      </c>
      <c r="B164" s="76" t="n">
        <v>2.179</v>
      </c>
    </row>
    <row r="165">
      <c r="A165" s="75" t="n">
        <v>35521</v>
      </c>
      <c r="B165" s="76" t="n">
        <v>2.195</v>
      </c>
    </row>
    <row r="166">
      <c r="A166" s="75" t="n">
        <v>35612</v>
      </c>
      <c r="B166" s="76" t="n">
        <v>2.198</v>
      </c>
    </row>
    <row r="167">
      <c r="A167" s="75" t="n">
        <v>35704</v>
      </c>
      <c r="B167" s="76" t="n">
        <v>2.19</v>
      </c>
    </row>
    <row r="168">
      <c r="A168" s="75" t="n">
        <v>35796</v>
      </c>
      <c r="B168" s="76" t="n">
        <v>2.175</v>
      </c>
    </row>
    <row r="169">
      <c r="A169" s="75" t="n">
        <v>35886</v>
      </c>
      <c r="B169" s="76" t="n">
        <v>2.16</v>
      </c>
    </row>
    <row r="170">
      <c r="A170" s="75" t="n">
        <v>35977</v>
      </c>
      <c r="B170" s="76" t="n">
        <v>2.16</v>
      </c>
    </row>
    <row r="171">
      <c r="A171" s="75" t="n">
        <v>36069</v>
      </c>
      <c r="B171" s="76" t="n">
        <v>2.145</v>
      </c>
    </row>
    <row r="172">
      <c r="A172" s="75" t="n">
        <v>36161</v>
      </c>
      <c r="B172" s="76" t="n">
        <v>2.136</v>
      </c>
    </row>
    <row r="173">
      <c r="A173" s="75" t="n">
        <v>36251</v>
      </c>
      <c r="B173" s="76" t="n">
        <v>2.129</v>
      </c>
    </row>
    <row r="174">
      <c r="A174" s="75" t="n">
        <v>36342</v>
      </c>
      <c r="B174" s="76" t="n">
        <v>2.132</v>
      </c>
    </row>
    <row r="175">
      <c r="A175" s="75" t="n">
        <v>36434</v>
      </c>
      <c r="B175" s="76" t="n">
        <v>2.151</v>
      </c>
    </row>
    <row r="176">
      <c r="A176" s="75" t="n">
        <v>36526</v>
      </c>
      <c r="B176" s="76" t="n">
        <v>2.14</v>
      </c>
    </row>
    <row r="177">
      <c r="A177" s="75" t="n">
        <v>36617</v>
      </c>
      <c r="B177" s="76" t="n">
        <v>2.156</v>
      </c>
    </row>
    <row r="178">
      <c r="A178" s="75" t="n">
        <v>36708</v>
      </c>
      <c r="B178" s="76" t="n">
        <v>2.146</v>
      </c>
    </row>
    <row r="179">
      <c r="A179" s="75" t="n">
        <v>36800</v>
      </c>
      <c r="B179" s="76" t="n">
        <v>2.139</v>
      </c>
    </row>
    <row r="180">
      <c r="A180" s="75" t="n">
        <v>36892</v>
      </c>
      <c r="B180" s="76" t="n">
        <v>2.091</v>
      </c>
    </row>
    <row r="181">
      <c r="A181" s="75" t="n">
        <v>36982</v>
      </c>
      <c r="B181" s="76" t="n">
        <v>2.064</v>
      </c>
    </row>
    <row r="182">
      <c r="A182" s="75" t="n">
        <v>37073</v>
      </c>
      <c r="B182" s="76" t="n">
        <v>2.018</v>
      </c>
    </row>
    <row r="183">
      <c r="A183" s="75" t="n">
        <v>37165</v>
      </c>
      <c r="B183" s="76" t="n">
        <v>1.985</v>
      </c>
    </row>
    <row r="184">
      <c r="A184" s="75" t="n">
        <v>37257</v>
      </c>
      <c r="B184" s="76" t="n">
        <v>1.974</v>
      </c>
    </row>
    <row r="185">
      <c r="A185" s="75" t="n">
        <v>37347</v>
      </c>
      <c r="B185" s="76" t="n">
        <v>1.977</v>
      </c>
    </row>
    <row r="186">
      <c r="A186" s="75" t="n">
        <v>37438</v>
      </c>
      <c r="B186" s="76" t="n">
        <v>1.958</v>
      </c>
    </row>
    <row r="187">
      <c r="A187" s="75" t="n">
        <v>37530</v>
      </c>
      <c r="B187" s="76" t="n">
        <v>1.933</v>
      </c>
    </row>
    <row r="188">
      <c r="A188" s="75" t="n">
        <v>37622</v>
      </c>
      <c r="B188" s="76" t="n">
        <v>1.92</v>
      </c>
    </row>
    <row r="189">
      <c r="A189" s="75" t="n">
        <v>37712</v>
      </c>
      <c r="B189" s="76" t="n">
        <v>1.905</v>
      </c>
    </row>
    <row r="190">
      <c r="A190" s="75" t="n">
        <v>37803</v>
      </c>
      <c r="B190" s="76" t="n">
        <v>1.909</v>
      </c>
    </row>
    <row r="191">
      <c r="A191" s="75" t="n">
        <v>37895</v>
      </c>
      <c r="B191" s="76" t="n">
        <v>1.944</v>
      </c>
    </row>
    <row r="192">
      <c r="A192" s="75" t="n">
        <v>37987</v>
      </c>
      <c r="B192" s="76" t="n">
        <v>1.954</v>
      </c>
    </row>
    <row r="193">
      <c r="A193" s="75" t="n">
        <v>38078</v>
      </c>
      <c r="B193" s="76" t="n">
        <v>1.944</v>
      </c>
    </row>
    <row r="194">
      <c r="A194" s="75" t="n">
        <v>38169</v>
      </c>
      <c r="B194" s="76" t="n">
        <v>1.953</v>
      </c>
    </row>
    <row r="195">
      <c r="A195" s="75" t="n">
        <v>38261</v>
      </c>
      <c r="B195" s="76" t="n">
        <v>1.962</v>
      </c>
    </row>
    <row r="196">
      <c r="A196" s="75" t="n">
        <v>38353</v>
      </c>
      <c r="B196" s="76" t="n">
        <v>1.988</v>
      </c>
    </row>
    <row r="197">
      <c r="A197" s="75" t="n">
        <v>38443</v>
      </c>
      <c r="B197" s="76" t="n">
        <v>1.997</v>
      </c>
    </row>
    <row r="198">
      <c r="A198" s="75" t="n">
        <v>38534</v>
      </c>
      <c r="B198" s="76" t="n">
        <v>2.004</v>
      </c>
    </row>
    <row r="199">
      <c r="A199" s="75" t="n">
        <v>38626</v>
      </c>
      <c r="B199" s="76" t="n">
        <v>2.006</v>
      </c>
    </row>
    <row r="200">
      <c r="A200" s="75" t="n">
        <v>38718</v>
      </c>
      <c r="B200" s="76" t="n">
        <v>2.021</v>
      </c>
    </row>
    <row r="201">
      <c r="A201" s="75" t="n">
        <v>38808</v>
      </c>
      <c r="B201" s="76" t="n">
        <v>2.021</v>
      </c>
    </row>
    <row r="202">
      <c r="A202" s="75" t="n">
        <v>38899</v>
      </c>
      <c r="B202" s="76" t="n">
        <v>2.009</v>
      </c>
    </row>
    <row r="203">
      <c r="A203" s="75" t="n">
        <v>38991</v>
      </c>
      <c r="B203" s="76" t="n">
        <v>2</v>
      </c>
    </row>
    <row r="204">
      <c r="A204" s="75" t="n">
        <v>39083</v>
      </c>
      <c r="B204" s="76" t="n">
        <v>1.996</v>
      </c>
    </row>
    <row r="205">
      <c r="A205" s="75" t="n">
        <v>39173</v>
      </c>
      <c r="B205" s="76" t="n">
        <v>1.987</v>
      </c>
    </row>
    <row r="206">
      <c r="A206" s="75" t="n">
        <v>39264</v>
      </c>
      <c r="B206" s="76" t="n">
        <v>1.977</v>
      </c>
    </row>
    <row r="207">
      <c r="A207" s="75" t="n">
        <v>39356</v>
      </c>
      <c r="B207" s="76" t="n">
        <v>1.976</v>
      </c>
    </row>
    <row r="208">
      <c r="A208" s="75" t="n">
        <v>39448</v>
      </c>
      <c r="B208" s="76" t="n">
        <v>1.935</v>
      </c>
    </row>
    <row r="209">
      <c r="A209" s="75" t="n">
        <v>39539</v>
      </c>
      <c r="B209" s="76" t="n">
        <v>1.923</v>
      </c>
    </row>
    <row r="210">
      <c r="A210" s="75" t="n">
        <v>39630</v>
      </c>
      <c r="B210" s="76" t="n">
        <v>1.903</v>
      </c>
    </row>
    <row r="211">
      <c r="A211" s="75" t="n">
        <v>39722</v>
      </c>
      <c r="B211" s="76" t="n">
        <v>1.809</v>
      </c>
    </row>
    <row r="212">
      <c r="A212" s="75" t="n">
        <v>39814</v>
      </c>
      <c r="B212" s="76" t="n">
        <v>1.733</v>
      </c>
    </row>
    <row r="213">
      <c r="A213" s="75" t="n">
        <v>39904</v>
      </c>
      <c r="B213" s="76" t="n">
        <v>1.708</v>
      </c>
    </row>
    <row r="214">
      <c r="A214" s="75" t="n">
        <v>39995</v>
      </c>
      <c r="B214" s="76" t="n">
        <v>1.71</v>
      </c>
    </row>
    <row r="215">
      <c r="A215" s="75" t="n">
        <v>40087</v>
      </c>
      <c r="B215" s="76" t="n">
        <v>1.726</v>
      </c>
    </row>
    <row r="216">
      <c r="A216" s="75" t="n">
        <v>40179</v>
      </c>
      <c r="B216" s="76" t="n">
        <v>1.736</v>
      </c>
    </row>
    <row r="217">
      <c r="A217" s="75" t="n">
        <v>40269</v>
      </c>
      <c r="B217" s="76" t="n">
        <v>1.743</v>
      </c>
    </row>
    <row r="218">
      <c r="A218" s="75" t="n">
        <v>40360</v>
      </c>
      <c r="B218" s="76" t="n">
        <v>1.743</v>
      </c>
    </row>
    <row r="219">
      <c r="A219" s="75" t="n">
        <v>40452</v>
      </c>
      <c r="B219" s="76" t="n">
        <v>1.74</v>
      </c>
    </row>
    <row r="220">
      <c r="A220" s="75" t="n">
        <v>40544</v>
      </c>
      <c r="B220" s="76" t="n">
        <v>1.723</v>
      </c>
    </row>
    <row r="221">
      <c r="A221" s="75" t="n">
        <v>40634</v>
      </c>
      <c r="B221" s="76" t="n">
        <v>1.714</v>
      </c>
    </row>
    <row r="222">
      <c r="A222" s="75" t="n">
        <v>40725</v>
      </c>
      <c r="B222" s="76" t="n">
        <v>1.65</v>
      </c>
    </row>
    <row r="223">
      <c r="A223" s="75" t="n">
        <v>40817</v>
      </c>
      <c r="B223" s="76" t="n">
        <v>1.643</v>
      </c>
    </row>
    <row r="224">
      <c r="A224" s="75" t="n">
        <v>40909</v>
      </c>
      <c r="B224" s="76" t="n">
        <v>1.639</v>
      </c>
    </row>
    <row r="225">
      <c r="A225" s="75" t="n">
        <v>41000</v>
      </c>
      <c r="B225" s="76" t="n">
        <v>1.629</v>
      </c>
    </row>
    <row r="226">
      <c r="A226" s="75" t="n">
        <v>41091</v>
      </c>
      <c r="B226" s="76" t="n">
        <v>1.606</v>
      </c>
    </row>
    <row r="227">
      <c r="A227" s="75" t="n">
        <v>41183</v>
      </c>
      <c r="B227" s="76" t="n">
        <v>1.582</v>
      </c>
    </row>
    <row r="228">
      <c r="A228" s="75" t="n">
        <v>41275</v>
      </c>
      <c r="B228" s="76" t="n">
        <v>1.579</v>
      </c>
    </row>
    <row r="229">
      <c r="A229" s="75" t="n">
        <v>41365</v>
      </c>
      <c r="B229" s="76" t="n">
        <v>1.567</v>
      </c>
    </row>
    <row r="230">
      <c r="A230" s="75" t="n">
        <v>41456</v>
      </c>
      <c r="B230" s="76" t="n">
        <v>1.563</v>
      </c>
    </row>
    <row r="231">
      <c r="A231" s="75" t="n">
        <v>41548</v>
      </c>
      <c r="B231" s="76" t="n">
        <v>1.557</v>
      </c>
    </row>
    <row r="232">
      <c r="A232" s="75" t="n">
        <v>41640</v>
      </c>
      <c r="B232" s="76" t="n">
        <v>1.536</v>
      </c>
    </row>
    <row r="233">
      <c r="A233" s="75" t="n">
        <v>41730</v>
      </c>
      <c r="B233" s="76" t="n">
        <v>1.541</v>
      </c>
    </row>
    <row r="234">
      <c r="A234" s="75" t="n">
        <v>41821</v>
      </c>
      <c r="B234" s="76" t="n">
        <v>1.546</v>
      </c>
    </row>
    <row r="235">
      <c r="A235" s="75" t="n">
        <v>41913</v>
      </c>
      <c r="B235" s="76" t="n">
        <v>1.538</v>
      </c>
    </row>
    <row r="236">
      <c r="A236" s="75" t="n">
        <v>42005</v>
      </c>
      <c r="B236" s="76" t="n">
        <v>1.522</v>
      </c>
    </row>
    <row r="237">
      <c r="A237" s="75" t="n">
        <v>42095</v>
      </c>
      <c r="B237" s="76" t="n">
        <v>1.524</v>
      </c>
    </row>
    <row r="238">
      <c r="A238" s="75" t="n">
        <v>42186</v>
      </c>
      <c r="B238" s="76" t="n">
        <v>1.516</v>
      </c>
    </row>
    <row r="239">
      <c r="A239" s="75" t="n">
        <v>42278</v>
      </c>
      <c r="B239" s="76" t="n">
        <v>1.496</v>
      </c>
    </row>
    <row r="240">
      <c r="A240" s="75" t="n">
        <v>42370</v>
      </c>
      <c r="B240" s="76" t="n">
        <v>1.47</v>
      </c>
    </row>
    <row r="241">
      <c r="A241" s="75" t="n">
        <v>42461</v>
      </c>
      <c r="B241" s="76" t="n">
        <v>1.461</v>
      </c>
    </row>
    <row r="242">
      <c r="A242" s="75" t="n">
        <v>42552</v>
      </c>
      <c r="B242" s="76" t="n">
        <v>1.451</v>
      </c>
    </row>
    <row r="243">
      <c r="A243" s="75" t="n">
        <v>42644</v>
      </c>
      <c r="B243" s="76" t="n">
        <v>1.444</v>
      </c>
    </row>
    <row r="244">
      <c r="A244" s="75" t="n">
        <v>42736</v>
      </c>
      <c r="B244" s="76" t="n">
        <v>1.438</v>
      </c>
    </row>
    <row r="245">
      <c r="A245" s="75" t="n">
        <v>42826</v>
      </c>
      <c r="B245" s="76" t="n">
        <v>1.432</v>
      </c>
    </row>
    <row r="246">
      <c r="A246" s="75" t="n">
        <v>42917</v>
      </c>
      <c r="B246" s="76" t="n">
        <v>1.435</v>
      </c>
    </row>
    <row r="247">
      <c r="A247" s="75" t="n">
        <v>43009</v>
      </c>
      <c r="B247" s="76" t="n">
        <v>1.443</v>
      </c>
    </row>
    <row r="248">
      <c r="A248" s="75" t="n">
        <v>43101</v>
      </c>
      <c r="B248" s="76" t="n">
        <v>1.45</v>
      </c>
    </row>
    <row r="249">
      <c r="A249" s="75" t="n">
        <v>43191</v>
      </c>
      <c r="B249" s="76" t="n">
        <v>1.459</v>
      </c>
    </row>
    <row r="250">
      <c r="A250" s="75" t="n">
        <v>43282</v>
      </c>
      <c r="B250" s="76" t="n">
        <v>1.462</v>
      </c>
    </row>
    <row r="251">
      <c r="A251" s="75" t="n">
        <v>43374</v>
      </c>
      <c r="B251" s="76" t="n">
        <v>1.464</v>
      </c>
    </row>
    <row r="252">
      <c r="A252" s="75" t="n">
        <v>43466</v>
      </c>
      <c r="B252" s="76" t="n">
        <v>1.458</v>
      </c>
    </row>
    <row r="253">
      <c r="A253" s="75" t="n">
        <v>43556</v>
      </c>
      <c r="B253" s="76" t="n">
        <v>1.455</v>
      </c>
    </row>
    <row r="254">
      <c r="A254" s="75" t="n">
        <v>43647</v>
      </c>
      <c r="B254" s="76" t="n">
        <v>1.442</v>
      </c>
    </row>
    <row r="255">
      <c r="A255" s="75" t="n">
        <v>43739</v>
      </c>
      <c r="B255" s="76" t="n">
        <v>1.425</v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E3083"/>
  <sheetViews>
    <sheetView topLeftCell="A3045" zoomScale="130" zoomScaleNormal="130" workbookViewId="0">
      <selection activeCell="G8" sqref="G8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</row>
    <row r="2">
      <c r="A2" s="81" t="n">
        <v>21551</v>
      </c>
      <c r="B2" t="n">
        <v>478.8</v>
      </c>
      <c r="C2" t="n">
        <v>987.9</v>
      </c>
      <c r="E2" t="n">
        <v>286.6</v>
      </c>
    </row>
    <row r="3">
      <c r="A3" s="81" t="n">
        <v>21582</v>
      </c>
      <c r="B3" t="n">
        <v>480.7</v>
      </c>
      <c r="C3" t="n">
        <v>992.1</v>
      </c>
      <c r="E3" t="n">
        <v>287.7</v>
      </c>
    </row>
    <row r="4">
      <c r="A4" s="81" t="n">
        <v>21610</v>
      </c>
      <c r="B4" t="n">
        <v>482.2</v>
      </c>
      <c r="C4" t="n">
        <v>998.3</v>
      </c>
      <c r="E4" t="n">
        <v>289.2</v>
      </c>
    </row>
    <row r="5">
      <c r="A5" s="81" t="n">
        <v>21641</v>
      </c>
      <c r="B5" t="n">
        <v>482.1</v>
      </c>
      <c r="C5" t="n">
        <v>1001</v>
      </c>
      <c r="E5" t="n">
        <v>290.1</v>
      </c>
    </row>
    <row r="6">
      <c r="A6" s="81" t="n">
        <v>21671</v>
      </c>
      <c r="B6" t="n">
        <v>484.5</v>
      </c>
      <c r="C6" t="n">
        <v>1006.2</v>
      </c>
      <c r="E6" t="n">
        <v>292.2</v>
      </c>
    </row>
    <row r="7">
      <c r="A7" s="81" t="n">
        <v>21702</v>
      </c>
      <c r="B7" t="n">
        <v>485.1</v>
      </c>
      <c r="C7" t="n">
        <v>1010.3</v>
      </c>
      <c r="E7" t="n">
        <v>294.1</v>
      </c>
    </row>
    <row r="8">
      <c r="A8" s="81" t="n">
        <v>21732</v>
      </c>
      <c r="B8" t="n">
        <v>486.1</v>
      </c>
      <c r="C8" t="n">
        <v>1012.7</v>
      </c>
      <c r="E8" t="n">
        <v>295.2</v>
      </c>
    </row>
    <row r="9">
      <c r="A9" s="81" t="n">
        <v>21763</v>
      </c>
      <c r="B9" t="n">
        <v>486.3</v>
      </c>
      <c r="C9" t="n">
        <v>1015.8</v>
      </c>
      <c r="E9" t="n">
        <v>296.4</v>
      </c>
    </row>
    <row r="10">
      <c r="A10" s="81" t="n">
        <v>21794</v>
      </c>
      <c r="B10" t="n">
        <v>482.1</v>
      </c>
      <c r="C10" t="n">
        <v>1014.4</v>
      </c>
      <c r="E10" t="n">
        <v>296.7</v>
      </c>
    </row>
    <row r="11">
      <c r="A11" s="81" t="n">
        <v>21824</v>
      </c>
      <c r="B11" t="n">
        <v>478.7</v>
      </c>
      <c r="C11" t="n">
        <v>1010.2</v>
      </c>
      <c r="E11" t="n">
        <v>296.5</v>
      </c>
    </row>
    <row r="12">
      <c r="A12" s="81" t="n">
        <v>21855</v>
      </c>
      <c r="B12" t="n">
        <v>478.4</v>
      </c>
      <c r="C12" t="n">
        <v>1012.3</v>
      </c>
      <c r="E12" t="n">
        <v>297.1</v>
      </c>
    </row>
    <row r="13">
      <c r="A13" s="81" t="n">
        <v>21885</v>
      </c>
      <c r="B13" t="n">
        <v>475.7</v>
      </c>
      <c r="C13" t="n">
        <v>1012.6</v>
      </c>
      <c r="E13" t="n">
        <v>297.8</v>
      </c>
    </row>
    <row r="14">
      <c r="A14" s="81" t="n">
        <v>21916</v>
      </c>
      <c r="B14" t="n">
        <v>476.7</v>
      </c>
      <c r="C14" t="n">
        <v>1015.3</v>
      </c>
      <c r="E14" t="n">
        <v>298.2</v>
      </c>
    </row>
    <row r="15">
      <c r="A15" s="81" t="n">
        <v>21947</v>
      </c>
      <c r="B15" t="n">
        <v>475.7</v>
      </c>
      <c r="C15" t="n">
        <v>1014.6</v>
      </c>
      <c r="E15" t="n">
        <v>298.4</v>
      </c>
    </row>
    <row r="16">
      <c r="A16" s="81" t="n">
        <v>21976</v>
      </c>
      <c r="B16" t="n">
        <v>475.3</v>
      </c>
      <c r="C16" t="n">
        <v>1017.7</v>
      </c>
      <c r="E16" t="n">
        <v>299.3</v>
      </c>
    </row>
    <row r="17">
      <c r="A17" s="81" t="n">
        <v>22007</v>
      </c>
      <c r="B17" t="n">
        <v>472.6</v>
      </c>
      <c r="C17" t="n">
        <v>1015.9</v>
      </c>
      <c r="E17" t="n">
        <v>300.1</v>
      </c>
    </row>
    <row r="18">
      <c r="A18" s="81" t="n">
        <v>22037</v>
      </c>
      <c r="B18" t="n">
        <v>472.1</v>
      </c>
      <c r="C18" t="n">
        <v>1017.6</v>
      </c>
      <c r="E18" t="n">
        <v>300.9</v>
      </c>
    </row>
    <row r="19">
      <c r="A19" s="81" t="n">
        <v>22068</v>
      </c>
      <c r="B19" t="n">
        <v>471.5</v>
      </c>
      <c r="C19" t="n">
        <v>1020.9</v>
      </c>
      <c r="E19" t="n">
        <v>302.3</v>
      </c>
    </row>
    <row r="20">
      <c r="A20" s="81" t="n">
        <v>22098</v>
      </c>
      <c r="B20" t="n">
        <v>474.5</v>
      </c>
      <c r="C20" t="n">
        <v>1029.1</v>
      </c>
      <c r="E20" t="n">
        <v>304.1</v>
      </c>
    </row>
    <row r="21">
      <c r="A21" s="81" t="n">
        <v>22129</v>
      </c>
      <c r="B21" t="n">
        <v>477.2</v>
      </c>
      <c r="C21" t="n">
        <v>1036.5</v>
      </c>
      <c r="E21" t="n">
        <v>306.9</v>
      </c>
    </row>
    <row r="22">
      <c r="A22" s="81" t="n">
        <v>22160</v>
      </c>
      <c r="B22" t="n">
        <v>476.9</v>
      </c>
      <c r="C22" t="n">
        <v>1041.5</v>
      </c>
      <c r="E22" t="n">
        <v>308.4</v>
      </c>
    </row>
    <row r="23">
      <c r="A23" s="81" t="n">
        <v>22190</v>
      </c>
      <c r="B23" t="n">
        <v>473.6</v>
      </c>
      <c r="C23" t="n">
        <v>1040.3</v>
      </c>
      <c r="E23" t="n">
        <v>309.5</v>
      </c>
    </row>
    <row r="24">
      <c r="A24" s="81" t="n">
        <v>22221</v>
      </c>
      <c r="B24" t="n">
        <v>473.1</v>
      </c>
      <c r="C24" t="n">
        <v>1044</v>
      </c>
      <c r="E24" t="n">
        <v>310.9</v>
      </c>
    </row>
    <row r="25">
      <c r="A25" s="81" t="n">
        <v>22251</v>
      </c>
      <c r="B25" t="n">
        <v>472</v>
      </c>
      <c r="C25" t="n">
        <v>1048</v>
      </c>
      <c r="E25" t="n">
        <v>312.4</v>
      </c>
    </row>
    <row r="26">
      <c r="A26" s="81" t="n">
        <v>22282</v>
      </c>
      <c r="B26" t="n">
        <v>472.9</v>
      </c>
      <c r="C26" t="n">
        <v>1052.6</v>
      </c>
      <c r="E26" t="n">
        <v>314.1</v>
      </c>
    </row>
    <row r="27">
      <c r="A27" s="81" t="n">
        <v>22313</v>
      </c>
      <c r="B27" t="n">
        <v>474.5</v>
      </c>
      <c r="C27" t="n">
        <v>1060.7</v>
      </c>
      <c r="E27" t="n">
        <v>316.5</v>
      </c>
    </row>
    <row r="28">
      <c r="A28" s="81" t="n">
        <v>22341</v>
      </c>
      <c r="B28" t="n">
        <v>475.5</v>
      </c>
      <c r="C28" t="n">
        <v>1066.7</v>
      </c>
      <c r="E28" t="n">
        <v>318.3</v>
      </c>
    </row>
    <row r="29">
      <c r="A29" s="81" t="n">
        <v>22372</v>
      </c>
      <c r="B29" t="n">
        <v>476.7</v>
      </c>
      <c r="C29" t="n">
        <v>1073.1</v>
      </c>
      <c r="E29" t="n">
        <v>319.9</v>
      </c>
    </row>
    <row r="30">
      <c r="A30" s="81" t="n">
        <v>22402</v>
      </c>
      <c r="B30" t="n">
        <v>478.2</v>
      </c>
      <c r="C30" t="n">
        <v>1079.8</v>
      </c>
      <c r="E30" t="n">
        <v>322.2</v>
      </c>
    </row>
    <row r="31">
      <c r="A31" s="81" t="n">
        <v>22433</v>
      </c>
      <c r="B31" t="n">
        <v>478.9</v>
      </c>
      <c r="C31" t="n">
        <v>1086.8</v>
      </c>
      <c r="E31" t="n">
        <v>324.3</v>
      </c>
    </row>
    <row r="32">
      <c r="A32" s="81" t="n">
        <v>22463</v>
      </c>
      <c r="B32" t="n">
        <v>477.6</v>
      </c>
      <c r="C32" t="n">
        <v>1088.2</v>
      </c>
      <c r="E32" t="n">
        <v>325.6</v>
      </c>
    </row>
    <row r="33">
      <c r="A33" s="81" t="n">
        <v>22494</v>
      </c>
      <c r="B33" t="n">
        <v>479.3</v>
      </c>
      <c r="C33" t="n">
        <v>1094.2</v>
      </c>
      <c r="E33" t="n">
        <v>327.6</v>
      </c>
    </row>
    <row r="34">
      <c r="A34" s="81" t="n">
        <v>22525</v>
      </c>
      <c r="B34" t="n">
        <v>479.7</v>
      </c>
      <c r="C34" t="n">
        <v>1099.1</v>
      </c>
      <c r="E34" t="n">
        <v>329.5</v>
      </c>
    </row>
    <row r="35">
      <c r="A35" s="81" t="n">
        <v>22555</v>
      </c>
      <c r="B35" t="n">
        <v>480.7</v>
      </c>
      <c r="C35" t="n">
        <v>1104.4</v>
      </c>
      <c r="E35" t="n">
        <v>331.1</v>
      </c>
    </row>
    <row r="36">
      <c r="A36" s="81" t="n">
        <v>22586</v>
      </c>
      <c r="B36" t="n">
        <v>483</v>
      </c>
      <c r="C36" t="n">
        <v>1112.1</v>
      </c>
      <c r="E36" t="n">
        <v>333.4</v>
      </c>
    </row>
    <row r="37">
      <c r="A37" s="81" t="n">
        <v>22616</v>
      </c>
      <c r="B37" t="n">
        <v>483.8</v>
      </c>
      <c r="C37" t="n">
        <v>1118</v>
      </c>
      <c r="E37" t="n">
        <v>335.5</v>
      </c>
    </row>
    <row r="38">
      <c r="A38" s="81" t="n">
        <v>22647</v>
      </c>
      <c r="B38" t="n">
        <v>483.4</v>
      </c>
      <c r="C38" t="n">
        <v>1123.5</v>
      </c>
      <c r="E38" t="n">
        <v>337.5</v>
      </c>
    </row>
    <row r="39">
      <c r="A39" s="81" t="n">
        <v>22678</v>
      </c>
      <c r="B39" t="n">
        <v>483.9</v>
      </c>
      <c r="C39" t="n">
        <v>1129.5</v>
      </c>
      <c r="E39" t="n">
        <v>340.1</v>
      </c>
    </row>
    <row r="40">
      <c r="A40" s="81" t="n">
        <v>22706</v>
      </c>
      <c r="B40" t="n">
        <v>483.9</v>
      </c>
      <c r="C40" t="n">
        <v>1137.2</v>
      </c>
      <c r="E40" t="n">
        <v>343.1</v>
      </c>
    </row>
    <row r="41">
      <c r="A41" s="81" t="n">
        <v>22737</v>
      </c>
      <c r="B41" t="n">
        <v>484.6</v>
      </c>
      <c r="C41" t="n">
        <v>1143.7</v>
      </c>
      <c r="E41" t="n">
        <v>345.5</v>
      </c>
    </row>
    <row r="42">
      <c r="A42" s="81" t="n">
        <v>22767</v>
      </c>
      <c r="B42" t="n">
        <v>485.4</v>
      </c>
      <c r="C42" t="n">
        <v>1149.1</v>
      </c>
      <c r="E42" t="n">
        <v>347.5</v>
      </c>
    </row>
    <row r="43">
      <c r="A43" s="81" t="n">
        <v>22798</v>
      </c>
      <c r="B43" t="n">
        <v>485.3</v>
      </c>
      <c r="C43" t="n">
        <v>1156.2</v>
      </c>
      <c r="E43" t="n">
        <v>349.3</v>
      </c>
    </row>
    <row r="44">
      <c r="A44" s="81" t="n">
        <v>22828</v>
      </c>
      <c r="B44" t="n">
        <v>484.8</v>
      </c>
      <c r="C44" t="n">
        <v>1160.8</v>
      </c>
      <c r="E44" t="n">
        <v>350.8</v>
      </c>
    </row>
    <row r="45">
      <c r="A45" s="81" t="n">
        <v>22859</v>
      </c>
      <c r="B45" t="n">
        <v>484.1</v>
      </c>
      <c r="C45" t="n">
        <v>1165.1</v>
      </c>
      <c r="E45" t="n">
        <v>352.8</v>
      </c>
    </row>
    <row r="46">
      <c r="A46" s="81" t="n">
        <v>22890</v>
      </c>
      <c r="B46" t="n">
        <v>480.9</v>
      </c>
      <c r="C46" t="n">
        <v>1166.7</v>
      </c>
      <c r="E46" t="n">
        <v>354.9</v>
      </c>
    </row>
    <row r="47">
      <c r="A47" s="81" t="n">
        <v>22920</v>
      </c>
      <c r="B47" t="n">
        <v>482.9</v>
      </c>
      <c r="C47" t="n">
        <v>1175.8</v>
      </c>
      <c r="E47" t="n">
        <v>357.2</v>
      </c>
    </row>
    <row r="48">
      <c r="A48" s="81" t="n">
        <v>22951</v>
      </c>
      <c r="B48" t="n">
        <v>484.9</v>
      </c>
      <c r="C48" t="n">
        <v>1184.3</v>
      </c>
      <c r="E48" t="n">
        <v>359.8</v>
      </c>
    </row>
    <row r="49">
      <c r="A49" s="81" t="n">
        <v>22981</v>
      </c>
      <c r="B49" t="n">
        <v>486.5</v>
      </c>
      <c r="C49" t="n">
        <v>1193.9</v>
      </c>
      <c r="E49" t="n">
        <v>362.7</v>
      </c>
    </row>
    <row r="50">
      <c r="A50" s="81" t="n">
        <v>23012</v>
      </c>
      <c r="B50" t="n">
        <v>487.2</v>
      </c>
      <c r="C50" t="n">
        <v>1199.7</v>
      </c>
      <c r="E50" t="n">
        <v>365.2</v>
      </c>
    </row>
    <row r="51">
      <c r="A51" s="81" t="n">
        <v>23043</v>
      </c>
      <c r="B51" t="n">
        <v>488.5</v>
      </c>
      <c r="C51" t="n">
        <v>1207</v>
      </c>
      <c r="E51" t="n">
        <v>367.9</v>
      </c>
    </row>
    <row r="52">
      <c r="A52" s="81" t="n">
        <v>23071</v>
      </c>
      <c r="B52" t="n">
        <v>489</v>
      </c>
      <c r="C52" t="n">
        <v>1215</v>
      </c>
      <c r="E52" t="n">
        <v>370.7</v>
      </c>
    </row>
    <row r="53">
      <c r="A53" s="81" t="n">
        <v>23102</v>
      </c>
      <c r="B53" t="n">
        <v>491.1</v>
      </c>
      <c r="C53" t="n">
        <v>1224.7</v>
      </c>
      <c r="E53" t="n">
        <v>373.3</v>
      </c>
    </row>
    <row r="54">
      <c r="A54" s="81" t="n">
        <v>23132</v>
      </c>
      <c r="B54" t="n">
        <v>493</v>
      </c>
      <c r="C54" t="n">
        <v>1232.7</v>
      </c>
      <c r="E54" t="n">
        <v>376.1</v>
      </c>
    </row>
    <row r="55">
      <c r="A55" s="81" t="n">
        <v>23163</v>
      </c>
      <c r="B55" t="n">
        <v>491.3</v>
      </c>
      <c r="C55" t="n">
        <v>1236.2</v>
      </c>
      <c r="E55" t="n">
        <v>378.4</v>
      </c>
    </row>
    <row r="56">
      <c r="A56" s="81" t="n">
        <v>23193</v>
      </c>
      <c r="B56" t="n">
        <v>493</v>
      </c>
      <c r="C56" t="n">
        <v>1241.8</v>
      </c>
      <c r="E56" t="n">
        <v>381.1</v>
      </c>
    </row>
    <row r="57">
      <c r="A57" s="81" t="n">
        <v>23224</v>
      </c>
      <c r="B57" t="n">
        <v>493.7</v>
      </c>
      <c r="C57" t="n">
        <v>1247.5</v>
      </c>
      <c r="E57" t="n">
        <v>383.6</v>
      </c>
    </row>
    <row r="58">
      <c r="A58" s="81" t="n">
        <v>23255</v>
      </c>
      <c r="B58" t="n">
        <v>494.8</v>
      </c>
      <c r="C58" t="n">
        <v>1256.5</v>
      </c>
      <c r="E58" t="n">
        <v>386</v>
      </c>
    </row>
    <row r="59">
      <c r="A59" s="81" t="n">
        <v>23285</v>
      </c>
      <c r="B59" t="n">
        <v>496.3</v>
      </c>
      <c r="C59" t="n">
        <v>1262.8</v>
      </c>
      <c r="E59" t="n">
        <v>388.3</v>
      </c>
    </row>
    <row r="60">
      <c r="A60" s="81" t="n">
        <v>23316</v>
      </c>
      <c r="B60" t="n">
        <v>499</v>
      </c>
      <c r="C60" t="n">
        <v>1271.9</v>
      </c>
      <c r="E60" t="n">
        <v>391.5</v>
      </c>
    </row>
    <row r="61">
      <c r="A61" s="81" t="n">
        <v>23346</v>
      </c>
      <c r="B61" t="n">
        <v>496.4</v>
      </c>
      <c r="C61" t="n">
        <v>1273.3</v>
      </c>
      <c r="E61" t="n">
        <v>393.2</v>
      </c>
    </row>
    <row r="62">
      <c r="A62" s="81" t="n">
        <v>23377</v>
      </c>
      <c r="B62" t="n">
        <v>496.8</v>
      </c>
      <c r="C62" t="n">
        <v>1277.3</v>
      </c>
      <c r="E62" t="n">
        <v>395.2</v>
      </c>
    </row>
    <row r="63">
      <c r="A63" s="81" t="n">
        <v>23408</v>
      </c>
      <c r="B63" t="n">
        <v>499.2</v>
      </c>
      <c r="C63" t="n">
        <v>1286.3</v>
      </c>
      <c r="E63" t="n">
        <v>397.6</v>
      </c>
    </row>
    <row r="64">
      <c r="A64" s="81" t="n">
        <v>23437</v>
      </c>
      <c r="B64" t="n">
        <v>499.4</v>
      </c>
      <c r="C64" t="n">
        <v>1292.2</v>
      </c>
      <c r="E64" t="n">
        <v>399.8</v>
      </c>
    </row>
    <row r="65">
      <c r="A65" s="81" t="n">
        <v>23468</v>
      </c>
      <c r="B65" t="n">
        <v>500.2</v>
      </c>
      <c r="C65" t="n">
        <v>1297.9</v>
      </c>
      <c r="E65" t="n">
        <v>401.7</v>
      </c>
    </row>
    <row r="66">
      <c r="A66" s="81" t="n">
        <v>23498</v>
      </c>
      <c r="B66" t="n">
        <v>501.3</v>
      </c>
      <c r="C66" t="n">
        <v>1304.7</v>
      </c>
      <c r="E66" t="n">
        <v>404.2</v>
      </c>
    </row>
    <row r="67">
      <c r="A67" s="81" t="n">
        <v>23529</v>
      </c>
      <c r="B67" t="n">
        <v>501.8</v>
      </c>
      <c r="C67" t="n">
        <v>1312.8</v>
      </c>
      <c r="E67" t="n">
        <v>407.1</v>
      </c>
    </row>
    <row r="68">
      <c r="A68" s="81" t="n">
        <v>23559</v>
      </c>
      <c r="B68" t="n">
        <v>505.5</v>
      </c>
      <c r="C68" t="n">
        <v>1322.1</v>
      </c>
      <c r="E68" t="n">
        <v>410.1</v>
      </c>
    </row>
    <row r="69">
      <c r="A69" s="81" t="n">
        <v>23590</v>
      </c>
      <c r="B69" t="n">
        <v>508.2</v>
      </c>
      <c r="C69" t="n">
        <v>1331.4</v>
      </c>
      <c r="E69" t="n">
        <v>413.4</v>
      </c>
    </row>
    <row r="70">
      <c r="A70" s="81" t="n">
        <v>23621</v>
      </c>
      <c r="B70" t="n">
        <v>510.6</v>
      </c>
      <c r="C70" t="n">
        <v>1341.4</v>
      </c>
      <c r="E70" t="n">
        <v>416.9</v>
      </c>
    </row>
    <row r="71">
      <c r="A71" s="81" t="n">
        <v>23651</v>
      </c>
      <c r="B71" t="n">
        <v>511.6</v>
      </c>
      <c r="C71" t="n">
        <v>1346.7</v>
      </c>
      <c r="E71" t="n">
        <v>419.1</v>
      </c>
    </row>
    <row r="72">
      <c r="A72" s="81" t="n">
        <v>23682</v>
      </c>
      <c r="B72" t="n">
        <v>512.7</v>
      </c>
      <c r="C72" t="n">
        <v>1352.1</v>
      </c>
      <c r="E72" t="n">
        <v>422</v>
      </c>
    </row>
    <row r="73">
      <c r="A73" s="81" t="n">
        <v>23712</v>
      </c>
      <c r="B73" t="n">
        <v>513</v>
      </c>
      <c r="C73" t="n">
        <v>1359</v>
      </c>
      <c r="E73" t="n">
        <v>424.7</v>
      </c>
    </row>
    <row r="74">
      <c r="A74" s="81" t="n">
        <v>23743</v>
      </c>
      <c r="B74" t="n">
        <v>513.7</v>
      </c>
      <c r="C74" t="n">
        <v>1366.7</v>
      </c>
      <c r="E74" t="n">
        <v>427.5</v>
      </c>
    </row>
    <row r="75">
      <c r="A75" s="81" t="n">
        <v>23774</v>
      </c>
      <c r="B75" t="n">
        <v>514.4</v>
      </c>
      <c r="C75" t="n">
        <v>1376</v>
      </c>
      <c r="E75" t="n">
        <v>430.4</v>
      </c>
    </row>
    <row r="76">
      <c r="A76" s="81" t="n">
        <v>23802</v>
      </c>
      <c r="B76" t="n">
        <v>515.8</v>
      </c>
      <c r="C76" t="n">
        <v>1383.6</v>
      </c>
      <c r="E76" t="n">
        <v>433.2</v>
      </c>
    </row>
    <row r="77">
      <c r="A77" s="81" t="n">
        <v>23833</v>
      </c>
      <c r="B77" t="n">
        <v>516.3</v>
      </c>
      <c r="C77" t="n">
        <v>1387.5</v>
      </c>
      <c r="E77" t="n">
        <v>435.4</v>
      </c>
    </row>
    <row r="78">
      <c r="A78" s="81" t="n">
        <v>23863</v>
      </c>
      <c r="B78" t="n">
        <v>513.7</v>
      </c>
      <c r="C78" t="n">
        <v>1388.5</v>
      </c>
      <c r="E78" t="n">
        <v>437.1</v>
      </c>
    </row>
    <row r="79">
      <c r="A79" s="81" t="n">
        <v>23894</v>
      </c>
      <c r="B79" t="n">
        <v>513.1</v>
      </c>
      <c r="C79" t="n">
        <v>1392.3</v>
      </c>
      <c r="E79" t="n">
        <v>440.1</v>
      </c>
    </row>
    <row r="80">
      <c r="A80" s="81" t="n">
        <v>23924</v>
      </c>
      <c r="B80" t="n">
        <v>516.1</v>
      </c>
      <c r="C80" t="n">
        <v>1402.5</v>
      </c>
      <c r="E80" t="n">
        <v>442.9</v>
      </c>
    </row>
    <row r="81">
      <c r="A81" s="81" t="n">
        <v>23955</v>
      </c>
      <c r="B81" t="n">
        <v>518.9</v>
      </c>
      <c r="C81" t="n">
        <v>1413</v>
      </c>
      <c r="E81" t="n">
        <v>445.8</v>
      </c>
    </row>
    <row r="82">
      <c r="A82" s="81" t="n">
        <v>23986</v>
      </c>
      <c r="B82" t="n">
        <v>521.2</v>
      </c>
      <c r="C82" t="n">
        <v>1421.6</v>
      </c>
      <c r="E82" t="n">
        <v>449.5</v>
      </c>
    </row>
    <row r="83">
      <c r="A83" s="81" t="n">
        <v>24016</v>
      </c>
      <c r="B83" t="n">
        <v>524.5</v>
      </c>
      <c r="C83" t="n">
        <v>1430</v>
      </c>
      <c r="E83" t="n">
        <v>452.6</v>
      </c>
    </row>
    <row r="84">
      <c r="A84" s="81" t="n">
        <v>24047</v>
      </c>
      <c r="B84" t="n">
        <v>525</v>
      </c>
      <c r="C84" t="n">
        <v>1435.3</v>
      </c>
      <c r="E84" t="n">
        <v>455.7</v>
      </c>
    </row>
    <row r="85">
      <c r="A85" s="81" t="n">
        <v>24077</v>
      </c>
      <c r="B85" t="n">
        <v>526.8</v>
      </c>
      <c r="C85" t="n">
        <v>1441.8</v>
      </c>
      <c r="E85" t="n">
        <v>459.2</v>
      </c>
    </row>
    <row r="86">
      <c r="A86" s="81" t="n">
        <v>24108</v>
      </c>
      <c r="B86" t="n">
        <v>530.4</v>
      </c>
      <c r="C86" t="n">
        <v>1449.2</v>
      </c>
      <c r="E86" t="n">
        <v>462</v>
      </c>
    </row>
    <row r="87">
      <c r="A87" s="81" t="n">
        <v>24139</v>
      </c>
      <c r="B87" t="n">
        <v>528.7</v>
      </c>
      <c r="C87" t="n">
        <v>1448.3</v>
      </c>
      <c r="E87" t="n">
        <v>464.6</v>
      </c>
    </row>
    <row r="88">
      <c r="A88" s="81" t="n">
        <v>24167</v>
      </c>
      <c r="B88" t="n">
        <v>529.8</v>
      </c>
      <c r="C88" t="n">
        <v>1451.8</v>
      </c>
      <c r="E88" t="n">
        <v>467.2</v>
      </c>
    </row>
    <row r="89">
      <c r="A89" s="81" t="n">
        <v>24198</v>
      </c>
      <c r="B89" t="n">
        <v>532.2</v>
      </c>
      <c r="C89" t="n">
        <v>1453.8</v>
      </c>
      <c r="E89" t="n">
        <v>469.3</v>
      </c>
    </row>
    <row r="90">
      <c r="A90" s="81" t="n">
        <v>24228</v>
      </c>
      <c r="B90" t="n">
        <v>529.5</v>
      </c>
      <c r="C90" t="n">
        <v>1453.2</v>
      </c>
      <c r="E90" t="n">
        <v>470.1</v>
      </c>
    </row>
    <row r="91">
      <c r="A91" s="81" t="n">
        <v>24259</v>
      </c>
      <c r="B91" t="n">
        <v>530</v>
      </c>
      <c r="C91" t="n">
        <v>1455.2</v>
      </c>
      <c r="E91" t="n">
        <v>471.2</v>
      </c>
    </row>
    <row r="92">
      <c r="A92" s="81" t="n">
        <v>24289</v>
      </c>
      <c r="B92" t="n">
        <v>524.8</v>
      </c>
      <c r="C92" t="n">
        <v>1451.2</v>
      </c>
      <c r="E92" t="n">
        <v>470.9</v>
      </c>
    </row>
    <row r="93">
      <c r="A93" s="81" t="n">
        <v>24320</v>
      </c>
      <c r="B93" t="n">
        <v>523.1</v>
      </c>
      <c r="C93" t="n">
        <v>1447.5</v>
      </c>
      <c r="E93" t="n">
        <v>472.6</v>
      </c>
    </row>
    <row r="94">
      <c r="A94" s="81" t="n">
        <v>24351</v>
      </c>
      <c r="B94" t="n">
        <v>525.2</v>
      </c>
      <c r="C94" t="n">
        <v>1451.6</v>
      </c>
      <c r="E94" t="n">
        <v>475.4</v>
      </c>
    </row>
    <row r="95">
      <c r="A95" s="81" t="n">
        <v>24381</v>
      </c>
      <c r="B95" t="n">
        <v>521.2</v>
      </c>
      <c r="C95" t="n">
        <v>1448.1</v>
      </c>
      <c r="E95" t="n">
        <v>475.7</v>
      </c>
    </row>
    <row r="96">
      <c r="A96" s="81" t="n">
        <v>24412</v>
      </c>
      <c r="B96" t="n">
        <v>521.3</v>
      </c>
      <c r="C96" t="n">
        <v>1451.6</v>
      </c>
      <c r="E96" t="n">
        <v>477.3</v>
      </c>
    </row>
    <row r="97">
      <c r="A97" s="81" t="n">
        <v>24442</v>
      </c>
      <c r="B97" t="n">
        <v>522.5</v>
      </c>
      <c r="C97" t="n">
        <v>1458.7</v>
      </c>
      <c r="E97" t="n">
        <v>480.2</v>
      </c>
    </row>
    <row r="98">
      <c r="A98" s="81" t="n">
        <v>24473</v>
      </c>
      <c r="B98" t="n">
        <v>522.5</v>
      </c>
      <c r="C98" t="n">
        <v>1463.8</v>
      </c>
      <c r="E98" t="n">
        <v>481.6</v>
      </c>
    </row>
    <row r="99">
      <c r="A99" s="81" t="n">
        <v>24504</v>
      </c>
      <c r="B99" t="n">
        <v>524.2</v>
      </c>
      <c r="C99" t="n">
        <v>1470</v>
      </c>
      <c r="E99" t="n">
        <v>485.1</v>
      </c>
    </row>
    <row r="100">
      <c r="A100" s="81" t="n">
        <v>24532</v>
      </c>
      <c r="B100" t="n">
        <v>529.7</v>
      </c>
      <c r="C100" t="n">
        <v>1483.9</v>
      </c>
      <c r="E100" t="n">
        <v>489.7</v>
      </c>
    </row>
    <row r="101">
      <c r="A101" s="81" t="n">
        <v>24563</v>
      </c>
      <c r="B101" t="n">
        <v>526.3</v>
      </c>
      <c r="C101" t="n">
        <v>1486.7</v>
      </c>
      <c r="E101" t="n">
        <v>492.1</v>
      </c>
    </row>
    <row r="102">
      <c r="A102" s="81" t="n">
        <v>24593</v>
      </c>
      <c r="B102" t="n">
        <v>530.8</v>
      </c>
      <c r="C102" t="n">
        <v>1502.1</v>
      </c>
      <c r="E102" t="n">
        <v>497.2</v>
      </c>
    </row>
    <row r="103">
      <c r="A103" s="81" t="n">
        <v>24624</v>
      </c>
      <c r="B103" t="n">
        <v>531.5</v>
      </c>
      <c r="C103" t="n">
        <v>1507.5</v>
      </c>
      <c r="E103" t="n">
        <v>502</v>
      </c>
    </row>
    <row r="104">
      <c r="A104" s="81" t="n">
        <v>24654</v>
      </c>
      <c r="B104" t="n">
        <v>533.2</v>
      </c>
      <c r="C104" t="n">
        <v>1515.9</v>
      </c>
      <c r="E104" t="n">
        <v>506.3</v>
      </c>
    </row>
    <row r="105">
      <c r="A105" s="81" t="n">
        <v>24685</v>
      </c>
      <c r="B105" t="n">
        <v>536.4</v>
      </c>
      <c r="C105" t="n">
        <v>1524.8</v>
      </c>
      <c r="E105" t="n">
        <v>510.8</v>
      </c>
    </row>
    <row r="106">
      <c r="A106" s="81" t="n">
        <v>24716</v>
      </c>
      <c r="B106" t="n">
        <v>537.8</v>
      </c>
      <c r="C106" t="n">
        <v>1531.8</v>
      </c>
      <c r="E106" t="n">
        <v>514.7</v>
      </c>
    </row>
    <row r="107">
      <c r="A107" s="81" t="n">
        <v>24746</v>
      </c>
      <c r="B107" t="n">
        <v>538.9</v>
      </c>
      <c r="C107" t="n">
        <v>1537.7</v>
      </c>
      <c r="E107" t="n">
        <v>518.2</v>
      </c>
    </row>
    <row r="108">
      <c r="A108" s="81" t="n">
        <v>24777</v>
      </c>
      <c r="B108" t="n">
        <v>538.1</v>
      </c>
      <c r="C108" t="n">
        <v>1537.5</v>
      </c>
      <c r="E108" t="n">
        <v>521.2</v>
      </c>
    </row>
    <row r="109">
      <c r="A109" s="81" t="n">
        <v>24807</v>
      </c>
      <c r="B109" t="n">
        <v>539.1</v>
      </c>
      <c r="C109" t="n">
        <v>1543.5</v>
      </c>
      <c r="E109" t="n">
        <v>524.8</v>
      </c>
    </row>
    <row r="110">
      <c r="A110" s="81" t="n">
        <v>24838</v>
      </c>
      <c r="B110" t="n">
        <v>540.5</v>
      </c>
      <c r="C110" t="n">
        <v>1546.6</v>
      </c>
      <c r="E110" t="n">
        <v>527.4</v>
      </c>
    </row>
    <row r="111">
      <c r="A111" s="81" t="n">
        <v>24869</v>
      </c>
      <c r="B111" t="n">
        <v>540.1</v>
      </c>
      <c r="C111" t="n">
        <v>1550.9</v>
      </c>
      <c r="E111" t="n">
        <v>530.4</v>
      </c>
    </row>
    <row r="112">
      <c r="A112" s="81" t="n">
        <v>24898</v>
      </c>
      <c r="B112" t="n">
        <v>540.8</v>
      </c>
      <c r="C112" t="n">
        <v>1554.5</v>
      </c>
      <c r="E112" t="n">
        <v>533.2</v>
      </c>
    </row>
    <row r="113">
      <c r="A113" s="81" t="n">
        <v>24929</v>
      </c>
      <c r="B113" t="n">
        <v>542.4</v>
      </c>
      <c r="C113" t="n">
        <v>1557.3</v>
      </c>
      <c r="E113" t="n">
        <v>535.7</v>
      </c>
    </row>
    <row r="114">
      <c r="A114" s="81" t="n">
        <v>24959</v>
      </c>
      <c r="B114" t="n">
        <v>544.9</v>
      </c>
      <c r="C114" t="n">
        <v>1562</v>
      </c>
      <c r="E114" t="n">
        <v>538.9</v>
      </c>
    </row>
    <row r="115">
      <c r="A115" s="81" t="n">
        <v>24990</v>
      </c>
      <c r="B115" t="n">
        <v>545.8</v>
      </c>
      <c r="C115" t="n">
        <v>1563.7</v>
      </c>
      <c r="E115" t="n">
        <v>542.6</v>
      </c>
    </row>
    <row r="116">
      <c r="A116" s="81" t="n">
        <v>25020</v>
      </c>
      <c r="B116" t="n">
        <v>545.8</v>
      </c>
      <c r="C116" t="n">
        <v>1563.3</v>
      </c>
      <c r="E116" t="n">
        <v>545.6</v>
      </c>
    </row>
    <row r="117">
      <c r="A117" s="81" t="n">
        <v>25051</v>
      </c>
      <c r="B117" t="n">
        <v>548</v>
      </c>
      <c r="C117" t="n">
        <v>1569.7</v>
      </c>
      <c r="E117" t="n">
        <v>549.4</v>
      </c>
    </row>
    <row r="118">
      <c r="A118" s="81" t="n">
        <v>25082</v>
      </c>
      <c r="B118" t="n">
        <v>549</v>
      </c>
      <c r="C118" t="n">
        <v>1577.2</v>
      </c>
      <c r="E118" t="n">
        <v>553.6</v>
      </c>
    </row>
    <row r="119">
      <c r="A119" s="81" t="n">
        <v>25112</v>
      </c>
      <c r="B119" t="n">
        <v>549.6</v>
      </c>
      <c r="C119" t="n">
        <v>1579.6</v>
      </c>
      <c r="E119" t="n">
        <v>557.6</v>
      </c>
    </row>
    <row r="120">
      <c r="A120" s="81" t="n">
        <v>25143</v>
      </c>
      <c r="B120" t="n">
        <v>553.7</v>
      </c>
      <c r="C120" t="n">
        <v>1588.7</v>
      </c>
      <c r="E120" t="n">
        <v>562.4</v>
      </c>
    </row>
    <row r="121">
      <c r="A121" s="81" t="n">
        <v>25173</v>
      </c>
      <c r="B121" t="n">
        <v>554.5</v>
      </c>
      <c r="C121" t="n">
        <v>1592.1</v>
      </c>
      <c r="E121" t="n">
        <v>566.8</v>
      </c>
    </row>
    <row r="122">
      <c r="A122" s="81" t="n">
        <v>25204</v>
      </c>
      <c r="B122" t="n">
        <v>556.6</v>
      </c>
      <c r="C122" t="n">
        <v>1594.7</v>
      </c>
      <c r="E122" t="n">
        <v>569.3</v>
      </c>
    </row>
    <row r="123">
      <c r="A123" s="81" t="n">
        <v>25235</v>
      </c>
      <c r="B123" t="n">
        <v>556.7</v>
      </c>
      <c r="C123" t="n">
        <v>1597.5</v>
      </c>
      <c r="E123" t="n">
        <v>571.9</v>
      </c>
    </row>
    <row r="124">
      <c r="A124" s="81" t="n">
        <v>25263</v>
      </c>
      <c r="B124" t="n">
        <v>554</v>
      </c>
      <c r="C124" t="n">
        <v>1591.1</v>
      </c>
      <c r="E124" t="n">
        <v>574.4</v>
      </c>
    </row>
    <row r="125">
      <c r="A125" s="81" t="n">
        <v>25294</v>
      </c>
      <c r="B125" t="n">
        <v>552.9</v>
      </c>
      <c r="C125" t="n">
        <v>1586</v>
      </c>
      <c r="E125" t="n">
        <v>575.7</v>
      </c>
    </row>
    <row r="126">
      <c r="A126" s="81" t="n">
        <v>25324</v>
      </c>
      <c r="B126" t="n">
        <v>551.6</v>
      </c>
      <c r="C126" t="n">
        <v>1583.8</v>
      </c>
      <c r="E126" t="n">
        <v>576.5</v>
      </c>
    </row>
    <row r="127">
      <c r="A127" s="81" t="n">
        <v>25355</v>
      </c>
      <c r="B127" t="n">
        <v>550</v>
      </c>
      <c r="C127" t="n">
        <v>1580.6</v>
      </c>
      <c r="E127" t="n">
        <v>578.5</v>
      </c>
    </row>
    <row r="128">
      <c r="A128" s="81" t="n">
        <v>25385</v>
      </c>
      <c r="B128" t="n">
        <v>548.1</v>
      </c>
      <c r="C128" t="n">
        <v>1574.7</v>
      </c>
      <c r="E128" t="n">
        <v>579.5</v>
      </c>
    </row>
    <row r="129">
      <c r="A129" s="81" t="n">
        <v>25416</v>
      </c>
      <c r="B129" t="n">
        <v>546.6</v>
      </c>
      <c r="C129" t="n">
        <v>1572.1</v>
      </c>
      <c r="E129" t="n">
        <v>580.1</v>
      </c>
    </row>
    <row r="130">
      <c r="A130" s="81" t="n">
        <v>25447</v>
      </c>
      <c r="B130" t="n">
        <v>544.7</v>
      </c>
      <c r="C130" t="n">
        <v>1569</v>
      </c>
      <c r="E130" t="n">
        <v>582.1</v>
      </c>
    </row>
    <row r="131">
      <c r="A131" s="81" t="n">
        <v>25477</v>
      </c>
      <c r="B131" t="n">
        <v>544</v>
      </c>
      <c r="C131" t="n">
        <v>1564.1</v>
      </c>
      <c r="E131" t="n">
        <v>583.4</v>
      </c>
    </row>
    <row r="132">
      <c r="A132" s="81" t="n">
        <v>25508</v>
      </c>
      <c r="B132" t="n">
        <v>542.9</v>
      </c>
      <c r="C132" t="n">
        <v>1561.1</v>
      </c>
      <c r="E132" t="n">
        <v>585.4</v>
      </c>
    </row>
    <row r="133">
      <c r="A133" s="81" t="n">
        <v>25538</v>
      </c>
      <c r="B133" t="n">
        <v>540.8</v>
      </c>
      <c r="C133" t="n">
        <v>1559.4</v>
      </c>
      <c r="E133" t="n">
        <v>587.9</v>
      </c>
    </row>
    <row r="134">
      <c r="A134" s="81" t="n">
        <v>25569</v>
      </c>
      <c r="B134" t="n">
        <v>544.1</v>
      </c>
      <c r="C134" t="n">
        <v>1555.7</v>
      </c>
      <c r="E134" t="n">
        <v>589.6</v>
      </c>
    </row>
    <row r="135">
      <c r="A135" s="81" t="n">
        <v>25600</v>
      </c>
      <c r="B135" t="n">
        <v>538.1</v>
      </c>
      <c r="C135" t="n">
        <v>1538.8</v>
      </c>
      <c r="E135" t="n">
        <v>586.3</v>
      </c>
    </row>
    <row r="136">
      <c r="A136" s="81" t="n">
        <v>25628</v>
      </c>
      <c r="B136" t="n">
        <v>537.1</v>
      </c>
      <c r="C136" t="n">
        <v>1533.4</v>
      </c>
      <c r="E136" t="n">
        <v>587.3</v>
      </c>
    </row>
    <row r="137">
      <c r="A137" s="81" t="n">
        <v>25659</v>
      </c>
      <c r="B137" t="n">
        <v>536.9</v>
      </c>
      <c r="C137" t="n">
        <v>1528.3</v>
      </c>
      <c r="E137" t="n">
        <v>588.4</v>
      </c>
    </row>
    <row r="138">
      <c r="A138" s="81" t="n">
        <v>25689</v>
      </c>
      <c r="B138" t="n">
        <v>536.8</v>
      </c>
      <c r="C138" t="n">
        <v>1532.4</v>
      </c>
      <c r="E138" t="n">
        <v>591.5</v>
      </c>
    </row>
    <row r="139">
      <c r="A139" s="81" t="n">
        <v>25720</v>
      </c>
      <c r="B139" t="n">
        <v>535.1</v>
      </c>
      <c r="C139" t="n">
        <v>1534</v>
      </c>
      <c r="E139" t="n">
        <v>595.2</v>
      </c>
    </row>
    <row r="140">
      <c r="A140" s="81" t="n">
        <v>25750</v>
      </c>
      <c r="B140" t="n">
        <v>534.7</v>
      </c>
      <c r="C140" t="n">
        <v>1540.1</v>
      </c>
      <c r="E140" t="n">
        <v>599.1</v>
      </c>
    </row>
    <row r="141">
      <c r="A141" s="81" t="n">
        <v>25781</v>
      </c>
      <c r="B141" t="n">
        <v>538.2</v>
      </c>
      <c r="C141" t="n">
        <v>1551</v>
      </c>
      <c r="E141" t="n">
        <v>604.9</v>
      </c>
    </row>
    <row r="142">
      <c r="A142" s="81" t="n">
        <v>25812</v>
      </c>
      <c r="B142" t="n">
        <v>540.3</v>
      </c>
      <c r="C142" t="n">
        <v>1559.2</v>
      </c>
      <c r="E142" t="n">
        <v>611.2</v>
      </c>
    </row>
    <row r="143">
      <c r="A143" s="81" t="n">
        <v>25842</v>
      </c>
      <c r="B143" t="n">
        <v>540.4</v>
      </c>
      <c r="C143" t="n">
        <v>1564.5</v>
      </c>
      <c r="E143" t="n">
        <v>616.4</v>
      </c>
    </row>
    <row r="144">
      <c r="A144" s="81" t="n">
        <v>25873</v>
      </c>
      <c r="B144" t="n">
        <v>539.6</v>
      </c>
      <c r="C144" t="n">
        <v>1568.4</v>
      </c>
      <c r="E144" t="n">
        <v>621.1</v>
      </c>
    </row>
    <row r="145">
      <c r="A145" s="81" t="n">
        <v>25903</v>
      </c>
      <c r="B145" t="n">
        <v>538.7</v>
      </c>
      <c r="C145" t="n">
        <v>1574.1</v>
      </c>
      <c r="E145" t="n">
        <v>626.5</v>
      </c>
    </row>
    <row r="146">
      <c r="A146" s="81" t="n">
        <v>25934</v>
      </c>
      <c r="B146" t="n">
        <v>540.1</v>
      </c>
      <c r="C146" t="n">
        <v>1586.2</v>
      </c>
      <c r="E146" t="n">
        <v>632.9</v>
      </c>
    </row>
    <row r="147">
      <c r="A147" s="81" t="n">
        <v>25965</v>
      </c>
      <c r="B147" t="n">
        <v>544.9</v>
      </c>
      <c r="C147" t="n">
        <v>1606.5</v>
      </c>
      <c r="E147" t="n">
        <v>641</v>
      </c>
    </row>
    <row r="148">
      <c r="A148" s="81" t="n">
        <v>25993</v>
      </c>
      <c r="B148" t="n">
        <v>547</v>
      </c>
      <c r="C148" t="n">
        <v>1624.7</v>
      </c>
      <c r="E148" t="n">
        <v>649.9</v>
      </c>
    </row>
    <row r="149">
      <c r="A149" s="81" t="n">
        <v>26024</v>
      </c>
      <c r="B149" t="n">
        <v>548.6</v>
      </c>
      <c r="C149" t="n">
        <v>1641.9</v>
      </c>
      <c r="E149" t="n">
        <v>658.4</v>
      </c>
    </row>
    <row r="150">
      <c r="A150" s="81" t="n">
        <v>26054</v>
      </c>
      <c r="B150" t="n">
        <v>550.9</v>
      </c>
      <c r="C150" t="n">
        <v>1654.3</v>
      </c>
      <c r="E150" t="n">
        <v>666.7</v>
      </c>
    </row>
    <row r="151">
      <c r="A151" s="81" t="n">
        <v>26085</v>
      </c>
      <c r="B151" t="n">
        <v>551.9</v>
      </c>
      <c r="C151" t="n">
        <v>1661.7</v>
      </c>
      <c r="E151" t="n">
        <v>673</v>
      </c>
    </row>
    <row r="152">
      <c r="A152" s="81" t="n">
        <v>26115</v>
      </c>
      <c r="B152" t="n">
        <v>553.9</v>
      </c>
      <c r="C152" t="n">
        <v>1673.9</v>
      </c>
      <c r="E152" t="n">
        <v>679.6</v>
      </c>
    </row>
    <row r="153">
      <c r="A153" s="81" t="n">
        <v>26146</v>
      </c>
      <c r="B153" t="n">
        <v>554.3</v>
      </c>
      <c r="C153" t="n">
        <v>1684.3</v>
      </c>
      <c r="E153" t="n">
        <v>685.5</v>
      </c>
    </row>
    <row r="154">
      <c r="A154" s="81" t="n">
        <v>26177</v>
      </c>
      <c r="B154" t="n">
        <v>555.1</v>
      </c>
      <c r="C154" t="n">
        <v>1697.3</v>
      </c>
      <c r="E154" t="n">
        <v>692.5</v>
      </c>
    </row>
    <row r="155">
      <c r="A155" s="81" t="n">
        <v>26207</v>
      </c>
      <c r="B155" t="n">
        <v>555.5</v>
      </c>
      <c r="C155" t="n">
        <v>1707.6</v>
      </c>
      <c r="E155" t="n">
        <v>698.4</v>
      </c>
    </row>
    <row r="156">
      <c r="A156" s="81" t="n">
        <v>26238</v>
      </c>
      <c r="B156" t="n">
        <v>555.6</v>
      </c>
      <c r="C156" t="n">
        <v>1718.5</v>
      </c>
      <c r="E156" t="n">
        <v>704.6</v>
      </c>
    </row>
    <row r="157">
      <c r="A157" s="81" t="n">
        <v>26268</v>
      </c>
      <c r="B157" t="n">
        <v>555.5</v>
      </c>
      <c r="C157" t="n">
        <v>1728.2</v>
      </c>
      <c r="E157" t="n">
        <v>710.3</v>
      </c>
    </row>
    <row r="158">
      <c r="A158" s="81" t="n">
        <v>26299</v>
      </c>
      <c r="B158" t="n">
        <v>558.5</v>
      </c>
      <c r="C158" t="n">
        <v>1742</v>
      </c>
      <c r="E158" t="n">
        <v>717.7</v>
      </c>
    </row>
    <row r="159">
      <c r="A159" s="81" t="n">
        <v>26330</v>
      </c>
      <c r="B159" t="n">
        <v>561.1</v>
      </c>
      <c r="C159" t="n">
        <v>1752.9</v>
      </c>
      <c r="E159" t="n">
        <v>725.7</v>
      </c>
    </row>
    <row r="160">
      <c r="A160" s="81" t="n">
        <v>26359</v>
      </c>
      <c r="B160" t="n">
        <v>565.9</v>
      </c>
      <c r="C160" t="n">
        <v>1771.7</v>
      </c>
      <c r="E160" t="n">
        <v>733.5</v>
      </c>
    </row>
    <row r="161">
      <c r="A161" s="81" t="n">
        <v>26390</v>
      </c>
      <c r="B161" t="n">
        <v>567.7</v>
      </c>
      <c r="C161" t="n">
        <v>1779.3</v>
      </c>
      <c r="E161" t="n">
        <v>738.4</v>
      </c>
    </row>
    <row r="162">
      <c r="A162" s="81" t="n">
        <v>26420</v>
      </c>
      <c r="B162" t="n">
        <v>567.1</v>
      </c>
      <c r="C162" t="n">
        <v>1786.8</v>
      </c>
      <c r="E162" t="n">
        <v>743.3</v>
      </c>
    </row>
    <row r="163">
      <c r="A163" s="81" t="n">
        <v>26451</v>
      </c>
      <c r="B163" t="n">
        <v>567.4</v>
      </c>
      <c r="C163" t="n">
        <v>1797.8</v>
      </c>
      <c r="E163" t="n">
        <v>749.7</v>
      </c>
    </row>
    <row r="164">
      <c r="A164" s="81" t="n">
        <v>26481</v>
      </c>
      <c r="B164" t="n">
        <v>571.3</v>
      </c>
      <c r="C164" t="n">
        <v>1817</v>
      </c>
      <c r="E164" t="n">
        <v>759.5</v>
      </c>
    </row>
    <row r="165">
      <c r="A165" s="81" t="n">
        <v>26512</v>
      </c>
      <c r="B165" t="n">
        <v>574.9</v>
      </c>
      <c r="C165" t="n">
        <v>1834.6</v>
      </c>
      <c r="E165" t="n">
        <v>768.7</v>
      </c>
    </row>
    <row r="166">
      <c r="A166" s="81" t="n">
        <v>26543</v>
      </c>
      <c r="B166" t="n">
        <v>577.7</v>
      </c>
      <c r="C166" t="n">
        <v>1848.7</v>
      </c>
      <c r="E166" t="n">
        <v>778.3</v>
      </c>
    </row>
    <row r="167">
      <c r="A167" s="81" t="n">
        <v>26573</v>
      </c>
      <c r="B167" t="n">
        <v>580.6</v>
      </c>
      <c r="C167" t="n">
        <v>1864.7</v>
      </c>
      <c r="E167" t="n">
        <v>786.9</v>
      </c>
    </row>
    <row r="168">
      <c r="A168" s="81" t="n">
        <v>26604</v>
      </c>
      <c r="B168" t="n">
        <v>581.1</v>
      </c>
      <c r="C168" t="n">
        <v>1872.4</v>
      </c>
      <c r="E168" t="n">
        <v>793.9</v>
      </c>
    </row>
    <row r="169">
      <c r="A169" s="81" t="n">
        <v>26634</v>
      </c>
      <c r="B169" t="n">
        <v>586.4</v>
      </c>
      <c r="C169" t="n">
        <v>1887.8</v>
      </c>
      <c r="E169" t="n">
        <v>802.3</v>
      </c>
    </row>
    <row r="170">
      <c r="A170" s="81" t="n">
        <v>26665</v>
      </c>
      <c r="B170" t="n">
        <v>589</v>
      </c>
      <c r="C170" t="n">
        <v>1897.7</v>
      </c>
      <c r="E170" t="n">
        <v>810.3</v>
      </c>
    </row>
    <row r="171">
      <c r="A171" s="81" t="n">
        <v>26696</v>
      </c>
      <c r="B171" t="n">
        <v>586.5</v>
      </c>
      <c r="C171" t="n">
        <v>1893.3</v>
      </c>
      <c r="E171" t="n">
        <v>814.1</v>
      </c>
    </row>
    <row r="172">
      <c r="A172" s="81" t="n">
        <v>26724</v>
      </c>
      <c r="B172" t="n">
        <v>580</v>
      </c>
      <c r="C172" t="n">
        <v>1878.6</v>
      </c>
      <c r="E172" t="n">
        <v>815.3</v>
      </c>
    </row>
    <row r="173">
      <c r="A173" s="81" t="n">
        <v>26755</v>
      </c>
      <c r="B173" t="n">
        <v>578.3</v>
      </c>
      <c r="C173" t="n">
        <v>1875.7</v>
      </c>
      <c r="E173" t="n">
        <v>819.7</v>
      </c>
    </row>
    <row r="174">
      <c r="A174" s="81" t="n">
        <v>26785</v>
      </c>
      <c r="B174" t="n">
        <v>580.6</v>
      </c>
      <c r="C174" t="n">
        <v>1883.4</v>
      </c>
      <c r="E174" t="n">
        <v>826.8</v>
      </c>
    </row>
    <row r="175">
      <c r="A175" s="81" t="n">
        <v>26816</v>
      </c>
      <c r="B175" t="n">
        <v>580.8</v>
      </c>
      <c r="C175" t="n">
        <v>1885.3</v>
      </c>
      <c r="E175" t="n">
        <v>833.3</v>
      </c>
    </row>
    <row r="176">
      <c r="A176" s="81" t="n">
        <v>26846</v>
      </c>
      <c r="B176" t="n">
        <v>582.6</v>
      </c>
      <c r="C176" t="n">
        <v>1892.5</v>
      </c>
      <c r="E176" t="n">
        <v>836.5</v>
      </c>
    </row>
    <row r="177">
      <c r="A177" s="81" t="n">
        <v>26877</v>
      </c>
      <c r="B177" t="n">
        <v>572.7</v>
      </c>
      <c r="C177" t="n">
        <v>1864</v>
      </c>
      <c r="E177" t="n">
        <v>838.8</v>
      </c>
    </row>
    <row r="178">
      <c r="A178" s="81" t="n">
        <v>26908</v>
      </c>
      <c r="B178" t="n">
        <v>570.6</v>
      </c>
      <c r="C178" t="n">
        <v>1856.9</v>
      </c>
      <c r="E178" t="n">
        <v>839.3</v>
      </c>
    </row>
    <row r="179">
      <c r="A179" s="81" t="n">
        <v>26938</v>
      </c>
      <c r="B179" t="n">
        <v>568</v>
      </c>
      <c r="C179" t="n">
        <v>1847.8</v>
      </c>
      <c r="E179" t="n">
        <v>842.6</v>
      </c>
    </row>
    <row r="180">
      <c r="A180" s="81" t="n">
        <v>26969</v>
      </c>
      <c r="B180" t="n">
        <v>568.6</v>
      </c>
      <c r="C180" t="n">
        <v>1849.5</v>
      </c>
      <c r="E180" t="n">
        <v>848.9</v>
      </c>
    </row>
    <row r="181">
      <c r="A181" s="81" t="n">
        <v>26999</v>
      </c>
      <c r="B181" t="n">
        <v>567.8</v>
      </c>
      <c r="C181" t="n">
        <v>1847.7</v>
      </c>
      <c r="E181" t="n">
        <v>855.5</v>
      </c>
    </row>
    <row r="182">
      <c r="A182" s="81" t="n">
        <v>27030</v>
      </c>
      <c r="B182" t="n">
        <v>563.7</v>
      </c>
      <c r="C182" t="n">
        <v>1837</v>
      </c>
      <c r="E182" t="n">
        <v>859.7</v>
      </c>
    </row>
    <row r="183">
      <c r="A183" s="81" t="n">
        <v>27061</v>
      </c>
      <c r="B183" t="n">
        <v>560.9</v>
      </c>
      <c r="C183" t="n">
        <v>1827.1</v>
      </c>
      <c r="E183" t="n">
        <v>864.2</v>
      </c>
    </row>
    <row r="184">
      <c r="A184" s="81" t="n">
        <v>27089</v>
      </c>
      <c r="B184" t="n">
        <v>557.9</v>
      </c>
      <c r="C184" t="n">
        <v>1820.3</v>
      </c>
      <c r="E184" t="n">
        <v>870.1</v>
      </c>
    </row>
    <row r="185">
      <c r="A185" s="81" t="n">
        <v>27120</v>
      </c>
      <c r="B185" t="n">
        <v>555.5</v>
      </c>
      <c r="C185" t="n">
        <v>1814.8</v>
      </c>
      <c r="E185" t="n">
        <v>872.9</v>
      </c>
    </row>
    <row r="186">
      <c r="A186" s="81" t="n">
        <v>27150</v>
      </c>
      <c r="B186" t="n">
        <v>550.6</v>
      </c>
      <c r="C186" t="n">
        <v>1799.6</v>
      </c>
      <c r="E186" t="n">
        <v>874.6</v>
      </c>
    </row>
    <row r="187">
      <c r="A187" s="81" t="n">
        <v>27181</v>
      </c>
      <c r="B187" t="n">
        <v>548</v>
      </c>
      <c r="C187" t="n">
        <v>1791.4</v>
      </c>
      <c r="E187" t="n">
        <v>877.8</v>
      </c>
    </row>
    <row r="188">
      <c r="A188" s="81" t="n">
        <v>27211</v>
      </c>
      <c r="B188" t="n">
        <v>546.2</v>
      </c>
      <c r="C188" t="n">
        <v>1787.8</v>
      </c>
      <c r="E188" t="n">
        <v>881.4</v>
      </c>
    </row>
    <row r="189">
      <c r="A189" s="81" t="n">
        <v>27242</v>
      </c>
      <c r="B189" t="n">
        <v>541.3</v>
      </c>
      <c r="C189" t="n">
        <v>1771.7</v>
      </c>
      <c r="E189" t="n">
        <v>884.1</v>
      </c>
    </row>
    <row r="190">
      <c r="A190" s="81" t="n">
        <v>27273</v>
      </c>
      <c r="B190" t="n">
        <v>535.6</v>
      </c>
      <c r="C190" t="n">
        <v>1754.7</v>
      </c>
      <c r="E190" t="n">
        <v>887.9</v>
      </c>
    </row>
    <row r="191">
      <c r="A191" s="81" t="n">
        <v>27303</v>
      </c>
      <c r="B191" t="n">
        <v>533.9</v>
      </c>
      <c r="C191" t="n">
        <v>1751.6</v>
      </c>
      <c r="E191" t="n">
        <v>893.3</v>
      </c>
    </row>
    <row r="192">
      <c r="A192" s="81" t="n">
        <v>27334</v>
      </c>
      <c r="B192" t="n">
        <v>531.5</v>
      </c>
      <c r="C192" t="n">
        <v>1744.9</v>
      </c>
      <c r="E192" t="n">
        <v>898.6</v>
      </c>
    </row>
    <row r="193">
      <c r="A193" s="81" t="n">
        <v>27364</v>
      </c>
      <c r="B193" t="n">
        <v>528.3</v>
      </c>
      <c r="C193" t="n">
        <v>1738.2</v>
      </c>
      <c r="E193" t="n">
        <v>902.1</v>
      </c>
    </row>
    <row r="194">
      <c r="A194" s="81" t="n">
        <v>27395</v>
      </c>
      <c r="B194" t="n">
        <v>523.7</v>
      </c>
      <c r="C194" t="n">
        <v>1732.9</v>
      </c>
      <c r="E194" t="n">
        <v>906.3</v>
      </c>
    </row>
    <row r="195">
      <c r="A195" s="81" t="n">
        <v>27400</v>
      </c>
      <c r="D195" t="n">
        <v>273.4</v>
      </c>
    </row>
    <row r="196">
      <c r="A196" s="81" t="n">
        <v>27407</v>
      </c>
      <c r="D196" t="n">
        <v>273.7</v>
      </c>
    </row>
    <row r="197">
      <c r="A197" s="81" t="n">
        <v>27414</v>
      </c>
      <c r="D197" t="n">
        <v>273.8</v>
      </c>
    </row>
    <row r="198">
      <c r="A198" s="81" t="n">
        <v>27421</v>
      </c>
      <c r="D198" t="n">
        <v>273.7</v>
      </c>
    </row>
    <row r="199">
      <c r="A199" s="81" t="n">
        <v>27426</v>
      </c>
      <c r="B199" t="n">
        <v>522.8</v>
      </c>
      <c r="C199" t="n">
        <v>1737.8</v>
      </c>
      <c r="E199" t="n">
        <v>914.1</v>
      </c>
    </row>
    <row r="200">
      <c r="A200" s="81" t="n">
        <v>27428</v>
      </c>
      <c r="D200" t="n">
        <v>275.2</v>
      </c>
    </row>
    <row r="201">
      <c r="A201" s="81" t="n">
        <v>27435</v>
      </c>
      <c r="D201" t="n">
        <v>274.5</v>
      </c>
    </row>
    <row r="202">
      <c r="A202" s="81" t="n">
        <v>27442</v>
      </c>
      <c r="D202" t="n">
        <v>274.6</v>
      </c>
    </row>
    <row r="203">
      <c r="A203" s="81" t="n">
        <v>27449</v>
      </c>
      <c r="D203" t="n">
        <v>274.2</v>
      </c>
    </row>
    <row r="204">
      <c r="A204" s="81" t="n">
        <v>27454</v>
      </c>
      <c r="B204" t="n">
        <v>523.5</v>
      </c>
      <c r="C204" t="n">
        <v>1751.9</v>
      </c>
      <c r="E204" t="n">
        <v>925</v>
      </c>
    </row>
    <row r="205">
      <c r="A205" s="81" t="n">
        <v>27456</v>
      </c>
      <c r="D205" t="n">
        <v>275.4</v>
      </c>
    </row>
    <row r="206">
      <c r="A206" s="81" t="n">
        <v>27463</v>
      </c>
      <c r="D206" t="n">
        <v>276.9</v>
      </c>
    </row>
    <row r="207">
      <c r="A207" s="81" t="n">
        <v>27470</v>
      </c>
      <c r="D207" t="n">
        <v>276.3</v>
      </c>
    </row>
    <row r="208">
      <c r="A208" s="81" t="n">
        <v>27477</v>
      </c>
      <c r="D208" t="n">
        <v>277.6</v>
      </c>
    </row>
    <row r="209">
      <c r="A209" s="81" t="n">
        <v>27484</v>
      </c>
      <c r="D209" t="n">
        <v>273.4</v>
      </c>
    </row>
    <row r="210">
      <c r="A210" s="81" t="n">
        <v>27485</v>
      </c>
      <c r="B210" t="n">
        <v>521.1</v>
      </c>
      <c r="C210" t="n">
        <v>1764.3</v>
      </c>
      <c r="E210" t="n">
        <v>935.1</v>
      </c>
    </row>
    <row r="211">
      <c r="A211" s="81" t="n">
        <v>27491</v>
      </c>
      <c r="D211" t="n">
        <v>275.2</v>
      </c>
    </row>
    <row r="212">
      <c r="A212" s="81" t="n">
        <v>27498</v>
      </c>
      <c r="D212" t="n">
        <v>276.1</v>
      </c>
    </row>
    <row r="213">
      <c r="A213" s="81" t="n">
        <v>27505</v>
      </c>
      <c r="D213" t="n">
        <v>276.7</v>
      </c>
    </row>
    <row r="214">
      <c r="A214" s="81" t="n">
        <v>27512</v>
      </c>
      <c r="D214" t="n">
        <v>276.8</v>
      </c>
    </row>
    <row r="215">
      <c r="A215" s="81" t="n">
        <v>27515</v>
      </c>
      <c r="B215" t="n">
        <v>525.8</v>
      </c>
      <c r="C215" t="n">
        <v>1785.1</v>
      </c>
      <c r="E215" t="n">
        <v>947.9</v>
      </c>
    </row>
    <row r="216">
      <c r="A216" s="81" t="n">
        <v>27519</v>
      </c>
      <c r="D216" t="n">
        <v>277.4</v>
      </c>
    </row>
    <row r="217">
      <c r="A217" s="81" t="n">
        <v>27526</v>
      </c>
      <c r="D217" t="n">
        <v>278.1</v>
      </c>
    </row>
    <row r="218">
      <c r="A218" s="81" t="n">
        <v>27533</v>
      </c>
      <c r="D218" t="n">
        <v>279.3</v>
      </c>
    </row>
    <row r="219">
      <c r="A219" s="81" t="n">
        <v>27540</v>
      </c>
      <c r="D219" t="n">
        <v>280.4</v>
      </c>
    </row>
    <row r="220">
      <c r="A220" s="81" t="n">
        <v>27546</v>
      </c>
      <c r="B220" t="n">
        <v>527.9</v>
      </c>
      <c r="C220" t="n">
        <v>1800</v>
      </c>
      <c r="E220" t="n">
        <v>963</v>
      </c>
    </row>
    <row r="221">
      <c r="A221" s="81" t="n">
        <v>27547</v>
      </c>
      <c r="D221" t="n">
        <v>280.7</v>
      </c>
    </row>
    <row r="222">
      <c r="A222" s="81" t="n">
        <v>27554</v>
      </c>
      <c r="D222" t="n">
        <v>281.5</v>
      </c>
    </row>
    <row r="223">
      <c r="A223" s="81" t="n">
        <v>27561</v>
      </c>
      <c r="D223" t="n">
        <v>282.2</v>
      </c>
    </row>
    <row r="224">
      <c r="A224" s="81" t="n">
        <v>27568</v>
      </c>
      <c r="D224" t="n">
        <v>283.2</v>
      </c>
    </row>
    <row r="225">
      <c r="A225" s="81" t="n">
        <v>27575</v>
      </c>
      <c r="D225" t="n">
        <v>283.3</v>
      </c>
    </row>
    <row r="226">
      <c r="A226" s="81" t="n">
        <v>27576</v>
      </c>
      <c r="B226" t="n">
        <v>525.4</v>
      </c>
      <c r="C226" t="n">
        <v>1805.7</v>
      </c>
      <c r="E226" t="n">
        <v>975.1</v>
      </c>
    </row>
    <row r="227">
      <c r="A227" s="81" t="n">
        <v>27582</v>
      </c>
      <c r="D227" t="n">
        <v>283.3</v>
      </c>
    </row>
    <row r="228">
      <c r="A228" s="81" t="n">
        <v>27589</v>
      </c>
      <c r="D228" t="n">
        <v>283.7</v>
      </c>
    </row>
    <row r="229">
      <c r="A229" s="81" t="n">
        <v>27596</v>
      </c>
      <c r="D229" t="n">
        <v>283.9</v>
      </c>
    </row>
    <row r="230">
      <c r="A230" s="81" t="n">
        <v>27603</v>
      </c>
      <c r="D230" t="n">
        <v>283.7</v>
      </c>
    </row>
    <row r="231">
      <c r="A231" s="81" t="n">
        <v>27607</v>
      </c>
      <c r="B231" t="n">
        <v>524.2</v>
      </c>
      <c r="C231" t="n">
        <v>1813.8</v>
      </c>
      <c r="E231" t="n">
        <v>983.1</v>
      </c>
    </row>
    <row r="232">
      <c r="A232" s="81" t="n">
        <v>27610</v>
      </c>
      <c r="D232" t="n">
        <v>283.7</v>
      </c>
    </row>
    <row r="233">
      <c r="A233" s="81" t="n">
        <v>27617</v>
      </c>
      <c r="D233" t="n">
        <v>283.1</v>
      </c>
    </row>
    <row r="234">
      <c r="A234" s="81" t="n">
        <v>27624</v>
      </c>
      <c r="D234" t="n">
        <v>283.5</v>
      </c>
    </row>
    <row r="235">
      <c r="A235" s="81" t="n">
        <v>27631</v>
      </c>
      <c r="D235" t="n">
        <v>284.7</v>
      </c>
    </row>
    <row r="236">
      <c r="A236" s="81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1" t="n">
        <v>27645</v>
      </c>
      <c r="D237" t="n">
        <v>285.6</v>
      </c>
    </row>
    <row r="238">
      <c r="A238" s="81" t="n">
        <v>27652</v>
      </c>
      <c r="D238" t="n">
        <v>285.3</v>
      </c>
    </row>
    <row r="239">
      <c r="A239" s="81" t="n">
        <v>27659</v>
      </c>
      <c r="D239" t="n">
        <v>285.8</v>
      </c>
    </row>
    <row r="240">
      <c r="A240" s="81" t="n">
        <v>27666</v>
      </c>
      <c r="D240" t="n">
        <v>286.1</v>
      </c>
    </row>
    <row r="241">
      <c r="A241" s="81" t="n">
        <v>27668</v>
      </c>
      <c r="B241" t="n">
        <v>519.9</v>
      </c>
      <c r="C241" t="n">
        <v>1817.5</v>
      </c>
      <c r="E241" t="n">
        <v>997.8</v>
      </c>
    </row>
    <row r="242">
      <c r="A242" s="81" t="n">
        <v>27673</v>
      </c>
      <c r="D242" t="n">
        <v>284.5</v>
      </c>
    </row>
    <row r="243">
      <c r="A243" s="81" t="n">
        <v>27680</v>
      </c>
      <c r="D243" t="n">
        <v>285.5</v>
      </c>
    </row>
    <row r="244">
      <c r="A244" s="81" t="n">
        <v>27687</v>
      </c>
      <c r="D244" t="n">
        <v>286.2</v>
      </c>
    </row>
    <row r="245">
      <c r="A245" s="81" t="n">
        <v>27694</v>
      </c>
      <c r="D245" t="n">
        <v>284.9</v>
      </c>
    </row>
    <row r="246">
      <c r="A246" s="81" t="n">
        <v>27699</v>
      </c>
      <c r="B246" t="n">
        <v>518.6</v>
      </c>
      <c r="C246" t="n">
        <v>1820.8</v>
      </c>
      <c r="E246" t="n">
        <v>1006.9</v>
      </c>
    </row>
    <row r="247">
      <c r="A247" s="81" t="n">
        <v>27701</v>
      </c>
      <c r="D247" t="n">
        <v>285.9</v>
      </c>
    </row>
    <row r="248">
      <c r="A248" s="81" t="n">
        <v>27708</v>
      </c>
      <c r="D248" t="n">
        <v>286.8</v>
      </c>
    </row>
    <row r="249">
      <c r="A249" s="81" t="n">
        <v>27715</v>
      </c>
      <c r="D249" t="n">
        <v>286.3</v>
      </c>
    </row>
    <row r="250">
      <c r="A250" s="81" t="n">
        <v>27722</v>
      </c>
      <c r="D250" t="n">
        <v>287.5</v>
      </c>
    </row>
    <row r="251">
      <c r="A251" s="81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1" t="n">
        <v>27736</v>
      </c>
      <c r="D252" t="n">
        <v>286.8</v>
      </c>
    </row>
    <row r="253">
      <c r="A253" s="81" t="n">
        <v>27743</v>
      </c>
      <c r="D253" t="n">
        <v>287.1</v>
      </c>
    </row>
    <row r="254">
      <c r="A254" s="81" t="n">
        <v>27750</v>
      </c>
      <c r="D254" t="n">
        <v>287.4</v>
      </c>
    </row>
    <row r="255">
      <c r="A255" s="81" t="n">
        <v>27757</v>
      </c>
      <c r="D255" t="n">
        <v>287.2</v>
      </c>
    </row>
    <row r="256">
      <c r="A256" s="81" t="n">
        <v>27760</v>
      </c>
      <c r="B256" t="n">
        <v>516.8</v>
      </c>
      <c r="C256" t="n">
        <v>1839.8</v>
      </c>
      <c r="E256" t="n">
        <v>1026.6</v>
      </c>
    </row>
    <row r="257">
      <c r="A257" s="81" t="n">
        <v>27764</v>
      </c>
      <c r="D257" t="n">
        <v>287.3</v>
      </c>
    </row>
    <row r="258">
      <c r="A258" s="81" t="n">
        <v>27771</v>
      </c>
      <c r="D258" t="n">
        <v>287.9</v>
      </c>
    </row>
    <row r="259">
      <c r="A259" s="81" t="n">
        <v>27778</v>
      </c>
      <c r="D259" t="n">
        <v>288.4</v>
      </c>
    </row>
    <row r="260">
      <c r="A260" s="81" t="n">
        <v>27785</v>
      </c>
      <c r="D260" t="n">
        <v>289.1</v>
      </c>
    </row>
    <row r="261">
      <c r="A261" s="81" t="n">
        <v>27791</v>
      </c>
      <c r="B261" t="n">
        <v>520.2</v>
      </c>
      <c r="C261" t="n">
        <v>1861</v>
      </c>
      <c r="E261" t="n">
        <v>1040.3</v>
      </c>
    </row>
    <row r="262">
      <c r="A262" s="81" t="n">
        <v>27792</v>
      </c>
      <c r="D262" t="n">
        <v>290.2</v>
      </c>
    </row>
    <row r="263">
      <c r="A263" s="81" t="n">
        <v>27799</v>
      </c>
      <c r="D263" t="n">
        <v>290.3</v>
      </c>
    </row>
    <row r="264">
      <c r="A264" s="81" t="n">
        <v>27806</v>
      </c>
      <c r="D264" t="n">
        <v>291.2</v>
      </c>
    </row>
    <row r="265">
      <c r="A265" s="81" t="n">
        <v>27813</v>
      </c>
      <c r="D265" t="n">
        <v>290.7</v>
      </c>
    </row>
    <row r="266">
      <c r="A266" s="81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1" t="n">
        <v>27827</v>
      </c>
      <c r="D267" t="n">
        <v>291.1</v>
      </c>
    </row>
    <row r="268">
      <c r="A268" s="81" t="n">
        <v>27834</v>
      </c>
      <c r="D268" t="n">
        <v>292.8</v>
      </c>
    </row>
    <row r="269">
      <c r="A269" s="81" t="n">
        <v>27841</v>
      </c>
      <c r="D269" t="n">
        <v>292.8</v>
      </c>
    </row>
    <row r="270">
      <c r="A270" s="81" t="n">
        <v>27848</v>
      </c>
      <c r="D270" t="n">
        <v>294.2</v>
      </c>
    </row>
    <row r="271">
      <c r="A271" s="81" t="n">
        <v>27851</v>
      </c>
      <c r="B271" t="n">
        <v>525.3</v>
      </c>
      <c r="C271" t="n">
        <v>1890.9</v>
      </c>
      <c r="E271" t="n">
        <v>1060.8</v>
      </c>
    </row>
    <row r="272">
      <c r="A272" s="81" t="n">
        <v>27855</v>
      </c>
      <c r="D272" t="n">
        <v>293</v>
      </c>
    </row>
    <row r="273">
      <c r="A273" s="81" t="n">
        <v>27862</v>
      </c>
      <c r="D273" t="n">
        <v>294.5</v>
      </c>
    </row>
    <row r="274">
      <c r="A274" s="81" t="n">
        <v>27869</v>
      </c>
      <c r="D274" t="n">
        <v>294.9</v>
      </c>
    </row>
    <row r="275">
      <c r="A275" s="81" t="n">
        <v>27876</v>
      </c>
      <c r="D275" t="n">
        <v>295.4</v>
      </c>
    </row>
    <row r="276">
      <c r="A276" s="81" t="n">
        <v>27881</v>
      </c>
      <c r="B276" t="n">
        <v>524.6</v>
      </c>
      <c r="C276" t="n">
        <v>1900.9</v>
      </c>
      <c r="E276" t="n">
        <v>1072.1</v>
      </c>
    </row>
    <row r="277">
      <c r="A277" s="81" t="n">
        <v>27883</v>
      </c>
      <c r="D277" t="n">
        <v>294.9</v>
      </c>
    </row>
    <row r="278">
      <c r="A278" s="81" t="n">
        <v>27890</v>
      </c>
      <c r="D278" t="n">
        <v>296.3</v>
      </c>
    </row>
    <row r="279">
      <c r="A279" s="81" t="n">
        <v>27897</v>
      </c>
      <c r="D279" t="n">
        <v>295.3</v>
      </c>
    </row>
    <row r="280">
      <c r="A280" s="81" t="n">
        <v>27904</v>
      </c>
      <c r="D280" t="n">
        <v>295.5</v>
      </c>
    </row>
    <row r="281">
      <c r="A281" s="81" t="n">
        <v>27911</v>
      </c>
      <c r="D281" t="n">
        <v>296.4</v>
      </c>
    </row>
    <row r="282">
      <c r="A282" s="81" t="n">
        <v>27912</v>
      </c>
      <c r="B282" t="n">
        <v>522.4</v>
      </c>
      <c r="C282" t="n">
        <v>1900.5</v>
      </c>
      <c r="E282" t="n">
        <v>1077.6</v>
      </c>
    </row>
    <row r="283">
      <c r="A283" s="81" t="n">
        <v>27918</v>
      </c>
      <c r="D283" t="n">
        <v>295.5</v>
      </c>
    </row>
    <row r="284">
      <c r="A284" s="81" t="n">
        <v>27925</v>
      </c>
      <c r="D284" t="n">
        <v>296.7</v>
      </c>
    </row>
    <row r="285">
      <c r="A285" s="81" t="n">
        <v>27932</v>
      </c>
      <c r="D285" t="n">
        <v>296.1</v>
      </c>
    </row>
    <row r="286">
      <c r="A286" s="81" t="n">
        <v>27939</v>
      </c>
      <c r="D286" t="n">
        <v>296.1</v>
      </c>
    </row>
    <row r="287">
      <c r="A287" s="81" t="n">
        <v>27942</v>
      </c>
      <c r="B287" t="n">
        <v>521.4</v>
      </c>
      <c r="C287" t="n">
        <v>1905.8</v>
      </c>
      <c r="E287" t="n">
        <v>1086.3</v>
      </c>
    </row>
    <row r="288">
      <c r="A288" s="81" t="n">
        <v>27946</v>
      </c>
      <c r="D288" t="n">
        <v>296.1</v>
      </c>
    </row>
    <row r="289">
      <c r="A289" s="81" t="n">
        <v>27953</v>
      </c>
      <c r="D289" t="n">
        <v>296.6</v>
      </c>
    </row>
    <row r="290">
      <c r="A290" s="81" t="n">
        <v>27960</v>
      </c>
      <c r="D290" t="n">
        <v>297.2</v>
      </c>
    </row>
    <row r="291">
      <c r="A291" s="81" t="n">
        <v>27967</v>
      </c>
      <c r="D291" t="n">
        <v>297.5</v>
      </c>
    </row>
    <row r="292">
      <c r="A292" s="81" t="n">
        <v>27973</v>
      </c>
      <c r="B292" t="n">
        <v>521.8</v>
      </c>
      <c r="C292" t="n">
        <v>1917.5</v>
      </c>
      <c r="E292" t="n">
        <v>1098.7</v>
      </c>
    </row>
    <row r="293">
      <c r="A293" s="81" t="n">
        <v>27974</v>
      </c>
      <c r="D293" t="n">
        <v>297.7</v>
      </c>
    </row>
    <row r="294">
      <c r="A294" s="81" t="n">
        <v>27981</v>
      </c>
      <c r="D294" t="n">
        <v>298.5</v>
      </c>
    </row>
    <row r="295">
      <c r="A295" s="81" t="n">
        <v>27988</v>
      </c>
      <c r="D295" t="n">
        <v>299.6</v>
      </c>
    </row>
    <row r="296">
      <c r="A296" s="81" t="n">
        <v>27995</v>
      </c>
      <c r="D296" t="n">
        <v>299</v>
      </c>
    </row>
    <row r="297">
      <c r="A297" s="81" t="n">
        <v>28002</v>
      </c>
      <c r="D297" t="n">
        <v>299</v>
      </c>
    </row>
    <row r="298">
      <c r="A298" s="81" t="n">
        <v>28004</v>
      </c>
      <c r="B298" t="n">
        <v>520.1</v>
      </c>
      <c r="C298" t="n">
        <v>1928.5</v>
      </c>
      <c r="E298" t="n">
        <v>1110.8</v>
      </c>
    </row>
    <row r="299">
      <c r="A299" s="81" t="n">
        <v>28009</v>
      </c>
      <c r="D299" t="n">
        <v>298.2</v>
      </c>
    </row>
    <row r="300">
      <c r="A300" s="81" t="n">
        <v>28016</v>
      </c>
      <c r="D300" t="n">
        <v>299.7</v>
      </c>
    </row>
    <row r="301">
      <c r="A301" s="81" t="n">
        <v>28023</v>
      </c>
      <c r="D301" t="n">
        <v>300.1</v>
      </c>
    </row>
    <row r="302">
      <c r="A302" s="81" t="n">
        <v>28030</v>
      </c>
      <c r="D302" t="n">
        <v>299.3</v>
      </c>
    </row>
    <row r="303">
      <c r="A303" s="81" t="n">
        <v>28034</v>
      </c>
      <c r="B303" t="n">
        <v>521.6</v>
      </c>
      <c r="C303" t="n">
        <v>1943</v>
      </c>
      <c r="E303" t="n">
        <v>1125</v>
      </c>
    </row>
    <row r="304">
      <c r="A304" s="81" t="n">
        <v>28037</v>
      </c>
      <c r="D304" t="n">
        <v>300.7</v>
      </c>
    </row>
    <row r="305">
      <c r="A305" s="81" t="n">
        <v>28044</v>
      </c>
      <c r="D305" t="n">
        <v>302.1</v>
      </c>
    </row>
    <row r="306">
      <c r="A306" s="81" t="n">
        <v>28051</v>
      </c>
      <c r="D306" t="n">
        <v>300.1</v>
      </c>
    </row>
    <row r="307">
      <c r="A307" s="81" t="n">
        <v>28058</v>
      </c>
      <c r="D307" t="n">
        <v>302.7</v>
      </c>
    </row>
    <row r="308">
      <c r="A308" s="81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1" t="n">
        <v>28072</v>
      </c>
      <c r="D309" t="n">
        <v>302.2</v>
      </c>
    </row>
    <row r="310">
      <c r="A310" s="81" t="n">
        <v>28079</v>
      </c>
      <c r="D310" t="n">
        <v>304.3</v>
      </c>
    </row>
    <row r="311">
      <c r="A311" s="81" t="n">
        <v>28086</v>
      </c>
      <c r="D311" t="n">
        <v>303.8</v>
      </c>
    </row>
    <row r="312">
      <c r="A312" s="81" t="n">
        <v>28093</v>
      </c>
      <c r="D312" t="n">
        <v>303.6</v>
      </c>
    </row>
    <row r="313">
      <c r="A313" s="81" t="n">
        <v>28095</v>
      </c>
      <c r="B313" t="n">
        <v>524.3</v>
      </c>
      <c r="C313" t="n">
        <v>1972.6</v>
      </c>
      <c r="E313" t="n">
        <v>1152</v>
      </c>
    </row>
    <row r="314">
      <c r="A314" s="81" t="n">
        <v>28100</v>
      </c>
      <c r="D314" t="n">
        <v>305.3</v>
      </c>
    </row>
    <row r="315">
      <c r="A315" s="81" t="n">
        <v>28107</v>
      </c>
      <c r="D315" t="n">
        <v>305.8</v>
      </c>
    </row>
    <row r="316">
      <c r="A316" s="81" t="n">
        <v>28114</v>
      </c>
      <c r="D316" t="n">
        <v>306.4</v>
      </c>
    </row>
    <row r="317">
      <c r="A317" s="81" t="n">
        <v>28121</v>
      </c>
      <c r="D317" t="n">
        <v>306.6</v>
      </c>
    </row>
    <row r="318">
      <c r="A318" s="81" t="n">
        <v>28126</v>
      </c>
      <c r="B318" t="n">
        <v>525.2</v>
      </c>
      <c r="C318" t="n">
        <v>1985</v>
      </c>
      <c r="E318" t="n">
        <v>1165.2</v>
      </c>
    </row>
    <row r="319">
      <c r="A319" s="81" t="n">
        <v>28128</v>
      </c>
      <c r="D319" t="n">
        <v>306.9</v>
      </c>
    </row>
    <row r="320">
      <c r="A320" s="81" t="n">
        <v>28135</v>
      </c>
      <c r="D320" t="n">
        <v>307.7</v>
      </c>
    </row>
    <row r="321">
      <c r="A321" s="81" t="n">
        <v>28142</v>
      </c>
      <c r="D321" t="n">
        <v>308</v>
      </c>
    </row>
    <row r="322">
      <c r="A322" s="81" t="n">
        <v>28149</v>
      </c>
      <c r="D322" t="n">
        <v>308.9</v>
      </c>
    </row>
    <row r="323">
      <c r="A323" s="81" t="n">
        <v>28156</v>
      </c>
      <c r="D323" t="n">
        <v>309.5</v>
      </c>
    </row>
    <row r="324">
      <c r="A324" s="81" t="n">
        <v>28157</v>
      </c>
      <c r="B324" t="n">
        <v>525.3</v>
      </c>
      <c r="C324" t="n">
        <v>1985.8</v>
      </c>
      <c r="E324" t="n">
        <v>1177.6</v>
      </c>
    </row>
    <row r="325">
      <c r="A325" s="81" t="n">
        <v>28163</v>
      </c>
      <c r="D325" t="n">
        <v>310.3</v>
      </c>
    </row>
    <row r="326">
      <c r="A326" s="81" t="n">
        <v>28170</v>
      </c>
      <c r="D326" t="n">
        <v>311.3</v>
      </c>
    </row>
    <row r="327">
      <c r="A327" s="81" t="n">
        <v>28177</v>
      </c>
      <c r="D327" t="n">
        <v>311.7</v>
      </c>
    </row>
    <row r="328">
      <c r="A328" s="81" t="n">
        <v>28184</v>
      </c>
      <c r="D328" t="n">
        <v>312.3</v>
      </c>
    </row>
    <row r="329">
      <c r="A329" s="81" t="n">
        <v>28185</v>
      </c>
      <c r="B329" t="n">
        <v>526.7</v>
      </c>
      <c r="C329" t="n">
        <v>1994.1</v>
      </c>
      <c r="E329" t="n">
        <v>1188.5</v>
      </c>
    </row>
    <row r="330">
      <c r="A330" s="81" t="n">
        <v>28191</v>
      </c>
      <c r="D330" t="n">
        <v>312.7</v>
      </c>
    </row>
    <row r="331">
      <c r="A331" s="81" t="n">
        <v>28198</v>
      </c>
      <c r="D331" t="n">
        <v>313.8</v>
      </c>
    </row>
    <row r="332">
      <c r="A332" s="81" t="n">
        <v>28205</v>
      </c>
      <c r="D332" t="n">
        <v>314.5</v>
      </c>
    </row>
    <row r="333">
      <c r="A333" s="81" t="n">
        <v>28212</v>
      </c>
      <c r="D333" t="n">
        <v>313.9</v>
      </c>
    </row>
    <row r="334">
      <c r="A334" s="81" t="n">
        <v>28216</v>
      </c>
      <c r="B334" t="n">
        <v>526.7</v>
      </c>
      <c r="C334" t="n">
        <v>1999.3</v>
      </c>
      <c r="E334" t="n">
        <v>1199.6</v>
      </c>
    </row>
    <row r="335">
      <c r="A335" s="81" t="n">
        <v>28219</v>
      </c>
      <c r="D335" t="n">
        <v>315.6</v>
      </c>
    </row>
    <row r="336">
      <c r="A336" s="81" t="n">
        <v>28226</v>
      </c>
      <c r="D336" t="n">
        <v>315.8</v>
      </c>
    </row>
    <row r="337">
      <c r="A337" s="81" t="n">
        <v>28233</v>
      </c>
      <c r="D337" t="n">
        <v>315.7</v>
      </c>
    </row>
    <row r="338">
      <c r="A338" s="81" t="n">
        <v>28240</v>
      </c>
      <c r="D338" t="n">
        <v>316.1</v>
      </c>
    </row>
    <row r="339">
      <c r="A339" s="81" t="n">
        <v>28246</v>
      </c>
      <c r="B339" t="n">
        <v>526.9</v>
      </c>
      <c r="C339" t="n">
        <v>2008.3</v>
      </c>
      <c r="E339" t="n">
        <v>1209</v>
      </c>
    </row>
    <row r="340">
      <c r="A340" s="81" t="n">
        <v>28247</v>
      </c>
      <c r="D340" t="n">
        <v>316.6</v>
      </c>
    </row>
    <row r="341">
      <c r="A341" s="81" t="n">
        <v>28254</v>
      </c>
      <c r="D341" t="n">
        <v>316.7</v>
      </c>
    </row>
    <row r="342">
      <c r="A342" s="81" t="n">
        <v>28261</v>
      </c>
      <c r="D342" t="n">
        <v>317.6</v>
      </c>
    </row>
    <row r="343">
      <c r="A343" s="81" t="n">
        <v>28268</v>
      </c>
      <c r="D343" t="n">
        <v>317.4</v>
      </c>
    </row>
    <row r="344">
      <c r="A344" s="81" t="n">
        <v>28275</v>
      </c>
      <c r="D344" t="n">
        <v>316.8</v>
      </c>
    </row>
    <row r="345">
      <c r="A345" s="81" t="n">
        <v>28277</v>
      </c>
      <c r="B345" t="n">
        <v>526.9</v>
      </c>
      <c r="C345" t="n">
        <v>2012.9</v>
      </c>
      <c r="E345" t="n">
        <v>1217.8</v>
      </c>
    </row>
    <row r="346">
      <c r="A346" s="81" t="n">
        <v>28282</v>
      </c>
      <c r="D346" t="n">
        <v>317.6</v>
      </c>
    </row>
    <row r="347">
      <c r="A347" s="81" t="n">
        <v>28289</v>
      </c>
      <c r="D347" t="n">
        <v>317.8</v>
      </c>
    </row>
    <row r="348">
      <c r="A348" s="81" t="n">
        <v>28296</v>
      </c>
      <c r="D348" t="n">
        <v>319.4</v>
      </c>
    </row>
    <row r="349">
      <c r="A349" s="81" t="n">
        <v>28303</v>
      </c>
      <c r="D349" t="n">
        <v>319.4</v>
      </c>
    </row>
    <row r="350">
      <c r="A350" s="81" t="n">
        <v>28307</v>
      </c>
      <c r="B350" t="n">
        <v>526.6</v>
      </c>
      <c r="C350" t="n">
        <v>2017.6</v>
      </c>
      <c r="E350" t="n">
        <v>1226.7</v>
      </c>
    </row>
    <row r="351">
      <c r="A351" s="81" t="n">
        <v>28310</v>
      </c>
      <c r="D351" t="n">
        <v>319.5</v>
      </c>
    </row>
    <row r="352">
      <c r="A352" s="81" t="n">
        <v>28317</v>
      </c>
      <c r="D352" t="n">
        <v>319.3</v>
      </c>
    </row>
    <row r="353">
      <c r="A353" s="81" t="n">
        <v>28324</v>
      </c>
      <c r="D353" t="n">
        <v>320.2</v>
      </c>
    </row>
    <row r="354">
      <c r="A354" s="81" t="n">
        <v>28331</v>
      </c>
      <c r="D354" t="n">
        <v>320.1</v>
      </c>
    </row>
    <row r="355">
      <c r="A355" s="81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1" t="n">
        <v>28345</v>
      </c>
      <c r="D356" t="n">
        <v>321.4</v>
      </c>
    </row>
    <row r="357">
      <c r="A357" s="81" t="n">
        <v>28352</v>
      </c>
      <c r="D357" t="n">
        <v>321.2</v>
      </c>
    </row>
    <row r="358">
      <c r="A358" s="81" t="n">
        <v>28359</v>
      </c>
      <c r="D358" t="n">
        <v>322.4</v>
      </c>
    </row>
    <row r="359">
      <c r="A359" s="81" t="n">
        <v>28366</v>
      </c>
      <c r="D359" t="n">
        <v>323.4</v>
      </c>
    </row>
    <row r="360">
      <c r="A360" s="81" t="n">
        <v>28369</v>
      </c>
      <c r="B360" t="n">
        <v>529.4</v>
      </c>
      <c r="C360" t="n">
        <v>2033</v>
      </c>
      <c r="E360" t="n">
        <v>1246.2</v>
      </c>
    </row>
    <row r="361">
      <c r="A361" s="81" t="n">
        <v>28373</v>
      </c>
      <c r="D361" t="n">
        <v>324.6</v>
      </c>
    </row>
    <row r="362">
      <c r="A362" s="81" t="n">
        <v>28380</v>
      </c>
      <c r="D362" t="n">
        <v>323.3</v>
      </c>
    </row>
    <row r="363">
      <c r="A363" s="81" t="n">
        <v>28387</v>
      </c>
      <c r="D363" t="n">
        <v>324.2</v>
      </c>
    </row>
    <row r="364">
      <c r="A364" s="81" t="n">
        <v>28394</v>
      </c>
      <c r="D364" t="n">
        <v>324.5</v>
      </c>
    </row>
    <row r="365">
      <c r="A365" s="81" t="n">
        <v>28399</v>
      </c>
      <c r="B365" t="n">
        <v>529.9</v>
      </c>
      <c r="C365" t="n">
        <v>2035.7</v>
      </c>
      <c r="E365" t="n">
        <v>1254</v>
      </c>
    </row>
    <row r="366">
      <c r="A366" s="81" t="n">
        <v>28401</v>
      </c>
      <c r="D366" t="n">
        <v>325.6</v>
      </c>
    </row>
    <row r="367">
      <c r="A367" s="81" t="n">
        <v>28408</v>
      </c>
      <c r="D367" t="n">
        <v>326.1</v>
      </c>
    </row>
    <row r="368">
      <c r="A368" s="81" t="n">
        <v>28415</v>
      </c>
      <c r="D368" t="n">
        <v>325.6</v>
      </c>
    </row>
    <row r="369">
      <c r="A369" s="81" t="n">
        <v>28422</v>
      </c>
      <c r="D369" t="n">
        <v>327.5</v>
      </c>
    </row>
    <row r="370">
      <c r="A370" s="81" t="n">
        <v>28429</v>
      </c>
      <c r="D370" t="n">
        <v>327</v>
      </c>
    </row>
    <row r="371">
      <c r="A371" s="81" t="n">
        <v>28430</v>
      </c>
      <c r="B371" t="n">
        <v>530</v>
      </c>
      <c r="C371" t="n">
        <v>2036.1</v>
      </c>
      <c r="E371" t="n">
        <v>1262.4</v>
      </c>
    </row>
    <row r="372">
      <c r="A372" s="81" t="n">
        <v>28436</v>
      </c>
      <c r="D372" t="n">
        <v>328.2</v>
      </c>
    </row>
    <row r="373">
      <c r="A373" s="81" t="n">
        <v>28443</v>
      </c>
      <c r="D373" t="n">
        <v>328.6</v>
      </c>
    </row>
    <row r="374">
      <c r="A374" s="81" t="n">
        <v>28450</v>
      </c>
      <c r="D374" t="n">
        <v>329</v>
      </c>
    </row>
    <row r="375">
      <c r="A375" s="81" t="n">
        <v>28457</v>
      </c>
      <c r="D375" t="n">
        <v>328.7</v>
      </c>
    </row>
    <row r="376">
      <c r="A376" s="81" t="n">
        <v>28460</v>
      </c>
      <c r="B376" t="n">
        <v>531.1</v>
      </c>
      <c r="C376" t="n">
        <v>2039</v>
      </c>
      <c r="E376" t="n">
        <v>1270.3</v>
      </c>
    </row>
    <row r="377">
      <c r="A377" s="81" t="n">
        <v>28464</v>
      </c>
      <c r="D377" t="n">
        <v>330</v>
      </c>
    </row>
    <row r="378">
      <c r="A378" s="81" t="n">
        <v>28471</v>
      </c>
      <c r="D378" t="n">
        <v>330.2</v>
      </c>
    </row>
    <row r="379">
      <c r="A379" s="81" t="n">
        <v>28478</v>
      </c>
      <c r="D379" t="n">
        <v>331</v>
      </c>
    </row>
    <row r="380">
      <c r="A380" s="81" t="n">
        <v>28485</v>
      </c>
      <c r="D380" t="n">
        <v>330.7</v>
      </c>
    </row>
    <row r="381">
      <c r="A381" s="81" t="n">
        <v>28491</v>
      </c>
      <c r="B381" t="n">
        <v>533.3</v>
      </c>
      <c r="C381" t="n">
        <v>2041</v>
      </c>
      <c r="E381" t="n">
        <v>1279.7</v>
      </c>
    </row>
    <row r="382">
      <c r="A382" s="81" t="n">
        <v>28492</v>
      </c>
      <c r="D382" t="n">
        <v>332.5</v>
      </c>
    </row>
    <row r="383">
      <c r="A383" s="81" t="n">
        <v>28499</v>
      </c>
      <c r="D383" t="n">
        <v>334</v>
      </c>
    </row>
    <row r="384">
      <c r="A384" s="81" t="n">
        <v>28506</v>
      </c>
      <c r="D384" t="n">
        <v>334.5</v>
      </c>
    </row>
    <row r="385">
      <c r="A385" s="81" t="n">
        <v>28513</v>
      </c>
      <c r="D385" t="n">
        <v>335.9</v>
      </c>
    </row>
    <row r="386">
      <c r="A386" s="81" t="n">
        <v>28520</v>
      </c>
      <c r="D386" t="n">
        <v>334.4</v>
      </c>
    </row>
    <row r="387">
      <c r="A387" s="81" t="n">
        <v>28522</v>
      </c>
      <c r="B387" t="n">
        <v>532.2</v>
      </c>
      <c r="C387" t="n">
        <v>2040.5</v>
      </c>
      <c r="E387" t="n">
        <v>1285.5</v>
      </c>
    </row>
    <row r="388">
      <c r="A388" s="81" t="n">
        <v>28527</v>
      </c>
      <c r="D388" t="n">
        <v>333.8</v>
      </c>
    </row>
    <row r="389">
      <c r="A389" s="81" t="n">
        <v>28534</v>
      </c>
      <c r="D389" t="n">
        <v>335.1</v>
      </c>
    </row>
    <row r="390">
      <c r="A390" s="81" t="n">
        <v>28541</v>
      </c>
      <c r="D390" t="n">
        <v>335.5</v>
      </c>
    </row>
    <row r="391">
      <c r="A391" s="81" t="n">
        <v>28548</v>
      </c>
      <c r="D391" t="n">
        <v>336.1</v>
      </c>
    </row>
    <row r="392">
      <c r="A392" s="81" t="n">
        <v>28550</v>
      </c>
      <c r="B392" t="n">
        <v>531.5</v>
      </c>
      <c r="C392" t="n">
        <v>2038.2</v>
      </c>
      <c r="E392" t="n">
        <v>1292.2</v>
      </c>
    </row>
    <row r="393">
      <c r="A393" s="81" t="n">
        <v>28555</v>
      </c>
      <c r="D393" t="n">
        <v>336.8</v>
      </c>
    </row>
    <row r="394">
      <c r="A394" s="81" t="n">
        <v>28562</v>
      </c>
      <c r="D394" t="n">
        <v>336.2</v>
      </c>
    </row>
    <row r="395">
      <c r="A395" s="81" t="n">
        <v>28569</v>
      </c>
      <c r="D395" t="n">
        <v>336.7</v>
      </c>
    </row>
    <row r="396">
      <c r="A396" s="81" t="n">
        <v>28576</v>
      </c>
      <c r="D396" t="n">
        <v>336.7</v>
      </c>
    </row>
    <row r="397">
      <c r="A397" s="81" t="n">
        <v>28581</v>
      </c>
      <c r="B397" t="n">
        <v>531.9</v>
      </c>
      <c r="C397" t="n">
        <v>2035.1</v>
      </c>
      <c r="E397" t="n">
        <v>1300.4</v>
      </c>
    </row>
    <row r="398">
      <c r="A398" s="81" t="n">
        <v>28583</v>
      </c>
      <c r="D398" t="n">
        <v>338.6</v>
      </c>
    </row>
    <row r="399">
      <c r="A399" s="81" t="n">
        <v>28590</v>
      </c>
      <c r="D399" t="n">
        <v>338.3</v>
      </c>
    </row>
    <row r="400">
      <c r="A400" s="81" t="n">
        <v>28597</v>
      </c>
      <c r="D400" t="n">
        <v>337.6</v>
      </c>
    </row>
    <row r="401">
      <c r="A401" s="81" t="n">
        <v>28604</v>
      </c>
      <c r="D401" t="n">
        <v>340.6</v>
      </c>
    </row>
    <row r="402">
      <c r="A402" s="81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1" t="n">
        <v>28618</v>
      </c>
      <c r="D403" t="n">
        <v>342.6</v>
      </c>
    </row>
    <row r="404">
      <c r="A404" s="81" t="n">
        <v>28625</v>
      </c>
      <c r="D404" t="n">
        <v>344.1</v>
      </c>
    </row>
    <row r="405">
      <c r="A405" s="81" t="n">
        <v>28632</v>
      </c>
      <c r="D405" t="n">
        <v>345.1</v>
      </c>
    </row>
    <row r="406">
      <c r="A406" s="81" t="n">
        <v>28639</v>
      </c>
      <c r="D406" t="n">
        <v>346.7</v>
      </c>
    </row>
    <row r="407">
      <c r="A407" s="81" t="n">
        <v>28642</v>
      </c>
      <c r="B407" t="n">
        <v>533.7</v>
      </c>
      <c r="C407" t="n">
        <v>2028.5</v>
      </c>
      <c r="E407" t="n">
        <v>1318.5</v>
      </c>
    </row>
    <row r="408">
      <c r="A408" s="81" t="n">
        <v>28646</v>
      </c>
      <c r="D408" t="n">
        <v>346.6</v>
      </c>
    </row>
    <row r="409">
      <c r="A409" s="81" t="n">
        <v>28653</v>
      </c>
      <c r="D409" t="n">
        <v>346.8</v>
      </c>
    </row>
    <row r="410">
      <c r="A410" s="81" t="n">
        <v>28660</v>
      </c>
      <c r="D410" t="n">
        <v>345.8</v>
      </c>
    </row>
    <row r="411">
      <c r="A411" s="81" t="n">
        <v>28667</v>
      </c>
      <c r="D411" t="n">
        <v>346.5</v>
      </c>
    </row>
    <row r="412">
      <c r="A412" s="81" t="n">
        <v>28672</v>
      </c>
      <c r="B412" t="n">
        <v>530.7</v>
      </c>
      <c r="C412" t="n">
        <v>2021.5</v>
      </c>
      <c r="E412" t="n">
        <v>1324.1</v>
      </c>
    </row>
    <row r="413">
      <c r="A413" s="81" t="n">
        <v>28674</v>
      </c>
      <c r="D413" t="n">
        <v>348.1</v>
      </c>
    </row>
    <row r="414">
      <c r="A414" s="81" t="n">
        <v>28681</v>
      </c>
      <c r="D414" t="n">
        <v>347.7</v>
      </c>
    </row>
    <row r="415">
      <c r="A415" s="81" t="n">
        <v>28688</v>
      </c>
      <c r="D415" t="n">
        <v>346.2</v>
      </c>
    </row>
    <row r="416">
      <c r="A416" s="81" t="n">
        <v>28695</v>
      </c>
      <c r="D416" t="n">
        <v>348.2</v>
      </c>
    </row>
    <row r="417">
      <c r="A417" s="81" t="n">
        <v>28702</v>
      </c>
      <c r="D417" t="n">
        <v>348.6</v>
      </c>
    </row>
    <row r="418">
      <c r="A418" s="81" t="n">
        <v>28703</v>
      </c>
      <c r="B418" t="n">
        <v>530.5</v>
      </c>
      <c r="C418" t="n">
        <v>2023.5</v>
      </c>
      <c r="E418" t="n">
        <v>1333.5</v>
      </c>
    </row>
    <row r="419">
      <c r="A419" s="81" t="n">
        <v>28709</v>
      </c>
      <c r="D419" t="n">
        <v>348.4</v>
      </c>
    </row>
    <row r="420">
      <c r="A420" s="81" t="n">
        <v>28716</v>
      </c>
      <c r="D420" t="n">
        <v>349.7</v>
      </c>
    </row>
    <row r="421">
      <c r="A421" s="81" t="n">
        <v>28723</v>
      </c>
      <c r="D421" t="n">
        <v>349.7</v>
      </c>
    </row>
    <row r="422">
      <c r="A422" s="81" t="n">
        <v>28730</v>
      </c>
      <c r="D422" t="n">
        <v>349.3</v>
      </c>
    </row>
    <row r="423">
      <c r="A423" s="81" t="n">
        <v>28734</v>
      </c>
      <c r="B423" t="n">
        <v>529.6</v>
      </c>
      <c r="C423" t="n">
        <v>2022.6</v>
      </c>
      <c r="E423" t="n">
        <v>1345</v>
      </c>
    </row>
    <row r="424">
      <c r="A424" s="81" t="n">
        <v>28737</v>
      </c>
      <c r="D424" t="n">
        <v>352.7</v>
      </c>
    </row>
    <row r="425">
      <c r="A425" s="81" t="n">
        <v>28744</v>
      </c>
      <c r="D425" t="n">
        <v>351.6</v>
      </c>
    </row>
    <row r="426">
      <c r="A426" s="81" t="n">
        <v>28751</v>
      </c>
      <c r="D426" t="n">
        <v>351.5</v>
      </c>
    </row>
    <row r="427">
      <c r="A427" s="81" t="n">
        <v>28758</v>
      </c>
      <c r="D427" t="n">
        <v>352.8</v>
      </c>
    </row>
    <row r="428">
      <c r="A428" s="81" t="n">
        <v>28764</v>
      </c>
      <c r="B428" t="n">
        <v>526.5</v>
      </c>
      <c r="C428" t="n">
        <v>2015.4</v>
      </c>
      <c r="E428" t="n">
        <v>1352.3</v>
      </c>
    </row>
    <row r="429">
      <c r="A429" s="81" t="n">
        <v>28765</v>
      </c>
      <c r="D429" t="n">
        <v>352.9</v>
      </c>
    </row>
    <row r="430">
      <c r="A430" s="81" t="n">
        <v>28772</v>
      </c>
      <c r="D430" t="n">
        <v>353</v>
      </c>
    </row>
    <row r="431">
      <c r="A431" s="81" t="n">
        <v>28779</v>
      </c>
      <c r="D431" t="n">
        <v>354.3</v>
      </c>
    </row>
    <row r="432">
      <c r="A432" s="81" t="n">
        <v>28786</v>
      </c>
      <c r="D432" t="n">
        <v>353.1</v>
      </c>
    </row>
    <row r="433">
      <c r="A433" s="81" t="n">
        <v>28793</v>
      </c>
      <c r="D433" t="n">
        <v>353.3</v>
      </c>
    </row>
    <row r="434">
      <c r="A434" s="81" t="n">
        <v>28795</v>
      </c>
      <c r="B434" t="n">
        <v>526.5</v>
      </c>
      <c r="C434" t="n">
        <v>2013.5</v>
      </c>
      <c r="E434" t="n">
        <v>1359.1</v>
      </c>
    </row>
    <row r="435">
      <c r="A435" s="81" t="n">
        <v>28800</v>
      </c>
      <c r="D435" t="n">
        <v>355.1</v>
      </c>
    </row>
    <row r="436">
      <c r="A436" s="81" t="n">
        <v>28807</v>
      </c>
      <c r="D436" t="n">
        <v>355.2</v>
      </c>
    </row>
    <row r="437">
      <c r="A437" s="81" t="n">
        <v>28814</v>
      </c>
      <c r="D437" t="n">
        <v>355.8</v>
      </c>
    </row>
    <row r="438">
      <c r="A438" s="81" t="n">
        <v>28821</v>
      </c>
      <c r="D438" t="n">
        <v>355.3</v>
      </c>
    </row>
    <row r="439">
      <c r="A439" s="81" t="n">
        <v>28825</v>
      </c>
      <c r="B439" t="n">
        <v>526.2</v>
      </c>
      <c r="C439" t="n">
        <v>2011.8</v>
      </c>
      <c r="E439" t="n">
        <v>1366</v>
      </c>
    </row>
    <row r="440">
      <c r="A440" s="81" t="n">
        <v>28828</v>
      </c>
      <c r="D440" t="n">
        <v>357.1</v>
      </c>
    </row>
    <row r="441">
      <c r="A441" s="81" t="n">
        <v>28835</v>
      </c>
      <c r="D441" t="n">
        <v>356.8</v>
      </c>
    </row>
    <row r="442">
      <c r="A442" s="81" t="n">
        <v>28842</v>
      </c>
      <c r="D442" t="n">
        <v>356.2</v>
      </c>
    </row>
    <row r="443">
      <c r="A443" s="81" t="n">
        <v>28849</v>
      </c>
      <c r="D443" t="n">
        <v>357.7</v>
      </c>
    </row>
    <row r="444">
      <c r="A444" s="81" t="n">
        <v>28856</v>
      </c>
      <c r="B444" t="n">
        <v>523.5</v>
      </c>
      <c r="C444" t="n">
        <v>2002.3</v>
      </c>
      <c r="D444" t="n">
        <v>359.5</v>
      </c>
      <c r="E444" t="n">
        <v>1371.6</v>
      </c>
    </row>
    <row r="445">
      <c r="A445" s="81" t="n">
        <v>28863</v>
      </c>
      <c r="D445" t="n">
        <v>357.1</v>
      </c>
    </row>
    <row r="446">
      <c r="A446" s="81" t="n">
        <v>28870</v>
      </c>
      <c r="D446" t="n">
        <v>359.5</v>
      </c>
    </row>
    <row r="447">
      <c r="A447" s="81" t="n">
        <v>28877</v>
      </c>
      <c r="D447" t="n">
        <v>358.7</v>
      </c>
    </row>
    <row r="448">
      <c r="A448" s="81" t="n">
        <v>28884</v>
      </c>
      <c r="D448" t="n">
        <v>358.8</v>
      </c>
    </row>
    <row r="449">
      <c r="A449" s="81" t="n">
        <v>28887</v>
      </c>
      <c r="B449" t="n">
        <v>520.1</v>
      </c>
      <c r="C449" t="n">
        <v>1991</v>
      </c>
      <c r="E449" t="n">
        <v>1377.8</v>
      </c>
    </row>
    <row r="450">
      <c r="A450" s="81" t="n">
        <v>28891</v>
      </c>
      <c r="D450" t="n">
        <v>360.6</v>
      </c>
    </row>
    <row r="451">
      <c r="A451" s="81" t="n">
        <v>28898</v>
      </c>
      <c r="D451" t="n">
        <v>359.3</v>
      </c>
    </row>
    <row r="452">
      <c r="A452" s="81" t="n">
        <v>28905</v>
      </c>
      <c r="D452" t="n">
        <v>359.1</v>
      </c>
    </row>
    <row r="453">
      <c r="A453" s="81" t="n">
        <v>28912</v>
      </c>
      <c r="D453" t="n">
        <v>360.1</v>
      </c>
    </row>
    <row r="454">
      <c r="A454" s="81" t="n">
        <v>28915</v>
      </c>
      <c r="B454" t="n">
        <v>518.6</v>
      </c>
      <c r="C454" t="n">
        <v>1985.4</v>
      </c>
      <c r="E454" t="n">
        <v>1387.8</v>
      </c>
    </row>
    <row r="455">
      <c r="A455" s="81" t="n">
        <v>28919</v>
      </c>
      <c r="D455" t="n">
        <v>361.9</v>
      </c>
    </row>
    <row r="456">
      <c r="A456" s="81" t="n">
        <v>28926</v>
      </c>
      <c r="D456" t="n">
        <v>361.2</v>
      </c>
    </row>
    <row r="457">
      <c r="A457" s="81" t="n">
        <v>28933</v>
      </c>
      <c r="D457" t="n">
        <v>361.8</v>
      </c>
    </row>
    <row r="458">
      <c r="A458" s="81" t="n">
        <v>28940</v>
      </c>
      <c r="D458" t="n">
        <v>363.2</v>
      </c>
    </row>
    <row r="459">
      <c r="A459" s="81" t="n">
        <v>28946</v>
      </c>
      <c r="B459" t="n">
        <v>521.2</v>
      </c>
      <c r="C459" t="n">
        <v>1986</v>
      </c>
      <c r="E459" t="n">
        <v>1402.1</v>
      </c>
    </row>
    <row r="460">
      <c r="A460" s="81" t="n">
        <v>28947</v>
      </c>
      <c r="D460" t="n">
        <v>364.2</v>
      </c>
    </row>
    <row r="461">
      <c r="A461" s="81" t="n">
        <v>28954</v>
      </c>
      <c r="D461" t="n">
        <v>365</v>
      </c>
    </row>
    <row r="462">
      <c r="A462" s="81" t="n">
        <v>28961</v>
      </c>
      <c r="D462" t="n">
        <v>368.7</v>
      </c>
    </row>
    <row r="463">
      <c r="A463" s="81" t="n">
        <v>28968</v>
      </c>
      <c r="D463" t="n">
        <v>370.2</v>
      </c>
    </row>
    <row r="464">
      <c r="A464" s="81" t="n">
        <v>28975</v>
      </c>
      <c r="D464" t="n">
        <v>369.6</v>
      </c>
    </row>
    <row r="465">
      <c r="A465" s="81" t="n">
        <v>28976</v>
      </c>
      <c r="B465" t="n">
        <v>517.6</v>
      </c>
      <c r="C465" t="n">
        <v>1975.1</v>
      </c>
      <c r="E465" t="n">
        <v>1410.2</v>
      </c>
    </row>
    <row r="466">
      <c r="A466" s="81" t="n">
        <v>28982</v>
      </c>
      <c r="D466" t="n">
        <v>368.9</v>
      </c>
    </row>
    <row r="467">
      <c r="A467" s="81" t="n">
        <v>28989</v>
      </c>
      <c r="D467" t="n">
        <v>369.1</v>
      </c>
    </row>
    <row r="468">
      <c r="A468" s="81" t="n">
        <v>28996</v>
      </c>
      <c r="D468" t="n">
        <v>369.6</v>
      </c>
    </row>
    <row r="469">
      <c r="A469" s="81" t="n">
        <v>29003</v>
      </c>
      <c r="D469" t="n">
        <v>369</v>
      </c>
    </row>
    <row r="470">
      <c r="A470" s="81" t="n">
        <v>29007</v>
      </c>
      <c r="B470" t="n">
        <v>517.2</v>
      </c>
      <c r="C470" t="n">
        <v>1970.9</v>
      </c>
      <c r="E470" t="n">
        <v>1423</v>
      </c>
    </row>
    <row r="471">
      <c r="A471" s="81" t="n">
        <v>29010</v>
      </c>
      <c r="D471" t="n">
        <v>372.4</v>
      </c>
    </row>
    <row r="472">
      <c r="A472" s="81" t="n">
        <v>29017</v>
      </c>
      <c r="D472" t="n">
        <v>372.7</v>
      </c>
    </row>
    <row r="473">
      <c r="A473" s="81" t="n">
        <v>29024</v>
      </c>
      <c r="D473" t="n">
        <v>372.2</v>
      </c>
    </row>
    <row r="474">
      <c r="A474" s="81" t="n">
        <v>29031</v>
      </c>
      <c r="D474" t="n">
        <v>374.3</v>
      </c>
    </row>
    <row r="475">
      <c r="A475" s="81" t="n">
        <v>29037</v>
      </c>
      <c r="B475" t="n">
        <v>516.7</v>
      </c>
      <c r="C475" t="n">
        <v>1965.5</v>
      </c>
      <c r="E475" t="n">
        <v>1434.8</v>
      </c>
    </row>
    <row r="476">
      <c r="A476" s="81" t="n">
        <v>29038</v>
      </c>
      <c r="D476" t="n">
        <v>374.9</v>
      </c>
    </row>
    <row r="477">
      <c r="A477" s="81" t="n">
        <v>29045</v>
      </c>
      <c r="D477" t="n">
        <v>375.7</v>
      </c>
    </row>
    <row r="478">
      <c r="A478" s="81" t="n">
        <v>29052</v>
      </c>
      <c r="D478" t="n">
        <v>377.8</v>
      </c>
    </row>
    <row r="479">
      <c r="A479" s="81" t="n">
        <v>29059</v>
      </c>
      <c r="D479" t="n">
        <v>378.3</v>
      </c>
    </row>
    <row r="480">
      <c r="A480" s="81" t="n">
        <v>29066</v>
      </c>
      <c r="D480" t="n">
        <v>378.5</v>
      </c>
    </row>
    <row r="481">
      <c r="A481" s="81" t="n">
        <v>29068</v>
      </c>
      <c r="B481" t="n">
        <v>514</v>
      </c>
      <c r="C481" t="n">
        <v>1962.8</v>
      </c>
      <c r="E481" t="n">
        <v>1446.6</v>
      </c>
    </row>
    <row r="482">
      <c r="A482" s="81" t="n">
        <v>29073</v>
      </c>
      <c r="D482" t="n">
        <v>377.7</v>
      </c>
    </row>
    <row r="483">
      <c r="A483" s="81" t="n">
        <v>29080</v>
      </c>
      <c r="D483" t="n">
        <v>378.3</v>
      </c>
    </row>
    <row r="484">
      <c r="A484" s="81" t="n">
        <v>29087</v>
      </c>
      <c r="D484" t="n">
        <v>379.9</v>
      </c>
    </row>
    <row r="485">
      <c r="A485" s="81" t="n">
        <v>29094</v>
      </c>
      <c r="D485" t="n">
        <v>379.4</v>
      </c>
    </row>
    <row r="486">
      <c r="A486" s="81" t="n">
        <v>29099</v>
      </c>
      <c r="B486" t="n">
        <v>509.8</v>
      </c>
      <c r="C486" t="n">
        <v>1954.4</v>
      </c>
      <c r="E486" t="n">
        <v>1454.1</v>
      </c>
    </row>
    <row r="487">
      <c r="A487" s="81" t="n">
        <v>29101</v>
      </c>
      <c r="D487" t="n">
        <v>379</v>
      </c>
    </row>
    <row r="488">
      <c r="A488" s="81" t="n">
        <v>29108</v>
      </c>
      <c r="D488" t="n">
        <v>378.7</v>
      </c>
    </row>
    <row r="489">
      <c r="A489" s="81" t="n">
        <v>29115</v>
      </c>
      <c r="D489" t="n">
        <v>378.1</v>
      </c>
    </row>
    <row r="490">
      <c r="A490" s="81" t="n">
        <v>29122</v>
      </c>
      <c r="D490" t="n">
        <v>379.6</v>
      </c>
    </row>
    <row r="491">
      <c r="A491" s="81" t="n">
        <v>29129</v>
      </c>
      <c r="B491" t="n">
        <v>506.4</v>
      </c>
      <c r="C491" t="n">
        <v>1942</v>
      </c>
      <c r="D491" t="n">
        <v>381.6</v>
      </c>
      <c r="E491" t="n">
        <v>1460.4</v>
      </c>
    </row>
    <row r="492">
      <c r="A492" s="81" t="n">
        <v>29136</v>
      </c>
      <c r="D492" t="n">
        <v>380.7</v>
      </c>
    </row>
    <row r="493">
      <c r="A493" s="81" t="n">
        <v>29143</v>
      </c>
      <c r="D493" t="n">
        <v>381.7</v>
      </c>
    </row>
    <row r="494">
      <c r="A494" s="81" t="n">
        <v>29150</v>
      </c>
      <c r="D494" t="n">
        <v>380.5</v>
      </c>
    </row>
    <row r="495">
      <c r="A495" s="81" t="n">
        <v>29157</v>
      </c>
      <c r="D495" t="n">
        <v>380.9</v>
      </c>
    </row>
    <row r="496">
      <c r="A496" s="81" t="n">
        <v>29160</v>
      </c>
      <c r="B496" t="n">
        <v>501.1</v>
      </c>
      <c r="C496" t="n">
        <v>1928.8</v>
      </c>
      <c r="E496" t="n">
        <v>1465.9</v>
      </c>
    </row>
    <row r="497">
      <c r="A497" s="81" t="n">
        <v>29164</v>
      </c>
      <c r="D497" t="n">
        <v>382.3</v>
      </c>
    </row>
    <row r="498">
      <c r="A498" s="81" t="n">
        <v>29171</v>
      </c>
      <c r="D498" t="n">
        <v>381.1</v>
      </c>
    </row>
    <row r="499">
      <c r="A499" s="81" t="n">
        <v>29178</v>
      </c>
      <c r="D499" t="n">
        <v>381.5</v>
      </c>
    </row>
    <row r="500">
      <c r="A500" s="81" t="n">
        <v>29185</v>
      </c>
      <c r="D500" t="n">
        <v>380.6</v>
      </c>
    </row>
    <row r="501">
      <c r="A501" s="81" t="n">
        <v>29190</v>
      </c>
      <c r="B501" t="n">
        <v>496.5</v>
      </c>
      <c r="C501" t="n">
        <v>1916.4</v>
      </c>
      <c r="E501" t="n">
        <v>1473.7</v>
      </c>
    </row>
    <row r="502">
      <c r="A502" s="81" t="n">
        <v>29192</v>
      </c>
      <c r="D502" t="n">
        <v>379.3</v>
      </c>
    </row>
    <row r="503">
      <c r="A503" s="81" t="n">
        <v>29199</v>
      </c>
      <c r="D503" t="n">
        <v>381.2</v>
      </c>
    </row>
    <row r="504">
      <c r="A504" s="81" t="n">
        <v>29206</v>
      </c>
      <c r="D504" t="n">
        <v>381</v>
      </c>
    </row>
    <row r="505">
      <c r="A505" s="81" t="n">
        <v>29213</v>
      </c>
      <c r="D505" t="n">
        <v>382.9</v>
      </c>
    </row>
    <row r="506">
      <c r="A506" s="81" t="n">
        <v>29220</v>
      </c>
      <c r="D506" t="n">
        <v>384.2</v>
      </c>
    </row>
    <row r="507">
      <c r="A507" s="81" t="n">
        <v>29221</v>
      </c>
      <c r="B507" t="n">
        <v>494.6</v>
      </c>
      <c r="C507" t="n">
        <v>1900.9</v>
      </c>
      <c r="E507" t="n">
        <v>1482.7</v>
      </c>
    </row>
    <row r="508">
      <c r="A508" s="81" t="n">
        <v>29227</v>
      </c>
      <c r="D508" t="n">
        <v>383.7</v>
      </c>
    </row>
    <row r="509">
      <c r="A509" s="81" t="n">
        <v>29234</v>
      </c>
      <c r="D509" t="n">
        <v>385.5</v>
      </c>
    </row>
    <row r="510">
      <c r="A510" s="81" t="n">
        <v>29241</v>
      </c>
      <c r="D510" t="n">
        <v>384.8</v>
      </c>
    </row>
    <row r="511">
      <c r="A511" s="81" t="n">
        <v>29248</v>
      </c>
      <c r="D511" t="n">
        <v>387.4</v>
      </c>
    </row>
    <row r="512">
      <c r="A512" s="81" t="n">
        <v>29252</v>
      </c>
      <c r="B512" t="n">
        <v>493.8</v>
      </c>
      <c r="C512" t="n">
        <v>1891.9</v>
      </c>
      <c r="E512" t="n">
        <v>1494.6</v>
      </c>
    </row>
    <row r="513">
      <c r="A513" s="81" t="n">
        <v>29255</v>
      </c>
      <c r="D513" t="n">
        <v>390.6</v>
      </c>
    </row>
    <row r="514">
      <c r="A514" s="81" t="n">
        <v>29262</v>
      </c>
      <c r="D514" t="n">
        <v>390.3</v>
      </c>
    </row>
    <row r="515">
      <c r="A515" s="81" t="n">
        <v>29269</v>
      </c>
      <c r="D515" t="n">
        <v>390.3</v>
      </c>
    </row>
    <row r="516">
      <c r="A516" s="81" t="n">
        <v>29276</v>
      </c>
      <c r="D516" t="n">
        <v>389.3</v>
      </c>
    </row>
    <row r="517">
      <c r="A517" s="81" t="n">
        <v>29281</v>
      </c>
      <c r="B517" t="n">
        <v>484.9</v>
      </c>
      <c r="C517" t="n">
        <v>1872.4</v>
      </c>
      <c r="E517" t="n">
        <v>1499.8</v>
      </c>
    </row>
    <row r="518">
      <c r="A518" s="81" t="n">
        <v>29283</v>
      </c>
      <c r="D518" t="n">
        <v>389.4</v>
      </c>
    </row>
    <row r="519">
      <c r="A519" s="81" t="n">
        <v>29290</v>
      </c>
      <c r="D519" t="n">
        <v>388.8</v>
      </c>
    </row>
    <row r="520">
      <c r="A520" s="81" t="n">
        <v>29297</v>
      </c>
      <c r="D520" t="n">
        <v>389.2</v>
      </c>
    </row>
    <row r="521">
      <c r="A521" s="81" t="n">
        <v>29304</v>
      </c>
      <c r="D521" t="n">
        <v>388.4</v>
      </c>
    </row>
    <row r="522">
      <c r="A522" s="81" t="n">
        <v>29311</v>
      </c>
      <c r="D522" t="n">
        <v>387.1</v>
      </c>
    </row>
    <row r="523">
      <c r="A523" s="81" t="n">
        <v>29312</v>
      </c>
      <c r="B523" t="n">
        <v>474.4</v>
      </c>
      <c r="C523" t="n">
        <v>1856.9</v>
      </c>
      <c r="E523" t="n">
        <v>1502.2</v>
      </c>
    </row>
    <row r="524">
      <c r="A524" s="81" t="n">
        <v>29318</v>
      </c>
      <c r="D524" t="n">
        <v>386</v>
      </c>
    </row>
    <row r="525">
      <c r="A525" s="81" t="n">
        <v>29325</v>
      </c>
      <c r="D525" t="n">
        <v>385</v>
      </c>
    </row>
    <row r="526">
      <c r="A526" s="81" t="n">
        <v>29332</v>
      </c>
      <c r="D526" t="n">
        <v>382.8</v>
      </c>
    </row>
    <row r="527">
      <c r="A527" s="81" t="n">
        <v>29339</v>
      </c>
      <c r="D527" t="n">
        <v>381.3</v>
      </c>
    </row>
    <row r="528">
      <c r="A528" s="81" t="n">
        <v>29342</v>
      </c>
      <c r="B528" t="n">
        <v>471</v>
      </c>
      <c r="C528" t="n">
        <v>1851</v>
      </c>
      <c r="E528" t="n">
        <v>1512.3</v>
      </c>
    </row>
    <row r="529">
      <c r="A529" s="81" t="n">
        <v>29346</v>
      </c>
      <c r="D529" t="n">
        <v>383.6</v>
      </c>
    </row>
    <row r="530">
      <c r="A530" s="81" t="n">
        <v>29353</v>
      </c>
      <c r="D530" t="n">
        <v>383.5</v>
      </c>
    </row>
    <row r="531">
      <c r="A531" s="81" t="n">
        <v>29360</v>
      </c>
      <c r="D531" t="n">
        <v>384.7</v>
      </c>
    </row>
    <row r="532">
      <c r="A532" s="81" t="n">
        <v>29367</v>
      </c>
      <c r="D532" t="n">
        <v>385.8</v>
      </c>
    </row>
    <row r="533">
      <c r="A533" s="81" t="n">
        <v>29373</v>
      </c>
      <c r="B533" t="n">
        <v>471.6</v>
      </c>
      <c r="C533" t="n">
        <v>1853.6</v>
      </c>
      <c r="E533" t="n">
        <v>1529.2</v>
      </c>
    </row>
    <row r="534">
      <c r="A534" s="81" t="n">
        <v>29374</v>
      </c>
      <c r="D534" t="n">
        <v>386.8</v>
      </c>
    </row>
    <row r="535">
      <c r="A535" s="81" t="n">
        <v>29381</v>
      </c>
      <c r="D535" t="n">
        <v>387.1</v>
      </c>
    </row>
    <row r="536">
      <c r="A536" s="81" t="n">
        <v>29388</v>
      </c>
      <c r="D536" t="n">
        <v>389</v>
      </c>
    </row>
    <row r="537">
      <c r="A537" s="81" t="n">
        <v>29395</v>
      </c>
      <c r="D537" t="n">
        <v>389.9</v>
      </c>
    </row>
    <row r="538">
      <c r="A538" s="81" t="n">
        <v>29402</v>
      </c>
      <c r="D538" t="n">
        <v>391.3</v>
      </c>
    </row>
    <row r="539">
      <c r="A539" s="81" t="n">
        <v>29403</v>
      </c>
      <c r="B539" t="n">
        <v>477</v>
      </c>
      <c r="C539" t="n">
        <v>1871.1</v>
      </c>
      <c r="E539" t="n">
        <v>1545.5</v>
      </c>
    </row>
    <row r="540">
      <c r="A540" s="81" t="n">
        <v>29409</v>
      </c>
      <c r="D540" t="n">
        <v>391.4</v>
      </c>
    </row>
    <row r="541">
      <c r="A541" s="81" t="n">
        <v>29416</v>
      </c>
      <c r="D541" t="n">
        <v>394.2</v>
      </c>
    </row>
    <row r="542">
      <c r="A542" s="81" t="n">
        <v>29423</v>
      </c>
      <c r="D542" t="n">
        <v>393.9</v>
      </c>
    </row>
    <row r="543">
      <c r="A543" s="81" t="n">
        <v>29430</v>
      </c>
      <c r="D543" t="n">
        <v>394.6</v>
      </c>
    </row>
    <row r="544">
      <c r="A544" s="81" t="n">
        <v>29434</v>
      </c>
      <c r="B544" t="n">
        <v>479.8</v>
      </c>
      <c r="C544" t="n">
        <v>1876.8</v>
      </c>
      <c r="E544" t="n">
        <v>1561.5</v>
      </c>
    </row>
    <row r="545">
      <c r="A545" s="81" t="n">
        <v>29437</v>
      </c>
      <c r="D545" t="n">
        <v>398.8</v>
      </c>
    </row>
    <row r="546">
      <c r="A546" s="81" t="n">
        <v>29444</v>
      </c>
      <c r="D546" t="n">
        <v>398.2</v>
      </c>
    </row>
    <row r="547">
      <c r="A547" s="81" t="n">
        <v>29451</v>
      </c>
      <c r="D547" t="n">
        <v>398.3</v>
      </c>
    </row>
    <row r="548">
      <c r="A548" s="81" t="n">
        <v>29458</v>
      </c>
      <c r="D548" t="n">
        <v>399.3</v>
      </c>
    </row>
    <row r="549">
      <c r="A549" s="81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1" t="n">
        <v>29472</v>
      </c>
      <c r="D550" t="n">
        <v>403.9</v>
      </c>
    </row>
    <row r="551">
      <c r="A551" s="81" t="n">
        <v>29479</v>
      </c>
      <c r="D551" t="n">
        <v>404.7</v>
      </c>
    </row>
    <row r="552">
      <c r="A552" s="81" t="n">
        <v>29486</v>
      </c>
      <c r="D552" t="n">
        <v>405.6</v>
      </c>
    </row>
    <row r="553">
      <c r="A553" s="81" t="n">
        <v>29493</v>
      </c>
      <c r="D553" t="n">
        <v>405.3</v>
      </c>
    </row>
    <row r="554">
      <c r="A554" s="81" t="n">
        <v>29495</v>
      </c>
      <c r="B554" t="n">
        <v>482.9</v>
      </c>
      <c r="C554" t="n">
        <v>1871.1</v>
      </c>
      <c r="E554" t="n">
        <v>1584.8</v>
      </c>
    </row>
    <row r="555">
      <c r="A555" s="81" t="n">
        <v>29500</v>
      </c>
      <c r="D555" t="n">
        <v>408.2</v>
      </c>
    </row>
    <row r="556">
      <c r="A556" s="81" t="n">
        <v>29507</v>
      </c>
      <c r="D556" t="n">
        <v>408.9</v>
      </c>
    </row>
    <row r="557">
      <c r="A557" s="81" t="n">
        <v>29514</v>
      </c>
      <c r="D557" t="n">
        <v>408.6</v>
      </c>
    </row>
    <row r="558">
      <c r="A558" s="81" t="n">
        <v>29521</v>
      </c>
      <c r="D558" t="n">
        <v>409.6</v>
      </c>
    </row>
    <row r="559">
      <c r="A559" s="81" t="n">
        <v>29526</v>
      </c>
      <c r="B559" t="n">
        <v>479.8</v>
      </c>
      <c r="C559" t="n">
        <v>1864.3</v>
      </c>
      <c r="E559" t="n">
        <v>1595.8</v>
      </c>
    </row>
    <row r="560">
      <c r="A560" s="81" t="n">
        <v>29528</v>
      </c>
      <c r="D560" t="n">
        <v>409.2</v>
      </c>
    </row>
    <row r="561">
      <c r="A561" s="81" t="n">
        <v>29535</v>
      </c>
      <c r="D561" t="n">
        <v>410.4</v>
      </c>
    </row>
    <row r="562">
      <c r="A562" s="81" t="n">
        <v>29542</v>
      </c>
      <c r="D562" t="n">
        <v>411.3</v>
      </c>
    </row>
    <row r="563">
      <c r="A563" s="81" t="n">
        <v>29549</v>
      </c>
      <c r="D563" t="n">
        <v>410.8</v>
      </c>
    </row>
    <row r="564">
      <c r="A564" s="81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1" t="n">
        <v>29563</v>
      </c>
      <c r="D565" t="n">
        <v>409.6</v>
      </c>
    </row>
    <row r="566">
      <c r="A566" s="81" t="n">
        <v>29570</v>
      </c>
      <c r="D566" t="n">
        <v>410.7</v>
      </c>
    </row>
    <row r="567">
      <c r="A567" s="81" t="n">
        <v>29577</v>
      </c>
      <c r="D567" t="n">
        <v>409.9</v>
      </c>
    </row>
    <row r="568">
      <c r="A568" s="81" t="n">
        <v>29584</v>
      </c>
      <c r="D568" t="n">
        <v>404.3</v>
      </c>
    </row>
    <row r="569">
      <c r="A569" s="81" t="n">
        <v>29587</v>
      </c>
      <c r="B569" t="n">
        <v>471.7</v>
      </c>
      <c r="C569" t="n">
        <v>1842.8</v>
      </c>
      <c r="E569" t="n">
        <v>1606.9</v>
      </c>
    </row>
    <row r="570">
      <c r="A570" s="81" t="n">
        <v>29591</v>
      </c>
      <c r="D570" t="n">
        <v>407.4</v>
      </c>
    </row>
    <row r="571">
      <c r="A571" s="81" t="n">
        <v>29598</v>
      </c>
      <c r="D571" t="n">
        <v>409.4</v>
      </c>
    </row>
    <row r="572">
      <c r="A572" s="81" t="n">
        <v>29605</v>
      </c>
      <c r="D572" t="n">
        <v>413.2</v>
      </c>
    </row>
    <row r="573">
      <c r="A573" s="81" t="n">
        <v>29612</v>
      </c>
      <c r="D573" t="n">
        <v>413.8</v>
      </c>
    </row>
    <row r="574">
      <c r="A574" s="81" t="n">
        <v>29618</v>
      </c>
      <c r="B574" t="n">
        <v>471.4</v>
      </c>
      <c r="C574" t="n">
        <v>1839.4</v>
      </c>
      <c r="E574" t="n">
        <v>1618.7</v>
      </c>
    </row>
    <row r="575">
      <c r="A575" s="81" t="n">
        <v>29619</v>
      </c>
      <c r="D575" t="n">
        <v>410.8</v>
      </c>
    </row>
    <row r="576">
      <c r="A576" s="81" t="n">
        <v>29626</v>
      </c>
      <c r="D576" t="n">
        <v>413.6</v>
      </c>
    </row>
    <row r="577">
      <c r="A577" s="81" t="n">
        <v>29633</v>
      </c>
      <c r="D577" t="n">
        <v>415.3</v>
      </c>
    </row>
    <row r="578">
      <c r="A578" s="81" t="n">
        <v>29640</v>
      </c>
      <c r="D578" t="n">
        <v>416.6</v>
      </c>
    </row>
    <row r="579">
      <c r="A579" s="81" t="n">
        <v>29646</v>
      </c>
      <c r="B579" t="n">
        <v>472.9</v>
      </c>
      <c r="C579" t="n">
        <v>1847.2</v>
      </c>
      <c r="E579" t="n">
        <v>1636.6</v>
      </c>
    </row>
    <row r="580">
      <c r="A580" s="81" t="n">
        <v>29647</v>
      </c>
      <c r="D580" t="n">
        <v>414.7</v>
      </c>
    </row>
    <row r="581">
      <c r="A581" s="81" t="n">
        <v>29654</v>
      </c>
      <c r="D581" t="n">
        <v>417.4</v>
      </c>
    </row>
    <row r="582">
      <c r="A582" s="81" t="n">
        <v>29661</v>
      </c>
      <c r="D582" t="n">
        <v>419.1</v>
      </c>
    </row>
    <row r="583">
      <c r="A583" s="81" t="n">
        <v>29668</v>
      </c>
      <c r="D583" t="n">
        <v>419.2</v>
      </c>
    </row>
    <row r="584">
      <c r="A584" s="81" t="n">
        <v>29675</v>
      </c>
      <c r="D584" t="n">
        <v>421</v>
      </c>
    </row>
    <row r="585">
      <c r="A585" s="81" t="n">
        <v>29677</v>
      </c>
      <c r="B585" t="n">
        <v>479.7</v>
      </c>
      <c r="C585" t="n">
        <v>1862.2</v>
      </c>
      <c r="E585" t="n">
        <v>1659.2</v>
      </c>
    </row>
    <row r="586">
      <c r="A586" s="81" t="n">
        <v>29682</v>
      </c>
      <c r="D586" t="n">
        <v>424</v>
      </c>
    </row>
    <row r="587">
      <c r="A587" s="81" t="n">
        <v>29689</v>
      </c>
      <c r="D587" t="n">
        <v>426.1</v>
      </c>
    </row>
    <row r="588">
      <c r="A588" s="81" t="n">
        <v>29696</v>
      </c>
      <c r="D588" t="n">
        <v>429.7</v>
      </c>
    </row>
    <row r="589">
      <c r="A589" s="81" t="n">
        <v>29703</v>
      </c>
      <c r="D589" t="n">
        <v>429.2</v>
      </c>
    </row>
    <row r="590">
      <c r="A590" s="81" t="n">
        <v>29707</v>
      </c>
      <c r="B590" t="n">
        <v>473.5</v>
      </c>
      <c r="C590" t="n">
        <v>1855.3</v>
      </c>
      <c r="E590" t="n">
        <v>1664.2</v>
      </c>
    </row>
    <row r="591">
      <c r="A591" s="81" t="n">
        <v>29710</v>
      </c>
      <c r="D591" t="n">
        <v>427.6</v>
      </c>
    </row>
    <row r="592">
      <c r="A592" s="81" t="n">
        <v>29717</v>
      </c>
      <c r="D592" t="n">
        <v>425.7</v>
      </c>
    </row>
    <row r="593">
      <c r="A593" s="81" t="n">
        <v>29724</v>
      </c>
      <c r="D593" t="n">
        <v>423.6</v>
      </c>
    </row>
    <row r="594">
      <c r="A594" s="81" t="n">
        <v>29731</v>
      </c>
      <c r="D594" t="n">
        <v>423.1</v>
      </c>
    </row>
    <row r="595">
      <c r="A595" s="81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1" t="n">
        <v>29745</v>
      </c>
      <c r="D596" t="n">
        <v>423.1</v>
      </c>
    </row>
    <row r="597">
      <c r="A597" s="81" t="n">
        <v>29752</v>
      </c>
      <c r="D597" t="n">
        <v>425.4</v>
      </c>
    </row>
    <row r="598">
      <c r="A598" s="81" t="n">
        <v>29759</v>
      </c>
      <c r="D598" t="n">
        <v>426.6</v>
      </c>
    </row>
    <row r="599">
      <c r="A599" s="81" t="n">
        <v>29766</v>
      </c>
      <c r="D599" t="n">
        <v>425.2</v>
      </c>
    </row>
    <row r="600">
      <c r="A600" s="81" t="n">
        <v>29768</v>
      </c>
      <c r="B600" t="n">
        <v>466.6</v>
      </c>
      <c r="C600" t="n">
        <v>1838.1</v>
      </c>
      <c r="E600" t="n">
        <v>1681.9</v>
      </c>
    </row>
    <row r="601">
      <c r="A601" s="81" t="n">
        <v>29773</v>
      </c>
      <c r="D601" t="n">
        <v>428.8</v>
      </c>
    </row>
    <row r="602">
      <c r="A602" s="81" t="n">
        <v>29780</v>
      </c>
      <c r="D602" t="n">
        <v>426.2</v>
      </c>
    </row>
    <row r="603">
      <c r="A603" s="81" t="n">
        <v>29787</v>
      </c>
      <c r="D603" t="n">
        <v>427.4</v>
      </c>
    </row>
    <row r="604">
      <c r="A604" s="81" t="n">
        <v>29794</v>
      </c>
      <c r="D604" t="n">
        <v>426.2</v>
      </c>
    </row>
    <row r="605">
      <c r="A605" s="81" t="n">
        <v>29799</v>
      </c>
      <c r="B605" t="n">
        <v>463</v>
      </c>
      <c r="C605" t="n">
        <v>1837.6</v>
      </c>
      <c r="E605" t="n">
        <v>1694.3</v>
      </c>
    </row>
    <row r="606">
      <c r="A606" s="81" t="n">
        <v>29801</v>
      </c>
      <c r="D606" t="n">
        <v>425.9</v>
      </c>
    </row>
    <row r="607">
      <c r="A607" s="81" t="n">
        <v>29808</v>
      </c>
      <c r="D607" t="n">
        <v>429</v>
      </c>
    </row>
    <row r="608">
      <c r="A608" s="81" t="n">
        <v>29815</v>
      </c>
      <c r="D608" t="n">
        <v>426.3</v>
      </c>
    </row>
    <row r="609">
      <c r="A609" s="81" t="n">
        <v>29822</v>
      </c>
      <c r="D609" t="n">
        <v>425.8</v>
      </c>
    </row>
    <row r="610">
      <c r="A610" s="81" t="n">
        <v>29829</v>
      </c>
      <c r="D610" t="n">
        <v>427</v>
      </c>
    </row>
    <row r="611">
      <c r="A611" s="81" t="n">
        <v>29830</v>
      </c>
      <c r="B611" t="n">
        <v>458.6</v>
      </c>
      <c r="C611" t="n">
        <v>1832.4</v>
      </c>
      <c r="E611" t="n">
        <v>1706</v>
      </c>
    </row>
    <row r="612">
      <c r="A612" s="81" t="n">
        <v>29836</v>
      </c>
      <c r="D612" t="n">
        <v>425.6</v>
      </c>
    </row>
    <row r="613">
      <c r="A613" s="81" t="n">
        <v>29843</v>
      </c>
      <c r="D613" t="n">
        <v>429</v>
      </c>
    </row>
    <row r="614">
      <c r="A614" s="81" t="n">
        <v>29850</v>
      </c>
      <c r="D614" t="n">
        <v>428.3</v>
      </c>
    </row>
    <row r="615">
      <c r="A615" s="81" t="n">
        <v>29857</v>
      </c>
      <c r="D615" t="n">
        <v>424.9</v>
      </c>
    </row>
    <row r="616">
      <c r="A616" s="81" t="n">
        <v>29860</v>
      </c>
      <c r="B616" t="n">
        <v>458.7</v>
      </c>
      <c r="C616" t="n">
        <v>1843.5</v>
      </c>
      <c r="E616" t="n">
        <v>1721.8</v>
      </c>
    </row>
    <row r="617">
      <c r="A617" s="81" t="n">
        <v>29864</v>
      </c>
      <c r="D617" t="n">
        <v>427</v>
      </c>
    </row>
    <row r="618">
      <c r="A618" s="81" t="n">
        <v>29871</v>
      </c>
      <c r="D618" t="n">
        <v>428.3</v>
      </c>
    </row>
    <row r="619">
      <c r="A619" s="81" t="n">
        <v>29878</v>
      </c>
      <c r="D619" t="n">
        <v>428.9</v>
      </c>
    </row>
    <row r="620">
      <c r="A620" s="81" t="n">
        <v>29885</v>
      </c>
      <c r="D620" t="n">
        <v>428.9</v>
      </c>
    </row>
    <row r="621">
      <c r="A621" s="81" t="n">
        <v>29891</v>
      </c>
      <c r="B621" t="n">
        <v>459.8</v>
      </c>
      <c r="C621" t="n">
        <v>1850.9</v>
      </c>
      <c r="E621" t="n">
        <v>1736.1</v>
      </c>
    </row>
    <row r="622">
      <c r="A622" s="81" t="n">
        <v>29892</v>
      </c>
      <c r="D622" t="n">
        <v>428.3</v>
      </c>
    </row>
    <row r="623">
      <c r="A623" s="81" t="n">
        <v>29899</v>
      </c>
      <c r="D623" t="n">
        <v>430.6</v>
      </c>
    </row>
    <row r="624">
      <c r="A624" s="81" t="n">
        <v>29906</v>
      </c>
      <c r="D624" t="n">
        <v>431.4</v>
      </c>
    </row>
    <row r="625">
      <c r="A625" s="81" t="n">
        <v>29913</v>
      </c>
      <c r="D625" t="n">
        <v>430.4</v>
      </c>
    </row>
    <row r="626">
      <c r="A626" s="81" t="n">
        <v>29920</v>
      </c>
      <c r="D626" t="n">
        <v>433.5</v>
      </c>
    </row>
    <row r="627">
      <c r="A627" s="81" t="n">
        <v>29921</v>
      </c>
      <c r="B627" t="n">
        <v>464.1</v>
      </c>
      <c r="C627" t="n">
        <v>1865.6</v>
      </c>
      <c r="E627" t="n">
        <v>1755.5</v>
      </c>
    </row>
    <row r="628">
      <c r="A628" s="81" t="n">
        <v>29927</v>
      </c>
      <c r="D628" t="n">
        <v>436.2</v>
      </c>
    </row>
    <row r="629">
      <c r="A629" s="81" t="n">
        <v>29934</v>
      </c>
      <c r="D629" t="n">
        <v>435.1</v>
      </c>
    </row>
    <row r="630">
      <c r="A630" s="81" t="n">
        <v>29941</v>
      </c>
      <c r="D630" t="n">
        <v>437.2</v>
      </c>
    </row>
    <row r="631">
      <c r="A631" s="81" t="n">
        <v>29948</v>
      </c>
      <c r="D631" t="n">
        <v>436.7</v>
      </c>
    </row>
    <row r="632">
      <c r="A632" s="81" t="n">
        <v>29952</v>
      </c>
      <c r="B632" t="n">
        <v>469</v>
      </c>
      <c r="C632" t="n">
        <v>1875.4</v>
      </c>
      <c r="E632" t="n">
        <v>1770.4</v>
      </c>
    </row>
    <row r="633">
      <c r="A633" s="81" t="n">
        <v>29955</v>
      </c>
      <c r="D633" t="n">
        <v>440.2</v>
      </c>
    </row>
    <row r="634">
      <c r="A634" s="81" t="n">
        <v>29962</v>
      </c>
      <c r="D634" t="n">
        <v>442.7</v>
      </c>
    </row>
    <row r="635">
      <c r="A635" s="81" t="n">
        <v>29969</v>
      </c>
      <c r="D635" t="n">
        <v>442.8</v>
      </c>
    </row>
    <row r="636">
      <c r="A636" s="81" t="n">
        <v>29976</v>
      </c>
      <c r="D636" t="n">
        <v>442.7</v>
      </c>
    </row>
    <row r="637">
      <c r="A637" s="81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1" t="n">
        <v>29990</v>
      </c>
      <c r="D638" t="n">
        <v>441.3</v>
      </c>
    </row>
    <row r="639">
      <c r="A639" s="81" t="n">
        <v>29997</v>
      </c>
      <c r="D639" t="n">
        <v>442.3</v>
      </c>
    </row>
    <row r="640">
      <c r="A640" s="81" t="n">
        <v>30004</v>
      </c>
      <c r="D640" t="n">
        <v>441.6</v>
      </c>
    </row>
    <row r="641">
      <c r="A641" s="81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1" t="n">
        <v>30018</v>
      </c>
      <c r="D642" t="n">
        <v>442.1</v>
      </c>
    </row>
    <row r="643">
      <c r="A643" s="81" t="n">
        <v>30025</v>
      </c>
      <c r="D643" t="n">
        <v>443.4</v>
      </c>
    </row>
    <row r="644">
      <c r="A644" s="81" t="n">
        <v>30032</v>
      </c>
      <c r="D644" t="n">
        <v>442.4</v>
      </c>
    </row>
    <row r="645">
      <c r="A645" s="81" t="n">
        <v>30039</v>
      </c>
      <c r="D645" t="n">
        <v>442.4</v>
      </c>
    </row>
    <row r="646">
      <c r="A646" s="81" t="n">
        <v>30042</v>
      </c>
      <c r="B646" t="n">
        <v>470.6</v>
      </c>
      <c r="C646" t="n">
        <v>1898.8</v>
      </c>
      <c r="E646" t="n">
        <v>1803.9</v>
      </c>
    </row>
    <row r="647">
      <c r="A647" s="81" t="n">
        <v>30046</v>
      </c>
      <c r="D647" t="n">
        <v>445.2</v>
      </c>
    </row>
    <row r="648">
      <c r="A648" s="81" t="n">
        <v>30053</v>
      </c>
      <c r="D648" t="n">
        <v>447.6</v>
      </c>
    </row>
    <row r="649">
      <c r="A649" s="81" t="n">
        <v>30060</v>
      </c>
      <c r="D649" t="n">
        <v>448.5</v>
      </c>
    </row>
    <row r="650">
      <c r="A650" s="81" t="n">
        <v>30067</v>
      </c>
      <c r="D650" t="n">
        <v>447.7</v>
      </c>
    </row>
    <row r="651">
      <c r="A651" s="81" t="n">
        <v>30072</v>
      </c>
      <c r="B651" t="n">
        <v>465.8</v>
      </c>
      <c r="C651" t="n">
        <v>1893</v>
      </c>
      <c r="E651" t="n">
        <v>1815.4</v>
      </c>
    </row>
    <row r="652">
      <c r="A652" s="81" t="n">
        <v>30074</v>
      </c>
      <c r="D652" t="n">
        <v>445.3</v>
      </c>
    </row>
    <row r="653">
      <c r="A653" s="81" t="n">
        <v>30081</v>
      </c>
      <c r="D653" t="n">
        <v>447.2</v>
      </c>
    </row>
    <row r="654">
      <c r="A654" s="81" t="n">
        <v>30088</v>
      </c>
      <c r="D654" t="n">
        <v>445.9</v>
      </c>
    </row>
    <row r="655">
      <c r="A655" s="81" t="n">
        <v>30095</v>
      </c>
      <c r="D655" t="n">
        <v>447.1</v>
      </c>
    </row>
    <row r="656">
      <c r="A656" s="81" t="n">
        <v>30102</v>
      </c>
      <c r="D656" t="n">
        <v>447.4</v>
      </c>
    </row>
    <row r="657">
      <c r="A657" s="81" t="n">
        <v>30103</v>
      </c>
      <c r="B657" t="n">
        <v>461.3</v>
      </c>
      <c r="C657" t="n">
        <v>1882.5</v>
      </c>
      <c r="E657" t="n">
        <v>1826</v>
      </c>
    </row>
    <row r="658">
      <c r="A658" s="81" t="n">
        <v>30109</v>
      </c>
      <c r="D658" t="n">
        <v>448</v>
      </c>
    </row>
    <row r="659">
      <c r="A659" s="81" t="n">
        <v>30116</v>
      </c>
      <c r="D659" t="n">
        <v>449.1</v>
      </c>
    </row>
    <row r="660">
      <c r="A660" s="81" t="n">
        <v>30123</v>
      </c>
      <c r="D660" t="n">
        <v>448.3</v>
      </c>
    </row>
    <row r="661">
      <c r="A661" s="81" t="n">
        <v>30130</v>
      </c>
      <c r="D661" t="n">
        <v>445</v>
      </c>
    </row>
    <row r="662">
      <c r="A662" s="81" t="n">
        <v>30133</v>
      </c>
      <c r="B662" t="n">
        <v>459.5</v>
      </c>
      <c r="C662" t="n">
        <v>1878.5</v>
      </c>
      <c r="E662" t="n">
        <v>1831.5</v>
      </c>
    </row>
    <row r="663">
      <c r="A663" s="81" t="n">
        <v>30137</v>
      </c>
      <c r="D663" t="n">
        <v>446.1</v>
      </c>
    </row>
    <row r="664">
      <c r="A664" s="81" t="n">
        <v>30144</v>
      </c>
      <c r="D664" t="n">
        <v>449</v>
      </c>
    </row>
    <row r="665">
      <c r="A665" s="81" t="n">
        <v>30151</v>
      </c>
      <c r="D665" t="n">
        <v>447.8</v>
      </c>
    </row>
    <row r="666">
      <c r="A666" s="81" t="n">
        <v>30158</v>
      </c>
      <c r="D666" t="n">
        <v>448.4</v>
      </c>
    </row>
    <row r="667">
      <c r="A667" s="81" t="n">
        <v>30164</v>
      </c>
      <c r="B667" t="n">
        <v>462</v>
      </c>
      <c r="C667" t="n">
        <v>1888.6</v>
      </c>
      <c r="E667" t="n">
        <v>1845.2</v>
      </c>
    </row>
    <row r="668">
      <c r="A668" s="81" t="n">
        <v>30165</v>
      </c>
      <c r="D668" t="n">
        <v>448.5</v>
      </c>
    </row>
    <row r="669">
      <c r="A669" s="81" t="n">
        <v>30172</v>
      </c>
      <c r="D669" t="n">
        <v>449.6</v>
      </c>
    </row>
    <row r="670">
      <c r="A670" s="81" t="n">
        <v>30179</v>
      </c>
      <c r="D670" t="n">
        <v>451.2</v>
      </c>
    </row>
    <row r="671">
      <c r="A671" s="81" t="n">
        <v>30186</v>
      </c>
      <c r="D671" t="n">
        <v>452.3</v>
      </c>
    </row>
    <row r="672">
      <c r="A672" s="81" t="n">
        <v>30193</v>
      </c>
      <c r="D672" t="n">
        <v>453.1</v>
      </c>
    </row>
    <row r="673">
      <c r="A673" s="81" t="n">
        <v>30195</v>
      </c>
      <c r="B673" t="n">
        <v>467.7</v>
      </c>
      <c r="C673" t="n">
        <v>1902.1</v>
      </c>
      <c r="E673" t="n">
        <v>1858.4</v>
      </c>
    </row>
    <row r="674">
      <c r="A674" s="81" t="n">
        <v>30200</v>
      </c>
      <c r="D674" t="n">
        <v>454.5</v>
      </c>
    </row>
    <row r="675">
      <c r="A675" s="81" t="n">
        <v>30207</v>
      </c>
      <c r="D675" t="n">
        <v>456.6</v>
      </c>
    </row>
    <row r="676">
      <c r="A676" s="81" t="n">
        <v>30214</v>
      </c>
      <c r="D676" t="n">
        <v>458.2</v>
      </c>
    </row>
    <row r="677">
      <c r="A677" s="81" t="n">
        <v>30221</v>
      </c>
      <c r="D677" t="n">
        <v>456.6</v>
      </c>
    </row>
    <row r="678">
      <c r="A678" s="81" t="n">
        <v>30225</v>
      </c>
      <c r="B678" t="n">
        <v>473.5</v>
      </c>
      <c r="C678" t="n">
        <v>1905.9</v>
      </c>
      <c r="E678" t="n">
        <v>1869.7</v>
      </c>
    </row>
    <row r="679">
      <c r="A679" s="81" t="n">
        <v>30228</v>
      </c>
      <c r="D679" t="n">
        <v>460</v>
      </c>
    </row>
    <row r="680">
      <c r="A680" s="81" t="n">
        <v>30235</v>
      </c>
      <c r="D680" t="n">
        <v>463.3</v>
      </c>
    </row>
    <row r="681">
      <c r="A681" s="81" t="n">
        <v>30242</v>
      </c>
      <c r="D681" t="n">
        <v>463.9</v>
      </c>
    </row>
    <row r="682">
      <c r="A682" s="81" t="n">
        <v>30249</v>
      </c>
      <c r="D682" t="n">
        <v>465.5</v>
      </c>
    </row>
    <row r="683">
      <c r="A683" s="81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1" t="n">
        <v>30263</v>
      </c>
      <c r="D684" t="n">
        <v>470.4</v>
      </c>
    </row>
    <row r="685">
      <c r="A685" s="81" t="n">
        <v>30270</v>
      </c>
      <c r="D685" t="n">
        <v>472.1</v>
      </c>
    </row>
    <row r="686">
      <c r="A686" s="81" t="n">
        <v>30277</v>
      </c>
      <c r="D686" t="n">
        <v>471.9</v>
      </c>
    </row>
    <row r="687">
      <c r="A687" s="81" t="n">
        <v>30284</v>
      </c>
      <c r="D687" t="n">
        <v>471.5</v>
      </c>
    </row>
    <row r="688">
      <c r="A688" s="81" t="n">
        <v>30286</v>
      </c>
      <c r="B688" t="n">
        <v>486</v>
      </c>
      <c r="C688" t="n">
        <v>1950.8</v>
      </c>
      <c r="E688" t="n">
        <v>1905.9</v>
      </c>
    </row>
    <row r="689">
      <c r="A689" s="81" t="n">
        <v>30291</v>
      </c>
      <c r="D689" t="n">
        <v>474.2</v>
      </c>
    </row>
    <row r="690">
      <c r="A690" s="81" t="n">
        <v>30298</v>
      </c>
      <c r="D690" t="n">
        <v>477.1</v>
      </c>
    </row>
    <row r="691">
      <c r="A691" s="81" t="n">
        <v>30305</v>
      </c>
      <c r="D691" t="n">
        <v>475.2</v>
      </c>
    </row>
    <row r="692">
      <c r="A692" s="81" t="n">
        <v>30312</v>
      </c>
      <c r="D692" t="n">
        <v>473.9</v>
      </c>
    </row>
    <row r="693">
      <c r="A693" s="81" t="n">
        <v>30317</v>
      </c>
      <c r="B693" t="n">
        <v>487.4</v>
      </c>
      <c r="C693" t="n">
        <v>2001.4</v>
      </c>
      <c r="E693" t="n">
        <v>1959.4</v>
      </c>
    </row>
    <row r="694">
      <c r="A694" s="81" t="n">
        <v>30319</v>
      </c>
      <c r="D694" t="n">
        <v>472.6</v>
      </c>
    </row>
    <row r="695">
      <c r="A695" s="81" t="n">
        <v>30326</v>
      </c>
      <c r="D695" t="n">
        <v>475.3</v>
      </c>
    </row>
    <row r="696">
      <c r="A696" s="81" t="n">
        <v>30333</v>
      </c>
      <c r="D696" t="n">
        <v>477.2</v>
      </c>
    </row>
    <row r="697">
      <c r="A697" s="81" t="n">
        <v>30340</v>
      </c>
      <c r="D697" t="n">
        <v>478.4</v>
      </c>
    </row>
    <row r="698">
      <c r="A698" s="81" t="n">
        <v>30347</v>
      </c>
      <c r="D698" t="n">
        <v>479.7</v>
      </c>
    </row>
    <row r="699">
      <c r="A699" s="81" t="n">
        <v>30348</v>
      </c>
      <c r="B699" t="n">
        <v>494.2</v>
      </c>
      <c r="C699" t="n">
        <v>2037.6</v>
      </c>
      <c r="E699" t="n">
        <v>1996.8</v>
      </c>
    </row>
    <row r="700">
      <c r="A700" s="81" t="n">
        <v>30354</v>
      </c>
      <c r="D700" t="n">
        <v>482.3</v>
      </c>
    </row>
    <row r="701">
      <c r="A701" s="81" t="n">
        <v>30361</v>
      </c>
      <c r="D701" t="n">
        <v>483.4</v>
      </c>
    </row>
    <row r="702">
      <c r="A702" s="81" t="n">
        <v>30368</v>
      </c>
      <c r="D702" t="n">
        <v>483.9</v>
      </c>
    </row>
    <row r="703">
      <c r="A703" s="81" t="n">
        <v>30375</v>
      </c>
      <c r="D703" t="n">
        <v>487.5</v>
      </c>
    </row>
    <row r="704">
      <c r="A704" s="81" t="n">
        <v>30376</v>
      </c>
      <c r="B704" t="n">
        <v>500.1</v>
      </c>
      <c r="C704" t="n">
        <v>2054.2</v>
      </c>
      <c r="E704" t="n">
        <v>2015.2</v>
      </c>
    </row>
    <row r="705">
      <c r="A705" s="81" t="n">
        <v>30382</v>
      </c>
      <c r="D705" t="n">
        <v>489.6</v>
      </c>
    </row>
    <row r="706">
      <c r="A706" s="81" t="n">
        <v>30389</v>
      </c>
      <c r="D706" t="n">
        <v>489.6</v>
      </c>
    </row>
    <row r="707">
      <c r="A707" s="81" t="n">
        <v>30396</v>
      </c>
      <c r="D707" t="n">
        <v>490.9</v>
      </c>
    </row>
    <row r="708">
      <c r="A708" s="81" t="n">
        <v>30403</v>
      </c>
      <c r="D708" t="n">
        <v>491</v>
      </c>
    </row>
    <row r="709">
      <c r="A709" s="81" t="n">
        <v>30407</v>
      </c>
      <c r="B709" t="n">
        <v>499.2</v>
      </c>
      <c r="C709" t="n">
        <v>2053.2</v>
      </c>
      <c r="E709" t="n">
        <v>2028.6</v>
      </c>
    </row>
    <row r="710">
      <c r="A710" s="81" t="n">
        <v>30410</v>
      </c>
      <c r="D710" t="n">
        <v>493.4</v>
      </c>
    </row>
    <row r="711">
      <c r="A711" s="81" t="n">
        <v>30417</v>
      </c>
      <c r="D711" t="n">
        <v>493.7</v>
      </c>
    </row>
    <row r="712">
      <c r="A712" s="81" t="n">
        <v>30424</v>
      </c>
      <c r="D712" t="n">
        <v>491.2</v>
      </c>
    </row>
    <row r="713">
      <c r="A713" s="81" t="n">
        <v>30431</v>
      </c>
      <c r="D713" t="n">
        <v>492.5</v>
      </c>
    </row>
    <row r="714">
      <c r="A714" s="81" t="n">
        <v>30437</v>
      </c>
      <c r="B714" t="n">
        <v>504</v>
      </c>
      <c r="C714" t="n">
        <v>2059.6</v>
      </c>
      <c r="E714" t="n">
        <v>2043.1</v>
      </c>
    </row>
    <row r="715">
      <c r="A715" s="81" t="n">
        <v>30438</v>
      </c>
      <c r="D715" t="n">
        <v>496</v>
      </c>
    </row>
    <row r="716">
      <c r="A716" s="81" t="n">
        <v>30445</v>
      </c>
      <c r="D716" t="n">
        <v>497.5</v>
      </c>
    </row>
    <row r="717">
      <c r="A717" s="81" t="n">
        <v>30452</v>
      </c>
      <c r="D717" t="n">
        <v>501.3</v>
      </c>
    </row>
    <row r="718">
      <c r="A718" s="81" t="n">
        <v>30459</v>
      </c>
      <c r="D718" t="n">
        <v>500.9</v>
      </c>
    </row>
    <row r="719">
      <c r="A719" s="81" t="n">
        <v>30466</v>
      </c>
      <c r="D719" t="n">
        <v>501</v>
      </c>
    </row>
    <row r="720">
      <c r="A720" s="81" t="n">
        <v>30468</v>
      </c>
      <c r="B720" t="n">
        <v>507</v>
      </c>
      <c r="C720" t="n">
        <v>2065.9</v>
      </c>
      <c r="E720" t="n">
        <v>2053.5</v>
      </c>
    </row>
    <row r="721">
      <c r="A721" s="81" t="n">
        <v>30473</v>
      </c>
      <c r="D721" t="n">
        <v>502.6</v>
      </c>
    </row>
    <row r="722">
      <c r="A722" s="81" t="n">
        <v>30480</v>
      </c>
      <c r="D722" t="n">
        <v>504.2</v>
      </c>
    </row>
    <row r="723">
      <c r="A723" s="81" t="n">
        <v>30487</v>
      </c>
      <c r="D723" t="n">
        <v>504.4</v>
      </c>
    </row>
    <row r="724">
      <c r="A724" s="81" t="n">
        <v>30494</v>
      </c>
      <c r="D724" t="n">
        <v>503.9</v>
      </c>
    </row>
    <row r="725">
      <c r="A725" s="81" t="n">
        <v>30498</v>
      </c>
      <c r="B725" t="n">
        <v>508.8</v>
      </c>
      <c r="C725" t="n">
        <v>2068.9</v>
      </c>
      <c r="E725" t="n">
        <v>2064.8</v>
      </c>
    </row>
    <row r="726">
      <c r="A726" s="81" t="n">
        <v>30501</v>
      </c>
      <c r="D726" t="n">
        <v>505.1</v>
      </c>
    </row>
    <row r="727">
      <c r="A727" s="81" t="n">
        <v>30508</v>
      </c>
      <c r="D727" t="n">
        <v>508.2</v>
      </c>
    </row>
    <row r="728">
      <c r="A728" s="81" t="n">
        <v>30515</v>
      </c>
      <c r="D728" t="n">
        <v>506.8</v>
      </c>
    </row>
    <row r="729">
      <c r="A729" s="81" t="n">
        <v>30522</v>
      </c>
      <c r="D729" t="n">
        <v>508.2</v>
      </c>
    </row>
    <row r="730">
      <c r="A730" s="81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1" t="n">
        <v>30536</v>
      </c>
      <c r="D731" t="n">
        <v>509.1</v>
      </c>
    </row>
    <row r="732">
      <c r="A732" s="81" t="n">
        <v>30543</v>
      </c>
      <c r="D732" t="n">
        <v>510.8</v>
      </c>
    </row>
    <row r="733">
      <c r="A733" s="81" t="n">
        <v>30550</v>
      </c>
      <c r="D733" t="n">
        <v>510.9</v>
      </c>
    </row>
    <row r="734">
      <c r="A734" s="81" t="n">
        <v>30557</v>
      </c>
      <c r="D734" t="n">
        <v>510.6</v>
      </c>
    </row>
    <row r="735">
      <c r="A735" s="81" t="n">
        <v>30560</v>
      </c>
      <c r="B735" t="n">
        <v>510.8</v>
      </c>
      <c r="C735" t="n">
        <v>2074.9</v>
      </c>
      <c r="E735" t="n">
        <v>2083.2</v>
      </c>
    </row>
    <row r="736">
      <c r="A736" s="81" t="n">
        <v>30564</v>
      </c>
      <c r="D736" t="n">
        <v>512.3</v>
      </c>
    </row>
    <row r="737">
      <c r="A737" s="81" t="n">
        <v>30571</v>
      </c>
      <c r="D737" t="n">
        <v>511.8</v>
      </c>
    </row>
    <row r="738">
      <c r="A738" s="81" t="n">
        <v>30578</v>
      </c>
      <c r="D738" t="n">
        <v>512.3</v>
      </c>
    </row>
    <row r="739">
      <c r="A739" s="81" t="n">
        <v>30585</v>
      </c>
      <c r="D739" t="n">
        <v>514</v>
      </c>
    </row>
    <row r="740">
      <c r="A740" s="81" t="n">
        <v>30590</v>
      </c>
      <c r="B740" t="n">
        <v>513.1</v>
      </c>
      <c r="C740" t="n">
        <v>2082.5</v>
      </c>
      <c r="E740" t="n">
        <v>2099.2</v>
      </c>
    </row>
    <row r="741">
      <c r="A741" s="81" t="n">
        <v>30592</v>
      </c>
      <c r="D741" t="n">
        <v>513.8</v>
      </c>
    </row>
    <row r="742">
      <c r="A742" s="81" t="n">
        <v>30599</v>
      </c>
      <c r="D742" t="n">
        <v>517.3</v>
      </c>
    </row>
    <row r="743">
      <c r="A743" s="81" t="n">
        <v>30606</v>
      </c>
      <c r="D743" t="n">
        <v>517.7</v>
      </c>
    </row>
    <row r="744">
      <c r="A744" s="81" t="n">
        <v>30613</v>
      </c>
      <c r="D744" t="n">
        <v>518.5</v>
      </c>
    </row>
    <row r="745">
      <c r="A745" s="81" t="n">
        <v>30620</v>
      </c>
      <c r="D745" t="n">
        <v>518.4</v>
      </c>
    </row>
    <row r="746">
      <c r="A746" s="81" t="n">
        <v>30621</v>
      </c>
      <c r="B746" t="n">
        <v>513.4</v>
      </c>
      <c r="C746" t="n">
        <v>2089.3</v>
      </c>
      <c r="E746" t="n">
        <v>2112.3</v>
      </c>
    </row>
    <row r="747">
      <c r="A747" s="81" t="n">
        <v>30627</v>
      </c>
      <c r="D747" t="n">
        <v>518.9</v>
      </c>
    </row>
    <row r="748">
      <c r="A748" s="81" t="n">
        <v>30634</v>
      </c>
      <c r="D748" t="n">
        <v>519.1</v>
      </c>
    </row>
    <row r="749">
      <c r="A749" s="81" t="n">
        <v>30641</v>
      </c>
      <c r="D749" t="n">
        <v>518.8</v>
      </c>
    </row>
    <row r="750">
      <c r="A750" s="81" t="n">
        <v>30648</v>
      </c>
      <c r="D750" t="n">
        <v>518.6</v>
      </c>
    </row>
    <row r="751">
      <c r="A751" s="81" t="n">
        <v>30651</v>
      </c>
      <c r="B751" t="n">
        <v>514.2</v>
      </c>
      <c r="C751" t="n">
        <v>2094.2</v>
      </c>
      <c r="E751" t="n">
        <v>2123.5</v>
      </c>
    </row>
    <row r="752">
      <c r="A752" s="81" t="n">
        <v>30655</v>
      </c>
      <c r="D752" t="n">
        <v>520.4</v>
      </c>
    </row>
    <row r="753">
      <c r="A753" s="81" t="n">
        <v>30662</v>
      </c>
      <c r="D753" t="n">
        <v>521.6</v>
      </c>
    </row>
    <row r="754">
      <c r="A754" s="81" t="n">
        <v>30669</v>
      </c>
      <c r="D754" t="n">
        <v>522.2</v>
      </c>
    </row>
    <row r="755">
      <c r="A755" s="81" t="n">
        <v>30676</v>
      </c>
      <c r="D755" t="n">
        <v>520.6</v>
      </c>
    </row>
    <row r="756">
      <c r="A756" s="81" t="n">
        <v>30682</v>
      </c>
      <c r="B756" t="n">
        <v>514.3</v>
      </c>
      <c r="C756" t="n">
        <v>2094.2</v>
      </c>
      <c r="E756" t="n">
        <v>2138.2</v>
      </c>
    </row>
    <row r="757">
      <c r="A757" s="81" t="n">
        <v>30683</v>
      </c>
      <c r="D757" t="n">
        <v>522.2</v>
      </c>
    </row>
    <row r="758">
      <c r="A758" s="81" t="n">
        <v>30690</v>
      </c>
      <c r="D758" t="n">
        <v>525.3</v>
      </c>
    </row>
    <row r="759">
      <c r="A759" s="81" t="n">
        <v>30697</v>
      </c>
      <c r="D759" t="n">
        <v>526.3</v>
      </c>
    </row>
    <row r="760">
      <c r="A760" s="81" t="n">
        <v>30704</v>
      </c>
      <c r="D760" t="n">
        <v>525</v>
      </c>
    </row>
    <row r="761">
      <c r="A761" s="81" t="n">
        <v>30711</v>
      </c>
      <c r="D761" t="n">
        <v>524.2</v>
      </c>
    </row>
    <row r="762">
      <c r="A762" s="81" t="n">
        <v>30713</v>
      </c>
      <c r="B762" t="n">
        <v>514.1</v>
      </c>
      <c r="C762" t="n">
        <v>2103.5</v>
      </c>
      <c r="E762" t="n">
        <v>2158.2</v>
      </c>
    </row>
    <row r="763">
      <c r="A763" s="81" t="n">
        <v>30718</v>
      </c>
      <c r="D763" t="n">
        <v>526.6</v>
      </c>
    </row>
    <row r="764">
      <c r="A764" s="81" t="n">
        <v>30725</v>
      </c>
      <c r="D764" t="n">
        <v>527.1</v>
      </c>
    </row>
    <row r="765">
      <c r="A765" s="81" t="n">
        <v>30732</v>
      </c>
      <c r="D765" t="n">
        <v>528.5</v>
      </c>
    </row>
    <row r="766">
      <c r="A766" s="81" t="n">
        <v>30739</v>
      </c>
      <c r="D766" t="n">
        <v>527.4</v>
      </c>
    </row>
    <row r="767">
      <c r="A767" s="81" t="n">
        <v>30742</v>
      </c>
      <c r="B767" t="n">
        <v>516.4</v>
      </c>
      <c r="C767" t="n">
        <v>2113.9</v>
      </c>
      <c r="E767" t="n">
        <v>2175.2</v>
      </c>
    </row>
    <row r="768">
      <c r="A768" s="81" t="n">
        <v>30746</v>
      </c>
      <c r="D768" t="n">
        <v>529.4</v>
      </c>
    </row>
    <row r="769">
      <c r="A769" s="81" t="n">
        <v>30753</v>
      </c>
      <c r="D769" t="n">
        <v>530</v>
      </c>
    </row>
    <row r="770">
      <c r="A770" s="81" t="n">
        <v>30760</v>
      </c>
      <c r="D770" t="n">
        <v>531.4</v>
      </c>
    </row>
    <row r="771">
      <c r="A771" s="81" t="n">
        <v>30767</v>
      </c>
      <c r="D771" t="n">
        <v>533.3</v>
      </c>
    </row>
    <row r="772">
      <c r="A772" s="81" t="n">
        <v>30773</v>
      </c>
      <c r="B772" t="n">
        <v>517.9</v>
      </c>
      <c r="C772" t="n">
        <v>2121.7</v>
      </c>
      <c r="E772" t="n">
        <v>2191.7</v>
      </c>
    </row>
    <row r="773">
      <c r="A773" s="81" t="n">
        <v>30774</v>
      </c>
      <c r="D773" t="n">
        <v>531.8</v>
      </c>
    </row>
    <row r="774">
      <c r="A774" s="81" t="n">
        <v>30781</v>
      </c>
      <c r="D774" t="n">
        <v>533.8</v>
      </c>
    </row>
    <row r="775">
      <c r="A775" s="81" t="n">
        <v>30788</v>
      </c>
      <c r="D775" t="n">
        <v>535.5</v>
      </c>
    </row>
    <row r="776">
      <c r="A776" s="81" t="n">
        <v>30795</v>
      </c>
      <c r="D776" t="n">
        <v>534.7</v>
      </c>
    </row>
    <row r="777">
      <c r="A777" s="81" t="n">
        <v>30802</v>
      </c>
      <c r="D777" t="n">
        <v>534.5</v>
      </c>
    </row>
    <row r="778">
      <c r="A778" s="81" t="n">
        <v>30803</v>
      </c>
      <c r="B778" t="n">
        <v>518.6</v>
      </c>
      <c r="C778" t="n">
        <v>2129.6</v>
      </c>
      <c r="E778" t="n">
        <v>2204.1</v>
      </c>
    </row>
    <row r="779">
      <c r="A779" s="81" t="n">
        <v>30809</v>
      </c>
      <c r="D779" t="n">
        <v>535.4</v>
      </c>
    </row>
    <row r="780">
      <c r="A780" s="81" t="n">
        <v>30816</v>
      </c>
      <c r="D780" t="n">
        <v>537.4</v>
      </c>
    </row>
    <row r="781">
      <c r="A781" s="81" t="n">
        <v>30823</v>
      </c>
      <c r="D781" t="n">
        <v>537.1</v>
      </c>
    </row>
    <row r="782">
      <c r="A782" s="81" t="n">
        <v>30830</v>
      </c>
      <c r="D782" t="n">
        <v>536.2</v>
      </c>
    </row>
    <row r="783">
      <c r="A783" s="81" t="n">
        <v>30834</v>
      </c>
      <c r="B783" t="n">
        <v>520.9</v>
      </c>
      <c r="C783" t="n">
        <v>2136.1</v>
      </c>
      <c r="E783" t="n">
        <v>2215.1</v>
      </c>
    </row>
    <row r="784">
      <c r="A784" s="81" t="n">
        <v>30837</v>
      </c>
      <c r="D784" t="n">
        <v>539.6</v>
      </c>
    </row>
    <row r="785">
      <c r="A785" s="81" t="n">
        <v>30844</v>
      </c>
      <c r="D785" t="n">
        <v>540.2</v>
      </c>
    </row>
    <row r="786">
      <c r="A786" s="81" t="n">
        <v>30851</v>
      </c>
      <c r="D786" t="n">
        <v>539.3</v>
      </c>
    </row>
    <row r="787">
      <c r="A787" s="81" t="n">
        <v>30858</v>
      </c>
      <c r="D787" t="n">
        <v>540.3</v>
      </c>
    </row>
    <row r="788">
      <c r="A788" s="81" t="n">
        <v>30864</v>
      </c>
      <c r="B788" t="n">
        <v>519.6</v>
      </c>
      <c r="C788" t="n">
        <v>2135.9</v>
      </c>
      <c r="E788" t="n">
        <v>2223.5</v>
      </c>
    </row>
    <row r="789">
      <c r="A789" s="81" t="n">
        <v>30865</v>
      </c>
      <c r="D789" t="n">
        <v>541.1</v>
      </c>
    </row>
    <row r="790">
      <c r="A790" s="81" t="n">
        <v>30872</v>
      </c>
      <c r="D790" t="n">
        <v>539.9</v>
      </c>
    </row>
    <row r="791">
      <c r="A791" s="81" t="n">
        <v>30879</v>
      </c>
      <c r="D791" t="n">
        <v>542.2</v>
      </c>
    </row>
    <row r="792">
      <c r="A792" s="81" t="n">
        <v>30886</v>
      </c>
      <c r="D792" t="n">
        <v>541.3</v>
      </c>
    </row>
    <row r="793">
      <c r="A793" s="81" t="n">
        <v>30893</v>
      </c>
      <c r="D793" t="n">
        <v>539.7</v>
      </c>
    </row>
    <row r="794">
      <c r="A794" s="81" t="n">
        <v>30895</v>
      </c>
      <c r="B794" t="n">
        <v>518.2</v>
      </c>
      <c r="C794" t="n">
        <v>2136.4</v>
      </c>
      <c r="E794" t="n">
        <v>2230.4</v>
      </c>
    </row>
    <row r="795">
      <c r="A795" s="81" t="n">
        <v>30900</v>
      </c>
      <c r="D795" t="n">
        <v>540.5</v>
      </c>
    </row>
    <row r="796">
      <c r="A796" s="81" t="n">
        <v>30907</v>
      </c>
      <c r="D796" t="n">
        <v>541.2</v>
      </c>
    </row>
    <row r="797">
      <c r="A797" s="81" t="n">
        <v>30914</v>
      </c>
      <c r="D797" t="n">
        <v>541.3</v>
      </c>
    </row>
    <row r="798">
      <c r="A798" s="81" t="n">
        <v>30921</v>
      </c>
      <c r="D798" t="n">
        <v>540.7</v>
      </c>
    </row>
    <row r="799">
      <c r="A799" s="81" t="n">
        <v>30926</v>
      </c>
      <c r="B799" t="n">
        <v>518.7</v>
      </c>
      <c r="C799" t="n">
        <v>2143.6</v>
      </c>
      <c r="E799" t="n">
        <v>2244.4</v>
      </c>
    </row>
    <row r="800">
      <c r="A800" s="81" t="n">
        <v>30928</v>
      </c>
      <c r="D800" t="n">
        <v>541.7</v>
      </c>
    </row>
    <row r="801">
      <c r="A801" s="81" t="n">
        <v>30935</v>
      </c>
      <c r="D801" t="n">
        <v>543.4</v>
      </c>
    </row>
    <row r="802">
      <c r="A802" s="81" t="n">
        <v>30942</v>
      </c>
      <c r="D802" t="n">
        <v>542.8</v>
      </c>
    </row>
    <row r="803">
      <c r="A803" s="81" t="n">
        <v>30949</v>
      </c>
      <c r="D803" t="n">
        <v>542.8</v>
      </c>
    </row>
    <row r="804">
      <c r="A804" s="81" t="n">
        <v>30956</v>
      </c>
      <c r="B804" t="n">
        <v>517.3</v>
      </c>
      <c r="C804" t="n">
        <v>2149.3</v>
      </c>
      <c r="D804" t="n">
        <v>544.9</v>
      </c>
      <c r="E804" t="n">
        <v>2258.9</v>
      </c>
    </row>
    <row r="805">
      <c r="A805" s="81" t="n">
        <v>30963</v>
      </c>
      <c r="D805" t="n">
        <v>542.2</v>
      </c>
    </row>
    <row r="806">
      <c r="A806" s="81" t="n">
        <v>30970</v>
      </c>
      <c r="D806" t="n">
        <v>545.7</v>
      </c>
    </row>
    <row r="807">
      <c r="A807" s="81" t="n">
        <v>30977</v>
      </c>
      <c r="D807" t="n">
        <v>542.1</v>
      </c>
    </row>
    <row r="808">
      <c r="A808" s="81" t="n">
        <v>30984</v>
      </c>
      <c r="D808" t="n">
        <v>544.4</v>
      </c>
    </row>
    <row r="809">
      <c r="A809" s="81" t="n">
        <v>30987</v>
      </c>
      <c r="B809" t="n">
        <v>519.9</v>
      </c>
      <c r="C809" t="n">
        <v>2166.6</v>
      </c>
      <c r="E809" t="n">
        <v>2281.4</v>
      </c>
    </row>
    <row r="810">
      <c r="A810" s="81" t="n">
        <v>30991</v>
      </c>
      <c r="D810" t="n">
        <v>546.4</v>
      </c>
    </row>
    <row r="811">
      <c r="A811" s="81" t="n">
        <v>30998</v>
      </c>
      <c r="D811" t="n">
        <v>546.7</v>
      </c>
    </row>
    <row r="812">
      <c r="A812" s="81" t="n">
        <v>31005</v>
      </c>
      <c r="D812" t="n">
        <v>549.7</v>
      </c>
    </row>
    <row r="813">
      <c r="A813" s="81" t="n">
        <v>31012</v>
      </c>
      <c r="D813" t="n">
        <v>549.1</v>
      </c>
    </row>
    <row r="814">
      <c r="A814" s="81" t="n">
        <v>31017</v>
      </c>
      <c r="B814" t="n">
        <v>522.8</v>
      </c>
      <c r="C814" t="n">
        <v>2186.2</v>
      </c>
      <c r="E814" t="n">
        <v>2306.4</v>
      </c>
    </row>
    <row r="815">
      <c r="A815" s="81" t="n">
        <v>31019</v>
      </c>
      <c r="D815" t="n">
        <v>545.1</v>
      </c>
    </row>
    <row r="816">
      <c r="A816" s="81" t="n">
        <v>31026</v>
      </c>
      <c r="D816" t="n">
        <v>549.6</v>
      </c>
    </row>
    <row r="817">
      <c r="A817" s="81" t="n">
        <v>31033</v>
      </c>
      <c r="D817" t="n">
        <v>550.6</v>
      </c>
    </row>
    <row r="818">
      <c r="A818" s="81" t="n">
        <v>31040</v>
      </c>
      <c r="D818" t="n">
        <v>554</v>
      </c>
    </row>
    <row r="819">
      <c r="A819" s="81" t="n">
        <v>31047</v>
      </c>
      <c r="D819" t="n">
        <v>555.9</v>
      </c>
    </row>
    <row r="820">
      <c r="A820" s="81" t="n">
        <v>31048</v>
      </c>
      <c r="B820" t="n">
        <v>527</v>
      </c>
      <c r="C820" t="n">
        <v>2206.6</v>
      </c>
      <c r="E820" t="n">
        <v>2332.4</v>
      </c>
    </row>
    <row r="821">
      <c r="A821" s="81" t="n">
        <v>31054</v>
      </c>
      <c r="D821" t="n">
        <v>554</v>
      </c>
    </row>
    <row r="822">
      <c r="A822" s="81" t="n">
        <v>31061</v>
      </c>
      <c r="D822" t="n">
        <v>555.6</v>
      </c>
    </row>
    <row r="823">
      <c r="A823" s="81" t="n">
        <v>31068</v>
      </c>
      <c r="D823" t="n">
        <v>557.5</v>
      </c>
    </row>
    <row r="824">
      <c r="A824" s="81" t="n">
        <v>31075</v>
      </c>
      <c r="D824" t="n">
        <v>558.8</v>
      </c>
    </row>
    <row r="825">
      <c r="A825" s="81" t="n">
        <v>31079</v>
      </c>
      <c r="B825" t="n">
        <v>530.2</v>
      </c>
      <c r="C825" t="n">
        <v>2214.6</v>
      </c>
      <c r="E825" t="n">
        <v>2354.1</v>
      </c>
    </row>
    <row r="826">
      <c r="A826" s="81" t="n">
        <v>31082</v>
      </c>
      <c r="D826" t="n">
        <v>561.4</v>
      </c>
    </row>
    <row r="827">
      <c r="A827" s="81" t="n">
        <v>31089</v>
      </c>
      <c r="D827" t="n">
        <v>562.4</v>
      </c>
    </row>
    <row r="828">
      <c r="A828" s="81" t="n">
        <v>31096</v>
      </c>
      <c r="D828" t="n">
        <v>563.7</v>
      </c>
    </row>
    <row r="829">
      <c r="A829" s="81" t="n">
        <v>31103</v>
      </c>
      <c r="D829" t="n">
        <v>564.9</v>
      </c>
    </row>
    <row r="830">
      <c r="A830" s="81" t="n">
        <v>31107</v>
      </c>
      <c r="B830" t="n">
        <v>530.5</v>
      </c>
      <c r="C830" t="n">
        <v>2215.5</v>
      </c>
      <c r="E830" t="n">
        <v>2366.2</v>
      </c>
    </row>
    <row r="831">
      <c r="A831" s="81" t="n">
        <v>31110</v>
      </c>
      <c r="D831" t="n">
        <v>565.7</v>
      </c>
    </row>
    <row r="832">
      <c r="A832" s="81" t="n">
        <v>31117</v>
      </c>
      <c r="D832" t="n">
        <v>565.6</v>
      </c>
    </row>
    <row r="833">
      <c r="A833" s="81" t="n">
        <v>31124</v>
      </c>
      <c r="D833" t="n">
        <v>565.1</v>
      </c>
    </row>
    <row r="834">
      <c r="A834" s="81" t="n">
        <v>31131</v>
      </c>
      <c r="D834" t="n">
        <v>567.6</v>
      </c>
    </row>
    <row r="835">
      <c r="A835" s="81" t="n">
        <v>31138</v>
      </c>
      <c r="B835" t="n">
        <v>533.1</v>
      </c>
      <c r="C835" t="n">
        <v>2220</v>
      </c>
      <c r="D835" t="n">
        <v>568.9</v>
      </c>
      <c r="E835" t="n">
        <v>2375.4</v>
      </c>
    </row>
    <row r="836">
      <c r="A836" s="81" t="n">
        <v>31145</v>
      </c>
      <c r="D836" t="n">
        <v>567.8</v>
      </c>
    </row>
    <row r="837">
      <c r="A837" s="81" t="n">
        <v>31152</v>
      </c>
      <c r="D837" t="n">
        <v>571.2</v>
      </c>
    </row>
    <row r="838">
      <c r="A838" s="81" t="n">
        <v>31159</v>
      </c>
      <c r="D838" t="n">
        <v>572.1</v>
      </c>
    </row>
    <row r="839">
      <c r="A839" s="81" t="n">
        <v>31166</v>
      </c>
      <c r="D839" t="n">
        <v>570.4</v>
      </c>
    </row>
    <row r="840">
      <c r="A840" s="81" t="n">
        <v>31168</v>
      </c>
      <c r="B840" t="n">
        <v>536.5</v>
      </c>
      <c r="C840" t="n">
        <v>2229</v>
      </c>
      <c r="E840" t="n">
        <v>2389.5</v>
      </c>
    </row>
    <row r="841">
      <c r="A841" s="81" t="n">
        <v>31173</v>
      </c>
      <c r="D841" t="n">
        <v>571.9</v>
      </c>
    </row>
    <row r="842">
      <c r="A842" s="81" t="n">
        <v>31180</v>
      </c>
      <c r="D842" t="n">
        <v>574</v>
      </c>
    </row>
    <row r="843">
      <c r="A843" s="81" t="n">
        <v>31187</v>
      </c>
      <c r="D843" t="n">
        <v>576.4</v>
      </c>
    </row>
    <row r="844">
      <c r="A844" s="81" t="n">
        <v>31194</v>
      </c>
      <c r="D844" t="n">
        <v>577.1</v>
      </c>
    </row>
    <row r="845">
      <c r="A845" s="81" t="n">
        <v>31199</v>
      </c>
      <c r="B845" t="n">
        <v>541.7</v>
      </c>
      <c r="C845" t="n">
        <v>2244.3</v>
      </c>
      <c r="E845" t="n">
        <v>2412.6</v>
      </c>
    </row>
    <row r="846">
      <c r="A846" s="81" t="n">
        <v>31201</v>
      </c>
      <c r="D846" t="n">
        <v>575.9</v>
      </c>
    </row>
    <row r="847">
      <c r="A847" s="81" t="n">
        <v>31208</v>
      </c>
      <c r="D847" t="n">
        <v>580.5</v>
      </c>
    </row>
    <row r="848">
      <c r="A848" s="81" t="n">
        <v>31215</v>
      </c>
      <c r="D848" t="n">
        <v>581.2</v>
      </c>
    </row>
    <row r="849">
      <c r="A849" s="81" t="n">
        <v>31222</v>
      </c>
      <c r="D849" t="n">
        <v>583.6</v>
      </c>
    </row>
    <row r="850">
      <c r="A850" s="81" t="n">
        <v>31229</v>
      </c>
      <c r="B850" t="n">
        <v>547</v>
      </c>
      <c r="C850" t="n">
        <v>2255.8</v>
      </c>
      <c r="D850" t="n">
        <v>587.3</v>
      </c>
      <c r="E850" t="n">
        <v>2429.5</v>
      </c>
    </row>
    <row r="851">
      <c r="A851" s="81" t="n">
        <v>31236</v>
      </c>
      <c r="D851" t="n">
        <v>585.7</v>
      </c>
    </row>
    <row r="852">
      <c r="A852" s="81" t="n">
        <v>31243</v>
      </c>
      <c r="D852" t="n">
        <v>588.6</v>
      </c>
    </row>
    <row r="853">
      <c r="A853" s="81" t="n">
        <v>31250</v>
      </c>
      <c r="D853" t="n">
        <v>590</v>
      </c>
    </row>
    <row r="854">
      <c r="A854" s="81" t="n">
        <v>31257</v>
      </c>
      <c r="D854" t="n">
        <v>591</v>
      </c>
    </row>
    <row r="855">
      <c r="A855" s="81" t="n">
        <v>31260</v>
      </c>
      <c r="B855" t="n">
        <v>552.5</v>
      </c>
      <c r="C855" t="n">
        <v>2265.1</v>
      </c>
      <c r="E855" t="n">
        <v>2444</v>
      </c>
    </row>
    <row r="856">
      <c r="A856" s="81" t="n">
        <v>31264</v>
      </c>
      <c r="D856" t="n">
        <v>593.6</v>
      </c>
    </row>
    <row r="857">
      <c r="A857" s="81" t="n">
        <v>31271</v>
      </c>
      <c r="D857" t="n">
        <v>594.9</v>
      </c>
    </row>
    <row r="858">
      <c r="A858" s="81" t="n">
        <v>31278</v>
      </c>
      <c r="D858" t="n">
        <v>595.7</v>
      </c>
    </row>
    <row r="859">
      <c r="A859" s="81" t="n">
        <v>31285</v>
      </c>
      <c r="D859" t="n">
        <v>598.5</v>
      </c>
    </row>
    <row r="860">
      <c r="A860" s="81" t="n">
        <v>31291</v>
      </c>
      <c r="B860" t="n">
        <v>558.1</v>
      </c>
      <c r="C860" t="n">
        <v>2272.3</v>
      </c>
      <c r="E860" t="n">
        <v>2456.4</v>
      </c>
    </row>
    <row r="861">
      <c r="A861" s="81" t="n">
        <v>31292</v>
      </c>
      <c r="D861" t="n">
        <v>598.2</v>
      </c>
    </row>
    <row r="862">
      <c r="A862" s="81" t="n">
        <v>31299</v>
      </c>
      <c r="D862" t="n">
        <v>601.3</v>
      </c>
    </row>
    <row r="863">
      <c r="A863" s="81" t="n">
        <v>31306</v>
      </c>
      <c r="D863" t="n">
        <v>601.2</v>
      </c>
    </row>
    <row r="864">
      <c r="A864" s="81" t="n">
        <v>31313</v>
      </c>
      <c r="D864" t="n">
        <v>602</v>
      </c>
    </row>
    <row r="865">
      <c r="A865" s="81" t="n">
        <v>31320</v>
      </c>
      <c r="D865" t="n">
        <v>610.3</v>
      </c>
    </row>
    <row r="866">
      <c r="A866" s="81" t="n">
        <v>31321</v>
      </c>
      <c r="B866" t="n">
        <v>560.2</v>
      </c>
      <c r="C866" t="n">
        <v>2274.7</v>
      </c>
      <c r="E866" t="n">
        <v>2468</v>
      </c>
    </row>
    <row r="867">
      <c r="A867" s="81" t="n">
        <v>31327</v>
      </c>
      <c r="D867" t="n">
        <v>606.2</v>
      </c>
    </row>
    <row r="868">
      <c r="A868" s="81" t="n">
        <v>31334</v>
      </c>
      <c r="D868" t="n">
        <v>605.8</v>
      </c>
    </row>
    <row r="869">
      <c r="A869" s="81" t="n">
        <v>31341</v>
      </c>
      <c r="D869" t="n">
        <v>609.5</v>
      </c>
    </row>
    <row r="870">
      <c r="A870" s="81" t="n">
        <v>31348</v>
      </c>
      <c r="D870" t="n">
        <v>608.9</v>
      </c>
    </row>
    <row r="871">
      <c r="A871" s="81" t="n">
        <v>31352</v>
      </c>
      <c r="B871" t="n">
        <v>561.7</v>
      </c>
      <c r="C871" t="n">
        <v>2273.2</v>
      </c>
      <c r="E871" t="n">
        <v>2477.8</v>
      </c>
    </row>
    <row r="872">
      <c r="A872" s="81" t="n">
        <v>31355</v>
      </c>
      <c r="D872" t="n">
        <v>609.9</v>
      </c>
    </row>
    <row r="873">
      <c r="A873" s="81" t="n">
        <v>31362</v>
      </c>
      <c r="D873" t="n">
        <v>609.3</v>
      </c>
    </row>
    <row r="874">
      <c r="A874" s="81" t="n">
        <v>31369</v>
      </c>
      <c r="D874" t="n">
        <v>611</v>
      </c>
    </row>
    <row r="875">
      <c r="A875" s="81" t="n">
        <v>31376</v>
      </c>
      <c r="D875" t="n">
        <v>614.8</v>
      </c>
    </row>
    <row r="876">
      <c r="A876" s="81" t="n">
        <v>31382</v>
      </c>
      <c r="B876" t="n">
        <v>566</v>
      </c>
      <c r="C876" t="n">
        <v>2275.9</v>
      </c>
      <c r="E876" t="n">
        <v>2492.1</v>
      </c>
    </row>
    <row r="877">
      <c r="A877" s="81" t="n">
        <v>31383</v>
      </c>
      <c r="D877" t="n">
        <v>616.2</v>
      </c>
    </row>
    <row r="878">
      <c r="A878" s="81" t="n">
        <v>31390</v>
      </c>
      <c r="D878" t="n">
        <v>618.2</v>
      </c>
    </row>
    <row r="879">
      <c r="A879" s="81" t="n">
        <v>31397</v>
      </c>
      <c r="D879" t="n">
        <v>619.5</v>
      </c>
    </row>
    <row r="880">
      <c r="A880" s="81" t="n">
        <v>31404</v>
      </c>
      <c r="D880" t="n">
        <v>622.4</v>
      </c>
    </row>
    <row r="881">
      <c r="A881" s="81" t="n">
        <v>31411</v>
      </c>
      <c r="D881" t="n">
        <v>619.9</v>
      </c>
    </row>
    <row r="882">
      <c r="A882" s="81" t="n">
        <v>31413</v>
      </c>
      <c r="B882" t="n">
        <v>565.4</v>
      </c>
      <c r="C882" t="n">
        <v>2276.7</v>
      </c>
      <c r="E882" t="n">
        <v>2502.1</v>
      </c>
    </row>
    <row r="883">
      <c r="A883" s="81" t="n">
        <v>31418</v>
      </c>
      <c r="D883" t="n">
        <v>622</v>
      </c>
    </row>
    <row r="884">
      <c r="A884" s="81" t="n">
        <v>31425</v>
      </c>
      <c r="D884" t="n">
        <v>620.1</v>
      </c>
    </row>
    <row r="885">
      <c r="A885" s="81" t="n">
        <v>31432</v>
      </c>
      <c r="D885" t="n">
        <v>620.9</v>
      </c>
    </row>
    <row r="886">
      <c r="A886" s="81" t="n">
        <v>31439</v>
      </c>
      <c r="D886" t="n">
        <v>623.4</v>
      </c>
    </row>
    <row r="887">
      <c r="A887" s="81" t="n">
        <v>31444</v>
      </c>
      <c r="B887" t="n">
        <v>569.9</v>
      </c>
      <c r="C887" t="n">
        <v>2290.7</v>
      </c>
      <c r="E887" t="n">
        <v>2512.9</v>
      </c>
    </row>
    <row r="888">
      <c r="A888" s="81" t="n">
        <v>31446</v>
      </c>
      <c r="D888" t="n">
        <v>620.3</v>
      </c>
    </row>
    <row r="889">
      <c r="A889" s="81" t="n">
        <v>31453</v>
      </c>
      <c r="D889" t="n">
        <v>624.1</v>
      </c>
    </row>
    <row r="890">
      <c r="A890" s="81" t="n">
        <v>31460</v>
      </c>
      <c r="D890" t="n">
        <v>624.4</v>
      </c>
    </row>
    <row r="891">
      <c r="A891" s="81" t="n">
        <v>31467</v>
      </c>
      <c r="D891" t="n">
        <v>627.7</v>
      </c>
    </row>
    <row r="892">
      <c r="A892" s="81" t="n">
        <v>31472</v>
      </c>
      <c r="B892" t="n">
        <v>580.7</v>
      </c>
      <c r="C892" t="n">
        <v>2321.8</v>
      </c>
      <c r="E892" t="n">
        <v>2533.1</v>
      </c>
    </row>
    <row r="893">
      <c r="A893" s="81" t="n">
        <v>31474</v>
      </c>
      <c r="D893" t="n">
        <v>627.5</v>
      </c>
    </row>
    <row r="894">
      <c r="A894" s="81" t="n">
        <v>31481</v>
      </c>
      <c r="D894" t="n">
        <v>631.7</v>
      </c>
    </row>
    <row r="895">
      <c r="A895" s="81" t="n">
        <v>31488</v>
      </c>
      <c r="D895" t="n">
        <v>633.5</v>
      </c>
    </row>
    <row r="896">
      <c r="A896" s="81" t="n">
        <v>31495</v>
      </c>
      <c r="D896" t="n">
        <v>635.2</v>
      </c>
    </row>
    <row r="897">
      <c r="A897" s="81" t="n">
        <v>31502</v>
      </c>
      <c r="D897" t="n">
        <v>636.1</v>
      </c>
    </row>
    <row r="898">
      <c r="A898" s="81" t="n">
        <v>31503</v>
      </c>
      <c r="B898" t="n">
        <v>589.7</v>
      </c>
      <c r="C898" t="n">
        <v>2353.1</v>
      </c>
      <c r="E898" t="n">
        <v>2557.8</v>
      </c>
    </row>
    <row r="899">
      <c r="A899" s="81" t="n">
        <v>31509</v>
      </c>
      <c r="D899" t="n">
        <v>639.7</v>
      </c>
    </row>
    <row r="900">
      <c r="A900" s="81" t="n">
        <v>31516</v>
      </c>
      <c r="D900" t="n">
        <v>638.1</v>
      </c>
    </row>
    <row r="901">
      <c r="A901" s="81" t="n">
        <v>31523</v>
      </c>
      <c r="D901" t="n">
        <v>640.6</v>
      </c>
    </row>
    <row r="902">
      <c r="A902" s="81" t="n">
        <v>31530</v>
      </c>
      <c r="D902" t="n">
        <v>643.3</v>
      </c>
    </row>
    <row r="903">
      <c r="A903" s="81" t="n">
        <v>31533</v>
      </c>
      <c r="B903" t="n">
        <v>598.2</v>
      </c>
      <c r="C903" t="n">
        <v>2371.4</v>
      </c>
      <c r="E903" t="n">
        <v>2584.8</v>
      </c>
    </row>
    <row r="904">
      <c r="A904" s="81" t="n">
        <v>31537</v>
      </c>
      <c r="D904" t="n">
        <v>648.2</v>
      </c>
    </row>
    <row r="905">
      <c r="A905" s="81" t="n">
        <v>31544</v>
      </c>
      <c r="D905" t="n">
        <v>650.3</v>
      </c>
    </row>
    <row r="906">
      <c r="A906" s="81" t="n">
        <v>31551</v>
      </c>
      <c r="D906" t="n">
        <v>652.2</v>
      </c>
    </row>
    <row r="907">
      <c r="A907" s="81" t="n">
        <v>31558</v>
      </c>
      <c r="D907" t="n">
        <v>654.2</v>
      </c>
    </row>
    <row r="908">
      <c r="A908" s="81" t="n">
        <v>31564</v>
      </c>
      <c r="B908" t="n">
        <v>603.8</v>
      </c>
      <c r="C908" t="n">
        <v>2381.2</v>
      </c>
      <c r="E908" t="n">
        <v>2605</v>
      </c>
    </row>
    <row r="909">
      <c r="A909" s="81" t="n">
        <v>31565</v>
      </c>
      <c r="D909" t="n">
        <v>654.9</v>
      </c>
    </row>
    <row r="910">
      <c r="A910" s="81" t="n">
        <v>31572</v>
      </c>
      <c r="D910" t="n">
        <v>658.1</v>
      </c>
    </row>
    <row r="911">
      <c r="A911" s="81" t="n">
        <v>31579</v>
      </c>
      <c r="D911" t="n">
        <v>661</v>
      </c>
    </row>
    <row r="912">
      <c r="A912" s="81" t="n">
        <v>31586</v>
      </c>
      <c r="D912" t="n">
        <v>660.8</v>
      </c>
    </row>
    <row r="913">
      <c r="A913" s="81" t="n">
        <v>31593</v>
      </c>
      <c r="D913" t="n">
        <v>664.2</v>
      </c>
    </row>
    <row r="914">
      <c r="A914" s="81" t="n">
        <v>31594</v>
      </c>
      <c r="B914" t="n">
        <v>612.1</v>
      </c>
      <c r="C914" t="n">
        <v>2398.7</v>
      </c>
      <c r="E914" t="n">
        <v>2626.6</v>
      </c>
    </row>
    <row r="915">
      <c r="A915" s="81" t="n">
        <v>31600</v>
      </c>
      <c r="D915" t="n">
        <v>665.7</v>
      </c>
    </row>
    <row r="916">
      <c r="A916" s="81" t="n">
        <v>31607</v>
      </c>
      <c r="D916" t="n">
        <v>670</v>
      </c>
    </row>
    <row r="917">
      <c r="A917" s="81" t="n">
        <v>31614</v>
      </c>
      <c r="D917" t="n">
        <v>671.5</v>
      </c>
    </row>
    <row r="918">
      <c r="A918" s="81" t="n">
        <v>31621</v>
      </c>
      <c r="D918" t="n">
        <v>672.4</v>
      </c>
    </row>
    <row r="919">
      <c r="A919" s="81" t="n">
        <v>31625</v>
      </c>
      <c r="B919" t="n">
        <v>619.3</v>
      </c>
      <c r="C919" t="n">
        <v>2414.7</v>
      </c>
      <c r="E919" t="n">
        <v>2646.5</v>
      </c>
    </row>
    <row r="920">
      <c r="A920" s="81" t="n">
        <v>31628</v>
      </c>
      <c r="D920" t="n">
        <v>674.1</v>
      </c>
    </row>
    <row r="921">
      <c r="A921" s="81" t="n">
        <v>31635</v>
      </c>
      <c r="D921" t="n">
        <v>676</v>
      </c>
    </row>
    <row r="922">
      <c r="A922" s="81" t="n">
        <v>31642</v>
      </c>
      <c r="D922" t="n">
        <v>677.5</v>
      </c>
    </row>
    <row r="923">
      <c r="A923" s="81" t="n">
        <v>31649</v>
      </c>
      <c r="D923" t="n">
        <v>679.5</v>
      </c>
    </row>
    <row r="924">
      <c r="A924" s="81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1" t="n">
        <v>31663</v>
      </c>
      <c r="D925" t="n">
        <v>685.4</v>
      </c>
    </row>
    <row r="926">
      <c r="A926" s="81" t="n">
        <v>31670</v>
      </c>
      <c r="D926" t="n">
        <v>685.1</v>
      </c>
    </row>
    <row r="927">
      <c r="A927" s="81" t="n">
        <v>31677</v>
      </c>
      <c r="D927" t="n">
        <v>688.3</v>
      </c>
    </row>
    <row r="928">
      <c r="A928" s="81" t="n">
        <v>31684</v>
      </c>
      <c r="D928" t="n">
        <v>690.6</v>
      </c>
    </row>
    <row r="929">
      <c r="A929" s="81" t="n">
        <v>31686</v>
      </c>
      <c r="B929" t="n">
        <v>630.6</v>
      </c>
      <c r="C929" t="n">
        <v>2438.7</v>
      </c>
      <c r="E929" t="n">
        <v>2687.4</v>
      </c>
    </row>
    <row r="930">
      <c r="A930" s="81" t="n">
        <v>31691</v>
      </c>
      <c r="D930" t="n">
        <v>691.2</v>
      </c>
    </row>
    <row r="931">
      <c r="A931" s="81" t="n">
        <v>31698</v>
      </c>
      <c r="D931" t="n">
        <v>691.2</v>
      </c>
    </row>
    <row r="932">
      <c r="A932" s="81" t="n">
        <v>31705</v>
      </c>
      <c r="D932" t="n">
        <v>695.9</v>
      </c>
    </row>
    <row r="933">
      <c r="A933" s="81" t="n">
        <v>31712</v>
      </c>
      <c r="D933" t="n">
        <v>698.4</v>
      </c>
    </row>
    <row r="934">
      <c r="A934" s="81" t="n">
        <v>31717</v>
      </c>
      <c r="B934" t="n">
        <v>638.9</v>
      </c>
      <c r="C934" t="n">
        <v>2446.8</v>
      </c>
      <c r="E934" t="n">
        <v>2701.3</v>
      </c>
    </row>
    <row r="935">
      <c r="A935" s="81" t="n">
        <v>31719</v>
      </c>
      <c r="D935" t="n">
        <v>698.9</v>
      </c>
    </row>
    <row r="936">
      <c r="A936" s="81" t="n">
        <v>31726</v>
      </c>
      <c r="D936" t="n">
        <v>702.8</v>
      </c>
    </row>
    <row r="937">
      <c r="A937" s="81" t="n">
        <v>31733</v>
      </c>
      <c r="D937" t="n">
        <v>704.3</v>
      </c>
    </row>
    <row r="938">
      <c r="A938" s="81" t="n">
        <v>31740</v>
      </c>
      <c r="D938" t="n">
        <v>704.3</v>
      </c>
    </row>
    <row r="939">
      <c r="A939" s="81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1" t="n">
        <v>31754</v>
      </c>
      <c r="D940" t="n">
        <v>714.6</v>
      </c>
    </row>
    <row r="941">
      <c r="A941" s="81" t="n">
        <v>31761</v>
      </c>
      <c r="D941" t="n">
        <v>718.6</v>
      </c>
    </row>
    <row r="942">
      <c r="A942" s="81" t="n">
        <v>31768</v>
      </c>
      <c r="D942" t="n">
        <v>726.6</v>
      </c>
    </row>
    <row r="943">
      <c r="A943" s="81" t="n">
        <v>31775</v>
      </c>
      <c r="D943" t="n">
        <v>735.2</v>
      </c>
    </row>
    <row r="944">
      <c r="A944" s="81" t="n">
        <v>31778</v>
      </c>
      <c r="B944" t="n">
        <v>655.5</v>
      </c>
      <c r="C944" t="n">
        <v>2463.1</v>
      </c>
      <c r="E944" t="n">
        <v>2743.9</v>
      </c>
    </row>
    <row r="945">
      <c r="A945" s="81" t="n">
        <v>31782</v>
      </c>
      <c r="D945" t="n">
        <v>742.1</v>
      </c>
    </row>
    <row r="946">
      <c r="A946" s="81" t="n">
        <v>31789</v>
      </c>
      <c r="D946" t="n">
        <v>727.9</v>
      </c>
    </row>
    <row r="947">
      <c r="A947" s="81" t="n">
        <v>31796</v>
      </c>
      <c r="D947" t="n">
        <v>725.3</v>
      </c>
    </row>
    <row r="948">
      <c r="A948" s="81" t="n">
        <v>31803</v>
      </c>
      <c r="D948" t="n">
        <v>728.5</v>
      </c>
    </row>
    <row r="949">
      <c r="A949" s="81" t="n">
        <v>31809</v>
      </c>
      <c r="B949" t="n">
        <v>653.6</v>
      </c>
      <c r="C949" t="n">
        <v>2457.5</v>
      </c>
      <c r="E949" t="n">
        <v>2747.5</v>
      </c>
    </row>
    <row r="950">
      <c r="A950" s="81" t="n">
        <v>31810</v>
      </c>
      <c r="D950" t="n">
        <v>729.9</v>
      </c>
    </row>
    <row r="951">
      <c r="A951" s="81" t="n">
        <v>31817</v>
      </c>
      <c r="D951" t="n">
        <v>730.1</v>
      </c>
    </row>
    <row r="952">
      <c r="A952" s="81" t="n">
        <v>31824</v>
      </c>
      <c r="D952" t="n">
        <v>730</v>
      </c>
    </row>
    <row r="953">
      <c r="A953" s="81" t="n">
        <v>31831</v>
      </c>
      <c r="D953" t="n">
        <v>731.7</v>
      </c>
    </row>
    <row r="954">
      <c r="A954" s="81" t="n">
        <v>31837</v>
      </c>
      <c r="B954" t="n">
        <v>654</v>
      </c>
      <c r="C954" t="n">
        <v>2454.3</v>
      </c>
      <c r="E954" t="n">
        <v>2753.7</v>
      </c>
    </row>
    <row r="955">
      <c r="A955" s="81" t="n">
        <v>31838</v>
      </c>
      <c r="D955" t="n">
        <v>731.4</v>
      </c>
    </row>
    <row r="956">
      <c r="A956" s="81" t="n">
        <v>31845</v>
      </c>
      <c r="D956" t="n">
        <v>732.2</v>
      </c>
    </row>
    <row r="957">
      <c r="A957" s="81" t="n">
        <v>31852</v>
      </c>
      <c r="D957" t="n">
        <v>733.9</v>
      </c>
    </row>
    <row r="958">
      <c r="A958" s="81" t="n">
        <v>31859</v>
      </c>
      <c r="D958" t="n">
        <v>733.8</v>
      </c>
    </row>
    <row r="959">
      <c r="A959" s="81" t="n">
        <v>31866</v>
      </c>
      <c r="D959" t="n">
        <v>735.4</v>
      </c>
    </row>
    <row r="960">
      <c r="A960" s="81" t="n">
        <v>31868</v>
      </c>
      <c r="B960" t="n">
        <v>660.1</v>
      </c>
      <c r="C960" t="n">
        <v>2455.8</v>
      </c>
      <c r="E960" t="n">
        <v>2767.7</v>
      </c>
    </row>
    <row r="961">
      <c r="A961" s="81" t="n">
        <v>31873</v>
      </c>
      <c r="D961" t="n">
        <v>737.2</v>
      </c>
    </row>
    <row r="962">
      <c r="A962" s="81" t="n">
        <v>31880</v>
      </c>
      <c r="D962" t="n">
        <v>737.8</v>
      </c>
    </row>
    <row r="963">
      <c r="A963" s="81" t="n">
        <v>31887</v>
      </c>
      <c r="D963" t="n">
        <v>749.4</v>
      </c>
    </row>
    <row r="964">
      <c r="A964" s="81" t="n">
        <v>31894</v>
      </c>
      <c r="D964" t="n">
        <v>749.9</v>
      </c>
    </row>
    <row r="965">
      <c r="A965" s="81" t="n">
        <v>31898</v>
      </c>
      <c r="B965" t="n">
        <v>660</v>
      </c>
      <c r="C965" t="n">
        <v>2453.9</v>
      </c>
      <c r="E965" t="n">
        <v>2772.9</v>
      </c>
    </row>
    <row r="966">
      <c r="A966" s="81" t="n">
        <v>31901</v>
      </c>
      <c r="D966" t="n">
        <v>745.1</v>
      </c>
    </row>
    <row r="967">
      <c r="A967" s="81" t="n">
        <v>31908</v>
      </c>
      <c r="D967" t="n">
        <v>743.3</v>
      </c>
    </row>
    <row r="968">
      <c r="A968" s="81" t="n">
        <v>31915</v>
      </c>
      <c r="D968" t="n">
        <v>744.6</v>
      </c>
    </row>
    <row r="969">
      <c r="A969" s="81" t="n">
        <v>31922</v>
      </c>
      <c r="D969" t="n">
        <v>748.2</v>
      </c>
    </row>
    <row r="970">
      <c r="A970" s="81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1" t="n">
        <v>31936</v>
      </c>
      <c r="D971" t="n">
        <v>742</v>
      </c>
    </row>
    <row r="972">
      <c r="A972" s="81" t="n">
        <v>31943</v>
      </c>
      <c r="D972" t="n">
        <v>743.4</v>
      </c>
    </row>
    <row r="973">
      <c r="A973" s="81" t="n">
        <v>31950</v>
      </c>
      <c r="D973" t="n">
        <v>744</v>
      </c>
    </row>
    <row r="974">
      <c r="A974" s="81" t="n">
        <v>31957</v>
      </c>
      <c r="D974" t="n">
        <v>742.3</v>
      </c>
    </row>
    <row r="975">
      <c r="A975" s="81" t="n">
        <v>31959</v>
      </c>
      <c r="B975" t="n">
        <v>652.9</v>
      </c>
      <c r="C975" t="n">
        <v>2442</v>
      </c>
      <c r="E975" t="n">
        <v>2779</v>
      </c>
    </row>
    <row r="976">
      <c r="A976" s="81" t="n">
        <v>31964</v>
      </c>
      <c r="D976" t="n">
        <v>745.4</v>
      </c>
    </row>
    <row r="977">
      <c r="A977" s="81" t="n">
        <v>31971</v>
      </c>
      <c r="D977" t="n">
        <v>740.6</v>
      </c>
    </row>
    <row r="978">
      <c r="A978" s="81" t="n">
        <v>31978</v>
      </c>
      <c r="D978" t="n">
        <v>742.9</v>
      </c>
    </row>
    <row r="979">
      <c r="A979" s="81" t="n">
        <v>31985</v>
      </c>
      <c r="D979" t="n">
        <v>744.5</v>
      </c>
    </row>
    <row r="980">
      <c r="A980" s="81" t="n">
        <v>31990</v>
      </c>
      <c r="B980" t="n">
        <v>651.7</v>
      </c>
      <c r="C980" t="n">
        <v>2439.4</v>
      </c>
      <c r="E980" t="n">
        <v>2788.2</v>
      </c>
    </row>
    <row r="981">
      <c r="A981" s="81" t="n">
        <v>31992</v>
      </c>
      <c r="D981" t="n">
        <v>741.4</v>
      </c>
    </row>
    <row r="982">
      <c r="A982" s="81" t="n">
        <v>31999</v>
      </c>
      <c r="D982" t="n">
        <v>743.9</v>
      </c>
    </row>
    <row r="983">
      <c r="A983" s="81" t="n">
        <v>32006</v>
      </c>
      <c r="D983" t="n">
        <v>744.8</v>
      </c>
    </row>
    <row r="984">
      <c r="A984" s="81" t="n">
        <v>32013</v>
      </c>
      <c r="D984" t="n">
        <v>746.3</v>
      </c>
    </row>
    <row r="985">
      <c r="A985" s="81" t="n">
        <v>32020</v>
      </c>
      <c r="D985" t="n">
        <v>746.2</v>
      </c>
    </row>
    <row r="986">
      <c r="A986" s="81" t="n">
        <v>32021</v>
      </c>
      <c r="B986" t="n">
        <v>651.8</v>
      </c>
      <c r="C986" t="n">
        <v>2440.7</v>
      </c>
      <c r="E986" t="n">
        <v>2799.5</v>
      </c>
    </row>
    <row r="987">
      <c r="A987" s="81" t="n">
        <v>32027</v>
      </c>
      <c r="D987" t="n">
        <v>743.5</v>
      </c>
    </row>
    <row r="988">
      <c r="A988" s="81" t="n">
        <v>32034</v>
      </c>
      <c r="D988" t="n">
        <v>746.5</v>
      </c>
    </row>
    <row r="989">
      <c r="A989" s="81" t="n">
        <v>32041</v>
      </c>
      <c r="D989" t="n">
        <v>748.8</v>
      </c>
    </row>
    <row r="990">
      <c r="A990" s="81" t="n">
        <v>32048</v>
      </c>
      <c r="D990" t="n">
        <v>749.8</v>
      </c>
    </row>
    <row r="991">
      <c r="A991" s="81" t="n">
        <v>32051</v>
      </c>
      <c r="B991" t="n">
        <v>657.6</v>
      </c>
      <c r="C991" t="n">
        <v>2447.7</v>
      </c>
      <c r="E991" t="n">
        <v>2814.8</v>
      </c>
    </row>
    <row r="992">
      <c r="A992" s="81" t="n">
        <v>32055</v>
      </c>
      <c r="D992" t="n">
        <v>753.7</v>
      </c>
    </row>
    <row r="993">
      <c r="A993" s="81" t="n">
        <v>32062</v>
      </c>
      <c r="D993" t="n">
        <v>748.9</v>
      </c>
    </row>
    <row r="994">
      <c r="A994" s="81" t="n">
        <v>32069</v>
      </c>
      <c r="D994" t="n">
        <v>755</v>
      </c>
    </row>
    <row r="995">
      <c r="A995" s="81" t="n">
        <v>32076</v>
      </c>
      <c r="D995" t="n">
        <v>765.2</v>
      </c>
    </row>
    <row r="996">
      <c r="A996" s="81" t="n">
        <v>32082</v>
      </c>
      <c r="B996" t="n">
        <v>652.7</v>
      </c>
      <c r="C996" t="n">
        <v>2442.7</v>
      </c>
      <c r="E996" t="n">
        <v>2818.9</v>
      </c>
    </row>
    <row r="997">
      <c r="A997" s="81" t="n">
        <v>32083</v>
      </c>
      <c r="D997" t="n">
        <v>758.5</v>
      </c>
    </row>
    <row r="998">
      <c r="A998" s="81" t="n">
        <v>32090</v>
      </c>
      <c r="D998" t="n">
        <v>755.4</v>
      </c>
    </row>
    <row r="999">
      <c r="A999" s="81" t="n">
        <v>32097</v>
      </c>
      <c r="D999" t="n">
        <v>752.9</v>
      </c>
    </row>
    <row r="1000">
      <c r="A1000" s="81" t="n">
        <v>32104</v>
      </c>
      <c r="D1000" t="n">
        <v>752</v>
      </c>
    </row>
    <row r="1001">
      <c r="A1001" s="81" t="n">
        <v>32111</v>
      </c>
      <c r="D1001" t="n">
        <v>751</v>
      </c>
    </row>
    <row r="1002">
      <c r="A1002" s="81" t="n">
        <v>32112</v>
      </c>
      <c r="B1002" t="n">
        <v>649</v>
      </c>
      <c r="C1002" t="n">
        <v>2445</v>
      </c>
      <c r="E1002" t="n">
        <v>2826.4</v>
      </c>
    </row>
    <row r="1003">
      <c r="A1003" s="81" t="n">
        <v>32118</v>
      </c>
      <c r="D1003" t="n">
        <v>750.5</v>
      </c>
    </row>
    <row r="1004">
      <c r="A1004" s="81" t="n">
        <v>32125</v>
      </c>
      <c r="D1004" t="n">
        <v>749.8</v>
      </c>
    </row>
    <row r="1005">
      <c r="A1005" s="81" t="n">
        <v>32132</v>
      </c>
      <c r="D1005" t="n">
        <v>749.6</v>
      </c>
    </row>
    <row r="1006">
      <c r="A1006" s="81" t="n">
        <v>32139</v>
      </c>
      <c r="D1006" t="n">
        <v>750.6</v>
      </c>
    </row>
    <row r="1007">
      <c r="A1007" s="81" t="n">
        <v>32143</v>
      </c>
      <c r="B1007" t="n">
        <v>651.9</v>
      </c>
      <c r="C1007" t="n">
        <v>2454.7</v>
      </c>
      <c r="E1007" t="n">
        <v>2847.4</v>
      </c>
    </row>
    <row r="1008">
      <c r="A1008" s="81" t="n">
        <v>32146</v>
      </c>
      <c r="D1008" t="n">
        <v>751.1</v>
      </c>
    </row>
    <row r="1009">
      <c r="A1009" s="81" t="n">
        <v>32153</v>
      </c>
      <c r="D1009" t="n">
        <v>753.2</v>
      </c>
    </row>
    <row r="1010">
      <c r="A1010" s="81" t="n">
        <v>32160</v>
      </c>
      <c r="D1010" t="n">
        <v>755.8</v>
      </c>
    </row>
    <row r="1011">
      <c r="A1011" s="81" t="n">
        <v>32167</v>
      </c>
      <c r="D1011" t="n">
        <v>759</v>
      </c>
    </row>
    <row r="1012">
      <c r="A1012" s="81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1" t="n">
        <v>32181</v>
      </c>
      <c r="D1013" t="n">
        <v>756.6</v>
      </c>
    </row>
    <row r="1014">
      <c r="A1014" s="81" t="n">
        <v>32188</v>
      </c>
      <c r="D1014" t="n">
        <v>757.4</v>
      </c>
    </row>
    <row r="1015">
      <c r="A1015" s="81" t="n">
        <v>32195</v>
      </c>
      <c r="D1015" t="n">
        <v>759.8</v>
      </c>
    </row>
    <row r="1016">
      <c r="A1016" s="81" t="n">
        <v>32202</v>
      </c>
      <c r="D1016" t="n">
        <v>756.7</v>
      </c>
    </row>
    <row r="1017">
      <c r="A1017" s="81" t="n">
        <v>32203</v>
      </c>
      <c r="B1017" t="n">
        <v>653.9</v>
      </c>
      <c r="C1017" t="n">
        <v>2481.3</v>
      </c>
      <c r="E1017" t="n">
        <v>2890.7</v>
      </c>
    </row>
    <row r="1018">
      <c r="A1018" s="81" t="n">
        <v>32209</v>
      </c>
      <c r="D1018" t="n">
        <v>758.1</v>
      </c>
    </row>
    <row r="1019">
      <c r="A1019" s="81" t="n">
        <v>32216</v>
      </c>
      <c r="D1019" t="n">
        <v>760.6</v>
      </c>
    </row>
    <row r="1020">
      <c r="A1020" s="81" t="n">
        <v>32223</v>
      </c>
      <c r="D1020" t="n">
        <v>763.1</v>
      </c>
    </row>
    <row r="1021">
      <c r="A1021" s="81" t="n">
        <v>32230</v>
      </c>
      <c r="D1021" t="n">
        <v>763.7</v>
      </c>
    </row>
    <row r="1022">
      <c r="A1022" s="81" t="n">
        <v>32234</v>
      </c>
      <c r="B1022" t="n">
        <v>655.4</v>
      </c>
      <c r="C1022" t="n">
        <v>2483.5</v>
      </c>
      <c r="E1022" t="n">
        <v>2910.7</v>
      </c>
    </row>
    <row r="1023">
      <c r="A1023" s="81" t="n">
        <v>32237</v>
      </c>
      <c r="D1023" t="n">
        <v>765.5</v>
      </c>
    </row>
    <row r="1024">
      <c r="A1024" s="81" t="n">
        <v>32244</v>
      </c>
      <c r="D1024" t="n">
        <v>765.8</v>
      </c>
    </row>
    <row r="1025">
      <c r="A1025" s="81" t="n">
        <v>32251</v>
      </c>
      <c r="D1025" t="n">
        <v>766.8</v>
      </c>
    </row>
    <row r="1026">
      <c r="A1026" s="81" t="n">
        <v>32258</v>
      </c>
      <c r="D1026" t="n">
        <v>772.2</v>
      </c>
    </row>
    <row r="1027">
      <c r="A1027" s="81" t="n">
        <v>32264</v>
      </c>
      <c r="B1027" t="n">
        <v>656.8</v>
      </c>
      <c r="C1027" t="n">
        <v>2490.2</v>
      </c>
      <c r="E1027" t="n">
        <v>2926</v>
      </c>
    </row>
    <row r="1028">
      <c r="A1028" s="81" t="n">
        <v>32265</v>
      </c>
      <c r="D1028" t="n">
        <v>769.6</v>
      </c>
    </row>
    <row r="1029">
      <c r="A1029" s="81" t="n">
        <v>32272</v>
      </c>
      <c r="D1029" t="n">
        <v>769.9</v>
      </c>
    </row>
    <row r="1030">
      <c r="A1030" s="81" t="n">
        <v>32279</v>
      </c>
      <c r="D1030" t="n">
        <v>771.9</v>
      </c>
    </row>
    <row r="1031">
      <c r="A1031" s="81" t="n">
        <v>32286</v>
      </c>
      <c r="D1031" t="n">
        <v>772.5</v>
      </c>
    </row>
    <row r="1032">
      <c r="A1032" s="81" t="n">
        <v>32293</v>
      </c>
      <c r="D1032" t="n">
        <v>772.7</v>
      </c>
    </row>
    <row r="1033">
      <c r="A1033" s="81" t="n">
        <v>32295</v>
      </c>
      <c r="B1033" t="n">
        <v>659.6</v>
      </c>
      <c r="C1033" t="n">
        <v>2490.2</v>
      </c>
      <c r="E1033" t="n">
        <v>2938.4</v>
      </c>
    </row>
    <row r="1034">
      <c r="A1034" s="81" t="n">
        <v>32300</v>
      </c>
      <c r="D1034" t="n">
        <v>776.4</v>
      </c>
    </row>
    <row r="1035">
      <c r="A1035" s="81" t="n">
        <v>32307</v>
      </c>
      <c r="D1035" t="n">
        <v>776.5</v>
      </c>
    </row>
    <row r="1036">
      <c r="A1036" s="81" t="n">
        <v>32314</v>
      </c>
      <c r="D1036" t="n">
        <v>780.6</v>
      </c>
    </row>
    <row r="1037">
      <c r="A1037" s="81" t="n">
        <v>32321</v>
      </c>
      <c r="D1037" t="n">
        <v>779.8</v>
      </c>
    </row>
    <row r="1038">
      <c r="A1038" s="81" t="n">
        <v>32325</v>
      </c>
      <c r="B1038" t="n">
        <v>659.4</v>
      </c>
      <c r="C1038" t="n">
        <v>2487.1</v>
      </c>
      <c r="E1038" t="n">
        <v>2947.2</v>
      </c>
    </row>
    <row r="1039">
      <c r="A1039" s="81" t="n">
        <v>32328</v>
      </c>
      <c r="D1039" t="n">
        <v>777.7</v>
      </c>
    </row>
    <row r="1040">
      <c r="A1040" s="81" t="n">
        <v>32335</v>
      </c>
      <c r="D1040" t="n">
        <v>781.3</v>
      </c>
    </row>
    <row r="1041">
      <c r="A1041" s="81" t="n">
        <v>32342</v>
      </c>
      <c r="D1041" t="n">
        <v>780.3</v>
      </c>
    </row>
    <row r="1042">
      <c r="A1042" s="81" t="n">
        <v>32349</v>
      </c>
      <c r="D1042" t="n">
        <v>782.2</v>
      </c>
    </row>
    <row r="1043">
      <c r="A1043" s="81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1" t="n">
        <v>32363</v>
      </c>
      <c r="D1044" t="n">
        <v>782.2</v>
      </c>
    </row>
    <row r="1045">
      <c r="A1045" s="81" t="n">
        <v>32370</v>
      </c>
      <c r="D1045" t="n">
        <v>783.4</v>
      </c>
    </row>
    <row r="1046">
      <c r="A1046" s="81" t="n">
        <v>32377</v>
      </c>
      <c r="D1046" t="n">
        <v>783.4</v>
      </c>
    </row>
    <row r="1047">
      <c r="A1047" s="81" t="n">
        <v>32384</v>
      </c>
      <c r="D1047" t="n">
        <v>784</v>
      </c>
    </row>
    <row r="1048">
      <c r="A1048" s="81" t="n">
        <v>32387</v>
      </c>
      <c r="B1048" t="n">
        <v>655.8</v>
      </c>
      <c r="C1048" t="n">
        <v>2474.4</v>
      </c>
      <c r="E1048" t="n">
        <v>2956.9</v>
      </c>
    </row>
    <row r="1049">
      <c r="A1049" s="81" t="n">
        <v>32391</v>
      </c>
      <c r="D1049" t="n">
        <v>783.8</v>
      </c>
    </row>
    <row r="1050">
      <c r="A1050" s="81" t="n">
        <v>32398</v>
      </c>
      <c r="D1050" t="n">
        <v>782.8</v>
      </c>
    </row>
    <row r="1051">
      <c r="A1051" s="81" t="n">
        <v>32405</v>
      </c>
      <c r="D1051" t="n">
        <v>784.6</v>
      </c>
    </row>
    <row r="1052">
      <c r="A1052" s="81" t="n">
        <v>32412</v>
      </c>
      <c r="D1052" t="n">
        <v>785.1</v>
      </c>
    </row>
    <row r="1053">
      <c r="A1053" s="81" t="n">
        <v>32417</v>
      </c>
      <c r="B1053" t="n">
        <v>653.3</v>
      </c>
      <c r="C1053" t="n">
        <v>2473.1</v>
      </c>
      <c r="E1053" t="n">
        <v>2965.3</v>
      </c>
    </row>
    <row r="1054">
      <c r="A1054" s="81" t="n">
        <v>32419</v>
      </c>
      <c r="D1054" t="n">
        <v>781.1</v>
      </c>
    </row>
    <row r="1055">
      <c r="A1055" s="81" t="n">
        <v>32426</v>
      </c>
      <c r="D1055" t="n">
        <v>782.3</v>
      </c>
    </row>
    <row r="1056">
      <c r="A1056" s="81" t="n">
        <v>32433</v>
      </c>
      <c r="D1056" t="n">
        <v>784</v>
      </c>
    </row>
    <row r="1057">
      <c r="A1057" s="81" t="n">
        <v>32440</v>
      </c>
      <c r="D1057" t="n">
        <v>783.1</v>
      </c>
    </row>
    <row r="1058">
      <c r="A1058" s="81" t="n">
        <v>32447</v>
      </c>
      <c r="D1058" t="n">
        <v>784.1</v>
      </c>
    </row>
    <row r="1059">
      <c r="A1059" s="81" t="n">
        <v>32448</v>
      </c>
      <c r="B1059" t="n">
        <v>652.5</v>
      </c>
      <c r="C1059" t="n">
        <v>2477.3</v>
      </c>
      <c r="E1059" t="n">
        <v>2980.2</v>
      </c>
    </row>
    <row r="1060">
      <c r="A1060" s="81" t="n">
        <v>32454</v>
      </c>
      <c r="D1060" t="n">
        <v>783.2</v>
      </c>
    </row>
    <row r="1061">
      <c r="A1061" s="81" t="n">
        <v>32461</v>
      </c>
      <c r="D1061" t="n">
        <v>784.2</v>
      </c>
    </row>
    <row r="1062">
      <c r="A1062" s="81" t="n">
        <v>32468</v>
      </c>
      <c r="D1062" t="n">
        <v>784.5</v>
      </c>
    </row>
    <row r="1063">
      <c r="A1063" s="81" t="n">
        <v>32475</v>
      </c>
      <c r="D1063" t="n">
        <v>786.9</v>
      </c>
    </row>
    <row r="1064">
      <c r="A1064" s="81" t="n">
        <v>32478</v>
      </c>
      <c r="B1064" t="n">
        <v>651.8</v>
      </c>
      <c r="C1064" t="n">
        <v>2475.7</v>
      </c>
      <c r="E1064" t="n">
        <v>2988.2</v>
      </c>
    </row>
    <row r="1065">
      <c r="A1065" s="81" t="n">
        <v>32482</v>
      </c>
      <c r="D1065" t="n">
        <v>787.5</v>
      </c>
    </row>
    <row r="1066">
      <c r="A1066" s="81" t="n">
        <v>32489</v>
      </c>
      <c r="D1066" t="n">
        <v>788.2</v>
      </c>
    </row>
    <row r="1067">
      <c r="A1067" s="81" t="n">
        <v>32496</v>
      </c>
      <c r="D1067" t="n">
        <v>786.5</v>
      </c>
    </row>
    <row r="1068">
      <c r="A1068" s="81" t="n">
        <v>32503</v>
      </c>
      <c r="D1068" t="n">
        <v>784.6</v>
      </c>
    </row>
    <row r="1069">
      <c r="A1069" s="81" t="n">
        <v>32509</v>
      </c>
      <c r="B1069" t="n">
        <v>648.3</v>
      </c>
      <c r="C1069" t="n">
        <v>2468.4</v>
      </c>
      <c r="E1069" t="n">
        <v>2991.7</v>
      </c>
    </row>
    <row r="1070">
      <c r="A1070" s="81" t="n">
        <v>32510</v>
      </c>
      <c r="D1070" t="n">
        <v>787.4</v>
      </c>
    </row>
    <row r="1071">
      <c r="A1071" s="81" t="n">
        <v>32517</v>
      </c>
      <c r="D1071" t="n">
        <v>786.7</v>
      </c>
    </row>
    <row r="1072">
      <c r="A1072" s="81" t="n">
        <v>32524</v>
      </c>
      <c r="D1072" t="n">
        <v>786.2</v>
      </c>
    </row>
    <row r="1073">
      <c r="A1073" s="81" t="n">
        <v>32531</v>
      </c>
      <c r="D1073" t="n">
        <v>786.5</v>
      </c>
    </row>
    <row r="1074">
      <c r="A1074" s="81" t="n">
        <v>32538</v>
      </c>
      <c r="D1074" t="n">
        <v>783.2</v>
      </c>
    </row>
    <row r="1075">
      <c r="A1075" s="81" t="n">
        <v>32540</v>
      </c>
      <c r="B1075" t="n">
        <v>644.6</v>
      </c>
      <c r="C1075" t="n">
        <v>2460.7</v>
      </c>
      <c r="E1075" t="n">
        <v>2992.2</v>
      </c>
    </row>
    <row r="1076">
      <c r="A1076" s="81" t="n">
        <v>32545</v>
      </c>
      <c r="D1076" t="n">
        <v>784.4</v>
      </c>
    </row>
    <row r="1077">
      <c r="A1077" s="81" t="n">
        <v>32552</v>
      </c>
      <c r="D1077" t="n">
        <v>783.5</v>
      </c>
    </row>
    <row r="1078">
      <c r="A1078" s="81" t="n">
        <v>32559</v>
      </c>
      <c r="D1078" t="n">
        <v>783.5</v>
      </c>
    </row>
    <row r="1079">
      <c r="A1079" s="81" t="n">
        <v>32566</v>
      </c>
      <c r="D1079" t="n">
        <v>783.4</v>
      </c>
    </row>
    <row r="1080">
      <c r="A1080" s="81" t="n">
        <v>32568</v>
      </c>
      <c r="B1080" t="n">
        <v>640.8</v>
      </c>
      <c r="C1080" t="n">
        <v>2454.7</v>
      </c>
      <c r="E1080" t="n">
        <v>2999.7</v>
      </c>
    </row>
    <row r="1081">
      <c r="A1081" s="81" t="n">
        <v>32573</v>
      </c>
      <c r="D1081" t="n">
        <v>787.1</v>
      </c>
    </row>
    <row r="1082">
      <c r="A1082" s="81" t="n">
        <v>32580</v>
      </c>
      <c r="D1082" t="n">
        <v>782.6</v>
      </c>
    </row>
    <row r="1083">
      <c r="A1083" s="81" t="n">
        <v>32587</v>
      </c>
      <c r="D1083" t="n">
        <v>783.2</v>
      </c>
    </row>
    <row r="1084">
      <c r="A1084" s="81" t="n">
        <v>32594</v>
      </c>
      <c r="D1084" t="n">
        <v>783</v>
      </c>
    </row>
    <row r="1085">
      <c r="A1085" s="81" t="n">
        <v>32599</v>
      </c>
      <c r="B1085" t="n">
        <v>633</v>
      </c>
      <c r="C1085" t="n">
        <v>2441.9</v>
      </c>
      <c r="E1085" t="n">
        <v>3006</v>
      </c>
    </row>
    <row r="1086">
      <c r="A1086" s="81" t="n">
        <v>32601</v>
      </c>
      <c r="D1086" t="n">
        <v>777.4</v>
      </c>
    </row>
    <row r="1087">
      <c r="A1087" s="81" t="n">
        <v>32608</v>
      </c>
      <c r="D1087" t="n">
        <v>776.5</v>
      </c>
    </row>
    <row r="1088">
      <c r="A1088" s="81" t="n">
        <v>32615</v>
      </c>
      <c r="D1088" t="n">
        <v>776.9</v>
      </c>
    </row>
    <row r="1089">
      <c r="A1089" s="81" t="n">
        <v>32622</v>
      </c>
      <c r="D1089" t="n">
        <v>782.3</v>
      </c>
    </row>
    <row r="1090">
      <c r="A1090" s="81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1" t="n">
        <v>32636</v>
      </c>
      <c r="D1091" t="n">
        <v>775.1</v>
      </c>
    </row>
    <row r="1092">
      <c r="A1092" s="81" t="n">
        <v>32643</v>
      </c>
      <c r="D1092" t="n">
        <v>775.7</v>
      </c>
    </row>
    <row r="1093">
      <c r="A1093" s="81" t="n">
        <v>32650</v>
      </c>
      <c r="D1093" t="n">
        <v>773.4</v>
      </c>
    </row>
    <row r="1094">
      <c r="A1094" s="81" t="n">
        <v>32657</v>
      </c>
      <c r="D1094" t="n">
        <v>774.6</v>
      </c>
    </row>
    <row r="1095">
      <c r="A1095" s="81" t="n">
        <v>32660</v>
      </c>
      <c r="B1095" t="n">
        <v>623.3</v>
      </c>
      <c r="C1095" t="n">
        <v>2439.9</v>
      </c>
      <c r="E1095" t="n">
        <v>3027.9</v>
      </c>
    </row>
    <row r="1096">
      <c r="A1096" s="81" t="n">
        <v>32664</v>
      </c>
      <c r="D1096" t="n">
        <v>775.3</v>
      </c>
    </row>
    <row r="1097">
      <c r="A1097" s="81" t="n">
        <v>32671</v>
      </c>
      <c r="D1097" t="n">
        <v>772.5</v>
      </c>
    </row>
    <row r="1098">
      <c r="A1098" s="81" t="n">
        <v>32678</v>
      </c>
      <c r="D1098" t="n">
        <v>772.7</v>
      </c>
    </row>
    <row r="1099">
      <c r="A1099" s="81" t="n">
        <v>32685</v>
      </c>
      <c r="D1099" t="n">
        <v>773.6</v>
      </c>
    </row>
    <row r="1100">
      <c r="A1100" s="81" t="n">
        <v>32690</v>
      </c>
      <c r="B1100" t="n">
        <v>624.7</v>
      </c>
      <c r="C1100" t="n">
        <v>2451.7</v>
      </c>
      <c r="E1100" t="n">
        <v>3052.4</v>
      </c>
    </row>
    <row r="1101">
      <c r="A1101" s="81" t="n">
        <v>32692</v>
      </c>
      <c r="D1101" t="n">
        <v>774.3</v>
      </c>
    </row>
    <row r="1102">
      <c r="A1102" s="81" t="n">
        <v>32699</v>
      </c>
      <c r="D1102" t="n">
        <v>779.1</v>
      </c>
    </row>
    <row r="1103">
      <c r="A1103" s="81" t="n">
        <v>32706</v>
      </c>
      <c r="D1103" t="n">
        <v>777.9</v>
      </c>
    </row>
    <row r="1104">
      <c r="A1104" s="81" t="n">
        <v>32713</v>
      </c>
      <c r="D1104" t="n">
        <v>778.1</v>
      </c>
    </row>
    <row r="1105">
      <c r="A1105" s="81" t="n">
        <v>32720</v>
      </c>
      <c r="D1105" t="n">
        <v>777.3</v>
      </c>
    </row>
    <row r="1106">
      <c r="A1106" s="81" t="n">
        <v>32721</v>
      </c>
      <c r="B1106" t="n">
        <v>626</v>
      </c>
      <c r="C1106" t="n">
        <v>2469.4</v>
      </c>
      <c r="E1106" t="n">
        <v>3074.4</v>
      </c>
    </row>
    <row r="1107">
      <c r="A1107" s="81" t="n">
        <v>32727</v>
      </c>
      <c r="D1107" t="n">
        <v>778.4</v>
      </c>
    </row>
    <row r="1108">
      <c r="A1108" s="81" t="n">
        <v>32734</v>
      </c>
      <c r="D1108" t="n">
        <v>779</v>
      </c>
    </row>
    <row r="1109">
      <c r="A1109" s="81" t="n">
        <v>32741</v>
      </c>
      <c r="D1109" t="n">
        <v>780.9</v>
      </c>
    </row>
    <row r="1110">
      <c r="A1110" s="81" t="n">
        <v>32748</v>
      </c>
      <c r="D1110" t="n">
        <v>779.9</v>
      </c>
    </row>
    <row r="1111">
      <c r="A1111" s="81" t="n">
        <v>32752</v>
      </c>
      <c r="B1111" t="n">
        <v>625.8</v>
      </c>
      <c r="C1111" t="n">
        <v>2478</v>
      </c>
      <c r="E1111" t="n">
        <v>3092.5</v>
      </c>
    </row>
    <row r="1112">
      <c r="A1112" s="81" t="n">
        <v>32755</v>
      </c>
      <c r="D1112" t="n">
        <v>777.8</v>
      </c>
    </row>
    <row r="1113">
      <c r="A1113" s="81" t="n">
        <v>32762</v>
      </c>
      <c r="D1113" t="n">
        <v>781.9</v>
      </c>
    </row>
    <row r="1114">
      <c r="A1114" s="81" t="n">
        <v>32769</v>
      </c>
      <c r="D1114" t="n">
        <v>780.2</v>
      </c>
    </row>
    <row r="1115">
      <c r="A1115" s="81" t="n">
        <v>32776</v>
      </c>
      <c r="D1115" t="n">
        <v>781.2</v>
      </c>
    </row>
    <row r="1116">
      <c r="A1116" s="81" t="n">
        <v>32782</v>
      </c>
      <c r="B1116" t="n">
        <v>627.3</v>
      </c>
      <c r="C1116" t="n">
        <v>2483.3</v>
      </c>
      <c r="E1116" t="n">
        <v>3114.1</v>
      </c>
    </row>
    <row r="1117">
      <c r="A1117" s="81" t="n">
        <v>32783</v>
      </c>
      <c r="D1117" t="n">
        <v>783.5</v>
      </c>
    </row>
    <row r="1118">
      <c r="A1118" s="81" t="n">
        <v>32790</v>
      </c>
      <c r="D1118" t="n">
        <v>785.2</v>
      </c>
    </row>
    <row r="1119">
      <c r="A1119" s="81" t="n">
        <v>32797</v>
      </c>
      <c r="D1119" t="n">
        <v>788.7</v>
      </c>
    </row>
    <row r="1120">
      <c r="A1120" s="81" t="n">
        <v>32804</v>
      </c>
      <c r="D1120" t="n">
        <v>787.4</v>
      </c>
    </row>
    <row r="1121">
      <c r="A1121" s="81" t="n">
        <v>32811</v>
      </c>
      <c r="D1121" t="n">
        <v>785.8</v>
      </c>
    </row>
    <row r="1122">
      <c r="A1122" s="81" t="n">
        <v>32813</v>
      </c>
      <c r="B1122" t="n">
        <v>625.8</v>
      </c>
      <c r="C1122" t="n">
        <v>2488.7</v>
      </c>
      <c r="E1122" t="n">
        <v>3133.3</v>
      </c>
    </row>
    <row r="1123">
      <c r="A1123" s="81" t="n">
        <v>32818</v>
      </c>
      <c r="D1123" t="n">
        <v>787</v>
      </c>
    </row>
    <row r="1124">
      <c r="A1124" s="81" t="n">
        <v>32825</v>
      </c>
      <c r="D1124" t="n">
        <v>785.9</v>
      </c>
    </row>
    <row r="1125">
      <c r="A1125" s="81" t="n">
        <v>32832</v>
      </c>
      <c r="D1125" t="n">
        <v>787.6</v>
      </c>
    </row>
    <row r="1126">
      <c r="A1126" s="81" t="n">
        <v>32839</v>
      </c>
      <c r="D1126" t="n">
        <v>790.7</v>
      </c>
    </row>
    <row r="1127">
      <c r="A1127" s="81" t="n">
        <v>32843</v>
      </c>
      <c r="B1127" t="n">
        <v>627.8</v>
      </c>
      <c r="C1127" t="n">
        <v>2496</v>
      </c>
      <c r="E1127" t="n">
        <v>3152.5</v>
      </c>
    </row>
    <row r="1128">
      <c r="A1128" s="81" t="n">
        <v>32846</v>
      </c>
      <c r="D1128" t="n">
        <v>789</v>
      </c>
    </row>
    <row r="1129">
      <c r="A1129" s="81" t="n">
        <v>32853</v>
      </c>
      <c r="D1129" t="n">
        <v>789.8</v>
      </c>
    </row>
    <row r="1130">
      <c r="A1130" s="81" t="n">
        <v>32860</v>
      </c>
      <c r="D1130" t="n">
        <v>790.7</v>
      </c>
    </row>
    <row r="1131">
      <c r="A1131" s="81" t="n">
        <v>32867</v>
      </c>
      <c r="D1131" t="n">
        <v>794.9</v>
      </c>
    </row>
    <row r="1132">
      <c r="A1132" s="81" t="n">
        <v>32874</v>
      </c>
      <c r="B1132" t="n">
        <v>623.8</v>
      </c>
      <c r="C1132" t="n">
        <v>2483.8</v>
      </c>
      <c r="D1132" t="n">
        <v>798.3</v>
      </c>
      <c r="E1132" t="n">
        <v>3166.8</v>
      </c>
    </row>
    <row r="1133">
      <c r="A1133" s="81" t="n">
        <v>32881</v>
      </c>
      <c r="D1133" t="n">
        <v>793.6</v>
      </c>
    </row>
    <row r="1134">
      <c r="A1134" s="81" t="n">
        <v>32888</v>
      </c>
      <c r="D1134" t="n">
        <v>796.5</v>
      </c>
    </row>
    <row r="1135">
      <c r="A1135" s="81" t="n">
        <v>32895</v>
      </c>
      <c r="D1135" t="n">
        <v>795.1</v>
      </c>
    </row>
    <row r="1136">
      <c r="A1136" s="81" t="n">
        <v>32902</v>
      </c>
      <c r="D1136" t="n">
        <v>793.8</v>
      </c>
    </row>
    <row r="1137">
      <c r="A1137" s="81" t="n">
        <v>32905</v>
      </c>
      <c r="B1137" t="n">
        <v>623.5</v>
      </c>
      <c r="C1137" t="n">
        <v>2483.8</v>
      </c>
      <c r="E1137" t="n">
        <v>3179.2</v>
      </c>
    </row>
    <row r="1138">
      <c r="A1138" s="81" t="n">
        <v>32909</v>
      </c>
      <c r="D1138" t="n">
        <v>797.1</v>
      </c>
    </row>
    <row r="1139">
      <c r="A1139" s="81" t="n">
        <v>32916</v>
      </c>
      <c r="D1139" t="n">
        <v>796.3</v>
      </c>
    </row>
    <row r="1140">
      <c r="A1140" s="81" t="n">
        <v>32923</v>
      </c>
      <c r="D1140" t="n">
        <v>796.3</v>
      </c>
    </row>
    <row r="1141">
      <c r="A1141" s="81" t="n">
        <v>32930</v>
      </c>
      <c r="D1141" t="n">
        <v>799.8</v>
      </c>
    </row>
    <row r="1142">
      <c r="A1142" s="81" t="n">
        <v>32933</v>
      </c>
      <c r="B1142" t="n">
        <v>623.3</v>
      </c>
      <c r="C1142" t="n">
        <v>2480.6</v>
      </c>
      <c r="E1142" t="n">
        <v>3190.1</v>
      </c>
    </row>
    <row r="1143">
      <c r="A1143" s="81" t="n">
        <v>32937</v>
      </c>
      <c r="D1143" t="n">
        <v>801.6</v>
      </c>
    </row>
    <row r="1144">
      <c r="A1144" s="81" t="n">
        <v>32944</v>
      </c>
      <c r="D1144" t="n">
        <v>799.7</v>
      </c>
    </row>
    <row r="1145">
      <c r="A1145" s="81" t="n">
        <v>32951</v>
      </c>
      <c r="D1145" t="n">
        <v>799.6</v>
      </c>
    </row>
    <row r="1146">
      <c r="A1146" s="81" t="n">
        <v>32958</v>
      </c>
      <c r="D1146" t="n">
        <v>802.5</v>
      </c>
    </row>
    <row r="1147">
      <c r="A1147" s="81" t="n">
        <v>32964</v>
      </c>
      <c r="B1147" t="n">
        <v>625.4</v>
      </c>
      <c r="C1147" t="n">
        <v>2483.8</v>
      </c>
      <c r="E1147" t="n">
        <v>3201.6</v>
      </c>
    </row>
    <row r="1148">
      <c r="A1148" s="81" t="n">
        <v>32965</v>
      </c>
      <c r="D1148" t="n">
        <v>802.4</v>
      </c>
    </row>
    <row r="1149">
      <c r="A1149" s="81" t="n">
        <v>32972</v>
      </c>
      <c r="D1149" t="n">
        <v>804.3</v>
      </c>
    </row>
    <row r="1150">
      <c r="A1150" s="81" t="n">
        <v>32979</v>
      </c>
      <c r="D1150" t="n">
        <v>807</v>
      </c>
    </row>
    <row r="1151">
      <c r="A1151" s="81" t="n">
        <v>32986</v>
      </c>
      <c r="D1151" t="n">
        <v>807.2</v>
      </c>
    </row>
    <row r="1152">
      <c r="A1152" s="81" t="n">
        <v>32993</v>
      </c>
      <c r="D1152" t="n">
        <v>806.5</v>
      </c>
    </row>
    <row r="1153">
      <c r="A1153" s="81" t="n">
        <v>32994</v>
      </c>
      <c r="B1153" t="n">
        <v>622.9</v>
      </c>
      <c r="C1153" t="n">
        <v>2479.2</v>
      </c>
      <c r="E1153" t="n">
        <v>3200.6</v>
      </c>
    </row>
    <row r="1154">
      <c r="A1154" s="81" t="n">
        <v>33000</v>
      </c>
      <c r="D1154" t="n">
        <v>803</v>
      </c>
    </row>
    <row r="1155">
      <c r="A1155" s="81" t="n">
        <v>33007</v>
      </c>
      <c r="D1155" t="n">
        <v>802.9</v>
      </c>
    </row>
    <row r="1156">
      <c r="A1156" s="81" t="n">
        <v>33014</v>
      </c>
      <c r="D1156" t="n">
        <v>806.2</v>
      </c>
    </row>
    <row r="1157">
      <c r="A1157" s="81" t="n">
        <v>33021</v>
      </c>
      <c r="D1157" t="n">
        <v>804.9</v>
      </c>
    </row>
    <row r="1158">
      <c r="A1158" s="81" t="n">
        <v>33025</v>
      </c>
      <c r="B1158" t="n">
        <v>622.6</v>
      </c>
      <c r="C1158" t="n">
        <v>2474</v>
      </c>
      <c r="E1158" t="n">
        <v>3213.7</v>
      </c>
    </row>
    <row r="1159">
      <c r="A1159" s="81" t="n">
        <v>33028</v>
      </c>
      <c r="D1159" t="n">
        <v>807.1</v>
      </c>
    </row>
    <row r="1160">
      <c r="A1160" s="81" t="n">
        <v>33035</v>
      </c>
      <c r="D1160" t="n">
        <v>807.7</v>
      </c>
    </row>
    <row r="1161">
      <c r="A1161" s="81" t="n">
        <v>33042</v>
      </c>
      <c r="D1161" t="n">
        <v>807.3</v>
      </c>
    </row>
    <row r="1162">
      <c r="A1162" s="81" t="n">
        <v>33049</v>
      </c>
      <c r="D1162" t="n">
        <v>810.3</v>
      </c>
    </row>
    <row r="1163">
      <c r="A1163" s="81" t="n">
        <v>33055</v>
      </c>
      <c r="B1163" t="n">
        <v>620.8</v>
      </c>
      <c r="C1163" t="n">
        <v>2470.9</v>
      </c>
      <c r="E1163" t="n">
        <v>3224.5</v>
      </c>
    </row>
    <row r="1164">
      <c r="A1164" s="81" t="n">
        <v>33056</v>
      </c>
      <c r="D1164" t="n">
        <v>813.2</v>
      </c>
    </row>
    <row r="1165">
      <c r="A1165" s="81" t="n">
        <v>33063</v>
      </c>
      <c r="D1165" t="n">
        <v>808.1</v>
      </c>
    </row>
    <row r="1166">
      <c r="A1166" s="81" t="n">
        <v>33070</v>
      </c>
      <c r="D1166" t="n">
        <v>811.3</v>
      </c>
    </row>
    <row r="1167">
      <c r="A1167" s="81" t="n">
        <v>33077</v>
      </c>
      <c r="D1167" t="n">
        <v>809.3</v>
      </c>
    </row>
    <row r="1168">
      <c r="A1168" s="81" t="n">
        <v>33084</v>
      </c>
      <c r="D1168" t="n">
        <v>810.8</v>
      </c>
    </row>
    <row r="1169">
      <c r="A1169" s="81" t="n">
        <v>33086</v>
      </c>
      <c r="B1169" t="n">
        <v>619.8</v>
      </c>
      <c r="C1169" t="n">
        <v>2463.5</v>
      </c>
      <c r="E1169" t="n">
        <v>3242</v>
      </c>
    </row>
    <row r="1170">
      <c r="A1170" s="81" t="n">
        <v>33091</v>
      </c>
      <c r="D1170" t="n">
        <v>811.9</v>
      </c>
    </row>
    <row r="1171">
      <c r="A1171" s="81" t="n">
        <v>33098</v>
      </c>
      <c r="D1171" t="n">
        <v>816.1</v>
      </c>
    </row>
    <row r="1172">
      <c r="A1172" s="81" t="n">
        <v>33105</v>
      </c>
      <c r="D1172" t="n">
        <v>817.2</v>
      </c>
    </row>
    <row r="1173">
      <c r="A1173" s="81" t="n">
        <v>33112</v>
      </c>
      <c r="D1173" t="n">
        <v>816.2</v>
      </c>
    </row>
    <row r="1174">
      <c r="A1174" s="81" t="n">
        <v>33117</v>
      </c>
      <c r="B1174" t="n">
        <v>619</v>
      </c>
      <c r="C1174" t="n">
        <v>2456.3</v>
      </c>
      <c r="E1174" t="n">
        <v>3254.6</v>
      </c>
    </row>
    <row r="1175">
      <c r="A1175" s="81" t="n">
        <v>33119</v>
      </c>
      <c r="D1175" t="n">
        <v>819</v>
      </c>
    </row>
    <row r="1176">
      <c r="A1176" s="81" t="n">
        <v>33126</v>
      </c>
      <c r="D1176" t="n">
        <v>819.8</v>
      </c>
    </row>
    <row r="1177">
      <c r="A1177" s="81" t="n">
        <v>33133</v>
      </c>
      <c r="D1177" t="n">
        <v>819.2</v>
      </c>
    </row>
    <row r="1178">
      <c r="A1178" s="81" t="n">
        <v>33140</v>
      </c>
      <c r="D1178" t="n">
        <v>820.5</v>
      </c>
    </row>
    <row r="1179">
      <c r="A1179" s="81" t="n">
        <v>33147</v>
      </c>
      <c r="B1179" t="n">
        <v>614.6</v>
      </c>
      <c r="C1179" t="n">
        <v>2443.3</v>
      </c>
      <c r="D1179" t="n">
        <v>823.3</v>
      </c>
      <c r="E1179" t="n">
        <v>3259.3</v>
      </c>
    </row>
    <row r="1180">
      <c r="A1180" s="81" t="n">
        <v>33154</v>
      </c>
      <c r="D1180" t="n">
        <v>820.5</v>
      </c>
    </row>
    <row r="1181">
      <c r="A1181" s="81" t="n">
        <v>33161</v>
      </c>
      <c r="D1181" t="n">
        <v>820.7</v>
      </c>
    </row>
    <row r="1182">
      <c r="A1182" s="81" t="n">
        <v>33168</v>
      </c>
      <c r="D1182" t="n">
        <v>817.2</v>
      </c>
    </row>
    <row r="1183">
      <c r="A1183" s="81" t="n">
        <v>33175</v>
      </c>
      <c r="D1183" t="n">
        <v>820</v>
      </c>
    </row>
    <row r="1184">
      <c r="A1184" s="81" t="n">
        <v>33178</v>
      </c>
      <c r="B1184" t="n">
        <v>614.9</v>
      </c>
      <c r="C1184" t="n">
        <v>2440.2</v>
      </c>
      <c r="E1184" t="n">
        <v>3262.6</v>
      </c>
    </row>
    <row r="1185">
      <c r="A1185" s="81" t="n">
        <v>33182</v>
      </c>
      <c r="D1185" t="n">
        <v>822</v>
      </c>
    </row>
    <row r="1186">
      <c r="A1186" s="81" t="n">
        <v>33189</v>
      </c>
      <c r="D1186" t="n">
        <v>822</v>
      </c>
    </row>
    <row r="1187">
      <c r="A1187" s="81" t="n">
        <v>33196</v>
      </c>
      <c r="D1187" t="n">
        <v>823.4</v>
      </c>
    </row>
    <row r="1188">
      <c r="A1188" s="81" t="n">
        <v>33203</v>
      </c>
      <c r="D1188" t="n">
        <v>824.5</v>
      </c>
    </row>
    <row r="1189">
      <c r="A1189" s="81" t="n">
        <v>33208</v>
      </c>
      <c r="B1189" t="n">
        <v>614.5</v>
      </c>
      <c r="C1189" t="n">
        <v>2438</v>
      </c>
      <c r="E1189" t="n">
        <v>3271.8</v>
      </c>
    </row>
    <row r="1190">
      <c r="A1190" s="81" t="n">
        <v>33210</v>
      </c>
      <c r="D1190" t="n">
        <v>815.3</v>
      </c>
    </row>
    <row r="1191">
      <c r="A1191" s="81" t="n">
        <v>33217</v>
      </c>
      <c r="D1191" t="n">
        <v>821.8</v>
      </c>
    </row>
    <row r="1192">
      <c r="A1192" s="81" t="n">
        <v>33224</v>
      </c>
      <c r="D1192" t="n">
        <v>824.2</v>
      </c>
    </row>
    <row r="1193">
      <c r="A1193" s="81" t="n">
        <v>33231</v>
      </c>
      <c r="D1193" t="n">
        <v>828.1</v>
      </c>
    </row>
    <row r="1194">
      <c r="A1194" s="81" t="n">
        <v>33238</v>
      </c>
      <c r="D1194" t="n">
        <v>828.9</v>
      </c>
    </row>
    <row r="1195">
      <c r="A1195" s="81" t="n">
        <v>33239</v>
      </c>
      <c r="B1195" t="n">
        <v>614.1</v>
      </c>
      <c r="C1195" t="n">
        <v>2440.8</v>
      </c>
      <c r="E1195" t="n">
        <v>3287.7</v>
      </c>
    </row>
    <row r="1196">
      <c r="A1196" s="81" t="n">
        <v>33245</v>
      </c>
      <c r="D1196" t="n">
        <v>826.6</v>
      </c>
    </row>
    <row r="1197">
      <c r="A1197" s="81" t="n">
        <v>33252</v>
      </c>
      <c r="D1197" t="n">
        <v>825.7</v>
      </c>
    </row>
    <row r="1198">
      <c r="A1198" s="81" t="n">
        <v>33259</v>
      </c>
      <c r="D1198" t="n">
        <v>826.2</v>
      </c>
    </row>
    <row r="1199">
      <c r="A1199" s="81" t="n">
        <v>33266</v>
      </c>
      <c r="D1199" t="n">
        <v>828.4</v>
      </c>
    </row>
    <row r="1200">
      <c r="A1200" s="81" t="n">
        <v>33270</v>
      </c>
      <c r="B1200" t="n">
        <v>617.7</v>
      </c>
      <c r="C1200" t="n">
        <v>2451.4</v>
      </c>
      <c r="E1200" t="n">
        <v>3304.5</v>
      </c>
    </row>
    <row r="1201">
      <c r="A1201" s="81" t="n">
        <v>33273</v>
      </c>
      <c r="D1201" t="n">
        <v>830.9</v>
      </c>
    </row>
    <row r="1202">
      <c r="A1202" s="81" t="n">
        <v>33280</v>
      </c>
      <c r="D1202" t="n">
        <v>833.5</v>
      </c>
    </row>
    <row r="1203">
      <c r="A1203" s="81" t="n">
        <v>33287</v>
      </c>
      <c r="D1203" t="n">
        <v>832.4</v>
      </c>
    </row>
    <row r="1204">
      <c r="A1204" s="81" t="n">
        <v>33294</v>
      </c>
      <c r="D1204" t="n">
        <v>832</v>
      </c>
    </row>
    <row r="1205">
      <c r="A1205" s="81" t="n">
        <v>33298</v>
      </c>
      <c r="B1205" t="n">
        <v>622.2</v>
      </c>
      <c r="C1205" t="n">
        <v>2464.3</v>
      </c>
      <c r="E1205" t="n">
        <v>3321.9</v>
      </c>
    </row>
    <row r="1206">
      <c r="A1206" s="81" t="n">
        <v>33301</v>
      </c>
      <c r="D1206" t="n">
        <v>834.6</v>
      </c>
    </row>
    <row r="1207">
      <c r="A1207" s="81" t="n">
        <v>33308</v>
      </c>
      <c r="D1207" t="n">
        <v>836.5</v>
      </c>
    </row>
    <row r="1208">
      <c r="A1208" s="81" t="n">
        <v>33315</v>
      </c>
      <c r="D1208" t="n">
        <v>836</v>
      </c>
    </row>
    <row r="1209">
      <c r="A1209" s="81" t="n">
        <v>33322</v>
      </c>
      <c r="D1209" t="n">
        <v>840.2</v>
      </c>
    </row>
    <row r="1210">
      <c r="A1210" s="81" t="n">
        <v>33329</v>
      </c>
      <c r="B1210" t="n">
        <v>624.1</v>
      </c>
      <c r="C1210" t="n">
        <v>2466.6</v>
      </c>
      <c r="D1210" t="n">
        <v>845.5</v>
      </c>
      <c r="E1210" t="n">
        <v>3332.4</v>
      </c>
    </row>
    <row r="1211">
      <c r="A1211" s="81" t="n">
        <v>33336</v>
      </c>
      <c r="D1211" t="n">
        <v>842.7</v>
      </c>
    </row>
    <row r="1212">
      <c r="A1212" s="81" t="n">
        <v>33343</v>
      </c>
      <c r="D1212" t="n">
        <v>845</v>
      </c>
    </row>
    <row r="1213">
      <c r="A1213" s="81" t="n">
        <v>33350</v>
      </c>
      <c r="D1213" t="n">
        <v>842.6</v>
      </c>
    </row>
    <row r="1214">
      <c r="A1214" s="81" t="n">
        <v>33357</v>
      </c>
      <c r="D1214" t="n">
        <v>841.2</v>
      </c>
    </row>
    <row r="1215">
      <c r="A1215" s="81" t="n">
        <v>33359</v>
      </c>
      <c r="B1215" t="n">
        <v>626</v>
      </c>
      <c r="C1215" t="n">
        <v>2465.3</v>
      </c>
      <c r="E1215" t="n">
        <v>3343</v>
      </c>
    </row>
    <row r="1216">
      <c r="A1216" s="81" t="n">
        <v>33364</v>
      </c>
      <c r="D1216" t="n">
        <v>846.4</v>
      </c>
    </row>
    <row r="1217">
      <c r="A1217" s="81" t="n">
        <v>33371</v>
      </c>
      <c r="D1217" t="n">
        <v>848.3</v>
      </c>
    </row>
    <row r="1218">
      <c r="A1218" s="81" t="n">
        <v>33378</v>
      </c>
      <c r="D1218" t="n">
        <v>850.8</v>
      </c>
    </row>
    <row r="1219">
      <c r="A1219" s="81" t="n">
        <v>33385</v>
      </c>
      <c r="D1219" t="n">
        <v>849.7</v>
      </c>
    </row>
    <row r="1220">
      <c r="A1220" s="81" t="n">
        <v>33390</v>
      </c>
      <c r="B1220" t="n">
        <v>629.9</v>
      </c>
      <c r="C1220" t="n">
        <v>2464.6</v>
      </c>
      <c r="E1220" t="n">
        <v>3351.9</v>
      </c>
    </row>
    <row r="1221">
      <c r="A1221" s="81" t="n">
        <v>33392</v>
      </c>
      <c r="D1221" t="n">
        <v>848.1</v>
      </c>
    </row>
    <row r="1222">
      <c r="A1222" s="81" t="n">
        <v>33399</v>
      </c>
      <c r="D1222" t="n">
        <v>855.6</v>
      </c>
    </row>
    <row r="1223">
      <c r="A1223" s="81" t="n">
        <v>33406</v>
      </c>
      <c r="D1223" t="n">
        <v>856.5</v>
      </c>
    </row>
    <row r="1224">
      <c r="A1224" s="81" t="n">
        <v>33413</v>
      </c>
      <c r="D1224" t="n">
        <v>856.1</v>
      </c>
    </row>
    <row r="1225">
      <c r="A1225" s="81" t="n">
        <v>33420</v>
      </c>
      <c r="B1225" t="n">
        <v>632.6</v>
      </c>
      <c r="C1225" t="n">
        <v>2464.1</v>
      </c>
      <c r="D1225" t="n">
        <v>863.2</v>
      </c>
      <c r="E1225" t="n">
        <v>3356.1</v>
      </c>
    </row>
    <row r="1226">
      <c r="A1226" s="81" t="n">
        <v>33427</v>
      </c>
      <c r="D1226" t="n">
        <v>859.5</v>
      </c>
    </row>
    <row r="1227">
      <c r="A1227" s="81" t="n">
        <v>33434</v>
      </c>
      <c r="D1227" t="n">
        <v>861.4</v>
      </c>
    </row>
    <row r="1228">
      <c r="A1228" s="81" t="n">
        <v>33441</v>
      </c>
      <c r="D1228" t="n">
        <v>861.1</v>
      </c>
    </row>
    <row r="1229">
      <c r="A1229" s="81" t="n">
        <v>33448</v>
      </c>
      <c r="D1229" t="n">
        <v>862.7</v>
      </c>
    </row>
    <row r="1230">
      <c r="A1230" s="81" t="n">
        <v>33451</v>
      </c>
      <c r="B1230" t="n">
        <v>634.6</v>
      </c>
      <c r="C1230" t="n">
        <v>2456.1</v>
      </c>
      <c r="E1230" t="n">
        <v>3355</v>
      </c>
    </row>
    <row r="1231">
      <c r="A1231" s="81" t="n">
        <v>33455</v>
      </c>
      <c r="D1231" t="n">
        <v>866.3</v>
      </c>
    </row>
    <row r="1232">
      <c r="A1232" s="81" t="n">
        <v>33462</v>
      </c>
      <c r="D1232" t="n">
        <v>865.3</v>
      </c>
    </row>
    <row r="1233">
      <c r="A1233" s="81" t="n">
        <v>33469</v>
      </c>
      <c r="D1233" t="n">
        <v>865</v>
      </c>
    </row>
    <row r="1234">
      <c r="A1234" s="81" t="n">
        <v>33476</v>
      </c>
      <c r="D1234" t="n">
        <v>869.1</v>
      </c>
    </row>
    <row r="1235">
      <c r="A1235" s="81" t="n">
        <v>33482</v>
      </c>
      <c r="B1235" t="n">
        <v>634.8</v>
      </c>
      <c r="C1235" t="n">
        <v>2448.8</v>
      </c>
      <c r="E1235" t="n">
        <v>3354.9</v>
      </c>
    </row>
    <row r="1236">
      <c r="A1236" s="81" t="n">
        <v>33483</v>
      </c>
      <c r="D1236" t="n">
        <v>868.3</v>
      </c>
    </row>
    <row r="1237">
      <c r="A1237" s="81" t="n">
        <v>33490</v>
      </c>
      <c r="D1237" t="n">
        <v>870.5</v>
      </c>
    </row>
    <row r="1238">
      <c r="A1238" s="81" t="n">
        <v>33497</v>
      </c>
      <c r="D1238" t="n">
        <v>869.8</v>
      </c>
    </row>
    <row r="1239">
      <c r="A1239" s="81" t="n">
        <v>33504</v>
      </c>
      <c r="D1239" t="n">
        <v>869.5</v>
      </c>
    </row>
    <row r="1240">
      <c r="A1240" s="81" t="n">
        <v>33511</v>
      </c>
      <c r="D1240" t="n">
        <v>871.8</v>
      </c>
    </row>
    <row r="1241">
      <c r="A1241" s="81" t="n">
        <v>33512</v>
      </c>
      <c r="B1241" t="n">
        <v>639.9</v>
      </c>
      <c r="C1241" t="n">
        <v>2449.1</v>
      </c>
      <c r="E1241" t="n">
        <v>3360.1</v>
      </c>
    </row>
    <row r="1242">
      <c r="A1242" s="81" t="n">
        <v>33518</v>
      </c>
      <c r="D1242" t="n">
        <v>874.6</v>
      </c>
    </row>
    <row r="1243">
      <c r="A1243" s="81" t="n">
        <v>33525</v>
      </c>
      <c r="D1243" t="n">
        <v>875.4</v>
      </c>
    </row>
    <row r="1244">
      <c r="A1244" s="81" t="n">
        <v>33532</v>
      </c>
      <c r="D1244" t="n">
        <v>879.5</v>
      </c>
    </row>
    <row r="1245">
      <c r="A1245" s="81" t="n">
        <v>33539</v>
      </c>
      <c r="D1245" t="n">
        <v>880.8</v>
      </c>
    </row>
    <row r="1246">
      <c r="A1246" s="81" t="n">
        <v>33543</v>
      </c>
      <c r="B1246" t="n">
        <v>644.1</v>
      </c>
      <c r="C1246" t="n">
        <v>2442.3</v>
      </c>
      <c r="E1246" t="n">
        <v>3365.5</v>
      </c>
    </row>
    <row r="1247">
      <c r="A1247" s="81" t="n">
        <v>33546</v>
      </c>
      <c r="D1247" t="n">
        <v>882.4</v>
      </c>
    </row>
    <row r="1248">
      <c r="A1248" s="81" t="n">
        <v>33553</v>
      </c>
      <c r="D1248" t="n">
        <v>885.8</v>
      </c>
    </row>
    <row r="1249">
      <c r="A1249" s="81" t="n">
        <v>33560</v>
      </c>
      <c r="D1249" t="n">
        <v>886.6</v>
      </c>
    </row>
    <row r="1250">
      <c r="A1250" s="81" t="n">
        <v>33567</v>
      </c>
      <c r="D1250" t="n">
        <v>887.4</v>
      </c>
    </row>
    <row r="1251">
      <c r="A1251" s="81" t="n">
        <v>33573</v>
      </c>
      <c r="B1251" t="n">
        <v>649.1</v>
      </c>
      <c r="C1251" t="n">
        <v>2440.1</v>
      </c>
      <c r="E1251" t="n">
        <v>3372.2</v>
      </c>
    </row>
    <row r="1252">
      <c r="A1252" s="81" t="n">
        <v>33574</v>
      </c>
      <c r="D1252" t="n">
        <v>896.1</v>
      </c>
    </row>
    <row r="1253">
      <c r="A1253" s="81" t="n">
        <v>33581</v>
      </c>
      <c r="D1253" t="n">
        <v>894.6</v>
      </c>
    </row>
    <row r="1254">
      <c r="A1254" s="81" t="n">
        <v>33588</v>
      </c>
      <c r="D1254" t="n">
        <v>897.6</v>
      </c>
    </row>
    <row r="1255">
      <c r="A1255" s="81" t="n">
        <v>33595</v>
      </c>
      <c r="D1255" t="n">
        <v>897.6</v>
      </c>
    </row>
    <row r="1256">
      <c r="A1256" s="81" t="n">
        <v>33602</v>
      </c>
      <c r="D1256" t="n">
        <v>897.5</v>
      </c>
    </row>
    <row r="1257">
      <c r="A1257" s="81" t="n">
        <v>33604</v>
      </c>
      <c r="B1257" t="n">
        <v>658.3</v>
      </c>
      <c r="C1257" t="n">
        <v>2444.8</v>
      </c>
      <c r="E1257" t="n">
        <v>3381.2</v>
      </c>
    </row>
    <row r="1258">
      <c r="A1258" s="81" t="n">
        <v>33609</v>
      </c>
      <c r="D1258" t="n">
        <v>901.9</v>
      </c>
    </row>
    <row r="1259">
      <c r="A1259" s="81" t="n">
        <v>33616</v>
      </c>
      <c r="D1259" t="n">
        <v>906.8</v>
      </c>
    </row>
    <row r="1260">
      <c r="A1260" s="81" t="n">
        <v>33623</v>
      </c>
      <c r="D1260" t="n">
        <v>909.3</v>
      </c>
    </row>
    <row r="1261">
      <c r="A1261" s="81" t="n">
        <v>33630</v>
      </c>
      <c r="D1261" t="n">
        <v>918.2</v>
      </c>
    </row>
    <row r="1262">
      <c r="A1262" s="81" t="n">
        <v>33635</v>
      </c>
      <c r="B1262" t="n">
        <v>667.5</v>
      </c>
      <c r="C1262" t="n">
        <v>2453.1</v>
      </c>
      <c r="E1262" t="n">
        <v>3400</v>
      </c>
    </row>
    <row r="1263">
      <c r="A1263" s="81" t="n">
        <v>33637</v>
      </c>
      <c r="D1263" t="n">
        <v>917.7</v>
      </c>
    </row>
    <row r="1264">
      <c r="A1264" s="81" t="n">
        <v>33644</v>
      </c>
      <c r="D1264" t="n">
        <v>923.6</v>
      </c>
    </row>
    <row r="1265">
      <c r="A1265" s="81" t="n">
        <v>33651</v>
      </c>
      <c r="D1265" t="n">
        <v>925.4</v>
      </c>
    </row>
    <row r="1266">
      <c r="A1266" s="81" t="n">
        <v>33658</v>
      </c>
      <c r="D1266" t="n">
        <v>928.6</v>
      </c>
    </row>
    <row r="1267">
      <c r="A1267" s="81" t="n">
        <v>33664</v>
      </c>
      <c r="B1267" t="n">
        <v>673.4</v>
      </c>
      <c r="C1267" t="n">
        <v>2447.1</v>
      </c>
      <c r="E1267" t="n">
        <v>3403.9</v>
      </c>
    </row>
    <row r="1268">
      <c r="A1268" s="81" t="n">
        <v>33665</v>
      </c>
      <c r="D1268" t="n">
        <v>926.9</v>
      </c>
    </row>
    <row r="1269">
      <c r="A1269" s="81" t="n">
        <v>33672</v>
      </c>
      <c r="D1269" t="n">
        <v>933.1</v>
      </c>
    </row>
    <row r="1270">
      <c r="A1270" s="81" t="n">
        <v>33679</v>
      </c>
      <c r="D1270" t="n">
        <v>938.2</v>
      </c>
    </row>
    <row r="1271">
      <c r="A1271" s="81" t="n">
        <v>33686</v>
      </c>
      <c r="D1271" t="n">
        <v>937.9</v>
      </c>
    </row>
    <row r="1272">
      <c r="A1272" s="81" t="n">
        <v>33693</v>
      </c>
      <c r="D1272" t="n">
        <v>939.7</v>
      </c>
    </row>
    <row r="1273">
      <c r="A1273" s="81" t="n">
        <v>33695</v>
      </c>
      <c r="B1273" t="n">
        <v>677</v>
      </c>
      <c r="C1273" t="n">
        <v>2438.8</v>
      </c>
      <c r="E1273" t="n">
        <v>3399.7</v>
      </c>
    </row>
    <row r="1274">
      <c r="A1274" s="81" t="n">
        <v>33700</v>
      </c>
      <c r="D1274" t="n">
        <v>941</v>
      </c>
    </row>
    <row r="1275">
      <c r="A1275" s="81" t="n">
        <v>33707</v>
      </c>
      <c r="D1275" t="n">
        <v>941.3</v>
      </c>
    </row>
    <row r="1276">
      <c r="A1276" s="81" t="n">
        <v>33714</v>
      </c>
      <c r="D1276" t="n">
        <v>945.7</v>
      </c>
    </row>
    <row r="1277">
      <c r="A1277" s="81" t="n">
        <v>33721</v>
      </c>
      <c r="D1277" t="n">
        <v>945.6</v>
      </c>
    </row>
    <row r="1278">
      <c r="A1278" s="81" t="n">
        <v>33725</v>
      </c>
      <c r="B1278" t="n">
        <v>680.5</v>
      </c>
      <c r="C1278" t="n">
        <v>2432.8</v>
      </c>
      <c r="E1278" t="n">
        <v>3398.6</v>
      </c>
    </row>
    <row r="1279">
      <c r="A1279" s="81" t="n">
        <v>33728</v>
      </c>
      <c r="D1279" t="n">
        <v>946.5</v>
      </c>
    </row>
    <row r="1280">
      <c r="A1280" s="81" t="n">
        <v>33735</v>
      </c>
      <c r="D1280" t="n">
        <v>949.4</v>
      </c>
    </row>
    <row r="1281">
      <c r="A1281" s="81" t="n">
        <v>33742</v>
      </c>
      <c r="D1281" t="n">
        <v>949.8</v>
      </c>
    </row>
    <row r="1282">
      <c r="A1282" s="81" t="n">
        <v>33749</v>
      </c>
      <c r="D1282" t="n">
        <v>952.3</v>
      </c>
    </row>
    <row r="1283">
      <c r="A1283" s="81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1" t="n">
        <v>33763</v>
      </c>
      <c r="D1284" t="n">
        <v>951.1</v>
      </c>
    </row>
    <row r="1285">
      <c r="A1285" s="81" t="n">
        <v>33770</v>
      </c>
      <c r="D1285" t="n">
        <v>955.6</v>
      </c>
    </row>
    <row r="1286">
      <c r="A1286" s="81" t="n">
        <v>33777</v>
      </c>
      <c r="D1286" t="n">
        <v>954.8</v>
      </c>
    </row>
    <row r="1287">
      <c r="A1287" s="81" t="n">
        <v>33784</v>
      </c>
      <c r="D1287" t="n">
        <v>955.2</v>
      </c>
    </row>
    <row r="1288">
      <c r="A1288" s="81" t="n">
        <v>33786</v>
      </c>
      <c r="B1288" t="n">
        <v>685.6</v>
      </c>
      <c r="C1288" t="n">
        <v>2415.6</v>
      </c>
      <c r="E1288" t="n">
        <v>3393.9</v>
      </c>
    </row>
    <row r="1289">
      <c r="A1289" s="81" t="n">
        <v>33791</v>
      </c>
      <c r="D1289" t="n">
        <v>959.3</v>
      </c>
    </row>
    <row r="1290">
      <c r="A1290" s="81" t="n">
        <v>33798</v>
      </c>
      <c r="D1290" t="n">
        <v>960.4</v>
      </c>
    </row>
    <row r="1291">
      <c r="A1291" s="81" t="n">
        <v>33805</v>
      </c>
      <c r="D1291" t="n">
        <v>964.8</v>
      </c>
    </row>
    <row r="1292">
      <c r="A1292" s="81" t="n">
        <v>33812</v>
      </c>
      <c r="D1292" t="n">
        <v>966.8</v>
      </c>
    </row>
    <row r="1293">
      <c r="A1293" s="81" t="n">
        <v>33817</v>
      </c>
      <c r="B1293" t="n">
        <v>691.5</v>
      </c>
      <c r="C1293" t="n">
        <v>2413.9</v>
      </c>
      <c r="E1293" t="n">
        <v>3398.8</v>
      </c>
    </row>
    <row r="1294">
      <c r="A1294" s="81" t="n">
        <v>33819</v>
      </c>
      <c r="D1294" t="n">
        <v>965.8</v>
      </c>
    </row>
    <row r="1295">
      <c r="A1295" s="81" t="n">
        <v>33826</v>
      </c>
      <c r="D1295" t="n">
        <v>972.7</v>
      </c>
    </row>
    <row r="1296">
      <c r="A1296" s="81" t="n">
        <v>33833</v>
      </c>
      <c r="D1296" t="n">
        <v>972.9</v>
      </c>
    </row>
    <row r="1297">
      <c r="A1297" s="81" t="n">
        <v>33840</v>
      </c>
      <c r="D1297" t="n">
        <v>974.2</v>
      </c>
    </row>
    <row r="1298">
      <c r="A1298" s="81" t="n">
        <v>33847</v>
      </c>
      <c r="D1298" t="n">
        <v>978.5</v>
      </c>
    </row>
    <row r="1299">
      <c r="A1299" s="81" t="n">
        <v>33848</v>
      </c>
      <c r="B1299" t="n">
        <v>700.2</v>
      </c>
      <c r="C1299" t="n">
        <v>2416.9</v>
      </c>
      <c r="E1299" t="n">
        <v>3410.3</v>
      </c>
    </row>
    <row r="1300">
      <c r="A1300" s="81" t="n">
        <v>33854</v>
      </c>
      <c r="D1300" t="n">
        <v>979.3</v>
      </c>
    </row>
    <row r="1301">
      <c r="A1301" s="81" t="n">
        <v>33861</v>
      </c>
      <c r="D1301" t="n">
        <v>985.6</v>
      </c>
    </row>
    <row r="1302">
      <c r="A1302" s="81" t="n">
        <v>33868</v>
      </c>
      <c r="D1302" t="n">
        <v>990.1</v>
      </c>
    </row>
    <row r="1303">
      <c r="A1303" s="81" t="n">
        <v>33875</v>
      </c>
      <c r="D1303" t="n">
        <v>994.2</v>
      </c>
    </row>
    <row r="1304">
      <c r="A1304" s="81" t="n">
        <v>33878</v>
      </c>
      <c r="B1304" t="n">
        <v>708.3</v>
      </c>
      <c r="C1304" t="n">
        <v>2416.2</v>
      </c>
      <c r="E1304" t="n">
        <v>3423.8</v>
      </c>
    </row>
    <row r="1305">
      <c r="A1305" s="81" t="n">
        <v>33882</v>
      </c>
      <c r="D1305" t="n">
        <v>997.6</v>
      </c>
    </row>
    <row r="1306">
      <c r="A1306" s="81" t="n">
        <v>33889</v>
      </c>
      <c r="D1306" t="n">
        <v>999.5</v>
      </c>
    </row>
    <row r="1307">
      <c r="A1307" s="81" t="n">
        <v>33896</v>
      </c>
      <c r="D1307" t="n">
        <v>1001</v>
      </c>
    </row>
    <row r="1308">
      <c r="A1308" s="81" t="n">
        <v>33903</v>
      </c>
      <c r="D1308" t="n">
        <v>1009.2</v>
      </c>
    </row>
    <row r="1309">
      <c r="A1309" s="81" t="n">
        <v>33909</v>
      </c>
      <c r="B1309" t="n">
        <v>714.8</v>
      </c>
      <c r="C1309" t="n">
        <v>2411.3</v>
      </c>
      <c r="E1309" t="n">
        <v>3426.5</v>
      </c>
    </row>
    <row r="1310">
      <c r="A1310" s="81" t="n">
        <v>33910</v>
      </c>
      <c r="D1310" t="n">
        <v>1011.7</v>
      </c>
    </row>
    <row r="1311">
      <c r="A1311" s="81" t="n">
        <v>33917</v>
      </c>
      <c r="D1311" t="n">
        <v>1014.8</v>
      </c>
    </row>
    <row r="1312">
      <c r="A1312" s="81" t="n">
        <v>33924</v>
      </c>
      <c r="D1312" t="n">
        <v>1017</v>
      </c>
    </row>
    <row r="1313">
      <c r="A1313" s="81" t="n">
        <v>33931</v>
      </c>
      <c r="D1313" t="n">
        <v>1014.4</v>
      </c>
    </row>
    <row r="1314">
      <c r="A1314" s="81" t="n">
        <v>33938</v>
      </c>
      <c r="D1314" t="n">
        <v>1017.9</v>
      </c>
    </row>
    <row r="1315">
      <c r="A1315" s="81" t="n">
        <v>33939</v>
      </c>
      <c r="B1315" t="n">
        <v>720.2</v>
      </c>
      <c r="C1315" t="n">
        <v>2406.7</v>
      </c>
      <c r="E1315" t="n">
        <v>3424.7</v>
      </c>
    </row>
    <row r="1316">
      <c r="A1316" s="81" t="n">
        <v>33945</v>
      </c>
      <c r="D1316" t="n">
        <v>1021.4</v>
      </c>
    </row>
    <row r="1317">
      <c r="A1317" s="81" t="n">
        <v>33952</v>
      </c>
      <c r="D1317" t="n">
        <v>1025.9</v>
      </c>
    </row>
    <row r="1318">
      <c r="A1318" s="81" t="n">
        <v>33959</v>
      </c>
      <c r="D1318" t="n">
        <v>1022.8</v>
      </c>
    </row>
    <row r="1319">
      <c r="A1319" s="81" t="n">
        <v>33966</v>
      </c>
      <c r="D1319" t="n">
        <v>1028.4</v>
      </c>
    </row>
    <row r="1320">
      <c r="A1320" s="81" t="n">
        <v>33970</v>
      </c>
      <c r="B1320" t="n">
        <v>721.6</v>
      </c>
      <c r="C1320" t="n">
        <v>2394.3</v>
      </c>
      <c r="E1320" t="n">
        <v>3419.1</v>
      </c>
    </row>
    <row r="1321">
      <c r="A1321" s="81" t="n">
        <v>33973</v>
      </c>
      <c r="D1321" t="n">
        <v>1027.8</v>
      </c>
    </row>
    <row r="1322">
      <c r="A1322" s="81" t="n">
        <v>33980</v>
      </c>
      <c r="D1322" t="n">
        <v>1031.1</v>
      </c>
    </row>
    <row r="1323">
      <c r="A1323" s="81" t="n">
        <v>33987</v>
      </c>
      <c r="D1323" t="n">
        <v>1029.6</v>
      </c>
    </row>
    <row r="1324">
      <c r="A1324" s="81" t="n">
        <v>33994</v>
      </c>
      <c r="D1324" t="n">
        <v>1030.9</v>
      </c>
    </row>
    <row r="1325">
      <c r="A1325" s="81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1" t="n">
        <v>34008</v>
      </c>
      <c r="D1326" t="n">
        <v>1030</v>
      </c>
    </row>
    <row r="1327">
      <c r="A1327" s="81" t="n">
        <v>34015</v>
      </c>
      <c r="D1327" t="n">
        <v>1034.1</v>
      </c>
    </row>
    <row r="1328">
      <c r="A1328" s="81" t="n">
        <v>34022</v>
      </c>
      <c r="D1328" t="n">
        <v>1034.7</v>
      </c>
    </row>
    <row r="1329">
      <c r="A1329" s="81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1" t="n">
        <v>34036</v>
      </c>
      <c r="D1330" t="n">
        <v>1035.3</v>
      </c>
    </row>
    <row r="1331">
      <c r="A1331" s="81" t="n">
        <v>34043</v>
      </c>
      <c r="D1331" t="n">
        <v>1036.8</v>
      </c>
    </row>
    <row r="1332">
      <c r="A1332" s="81" t="n">
        <v>34050</v>
      </c>
      <c r="D1332" t="n">
        <v>1038.6</v>
      </c>
    </row>
    <row r="1333">
      <c r="A1333" s="81" t="n">
        <v>34057</v>
      </c>
      <c r="D1333" t="n">
        <v>1040.4</v>
      </c>
    </row>
    <row r="1334">
      <c r="A1334" s="81" t="n">
        <v>34060</v>
      </c>
      <c r="B1334" t="n">
        <v>728.5</v>
      </c>
      <c r="C1334" t="n">
        <v>2372.3</v>
      </c>
      <c r="E1334" t="n">
        <v>3411.3</v>
      </c>
    </row>
    <row r="1335">
      <c r="A1335" s="81" t="n">
        <v>34064</v>
      </c>
      <c r="D1335" t="n">
        <v>1045.4</v>
      </c>
    </row>
    <row r="1336">
      <c r="A1336" s="81" t="n">
        <v>34071</v>
      </c>
      <c r="D1336" t="n">
        <v>1045.9</v>
      </c>
    </row>
    <row r="1337">
      <c r="A1337" s="81" t="n">
        <v>34078</v>
      </c>
      <c r="D1337" t="n">
        <v>1045.5</v>
      </c>
    </row>
    <row r="1338">
      <c r="A1338" s="81" t="n">
        <v>34085</v>
      </c>
      <c r="D1338" t="n">
        <v>1047.2</v>
      </c>
    </row>
    <row r="1339">
      <c r="A1339" s="81" t="n">
        <v>34090</v>
      </c>
      <c r="B1339" t="n">
        <v>739.2</v>
      </c>
      <c r="C1339" t="n">
        <v>2383.4</v>
      </c>
      <c r="E1339" t="n">
        <v>3436.9</v>
      </c>
    </row>
    <row r="1340">
      <c r="A1340" s="81" t="n">
        <v>34092</v>
      </c>
      <c r="D1340" t="n">
        <v>1056.3</v>
      </c>
    </row>
    <row r="1341">
      <c r="A1341" s="81" t="n">
        <v>34099</v>
      </c>
      <c r="D1341" t="n">
        <v>1064.1</v>
      </c>
    </row>
    <row r="1342">
      <c r="A1342" s="81" t="n">
        <v>34106</v>
      </c>
      <c r="D1342" t="n">
        <v>1066</v>
      </c>
    </row>
    <row r="1343">
      <c r="A1343" s="81" t="n">
        <v>34113</v>
      </c>
      <c r="D1343" t="n">
        <v>1063.6</v>
      </c>
    </row>
    <row r="1344">
      <c r="A1344" s="81" t="n">
        <v>34120</v>
      </c>
      <c r="D1344" t="n">
        <v>1073</v>
      </c>
    </row>
    <row r="1345">
      <c r="A1345" s="81" t="n">
        <v>34121</v>
      </c>
      <c r="B1345" t="n">
        <v>745</v>
      </c>
      <c r="C1345" t="n">
        <v>2385.6</v>
      </c>
      <c r="E1345" t="n">
        <v>3442.4</v>
      </c>
    </row>
    <row r="1346">
      <c r="A1346" s="81" t="n">
        <v>34127</v>
      </c>
      <c r="D1346" t="n">
        <v>1071.3</v>
      </c>
    </row>
    <row r="1347">
      <c r="A1347" s="81" t="n">
        <v>34134</v>
      </c>
      <c r="D1347" t="n">
        <v>1074.1</v>
      </c>
    </row>
    <row r="1348">
      <c r="A1348" s="81" t="n">
        <v>34141</v>
      </c>
      <c r="D1348" t="n">
        <v>1076.4</v>
      </c>
    </row>
    <row r="1349">
      <c r="A1349" s="81" t="n">
        <v>34148</v>
      </c>
      <c r="D1349" t="n">
        <v>1077.6</v>
      </c>
    </row>
    <row r="1350">
      <c r="A1350" s="81" t="n">
        <v>34151</v>
      </c>
      <c r="B1350" t="n">
        <v>750.6</v>
      </c>
      <c r="C1350" t="n">
        <v>2382</v>
      </c>
      <c r="E1350" t="n">
        <v>3442</v>
      </c>
    </row>
    <row r="1351">
      <c r="A1351" s="81" t="n">
        <v>34155</v>
      </c>
      <c r="D1351" t="n">
        <v>1079.3</v>
      </c>
    </row>
    <row r="1352">
      <c r="A1352" s="81" t="n">
        <v>34162</v>
      </c>
      <c r="D1352" t="n">
        <v>1083.3</v>
      </c>
    </row>
    <row r="1353">
      <c r="A1353" s="81" t="n">
        <v>34169</v>
      </c>
      <c r="D1353" t="n">
        <v>1085.3</v>
      </c>
    </row>
    <row r="1354">
      <c r="A1354" s="81" t="n">
        <v>34176</v>
      </c>
      <c r="D1354" t="n">
        <v>1086.5</v>
      </c>
    </row>
    <row r="1355">
      <c r="A1355" s="81" t="n">
        <v>34182</v>
      </c>
      <c r="B1355" t="n">
        <v>755.7</v>
      </c>
      <c r="C1355" t="n">
        <v>2379.6</v>
      </c>
      <c r="E1355" t="n">
        <v>3445.7</v>
      </c>
    </row>
    <row r="1356">
      <c r="A1356" s="81" t="n">
        <v>34183</v>
      </c>
      <c r="D1356" t="n">
        <v>1088.3</v>
      </c>
    </row>
    <row r="1357">
      <c r="A1357" s="81" t="n">
        <v>34190</v>
      </c>
      <c r="D1357" t="n">
        <v>1092.4</v>
      </c>
    </row>
    <row r="1358">
      <c r="A1358" s="81" t="n">
        <v>34197</v>
      </c>
      <c r="D1358" t="n">
        <v>1095.4</v>
      </c>
    </row>
    <row r="1359">
      <c r="A1359" s="81" t="n">
        <v>34204</v>
      </c>
      <c r="D1359" t="n">
        <v>1093.1</v>
      </c>
    </row>
    <row r="1360">
      <c r="A1360" s="81" t="n">
        <v>34211</v>
      </c>
      <c r="D1360" t="n">
        <v>1096.8</v>
      </c>
    </row>
    <row r="1361">
      <c r="A1361" s="81" t="n">
        <v>34213</v>
      </c>
      <c r="B1361" t="n">
        <v>761.5</v>
      </c>
      <c r="C1361" t="n">
        <v>2380.8</v>
      </c>
      <c r="E1361" t="n">
        <v>3452.2</v>
      </c>
    </row>
    <row r="1362">
      <c r="A1362" s="81" t="n">
        <v>34218</v>
      </c>
      <c r="D1362" t="n">
        <v>1100.6</v>
      </c>
    </row>
    <row r="1363">
      <c r="A1363" s="81" t="n">
        <v>34225</v>
      </c>
      <c r="D1363" t="n">
        <v>1103</v>
      </c>
    </row>
    <row r="1364">
      <c r="A1364" s="81" t="n">
        <v>34232</v>
      </c>
      <c r="D1364" t="n">
        <v>1106.9</v>
      </c>
    </row>
    <row r="1365">
      <c r="A1365" s="81" t="n">
        <v>34239</v>
      </c>
      <c r="D1365" t="n">
        <v>1103.9</v>
      </c>
    </row>
    <row r="1366">
      <c r="A1366" s="81" t="n">
        <v>34243</v>
      </c>
      <c r="B1366" t="n">
        <v>764.5</v>
      </c>
      <c r="C1366" t="n">
        <v>2374.1</v>
      </c>
      <c r="E1366" t="n">
        <v>3456.7</v>
      </c>
    </row>
    <row r="1367">
      <c r="A1367" s="81" t="n">
        <v>34246</v>
      </c>
      <c r="D1367" t="n">
        <v>1108.3</v>
      </c>
    </row>
    <row r="1368">
      <c r="A1368" s="81" t="n">
        <v>34253</v>
      </c>
      <c r="D1368" t="n">
        <v>1110.1</v>
      </c>
    </row>
    <row r="1369">
      <c r="A1369" s="81" t="n">
        <v>34260</v>
      </c>
      <c r="D1369" t="n">
        <v>1112.8</v>
      </c>
    </row>
    <row r="1370">
      <c r="A1370" s="81" t="n">
        <v>34267</v>
      </c>
      <c r="D1370" t="n">
        <v>1113</v>
      </c>
    </row>
    <row r="1371">
      <c r="A1371" s="81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1" t="n">
        <v>34281</v>
      </c>
      <c r="D1372" t="n">
        <v>1121.7</v>
      </c>
    </row>
    <row r="1373">
      <c r="A1373" s="81" t="n">
        <v>34288</v>
      </c>
      <c r="D1373" t="n">
        <v>1126.8</v>
      </c>
    </row>
    <row r="1374">
      <c r="A1374" s="81" t="n">
        <v>34295</v>
      </c>
      <c r="D1374" t="n">
        <v>1123.2</v>
      </c>
    </row>
    <row r="1375">
      <c r="A1375" s="81" t="n">
        <v>34302</v>
      </c>
      <c r="D1375" t="n">
        <v>1124.7</v>
      </c>
    </row>
    <row r="1376">
      <c r="A1376" s="81" t="n">
        <v>34304</v>
      </c>
      <c r="B1376" t="n">
        <v>772.1</v>
      </c>
      <c r="C1376" t="n">
        <v>2374.9</v>
      </c>
      <c r="E1376" t="n">
        <v>3474.5</v>
      </c>
    </row>
    <row r="1377">
      <c r="A1377" s="81" t="n">
        <v>34309</v>
      </c>
      <c r="D1377" t="n">
        <v>1128.1</v>
      </c>
    </row>
    <row r="1378">
      <c r="A1378" s="81" t="n">
        <v>34316</v>
      </c>
      <c r="D1378" t="n">
        <v>1129.5</v>
      </c>
    </row>
    <row r="1379">
      <c r="A1379" s="81" t="n">
        <v>34323</v>
      </c>
      <c r="D1379" t="n">
        <v>1129.5</v>
      </c>
    </row>
    <row r="1380">
      <c r="A1380" s="81" t="n">
        <v>34330</v>
      </c>
      <c r="D1380" t="n">
        <v>1131.9</v>
      </c>
    </row>
    <row r="1381">
      <c r="A1381" s="81" t="n">
        <v>34335</v>
      </c>
      <c r="B1381" t="n">
        <v>773.5</v>
      </c>
      <c r="C1381" t="n">
        <v>2375.2</v>
      </c>
      <c r="E1381" t="n">
        <v>3474.9</v>
      </c>
    </row>
    <row r="1382">
      <c r="A1382" s="81" t="n">
        <v>34337</v>
      </c>
      <c r="D1382" t="n">
        <v>1128.4</v>
      </c>
    </row>
    <row r="1383">
      <c r="A1383" s="81" t="n">
        <v>34344</v>
      </c>
      <c r="D1383" t="n">
        <v>1131</v>
      </c>
    </row>
    <row r="1384">
      <c r="A1384" s="81" t="n">
        <v>34351</v>
      </c>
      <c r="D1384" t="n">
        <v>1131.3</v>
      </c>
    </row>
    <row r="1385">
      <c r="A1385" s="81" t="n">
        <v>34358</v>
      </c>
      <c r="D1385" t="n">
        <v>1132.4</v>
      </c>
    </row>
    <row r="1386">
      <c r="A1386" s="81" t="n">
        <v>34365</v>
      </c>
      <c r="D1386" t="n">
        <v>1132.7</v>
      </c>
    </row>
    <row r="1387">
      <c r="A1387" s="81" t="n">
        <v>34366</v>
      </c>
      <c r="B1387" t="n">
        <v>774.6</v>
      </c>
      <c r="C1387" t="n">
        <v>2369.3</v>
      </c>
      <c r="E1387" t="n">
        <v>3475.7</v>
      </c>
    </row>
    <row r="1388">
      <c r="A1388" s="81" t="n">
        <v>34372</v>
      </c>
      <c r="D1388" t="n">
        <v>1134.5</v>
      </c>
    </row>
    <row r="1389">
      <c r="A1389" s="81" t="n">
        <v>34379</v>
      </c>
      <c r="D1389" t="n">
        <v>1136.7</v>
      </c>
    </row>
    <row r="1390">
      <c r="A1390" s="81" t="n">
        <v>34386</v>
      </c>
      <c r="D1390" t="n">
        <v>1137.4</v>
      </c>
    </row>
    <row r="1391">
      <c r="A1391" s="81" t="n">
        <v>34393</v>
      </c>
      <c r="D1391" t="n">
        <v>1136.5</v>
      </c>
    </row>
    <row r="1392">
      <c r="A1392" s="81" t="n">
        <v>34394</v>
      </c>
      <c r="B1392" t="n">
        <v>775.1</v>
      </c>
      <c r="C1392" t="n">
        <v>2365.8</v>
      </c>
      <c r="E1392" t="n">
        <v>3480.1</v>
      </c>
    </row>
    <row r="1393">
      <c r="A1393" s="81" t="n">
        <v>34400</v>
      </c>
      <c r="D1393" t="n">
        <v>1138.3</v>
      </c>
    </row>
    <row r="1394">
      <c r="A1394" s="81" t="n">
        <v>34407</v>
      </c>
      <c r="D1394" t="n">
        <v>1139.6</v>
      </c>
    </row>
    <row r="1395">
      <c r="A1395" s="81" t="n">
        <v>34414</v>
      </c>
      <c r="D1395" t="n">
        <v>1139.2</v>
      </c>
    </row>
    <row r="1396">
      <c r="A1396" s="81" t="n">
        <v>34421</v>
      </c>
      <c r="D1396" t="n">
        <v>1141.5</v>
      </c>
    </row>
    <row r="1397">
      <c r="A1397" s="81" t="n">
        <v>34425</v>
      </c>
      <c r="B1397" t="n">
        <v>775.2</v>
      </c>
      <c r="C1397" t="n">
        <v>2365</v>
      </c>
      <c r="E1397" t="n">
        <v>3481.3</v>
      </c>
    </row>
    <row r="1398">
      <c r="A1398" s="81" t="n">
        <v>34428</v>
      </c>
      <c r="D1398" t="n">
        <v>1144.7</v>
      </c>
    </row>
    <row r="1399">
      <c r="A1399" s="81" t="n">
        <v>34435</v>
      </c>
      <c r="D1399" t="n">
        <v>1143.8</v>
      </c>
    </row>
    <row r="1400">
      <c r="A1400" s="81" t="n">
        <v>34442</v>
      </c>
      <c r="D1400" t="n">
        <v>1139</v>
      </c>
    </row>
    <row r="1401">
      <c r="A1401" s="81" t="n">
        <v>34449</v>
      </c>
      <c r="D1401" t="n">
        <v>1137.9</v>
      </c>
    </row>
    <row r="1402">
      <c r="A1402" s="81" t="n">
        <v>34455</v>
      </c>
      <c r="B1402" t="n">
        <v>775.1</v>
      </c>
      <c r="C1402" t="n">
        <v>2366.6</v>
      </c>
      <c r="E1402" t="n">
        <v>3490.8</v>
      </c>
    </row>
    <row r="1403">
      <c r="A1403" s="81" t="n">
        <v>34456</v>
      </c>
      <c r="D1403" t="n">
        <v>1141.8</v>
      </c>
    </row>
    <row r="1404">
      <c r="A1404" s="81" t="n">
        <v>34463</v>
      </c>
      <c r="D1404" t="n">
        <v>1144.9</v>
      </c>
    </row>
    <row r="1405">
      <c r="A1405" s="81" t="n">
        <v>34470</v>
      </c>
      <c r="D1405" t="n">
        <v>1145.1</v>
      </c>
    </row>
    <row r="1406">
      <c r="A1406" s="81" t="n">
        <v>34477</v>
      </c>
      <c r="D1406" t="n">
        <v>1141.2</v>
      </c>
    </row>
    <row r="1407">
      <c r="A1407" s="81" t="n">
        <v>34484</v>
      </c>
      <c r="D1407" t="n">
        <v>1142.3</v>
      </c>
    </row>
    <row r="1408">
      <c r="A1408" s="81" t="n">
        <v>34486</v>
      </c>
      <c r="B1408" t="n">
        <v>774.3</v>
      </c>
      <c r="C1408" t="n">
        <v>2352.6</v>
      </c>
      <c r="E1408" t="n">
        <v>3479.5</v>
      </c>
    </row>
    <row r="1409">
      <c r="A1409" s="81" t="n">
        <v>34491</v>
      </c>
      <c r="D1409" t="n">
        <v>1144.3</v>
      </c>
    </row>
    <row r="1410">
      <c r="A1410" s="81" t="n">
        <v>34498</v>
      </c>
      <c r="D1410" t="n">
        <v>1145.4</v>
      </c>
    </row>
    <row r="1411">
      <c r="A1411" s="81" t="n">
        <v>34505</v>
      </c>
      <c r="D1411" t="n">
        <v>1146.4</v>
      </c>
    </row>
    <row r="1412">
      <c r="A1412" s="81" t="n">
        <v>34512</v>
      </c>
      <c r="D1412" t="n">
        <v>1145.3</v>
      </c>
    </row>
    <row r="1413">
      <c r="A1413" s="81" t="n">
        <v>34516</v>
      </c>
      <c r="B1413" t="n">
        <v>775.4</v>
      </c>
      <c r="C1413" t="n">
        <v>2350.5</v>
      </c>
      <c r="E1413" t="n">
        <v>3488.2</v>
      </c>
    </row>
    <row r="1414">
      <c r="A1414" s="81" t="n">
        <v>34519</v>
      </c>
      <c r="D1414" t="n">
        <v>1143.5</v>
      </c>
    </row>
    <row r="1415">
      <c r="A1415" s="81" t="n">
        <v>34526</v>
      </c>
      <c r="D1415" t="n">
        <v>1151.5</v>
      </c>
    </row>
    <row r="1416">
      <c r="A1416" s="81" t="n">
        <v>34533</v>
      </c>
      <c r="D1416" t="n">
        <v>1151.2</v>
      </c>
    </row>
    <row r="1417">
      <c r="A1417" s="81" t="n">
        <v>34540</v>
      </c>
      <c r="D1417" t="n">
        <v>1151.4</v>
      </c>
    </row>
    <row r="1418">
      <c r="A1418" s="81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1" t="n">
        <v>34554</v>
      </c>
      <c r="D1419" t="n">
        <v>1148</v>
      </c>
    </row>
    <row r="1420">
      <c r="A1420" s="81" t="n">
        <v>34561</v>
      </c>
      <c r="D1420" t="n">
        <v>1151.6</v>
      </c>
    </row>
    <row r="1421">
      <c r="A1421" s="81" t="n">
        <v>34568</v>
      </c>
      <c r="D1421" t="n">
        <v>1150.2</v>
      </c>
    </row>
    <row r="1422">
      <c r="A1422" s="81" t="n">
        <v>34575</v>
      </c>
      <c r="D1422" t="n">
        <v>1151.6</v>
      </c>
    </row>
    <row r="1423">
      <c r="A1423" s="81" t="n">
        <v>34578</v>
      </c>
      <c r="B1423" t="n">
        <v>771.5</v>
      </c>
      <c r="C1423" t="n">
        <v>2335</v>
      </c>
      <c r="E1423" t="n">
        <v>3486.1</v>
      </c>
    </row>
    <row r="1424">
      <c r="A1424" s="81" t="n">
        <v>34582</v>
      </c>
      <c r="D1424" t="n">
        <v>1153</v>
      </c>
    </row>
    <row r="1425">
      <c r="A1425" s="81" t="n">
        <v>34589</v>
      </c>
      <c r="D1425" t="n">
        <v>1152.7</v>
      </c>
    </row>
    <row r="1426">
      <c r="A1426" s="81" t="n">
        <v>34596</v>
      </c>
      <c r="D1426" t="n">
        <v>1152.2</v>
      </c>
    </row>
    <row r="1427">
      <c r="A1427" s="81" t="n">
        <v>34603</v>
      </c>
      <c r="D1427" t="n">
        <v>1152.3</v>
      </c>
    </row>
    <row r="1428">
      <c r="A1428" s="81" t="n">
        <v>34608</v>
      </c>
      <c r="B1428" t="n">
        <v>769.9</v>
      </c>
      <c r="C1428" t="n">
        <v>2332.2</v>
      </c>
      <c r="E1428" t="n">
        <v>3484.3</v>
      </c>
    </row>
    <row r="1429">
      <c r="A1429" s="81" t="n">
        <v>34610</v>
      </c>
      <c r="D1429" t="n">
        <v>1147.7</v>
      </c>
    </row>
    <row r="1430">
      <c r="A1430" s="81" t="n">
        <v>34617</v>
      </c>
      <c r="D1430" t="n">
        <v>1152.6</v>
      </c>
    </row>
    <row r="1431">
      <c r="A1431" s="81" t="n">
        <v>34624</v>
      </c>
      <c r="D1431" t="n">
        <v>1152.7</v>
      </c>
    </row>
    <row r="1432">
      <c r="A1432" s="81" t="n">
        <v>34631</v>
      </c>
      <c r="D1432" t="n">
        <v>1148.2</v>
      </c>
    </row>
    <row r="1433">
      <c r="A1433" s="81" t="n">
        <v>34638</v>
      </c>
      <c r="D1433" t="n">
        <v>1148.1</v>
      </c>
    </row>
    <row r="1434">
      <c r="A1434" s="81" t="n">
        <v>34639</v>
      </c>
      <c r="B1434" t="n">
        <v>768.3</v>
      </c>
      <c r="C1434" t="n">
        <v>2327.9</v>
      </c>
      <c r="E1434" t="n">
        <v>3487.2</v>
      </c>
    </row>
    <row r="1435">
      <c r="A1435" s="81" t="n">
        <v>34645</v>
      </c>
      <c r="D1435" t="n">
        <v>1148.2</v>
      </c>
    </row>
    <row r="1436">
      <c r="A1436" s="81" t="n">
        <v>34652</v>
      </c>
      <c r="D1436" t="n">
        <v>1151.8</v>
      </c>
    </row>
    <row r="1437">
      <c r="A1437" s="81" t="n">
        <v>34659</v>
      </c>
      <c r="D1437" t="n">
        <v>1152.4</v>
      </c>
    </row>
    <row r="1438">
      <c r="A1438" s="81" t="n">
        <v>34666</v>
      </c>
      <c r="D1438" t="n">
        <v>1151.2</v>
      </c>
    </row>
    <row r="1439">
      <c r="A1439" s="81" t="n">
        <v>34669</v>
      </c>
      <c r="B1439" t="n">
        <v>766.6</v>
      </c>
      <c r="C1439" t="n">
        <v>2322.7</v>
      </c>
      <c r="E1439" t="n">
        <v>3486.4</v>
      </c>
    </row>
    <row r="1440">
      <c r="A1440" s="81" t="n">
        <v>34673</v>
      </c>
      <c r="D1440" t="n">
        <v>1152.2</v>
      </c>
    </row>
    <row r="1441">
      <c r="A1441" s="81" t="n">
        <v>34680</v>
      </c>
      <c r="D1441" t="n">
        <v>1154.5</v>
      </c>
    </row>
    <row r="1442">
      <c r="A1442" s="81" t="n">
        <v>34687</v>
      </c>
      <c r="D1442" t="n">
        <v>1150.4</v>
      </c>
    </row>
    <row r="1443">
      <c r="A1443" s="81" t="n">
        <v>34694</v>
      </c>
      <c r="D1443" t="n">
        <v>1149.3</v>
      </c>
    </row>
    <row r="1444">
      <c r="A1444" s="81" t="n">
        <v>34700</v>
      </c>
      <c r="B1444" t="n">
        <v>765</v>
      </c>
      <c r="C1444" t="n">
        <v>2320.5</v>
      </c>
      <c r="E1444" t="n">
        <v>3492.4</v>
      </c>
    </row>
    <row r="1445">
      <c r="A1445" s="81" t="n">
        <v>34701</v>
      </c>
      <c r="D1445" t="n">
        <v>1145.9</v>
      </c>
    </row>
    <row r="1446">
      <c r="A1446" s="81" t="n">
        <v>34708</v>
      </c>
      <c r="D1446" t="n">
        <v>1154.4</v>
      </c>
    </row>
    <row r="1447">
      <c r="A1447" s="81" t="n">
        <v>34715</v>
      </c>
      <c r="D1447" t="n">
        <v>1154.4</v>
      </c>
    </row>
    <row r="1448">
      <c r="A1448" s="81" t="n">
        <v>34722</v>
      </c>
      <c r="D1448" t="n">
        <v>1150.4</v>
      </c>
    </row>
    <row r="1449">
      <c r="A1449" s="81" t="n">
        <v>34729</v>
      </c>
      <c r="D1449" t="n">
        <v>1148</v>
      </c>
    </row>
    <row r="1450">
      <c r="A1450" s="81" t="n">
        <v>34731</v>
      </c>
      <c r="B1450" t="n">
        <v>760.4</v>
      </c>
      <c r="C1450" t="n">
        <v>2312.7</v>
      </c>
      <c r="E1450" t="n">
        <v>3489.9</v>
      </c>
    </row>
    <row r="1451">
      <c r="A1451" s="81" t="n">
        <v>34736</v>
      </c>
      <c r="D1451" t="n">
        <v>1150.5</v>
      </c>
    </row>
    <row r="1452">
      <c r="A1452" s="81" t="n">
        <v>34743</v>
      </c>
      <c r="D1452" t="n">
        <v>1148</v>
      </c>
    </row>
    <row r="1453">
      <c r="A1453" s="81" t="n">
        <v>34750</v>
      </c>
      <c r="D1453" t="n">
        <v>1145.3</v>
      </c>
    </row>
    <row r="1454">
      <c r="A1454" s="81" t="n">
        <v>34757</v>
      </c>
      <c r="D1454" t="n">
        <v>1146.2</v>
      </c>
    </row>
    <row r="1455">
      <c r="A1455" s="81" t="n">
        <v>34759</v>
      </c>
      <c r="B1455" t="n">
        <v>758.4</v>
      </c>
      <c r="C1455" t="n">
        <v>2308.9</v>
      </c>
      <c r="E1455" t="n">
        <v>3491.1</v>
      </c>
    </row>
    <row r="1456">
      <c r="A1456" s="81" t="n">
        <v>34764</v>
      </c>
      <c r="D1456" t="n">
        <v>1147.2</v>
      </c>
    </row>
    <row r="1457">
      <c r="A1457" s="81" t="n">
        <v>34771</v>
      </c>
      <c r="D1457" t="n">
        <v>1148.3</v>
      </c>
    </row>
    <row r="1458">
      <c r="A1458" s="81" t="n">
        <v>34778</v>
      </c>
      <c r="D1458" t="n">
        <v>1147.2</v>
      </c>
    </row>
    <row r="1459">
      <c r="A1459" s="81" t="n">
        <v>34785</v>
      </c>
      <c r="D1459" t="n">
        <v>1147.2</v>
      </c>
    </row>
    <row r="1460">
      <c r="A1460" s="81" t="n">
        <v>34790</v>
      </c>
      <c r="B1460" t="n">
        <v>757.1</v>
      </c>
      <c r="C1460" t="n">
        <v>2305.1</v>
      </c>
      <c r="E1460" t="n">
        <v>3499.2</v>
      </c>
    </row>
    <row r="1461">
      <c r="A1461" s="81" t="n">
        <v>34792</v>
      </c>
      <c r="D1461" t="n">
        <v>1141.5</v>
      </c>
    </row>
    <row r="1462">
      <c r="A1462" s="81" t="n">
        <v>34799</v>
      </c>
      <c r="D1462" t="n">
        <v>1151.4</v>
      </c>
    </row>
    <row r="1463">
      <c r="A1463" s="81" t="n">
        <v>34806</v>
      </c>
      <c r="D1463" t="n">
        <v>1149.1</v>
      </c>
    </row>
    <row r="1464">
      <c r="A1464" s="81" t="n">
        <v>34813</v>
      </c>
      <c r="D1464" t="n">
        <v>1149.8</v>
      </c>
    </row>
    <row r="1465">
      <c r="A1465" s="81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1" t="n">
        <v>34827</v>
      </c>
      <c r="D1466" t="n">
        <v>1144.8</v>
      </c>
    </row>
    <row r="1467">
      <c r="A1467" s="81" t="n">
        <v>34834</v>
      </c>
      <c r="D1467" t="n">
        <v>1146.7</v>
      </c>
    </row>
    <row r="1468">
      <c r="A1468" s="81" t="n">
        <v>34841</v>
      </c>
      <c r="D1468" t="n">
        <v>1146</v>
      </c>
    </row>
    <row r="1469">
      <c r="A1469" s="81" t="n">
        <v>34848</v>
      </c>
      <c r="D1469" t="n">
        <v>1142.8</v>
      </c>
    </row>
    <row r="1470">
      <c r="A1470" s="81" t="n">
        <v>34851</v>
      </c>
      <c r="B1470" t="n">
        <v>750.8</v>
      </c>
      <c r="C1470" t="n">
        <v>2328.7</v>
      </c>
      <c r="E1470" t="n">
        <v>3548.9</v>
      </c>
    </row>
    <row r="1471">
      <c r="A1471" s="81" t="n">
        <v>34855</v>
      </c>
      <c r="D1471" t="n">
        <v>1145.5</v>
      </c>
    </row>
    <row r="1472">
      <c r="A1472" s="81" t="n">
        <v>34862</v>
      </c>
      <c r="D1472" t="n">
        <v>1146.3</v>
      </c>
    </row>
    <row r="1473">
      <c r="A1473" s="81" t="n">
        <v>34869</v>
      </c>
      <c r="D1473" t="n">
        <v>1143.4</v>
      </c>
    </row>
    <row r="1474">
      <c r="A1474" s="81" t="n">
        <v>34876</v>
      </c>
      <c r="D1474" t="n">
        <v>1143.8</v>
      </c>
    </row>
    <row r="1475">
      <c r="A1475" s="81" t="n">
        <v>34881</v>
      </c>
      <c r="B1475" t="n">
        <v>750.7</v>
      </c>
      <c r="C1475" t="n">
        <v>2337.7</v>
      </c>
      <c r="E1475" t="n">
        <v>3567.4</v>
      </c>
    </row>
    <row r="1476">
      <c r="A1476" s="81" t="n">
        <v>34883</v>
      </c>
      <c r="D1476" t="n">
        <v>1141</v>
      </c>
    </row>
    <row r="1477">
      <c r="A1477" s="81" t="n">
        <v>34890</v>
      </c>
      <c r="D1477" t="n">
        <v>1149</v>
      </c>
    </row>
    <row r="1478">
      <c r="A1478" s="81" t="n">
        <v>34897</v>
      </c>
      <c r="D1478" t="n">
        <v>1145.5</v>
      </c>
    </row>
    <row r="1479">
      <c r="A1479" s="81" t="n">
        <v>34904</v>
      </c>
      <c r="D1479" t="n">
        <v>1143</v>
      </c>
    </row>
    <row r="1480">
      <c r="A1480" s="81" t="n">
        <v>34911</v>
      </c>
      <c r="D1480" t="n">
        <v>1146.2</v>
      </c>
    </row>
    <row r="1481">
      <c r="A1481" s="81" t="n">
        <v>34912</v>
      </c>
      <c r="B1481" t="n">
        <v>749.1</v>
      </c>
      <c r="C1481" t="n">
        <v>2347.3</v>
      </c>
      <c r="E1481" t="n">
        <v>3589</v>
      </c>
    </row>
    <row r="1482">
      <c r="A1482" s="81" t="n">
        <v>34918</v>
      </c>
      <c r="D1482" t="n">
        <v>1146</v>
      </c>
    </row>
    <row r="1483">
      <c r="A1483" s="81" t="n">
        <v>34925</v>
      </c>
      <c r="D1483" t="n">
        <v>1147.4</v>
      </c>
    </row>
    <row r="1484">
      <c r="A1484" s="81" t="n">
        <v>34932</v>
      </c>
      <c r="D1484" t="n">
        <v>1146.3</v>
      </c>
    </row>
    <row r="1485">
      <c r="A1485" s="81" t="n">
        <v>34939</v>
      </c>
      <c r="D1485" t="n">
        <v>1143.4</v>
      </c>
    </row>
    <row r="1486">
      <c r="A1486" s="81" t="n">
        <v>34943</v>
      </c>
      <c r="B1486" t="n">
        <v>745.9</v>
      </c>
      <c r="C1486" t="n">
        <v>2352.8</v>
      </c>
      <c r="E1486" t="n">
        <v>3602.1</v>
      </c>
    </row>
    <row r="1487">
      <c r="A1487" s="81" t="n">
        <v>34946</v>
      </c>
      <c r="D1487" t="n">
        <v>1142.7</v>
      </c>
    </row>
    <row r="1488">
      <c r="A1488" s="81" t="n">
        <v>34953</v>
      </c>
      <c r="D1488" t="n">
        <v>1148.6</v>
      </c>
    </row>
    <row r="1489">
      <c r="A1489" s="81" t="n">
        <v>34960</v>
      </c>
      <c r="D1489" t="n">
        <v>1142.1</v>
      </c>
    </row>
    <row r="1490">
      <c r="A1490" s="81" t="n">
        <v>34967</v>
      </c>
      <c r="D1490" t="n">
        <v>1140</v>
      </c>
    </row>
    <row r="1491">
      <c r="A1491" s="81" t="n">
        <v>34973</v>
      </c>
      <c r="B1491" t="n">
        <v>740.9</v>
      </c>
      <c r="C1491" t="n">
        <v>2354</v>
      </c>
      <c r="E1491" t="n">
        <v>3613.4</v>
      </c>
    </row>
    <row r="1492">
      <c r="A1492" s="81" t="n">
        <v>34974</v>
      </c>
      <c r="D1492" t="n">
        <v>1133.8</v>
      </c>
    </row>
    <row r="1493">
      <c r="A1493" s="81" t="n">
        <v>34981</v>
      </c>
      <c r="D1493" t="n">
        <v>1137.3</v>
      </c>
    </row>
    <row r="1494">
      <c r="A1494" s="81" t="n">
        <v>34988</v>
      </c>
      <c r="D1494" t="n">
        <v>1141.2</v>
      </c>
    </row>
    <row r="1495">
      <c r="A1495" s="81" t="n">
        <v>34995</v>
      </c>
      <c r="D1495" t="n">
        <v>1136.1</v>
      </c>
    </row>
    <row r="1496">
      <c r="A1496" s="81" t="n">
        <v>35002</v>
      </c>
      <c r="D1496" t="n">
        <v>1135.2</v>
      </c>
    </row>
    <row r="1497">
      <c r="A1497" s="81" t="n">
        <v>35004</v>
      </c>
      <c r="B1497" t="n">
        <v>737.9</v>
      </c>
      <c r="C1497" t="n">
        <v>2355.2</v>
      </c>
      <c r="E1497" t="n">
        <v>3619.9</v>
      </c>
    </row>
    <row r="1498">
      <c r="A1498" s="81" t="n">
        <v>35009</v>
      </c>
      <c r="D1498" t="n">
        <v>1137.9</v>
      </c>
    </row>
    <row r="1499">
      <c r="A1499" s="81" t="n">
        <v>35016</v>
      </c>
      <c r="D1499" t="n">
        <v>1134.3</v>
      </c>
    </row>
    <row r="1500">
      <c r="A1500" s="81" t="n">
        <v>35023</v>
      </c>
      <c r="D1500" t="n">
        <v>1134.6</v>
      </c>
    </row>
    <row r="1501">
      <c r="A1501" s="81" t="n">
        <v>35030</v>
      </c>
      <c r="D1501" t="n">
        <v>1133.8</v>
      </c>
    </row>
    <row r="1502">
      <c r="A1502" s="81" t="n">
        <v>35034</v>
      </c>
      <c r="B1502" t="n">
        <v>732.6</v>
      </c>
      <c r="C1502" t="n">
        <v>2358.3</v>
      </c>
      <c r="E1502" t="n">
        <v>3629.5</v>
      </c>
    </row>
    <row r="1503">
      <c r="A1503" s="81" t="n">
        <v>35037</v>
      </c>
      <c r="D1503" t="n">
        <v>1125.5</v>
      </c>
    </row>
    <row r="1504">
      <c r="A1504" s="81" t="n">
        <v>35044</v>
      </c>
      <c r="D1504" t="n">
        <v>1131</v>
      </c>
    </row>
    <row r="1505">
      <c r="A1505" s="81" t="n">
        <v>35051</v>
      </c>
      <c r="D1505" t="n">
        <v>1122.7</v>
      </c>
    </row>
    <row r="1506">
      <c r="A1506" s="81" t="n">
        <v>35058</v>
      </c>
      <c r="D1506" t="n">
        <v>1127</v>
      </c>
    </row>
    <row r="1507">
      <c r="A1507" s="81" t="n">
        <v>35065</v>
      </c>
      <c r="B1507" t="n">
        <v>726.2</v>
      </c>
      <c r="C1507" t="n">
        <v>2358</v>
      </c>
      <c r="D1507" t="n">
        <v>1130.5</v>
      </c>
      <c r="E1507" t="n">
        <v>3647.9</v>
      </c>
    </row>
    <row r="1508">
      <c r="A1508" s="81" t="n">
        <v>35072</v>
      </c>
      <c r="D1508" t="n">
        <v>1124.9</v>
      </c>
    </row>
    <row r="1509">
      <c r="A1509" s="81" t="n">
        <v>35079</v>
      </c>
      <c r="D1509" t="n">
        <v>1129.4</v>
      </c>
    </row>
    <row r="1510">
      <c r="A1510" s="81" t="n">
        <v>35086</v>
      </c>
      <c r="D1510" t="n">
        <v>1120.8</v>
      </c>
    </row>
    <row r="1511">
      <c r="A1511" s="81" t="n">
        <v>35093</v>
      </c>
      <c r="D1511" t="n">
        <v>1117.9</v>
      </c>
    </row>
    <row r="1512">
      <c r="A1512" s="81" t="n">
        <v>35096</v>
      </c>
      <c r="B1512" t="n">
        <v>721.6</v>
      </c>
      <c r="C1512" t="n">
        <v>2362.5</v>
      </c>
      <c r="E1512" t="n">
        <v>3661.8</v>
      </c>
    </row>
    <row r="1513">
      <c r="A1513" s="81" t="n">
        <v>35100</v>
      </c>
      <c r="D1513" t="n">
        <v>1121.5</v>
      </c>
    </row>
    <row r="1514">
      <c r="A1514" s="81" t="n">
        <v>35107</v>
      </c>
      <c r="D1514" t="n">
        <v>1118.6</v>
      </c>
    </row>
    <row r="1515">
      <c r="A1515" s="81" t="n">
        <v>35114</v>
      </c>
      <c r="D1515" t="n">
        <v>1115.7</v>
      </c>
    </row>
    <row r="1516">
      <c r="A1516" s="81" t="n">
        <v>35121</v>
      </c>
      <c r="D1516" t="n">
        <v>1116.9</v>
      </c>
    </row>
    <row r="1517">
      <c r="A1517" s="81" t="n">
        <v>35125</v>
      </c>
      <c r="B1517" t="n">
        <v>721.9</v>
      </c>
      <c r="C1517" t="n">
        <v>2371</v>
      </c>
      <c r="E1517" t="n">
        <v>3686.9</v>
      </c>
    </row>
    <row r="1518">
      <c r="A1518" s="81" t="n">
        <v>35128</v>
      </c>
      <c r="D1518" t="n">
        <v>1123</v>
      </c>
    </row>
    <row r="1519">
      <c r="A1519" s="81" t="n">
        <v>35135</v>
      </c>
      <c r="D1519" t="n">
        <v>1118.7</v>
      </c>
    </row>
    <row r="1520">
      <c r="A1520" s="81" t="n">
        <v>35142</v>
      </c>
      <c r="D1520" t="n">
        <v>1120.8</v>
      </c>
    </row>
    <row r="1521">
      <c r="A1521" s="81" t="n">
        <v>35149</v>
      </c>
      <c r="D1521" t="n">
        <v>1123.2</v>
      </c>
    </row>
    <row r="1522">
      <c r="A1522" s="81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</row>
    <row r="1523">
      <c r="A1523" s="81" t="n">
        <v>35163</v>
      </c>
      <c r="D1523" t="n">
        <v>1124.1</v>
      </c>
    </row>
    <row r="1524">
      <c r="A1524" s="81" t="n">
        <v>35170</v>
      </c>
      <c r="D1524" t="n">
        <v>1130.4</v>
      </c>
    </row>
    <row r="1525">
      <c r="A1525" s="81" t="n">
        <v>35177</v>
      </c>
      <c r="D1525" t="n">
        <v>1125</v>
      </c>
    </row>
    <row r="1526">
      <c r="A1526" s="81" t="n">
        <v>35184</v>
      </c>
      <c r="D1526" t="n">
        <v>1118.6</v>
      </c>
    </row>
    <row r="1527">
      <c r="A1527" s="81" t="n">
        <v>35186</v>
      </c>
      <c r="B1527" t="n">
        <v>713.9</v>
      </c>
      <c r="C1527" t="n">
        <v>2371.9</v>
      </c>
      <c r="E1527" t="n">
        <v>3709.6</v>
      </c>
    </row>
    <row r="1528">
      <c r="A1528" s="81" t="n">
        <v>35191</v>
      </c>
      <c r="D1528" t="n">
        <v>1123</v>
      </c>
    </row>
    <row r="1529">
      <c r="A1529" s="81" t="n">
        <v>35198</v>
      </c>
      <c r="D1529" t="n">
        <v>1117.6</v>
      </c>
    </row>
    <row r="1530">
      <c r="A1530" s="81" t="n">
        <v>35205</v>
      </c>
      <c r="D1530" t="n">
        <v>1117.3</v>
      </c>
    </row>
    <row r="1531">
      <c r="A1531" s="81" t="n">
        <v>35212</v>
      </c>
      <c r="D1531" t="n">
        <v>1110.8</v>
      </c>
    </row>
    <row r="1532">
      <c r="A1532" s="81" t="n">
        <v>35217</v>
      </c>
      <c r="B1532" t="n">
        <v>711.7</v>
      </c>
      <c r="C1532" t="n">
        <v>2375.6</v>
      </c>
      <c r="E1532" t="n">
        <v>3722.5</v>
      </c>
    </row>
    <row r="1533">
      <c r="A1533" s="81" t="n">
        <v>35219</v>
      </c>
      <c r="D1533" t="n">
        <v>1114.2</v>
      </c>
    </row>
    <row r="1534">
      <c r="A1534" s="81" t="n">
        <v>35226</v>
      </c>
      <c r="D1534" t="n">
        <v>1114.9</v>
      </c>
    </row>
    <row r="1535">
      <c r="A1535" s="81" t="n">
        <v>35233</v>
      </c>
      <c r="D1535" t="n">
        <v>1114.5</v>
      </c>
    </row>
    <row r="1536">
      <c r="A1536" s="81" t="n">
        <v>35240</v>
      </c>
      <c r="D1536" t="n">
        <v>1113</v>
      </c>
    </row>
    <row r="1537">
      <c r="A1537" s="81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</row>
    <row r="1538">
      <c r="A1538" s="81" t="n">
        <v>35254</v>
      </c>
      <c r="D1538" t="n">
        <v>1109</v>
      </c>
    </row>
    <row r="1539">
      <c r="A1539" s="81" t="n">
        <v>35261</v>
      </c>
      <c r="D1539" t="n">
        <v>1115.1</v>
      </c>
    </row>
    <row r="1540">
      <c r="A1540" s="81" t="n">
        <v>35268</v>
      </c>
      <c r="D1540" t="n">
        <v>1113.1</v>
      </c>
    </row>
    <row r="1541">
      <c r="A1541" s="81" t="n">
        <v>35275</v>
      </c>
      <c r="D1541" t="n">
        <v>1112.1</v>
      </c>
    </row>
    <row r="1542">
      <c r="A1542" s="81" t="n">
        <v>35278</v>
      </c>
      <c r="B1542" t="n">
        <v>700.8</v>
      </c>
      <c r="C1542" t="n">
        <v>2381.7</v>
      </c>
      <c r="E1542" t="n">
        <v>3744</v>
      </c>
    </row>
    <row r="1543">
      <c r="A1543" s="81" t="n">
        <v>35282</v>
      </c>
      <c r="D1543" t="n">
        <v>1108.5</v>
      </c>
    </row>
    <row r="1544">
      <c r="A1544" s="81" t="n">
        <v>35289</v>
      </c>
      <c r="D1544" t="n">
        <v>1106.1</v>
      </c>
    </row>
    <row r="1545">
      <c r="A1545" s="81" t="n">
        <v>35296</v>
      </c>
      <c r="D1545" t="n">
        <v>1098.1</v>
      </c>
    </row>
    <row r="1546">
      <c r="A1546" s="81" t="n">
        <v>35303</v>
      </c>
      <c r="D1546" t="n">
        <v>1098.6</v>
      </c>
    </row>
    <row r="1547">
      <c r="A1547" s="81" t="n">
        <v>35309</v>
      </c>
      <c r="B1547" t="n">
        <v>695.1</v>
      </c>
      <c r="C1547" t="n">
        <v>2380.1</v>
      </c>
      <c r="E1547" t="n">
        <v>3753.4</v>
      </c>
    </row>
    <row r="1548">
      <c r="A1548" s="81" t="n">
        <v>35310</v>
      </c>
      <c r="D1548" t="n">
        <v>1097.9</v>
      </c>
    </row>
    <row r="1549">
      <c r="A1549" s="81" t="n">
        <v>35317</v>
      </c>
      <c r="D1549" t="n">
        <v>1103.8</v>
      </c>
    </row>
    <row r="1550">
      <c r="A1550" s="81" t="n">
        <v>35324</v>
      </c>
      <c r="D1550" t="n">
        <v>1096.7</v>
      </c>
    </row>
    <row r="1551">
      <c r="A1551" s="81" t="n">
        <v>35331</v>
      </c>
      <c r="D1551" t="n">
        <v>1091.7</v>
      </c>
    </row>
    <row r="1552">
      <c r="A1552" s="81" t="n">
        <v>35338</v>
      </c>
      <c r="D1552" t="n">
        <v>1091.8</v>
      </c>
    </row>
    <row r="1553">
      <c r="A1553" s="81" t="n">
        <v>35339</v>
      </c>
      <c r="B1553" t="n">
        <v>686.3</v>
      </c>
      <c r="C1553" t="n">
        <v>2384.8</v>
      </c>
      <c r="E1553" t="n">
        <v>3772.8</v>
      </c>
    </row>
    <row r="1554">
      <c r="A1554" s="81" t="n">
        <v>35345</v>
      </c>
      <c r="D1554" t="n">
        <v>1088.5</v>
      </c>
    </row>
    <row r="1555">
      <c r="A1555" s="81" t="n">
        <v>35352</v>
      </c>
      <c r="D1555" t="n">
        <v>1091.6</v>
      </c>
    </row>
    <row r="1556">
      <c r="A1556" s="81" t="n">
        <v>35359</v>
      </c>
      <c r="D1556" t="n">
        <v>1086.7</v>
      </c>
    </row>
    <row r="1557">
      <c r="A1557" s="81" t="n">
        <v>35366</v>
      </c>
      <c r="D1557" t="n">
        <v>1077.8</v>
      </c>
    </row>
    <row r="1558">
      <c r="A1558" s="81" t="n">
        <v>35370</v>
      </c>
      <c r="B1558" t="n">
        <v>682.7</v>
      </c>
      <c r="C1558" t="n">
        <v>2391.4</v>
      </c>
      <c r="E1558" t="n">
        <v>3795.1</v>
      </c>
    </row>
    <row r="1559">
      <c r="A1559" s="81" t="n">
        <v>35373</v>
      </c>
      <c r="D1559" t="n">
        <v>1081.2</v>
      </c>
    </row>
    <row r="1560">
      <c r="A1560" s="81" t="n">
        <v>35380</v>
      </c>
      <c r="D1560" t="n">
        <v>1088.1</v>
      </c>
    </row>
    <row r="1561">
      <c r="A1561" s="81" t="n">
        <v>35387</v>
      </c>
      <c r="D1561" t="n">
        <v>1087.7</v>
      </c>
    </row>
    <row r="1562">
      <c r="A1562" s="81" t="n">
        <v>35394</v>
      </c>
      <c r="D1562" t="n">
        <v>1078.1</v>
      </c>
    </row>
    <row r="1563">
      <c r="A1563" s="81" t="n">
        <v>35400</v>
      </c>
      <c r="B1563" t="n">
        <v>679.6</v>
      </c>
      <c r="C1563" t="n">
        <v>2400.1</v>
      </c>
      <c r="E1563" t="n">
        <v>3818.6</v>
      </c>
    </row>
    <row r="1564">
      <c r="A1564" s="81" t="n">
        <v>35401</v>
      </c>
      <c r="D1564" t="n">
        <v>1081</v>
      </c>
    </row>
    <row r="1565">
      <c r="A1565" s="81" t="n">
        <v>35408</v>
      </c>
      <c r="D1565" t="n">
        <v>1091.1</v>
      </c>
    </row>
    <row r="1566">
      <c r="A1566" s="81" t="n">
        <v>35415</v>
      </c>
      <c r="D1566" t="n">
        <v>1083.9</v>
      </c>
    </row>
    <row r="1567">
      <c r="A1567" s="81" t="n">
        <v>35422</v>
      </c>
      <c r="D1567" t="n">
        <v>1080.2</v>
      </c>
    </row>
    <row r="1568">
      <c r="A1568" s="81" t="n">
        <v>35429</v>
      </c>
      <c r="D1568" t="n">
        <v>1070.7</v>
      </c>
    </row>
    <row r="1569">
      <c r="A1569" s="81" t="n">
        <v>35431</v>
      </c>
      <c r="B1569" t="n">
        <v>678.3</v>
      </c>
      <c r="C1569" t="n">
        <v>2405.6</v>
      </c>
      <c r="E1569" t="n">
        <v>3834.6</v>
      </c>
    </row>
    <row r="1570">
      <c r="A1570" s="81" t="n">
        <v>35436</v>
      </c>
      <c r="D1570" t="n">
        <v>1079.6</v>
      </c>
    </row>
    <row r="1571">
      <c r="A1571" s="81" t="n">
        <v>35443</v>
      </c>
      <c r="D1571" t="n">
        <v>1089.9</v>
      </c>
    </row>
    <row r="1572">
      <c r="A1572" s="81" t="n">
        <v>35450</v>
      </c>
      <c r="D1572" t="n">
        <v>1081.7</v>
      </c>
    </row>
    <row r="1573">
      <c r="A1573" s="81" t="n">
        <v>35457</v>
      </c>
      <c r="D1573" t="n">
        <v>1075.8</v>
      </c>
    </row>
    <row r="1574">
      <c r="A1574" s="81" t="n">
        <v>35462</v>
      </c>
      <c r="B1574" t="n">
        <v>675.5</v>
      </c>
      <c r="C1574" t="n">
        <v>2408.5</v>
      </c>
      <c r="E1574" t="n">
        <v>3846.3</v>
      </c>
    </row>
    <row r="1575">
      <c r="A1575" s="81" t="n">
        <v>35464</v>
      </c>
      <c r="D1575" t="n">
        <v>1077.2</v>
      </c>
    </row>
    <row r="1576">
      <c r="A1576" s="81" t="n">
        <v>35471</v>
      </c>
      <c r="D1576" t="n">
        <v>1086.5</v>
      </c>
    </row>
    <row r="1577">
      <c r="A1577" s="81" t="n">
        <v>35478</v>
      </c>
      <c r="D1577" t="n">
        <v>1078.2</v>
      </c>
    </row>
    <row r="1578">
      <c r="A1578" s="81" t="n">
        <v>35485</v>
      </c>
      <c r="D1578" t="n">
        <v>1075.3</v>
      </c>
    </row>
    <row r="1579">
      <c r="A1579" s="81" t="n">
        <v>35490</v>
      </c>
      <c r="B1579" t="n">
        <v>671.2</v>
      </c>
      <c r="C1579" t="n">
        <v>2416.3</v>
      </c>
      <c r="E1579" t="n">
        <v>3861.2</v>
      </c>
    </row>
    <row r="1580">
      <c r="A1580" s="81" t="n">
        <v>35492</v>
      </c>
      <c r="D1580" t="n">
        <v>1073.6</v>
      </c>
    </row>
    <row r="1581">
      <c r="A1581" s="81" t="n">
        <v>35499</v>
      </c>
      <c r="D1581" t="n">
        <v>1081.3</v>
      </c>
    </row>
    <row r="1582">
      <c r="A1582" s="81" t="n">
        <v>35506</v>
      </c>
      <c r="D1582" t="n">
        <v>1075.2</v>
      </c>
    </row>
    <row r="1583">
      <c r="A1583" s="81" t="n">
        <v>35513</v>
      </c>
      <c r="D1583" t="n">
        <v>1069.4</v>
      </c>
    </row>
    <row r="1584">
      <c r="A1584" s="81" t="n">
        <v>35520</v>
      </c>
      <c r="D1584" t="n">
        <v>1063.6</v>
      </c>
    </row>
    <row r="1585">
      <c r="A1585" s="81" t="n">
        <v>35521</v>
      </c>
      <c r="B1585" t="n">
        <v>665.4</v>
      </c>
      <c r="C1585" t="n">
        <v>2424.6</v>
      </c>
      <c r="E1585" t="n">
        <v>3877</v>
      </c>
    </row>
    <row r="1586">
      <c r="A1586" s="81" t="n">
        <v>35527</v>
      </c>
      <c r="D1586" t="n">
        <v>1069.7</v>
      </c>
    </row>
    <row r="1587">
      <c r="A1587" s="81" t="n">
        <v>35534</v>
      </c>
      <c r="D1587" t="n">
        <v>1066.6</v>
      </c>
    </row>
    <row r="1588">
      <c r="A1588" s="81" t="n">
        <v>35541</v>
      </c>
      <c r="D1588" t="n">
        <v>1064.1</v>
      </c>
    </row>
    <row r="1589">
      <c r="A1589" s="81" t="n">
        <v>35548</v>
      </c>
      <c r="D1589" t="n">
        <v>1055.5</v>
      </c>
    </row>
    <row r="1590">
      <c r="A1590" s="81" t="n">
        <v>35551</v>
      </c>
      <c r="B1590" t="n">
        <v>665.3</v>
      </c>
      <c r="C1590" t="n">
        <v>2432.3</v>
      </c>
      <c r="E1590" t="n">
        <v>3889.2</v>
      </c>
    </row>
    <row r="1591">
      <c r="A1591" s="81" t="n">
        <v>35555</v>
      </c>
      <c r="D1591" t="n">
        <v>1062.7</v>
      </c>
    </row>
    <row r="1592">
      <c r="A1592" s="81" t="n">
        <v>35562</v>
      </c>
      <c r="D1592" t="n">
        <v>1067.3</v>
      </c>
    </row>
    <row r="1593">
      <c r="A1593" s="81" t="n">
        <v>35569</v>
      </c>
      <c r="D1593" t="n">
        <v>1063.3</v>
      </c>
    </row>
    <row r="1594">
      <c r="A1594" s="81" t="n">
        <v>35576</v>
      </c>
      <c r="D1594" t="n">
        <v>1060.6</v>
      </c>
    </row>
    <row r="1595">
      <c r="A1595" s="81" t="n">
        <v>35582</v>
      </c>
      <c r="B1595" t="n">
        <v>665.5</v>
      </c>
      <c r="C1595" t="n">
        <v>2438.2</v>
      </c>
      <c r="E1595" t="n">
        <v>3906</v>
      </c>
    </row>
    <row r="1596">
      <c r="A1596" s="81" t="n">
        <v>35583</v>
      </c>
      <c r="D1596" t="n">
        <v>1065.1</v>
      </c>
    </row>
    <row r="1597">
      <c r="A1597" s="81" t="n">
        <v>35590</v>
      </c>
      <c r="D1597" t="n">
        <v>1072.3</v>
      </c>
    </row>
    <row r="1598">
      <c r="A1598" s="81" t="n">
        <v>35597</v>
      </c>
      <c r="D1598" t="n">
        <v>1068.6</v>
      </c>
    </row>
    <row r="1599">
      <c r="A1599" s="81" t="n">
        <v>35604</v>
      </c>
      <c r="D1599" t="n">
        <v>1061.7</v>
      </c>
    </row>
    <row r="1600">
      <c r="A1600" s="81" t="n">
        <v>35611</v>
      </c>
      <c r="D1600" t="n">
        <v>1062.1</v>
      </c>
    </row>
    <row r="1601">
      <c r="A1601" s="81" t="n">
        <v>35612</v>
      </c>
      <c r="B1601" t="n">
        <v>664.3</v>
      </c>
      <c r="C1601" t="n">
        <v>2446.3</v>
      </c>
      <c r="E1601" t="n">
        <v>3923.9</v>
      </c>
    </row>
    <row r="1602">
      <c r="A1602" s="81" t="n">
        <v>35618</v>
      </c>
      <c r="D1602" t="n">
        <v>1065.6</v>
      </c>
    </row>
    <row r="1603">
      <c r="A1603" s="81" t="n">
        <v>35625</v>
      </c>
      <c r="D1603" t="n">
        <v>1069.3</v>
      </c>
    </row>
    <row r="1604">
      <c r="A1604" s="81" t="n">
        <v>35632</v>
      </c>
      <c r="D1604" t="n">
        <v>1064</v>
      </c>
    </row>
    <row r="1605">
      <c r="A1605" s="81" t="n">
        <v>35639</v>
      </c>
      <c r="D1605" t="n">
        <v>1060.6</v>
      </c>
    </row>
    <row r="1606">
      <c r="A1606" s="81" t="n">
        <v>35643</v>
      </c>
      <c r="B1606" t="n">
        <v>668.7</v>
      </c>
      <c r="C1606" t="n">
        <v>2461.1</v>
      </c>
      <c r="E1606" t="n">
        <v>3957.4</v>
      </c>
    </row>
    <row r="1607">
      <c r="A1607" s="81" t="n">
        <v>35646</v>
      </c>
      <c r="D1607" t="n">
        <v>1071</v>
      </c>
    </row>
    <row r="1608">
      <c r="A1608" s="81" t="n">
        <v>35653</v>
      </c>
      <c r="D1608" t="n">
        <v>1080.2</v>
      </c>
    </row>
    <row r="1609">
      <c r="A1609" s="81" t="n">
        <v>35660</v>
      </c>
      <c r="D1609" t="n">
        <v>1076.4</v>
      </c>
    </row>
    <row r="1610">
      <c r="A1610" s="81" t="n">
        <v>35667</v>
      </c>
      <c r="D1610" t="n">
        <v>1074.5</v>
      </c>
    </row>
    <row r="1611">
      <c r="A1611" s="81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1" t="n">
        <v>35681</v>
      </c>
      <c r="D1612" t="n">
        <v>1077.6</v>
      </c>
    </row>
    <row r="1613">
      <c r="A1613" s="81" t="n">
        <v>35688</v>
      </c>
      <c r="D1613" t="n">
        <v>1066.5</v>
      </c>
    </row>
    <row r="1614">
      <c r="A1614" s="81" t="n">
        <v>35695</v>
      </c>
      <c r="D1614" t="n">
        <v>1062.2</v>
      </c>
    </row>
    <row r="1615">
      <c r="A1615" s="81" t="n">
        <v>35702</v>
      </c>
      <c r="D1615" t="n">
        <v>1060.1</v>
      </c>
    </row>
    <row r="1616">
      <c r="A1616" s="81" t="n">
        <v>35704</v>
      </c>
      <c r="B1616" t="n">
        <v>659.8</v>
      </c>
      <c r="C1616" t="n">
        <v>2472</v>
      </c>
      <c r="E1616" t="n">
        <v>3992.3</v>
      </c>
    </row>
    <row r="1617">
      <c r="A1617" s="81" t="n">
        <v>35709</v>
      </c>
      <c r="D1617" t="n">
        <v>1068.8</v>
      </c>
    </row>
    <row r="1618">
      <c r="A1618" s="81" t="n">
        <v>35716</v>
      </c>
      <c r="D1618" t="n">
        <v>1066.3</v>
      </c>
    </row>
    <row r="1619">
      <c r="A1619" s="81" t="n">
        <v>35723</v>
      </c>
      <c r="D1619" t="n">
        <v>1064.5</v>
      </c>
    </row>
    <row r="1620">
      <c r="A1620" s="81" t="n">
        <v>35730</v>
      </c>
      <c r="D1620" t="n">
        <v>1058.7</v>
      </c>
    </row>
    <row r="1621">
      <c r="A1621" s="81" t="n">
        <v>35735</v>
      </c>
      <c r="B1621" t="n">
        <v>662.3</v>
      </c>
      <c r="C1621" t="n">
        <v>2482.9</v>
      </c>
      <c r="E1621" t="n">
        <v>4014.8</v>
      </c>
    </row>
    <row r="1622">
      <c r="A1622" s="81" t="n">
        <v>35737</v>
      </c>
      <c r="D1622" t="n">
        <v>1073.1</v>
      </c>
    </row>
    <row r="1623">
      <c r="A1623" s="81" t="n">
        <v>35744</v>
      </c>
      <c r="D1623" t="n">
        <v>1075.4</v>
      </c>
    </row>
    <row r="1624">
      <c r="A1624" s="81" t="n">
        <v>35751</v>
      </c>
      <c r="D1624" t="n">
        <v>1070.4</v>
      </c>
    </row>
    <row r="1625">
      <c r="A1625" s="81" t="n">
        <v>35758</v>
      </c>
      <c r="D1625" t="n">
        <v>1066.4</v>
      </c>
    </row>
    <row r="1626">
      <c r="A1626" s="81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1" t="n">
        <v>35772</v>
      </c>
      <c r="D1627" t="n">
        <v>1072.2</v>
      </c>
    </row>
    <row r="1628">
      <c r="A1628" s="81" t="n">
        <v>35779</v>
      </c>
      <c r="D1628" t="n">
        <v>1072.9</v>
      </c>
    </row>
    <row r="1629">
      <c r="A1629" s="81" t="n">
        <v>35786</v>
      </c>
      <c r="D1629" t="n">
        <v>1070.6</v>
      </c>
    </row>
    <row r="1630">
      <c r="A1630" s="81" t="n">
        <v>35793</v>
      </c>
      <c r="D1630" t="n">
        <v>1071.4</v>
      </c>
    </row>
    <row r="1631">
      <c r="A1631" s="81" t="n">
        <v>35796</v>
      </c>
      <c r="B1631" t="n">
        <v>663</v>
      </c>
      <c r="C1631" t="n">
        <v>2503.8</v>
      </c>
      <c r="E1631" t="n">
        <v>4056.2</v>
      </c>
    </row>
    <row r="1632">
      <c r="A1632" s="81" t="n">
        <v>35800</v>
      </c>
      <c r="D1632" t="n">
        <v>1080.9</v>
      </c>
    </row>
    <row r="1633">
      <c r="A1633" s="81" t="n">
        <v>35807</v>
      </c>
      <c r="D1633" t="n">
        <v>1078</v>
      </c>
    </row>
    <row r="1634">
      <c r="A1634" s="81" t="n">
        <v>35814</v>
      </c>
      <c r="D1634" t="n">
        <v>1070.3</v>
      </c>
    </row>
    <row r="1635">
      <c r="A1635" s="81" t="n">
        <v>35821</v>
      </c>
      <c r="D1635" t="n">
        <v>1070.9</v>
      </c>
    </row>
    <row r="1636">
      <c r="A1636" s="81" t="n">
        <v>35827</v>
      </c>
      <c r="B1636" t="n">
        <v>665.3</v>
      </c>
      <c r="C1636" t="n">
        <v>2524</v>
      </c>
      <c r="E1636" t="n">
        <v>4088.9</v>
      </c>
    </row>
    <row r="1637">
      <c r="A1637" s="81" t="n">
        <v>35828</v>
      </c>
      <c r="D1637" t="n">
        <v>1072.2</v>
      </c>
    </row>
    <row r="1638">
      <c r="A1638" s="81" t="n">
        <v>35835</v>
      </c>
      <c r="D1638" t="n">
        <v>1080.1</v>
      </c>
    </row>
    <row r="1639">
      <c r="A1639" s="81" t="n">
        <v>35842</v>
      </c>
      <c r="D1639" t="n">
        <v>1077.4</v>
      </c>
    </row>
    <row r="1640">
      <c r="A1640" s="81" t="n">
        <v>35849</v>
      </c>
      <c r="D1640" t="n">
        <v>1076.8</v>
      </c>
    </row>
    <row r="1641">
      <c r="A1641" s="81" t="n">
        <v>35855</v>
      </c>
      <c r="B1641" t="n">
        <v>664.8</v>
      </c>
      <c r="C1641" t="n">
        <v>2539.7</v>
      </c>
      <c r="E1641" t="n">
        <v>4114.3</v>
      </c>
    </row>
    <row r="1642">
      <c r="A1642" s="81" t="n">
        <v>35856</v>
      </c>
      <c r="D1642" t="n">
        <v>1079.3</v>
      </c>
    </row>
    <row r="1643">
      <c r="A1643" s="81" t="n">
        <v>35863</v>
      </c>
      <c r="D1643" t="n">
        <v>1085.8</v>
      </c>
    </row>
    <row r="1644">
      <c r="A1644" s="81" t="n">
        <v>35870</v>
      </c>
      <c r="D1644" t="n">
        <v>1081.7</v>
      </c>
    </row>
    <row r="1645">
      <c r="A1645" s="81" t="n">
        <v>35877</v>
      </c>
      <c r="D1645" t="n">
        <v>1074.4</v>
      </c>
    </row>
    <row r="1646">
      <c r="A1646" s="81" t="n">
        <v>35884</v>
      </c>
      <c r="D1646" t="n">
        <v>1064.8</v>
      </c>
    </row>
    <row r="1647">
      <c r="A1647" s="81" t="n">
        <v>35886</v>
      </c>
      <c r="B1647" t="n">
        <v>663.7</v>
      </c>
      <c r="C1647" t="n">
        <v>2552.5</v>
      </c>
      <c r="E1647" t="n">
        <v>4140.2</v>
      </c>
    </row>
    <row r="1648">
      <c r="A1648" s="81" t="n">
        <v>35891</v>
      </c>
      <c r="D1648" t="n">
        <v>1079.1</v>
      </c>
    </row>
    <row r="1649">
      <c r="A1649" s="81" t="n">
        <v>35898</v>
      </c>
      <c r="D1649" t="n">
        <v>1078.2</v>
      </c>
    </row>
    <row r="1650">
      <c r="A1650" s="81" t="n">
        <v>35905</v>
      </c>
      <c r="D1650" t="n">
        <v>1079.4</v>
      </c>
    </row>
    <row r="1651">
      <c r="A1651" s="81" t="n">
        <v>35912</v>
      </c>
      <c r="D1651" t="n">
        <v>1068.5</v>
      </c>
    </row>
    <row r="1652">
      <c r="A1652" s="81" t="n">
        <v>35916</v>
      </c>
      <c r="B1652" t="n">
        <v>663.7</v>
      </c>
      <c r="C1652" t="n">
        <v>2561.1</v>
      </c>
      <c r="E1652" t="n">
        <v>4164.4</v>
      </c>
    </row>
    <row r="1653">
      <c r="A1653" s="81" t="n">
        <v>35919</v>
      </c>
      <c r="D1653" t="n">
        <v>1078.9</v>
      </c>
    </row>
    <row r="1654">
      <c r="A1654" s="81" t="n">
        <v>35926</v>
      </c>
      <c r="D1654" t="n">
        <v>1084.4</v>
      </c>
    </row>
    <row r="1655">
      <c r="A1655" s="81" t="n">
        <v>35933</v>
      </c>
      <c r="D1655" t="n">
        <v>1081.2</v>
      </c>
    </row>
    <row r="1656">
      <c r="A1656" s="81" t="n">
        <v>35940</v>
      </c>
      <c r="D1656" t="n">
        <v>1072.9</v>
      </c>
    </row>
    <row r="1657">
      <c r="A1657" s="81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1" t="n">
        <v>35954</v>
      </c>
      <c r="D1658" t="n">
        <v>1081</v>
      </c>
    </row>
    <row r="1659">
      <c r="A1659" s="81" t="n">
        <v>35961</v>
      </c>
      <c r="D1659" t="n">
        <v>1083.8</v>
      </c>
    </row>
    <row r="1660">
      <c r="A1660" s="81" t="n">
        <v>35968</v>
      </c>
      <c r="D1660" t="n">
        <v>1071.8</v>
      </c>
    </row>
    <row r="1661">
      <c r="A1661" s="81" t="n">
        <v>35975</v>
      </c>
      <c r="D1661" t="n">
        <v>1066.9</v>
      </c>
    </row>
    <row r="1662">
      <c r="A1662" s="81" t="n">
        <v>35977</v>
      </c>
      <c r="B1662" t="n">
        <v>658.8</v>
      </c>
      <c r="C1662" t="n">
        <v>2575.9</v>
      </c>
      <c r="E1662" t="n">
        <v>4203.8</v>
      </c>
    </row>
    <row r="1663">
      <c r="A1663" s="81" t="n">
        <v>35982</v>
      </c>
      <c r="D1663" t="n">
        <v>1083.2</v>
      </c>
    </row>
    <row r="1664">
      <c r="A1664" s="81" t="n">
        <v>35989</v>
      </c>
      <c r="D1664" t="n">
        <v>1075</v>
      </c>
    </row>
    <row r="1665">
      <c r="A1665" s="81" t="n">
        <v>35996</v>
      </c>
      <c r="D1665" t="n">
        <v>1072.7</v>
      </c>
    </row>
    <row r="1666">
      <c r="A1666" s="81" t="n">
        <v>36003</v>
      </c>
      <c r="D1666" t="n">
        <v>1067.7</v>
      </c>
    </row>
    <row r="1667">
      <c r="A1667" s="81" t="n">
        <v>36008</v>
      </c>
      <c r="B1667" t="n">
        <v>658.4</v>
      </c>
      <c r="C1667" t="n">
        <v>2587.9</v>
      </c>
      <c r="E1667" t="n">
        <v>4228.7</v>
      </c>
    </row>
    <row r="1668">
      <c r="A1668" s="81" t="n">
        <v>36010</v>
      </c>
      <c r="D1668" t="n">
        <v>1079.8</v>
      </c>
    </row>
    <row r="1669">
      <c r="A1669" s="81" t="n">
        <v>36017</v>
      </c>
      <c r="D1669" t="n">
        <v>1084.1</v>
      </c>
    </row>
    <row r="1670">
      <c r="A1670" s="81" t="n">
        <v>36024</v>
      </c>
      <c r="D1670" t="n">
        <v>1075.4</v>
      </c>
    </row>
    <row r="1671">
      <c r="A1671" s="81" t="n">
        <v>36031</v>
      </c>
      <c r="D1671" t="n">
        <v>1072.4</v>
      </c>
    </row>
    <row r="1672">
      <c r="A1672" s="81" t="n">
        <v>36038</v>
      </c>
      <c r="D1672" t="n">
        <v>1069.8</v>
      </c>
    </row>
    <row r="1673">
      <c r="A1673" s="81" t="n">
        <v>36039</v>
      </c>
      <c r="B1673" t="n">
        <v>660.5</v>
      </c>
      <c r="C1673" t="n">
        <v>2610.2</v>
      </c>
      <c r="E1673" t="n">
        <v>4267.6</v>
      </c>
    </row>
    <row r="1674">
      <c r="A1674" s="81" t="n">
        <v>36045</v>
      </c>
      <c r="D1674" t="n">
        <v>1076.2</v>
      </c>
    </row>
    <row r="1675">
      <c r="A1675" s="81" t="n">
        <v>36052</v>
      </c>
      <c r="D1675" t="n">
        <v>1083.9</v>
      </c>
    </row>
    <row r="1676">
      <c r="A1676" s="81" t="n">
        <v>36059</v>
      </c>
      <c r="D1676" t="n">
        <v>1083.4</v>
      </c>
    </row>
    <row r="1677">
      <c r="A1677" s="81" t="n">
        <v>36066</v>
      </c>
      <c r="D1677" t="n">
        <v>1074.5</v>
      </c>
    </row>
    <row r="1678">
      <c r="A1678" s="81" t="n">
        <v>36069</v>
      </c>
      <c r="B1678" t="n">
        <v>662.6</v>
      </c>
      <c r="C1678" t="n">
        <v>2628.2</v>
      </c>
      <c r="E1678" t="n">
        <v>4307.7</v>
      </c>
    </row>
    <row r="1679">
      <c r="A1679" s="81" t="n">
        <v>36073</v>
      </c>
      <c r="D1679" t="n">
        <v>1084.2</v>
      </c>
    </row>
    <row r="1680">
      <c r="A1680" s="81" t="n">
        <v>36080</v>
      </c>
      <c r="D1680" t="n">
        <v>1084</v>
      </c>
    </row>
    <row r="1681">
      <c r="A1681" s="81" t="n">
        <v>36087</v>
      </c>
      <c r="D1681" t="n">
        <v>1086.1</v>
      </c>
    </row>
    <row r="1682">
      <c r="A1682" s="81" t="n">
        <v>36094</v>
      </c>
      <c r="D1682" t="n">
        <v>1086.9</v>
      </c>
    </row>
    <row r="1683">
      <c r="A1683" s="81" t="n">
        <v>36100</v>
      </c>
      <c r="B1683" t="n">
        <v>667.2</v>
      </c>
      <c r="C1683" t="n">
        <v>2648.6</v>
      </c>
      <c r="E1683" t="n">
        <v>4346.4</v>
      </c>
    </row>
    <row r="1684">
      <c r="A1684" s="81" t="n">
        <v>36101</v>
      </c>
      <c r="D1684" t="n">
        <v>1088.9</v>
      </c>
    </row>
    <row r="1685">
      <c r="A1685" s="81" t="n">
        <v>36108</v>
      </c>
      <c r="D1685" t="n">
        <v>1096.1</v>
      </c>
    </row>
    <row r="1686">
      <c r="A1686" s="81" t="n">
        <v>36115</v>
      </c>
      <c r="D1686" t="n">
        <v>1097.2</v>
      </c>
    </row>
    <row r="1687">
      <c r="A1687" s="81" t="n">
        <v>36122</v>
      </c>
      <c r="D1687" t="n">
        <v>1092.4</v>
      </c>
    </row>
    <row r="1688">
      <c r="A1688" s="81" t="n">
        <v>36129</v>
      </c>
      <c r="D1688" t="n">
        <v>1096.1</v>
      </c>
    </row>
    <row r="1689">
      <c r="A1689" s="81" t="n">
        <v>36130</v>
      </c>
      <c r="B1689" t="n">
        <v>666.1</v>
      </c>
      <c r="C1689" t="n">
        <v>2661.3</v>
      </c>
      <c r="E1689" t="n">
        <v>4375.2</v>
      </c>
    </row>
    <row r="1690">
      <c r="A1690" s="81" t="n">
        <v>36136</v>
      </c>
      <c r="D1690" t="n">
        <v>1094.2</v>
      </c>
    </row>
    <row r="1691">
      <c r="A1691" s="81" t="n">
        <v>36143</v>
      </c>
      <c r="D1691" t="n">
        <v>1095.1</v>
      </c>
    </row>
    <row r="1692">
      <c r="A1692" s="81" t="n">
        <v>36150</v>
      </c>
      <c r="D1692" t="n">
        <v>1094.5</v>
      </c>
    </row>
    <row r="1693">
      <c r="A1693" s="81" t="n">
        <v>36157</v>
      </c>
      <c r="D1693" t="n">
        <v>1091.6</v>
      </c>
    </row>
    <row r="1694">
      <c r="A1694" s="81" t="n">
        <v>36161</v>
      </c>
      <c r="B1694" t="n">
        <v>666.7</v>
      </c>
      <c r="C1694" t="n">
        <v>2673.1</v>
      </c>
      <c r="E1694" t="n">
        <v>4402.6</v>
      </c>
    </row>
    <row r="1695">
      <c r="A1695" s="81" t="n">
        <v>36164</v>
      </c>
      <c r="D1695" t="n">
        <v>1107.1</v>
      </c>
    </row>
    <row r="1696">
      <c r="A1696" s="81" t="n">
        <v>36171</v>
      </c>
      <c r="D1696" t="n">
        <v>1102.7</v>
      </c>
    </row>
    <row r="1697">
      <c r="A1697" s="81" t="n">
        <v>36178</v>
      </c>
      <c r="D1697" t="n">
        <v>1095.3</v>
      </c>
    </row>
    <row r="1698">
      <c r="A1698" s="81" t="n">
        <v>36185</v>
      </c>
      <c r="D1698" t="n">
        <v>1093.9</v>
      </c>
    </row>
    <row r="1699">
      <c r="A1699" s="81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1" t="n">
        <v>36199</v>
      </c>
      <c r="D1700" t="n">
        <v>1095.4</v>
      </c>
    </row>
    <row r="1701">
      <c r="A1701" s="81" t="n">
        <v>36206</v>
      </c>
      <c r="D1701" t="n">
        <v>1097.4</v>
      </c>
    </row>
    <row r="1702">
      <c r="A1702" s="81" t="n">
        <v>36213</v>
      </c>
      <c r="D1702" t="n">
        <v>1099.8</v>
      </c>
    </row>
    <row r="1703">
      <c r="A1703" s="81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1" t="n">
        <v>36227</v>
      </c>
      <c r="D1704" t="n">
        <v>1098.6</v>
      </c>
    </row>
    <row r="1705">
      <c r="A1705" s="81" t="n">
        <v>36234</v>
      </c>
      <c r="D1705" t="n">
        <v>1097.6</v>
      </c>
    </row>
    <row r="1706">
      <c r="A1706" s="81" t="n">
        <v>36241</v>
      </c>
      <c r="D1706" t="n">
        <v>1097.3</v>
      </c>
    </row>
    <row r="1707">
      <c r="A1707" s="81" t="n">
        <v>36248</v>
      </c>
      <c r="D1707" t="n">
        <v>1093.8</v>
      </c>
    </row>
    <row r="1708">
      <c r="A1708" s="81" t="n">
        <v>36251</v>
      </c>
      <c r="B1708" t="n">
        <v>664</v>
      </c>
      <c r="C1708" t="n">
        <v>2688.8</v>
      </c>
      <c r="E1708" t="n">
        <v>4460.7</v>
      </c>
    </row>
    <row r="1709">
      <c r="A1709" s="81" t="n">
        <v>36255</v>
      </c>
      <c r="D1709" t="n">
        <v>1101.5</v>
      </c>
    </row>
    <row r="1710">
      <c r="A1710" s="81" t="n">
        <v>36262</v>
      </c>
      <c r="D1710" t="n">
        <v>1104.2</v>
      </c>
    </row>
    <row r="1711">
      <c r="A1711" s="81" t="n">
        <v>36269</v>
      </c>
      <c r="D1711" t="n">
        <v>1099.5</v>
      </c>
    </row>
    <row r="1712">
      <c r="A1712" s="81" t="n">
        <v>36276</v>
      </c>
      <c r="D1712" t="n">
        <v>1095.1</v>
      </c>
    </row>
    <row r="1713">
      <c r="A1713" s="81" t="n">
        <v>36281</v>
      </c>
      <c r="B1713" t="n">
        <v>664.9</v>
      </c>
      <c r="C1713" t="n">
        <v>2702</v>
      </c>
      <c r="E1713" t="n">
        <v>4485.3</v>
      </c>
    </row>
    <row r="1714">
      <c r="A1714" s="81" t="n">
        <v>36283</v>
      </c>
      <c r="D1714" t="n">
        <v>1109.2</v>
      </c>
    </row>
    <row r="1715">
      <c r="A1715" s="81" t="n">
        <v>36290</v>
      </c>
      <c r="D1715" t="n">
        <v>1109.9</v>
      </c>
    </row>
    <row r="1716">
      <c r="A1716" s="81" t="n">
        <v>36297</v>
      </c>
      <c r="D1716" t="n">
        <v>1102.9</v>
      </c>
    </row>
    <row r="1717">
      <c r="A1717" s="81" t="n">
        <v>36304</v>
      </c>
      <c r="D1717" t="n">
        <v>1099.3</v>
      </c>
    </row>
    <row r="1718">
      <c r="A1718" s="81" t="n">
        <v>36311</v>
      </c>
      <c r="D1718" t="n">
        <v>1099.2</v>
      </c>
    </row>
    <row r="1719">
      <c r="A1719" s="81" t="n">
        <v>36312</v>
      </c>
      <c r="B1719" t="n">
        <v>662.5</v>
      </c>
      <c r="C1719" t="n">
        <v>2715.2</v>
      </c>
      <c r="E1719" t="n">
        <v>4507.2</v>
      </c>
    </row>
    <row r="1720">
      <c r="A1720" s="81" t="n">
        <v>36318</v>
      </c>
      <c r="D1720" t="n">
        <v>1100.6</v>
      </c>
    </row>
    <row r="1721">
      <c r="A1721" s="81" t="n">
        <v>36325</v>
      </c>
      <c r="D1721" t="n">
        <v>1103.1</v>
      </c>
    </row>
    <row r="1722">
      <c r="A1722" s="81" t="n">
        <v>36332</v>
      </c>
      <c r="D1722" t="n">
        <v>1101.6</v>
      </c>
    </row>
    <row r="1723">
      <c r="A1723" s="81" t="n">
        <v>36339</v>
      </c>
      <c r="D1723" t="n">
        <v>1095.1</v>
      </c>
    </row>
    <row r="1724">
      <c r="A1724" s="81" t="n">
        <v>36342</v>
      </c>
      <c r="B1724" t="n">
        <v>659.3</v>
      </c>
      <c r="C1724" t="n">
        <v>2720.2</v>
      </c>
      <c r="E1724" t="n">
        <v>4534.5</v>
      </c>
    </row>
    <row r="1725">
      <c r="A1725" s="81" t="n">
        <v>36346</v>
      </c>
      <c r="D1725" t="n">
        <v>1091.5</v>
      </c>
    </row>
    <row r="1726">
      <c r="A1726" s="81" t="n">
        <v>36353</v>
      </c>
      <c r="D1726" t="n">
        <v>1107.5</v>
      </c>
    </row>
    <row r="1727">
      <c r="A1727" s="81" t="n">
        <v>36360</v>
      </c>
      <c r="D1727" t="n">
        <v>1097.2</v>
      </c>
    </row>
    <row r="1728">
      <c r="A1728" s="81" t="n">
        <v>36367</v>
      </c>
      <c r="D1728" t="n">
        <v>1096.5</v>
      </c>
    </row>
    <row r="1729">
      <c r="A1729" s="81" t="n">
        <v>36373</v>
      </c>
      <c r="B1729" t="n">
        <v>657.8</v>
      </c>
      <c r="C1729" t="n">
        <v>2723.9</v>
      </c>
      <c r="E1729" t="n">
        <v>4551.7</v>
      </c>
    </row>
    <row r="1730">
      <c r="A1730" s="81" t="n">
        <v>36374</v>
      </c>
      <c r="D1730" t="n">
        <v>1099.9</v>
      </c>
    </row>
    <row r="1731">
      <c r="A1731" s="81" t="n">
        <v>36381</v>
      </c>
      <c r="D1731" t="n">
        <v>1110.9</v>
      </c>
    </row>
    <row r="1732">
      <c r="A1732" s="81" t="n">
        <v>36388</v>
      </c>
      <c r="D1732" t="n">
        <v>1106.2</v>
      </c>
    </row>
    <row r="1733">
      <c r="A1733" s="81" t="n">
        <v>36395</v>
      </c>
      <c r="D1733" t="n">
        <v>1096.9</v>
      </c>
    </row>
    <row r="1734">
      <c r="A1734" s="81" t="n">
        <v>36402</v>
      </c>
      <c r="D1734" t="n">
        <v>1082.8</v>
      </c>
    </row>
    <row r="1735">
      <c r="A1735" s="81" t="n">
        <v>36404</v>
      </c>
      <c r="B1735" t="n">
        <v>653.5</v>
      </c>
      <c r="C1735" t="n">
        <v>2722.1</v>
      </c>
      <c r="E1735" t="n">
        <v>4567.7</v>
      </c>
    </row>
    <row r="1736">
      <c r="A1736" s="81" t="n">
        <v>36409</v>
      </c>
      <c r="D1736" t="n">
        <v>1092.3</v>
      </c>
    </row>
    <row r="1737">
      <c r="A1737" s="81" t="n">
        <v>36416</v>
      </c>
      <c r="D1737" t="n">
        <v>1100.4</v>
      </c>
    </row>
    <row r="1738">
      <c r="A1738" s="81" t="n">
        <v>36423</v>
      </c>
      <c r="D1738" t="n">
        <v>1100.9</v>
      </c>
    </row>
    <row r="1739">
      <c r="A1739" s="81" t="n">
        <v>36430</v>
      </c>
      <c r="D1739" t="n">
        <v>1089.6</v>
      </c>
    </row>
    <row r="1740">
      <c r="A1740" s="81" t="n">
        <v>36434</v>
      </c>
      <c r="B1740" t="n">
        <v>656.3</v>
      </c>
      <c r="C1740" t="n">
        <v>2731.4</v>
      </c>
      <c r="E1740" t="n">
        <v>4591.5</v>
      </c>
    </row>
    <row r="1741">
      <c r="A1741" s="81" t="n">
        <v>36437</v>
      </c>
      <c r="D1741" t="n">
        <v>1101</v>
      </c>
    </row>
    <row r="1742">
      <c r="A1742" s="81" t="n">
        <v>36444</v>
      </c>
      <c r="D1742" t="n">
        <v>1106.8</v>
      </c>
    </row>
    <row r="1743">
      <c r="A1743" s="81" t="n">
        <v>36451</v>
      </c>
      <c r="D1743" t="n">
        <v>1103</v>
      </c>
    </row>
    <row r="1744">
      <c r="A1744" s="81" t="n">
        <v>36458</v>
      </c>
      <c r="D1744" t="n">
        <v>1101.6</v>
      </c>
    </row>
    <row r="1745">
      <c r="A1745" s="81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1" t="n">
        <v>36472</v>
      </c>
      <c r="D1746" t="n">
        <v>1110.4</v>
      </c>
    </row>
    <row r="1747">
      <c r="A1747" s="81" t="n">
        <v>36479</v>
      </c>
      <c r="D1747" t="n">
        <v>1116.5</v>
      </c>
    </row>
    <row r="1748">
      <c r="A1748" s="81" t="n">
        <v>36486</v>
      </c>
      <c r="D1748" t="n">
        <v>1113</v>
      </c>
    </row>
    <row r="1749">
      <c r="A1749" s="81" t="n">
        <v>36493</v>
      </c>
      <c r="D1749" t="n">
        <v>1104.8</v>
      </c>
    </row>
    <row r="1750">
      <c r="A1750" s="81" t="n">
        <v>36495</v>
      </c>
      <c r="B1750" t="n">
        <v>664.8</v>
      </c>
      <c r="C1750" t="n">
        <v>2747.6</v>
      </c>
      <c r="E1750" t="n">
        <v>4638</v>
      </c>
    </row>
    <row r="1751">
      <c r="A1751" s="81" t="n">
        <v>36500</v>
      </c>
      <c r="D1751" t="n">
        <v>1110.3</v>
      </c>
    </row>
    <row r="1752">
      <c r="A1752" s="81" t="n">
        <v>36507</v>
      </c>
      <c r="D1752" t="n">
        <v>1122</v>
      </c>
    </row>
    <row r="1753">
      <c r="A1753" s="81" t="n">
        <v>36514</v>
      </c>
      <c r="D1753" t="n">
        <v>1120.5</v>
      </c>
    </row>
    <row r="1754">
      <c r="A1754" s="81" t="n">
        <v>36521</v>
      </c>
      <c r="D1754" t="n">
        <v>1126.5</v>
      </c>
    </row>
    <row r="1755">
      <c r="A1755" s="81" t="n">
        <v>36526</v>
      </c>
      <c r="B1755" t="n">
        <v>662.8</v>
      </c>
      <c r="C1755" t="n">
        <v>2756.2</v>
      </c>
      <c r="E1755" t="n">
        <v>4666.2</v>
      </c>
    </row>
    <row r="1756">
      <c r="A1756" s="81" t="n">
        <v>36528</v>
      </c>
      <c r="D1756" t="n">
        <v>1138.6</v>
      </c>
    </row>
    <row r="1757">
      <c r="A1757" s="81" t="n">
        <v>36535</v>
      </c>
      <c r="D1757" t="n">
        <v>1133.4</v>
      </c>
    </row>
    <row r="1758">
      <c r="A1758" s="81" t="n">
        <v>36542</v>
      </c>
      <c r="D1758" t="n">
        <v>1125.1</v>
      </c>
    </row>
    <row r="1759">
      <c r="A1759" s="81" t="n">
        <v>36549</v>
      </c>
      <c r="D1759" t="n">
        <v>1122.3</v>
      </c>
    </row>
    <row r="1760">
      <c r="A1760" s="81" t="n">
        <v>36556</v>
      </c>
      <c r="D1760" t="n">
        <v>1108.9</v>
      </c>
    </row>
    <row r="1761">
      <c r="A1761" s="81" t="n">
        <v>36557</v>
      </c>
      <c r="B1761" t="n">
        <v>652.1</v>
      </c>
      <c r="C1761" t="n">
        <v>2752.6</v>
      </c>
      <c r="E1761" t="n">
        <v>4679.4</v>
      </c>
    </row>
    <row r="1762">
      <c r="A1762" s="81" t="n">
        <v>36563</v>
      </c>
      <c r="D1762" t="n">
        <v>1114.3</v>
      </c>
    </row>
    <row r="1763">
      <c r="A1763" s="81" t="n">
        <v>36570</v>
      </c>
      <c r="D1763" t="n">
        <v>1112.2</v>
      </c>
    </row>
    <row r="1764">
      <c r="A1764" s="81" t="n">
        <v>36577</v>
      </c>
      <c r="D1764" t="n">
        <v>1106.4</v>
      </c>
    </row>
    <row r="1765">
      <c r="A1765" s="81" t="n">
        <v>36584</v>
      </c>
      <c r="D1765" t="n">
        <v>1101.8</v>
      </c>
    </row>
    <row r="1766">
      <c r="A1766" s="81" t="n">
        <v>36586</v>
      </c>
      <c r="B1766" t="n">
        <v>647.7</v>
      </c>
      <c r="C1766" t="n">
        <v>2754.5</v>
      </c>
      <c r="E1766" t="n">
        <v>4710.2</v>
      </c>
    </row>
    <row r="1767">
      <c r="A1767" s="81" t="n">
        <v>36591</v>
      </c>
      <c r="D1767" t="n">
        <v>1107.1</v>
      </c>
    </row>
    <row r="1768">
      <c r="A1768" s="81" t="n">
        <v>36598</v>
      </c>
      <c r="D1768" t="n">
        <v>1105.5</v>
      </c>
    </row>
    <row r="1769">
      <c r="A1769" s="81" t="n">
        <v>36605</v>
      </c>
      <c r="D1769" t="n">
        <v>1106.5</v>
      </c>
    </row>
    <row r="1770">
      <c r="A1770" s="81" t="n">
        <v>36612</v>
      </c>
      <c r="D1770" t="n">
        <v>1104.9</v>
      </c>
    </row>
    <row r="1771">
      <c r="A1771" s="81" t="n">
        <v>36617</v>
      </c>
      <c r="B1771" t="n">
        <v>652.8</v>
      </c>
      <c r="C1771" t="n">
        <v>2788.8</v>
      </c>
      <c r="E1771" t="n">
        <v>4766.1</v>
      </c>
    </row>
    <row r="1772">
      <c r="A1772" s="81" t="n">
        <v>36619</v>
      </c>
      <c r="D1772" t="n">
        <v>1117.8</v>
      </c>
    </row>
    <row r="1773">
      <c r="A1773" s="81" t="n">
        <v>36626</v>
      </c>
      <c r="D1773" t="n">
        <v>1121.8</v>
      </c>
    </row>
    <row r="1774">
      <c r="A1774" s="81" t="n">
        <v>36633</v>
      </c>
      <c r="D1774" t="n">
        <v>1118.2</v>
      </c>
    </row>
    <row r="1775">
      <c r="A1775" s="81" t="n">
        <v>36640</v>
      </c>
      <c r="D1775" t="n">
        <v>1114.9</v>
      </c>
    </row>
    <row r="1776">
      <c r="A1776" s="81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1" t="n">
        <v>36654</v>
      </c>
      <c r="D1777" t="n">
        <v>1106.5</v>
      </c>
    </row>
    <row r="1778">
      <c r="A1778" s="81" t="n">
        <v>36661</v>
      </c>
      <c r="D1778" t="n">
        <v>1111.2</v>
      </c>
    </row>
    <row r="1779">
      <c r="A1779" s="81" t="n">
        <v>36668</v>
      </c>
      <c r="D1779" t="n">
        <v>1105.1</v>
      </c>
    </row>
    <row r="1780">
      <c r="A1780" s="81" t="n">
        <v>36675</v>
      </c>
      <c r="D1780" t="n">
        <v>1097.8</v>
      </c>
    </row>
    <row r="1781">
      <c r="A1781" s="81" t="n">
        <v>36678</v>
      </c>
      <c r="B1781" t="n">
        <v>640.3</v>
      </c>
      <c r="C1781" t="n">
        <v>2771.1</v>
      </c>
      <c r="E1781" t="n">
        <v>4771.8</v>
      </c>
    </row>
    <row r="1782">
      <c r="A1782" s="81" t="n">
        <v>36682</v>
      </c>
      <c r="D1782" t="n">
        <v>1102</v>
      </c>
    </row>
    <row r="1783">
      <c r="A1783" s="81" t="n">
        <v>36689</v>
      </c>
      <c r="D1783" t="n">
        <v>1104.4</v>
      </c>
    </row>
    <row r="1784">
      <c r="A1784" s="81" t="n">
        <v>36696</v>
      </c>
      <c r="D1784" t="n">
        <v>1101.1</v>
      </c>
    </row>
    <row r="1785">
      <c r="A1785" s="81" t="n">
        <v>36703</v>
      </c>
      <c r="D1785" t="n">
        <v>1099</v>
      </c>
    </row>
    <row r="1786">
      <c r="A1786" s="81" t="n">
        <v>36708</v>
      </c>
      <c r="B1786" t="n">
        <v>639</v>
      </c>
      <c r="C1786" t="n">
        <v>2773.2</v>
      </c>
      <c r="E1786" t="n">
        <v>4789.4</v>
      </c>
    </row>
    <row r="1787">
      <c r="A1787" s="81" t="n">
        <v>36710</v>
      </c>
      <c r="D1787" t="n">
        <v>1109.4</v>
      </c>
    </row>
    <row r="1788">
      <c r="A1788" s="81" t="n">
        <v>36717</v>
      </c>
      <c r="D1788" t="n">
        <v>1114.6</v>
      </c>
    </row>
    <row r="1789">
      <c r="A1789" s="81" t="n">
        <v>36724</v>
      </c>
      <c r="D1789" t="n">
        <v>1100.9</v>
      </c>
    </row>
    <row r="1790">
      <c r="A1790" s="81" t="n">
        <v>36731</v>
      </c>
      <c r="D1790" t="n">
        <v>1099.5</v>
      </c>
    </row>
    <row r="1791">
      <c r="A1791" s="81" t="n">
        <v>36738</v>
      </c>
      <c r="D1791" t="n">
        <v>1096.2</v>
      </c>
    </row>
    <row r="1792">
      <c r="A1792" s="81" t="n">
        <v>36739</v>
      </c>
      <c r="B1792" t="n">
        <v>637.1</v>
      </c>
      <c r="C1792" t="n">
        <v>2789.5</v>
      </c>
      <c r="E1792" t="n">
        <v>4817.5</v>
      </c>
    </row>
    <row r="1793">
      <c r="A1793" s="81" t="n">
        <v>36745</v>
      </c>
      <c r="D1793" t="n">
        <v>1097.9</v>
      </c>
    </row>
    <row r="1794">
      <c r="A1794" s="81" t="n">
        <v>36752</v>
      </c>
      <c r="D1794" t="n">
        <v>1100.3</v>
      </c>
    </row>
    <row r="1795">
      <c r="A1795" s="81" t="n">
        <v>36759</v>
      </c>
      <c r="D1795" t="n">
        <v>1102.2</v>
      </c>
    </row>
    <row r="1796">
      <c r="A1796" s="81" t="n">
        <v>36766</v>
      </c>
      <c r="D1796" t="n">
        <v>1101.4</v>
      </c>
    </row>
    <row r="1797">
      <c r="A1797" s="81" t="n">
        <v>36770</v>
      </c>
      <c r="B1797" t="n">
        <v>633.5</v>
      </c>
      <c r="C1797" t="n">
        <v>2795.6</v>
      </c>
      <c r="E1797" t="n">
        <v>4853.2</v>
      </c>
    </row>
    <row r="1798">
      <c r="A1798" s="81" t="n">
        <v>36773</v>
      </c>
      <c r="D1798" t="n">
        <v>1097.7</v>
      </c>
    </row>
    <row r="1799">
      <c r="A1799" s="81" t="n">
        <v>36780</v>
      </c>
      <c r="D1799" t="n">
        <v>1106.5</v>
      </c>
    </row>
    <row r="1800">
      <c r="A1800" s="81" t="n">
        <v>36787</v>
      </c>
      <c r="D1800" t="n">
        <v>1098.5</v>
      </c>
    </row>
    <row r="1801">
      <c r="A1801" s="81" t="n">
        <v>36794</v>
      </c>
      <c r="D1801" t="n">
        <v>1096.7</v>
      </c>
    </row>
    <row r="1802">
      <c r="A1802" s="81" t="n">
        <v>36800</v>
      </c>
      <c r="B1802" t="n">
        <v>631.8</v>
      </c>
      <c r="C1802" t="n">
        <v>2800</v>
      </c>
      <c r="E1802" t="n">
        <v>4869.2</v>
      </c>
    </row>
    <row r="1803">
      <c r="A1803" s="81" t="n">
        <v>36801</v>
      </c>
      <c r="D1803" t="n">
        <v>1097.9</v>
      </c>
    </row>
    <row r="1804">
      <c r="A1804" s="81" t="n">
        <v>36808</v>
      </c>
      <c r="D1804" t="n">
        <v>1099.9</v>
      </c>
    </row>
    <row r="1805">
      <c r="A1805" s="81" t="n">
        <v>36815</v>
      </c>
      <c r="D1805" t="n">
        <v>1100.2</v>
      </c>
    </row>
    <row r="1806">
      <c r="A1806" s="81" t="n">
        <v>36822</v>
      </c>
      <c r="D1806" t="n">
        <v>1099.3</v>
      </c>
    </row>
    <row r="1807">
      <c r="A1807" s="81" t="n">
        <v>36829</v>
      </c>
      <c r="D1807" t="n">
        <v>1096.8</v>
      </c>
    </row>
    <row r="1808">
      <c r="A1808" s="81" t="n">
        <v>36831</v>
      </c>
      <c r="B1808" t="n">
        <v>627.1</v>
      </c>
      <c r="C1808" t="n">
        <v>2801.4</v>
      </c>
      <c r="E1808" t="n">
        <v>4880.1</v>
      </c>
    </row>
    <row r="1809">
      <c r="A1809" s="81" t="n">
        <v>36836</v>
      </c>
      <c r="D1809" t="n">
        <v>1091.7</v>
      </c>
    </row>
    <row r="1810">
      <c r="A1810" s="81" t="n">
        <v>36843</v>
      </c>
      <c r="D1810" t="n">
        <v>1089.9</v>
      </c>
    </row>
    <row r="1811">
      <c r="A1811" s="81" t="n">
        <v>36850</v>
      </c>
      <c r="D1811" t="n">
        <v>1093.9</v>
      </c>
    </row>
    <row r="1812">
      <c r="A1812" s="81" t="n">
        <v>36857</v>
      </c>
      <c r="D1812" t="n">
        <v>1096.6</v>
      </c>
    </row>
    <row r="1813">
      <c r="A1813" s="81" t="n">
        <v>36861</v>
      </c>
      <c r="B1813" t="n">
        <v>623.5</v>
      </c>
      <c r="C1813" t="n">
        <v>2820.6</v>
      </c>
      <c r="E1813" t="n">
        <v>4924.7</v>
      </c>
    </row>
    <row r="1814">
      <c r="A1814" s="81" t="n">
        <v>36864</v>
      </c>
      <c r="D1814" t="n">
        <v>1086.4</v>
      </c>
    </row>
    <row r="1815">
      <c r="A1815" s="81" t="n">
        <v>36871</v>
      </c>
      <c r="D1815" t="n">
        <v>1092.9</v>
      </c>
    </row>
    <row r="1816">
      <c r="A1816" s="81" t="n">
        <v>36878</v>
      </c>
      <c r="D1816" t="n">
        <v>1084.4</v>
      </c>
    </row>
    <row r="1817">
      <c r="A1817" s="81" t="n">
        <v>36885</v>
      </c>
      <c r="D1817" t="n">
        <v>1090.1</v>
      </c>
    </row>
    <row r="1818">
      <c r="A1818" s="81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</row>
    <row r="1819">
      <c r="A1819" s="81" t="n">
        <v>36899</v>
      </c>
      <c r="D1819" t="n">
        <v>1094.2</v>
      </c>
    </row>
    <row r="1820">
      <c r="A1820" s="81" t="n">
        <v>36906</v>
      </c>
      <c r="D1820" t="n">
        <v>1096.2</v>
      </c>
    </row>
    <row r="1821">
      <c r="A1821" s="81" t="n">
        <v>36913</v>
      </c>
      <c r="D1821" t="n">
        <v>1101.7</v>
      </c>
    </row>
    <row r="1822">
      <c r="A1822" s="81" t="n">
        <v>36920</v>
      </c>
      <c r="D1822" t="n">
        <v>1094.8</v>
      </c>
    </row>
    <row r="1823">
      <c r="A1823" s="81" t="n">
        <v>36923</v>
      </c>
      <c r="B1823" t="n">
        <v>625.7</v>
      </c>
      <c r="C1823" t="n">
        <v>2848.6</v>
      </c>
      <c r="E1823" t="n">
        <v>5013.5</v>
      </c>
    </row>
    <row r="1824">
      <c r="A1824" s="81" t="n">
        <v>36927</v>
      </c>
      <c r="D1824" t="n">
        <v>1099.7</v>
      </c>
    </row>
    <row r="1825">
      <c r="A1825" s="81" t="n">
        <v>36934</v>
      </c>
      <c r="D1825" t="n">
        <v>1099.3</v>
      </c>
    </row>
    <row r="1826">
      <c r="A1826" s="81" t="n">
        <v>36941</v>
      </c>
      <c r="D1826" t="n">
        <v>1098.8</v>
      </c>
    </row>
    <row r="1827">
      <c r="A1827" s="81" t="n">
        <v>36948</v>
      </c>
      <c r="D1827" t="n">
        <v>1104.4</v>
      </c>
    </row>
    <row r="1828">
      <c r="A1828" s="81" t="n">
        <v>36951</v>
      </c>
      <c r="B1828" t="n">
        <v>629.7</v>
      </c>
      <c r="C1828" t="n">
        <v>2879.7</v>
      </c>
      <c r="E1828" t="n">
        <v>5071.2</v>
      </c>
    </row>
    <row r="1829">
      <c r="A1829" s="81" t="n">
        <v>36955</v>
      </c>
      <c r="D1829" t="n">
        <v>1109.3</v>
      </c>
    </row>
    <row r="1830">
      <c r="A1830" s="81" t="n">
        <v>36962</v>
      </c>
      <c r="D1830" t="n">
        <v>1108.3</v>
      </c>
    </row>
    <row r="1831">
      <c r="A1831" s="81" t="n">
        <v>36969</v>
      </c>
      <c r="D1831" t="n">
        <v>1107.7</v>
      </c>
    </row>
    <row r="1832">
      <c r="A1832" s="81" t="n">
        <v>36976</v>
      </c>
      <c r="D1832" t="n">
        <v>1106.7</v>
      </c>
    </row>
    <row r="1833">
      <c r="A1833" s="81" t="n">
        <v>36982</v>
      </c>
      <c r="B1833" t="n">
        <v>633</v>
      </c>
      <c r="C1833" t="n">
        <v>2911.1</v>
      </c>
      <c r="E1833" t="n">
        <v>5135.2</v>
      </c>
    </row>
    <row r="1834">
      <c r="A1834" s="81" t="n">
        <v>36983</v>
      </c>
      <c r="D1834" t="n">
        <v>1113.9</v>
      </c>
    </row>
    <row r="1835">
      <c r="A1835" s="81" t="n">
        <v>36990</v>
      </c>
      <c r="D1835" t="n">
        <v>1114.9</v>
      </c>
    </row>
    <row r="1836">
      <c r="A1836" s="81" t="n">
        <v>36997</v>
      </c>
      <c r="D1836" t="n">
        <v>1118.2</v>
      </c>
    </row>
    <row r="1837">
      <c r="A1837" s="81" t="n">
        <v>37004</v>
      </c>
      <c r="D1837" t="n">
        <v>1117.7</v>
      </c>
    </row>
    <row r="1838">
      <c r="A1838" s="81" t="n">
        <v>37011</v>
      </c>
      <c r="D1838" t="n">
        <v>1116.8</v>
      </c>
    </row>
    <row r="1839">
      <c r="A1839" s="81" t="n">
        <v>37012</v>
      </c>
      <c r="B1839" t="n">
        <v>630.9</v>
      </c>
      <c r="C1839" t="n">
        <v>2894.6</v>
      </c>
      <c r="E1839" t="n">
        <v>5132.2</v>
      </c>
    </row>
    <row r="1840">
      <c r="A1840" s="81" t="n">
        <v>37018</v>
      </c>
      <c r="D1840" t="n">
        <v>1113.9</v>
      </c>
    </row>
    <row r="1841">
      <c r="A1841" s="81" t="n">
        <v>37025</v>
      </c>
      <c r="D1841" t="n">
        <v>1117.5</v>
      </c>
    </row>
    <row r="1842">
      <c r="A1842" s="81" t="n">
        <v>37032</v>
      </c>
      <c r="D1842" t="n">
        <v>1122.3</v>
      </c>
    </row>
    <row r="1843">
      <c r="A1843" s="81" t="n">
        <v>37039</v>
      </c>
      <c r="D1843" t="n">
        <v>1117.4</v>
      </c>
    </row>
    <row r="1844">
      <c r="A1844" s="81" t="n">
        <v>37043</v>
      </c>
      <c r="B1844" t="n">
        <v>633.8</v>
      </c>
      <c r="C1844" t="n">
        <v>2910.8</v>
      </c>
      <c r="E1844" t="n">
        <v>5172.5</v>
      </c>
    </row>
    <row r="1845">
      <c r="A1845" s="81" t="n">
        <v>37046</v>
      </c>
      <c r="D1845" t="n">
        <v>1125.2</v>
      </c>
    </row>
    <row r="1846">
      <c r="A1846" s="81" t="n">
        <v>37053</v>
      </c>
      <c r="D1846" t="n">
        <v>1126.2</v>
      </c>
    </row>
    <row r="1847">
      <c r="A1847" s="81" t="n">
        <v>37060</v>
      </c>
      <c r="D1847" t="n">
        <v>1126.4</v>
      </c>
    </row>
    <row r="1848">
      <c r="A1848" s="81" t="n">
        <v>37067</v>
      </c>
      <c r="D1848" t="n">
        <v>1124.1</v>
      </c>
    </row>
    <row r="1849">
      <c r="A1849" s="81" t="n">
        <v>37073</v>
      </c>
      <c r="B1849" t="n">
        <v>642</v>
      </c>
      <c r="C1849" t="n">
        <v>2932.6</v>
      </c>
      <c r="E1849" t="n">
        <v>5202.4</v>
      </c>
    </row>
    <row r="1850">
      <c r="A1850" s="81" t="n">
        <v>37074</v>
      </c>
      <c r="D1850" t="n">
        <v>1129.9</v>
      </c>
    </row>
    <row r="1851">
      <c r="A1851" s="81" t="n">
        <v>37081</v>
      </c>
      <c r="D1851" t="n">
        <v>1133.9</v>
      </c>
    </row>
    <row r="1852">
      <c r="A1852" s="81" t="n">
        <v>37088</v>
      </c>
      <c r="D1852" t="n">
        <v>1142.1</v>
      </c>
    </row>
    <row r="1853">
      <c r="A1853" s="81" t="n">
        <v>37095</v>
      </c>
      <c r="D1853" t="n">
        <v>1142</v>
      </c>
    </row>
    <row r="1854">
      <c r="A1854" s="81" t="n">
        <v>37102</v>
      </c>
      <c r="D1854" t="n">
        <v>1139.4</v>
      </c>
    </row>
    <row r="1855">
      <c r="A1855" s="81" t="n">
        <v>37104</v>
      </c>
      <c r="B1855" t="n">
        <v>648.4</v>
      </c>
      <c r="C1855" t="n">
        <v>2951.7</v>
      </c>
      <c r="E1855" t="n">
        <v>5236.3</v>
      </c>
    </row>
    <row r="1856">
      <c r="A1856" s="81" t="n">
        <v>37109</v>
      </c>
      <c r="D1856" t="n">
        <v>1143.3</v>
      </c>
    </row>
    <row r="1857">
      <c r="A1857" s="81" t="n">
        <v>37116</v>
      </c>
      <c r="D1857" t="n">
        <v>1148.6</v>
      </c>
    </row>
    <row r="1858">
      <c r="A1858" s="81" t="n">
        <v>37123</v>
      </c>
      <c r="D1858" t="n">
        <v>1149.9</v>
      </c>
    </row>
    <row r="1859">
      <c r="A1859" s="81" t="n">
        <v>37130</v>
      </c>
      <c r="D1859" t="n">
        <v>1149</v>
      </c>
    </row>
    <row r="1860">
      <c r="A1860" s="81" t="n">
        <v>37135</v>
      </c>
      <c r="B1860" t="n">
        <v>677</v>
      </c>
      <c r="C1860" t="n">
        <v>3002.5</v>
      </c>
      <c r="E1860" t="n">
        <v>5347.4</v>
      </c>
    </row>
    <row r="1861">
      <c r="A1861" s="81" t="n">
        <v>37137</v>
      </c>
      <c r="D1861" t="n">
        <v>1165.5</v>
      </c>
    </row>
    <row r="1862">
      <c r="A1862" s="81" t="n">
        <v>37144</v>
      </c>
      <c r="D1862" t="n">
        <v>1167</v>
      </c>
    </row>
    <row r="1863">
      <c r="A1863" s="81" t="n">
        <v>37151</v>
      </c>
      <c r="D1863" t="n">
        <v>1292</v>
      </c>
    </row>
    <row r="1864">
      <c r="A1864" s="81" t="n">
        <v>37158</v>
      </c>
      <c r="D1864" t="n">
        <v>1206.1</v>
      </c>
    </row>
    <row r="1865">
      <c r="A1865" s="81" t="n">
        <v>37165</v>
      </c>
      <c r="B1865" t="n">
        <v>656.4</v>
      </c>
      <c r="C1865" t="n">
        <v>3004.5</v>
      </c>
      <c r="D1865" t="n">
        <v>1171.3</v>
      </c>
      <c r="E1865" t="n">
        <v>5336</v>
      </c>
    </row>
    <row r="1866">
      <c r="A1866" s="81" t="n">
        <v>37172</v>
      </c>
      <c r="D1866" t="n">
        <v>1166.9</v>
      </c>
    </row>
    <row r="1867">
      <c r="A1867" s="81" t="n">
        <v>37179</v>
      </c>
      <c r="D1867" t="n">
        <v>1166.7</v>
      </c>
    </row>
    <row r="1868">
      <c r="A1868" s="81" t="n">
        <v>37186</v>
      </c>
      <c r="D1868" t="n">
        <v>1167.2</v>
      </c>
    </row>
    <row r="1869">
      <c r="A1869" s="81" t="n">
        <v>37193</v>
      </c>
      <c r="D1869" t="n">
        <v>1161.2</v>
      </c>
    </row>
    <row r="1870">
      <c r="A1870" s="81" t="n">
        <v>37196</v>
      </c>
      <c r="B1870" t="n">
        <v>659.7</v>
      </c>
      <c r="C1870" t="n">
        <v>3030.8</v>
      </c>
      <c r="E1870" t="n">
        <v>5379.6</v>
      </c>
    </row>
    <row r="1871">
      <c r="A1871" s="81" t="n">
        <v>37200</v>
      </c>
      <c r="D1871" t="n">
        <v>1164.8</v>
      </c>
    </row>
    <row r="1872">
      <c r="A1872" s="81" t="n">
        <v>37207</v>
      </c>
      <c r="D1872" t="n">
        <v>1170.2</v>
      </c>
    </row>
    <row r="1873">
      <c r="A1873" s="81" t="n">
        <v>37214</v>
      </c>
      <c r="D1873" t="n">
        <v>1171.9</v>
      </c>
    </row>
    <row r="1874">
      <c r="A1874" s="81" t="n">
        <v>37221</v>
      </c>
      <c r="D1874" t="n">
        <v>1172.1</v>
      </c>
    </row>
    <row r="1875">
      <c r="A1875" s="81" t="n">
        <v>37226</v>
      </c>
      <c r="B1875" t="n">
        <v>667</v>
      </c>
      <c r="C1875" t="n">
        <v>3062.4</v>
      </c>
      <c r="E1875" t="n">
        <v>5432.7</v>
      </c>
    </row>
    <row r="1876">
      <c r="A1876" s="81" t="n">
        <v>37228</v>
      </c>
      <c r="D1876" t="n">
        <v>1176.5</v>
      </c>
    </row>
    <row r="1877">
      <c r="A1877" s="81" t="n">
        <v>37235</v>
      </c>
      <c r="D1877" t="n">
        <v>1186.3</v>
      </c>
    </row>
    <row r="1878">
      <c r="A1878" s="81" t="n">
        <v>37242</v>
      </c>
      <c r="D1878" t="n">
        <v>1183.6</v>
      </c>
    </row>
    <row r="1879">
      <c r="A1879" s="81" t="n">
        <v>37249</v>
      </c>
      <c r="D1879" t="n">
        <v>1181.7</v>
      </c>
    </row>
    <row r="1880">
      <c r="A1880" s="81" t="n">
        <v>37256</v>
      </c>
      <c r="D1880" t="n">
        <v>1184.2</v>
      </c>
    </row>
    <row r="1881">
      <c r="A1881" s="81" t="n">
        <v>37257</v>
      </c>
      <c r="B1881" t="n">
        <v>670.1</v>
      </c>
      <c r="C1881" t="n">
        <v>3068.7</v>
      </c>
      <c r="E1881" t="n">
        <v>5453</v>
      </c>
    </row>
    <row r="1882">
      <c r="A1882" s="81" t="n">
        <v>37263</v>
      </c>
      <c r="D1882" t="n">
        <v>1190.3</v>
      </c>
    </row>
    <row r="1883">
      <c r="A1883" s="81" t="n">
        <v>37270</v>
      </c>
      <c r="D1883" t="n">
        <v>1194.6</v>
      </c>
    </row>
    <row r="1884">
      <c r="A1884" s="81" t="n">
        <v>37277</v>
      </c>
      <c r="D1884" t="n">
        <v>1193.6</v>
      </c>
    </row>
    <row r="1885">
      <c r="A1885" s="81" t="n">
        <v>37284</v>
      </c>
      <c r="D1885" t="n">
        <v>1184.6</v>
      </c>
    </row>
    <row r="1886">
      <c r="A1886" s="81" t="n">
        <v>37288</v>
      </c>
      <c r="B1886" t="n">
        <v>668.9</v>
      </c>
      <c r="C1886" t="n">
        <v>3080</v>
      </c>
      <c r="E1886" t="n">
        <v>5482.4</v>
      </c>
    </row>
    <row r="1887">
      <c r="A1887" s="81" t="n">
        <v>37291</v>
      </c>
      <c r="D1887" t="n">
        <v>1189.5</v>
      </c>
    </row>
    <row r="1888">
      <c r="A1888" s="81" t="n">
        <v>37298</v>
      </c>
      <c r="D1888" t="n">
        <v>1190.4</v>
      </c>
    </row>
    <row r="1889">
      <c r="A1889" s="81" t="n">
        <v>37305</v>
      </c>
      <c r="D1889" t="n">
        <v>1192.4</v>
      </c>
    </row>
    <row r="1890">
      <c r="A1890" s="81" t="n">
        <v>37312</v>
      </c>
      <c r="D1890" t="n">
        <v>1189.4</v>
      </c>
    </row>
    <row r="1891">
      <c r="A1891" s="81" t="n">
        <v>37316</v>
      </c>
      <c r="B1891" t="n">
        <v>668.5</v>
      </c>
      <c r="C1891" t="n">
        <v>3078</v>
      </c>
      <c r="E1891" t="n">
        <v>5494.2</v>
      </c>
    </row>
    <row r="1892">
      <c r="A1892" s="81" t="n">
        <v>37319</v>
      </c>
      <c r="D1892" t="n">
        <v>1191.1</v>
      </c>
    </row>
    <row r="1893">
      <c r="A1893" s="81" t="n">
        <v>37326</v>
      </c>
      <c r="D1893" t="n">
        <v>1198.6</v>
      </c>
    </row>
    <row r="1894">
      <c r="A1894" s="81" t="n">
        <v>37333</v>
      </c>
      <c r="D1894" t="n">
        <v>1196.1</v>
      </c>
    </row>
    <row r="1895">
      <c r="A1895" s="81" t="n">
        <v>37340</v>
      </c>
      <c r="D1895" t="n">
        <v>1193</v>
      </c>
    </row>
    <row r="1896">
      <c r="A1896" s="81" t="n">
        <v>37347</v>
      </c>
      <c r="B1896" t="n">
        <v>662</v>
      </c>
      <c r="C1896" t="n">
        <v>3064.4</v>
      </c>
      <c r="D1896" t="n">
        <v>1185.3</v>
      </c>
      <c r="E1896" t="n">
        <v>5494.4</v>
      </c>
    </row>
    <row r="1897">
      <c r="A1897" s="81" t="n">
        <v>37354</v>
      </c>
      <c r="D1897" t="n">
        <v>1185.1</v>
      </c>
    </row>
    <row r="1898">
      <c r="A1898" s="81" t="n">
        <v>37361</v>
      </c>
      <c r="D1898" t="n">
        <v>1187.5</v>
      </c>
    </row>
    <row r="1899">
      <c r="A1899" s="81" t="n">
        <v>37368</v>
      </c>
      <c r="D1899" t="n">
        <v>1188</v>
      </c>
    </row>
    <row r="1900">
      <c r="A1900" s="81" t="n">
        <v>37375</v>
      </c>
      <c r="D1900" t="n">
        <v>1187.9</v>
      </c>
    </row>
    <row r="1901">
      <c r="A1901" s="81" t="n">
        <v>37377</v>
      </c>
      <c r="B1901" t="n">
        <v>662.6</v>
      </c>
      <c r="C1901" t="n">
        <v>3075.5</v>
      </c>
      <c r="E1901" t="n">
        <v>5520.6</v>
      </c>
    </row>
    <row r="1902">
      <c r="A1902" s="81" t="n">
        <v>37382</v>
      </c>
      <c r="D1902" t="n">
        <v>1181.1</v>
      </c>
    </row>
    <row r="1903">
      <c r="A1903" s="81" t="n">
        <v>37389</v>
      </c>
      <c r="D1903" t="n">
        <v>1186.1</v>
      </c>
    </row>
    <row r="1904">
      <c r="A1904" s="81" t="n">
        <v>37396</v>
      </c>
      <c r="D1904" t="n">
        <v>1188.1</v>
      </c>
    </row>
    <row r="1905">
      <c r="A1905" s="81" t="n">
        <v>37403</v>
      </c>
      <c r="D1905" t="n">
        <v>1192.2</v>
      </c>
    </row>
    <row r="1906">
      <c r="A1906" s="81" t="n">
        <v>37408</v>
      </c>
      <c r="B1906" t="n">
        <v>664.4</v>
      </c>
      <c r="C1906" t="n">
        <v>3087.8</v>
      </c>
      <c r="E1906" t="n">
        <v>5545.6</v>
      </c>
    </row>
    <row r="1907">
      <c r="A1907" s="81" t="n">
        <v>37410</v>
      </c>
      <c r="D1907" t="n">
        <v>1204.2</v>
      </c>
    </row>
    <row r="1908">
      <c r="A1908" s="81" t="n">
        <v>37417</v>
      </c>
      <c r="D1908" t="n">
        <v>1192.3</v>
      </c>
    </row>
    <row r="1909">
      <c r="A1909" s="81" t="n">
        <v>37424</v>
      </c>
      <c r="D1909" t="n">
        <v>1188.9</v>
      </c>
    </row>
    <row r="1910">
      <c r="A1910" s="81" t="n">
        <v>37431</v>
      </c>
      <c r="D1910" t="n">
        <v>1193.3</v>
      </c>
    </row>
    <row r="1911">
      <c r="A1911" s="81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</row>
    <row r="1912">
      <c r="A1912" s="81" t="n">
        <v>37445</v>
      </c>
      <c r="D1912" t="n">
        <v>1193.4</v>
      </c>
    </row>
    <row r="1913">
      <c r="A1913" s="81" t="n">
        <v>37452</v>
      </c>
      <c r="D1913" t="n">
        <v>1202</v>
      </c>
    </row>
    <row r="1914">
      <c r="A1914" s="81" t="n">
        <v>37459</v>
      </c>
      <c r="D1914" t="n">
        <v>1203.1</v>
      </c>
    </row>
    <row r="1915">
      <c r="A1915" s="81" t="n">
        <v>37466</v>
      </c>
      <c r="D1915" t="n">
        <v>1203.7</v>
      </c>
    </row>
    <row r="1916">
      <c r="A1916" s="81" t="n">
        <v>37469</v>
      </c>
      <c r="B1916" t="n">
        <v>657.7</v>
      </c>
      <c r="C1916" t="n">
        <v>3119.4</v>
      </c>
      <c r="E1916" t="n">
        <v>5630.6</v>
      </c>
    </row>
    <row r="1917">
      <c r="A1917" s="81" t="n">
        <v>37473</v>
      </c>
      <c r="D1917" t="n">
        <v>1181.6</v>
      </c>
    </row>
    <row r="1918">
      <c r="A1918" s="81" t="n">
        <v>37480</v>
      </c>
      <c r="D1918" t="n">
        <v>1182.1</v>
      </c>
    </row>
    <row r="1919">
      <c r="A1919" s="81" t="n">
        <v>37487</v>
      </c>
      <c r="D1919" t="n">
        <v>1182.6</v>
      </c>
    </row>
    <row r="1920">
      <c r="A1920" s="81" t="n">
        <v>37494</v>
      </c>
      <c r="D1920" t="n">
        <v>1188.8</v>
      </c>
    </row>
    <row r="1921">
      <c r="A1921" s="81" t="n">
        <v>37500</v>
      </c>
      <c r="B1921" t="n">
        <v>661.6</v>
      </c>
      <c r="C1921" t="n">
        <v>3127.8</v>
      </c>
      <c r="E1921" t="n">
        <v>5655</v>
      </c>
    </row>
    <row r="1922">
      <c r="A1922" s="81" t="n">
        <v>37501</v>
      </c>
      <c r="D1922" t="n">
        <v>1203.3</v>
      </c>
    </row>
    <row r="1923">
      <c r="A1923" s="81" t="n">
        <v>37508</v>
      </c>
      <c r="D1923" t="n">
        <v>1191.5</v>
      </c>
    </row>
    <row r="1924">
      <c r="A1924" s="81" t="n">
        <v>37515</v>
      </c>
      <c r="D1924" t="n">
        <v>1191.8</v>
      </c>
    </row>
    <row r="1925">
      <c r="A1925" s="81" t="n">
        <v>37522</v>
      </c>
      <c r="D1925" t="n">
        <v>1192.8</v>
      </c>
    </row>
    <row r="1926">
      <c r="A1926" s="81" t="n">
        <v>37529</v>
      </c>
      <c r="D1926" t="n">
        <v>1206.3</v>
      </c>
    </row>
    <row r="1927">
      <c r="A1927" s="81" t="n">
        <v>37530</v>
      </c>
      <c r="B1927" t="n">
        <v>664.5</v>
      </c>
      <c r="C1927" t="n">
        <v>3145.5</v>
      </c>
      <c r="E1927" t="n">
        <v>5699.6</v>
      </c>
    </row>
    <row r="1928">
      <c r="A1928" s="81" t="n">
        <v>37536</v>
      </c>
      <c r="D1928" t="n">
        <v>1188.1</v>
      </c>
    </row>
    <row r="1929">
      <c r="A1929" s="81" t="n">
        <v>37543</v>
      </c>
      <c r="D1929" t="n">
        <v>1206.7</v>
      </c>
    </row>
    <row r="1930">
      <c r="A1930" s="81" t="n">
        <v>37550</v>
      </c>
      <c r="D1930" t="n">
        <v>1207.4</v>
      </c>
    </row>
    <row r="1931">
      <c r="A1931" s="81" t="n">
        <v>37557</v>
      </c>
      <c r="D1931" t="n">
        <v>1212.1</v>
      </c>
    </row>
    <row r="1932">
      <c r="A1932" s="81" t="n">
        <v>37561</v>
      </c>
      <c r="B1932" t="n">
        <v>666.4</v>
      </c>
      <c r="C1932" t="n">
        <v>3167.9</v>
      </c>
      <c r="E1932" t="n">
        <v>5749.7</v>
      </c>
    </row>
    <row r="1933">
      <c r="A1933" s="81" t="n">
        <v>37564</v>
      </c>
      <c r="D1933" t="n">
        <v>1208</v>
      </c>
    </row>
    <row r="1934">
      <c r="A1934" s="81" t="n">
        <v>37571</v>
      </c>
      <c r="D1934" t="n">
        <v>1208.5</v>
      </c>
    </row>
    <row r="1935">
      <c r="A1935" s="81" t="n">
        <v>37578</v>
      </c>
      <c r="D1935" t="n">
        <v>1205.4</v>
      </c>
    </row>
    <row r="1936">
      <c r="A1936" s="81" t="n">
        <v>37585</v>
      </c>
      <c r="D1936" t="n">
        <v>1203.8</v>
      </c>
    </row>
    <row r="1937">
      <c r="A1937" s="81" t="n">
        <v>37591</v>
      </c>
      <c r="B1937" t="n">
        <v>671.2</v>
      </c>
      <c r="C1937" t="n">
        <v>3174.3</v>
      </c>
      <c r="E1937" t="n">
        <v>5770.9</v>
      </c>
    </row>
    <row r="1938">
      <c r="A1938" s="81" t="n">
        <v>37592</v>
      </c>
      <c r="D1938" t="n">
        <v>1226.5</v>
      </c>
    </row>
    <row r="1939">
      <c r="A1939" s="81" t="n">
        <v>37599</v>
      </c>
      <c r="D1939" t="n">
        <v>1218.8</v>
      </c>
    </row>
    <row r="1940">
      <c r="A1940" s="81" t="n">
        <v>37606</v>
      </c>
      <c r="D1940" t="n">
        <v>1217.3</v>
      </c>
    </row>
    <row r="1941">
      <c r="A1941" s="81" t="n">
        <v>37613</v>
      </c>
      <c r="D1941" t="n">
        <v>1223.4</v>
      </c>
    </row>
    <row r="1942">
      <c r="A1942" s="81" t="n">
        <v>37620</v>
      </c>
      <c r="D1942" t="n">
        <v>1220.2</v>
      </c>
    </row>
    <row r="1943">
      <c r="A1943" s="81" t="n">
        <v>37622</v>
      </c>
      <c r="B1943" t="n">
        <v>672.1</v>
      </c>
      <c r="C1943" t="n">
        <v>3178.3</v>
      </c>
      <c r="E1943" t="n">
        <v>5803.5</v>
      </c>
    </row>
    <row r="1944">
      <c r="A1944" s="81" t="n">
        <v>37627</v>
      </c>
      <c r="D1944" t="n">
        <v>1215.7</v>
      </c>
    </row>
    <row r="1945">
      <c r="A1945" s="81" t="n">
        <v>37634</v>
      </c>
      <c r="D1945" t="n">
        <v>1221.8</v>
      </c>
    </row>
    <row r="1946">
      <c r="A1946" s="81" t="n">
        <v>37641</v>
      </c>
      <c r="D1946" t="n">
        <v>1229.7</v>
      </c>
    </row>
    <row r="1947">
      <c r="A1947" s="81" t="n">
        <v>37648</v>
      </c>
      <c r="D1947" t="n">
        <v>1229.4</v>
      </c>
    </row>
    <row r="1948">
      <c r="A1948" s="81" t="n">
        <v>37653</v>
      </c>
      <c r="B1948" t="n">
        <v>674.4</v>
      </c>
      <c r="C1948" t="n">
        <v>3180.6</v>
      </c>
      <c r="E1948" t="n">
        <v>5839.5</v>
      </c>
    </row>
    <row r="1949">
      <c r="A1949" s="81" t="n">
        <v>37655</v>
      </c>
      <c r="D1949" t="n">
        <v>1246.6</v>
      </c>
    </row>
    <row r="1950">
      <c r="A1950" s="81" t="n">
        <v>37662</v>
      </c>
      <c r="D1950" t="n">
        <v>1234.2</v>
      </c>
    </row>
    <row r="1951">
      <c r="A1951" s="81" t="n">
        <v>37669</v>
      </c>
      <c r="D1951" t="n">
        <v>1241.1</v>
      </c>
    </row>
    <row r="1952">
      <c r="A1952" s="81" t="n">
        <v>37676</v>
      </c>
      <c r="D1952" t="n">
        <v>1231.3</v>
      </c>
    </row>
    <row r="1953">
      <c r="A1953" s="81" t="n">
        <v>37681</v>
      </c>
      <c r="B1953" t="n">
        <v>673.9</v>
      </c>
      <c r="C1953" t="n">
        <v>3186.7</v>
      </c>
      <c r="E1953" t="n">
        <v>5860.3</v>
      </c>
    </row>
    <row r="1954">
      <c r="A1954" s="81" t="n">
        <v>37683</v>
      </c>
      <c r="D1954" t="n">
        <v>1245.6</v>
      </c>
    </row>
    <row r="1955">
      <c r="A1955" s="81" t="n">
        <v>37690</v>
      </c>
      <c r="D1955" t="n">
        <v>1242.5</v>
      </c>
    </row>
    <row r="1956">
      <c r="A1956" s="81" t="n">
        <v>37697</v>
      </c>
      <c r="D1956" t="n">
        <v>1235.9</v>
      </c>
    </row>
    <row r="1957">
      <c r="A1957" s="81" t="n">
        <v>37704</v>
      </c>
      <c r="D1957" t="n">
        <v>1235.9</v>
      </c>
    </row>
    <row r="1958">
      <c r="A1958" s="81" t="n">
        <v>37711</v>
      </c>
      <c r="D1958" t="n">
        <v>1240.4</v>
      </c>
    </row>
    <row r="1959">
      <c r="A1959" s="81" t="n">
        <v>37712</v>
      </c>
      <c r="B1959" t="n">
        <v>682.3</v>
      </c>
      <c r="C1959" t="n">
        <v>3219.3</v>
      </c>
      <c r="E1959" t="n">
        <v>5897.7</v>
      </c>
    </row>
    <row r="1960">
      <c r="A1960" s="81" t="n">
        <v>37718</v>
      </c>
      <c r="D1960" t="n">
        <v>1235.8</v>
      </c>
    </row>
    <row r="1961">
      <c r="A1961" s="81" t="n">
        <v>37725</v>
      </c>
      <c r="D1961" t="n">
        <v>1249.9</v>
      </c>
    </row>
    <row r="1962">
      <c r="A1962" s="81" t="n">
        <v>37732</v>
      </c>
      <c r="D1962" t="n">
        <v>1255.9</v>
      </c>
    </row>
    <row r="1963">
      <c r="A1963" s="81" t="n">
        <v>37739</v>
      </c>
      <c r="D1963" t="n">
        <v>1255.4</v>
      </c>
    </row>
    <row r="1964">
      <c r="A1964" s="81" t="n">
        <v>37742</v>
      </c>
      <c r="B1964" t="n">
        <v>693.7</v>
      </c>
      <c r="C1964" t="n">
        <v>3257.5</v>
      </c>
      <c r="E1964" t="n">
        <v>5958</v>
      </c>
    </row>
    <row r="1965">
      <c r="A1965" s="81" t="n">
        <v>37746</v>
      </c>
      <c r="D1965" t="n">
        <v>1261.2</v>
      </c>
    </row>
    <row r="1966">
      <c r="A1966" s="81" t="n">
        <v>37753</v>
      </c>
      <c r="D1966" t="n">
        <v>1268.8</v>
      </c>
    </row>
    <row r="1967">
      <c r="A1967" s="81" t="n">
        <v>37760</v>
      </c>
      <c r="D1967" t="n">
        <v>1268.2</v>
      </c>
    </row>
    <row r="1968">
      <c r="A1968" s="81" t="n">
        <v>37767</v>
      </c>
      <c r="D1968" t="n">
        <v>1269.5</v>
      </c>
    </row>
    <row r="1969">
      <c r="A1969" s="81" t="n">
        <v>37773</v>
      </c>
      <c r="B1969" t="n">
        <v>699.6</v>
      </c>
      <c r="C1969" t="n">
        <v>3274</v>
      </c>
      <c r="E1969" t="n">
        <v>5994.7</v>
      </c>
    </row>
    <row r="1970">
      <c r="A1970" s="81" t="n">
        <v>37774</v>
      </c>
      <c r="D1970" t="n">
        <v>1276.4</v>
      </c>
    </row>
    <row r="1971">
      <c r="A1971" s="81" t="n">
        <v>37781</v>
      </c>
      <c r="D1971" t="n">
        <v>1279.1</v>
      </c>
    </row>
    <row r="1972">
      <c r="A1972" s="81" t="n">
        <v>37788</v>
      </c>
      <c r="D1972" t="n">
        <v>1287.6</v>
      </c>
    </row>
    <row r="1973">
      <c r="A1973" s="81" t="n">
        <v>37795</v>
      </c>
      <c r="D1973" t="n">
        <v>1276.9</v>
      </c>
    </row>
    <row r="1974">
      <c r="A1974" s="81" t="n">
        <v>37802</v>
      </c>
      <c r="D1974" t="n">
        <v>1281.7</v>
      </c>
    </row>
    <row r="1975">
      <c r="A1975" s="81" t="n">
        <v>37803</v>
      </c>
      <c r="B1975" t="n">
        <v>700.9</v>
      </c>
      <c r="C1975" t="n">
        <v>3288.7</v>
      </c>
      <c r="E1975" t="n">
        <v>6041.4</v>
      </c>
    </row>
    <row r="1976">
      <c r="A1976" s="81" t="n">
        <v>37809</v>
      </c>
      <c r="D1976" t="n">
        <v>1276.4</v>
      </c>
    </row>
    <row r="1977">
      <c r="A1977" s="81" t="n">
        <v>37816</v>
      </c>
      <c r="D1977" t="n">
        <v>1289.1</v>
      </c>
    </row>
    <row r="1978">
      <c r="A1978" s="81" t="n">
        <v>37823</v>
      </c>
      <c r="D1978" t="n">
        <v>1292.1</v>
      </c>
    </row>
    <row r="1979">
      <c r="A1979" s="81" t="n">
        <v>37830</v>
      </c>
      <c r="D1979" t="n">
        <v>1286.4</v>
      </c>
    </row>
    <row r="1980">
      <c r="A1980" s="81" t="n">
        <v>37834</v>
      </c>
      <c r="B1980" t="n">
        <v>702.7</v>
      </c>
      <c r="C1980" t="n">
        <v>3306</v>
      </c>
      <c r="E1980" t="n">
        <v>6099.5</v>
      </c>
    </row>
    <row r="1981">
      <c r="A1981" s="81" t="n">
        <v>37837</v>
      </c>
      <c r="D1981" t="n">
        <v>1301.4</v>
      </c>
    </row>
    <row r="1982">
      <c r="A1982" s="81" t="n">
        <v>37844</v>
      </c>
      <c r="D1982" t="n">
        <v>1295.4</v>
      </c>
    </row>
    <row r="1983">
      <c r="A1983" s="81" t="n">
        <v>37851</v>
      </c>
      <c r="D1983" t="n">
        <v>1309.5</v>
      </c>
    </row>
    <row r="1984">
      <c r="A1984" s="81" t="n">
        <v>37858</v>
      </c>
      <c r="D1984" t="n">
        <v>1288.4</v>
      </c>
    </row>
    <row r="1985">
      <c r="A1985" s="81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1" t="n">
        <v>37872</v>
      </c>
      <c r="D1986" t="n">
        <v>1295.1</v>
      </c>
    </row>
    <row r="1987">
      <c r="A1987" s="81" t="n">
        <v>37879</v>
      </c>
      <c r="D1987" t="n">
        <v>1299.9</v>
      </c>
    </row>
    <row r="1988">
      <c r="A1988" s="81" t="n">
        <v>37886</v>
      </c>
      <c r="D1988" t="n">
        <v>1299.4</v>
      </c>
    </row>
    <row r="1989">
      <c r="A1989" s="81" t="n">
        <v>37893</v>
      </c>
      <c r="D1989" t="n">
        <v>1297.1</v>
      </c>
    </row>
    <row r="1990">
      <c r="A1990" s="81" t="n">
        <v>37895</v>
      </c>
      <c r="B1990" t="n">
        <v>701.9</v>
      </c>
      <c r="C1990" t="n">
        <v>3278.8</v>
      </c>
      <c r="E1990" t="n">
        <v>6062.5</v>
      </c>
    </row>
    <row r="1991">
      <c r="A1991" s="81" t="n">
        <v>37900</v>
      </c>
      <c r="D1991" t="n">
        <v>1285.8</v>
      </c>
    </row>
    <row r="1992">
      <c r="A1992" s="81" t="n">
        <v>37907</v>
      </c>
      <c r="D1992" t="n">
        <v>1297</v>
      </c>
    </row>
    <row r="1993">
      <c r="A1993" s="81" t="n">
        <v>37914</v>
      </c>
      <c r="D1993" t="n">
        <v>1297.8</v>
      </c>
    </row>
    <row r="1994">
      <c r="A1994" s="81" t="n">
        <v>37921</v>
      </c>
      <c r="D1994" t="n">
        <v>1298.2</v>
      </c>
    </row>
    <row r="1995">
      <c r="A1995" s="81" t="n">
        <v>37926</v>
      </c>
      <c r="B1995" t="n">
        <v>702.2</v>
      </c>
      <c r="C1995" t="n">
        <v>3279.8</v>
      </c>
      <c r="E1995" t="n">
        <v>6067.7</v>
      </c>
    </row>
    <row r="1996">
      <c r="A1996" s="81" t="n">
        <v>37928</v>
      </c>
      <c r="D1996" t="n">
        <v>1316.5</v>
      </c>
    </row>
    <row r="1997">
      <c r="A1997" s="81" t="n">
        <v>37935</v>
      </c>
      <c r="D1997" t="n">
        <v>1306.2</v>
      </c>
    </row>
    <row r="1998">
      <c r="A1998" s="81" t="n">
        <v>37942</v>
      </c>
      <c r="D1998" t="n">
        <v>1297.7</v>
      </c>
    </row>
    <row r="1999">
      <c r="A1999" s="81" t="n">
        <v>37949</v>
      </c>
      <c r="D1999" t="n">
        <v>1293</v>
      </c>
    </row>
    <row r="2000">
      <c r="A2000" s="81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1" t="n">
        <v>37963</v>
      </c>
      <c r="D2001" t="n">
        <v>1304.9</v>
      </c>
    </row>
    <row r="2002">
      <c r="A2002" s="81" t="n">
        <v>37970</v>
      </c>
      <c r="D2002" t="n">
        <v>1311.8</v>
      </c>
    </row>
    <row r="2003">
      <c r="A2003" s="81" t="n">
        <v>37977</v>
      </c>
      <c r="D2003" t="n">
        <v>1308.4</v>
      </c>
    </row>
    <row r="2004">
      <c r="A2004" s="81" t="n">
        <v>37984</v>
      </c>
      <c r="D2004" t="n">
        <v>1302.8</v>
      </c>
    </row>
    <row r="2005">
      <c r="A2005" s="81" t="n">
        <v>37987</v>
      </c>
      <c r="B2005" t="n">
        <v>701</v>
      </c>
      <c r="C2005" t="n">
        <v>3260.5</v>
      </c>
      <c r="E2005" t="n">
        <v>6074.4</v>
      </c>
    </row>
    <row r="2006">
      <c r="A2006" s="81" t="n">
        <v>37991</v>
      </c>
      <c r="D2006" t="n">
        <v>1303</v>
      </c>
    </row>
    <row r="2007">
      <c r="A2007" s="81" t="n">
        <v>37998</v>
      </c>
      <c r="D2007" t="n">
        <v>1300.4</v>
      </c>
    </row>
    <row r="2008">
      <c r="A2008" s="81" t="n">
        <v>38005</v>
      </c>
      <c r="D2008" t="n">
        <v>1307.5</v>
      </c>
    </row>
    <row r="2009">
      <c r="A2009" s="81" t="n">
        <v>38012</v>
      </c>
      <c r="D2009" t="n">
        <v>1307.9</v>
      </c>
    </row>
    <row r="2010">
      <c r="A2010" s="81" t="n">
        <v>38018</v>
      </c>
      <c r="B2010" t="n">
        <v>707.8</v>
      </c>
      <c r="C2010" t="n">
        <v>3274.3</v>
      </c>
      <c r="E2010" t="n">
        <v>6113.2</v>
      </c>
    </row>
    <row r="2011">
      <c r="A2011" s="81" t="n">
        <v>38019</v>
      </c>
      <c r="D2011" t="n">
        <v>1312.3</v>
      </c>
    </row>
    <row r="2012">
      <c r="A2012" s="81" t="n">
        <v>38026</v>
      </c>
      <c r="D2012" t="n">
        <v>1321</v>
      </c>
    </row>
    <row r="2013">
      <c r="A2013" s="81" t="n">
        <v>38033</v>
      </c>
      <c r="D2013" t="n">
        <v>1328.2</v>
      </c>
    </row>
    <row r="2014">
      <c r="A2014" s="81" t="n">
        <v>38040</v>
      </c>
      <c r="D2014" t="n">
        <v>1320.3</v>
      </c>
    </row>
    <row r="2015">
      <c r="A2015" s="81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1" t="n">
        <v>38054</v>
      </c>
      <c r="D2016" t="n">
        <v>1318.5</v>
      </c>
    </row>
    <row r="2017">
      <c r="A2017" s="81" t="n">
        <v>38061</v>
      </c>
      <c r="D2017" t="n">
        <v>1329.7</v>
      </c>
    </row>
    <row r="2018">
      <c r="A2018" s="81" t="n">
        <v>38068</v>
      </c>
      <c r="D2018" t="n">
        <v>1335.8</v>
      </c>
    </row>
    <row r="2019">
      <c r="A2019" s="81" t="n">
        <v>38075</v>
      </c>
      <c r="D2019" t="n">
        <v>1334.1</v>
      </c>
    </row>
    <row r="2020">
      <c r="A2020" s="81" t="n">
        <v>38078</v>
      </c>
      <c r="B2020" t="n">
        <v>711.2</v>
      </c>
      <c r="C2020" t="n">
        <v>3303.2</v>
      </c>
      <c r="E2020" t="n">
        <v>6190.2</v>
      </c>
    </row>
    <row r="2021">
      <c r="A2021" s="81" t="n">
        <v>38082</v>
      </c>
      <c r="D2021" t="n">
        <v>1321.9</v>
      </c>
    </row>
    <row r="2022">
      <c r="A2022" s="81" t="n">
        <v>38089</v>
      </c>
      <c r="D2022" t="n">
        <v>1330.1</v>
      </c>
    </row>
    <row r="2023">
      <c r="A2023" s="81" t="n">
        <v>38096</v>
      </c>
      <c r="D2023" t="n">
        <v>1327.1</v>
      </c>
    </row>
    <row r="2024">
      <c r="A2024" s="81" t="n">
        <v>38103</v>
      </c>
      <c r="D2024" t="n">
        <v>1334.6</v>
      </c>
    </row>
    <row r="2025">
      <c r="A2025" s="81" t="n">
        <v>38108</v>
      </c>
      <c r="B2025" t="n">
        <v>708.4</v>
      </c>
      <c r="C2025" t="n">
        <v>3330</v>
      </c>
      <c r="E2025" t="n">
        <v>6267</v>
      </c>
    </row>
    <row r="2026">
      <c r="A2026" s="81" t="n">
        <v>38110</v>
      </c>
      <c r="D2026" t="n">
        <v>1357.7</v>
      </c>
    </row>
    <row r="2027">
      <c r="A2027" s="81" t="n">
        <v>38117</v>
      </c>
      <c r="D2027" t="n">
        <v>1328</v>
      </c>
    </row>
    <row r="2028">
      <c r="A2028" s="81" t="n">
        <v>38124</v>
      </c>
      <c r="D2028" t="n">
        <v>1336</v>
      </c>
    </row>
    <row r="2029">
      <c r="A2029" s="81" t="n">
        <v>38131</v>
      </c>
      <c r="D2029" t="n">
        <v>1335.6</v>
      </c>
    </row>
    <row r="2030">
      <c r="A2030" s="81" t="n">
        <v>38138</v>
      </c>
      <c r="D2030" t="n">
        <v>1323.1</v>
      </c>
    </row>
    <row r="2031">
      <c r="A2031" s="81" t="n">
        <v>38139</v>
      </c>
      <c r="B2031" t="n">
        <v>710.8</v>
      </c>
      <c r="C2031" t="n">
        <v>3318.9</v>
      </c>
      <c r="E2031" t="n">
        <v>6269.4</v>
      </c>
    </row>
    <row r="2032">
      <c r="A2032" s="81" t="n">
        <v>38145</v>
      </c>
      <c r="D2032" t="n">
        <v>1327.8</v>
      </c>
    </row>
    <row r="2033">
      <c r="A2033" s="81" t="n">
        <v>38152</v>
      </c>
      <c r="D2033" t="n">
        <v>1345.7</v>
      </c>
    </row>
    <row r="2034">
      <c r="A2034" s="81" t="n">
        <v>38159</v>
      </c>
      <c r="D2034" t="n">
        <v>1348</v>
      </c>
    </row>
    <row r="2035">
      <c r="A2035" s="81" t="n">
        <v>38166</v>
      </c>
      <c r="D2035" t="n">
        <v>1353</v>
      </c>
    </row>
    <row r="2036">
      <c r="A2036" s="81" t="n">
        <v>38169</v>
      </c>
      <c r="B2036" t="n">
        <v>709</v>
      </c>
      <c r="C2036" t="n">
        <v>3322.6</v>
      </c>
      <c r="E2036" t="n">
        <v>6283.1</v>
      </c>
    </row>
    <row r="2037">
      <c r="A2037" s="81" t="n">
        <v>38173</v>
      </c>
      <c r="D2037" t="n">
        <v>1330.1</v>
      </c>
    </row>
    <row r="2038">
      <c r="A2038" s="81" t="n">
        <v>38180</v>
      </c>
      <c r="D2038" t="n">
        <v>1341.1</v>
      </c>
    </row>
    <row r="2039">
      <c r="A2039" s="81" t="n">
        <v>38187</v>
      </c>
      <c r="D2039" t="n">
        <v>1337.2</v>
      </c>
    </row>
    <row r="2040">
      <c r="A2040" s="81" t="n">
        <v>38194</v>
      </c>
      <c r="D2040" t="n">
        <v>1347.6</v>
      </c>
    </row>
    <row r="2041">
      <c r="A2041" s="81" t="n">
        <v>38200</v>
      </c>
      <c r="B2041" t="n">
        <v>715.8</v>
      </c>
      <c r="C2041" t="n">
        <v>3334.7</v>
      </c>
      <c r="E2041" t="n">
        <v>6309.2</v>
      </c>
    </row>
    <row r="2042">
      <c r="A2042" s="81" t="n">
        <v>38201</v>
      </c>
      <c r="D2042" t="n">
        <v>1346.8</v>
      </c>
    </row>
    <row r="2043">
      <c r="A2043" s="81" t="n">
        <v>38208</v>
      </c>
      <c r="D2043" t="n">
        <v>1352</v>
      </c>
    </row>
    <row r="2044">
      <c r="A2044" s="81" t="n">
        <v>38215</v>
      </c>
      <c r="D2044" t="n">
        <v>1355.2</v>
      </c>
    </row>
    <row r="2045">
      <c r="A2045" s="81" t="n">
        <v>38222</v>
      </c>
      <c r="D2045" t="n">
        <v>1362.5</v>
      </c>
    </row>
    <row r="2046">
      <c r="A2046" s="81" t="n">
        <v>38229</v>
      </c>
      <c r="D2046" t="n">
        <v>1351.4</v>
      </c>
    </row>
    <row r="2047">
      <c r="A2047" s="81" t="n">
        <v>38231</v>
      </c>
      <c r="B2047" t="n">
        <v>717.9</v>
      </c>
      <c r="C2047" t="n">
        <v>3342.4</v>
      </c>
      <c r="E2047" t="n">
        <v>6343.9</v>
      </c>
    </row>
    <row r="2048">
      <c r="A2048" s="81" t="n">
        <v>38236</v>
      </c>
      <c r="D2048" t="n">
        <v>1342.3</v>
      </c>
    </row>
    <row r="2049">
      <c r="A2049" s="81" t="n">
        <v>38243</v>
      </c>
      <c r="D2049" t="n">
        <v>1359.9</v>
      </c>
    </row>
    <row r="2050">
      <c r="A2050" s="81" t="n">
        <v>38250</v>
      </c>
      <c r="D2050" t="n">
        <v>1372.2</v>
      </c>
    </row>
    <row r="2051">
      <c r="A2051" s="81" t="n">
        <v>38257</v>
      </c>
      <c r="D2051" t="n">
        <v>1372</v>
      </c>
    </row>
    <row r="2052">
      <c r="A2052" s="81" t="n">
        <v>38261</v>
      </c>
      <c r="B2052" t="n">
        <v>714</v>
      </c>
      <c r="C2052" t="n">
        <v>3339.7</v>
      </c>
      <c r="E2052" t="n">
        <v>6372.1</v>
      </c>
    </row>
    <row r="2053">
      <c r="A2053" s="81" t="n">
        <v>38264</v>
      </c>
      <c r="D2053" t="n">
        <v>1364.4</v>
      </c>
    </row>
    <row r="2054">
      <c r="A2054" s="81" t="n">
        <v>38271</v>
      </c>
      <c r="D2054" t="n">
        <v>1365.5</v>
      </c>
    </row>
    <row r="2055">
      <c r="A2055" s="81" t="n">
        <v>38278</v>
      </c>
      <c r="D2055" t="n">
        <v>1359.7</v>
      </c>
    </row>
    <row r="2056">
      <c r="A2056" s="81" t="n">
        <v>38285</v>
      </c>
      <c r="D2056" t="n">
        <v>1368.5</v>
      </c>
    </row>
    <row r="2057">
      <c r="A2057" s="81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1" t="n">
        <v>38299</v>
      </c>
      <c r="D2058" t="n">
        <v>1363.9</v>
      </c>
    </row>
    <row r="2059">
      <c r="A2059" s="81" t="n">
        <v>38306</v>
      </c>
      <c r="D2059" t="n">
        <v>1371.2</v>
      </c>
    </row>
    <row r="2060">
      <c r="A2060" s="81" t="n">
        <v>38313</v>
      </c>
      <c r="D2060" t="n">
        <v>1379.2</v>
      </c>
    </row>
    <row r="2061">
      <c r="A2061" s="81" t="n">
        <v>38320</v>
      </c>
      <c r="D2061" t="n">
        <v>1387.5</v>
      </c>
    </row>
    <row r="2062">
      <c r="A2062" s="81" t="n">
        <v>38322</v>
      </c>
      <c r="B2062" t="n">
        <v>717.8</v>
      </c>
      <c r="C2062" t="n">
        <v>3347.5</v>
      </c>
      <c r="E2062" t="n">
        <v>6417.2</v>
      </c>
    </row>
    <row r="2063">
      <c r="A2063" s="81" t="n">
        <v>38327</v>
      </c>
      <c r="D2063" t="n">
        <v>1359.6</v>
      </c>
    </row>
    <row r="2064">
      <c r="A2064" s="81" t="n">
        <v>38334</v>
      </c>
      <c r="D2064" t="n">
        <v>1369.7</v>
      </c>
    </row>
    <row r="2065">
      <c r="A2065" s="81" t="n">
        <v>38341</v>
      </c>
      <c r="D2065" t="n">
        <v>1380</v>
      </c>
    </row>
    <row r="2066">
      <c r="A2066" s="81" t="n">
        <v>38348</v>
      </c>
      <c r="D2066" t="n">
        <v>1387.5</v>
      </c>
    </row>
    <row r="2067">
      <c r="A2067" s="81" t="n">
        <v>38353</v>
      </c>
      <c r="B2067" t="n">
        <v>713.5</v>
      </c>
      <c r="C2067" t="n">
        <v>3352.5</v>
      </c>
      <c r="E2067" t="n">
        <v>6423.4</v>
      </c>
    </row>
    <row r="2068">
      <c r="A2068" s="81" t="n">
        <v>38355</v>
      </c>
      <c r="D2068" t="n">
        <v>1373.7</v>
      </c>
    </row>
    <row r="2069">
      <c r="A2069" s="81" t="n">
        <v>38362</v>
      </c>
      <c r="D2069" t="n">
        <v>1347.5</v>
      </c>
    </row>
    <row r="2070">
      <c r="A2070" s="81" t="n">
        <v>38369</v>
      </c>
      <c r="D2070" t="n">
        <v>1348.5</v>
      </c>
    </row>
    <row r="2071">
      <c r="A2071" s="81" t="n">
        <v>38376</v>
      </c>
      <c r="D2071" t="n">
        <v>1362.7</v>
      </c>
    </row>
    <row r="2072">
      <c r="A2072" s="81" t="n">
        <v>38383</v>
      </c>
      <c r="D2072" t="n">
        <v>1364.9</v>
      </c>
    </row>
    <row r="2073">
      <c r="A2073" s="81" t="n">
        <v>38384</v>
      </c>
      <c r="B2073" t="n">
        <v>712.6</v>
      </c>
      <c r="C2073" t="n">
        <v>3342.9</v>
      </c>
      <c r="E2073" t="n">
        <v>6431.8</v>
      </c>
    </row>
    <row r="2074">
      <c r="A2074" s="81" t="n">
        <v>38390</v>
      </c>
      <c r="D2074" t="n">
        <v>1353.7</v>
      </c>
    </row>
    <row r="2075">
      <c r="A2075" s="81" t="n">
        <v>38397</v>
      </c>
      <c r="D2075" t="n">
        <v>1368.7</v>
      </c>
    </row>
    <row r="2076">
      <c r="A2076" s="81" t="n">
        <v>38404</v>
      </c>
      <c r="D2076" t="n">
        <v>1381.5</v>
      </c>
    </row>
    <row r="2077">
      <c r="A2077" s="81" t="n">
        <v>38411</v>
      </c>
      <c r="D2077" t="n">
        <v>1380.5</v>
      </c>
    </row>
    <row r="2078">
      <c r="A2078" s="81" t="n">
        <v>38412</v>
      </c>
      <c r="B2078" t="n">
        <v>709.9</v>
      </c>
      <c r="C2078" t="n">
        <v>3335.5</v>
      </c>
      <c r="E2078" t="n">
        <v>6440.8</v>
      </c>
    </row>
    <row r="2079">
      <c r="A2079" s="81" t="n">
        <v>38418</v>
      </c>
      <c r="D2079" t="n">
        <v>1362.8</v>
      </c>
    </row>
    <row r="2080">
      <c r="A2080" s="81" t="n">
        <v>38425</v>
      </c>
      <c r="D2080" t="n">
        <v>1370.1</v>
      </c>
    </row>
    <row r="2081">
      <c r="A2081" s="81" t="n">
        <v>38432</v>
      </c>
      <c r="D2081" t="n">
        <v>1376.3</v>
      </c>
    </row>
    <row r="2082">
      <c r="A2082" s="81" t="n">
        <v>38439</v>
      </c>
      <c r="D2082" t="n">
        <v>1378.4</v>
      </c>
    </row>
    <row r="2083">
      <c r="A2083" s="81" t="n">
        <v>38443</v>
      </c>
      <c r="B2083" t="n">
        <v>701.3</v>
      </c>
      <c r="C2083" t="n">
        <v>3332.3</v>
      </c>
      <c r="E2083" t="n">
        <v>6454.7</v>
      </c>
    </row>
    <row r="2084">
      <c r="A2084" s="81" t="n">
        <v>38446</v>
      </c>
      <c r="D2084" t="n">
        <v>1361.1</v>
      </c>
    </row>
    <row r="2085">
      <c r="A2085" s="81" t="n">
        <v>38453</v>
      </c>
      <c r="D2085" t="n">
        <v>1355.3</v>
      </c>
    </row>
    <row r="2086">
      <c r="A2086" s="81" t="n">
        <v>38460</v>
      </c>
      <c r="D2086" t="n">
        <v>1355.1</v>
      </c>
    </row>
    <row r="2087">
      <c r="A2087" s="81" t="n">
        <v>38467</v>
      </c>
      <c r="D2087" t="n">
        <v>1361.7</v>
      </c>
    </row>
    <row r="2088">
      <c r="A2088" s="81" t="n">
        <v>38473</v>
      </c>
      <c r="B2088" t="n">
        <v>705.6</v>
      </c>
      <c r="C2088" t="n">
        <v>3343</v>
      </c>
      <c r="E2088" t="n">
        <v>6472</v>
      </c>
    </row>
    <row r="2089">
      <c r="A2089" s="81" t="n">
        <v>38474</v>
      </c>
      <c r="D2089" t="n">
        <v>1360.4</v>
      </c>
    </row>
    <row r="2090">
      <c r="A2090" s="81" t="n">
        <v>38481</v>
      </c>
      <c r="D2090" t="n">
        <v>1361.8</v>
      </c>
    </row>
    <row r="2091">
      <c r="A2091" s="81" t="n">
        <v>38488</v>
      </c>
      <c r="D2091" t="n">
        <v>1357.6</v>
      </c>
    </row>
    <row r="2092">
      <c r="A2092" s="81" t="n">
        <v>38495</v>
      </c>
      <c r="D2092" t="n">
        <v>1367.4</v>
      </c>
    </row>
    <row r="2093">
      <c r="A2093" s="81" t="n">
        <v>38502</v>
      </c>
      <c r="D2093" t="n">
        <v>1379.4</v>
      </c>
    </row>
    <row r="2094">
      <c r="A2094" s="81" t="n">
        <v>38504</v>
      </c>
      <c r="B2094" t="n">
        <v>712.5</v>
      </c>
      <c r="C2094" t="n">
        <v>3358</v>
      </c>
      <c r="E2094" t="n">
        <v>6504.4</v>
      </c>
    </row>
    <row r="2095">
      <c r="A2095" s="81" t="n">
        <v>38509</v>
      </c>
      <c r="D2095" t="n">
        <v>1361.7</v>
      </c>
    </row>
    <row r="2096">
      <c r="A2096" s="81" t="n">
        <v>38516</v>
      </c>
      <c r="D2096" t="n">
        <v>1372.6</v>
      </c>
    </row>
    <row r="2097">
      <c r="A2097" s="81" t="n">
        <v>38523</v>
      </c>
      <c r="D2097" t="n">
        <v>1389.9</v>
      </c>
    </row>
    <row r="2098">
      <c r="A2098" s="81" t="n">
        <v>38530</v>
      </c>
      <c r="D2098" t="n">
        <v>1395.5</v>
      </c>
    </row>
    <row r="2099">
      <c r="A2099" s="81" t="n">
        <v>38534</v>
      </c>
      <c r="B2099" t="n">
        <v>702.4</v>
      </c>
      <c r="C2099" t="n">
        <v>3353.5</v>
      </c>
      <c r="E2099" t="n">
        <v>6536</v>
      </c>
    </row>
    <row r="2100">
      <c r="A2100" s="81" t="n">
        <v>38537</v>
      </c>
      <c r="D2100" t="n">
        <v>1375.6</v>
      </c>
    </row>
    <row r="2101">
      <c r="A2101" s="81" t="n">
        <v>38544</v>
      </c>
      <c r="D2101" t="n">
        <v>1364.8</v>
      </c>
    </row>
    <row r="2102">
      <c r="A2102" s="81" t="n">
        <v>38551</v>
      </c>
      <c r="D2102" t="n">
        <v>1364.4</v>
      </c>
    </row>
    <row r="2103">
      <c r="A2103" s="81" t="n">
        <v>38558</v>
      </c>
      <c r="D2103" t="n">
        <v>1379.6</v>
      </c>
    </row>
    <row r="2104">
      <c r="A2104" s="81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1" t="n">
        <v>38572</v>
      </c>
      <c r="D2105" t="n">
        <v>1366.5</v>
      </c>
    </row>
    <row r="2106">
      <c r="A2106" s="81" t="n">
        <v>38579</v>
      </c>
      <c r="D2106" t="n">
        <v>1375.6</v>
      </c>
    </row>
    <row r="2107">
      <c r="A2107" s="81" t="n">
        <v>38586</v>
      </c>
      <c r="D2107" t="n">
        <v>1388.5</v>
      </c>
    </row>
    <row r="2108">
      <c r="A2108" s="81" t="n">
        <v>38593</v>
      </c>
      <c r="D2108" t="n">
        <v>1386.5</v>
      </c>
    </row>
    <row r="2109">
      <c r="A2109" s="81" t="n">
        <v>38596</v>
      </c>
      <c r="B2109" t="n">
        <v>693.5</v>
      </c>
      <c r="C2109" t="n">
        <v>3321.4</v>
      </c>
      <c r="E2109" t="n">
        <v>6602.9</v>
      </c>
    </row>
    <row r="2110">
      <c r="A2110" s="81" t="n">
        <v>38600</v>
      </c>
      <c r="D2110" t="n">
        <v>1364.4</v>
      </c>
    </row>
    <row r="2111">
      <c r="A2111" s="81" t="n">
        <v>38607</v>
      </c>
      <c r="D2111" t="n">
        <v>1366.9</v>
      </c>
    </row>
    <row r="2112">
      <c r="A2112" s="81" t="n">
        <v>38614</v>
      </c>
      <c r="D2112" t="n">
        <v>1380.1</v>
      </c>
    </row>
    <row r="2113">
      <c r="A2113" s="81" t="n">
        <v>38621</v>
      </c>
      <c r="D2113" t="n">
        <v>1388.5</v>
      </c>
    </row>
    <row r="2114">
      <c r="A2114" s="81" t="n">
        <v>38626</v>
      </c>
      <c r="B2114" t="n">
        <v>691.4</v>
      </c>
      <c r="C2114" t="n">
        <v>3333.5</v>
      </c>
      <c r="E2114" t="n">
        <v>6637</v>
      </c>
    </row>
    <row r="2115">
      <c r="A2115" s="81" t="n">
        <v>38628</v>
      </c>
      <c r="D2115" t="n">
        <v>1396.7</v>
      </c>
    </row>
    <row r="2116">
      <c r="A2116" s="81" t="n">
        <v>38635</v>
      </c>
      <c r="D2116" t="n">
        <v>1372.5</v>
      </c>
    </row>
    <row r="2117">
      <c r="A2117" s="81" t="n">
        <v>38642</v>
      </c>
      <c r="D2117" t="n">
        <v>1365.5</v>
      </c>
    </row>
    <row r="2118">
      <c r="A2118" s="81" t="n">
        <v>38649</v>
      </c>
      <c r="D2118" t="n">
        <v>1382</v>
      </c>
    </row>
    <row r="2119">
      <c r="A2119" s="81" t="n">
        <v>38656</v>
      </c>
      <c r="D2119" t="n">
        <v>1377.3</v>
      </c>
    </row>
    <row r="2120">
      <c r="A2120" s="81" t="n">
        <v>38657</v>
      </c>
      <c r="B2120" t="n">
        <v>694.6</v>
      </c>
      <c r="C2120" t="n">
        <v>3358.6</v>
      </c>
      <c r="E2120" t="n">
        <v>6653.4</v>
      </c>
    </row>
    <row r="2121">
      <c r="A2121" s="81" t="n">
        <v>38663</v>
      </c>
      <c r="D2121" t="n">
        <v>1360.5</v>
      </c>
    </row>
    <row r="2122">
      <c r="A2122" s="81" t="n">
        <v>38670</v>
      </c>
      <c r="D2122" t="n">
        <v>1370.9</v>
      </c>
    </row>
    <row r="2123">
      <c r="A2123" s="81" t="n">
        <v>38677</v>
      </c>
      <c r="D2123" t="n">
        <v>1388</v>
      </c>
    </row>
    <row r="2124">
      <c r="A2124" s="81" t="n">
        <v>38684</v>
      </c>
      <c r="D2124" t="n">
        <v>1386.3</v>
      </c>
    </row>
    <row r="2125">
      <c r="A2125" s="81" t="n">
        <v>38687</v>
      </c>
      <c r="B2125" t="n">
        <v>693.7</v>
      </c>
      <c r="C2125" t="n">
        <v>3372.1</v>
      </c>
      <c r="E2125" t="n">
        <v>6680.1</v>
      </c>
    </row>
    <row r="2126">
      <c r="A2126" s="81" t="n">
        <v>38691</v>
      </c>
      <c r="D2126" t="n">
        <v>1371.5</v>
      </c>
    </row>
    <row r="2127">
      <c r="A2127" s="81" t="n">
        <v>38698</v>
      </c>
      <c r="D2127" t="n">
        <v>1368</v>
      </c>
    </row>
    <row r="2128">
      <c r="A2128" s="81" t="n">
        <v>38705</v>
      </c>
      <c r="D2128" t="n">
        <v>1373.1</v>
      </c>
    </row>
    <row r="2129">
      <c r="A2129" s="81" t="n">
        <v>38712</v>
      </c>
      <c r="D2129" t="n">
        <v>1383</v>
      </c>
    </row>
    <row r="2130">
      <c r="A2130" s="81" t="n">
        <v>38718</v>
      </c>
      <c r="B2130" t="n">
        <v>692.2</v>
      </c>
      <c r="C2130" t="n">
        <v>3373.1</v>
      </c>
      <c r="E2130" t="n">
        <v>6722.5</v>
      </c>
    </row>
    <row r="2131">
      <c r="A2131" s="81" t="n">
        <v>38719</v>
      </c>
      <c r="D2131" t="n">
        <v>1375.5</v>
      </c>
    </row>
    <row r="2132">
      <c r="A2132" s="81" t="n">
        <v>38726</v>
      </c>
      <c r="D2132" t="n">
        <v>1372</v>
      </c>
    </row>
    <row r="2133">
      <c r="A2133" s="81" t="n">
        <v>38733</v>
      </c>
      <c r="D2133" t="n">
        <v>1375.8</v>
      </c>
    </row>
    <row r="2134">
      <c r="A2134" s="81" t="n">
        <v>38740</v>
      </c>
      <c r="D2134" t="n">
        <v>1383.1</v>
      </c>
    </row>
    <row r="2135">
      <c r="A2135" s="81" t="n">
        <v>38747</v>
      </c>
      <c r="D2135" t="n">
        <v>1389.8</v>
      </c>
    </row>
    <row r="2136">
      <c r="A2136" s="81" t="n">
        <v>38749</v>
      </c>
      <c r="B2136" t="n">
        <v>691.3</v>
      </c>
      <c r="C2136" t="n">
        <v>3383.6</v>
      </c>
      <c r="E2136" t="n">
        <v>6746.8</v>
      </c>
    </row>
    <row r="2137">
      <c r="A2137" s="81" t="n">
        <v>38754</v>
      </c>
      <c r="D2137" t="n">
        <v>1369.2</v>
      </c>
    </row>
    <row r="2138">
      <c r="A2138" s="81" t="n">
        <v>38761</v>
      </c>
      <c r="D2138" t="n">
        <v>1368.6</v>
      </c>
    </row>
    <row r="2139">
      <c r="A2139" s="81" t="n">
        <v>38768</v>
      </c>
      <c r="D2139" t="n">
        <v>1383.3</v>
      </c>
    </row>
    <row r="2140">
      <c r="A2140" s="81" t="n">
        <v>38775</v>
      </c>
      <c r="D2140" t="n">
        <v>1393</v>
      </c>
    </row>
    <row r="2141">
      <c r="A2141" s="81" t="n">
        <v>38777</v>
      </c>
      <c r="B2141" t="n">
        <v>692.6</v>
      </c>
      <c r="C2141" t="n">
        <v>3385.6</v>
      </c>
      <c r="E2141" t="n">
        <v>6761.1</v>
      </c>
    </row>
    <row r="2142">
      <c r="A2142" s="81" t="n">
        <v>38782</v>
      </c>
      <c r="D2142" t="n">
        <v>1366.2</v>
      </c>
    </row>
    <row r="2143">
      <c r="A2143" s="81" t="n">
        <v>38789</v>
      </c>
      <c r="D2143" t="n">
        <v>1371</v>
      </c>
    </row>
    <row r="2144">
      <c r="A2144" s="81" t="n">
        <v>38796</v>
      </c>
      <c r="D2144" t="n">
        <v>1387.9</v>
      </c>
    </row>
    <row r="2145">
      <c r="A2145" s="81" t="n">
        <v>38803</v>
      </c>
      <c r="D2145" t="n">
        <v>1394.8</v>
      </c>
    </row>
    <row r="2146">
      <c r="A2146" s="81" t="n">
        <v>38808</v>
      </c>
      <c r="B2146" t="n">
        <v>688.3</v>
      </c>
      <c r="C2146" t="n">
        <v>3387.4</v>
      </c>
      <c r="E2146" t="n">
        <v>6798.5</v>
      </c>
    </row>
    <row r="2147">
      <c r="A2147" s="81" t="n">
        <v>38810</v>
      </c>
      <c r="D2147" t="n">
        <v>1401.4</v>
      </c>
    </row>
    <row r="2148">
      <c r="A2148" s="81" t="n">
        <v>38817</v>
      </c>
      <c r="D2148" t="n">
        <v>1375.7</v>
      </c>
    </row>
    <row r="2149">
      <c r="A2149" s="81" t="n">
        <v>38824</v>
      </c>
      <c r="D2149" t="n">
        <v>1379.4</v>
      </c>
    </row>
    <row r="2150">
      <c r="A2150" s="81" t="n">
        <v>38831</v>
      </c>
      <c r="D2150" t="n">
        <v>1388.1</v>
      </c>
    </row>
    <row r="2151">
      <c r="A2151" s="81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1" t="n">
        <v>38845</v>
      </c>
      <c r="D2152" t="n">
        <v>1373.8</v>
      </c>
    </row>
    <row r="2153">
      <c r="A2153" s="81" t="n">
        <v>38852</v>
      </c>
      <c r="D2153" t="n">
        <v>1389.4</v>
      </c>
    </row>
    <row r="2154">
      <c r="A2154" s="81" t="n">
        <v>38859</v>
      </c>
      <c r="D2154" t="n">
        <v>1394.8</v>
      </c>
    </row>
    <row r="2155">
      <c r="A2155" s="81" t="n">
        <v>38866</v>
      </c>
      <c r="D2155" t="n">
        <v>1397.9</v>
      </c>
    </row>
    <row r="2156">
      <c r="A2156" s="81" t="n">
        <v>38869</v>
      </c>
      <c r="B2156" t="n">
        <v>681.6</v>
      </c>
      <c r="C2156" t="n">
        <v>3391.1</v>
      </c>
      <c r="E2156" t="n">
        <v>6843.2</v>
      </c>
    </row>
    <row r="2157">
      <c r="A2157" s="81" t="n">
        <v>38873</v>
      </c>
      <c r="D2157" t="n">
        <v>1369.1</v>
      </c>
    </row>
    <row r="2158">
      <c r="A2158" s="81" t="n">
        <v>38880</v>
      </c>
      <c r="D2158" t="n">
        <v>1367.7</v>
      </c>
    </row>
    <row r="2159">
      <c r="A2159" s="81" t="n">
        <v>38887</v>
      </c>
      <c r="D2159" t="n">
        <v>1370.9</v>
      </c>
    </row>
    <row r="2160">
      <c r="A2160" s="81" t="n">
        <v>38894</v>
      </c>
      <c r="D2160" t="n">
        <v>1383.6</v>
      </c>
    </row>
    <row r="2161">
      <c r="A2161" s="81" t="n">
        <v>38899</v>
      </c>
      <c r="B2161" t="n">
        <v>676.4</v>
      </c>
      <c r="C2161" t="n">
        <v>3393.1</v>
      </c>
      <c r="E2161" t="n">
        <v>6884.6</v>
      </c>
    </row>
    <row r="2162">
      <c r="A2162" s="81" t="n">
        <v>38901</v>
      </c>
      <c r="D2162" t="n">
        <v>1390.5</v>
      </c>
    </row>
    <row r="2163">
      <c r="A2163" s="81" t="n">
        <v>38908</v>
      </c>
      <c r="D2163" t="n">
        <v>1372.4</v>
      </c>
    </row>
    <row r="2164">
      <c r="A2164" s="81" t="n">
        <v>38915</v>
      </c>
      <c r="D2164" t="n">
        <v>1359.2</v>
      </c>
    </row>
    <row r="2165">
      <c r="A2165" s="81" t="n">
        <v>38922</v>
      </c>
      <c r="D2165" t="n">
        <v>1377.5</v>
      </c>
    </row>
    <row r="2166">
      <c r="A2166" s="81" t="n">
        <v>38929</v>
      </c>
      <c r="D2166" t="n">
        <v>1372.9</v>
      </c>
    </row>
    <row r="2167">
      <c r="A2167" s="81" t="n">
        <v>38930</v>
      </c>
      <c r="B2167" t="n">
        <v>673.4</v>
      </c>
      <c r="C2167" t="n">
        <v>3393.2</v>
      </c>
      <c r="E2167" t="n">
        <v>6915.4</v>
      </c>
    </row>
    <row r="2168">
      <c r="A2168" s="81" t="n">
        <v>38936</v>
      </c>
      <c r="D2168" t="n">
        <v>1357.2</v>
      </c>
    </row>
    <row r="2169">
      <c r="A2169" s="81" t="n">
        <v>38943</v>
      </c>
      <c r="D2169" t="n">
        <v>1364.8</v>
      </c>
    </row>
    <row r="2170">
      <c r="A2170" s="81" t="n">
        <v>38950</v>
      </c>
      <c r="D2170" t="n">
        <v>1382.8</v>
      </c>
    </row>
    <row r="2171">
      <c r="A2171" s="81" t="n">
        <v>38957</v>
      </c>
      <c r="D2171" t="n">
        <v>1384</v>
      </c>
    </row>
    <row r="2172">
      <c r="A2172" s="81" t="n">
        <v>38961</v>
      </c>
      <c r="B2172" t="n">
        <v>672.8</v>
      </c>
      <c r="C2172" t="n">
        <v>3423.4</v>
      </c>
      <c r="E2172" t="n">
        <v>6942.6</v>
      </c>
    </row>
    <row r="2173">
      <c r="A2173" s="81" t="n">
        <v>38964</v>
      </c>
      <c r="D2173" t="n">
        <v>1373.8</v>
      </c>
    </row>
    <row r="2174">
      <c r="A2174" s="81" t="n">
        <v>38971</v>
      </c>
      <c r="D2174" t="n">
        <v>1365.4</v>
      </c>
    </row>
    <row r="2175">
      <c r="A2175" s="81" t="n">
        <v>38978</v>
      </c>
      <c r="D2175" t="n">
        <v>1357.6</v>
      </c>
    </row>
    <row r="2176">
      <c r="A2176" s="81" t="n">
        <v>38985</v>
      </c>
      <c r="D2176" t="n">
        <v>1364.9</v>
      </c>
    </row>
    <row r="2177">
      <c r="A2177" s="81" t="n">
        <v>38991</v>
      </c>
      <c r="B2177" t="n">
        <v>678.7</v>
      </c>
      <c r="C2177" t="n">
        <v>3462.9</v>
      </c>
      <c r="E2177" t="n">
        <v>6991.6</v>
      </c>
    </row>
    <row r="2178">
      <c r="A2178" s="81" t="n">
        <v>38992</v>
      </c>
      <c r="D2178" t="n">
        <v>1364.3</v>
      </c>
    </row>
    <row r="2179">
      <c r="A2179" s="81" t="n">
        <v>38999</v>
      </c>
      <c r="D2179" t="n">
        <v>1368.1</v>
      </c>
    </row>
    <row r="2180">
      <c r="A2180" s="81" t="n">
        <v>39006</v>
      </c>
      <c r="D2180" t="n">
        <v>1360.6</v>
      </c>
    </row>
    <row r="2181">
      <c r="A2181" s="81" t="n">
        <v>39013</v>
      </c>
      <c r="D2181" t="n">
        <v>1380.3</v>
      </c>
    </row>
    <row r="2182">
      <c r="A2182" s="81" t="n">
        <v>39020</v>
      </c>
      <c r="D2182" t="n">
        <v>1376.4</v>
      </c>
    </row>
    <row r="2183">
      <c r="A2183" s="81" t="n">
        <v>39022</v>
      </c>
      <c r="B2183" t="n">
        <v>678.6</v>
      </c>
      <c r="C2183" t="n">
        <v>3478.5</v>
      </c>
      <c r="E2183" t="n">
        <v>7026.5</v>
      </c>
    </row>
    <row r="2184">
      <c r="A2184" s="81" t="n">
        <v>39027</v>
      </c>
      <c r="D2184" t="n">
        <v>1351.1</v>
      </c>
    </row>
    <row r="2185">
      <c r="A2185" s="81" t="n">
        <v>39034</v>
      </c>
      <c r="D2185" t="n">
        <v>1361.3</v>
      </c>
    </row>
    <row r="2186">
      <c r="A2186" s="81" t="n">
        <v>39041</v>
      </c>
      <c r="D2186" t="n">
        <v>1380.2</v>
      </c>
    </row>
    <row r="2187">
      <c r="A2187" s="81" t="n">
        <v>39048</v>
      </c>
      <c r="D2187" t="n">
        <v>1386.4</v>
      </c>
    </row>
    <row r="2188">
      <c r="A2188" s="81" t="n">
        <v>39052</v>
      </c>
      <c r="B2188" t="n">
        <v>672.9</v>
      </c>
      <c r="C2188" t="n">
        <v>3480.8</v>
      </c>
      <c r="E2188" t="n">
        <v>7069.5</v>
      </c>
    </row>
    <row r="2189">
      <c r="A2189" s="81" t="n">
        <v>39055</v>
      </c>
      <c r="D2189" t="n">
        <v>1374.1</v>
      </c>
    </row>
    <row r="2190">
      <c r="A2190" s="81" t="n">
        <v>39062</v>
      </c>
      <c r="D2190" t="n">
        <v>1360.3</v>
      </c>
    </row>
    <row r="2191">
      <c r="A2191" s="81" t="n">
        <v>39069</v>
      </c>
      <c r="D2191" t="n">
        <v>1359.2</v>
      </c>
    </row>
    <row r="2192">
      <c r="A2192" s="81" t="n">
        <v>39076</v>
      </c>
      <c r="D2192" t="n">
        <v>1380.4</v>
      </c>
    </row>
    <row r="2193">
      <c r="A2193" s="81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</row>
    <row r="2194">
      <c r="A2194" s="81" t="n">
        <v>39090</v>
      </c>
      <c r="D2194" t="n">
        <v>1355.7</v>
      </c>
    </row>
    <row r="2195">
      <c r="A2195" s="81" t="n">
        <v>39097</v>
      </c>
      <c r="D2195" t="n">
        <v>1382.9</v>
      </c>
    </row>
    <row r="2196">
      <c r="A2196" s="81" t="n">
        <v>39104</v>
      </c>
      <c r="D2196" t="n">
        <v>1373.2</v>
      </c>
    </row>
    <row r="2197">
      <c r="A2197" s="81" t="n">
        <v>39111</v>
      </c>
      <c r="D2197" t="n">
        <v>1377</v>
      </c>
    </row>
    <row r="2198">
      <c r="A2198" s="81" t="n">
        <v>39114</v>
      </c>
      <c r="B2198" t="n">
        <v>667.4</v>
      </c>
      <c r="C2198" t="n">
        <v>3487.9</v>
      </c>
      <c r="E2198" t="n">
        <v>7123.2</v>
      </c>
    </row>
    <row r="2199">
      <c r="A2199" s="81" t="n">
        <v>39118</v>
      </c>
      <c r="D2199" t="n">
        <v>1369.9</v>
      </c>
    </row>
    <row r="2200">
      <c r="A2200" s="81" t="n">
        <v>39125</v>
      </c>
      <c r="D2200" t="n">
        <v>1361.7</v>
      </c>
    </row>
    <row r="2201">
      <c r="A2201" s="81" t="n">
        <v>39132</v>
      </c>
      <c r="D2201" t="n">
        <v>1361.7</v>
      </c>
    </row>
    <row r="2202">
      <c r="A2202" s="81" t="n">
        <v>39139</v>
      </c>
      <c r="D2202" t="n">
        <v>1362</v>
      </c>
    </row>
    <row r="2203">
      <c r="A2203" s="81" t="n">
        <v>39142</v>
      </c>
      <c r="B2203" t="n">
        <v>665.7</v>
      </c>
      <c r="C2203" t="n">
        <v>3486.3</v>
      </c>
      <c r="E2203" t="n">
        <v>7156.9</v>
      </c>
    </row>
    <row r="2204">
      <c r="A2204" s="81" t="n">
        <v>39146</v>
      </c>
      <c r="D2204" t="n">
        <v>1358.6</v>
      </c>
    </row>
    <row r="2205">
      <c r="A2205" s="81" t="n">
        <v>39153</v>
      </c>
      <c r="D2205" t="n">
        <v>1363.5</v>
      </c>
    </row>
    <row r="2206">
      <c r="A2206" s="81" t="n">
        <v>39160</v>
      </c>
      <c r="D2206" t="n">
        <v>1360.2</v>
      </c>
    </row>
    <row r="2207">
      <c r="A2207" s="81" t="n">
        <v>39167</v>
      </c>
      <c r="D2207" t="n">
        <v>1373.6</v>
      </c>
    </row>
    <row r="2208">
      <c r="A2208" s="81" t="n">
        <v>39173</v>
      </c>
      <c r="B2208" t="n">
        <v>669.2</v>
      </c>
      <c r="C2208" t="n">
        <v>3511</v>
      </c>
      <c r="E2208" t="n">
        <v>7229.3</v>
      </c>
    </row>
    <row r="2209">
      <c r="A2209" s="81" t="n">
        <v>39174</v>
      </c>
      <c r="D2209" t="n">
        <v>1377.5</v>
      </c>
    </row>
    <row r="2210">
      <c r="A2210" s="81" t="n">
        <v>39181</v>
      </c>
      <c r="D2210" t="n">
        <v>1379.6</v>
      </c>
    </row>
    <row r="2211">
      <c r="A2211" s="81" t="n">
        <v>39188</v>
      </c>
      <c r="D2211" t="n">
        <v>1374.5</v>
      </c>
    </row>
    <row r="2212">
      <c r="A2212" s="81" t="n">
        <v>39195</v>
      </c>
      <c r="D2212" t="n">
        <v>1375.7</v>
      </c>
    </row>
    <row r="2213">
      <c r="A2213" s="81" t="n">
        <v>39202</v>
      </c>
      <c r="D2213" t="n">
        <v>1382.5</v>
      </c>
    </row>
    <row r="2214">
      <c r="A2214" s="81" t="n">
        <v>39203</v>
      </c>
      <c r="B2214" t="n">
        <v>667.9</v>
      </c>
      <c r="C2214" t="n">
        <v>3503.3</v>
      </c>
      <c r="E2214" t="n">
        <v>7243.2</v>
      </c>
    </row>
    <row r="2215">
      <c r="A2215" s="81" t="n">
        <v>39209</v>
      </c>
      <c r="D2215" t="n">
        <v>1367.2</v>
      </c>
    </row>
    <row r="2216">
      <c r="A2216" s="81" t="n">
        <v>39216</v>
      </c>
      <c r="D2216" t="n">
        <v>1382.3</v>
      </c>
    </row>
    <row r="2217">
      <c r="A2217" s="81" t="n">
        <v>39223</v>
      </c>
      <c r="D2217" t="n">
        <v>1384.1</v>
      </c>
    </row>
    <row r="2218">
      <c r="A2218" s="81" t="n">
        <v>39230</v>
      </c>
      <c r="D2218" t="n">
        <v>1388.5</v>
      </c>
    </row>
    <row r="2219">
      <c r="A2219" s="81" t="n">
        <v>39234</v>
      </c>
      <c r="B2219" t="n">
        <v>660.2</v>
      </c>
      <c r="C2219" t="n">
        <v>3511.2</v>
      </c>
      <c r="E2219" t="n">
        <v>7276.3</v>
      </c>
    </row>
    <row r="2220">
      <c r="A2220" s="81" t="n">
        <v>39237</v>
      </c>
      <c r="D2220" t="n">
        <v>1384.6</v>
      </c>
    </row>
    <row r="2221">
      <c r="A2221" s="81" t="n">
        <v>39244</v>
      </c>
      <c r="D2221" t="n">
        <v>1370.7</v>
      </c>
    </row>
    <row r="2222">
      <c r="A2222" s="81" t="n">
        <v>39251</v>
      </c>
      <c r="D2222" t="n">
        <v>1356.3</v>
      </c>
    </row>
    <row r="2223">
      <c r="A2223" s="81" t="n">
        <v>39258</v>
      </c>
      <c r="D2223" t="n">
        <v>1362.9</v>
      </c>
    </row>
    <row r="2224">
      <c r="A2224" s="81" t="n">
        <v>39264</v>
      </c>
      <c r="B2224" t="n">
        <v>660.8</v>
      </c>
      <c r="C2224" t="n">
        <v>3519.5</v>
      </c>
      <c r="E2224" t="n">
        <v>7306.6</v>
      </c>
    </row>
    <row r="2225">
      <c r="A2225" s="81" t="n">
        <v>39265</v>
      </c>
      <c r="D2225" t="n">
        <v>1375.8</v>
      </c>
    </row>
    <row r="2226">
      <c r="A2226" s="81" t="n">
        <v>39272</v>
      </c>
      <c r="D2226" t="n">
        <v>1370.5</v>
      </c>
    </row>
    <row r="2227">
      <c r="A2227" s="81" t="n">
        <v>39279</v>
      </c>
      <c r="D2227" t="n">
        <v>1373.5</v>
      </c>
    </row>
    <row r="2228">
      <c r="A2228" s="81" t="n">
        <v>39286</v>
      </c>
      <c r="D2228" t="n">
        <v>1373.2</v>
      </c>
    </row>
    <row r="2229">
      <c r="A2229" s="81" t="n">
        <v>39293</v>
      </c>
      <c r="D2229" t="n">
        <v>1370.4</v>
      </c>
    </row>
    <row r="2230">
      <c r="A2230" s="81" t="n">
        <v>39295</v>
      </c>
      <c r="B2230" t="n">
        <v>662.7</v>
      </c>
      <c r="C2230" t="n">
        <v>3555.1</v>
      </c>
      <c r="E2230" t="n">
        <v>7382.8</v>
      </c>
    </row>
    <row r="2231">
      <c r="A2231" s="81" t="n">
        <v>39300</v>
      </c>
      <c r="D2231" t="n">
        <v>1359.9</v>
      </c>
    </row>
    <row r="2232">
      <c r="A2232" s="81" t="n">
        <v>39307</v>
      </c>
      <c r="D2232" t="n">
        <v>1364.1</v>
      </c>
    </row>
    <row r="2233">
      <c r="A2233" s="81" t="n">
        <v>39314</v>
      </c>
      <c r="D2233" t="n">
        <v>1372.8</v>
      </c>
    </row>
    <row r="2234">
      <c r="A2234" s="81" t="n">
        <v>39321</v>
      </c>
      <c r="D2234" t="n">
        <v>1385.6</v>
      </c>
    </row>
    <row r="2235">
      <c r="A2235" s="81" t="n">
        <v>39326</v>
      </c>
      <c r="B2235" t="n">
        <v>659.7</v>
      </c>
      <c r="C2235" t="n">
        <v>3548.9</v>
      </c>
      <c r="E2235" t="n">
        <v>7401.1</v>
      </c>
    </row>
    <row r="2236">
      <c r="A2236" s="81" t="n">
        <v>39328</v>
      </c>
      <c r="D2236" t="n">
        <v>1412.6</v>
      </c>
    </row>
    <row r="2237">
      <c r="A2237" s="81" t="n">
        <v>39335</v>
      </c>
      <c r="D2237" t="n">
        <v>1382.1</v>
      </c>
    </row>
    <row r="2238">
      <c r="A2238" s="81" t="n">
        <v>39342</v>
      </c>
      <c r="D2238" t="n">
        <v>1373.5</v>
      </c>
    </row>
    <row r="2239">
      <c r="A2239" s="81" t="n">
        <v>39349</v>
      </c>
      <c r="D2239" t="n">
        <v>1365.4</v>
      </c>
    </row>
    <row r="2240">
      <c r="A2240" s="81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</row>
    <row r="2241">
      <c r="A2241" s="81" t="n">
        <v>39363</v>
      </c>
      <c r="D2241" t="n">
        <v>1376.8</v>
      </c>
    </row>
    <row r="2242">
      <c r="A2242" s="81" t="n">
        <v>39370</v>
      </c>
      <c r="D2242" t="n">
        <v>1382.9</v>
      </c>
    </row>
    <row r="2243">
      <c r="A2243" s="81" t="n">
        <v>39377</v>
      </c>
      <c r="D2243" t="n">
        <v>1383.1</v>
      </c>
    </row>
    <row r="2244">
      <c r="A2244" s="81" t="n">
        <v>39384</v>
      </c>
      <c r="D2244" t="n">
        <v>1379.7</v>
      </c>
    </row>
    <row r="2245">
      <c r="A2245" s="81" t="n">
        <v>39387</v>
      </c>
      <c r="B2245" t="n">
        <v>650.7</v>
      </c>
      <c r="C2245" t="n">
        <v>3528.7</v>
      </c>
      <c r="E2245" t="n">
        <v>7439.6</v>
      </c>
    </row>
    <row r="2246">
      <c r="A2246" s="81" t="n">
        <v>39391</v>
      </c>
      <c r="D2246" t="n">
        <v>1369.6</v>
      </c>
    </row>
    <row r="2247">
      <c r="A2247" s="81" t="n">
        <v>39398</v>
      </c>
      <c r="D2247" t="n">
        <v>1367.8</v>
      </c>
    </row>
    <row r="2248">
      <c r="A2248" s="81" t="n">
        <v>39405</v>
      </c>
      <c r="D2248" t="n">
        <v>1367.2</v>
      </c>
    </row>
    <row r="2249">
      <c r="A2249" s="81" t="n">
        <v>39412</v>
      </c>
      <c r="D2249" t="n">
        <v>1374.5</v>
      </c>
    </row>
    <row r="2250">
      <c r="A2250" s="81" t="n">
        <v>39417</v>
      </c>
      <c r="B2250" t="n">
        <v>649.5</v>
      </c>
      <c r="C2250" t="n">
        <v>3532.5</v>
      </c>
      <c r="E2250" t="n">
        <v>7469.4</v>
      </c>
    </row>
    <row r="2251">
      <c r="A2251" s="81" t="n">
        <v>39419</v>
      </c>
      <c r="D2251" t="n">
        <v>1384.8</v>
      </c>
    </row>
    <row r="2252">
      <c r="A2252" s="81" t="n">
        <v>39426</v>
      </c>
      <c r="D2252" t="n">
        <v>1377.6</v>
      </c>
    </row>
    <row r="2253">
      <c r="A2253" s="81" t="n">
        <v>39433</v>
      </c>
      <c r="D2253" t="n">
        <v>1365.1</v>
      </c>
    </row>
    <row r="2254">
      <c r="A2254" s="81" t="n">
        <v>39440</v>
      </c>
      <c r="D2254" t="n">
        <v>1378.1</v>
      </c>
    </row>
    <row r="2255">
      <c r="A2255" s="81" t="n">
        <v>39447</v>
      </c>
      <c r="D2255" t="n">
        <v>1367.9</v>
      </c>
    </row>
    <row r="2256">
      <c r="A2256" s="81" t="n">
        <v>39448</v>
      </c>
      <c r="B2256" t="n">
        <v>649.3</v>
      </c>
      <c r="C2256" t="n">
        <v>3536.3</v>
      </c>
      <c r="E2256" t="n">
        <v>7503.1</v>
      </c>
    </row>
    <row r="2257">
      <c r="A2257" s="81" t="n">
        <v>39454</v>
      </c>
      <c r="D2257" t="n">
        <v>1367.3</v>
      </c>
    </row>
    <row r="2258">
      <c r="A2258" s="81" t="n">
        <v>39461</v>
      </c>
      <c r="D2258" t="n">
        <v>1370.2</v>
      </c>
    </row>
    <row r="2259">
      <c r="A2259" s="81" t="n">
        <v>39468</v>
      </c>
      <c r="D2259" t="n">
        <v>1390</v>
      </c>
    </row>
    <row r="2260">
      <c r="A2260" s="81" t="n">
        <v>39475</v>
      </c>
      <c r="D2260" t="n">
        <v>1379.6</v>
      </c>
    </row>
    <row r="2261">
      <c r="A2261" s="81" t="n">
        <v>39479</v>
      </c>
      <c r="B2261" t="n">
        <v>649</v>
      </c>
      <c r="C2261" t="n">
        <v>3567.5</v>
      </c>
      <c r="E2261" t="n">
        <v>7587.6</v>
      </c>
    </row>
    <row r="2262">
      <c r="A2262" s="81" t="n">
        <v>39482</v>
      </c>
      <c r="D2262" t="n">
        <v>1386.1</v>
      </c>
    </row>
    <row r="2263">
      <c r="A2263" s="81" t="n">
        <v>39489</v>
      </c>
      <c r="D2263" t="n">
        <v>1374.4</v>
      </c>
    </row>
    <row r="2264">
      <c r="A2264" s="81" t="n">
        <v>39496</v>
      </c>
      <c r="D2264" t="n">
        <v>1375</v>
      </c>
    </row>
    <row r="2265">
      <c r="A2265" s="81" t="n">
        <v>39503</v>
      </c>
      <c r="D2265" t="n">
        <v>1376.9</v>
      </c>
    </row>
    <row r="2266">
      <c r="A2266" s="81" t="n">
        <v>39508</v>
      </c>
      <c r="B2266" t="n">
        <v>650.6</v>
      </c>
      <c r="C2266" t="n">
        <v>3585.6</v>
      </c>
      <c r="E2266" t="n">
        <v>7653.3</v>
      </c>
    </row>
    <row r="2267">
      <c r="A2267" s="81" t="n">
        <v>39510</v>
      </c>
      <c r="D2267" t="n">
        <v>1401</v>
      </c>
    </row>
    <row r="2268">
      <c r="A2268" s="81" t="n">
        <v>39517</v>
      </c>
      <c r="D2268" t="n">
        <v>1391.3</v>
      </c>
    </row>
    <row r="2269">
      <c r="A2269" s="81" t="n">
        <v>39524</v>
      </c>
      <c r="D2269" t="n">
        <v>1381.5</v>
      </c>
    </row>
    <row r="2270">
      <c r="A2270" s="81" t="n">
        <v>39531</v>
      </c>
      <c r="D2270" t="n">
        <v>1387.1</v>
      </c>
    </row>
    <row r="2271">
      <c r="A2271" s="81" t="n">
        <v>39538</v>
      </c>
      <c r="D2271" t="n">
        <v>1389.7</v>
      </c>
    </row>
    <row r="2272">
      <c r="A2272" s="81" t="n">
        <v>39539</v>
      </c>
      <c r="B2272" t="n">
        <v>650.4</v>
      </c>
      <c r="C2272" t="n">
        <v>3597.3</v>
      </c>
      <c r="E2272" t="n">
        <v>7696.1</v>
      </c>
    </row>
    <row r="2273">
      <c r="A2273" s="81" t="n">
        <v>39545</v>
      </c>
      <c r="D2273" t="n">
        <v>1374.2</v>
      </c>
    </row>
    <row r="2274">
      <c r="A2274" s="81" t="n">
        <v>39552</v>
      </c>
      <c r="D2274" t="n">
        <v>1389.2</v>
      </c>
    </row>
    <row r="2275">
      <c r="A2275" s="81" t="n">
        <v>39559</v>
      </c>
      <c r="D2275" t="n">
        <v>1403.8</v>
      </c>
    </row>
    <row r="2276">
      <c r="A2276" s="81" t="n">
        <v>39566</v>
      </c>
      <c r="D2276" t="n">
        <v>1397.7</v>
      </c>
    </row>
    <row r="2277">
      <c r="A2277" s="81" t="n">
        <v>39569</v>
      </c>
      <c r="B2277" t="n">
        <v>647.5</v>
      </c>
      <c r="C2277" t="n">
        <v>3581.8</v>
      </c>
      <c r="E2277" t="n">
        <v>7708.3</v>
      </c>
    </row>
    <row r="2278">
      <c r="A2278" s="81" t="n">
        <v>39573</v>
      </c>
      <c r="D2278" t="n">
        <v>1393.5</v>
      </c>
    </row>
    <row r="2279">
      <c r="A2279" s="81" t="n">
        <v>39580</v>
      </c>
      <c r="D2279" t="n">
        <v>1392</v>
      </c>
    </row>
    <row r="2280">
      <c r="A2280" s="81" t="n">
        <v>39587</v>
      </c>
      <c r="D2280" t="n">
        <v>1385.7</v>
      </c>
    </row>
    <row r="2281">
      <c r="A2281" s="81" t="n">
        <v>39594</v>
      </c>
      <c r="D2281" t="n">
        <v>1394</v>
      </c>
    </row>
    <row r="2282">
      <c r="A2282" s="81" t="n">
        <v>39600</v>
      </c>
      <c r="B2282" t="n">
        <v>645.9</v>
      </c>
      <c r="C2282" t="n">
        <v>3552.7</v>
      </c>
      <c r="E2282" t="n">
        <v>7725.8</v>
      </c>
    </row>
    <row r="2283">
      <c r="A2283" s="81" t="n">
        <v>39601</v>
      </c>
      <c r="D2283" t="n">
        <v>1405.2</v>
      </c>
    </row>
    <row r="2284">
      <c r="A2284" s="81" t="n">
        <v>39608</v>
      </c>
      <c r="D2284" t="n">
        <v>1410.9</v>
      </c>
    </row>
    <row r="2285">
      <c r="A2285" s="81" t="n">
        <v>39615</v>
      </c>
      <c r="D2285" t="n">
        <v>1403.7</v>
      </c>
    </row>
    <row r="2286">
      <c r="A2286" s="81" t="n">
        <v>39622</v>
      </c>
      <c r="D2286" t="n">
        <v>1398.9</v>
      </c>
    </row>
    <row r="2287">
      <c r="A2287" s="81" t="n">
        <v>39629</v>
      </c>
      <c r="D2287" t="n">
        <v>1404.6</v>
      </c>
    </row>
    <row r="2288">
      <c r="A2288" s="81" t="n">
        <v>39630</v>
      </c>
      <c r="B2288" t="n">
        <v>648.9</v>
      </c>
      <c r="C2288" t="n">
        <v>3548.6</v>
      </c>
      <c r="E2288" t="n">
        <v>7772.1</v>
      </c>
    </row>
    <row r="2289">
      <c r="A2289" s="81" t="n">
        <v>39636</v>
      </c>
      <c r="D2289" t="n">
        <v>1412.6</v>
      </c>
    </row>
    <row r="2290">
      <c r="A2290" s="81" t="n">
        <v>39643</v>
      </c>
      <c r="D2290" t="n">
        <v>1421.5</v>
      </c>
    </row>
    <row r="2291">
      <c r="A2291" s="81" t="n">
        <v>39650</v>
      </c>
      <c r="D2291" t="n">
        <v>1426.9</v>
      </c>
    </row>
    <row r="2292">
      <c r="A2292" s="81" t="n">
        <v>39657</v>
      </c>
      <c r="D2292" t="n">
        <v>1422.3</v>
      </c>
    </row>
    <row r="2293">
      <c r="A2293" s="81" t="n">
        <v>39661</v>
      </c>
      <c r="B2293" t="n">
        <v>643.6</v>
      </c>
      <c r="C2293" t="n">
        <v>3560.7</v>
      </c>
      <c r="E2293" t="n">
        <v>7787</v>
      </c>
    </row>
    <row r="2294">
      <c r="A2294" s="81" t="n">
        <v>39664</v>
      </c>
      <c r="D2294" t="n">
        <v>1423.5</v>
      </c>
    </row>
    <row r="2295">
      <c r="A2295" s="81" t="n">
        <v>39671</v>
      </c>
      <c r="D2295" t="n">
        <v>1412.7</v>
      </c>
    </row>
    <row r="2296">
      <c r="A2296" s="81" t="n">
        <v>39678</v>
      </c>
      <c r="D2296" t="n">
        <v>1394.4</v>
      </c>
    </row>
    <row r="2297">
      <c r="A2297" s="81" t="n">
        <v>39685</v>
      </c>
      <c r="D2297" t="n">
        <v>1404.9</v>
      </c>
    </row>
    <row r="2298">
      <c r="A2298" s="81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1" t="n">
        <v>39699</v>
      </c>
      <c r="D2299" t="n">
        <v>1423.9</v>
      </c>
    </row>
    <row r="2300">
      <c r="A2300" s="81" t="n">
        <v>39706</v>
      </c>
      <c r="D2300" t="n">
        <v>1437</v>
      </c>
    </row>
    <row r="2301">
      <c r="A2301" s="81" t="n">
        <v>39713</v>
      </c>
      <c r="D2301" t="n">
        <v>1490.1</v>
      </c>
    </row>
    <row r="2302">
      <c r="A2302" s="81" t="n">
        <v>39720</v>
      </c>
      <c r="D2302" t="n">
        <v>1504.6</v>
      </c>
    </row>
    <row r="2303">
      <c r="A2303" s="81" t="n">
        <v>39722</v>
      </c>
      <c r="B2303" t="n">
        <v>679.2</v>
      </c>
      <c r="C2303" t="n">
        <v>3669.7</v>
      </c>
      <c r="E2303" t="n">
        <v>7963.1</v>
      </c>
    </row>
    <row r="2304">
      <c r="A2304" s="81" t="n">
        <v>39727</v>
      </c>
      <c r="D2304" t="n">
        <v>1461</v>
      </c>
    </row>
    <row r="2305">
      <c r="A2305" s="81" t="n">
        <v>39734</v>
      </c>
      <c r="D2305" t="n">
        <v>1464.9</v>
      </c>
    </row>
    <row r="2306">
      <c r="A2306" s="81" t="n">
        <v>39741</v>
      </c>
      <c r="D2306" t="n">
        <v>1457.4</v>
      </c>
    </row>
    <row r="2307">
      <c r="A2307" s="81" t="n">
        <v>39748</v>
      </c>
      <c r="D2307" t="n">
        <v>1483.7</v>
      </c>
    </row>
    <row r="2308">
      <c r="A2308" s="81" t="n">
        <v>39753</v>
      </c>
      <c r="B2308" t="n">
        <v>710.6</v>
      </c>
      <c r="C2308" t="n">
        <v>3759.5</v>
      </c>
      <c r="E2308" t="n">
        <v>8013.5</v>
      </c>
    </row>
    <row r="2309">
      <c r="A2309" s="81" t="n">
        <v>39755</v>
      </c>
      <c r="D2309" t="n">
        <v>1520</v>
      </c>
    </row>
    <row r="2310">
      <c r="A2310" s="81" t="n">
        <v>39762</v>
      </c>
      <c r="D2310" t="n">
        <v>1505.5</v>
      </c>
    </row>
    <row r="2311">
      <c r="A2311" s="81" t="n">
        <v>39769</v>
      </c>
      <c r="D2311" t="n">
        <v>1506.8</v>
      </c>
    </row>
    <row r="2312">
      <c r="A2312" s="81" t="n">
        <v>39776</v>
      </c>
      <c r="D2312" t="n">
        <v>1518.3</v>
      </c>
    </row>
    <row r="2313">
      <c r="A2313" s="81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1" t="n">
        <v>39790</v>
      </c>
      <c r="D2314" t="n">
        <v>1590</v>
      </c>
    </row>
    <row r="2315">
      <c r="A2315" s="81" t="n">
        <v>39797</v>
      </c>
      <c r="D2315" t="n">
        <v>1612</v>
      </c>
    </row>
    <row r="2316">
      <c r="A2316" s="81" t="n">
        <v>39804</v>
      </c>
      <c r="D2316" t="n">
        <v>1610.2</v>
      </c>
    </row>
    <row r="2317">
      <c r="A2317" s="81" t="n">
        <v>39811</v>
      </c>
      <c r="D2317" t="n">
        <v>1597.3</v>
      </c>
    </row>
    <row r="2318">
      <c r="A2318" s="81" t="n">
        <v>39814</v>
      </c>
      <c r="B2318" t="n">
        <v>746.8</v>
      </c>
      <c r="C2318" t="n">
        <v>3902.7</v>
      </c>
      <c r="E2318" t="n">
        <v>8271.200000000001</v>
      </c>
    </row>
    <row r="2319">
      <c r="A2319" s="81" t="n">
        <v>39818</v>
      </c>
      <c r="D2319" t="n">
        <v>1629.7</v>
      </c>
    </row>
    <row r="2320">
      <c r="A2320" s="81" t="n">
        <v>39825</v>
      </c>
      <c r="D2320" t="n">
        <v>1609.5</v>
      </c>
    </row>
    <row r="2321">
      <c r="A2321" s="81" t="n">
        <v>39832</v>
      </c>
      <c r="D2321" t="n">
        <v>1561.1</v>
      </c>
    </row>
    <row r="2322">
      <c r="A2322" s="81" t="n">
        <v>39839</v>
      </c>
      <c r="D2322" t="n">
        <v>1555.1</v>
      </c>
    </row>
    <row r="2323">
      <c r="A2323" s="81" t="n">
        <v>39845</v>
      </c>
      <c r="B2323" t="n">
        <v>736.8</v>
      </c>
      <c r="C2323" t="n">
        <v>3902.4</v>
      </c>
      <c r="E2323" t="n">
        <v>8300.5</v>
      </c>
    </row>
    <row r="2324">
      <c r="A2324" s="81" t="n">
        <v>39846</v>
      </c>
      <c r="D2324" t="n">
        <v>1567.4</v>
      </c>
    </row>
    <row r="2325">
      <c r="A2325" s="81" t="n">
        <v>39853</v>
      </c>
      <c r="D2325" t="n">
        <v>1575.7</v>
      </c>
    </row>
    <row r="2326">
      <c r="A2326" s="81" t="n">
        <v>39860</v>
      </c>
      <c r="D2326" t="n">
        <v>1565</v>
      </c>
    </row>
    <row r="2327">
      <c r="A2327" s="81" t="n">
        <v>39867</v>
      </c>
      <c r="D2327" t="n">
        <v>1558.9</v>
      </c>
    </row>
    <row r="2328">
      <c r="A2328" s="81" t="n">
        <v>39873</v>
      </c>
      <c r="B2328" t="n">
        <v>743</v>
      </c>
      <c r="C2328" t="n">
        <v>3937.3</v>
      </c>
      <c r="E2328" t="n">
        <v>8366.5</v>
      </c>
    </row>
    <row r="2329">
      <c r="A2329" s="81" t="n">
        <v>39874</v>
      </c>
      <c r="D2329" t="n">
        <v>1570.1</v>
      </c>
    </row>
    <row r="2330">
      <c r="A2330" s="81" t="n">
        <v>39881</v>
      </c>
      <c r="D2330" t="n">
        <v>1583.8</v>
      </c>
    </row>
    <row r="2331">
      <c r="A2331" s="81" t="n">
        <v>39888</v>
      </c>
      <c r="D2331" t="n">
        <v>1575.7</v>
      </c>
    </row>
    <row r="2332">
      <c r="A2332" s="81" t="n">
        <v>39895</v>
      </c>
      <c r="D2332" t="n">
        <v>1575.1</v>
      </c>
    </row>
    <row r="2333">
      <c r="A2333" s="81" t="n">
        <v>39902</v>
      </c>
      <c r="D2333" t="n">
        <v>1572.3</v>
      </c>
    </row>
    <row r="2334">
      <c r="A2334" s="81" t="n">
        <v>39904</v>
      </c>
      <c r="B2334" t="n">
        <v>757.7</v>
      </c>
      <c r="C2334" t="n">
        <v>3934.9</v>
      </c>
      <c r="E2334" t="n">
        <v>8369.9</v>
      </c>
    </row>
    <row r="2335">
      <c r="A2335" s="81" t="n">
        <v>39909</v>
      </c>
      <c r="D2335" t="n">
        <v>1655.6</v>
      </c>
    </row>
    <row r="2336">
      <c r="A2336" s="81" t="n">
        <v>39916</v>
      </c>
      <c r="D2336" t="n">
        <v>1604.1</v>
      </c>
    </row>
    <row r="2337">
      <c r="A2337" s="81" t="n">
        <v>39923</v>
      </c>
      <c r="D2337" t="n">
        <v>1595.4</v>
      </c>
    </row>
    <row r="2338">
      <c r="A2338" s="81" t="n">
        <v>39930</v>
      </c>
      <c r="D2338" t="n">
        <v>1598</v>
      </c>
    </row>
    <row r="2339">
      <c r="A2339" s="81" t="n">
        <v>39934</v>
      </c>
      <c r="B2339" t="n">
        <v>759.3</v>
      </c>
      <c r="C2339" t="n">
        <v>3956.2</v>
      </c>
      <c r="E2339" t="n">
        <v>8427.6</v>
      </c>
    </row>
    <row r="2340">
      <c r="A2340" s="81" t="n">
        <v>39937</v>
      </c>
      <c r="D2340" t="n">
        <v>1611.3</v>
      </c>
    </row>
    <row r="2341">
      <c r="A2341" s="81" t="n">
        <v>39944</v>
      </c>
      <c r="D2341" t="n">
        <v>1617.5</v>
      </c>
    </row>
    <row r="2342">
      <c r="A2342" s="81" t="n">
        <v>39951</v>
      </c>
      <c r="D2342" t="n">
        <v>1617.1</v>
      </c>
    </row>
    <row r="2343">
      <c r="A2343" s="81" t="n">
        <v>39958</v>
      </c>
      <c r="D2343" t="n">
        <v>1623.4</v>
      </c>
    </row>
    <row r="2344">
      <c r="A2344" s="81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1" t="n">
        <v>39972</v>
      </c>
      <c r="D2345" t="n">
        <v>1650.5</v>
      </c>
    </row>
    <row r="2346">
      <c r="A2346" s="81" t="n">
        <v>39979</v>
      </c>
      <c r="D2346" t="n">
        <v>1659.5</v>
      </c>
    </row>
    <row r="2347">
      <c r="A2347" s="81" t="n">
        <v>39986</v>
      </c>
      <c r="D2347" t="n">
        <v>1671.6</v>
      </c>
    </row>
    <row r="2348">
      <c r="A2348" s="81" t="n">
        <v>39993</v>
      </c>
      <c r="D2348" t="n">
        <v>1660.7</v>
      </c>
    </row>
    <row r="2349">
      <c r="A2349" s="81" t="n">
        <v>39995</v>
      </c>
      <c r="B2349" t="n">
        <v>774.2</v>
      </c>
      <c r="C2349" t="n">
        <v>3931.5</v>
      </c>
      <c r="E2349" t="n">
        <v>8442</v>
      </c>
    </row>
    <row r="2350">
      <c r="A2350" s="81" t="n">
        <v>40000</v>
      </c>
      <c r="D2350" t="n">
        <v>1653.2</v>
      </c>
    </row>
    <row r="2351">
      <c r="A2351" s="81" t="n">
        <v>40007</v>
      </c>
      <c r="D2351" t="n">
        <v>1663.9</v>
      </c>
    </row>
    <row r="2352">
      <c r="A2352" s="81" t="n">
        <v>40014</v>
      </c>
      <c r="D2352" t="n">
        <v>1662.6</v>
      </c>
    </row>
    <row r="2353">
      <c r="A2353" s="81" t="n">
        <v>40021</v>
      </c>
      <c r="D2353" t="n">
        <v>1659.2</v>
      </c>
    </row>
    <row r="2354">
      <c r="A2354" s="81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1" t="n">
        <v>40028</v>
      </c>
      <c r="D2355" t="n">
        <v>1679.3</v>
      </c>
    </row>
    <row r="2356">
      <c r="A2356" s="81" t="n">
        <v>40035</v>
      </c>
      <c r="D2356" t="n">
        <v>1669.5</v>
      </c>
    </row>
    <row r="2357">
      <c r="A2357" s="81" t="n">
        <v>40042</v>
      </c>
      <c r="D2357" t="n">
        <v>1668.9</v>
      </c>
    </row>
    <row r="2358">
      <c r="A2358" s="81" t="n">
        <v>40049</v>
      </c>
      <c r="D2358" t="n">
        <v>1649.2</v>
      </c>
    </row>
    <row r="2359">
      <c r="A2359" s="81" t="n">
        <v>40056</v>
      </c>
      <c r="D2359" t="n">
        <v>1644.2</v>
      </c>
    </row>
    <row r="2360">
      <c r="A2360" s="81" t="n">
        <v>40057</v>
      </c>
      <c r="B2360" t="n">
        <v>771.3</v>
      </c>
      <c r="C2360" t="n">
        <v>3910.4</v>
      </c>
      <c r="E2360" t="n">
        <v>8441.1</v>
      </c>
    </row>
    <row r="2361">
      <c r="A2361" s="81" t="n">
        <v>40063</v>
      </c>
      <c r="D2361" t="n">
        <v>1660.5</v>
      </c>
    </row>
    <row r="2362">
      <c r="A2362" s="81" t="n">
        <v>40070</v>
      </c>
      <c r="D2362" t="n">
        <v>1674.9</v>
      </c>
    </row>
    <row r="2363">
      <c r="A2363" s="81" t="n">
        <v>40077</v>
      </c>
      <c r="D2363" t="n">
        <v>1662.9</v>
      </c>
    </row>
    <row r="2364">
      <c r="A2364" s="81" t="n">
        <v>40084</v>
      </c>
      <c r="D2364" t="n">
        <v>1662.1</v>
      </c>
    </row>
    <row r="2365">
      <c r="A2365" s="81" t="n">
        <v>40087</v>
      </c>
      <c r="B2365" t="n">
        <v>774.9</v>
      </c>
      <c r="C2365" t="n">
        <v>3911.2</v>
      </c>
      <c r="E2365" t="n">
        <v>8468.1</v>
      </c>
    </row>
    <row r="2366">
      <c r="A2366" s="81" t="n">
        <v>40091</v>
      </c>
      <c r="D2366" t="n">
        <v>1662.2</v>
      </c>
    </row>
    <row r="2367">
      <c r="A2367" s="81" t="n">
        <v>40098</v>
      </c>
      <c r="D2367" t="n">
        <v>1674.6</v>
      </c>
    </row>
    <row r="2368">
      <c r="A2368" s="81" t="n">
        <v>40105</v>
      </c>
      <c r="D2368" t="n">
        <v>1680.9</v>
      </c>
    </row>
    <row r="2369">
      <c r="A2369" s="81" t="n">
        <v>40112</v>
      </c>
      <c r="D2369" t="n">
        <v>1685.4</v>
      </c>
    </row>
    <row r="2370">
      <c r="A2370" s="81" t="n">
        <v>40118</v>
      </c>
      <c r="B2370" t="n">
        <v>774.7</v>
      </c>
      <c r="C2370" t="n">
        <v>3912</v>
      </c>
      <c r="E2370" t="n">
        <v>8498.200000000001</v>
      </c>
    </row>
    <row r="2371">
      <c r="A2371" s="81" t="n">
        <v>40119</v>
      </c>
      <c r="D2371" t="n">
        <v>1682.6</v>
      </c>
    </row>
    <row r="2372">
      <c r="A2372" s="81" t="n">
        <v>40126</v>
      </c>
      <c r="D2372" t="n">
        <v>1680.4</v>
      </c>
    </row>
    <row r="2373">
      <c r="A2373" s="81" t="n">
        <v>40133</v>
      </c>
      <c r="D2373" t="n">
        <v>1680.8</v>
      </c>
    </row>
    <row r="2374">
      <c r="A2374" s="81" t="n">
        <v>40140</v>
      </c>
      <c r="D2374" t="n">
        <v>1683</v>
      </c>
    </row>
    <row r="2375">
      <c r="A2375" s="81" t="n">
        <v>40147</v>
      </c>
      <c r="D2375" t="n">
        <v>1688.2</v>
      </c>
    </row>
    <row r="2376">
      <c r="A2376" s="81" t="n">
        <v>40148</v>
      </c>
      <c r="B2376" t="n">
        <v>778.8</v>
      </c>
      <c r="C2376" t="n">
        <v>3907.6</v>
      </c>
      <c r="E2376" t="n">
        <v>8493.1</v>
      </c>
    </row>
    <row r="2377">
      <c r="A2377" s="81" t="n">
        <v>40154</v>
      </c>
      <c r="D2377" t="n">
        <v>1684.8</v>
      </c>
    </row>
    <row r="2378">
      <c r="A2378" s="81" t="n">
        <v>40161</v>
      </c>
      <c r="D2378" t="n">
        <v>1691.1</v>
      </c>
    </row>
    <row r="2379">
      <c r="A2379" s="81" t="n">
        <v>40168</v>
      </c>
      <c r="D2379" t="n">
        <v>1698.6</v>
      </c>
    </row>
    <row r="2380">
      <c r="A2380" s="81" t="n">
        <v>40175</v>
      </c>
      <c r="D2380" t="n">
        <v>1690.1</v>
      </c>
    </row>
    <row r="2381">
      <c r="A2381" s="81" t="n">
        <v>40179</v>
      </c>
      <c r="B2381" t="n">
        <v>770</v>
      </c>
      <c r="C2381" t="n">
        <v>3887.8</v>
      </c>
      <c r="E2381" t="n">
        <v>8455.4</v>
      </c>
    </row>
    <row r="2382">
      <c r="A2382" s="81" t="n">
        <v>40182</v>
      </c>
      <c r="D2382" t="n">
        <v>1708.6</v>
      </c>
    </row>
    <row r="2383">
      <c r="A2383" s="81" t="n">
        <v>40189</v>
      </c>
      <c r="D2383" t="n">
        <v>1665.4</v>
      </c>
    </row>
    <row r="2384">
      <c r="A2384" s="81" t="n">
        <v>40196</v>
      </c>
      <c r="D2384" t="n">
        <v>1669.7</v>
      </c>
    </row>
    <row r="2385">
      <c r="A2385" s="81" t="n">
        <v>40203</v>
      </c>
      <c r="D2385" t="n">
        <v>1672.6</v>
      </c>
    </row>
    <row r="2386">
      <c r="A2386" s="81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1" t="n">
        <v>40217</v>
      </c>
      <c r="D2387" t="n">
        <v>1688.6</v>
      </c>
    </row>
    <row r="2388">
      <c r="A2388" s="81" t="n">
        <v>40224</v>
      </c>
      <c r="D2388" t="n">
        <v>1717.2</v>
      </c>
    </row>
    <row r="2389">
      <c r="A2389" s="81" t="n">
        <v>40231</v>
      </c>
      <c r="D2389" t="n">
        <v>1702.1</v>
      </c>
    </row>
    <row r="2390">
      <c r="A2390" s="81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1" t="n">
        <v>40245</v>
      </c>
      <c r="D2391" t="n">
        <v>1704.2</v>
      </c>
    </row>
    <row r="2392">
      <c r="A2392" s="81" t="n">
        <v>40252</v>
      </c>
      <c r="D2392" t="n">
        <v>1722.9</v>
      </c>
    </row>
    <row r="2393">
      <c r="A2393" s="81" t="n">
        <v>40259</v>
      </c>
      <c r="D2393" t="n">
        <v>1722.2</v>
      </c>
    </row>
    <row r="2394">
      <c r="A2394" s="81" t="n">
        <v>40266</v>
      </c>
      <c r="D2394" t="n">
        <v>1708.3</v>
      </c>
    </row>
    <row r="2395">
      <c r="A2395" s="81" t="n">
        <v>40269</v>
      </c>
      <c r="B2395" t="n">
        <v>781.5</v>
      </c>
      <c r="C2395" t="n">
        <v>3924.9</v>
      </c>
      <c r="E2395" t="n">
        <v>8532.799999999999</v>
      </c>
    </row>
    <row r="2396">
      <c r="A2396" s="81" t="n">
        <v>40273</v>
      </c>
      <c r="D2396" t="n">
        <v>1686</v>
      </c>
    </row>
    <row r="2397">
      <c r="A2397" s="81" t="n">
        <v>40280</v>
      </c>
      <c r="D2397" t="n">
        <v>1697.7</v>
      </c>
    </row>
    <row r="2398">
      <c r="A2398" s="81" t="n">
        <v>40287</v>
      </c>
      <c r="D2398" t="n">
        <v>1699.4</v>
      </c>
    </row>
    <row r="2399">
      <c r="A2399" s="81" t="n">
        <v>40294</v>
      </c>
      <c r="D2399" t="n">
        <v>1692.3</v>
      </c>
    </row>
    <row r="2400">
      <c r="A2400" s="81" t="n">
        <v>40299</v>
      </c>
      <c r="B2400" t="n">
        <v>787</v>
      </c>
      <c r="C2400" t="n">
        <v>3952.2</v>
      </c>
      <c r="E2400" t="n">
        <v>8587.700000000001</v>
      </c>
    </row>
    <row r="2401">
      <c r="A2401" s="81" t="n">
        <v>40301</v>
      </c>
      <c r="D2401" t="n">
        <v>1728.3</v>
      </c>
    </row>
    <row r="2402">
      <c r="A2402" s="81" t="n">
        <v>40308</v>
      </c>
      <c r="D2402" t="n">
        <v>1710.7</v>
      </c>
    </row>
    <row r="2403">
      <c r="A2403" s="81" t="n">
        <v>40315</v>
      </c>
      <c r="D2403" t="n">
        <v>1702.8</v>
      </c>
    </row>
    <row r="2404">
      <c r="A2404" s="81" t="n">
        <v>40322</v>
      </c>
      <c r="D2404" t="n">
        <v>1707.5</v>
      </c>
    </row>
    <row r="2405">
      <c r="A2405" s="81" t="n">
        <v>40329</v>
      </c>
      <c r="D2405" t="n">
        <v>1711.5</v>
      </c>
    </row>
    <row r="2406">
      <c r="A2406" s="81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1" t="n">
        <v>40336</v>
      </c>
      <c r="D2407" t="n">
        <v>1717.9</v>
      </c>
    </row>
    <row r="2408">
      <c r="A2408" s="81" t="n">
        <v>40343</v>
      </c>
      <c r="D2408" t="n">
        <v>1722.3</v>
      </c>
    </row>
    <row r="2409">
      <c r="A2409" s="81" t="n">
        <v>40350</v>
      </c>
      <c r="D2409" t="n">
        <v>1741.3</v>
      </c>
    </row>
    <row r="2410">
      <c r="A2410" s="81" t="n">
        <v>40357</v>
      </c>
      <c r="D2410" t="n">
        <v>1748.3</v>
      </c>
    </row>
    <row r="2411">
      <c r="A2411" s="81" t="n">
        <v>40360</v>
      </c>
      <c r="B2411" t="n">
        <v>792.3</v>
      </c>
      <c r="C2411" t="n">
        <v>3959.6</v>
      </c>
      <c r="E2411" t="n">
        <v>8616.299999999999</v>
      </c>
    </row>
    <row r="2412">
      <c r="A2412" s="81" t="n">
        <v>40364</v>
      </c>
      <c r="D2412" t="n">
        <v>1719.3</v>
      </c>
    </row>
    <row r="2413">
      <c r="A2413" s="81" t="n">
        <v>40371</v>
      </c>
      <c r="D2413" t="n">
        <v>1722.3</v>
      </c>
    </row>
    <row r="2414">
      <c r="A2414" s="81" t="n">
        <v>40378</v>
      </c>
      <c r="D2414" t="n">
        <v>1718.8</v>
      </c>
    </row>
    <row r="2415">
      <c r="A2415" s="81" t="n">
        <v>40385</v>
      </c>
      <c r="D2415" t="n">
        <v>1730.6</v>
      </c>
    </row>
    <row r="2416">
      <c r="A2416" s="81" t="n">
        <v>40391</v>
      </c>
      <c r="B2416" t="n">
        <v>802.4</v>
      </c>
      <c r="C2416" t="n">
        <v>3977</v>
      </c>
      <c r="E2416" t="n">
        <v>8666.700000000001</v>
      </c>
    </row>
    <row r="2417">
      <c r="A2417" s="81" t="n">
        <v>40392</v>
      </c>
      <c r="D2417" t="n">
        <v>1729.2</v>
      </c>
    </row>
    <row r="2418">
      <c r="A2418" s="81" t="n">
        <v>40399</v>
      </c>
      <c r="D2418" t="n">
        <v>1743.4</v>
      </c>
    </row>
    <row r="2419">
      <c r="A2419" s="81" t="n">
        <v>40406</v>
      </c>
      <c r="D2419" t="n">
        <v>1742.1</v>
      </c>
    </row>
    <row r="2420">
      <c r="A2420" s="81" t="n">
        <v>40413</v>
      </c>
      <c r="D2420" t="n">
        <v>1757.4</v>
      </c>
    </row>
    <row r="2421">
      <c r="A2421" s="81" t="n">
        <v>40420</v>
      </c>
      <c r="D2421" t="n">
        <v>1757.3</v>
      </c>
    </row>
    <row r="2422">
      <c r="A2422" s="81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1" t="n">
        <v>40427</v>
      </c>
      <c r="D2423" t="n">
        <v>1749.5</v>
      </c>
    </row>
    <row r="2424">
      <c r="A2424" s="81" t="n">
        <v>40434</v>
      </c>
      <c r="D2424" t="n">
        <v>1768.6</v>
      </c>
    </row>
    <row r="2425">
      <c r="A2425" s="81" t="n">
        <v>40441</v>
      </c>
      <c r="D2425" t="n">
        <v>1769.6</v>
      </c>
    </row>
    <row r="2426">
      <c r="A2426" s="81" t="n">
        <v>40448</v>
      </c>
      <c r="D2426" t="n">
        <v>1770.2</v>
      </c>
    </row>
    <row r="2427">
      <c r="A2427" s="81" t="n">
        <v>40452</v>
      </c>
      <c r="B2427" t="n">
        <v>812.8</v>
      </c>
      <c r="C2427" t="n">
        <v>3993.4</v>
      </c>
      <c r="E2427" t="n">
        <v>8746.9</v>
      </c>
    </row>
    <row r="2428">
      <c r="A2428" s="81" t="n">
        <v>40455</v>
      </c>
      <c r="D2428" t="n">
        <v>1776.2</v>
      </c>
    </row>
    <row r="2429">
      <c r="A2429" s="81" t="n">
        <v>40462</v>
      </c>
      <c r="D2429" t="n">
        <v>1789.5</v>
      </c>
    </row>
    <row r="2430">
      <c r="A2430" s="81" t="n">
        <v>40469</v>
      </c>
      <c r="D2430" t="n">
        <v>1776.5</v>
      </c>
    </row>
    <row r="2431">
      <c r="A2431" s="81" t="n">
        <v>40476</v>
      </c>
      <c r="D2431" t="n">
        <v>1789.5</v>
      </c>
    </row>
    <row r="2432">
      <c r="A2432" s="81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1" t="n">
        <v>40490</v>
      </c>
      <c r="D2433" t="n">
        <v>1867.7</v>
      </c>
    </row>
    <row r="2434">
      <c r="A2434" s="81" t="n">
        <v>40497</v>
      </c>
      <c r="D2434" t="n">
        <v>1802</v>
      </c>
    </row>
    <row r="2435">
      <c r="A2435" s="81" t="n">
        <v>40504</v>
      </c>
      <c r="D2435" t="n">
        <v>1819</v>
      </c>
    </row>
    <row r="2436">
      <c r="A2436" s="81" t="n">
        <v>40511</v>
      </c>
      <c r="D2436" t="n">
        <v>1836.1</v>
      </c>
    </row>
    <row r="2437">
      <c r="A2437" s="81" t="n">
        <v>40513</v>
      </c>
      <c r="B2437" t="n">
        <v>833.1</v>
      </c>
      <c r="C2437" t="n">
        <v>3991.2</v>
      </c>
      <c r="E2437" t="n">
        <v>8799.4</v>
      </c>
    </row>
    <row r="2438">
      <c r="A2438" s="81" t="n">
        <v>40518</v>
      </c>
      <c r="D2438" t="n">
        <v>1812.3</v>
      </c>
    </row>
    <row r="2439">
      <c r="A2439" s="81" t="n">
        <v>40525</v>
      </c>
      <c r="D2439" t="n">
        <v>1829</v>
      </c>
    </row>
    <row r="2440">
      <c r="A2440" s="81" t="n">
        <v>40532</v>
      </c>
      <c r="D2440" t="n">
        <v>1840.8</v>
      </c>
    </row>
    <row r="2441">
      <c r="A2441" s="81" t="n">
        <v>40539</v>
      </c>
      <c r="D2441" t="n">
        <v>1853.6</v>
      </c>
    </row>
    <row r="2442">
      <c r="A2442" s="81" t="n">
        <v>40544</v>
      </c>
      <c r="B2442" t="n">
        <v>834.7</v>
      </c>
      <c r="C2442" t="n">
        <v>3987.8</v>
      </c>
      <c r="E2442" t="n">
        <v>8820.4</v>
      </c>
    </row>
    <row r="2443">
      <c r="A2443" s="81" t="n">
        <v>40546</v>
      </c>
      <c r="D2443" t="n">
        <v>1849.9</v>
      </c>
    </row>
    <row r="2444">
      <c r="A2444" s="81" t="n">
        <v>40553</v>
      </c>
      <c r="D2444" t="n">
        <v>1834.5</v>
      </c>
    </row>
    <row r="2445">
      <c r="A2445" s="81" t="n">
        <v>40560</v>
      </c>
      <c r="D2445" t="n">
        <v>1858.3</v>
      </c>
    </row>
    <row r="2446">
      <c r="A2446" s="81" t="n">
        <v>40567</v>
      </c>
      <c r="D2446" t="n">
        <v>1854.1</v>
      </c>
    </row>
    <row r="2447">
      <c r="A2447" s="81" t="n">
        <v>40574</v>
      </c>
      <c r="D2447" t="n">
        <v>1868.8</v>
      </c>
    </row>
    <row r="2448">
      <c r="A2448" s="81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1" t="n">
        <v>40581</v>
      </c>
      <c r="D2449" t="n">
        <v>1850.4</v>
      </c>
    </row>
    <row r="2450">
      <c r="A2450" s="81" t="n">
        <v>40588</v>
      </c>
      <c r="D2450" t="n">
        <v>1859.1</v>
      </c>
    </row>
    <row r="2451">
      <c r="A2451" s="81" t="n">
        <v>40595</v>
      </c>
      <c r="D2451" t="n">
        <v>1885.8</v>
      </c>
    </row>
    <row r="2452">
      <c r="A2452" s="81" t="n">
        <v>40602</v>
      </c>
      <c r="D2452" t="n">
        <v>1895.2</v>
      </c>
    </row>
    <row r="2453">
      <c r="A2453" s="81" t="n">
        <v>40603</v>
      </c>
      <c r="B2453" t="n">
        <v>850.3</v>
      </c>
      <c r="C2453" t="n">
        <v>4008.4</v>
      </c>
      <c r="E2453" t="n">
        <v>8940.6</v>
      </c>
    </row>
    <row r="2454">
      <c r="A2454" s="81" t="n">
        <v>40609</v>
      </c>
      <c r="D2454" t="n">
        <v>1875.6</v>
      </c>
    </row>
    <row r="2455">
      <c r="A2455" s="81" t="n">
        <v>40616</v>
      </c>
      <c r="D2455" t="n">
        <v>1889.6</v>
      </c>
    </row>
    <row r="2456">
      <c r="A2456" s="81" t="n">
        <v>40623</v>
      </c>
      <c r="D2456" t="n">
        <v>1901.2</v>
      </c>
    </row>
    <row r="2457">
      <c r="A2457" s="81" t="n">
        <v>40630</v>
      </c>
      <c r="D2457" t="n">
        <v>1897.1</v>
      </c>
    </row>
    <row r="2458">
      <c r="A2458" s="81" t="n">
        <v>40634</v>
      </c>
      <c r="B2458" t="n">
        <v>846.5</v>
      </c>
      <c r="C2458" t="n">
        <v>4017.1</v>
      </c>
      <c r="E2458" t="n">
        <v>9002.1</v>
      </c>
    </row>
    <row r="2459">
      <c r="A2459" s="81" t="n">
        <v>40637</v>
      </c>
      <c r="D2459" t="n">
        <v>1895.4</v>
      </c>
    </row>
    <row r="2460">
      <c r="A2460" s="81" t="n">
        <v>40644</v>
      </c>
      <c r="D2460" t="n">
        <v>1896.4</v>
      </c>
    </row>
    <row r="2461">
      <c r="A2461" s="81" t="n">
        <v>40651</v>
      </c>
      <c r="D2461" t="n">
        <v>1892.8</v>
      </c>
    </row>
    <row r="2462">
      <c r="A2462" s="81" t="n">
        <v>40658</v>
      </c>
      <c r="D2462" t="n">
        <v>1902.2</v>
      </c>
    </row>
    <row r="2463">
      <c r="A2463" s="81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1" t="n">
        <v>40665</v>
      </c>
      <c r="D2464" t="n">
        <v>1920.6</v>
      </c>
    </row>
    <row r="2465">
      <c r="A2465" s="81" t="n">
        <v>40672</v>
      </c>
      <c r="D2465" t="n">
        <v>1928.1</v>
      </c>
    </row>
    <row r="2466">
      <c r="A2466" s="81" t="n">
        <v>40679</v>
      </c>
      <c r="D2466" t="n">
        <v>1930.7</v>
      </c>
    </row>
    <row r="2467">
      <c r="A2467" s="81" t="n">
        <v>40686</v>
      </c>
      <c r="D2467" t="n">
        <v>1942.2</v>
      </c>
    </row>
    <row r="2468">
      <c r="A2468" s="81" t="n">
        <v>40693</v>
      </c>
      <c r="D2468" t="n">
        <v>1956.5</v>
      </c>
    </row>
    <row r="2469">
      <c r="A2469" s="81" t="n">
        <v>40695</v>
      </c>
      <c r="B2469" t="n">
        <v>873.4</v>
      </c>
      <c r="C2469" t="n">
        <v>4069.5</v>
      </c>
      <c r="E2469" t="n">
        <v>9148.4</v>
      </c>
    </row>
    <row r="2470">
      <c r="A2470" s="81" t="n">
        <v>40700</v>
      </c>
      <c r="D2470" t="n">
        <v>1936</v>
      </c>
    </row>
    <row r="2471">
      <c r="A2471" s="81" t="n">
        <v>40707</v>
      </c>
      <c r="D2471" t="n">
        <v>1951.5</v>
      </c>
    </row>
    <row r="2472">
      <c r="A2472" s="81" t="n">
        <v>40714</v>
      </c>
      <c r="D2472" t="n">
        <v>1961.5</v>
      </c>
    </row>
    <row r="2473">
      <c r="A2473" s="81" t="n">
        <v>40721</v>
      </c>
      <c r="D2473" t="n">
        <v>1959.4</v>
      </c>
    </row>
    <row r="2474">
      <c r="A2474" s="81" t="n">
        <v>40725</v>
      </c>
      <c r="B2474" t="n">
        <v>885.6</v>
      </c>
      <c r="C2474" t="n">
        <v>4132.2</v>
      </c>
      <c r="E2474" t="n">
        <v>9313.799999999999</v>
      </c>
    </row>
    <row r="2475">
      <c r="A2475" s="81" t="n">
        <v>40728</v>
      </c>
      <c r="D2475" t="n">
        <v>1985.7</v>
      </c>
    </row>
    <row r="2476">
      <c r="A2476" s="81" t="n">
        <v>40735</v>
      </c>
      <c r="D2476" t="n">
        <v>1983.7</v>
      </c>
    </row>
    <row r="2477">
      <c r="A2477" s="81" t="n">
        <v>40742</v>
      </c>
      <c r="D2477" t="n">
        <v>1975.8</v>
      </c>
    </row>
    <row r="2478">
      <c r="A2478" s="81" t="n">
        <v>40749</v>
      </c>
      <c r="D2478" t="n">
        <v>2001.2</v>
      </c>
    </row>
    <row r="2479">
      <c r="A2479" s="81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1" t="n">
        <v>40763</v>
      </c>
      <c r="D2480" t="n">
        <v>2094.4</v>
      </c>
    </row>
    <row r="2481">
      <c r="A2481" s="81" t="n">
        <v>40770</v>
      </c>
      <c r="D2481" t="n">
        <v>2109.1</v>
      </c>
    </row>
    <row r="2482">
      <c r="A2482" s="81" t="n">
        <v>40777</v>
      </c>
      <c r="D2482" t="n">
        <v>2136</v>
      </c>
    </row>
    <row r="2483">
      <c r="A2483" s="81" t="n">
        <v>40784</v>
      </c>
      <c r="D2483" t="n">
        <v>2122.4</v>
      </c>
    </row>
    <row r="2484">
      <c r="A2484" s="81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1" t="n">
        <v>40791</v>
      </c>
      <c r="D2485" t="n">
        <v>2110.1</v>
      </c>
    </row>
    <row r="2486">
      <c r="A2486" s="81" t="n">
        <v>40798</v>
      </c>
      <c r="D2486" t="n">
        <v>2118.7</v>
      </c>
    </row>
    <row r="2487">
      <c r="A2487" s="81" t="n">
        <v>40805</v>
      </c>
      <c r="D2487" t="n">
        <v>2120.9</v>
      </c>
    </row>
    <row r="2488">
      <c r="A2488" s="81" t="n">
        <v>40812</v>
      </c>
      <c r="D2488" t="n">
        <v>2128</v>
      </c>
    </row>
    <row r="2489">
      <c r="A2489" s="81" t="n">
        <v>40817</v>
      </c>
      <c r="B2489" t="n">
        <v>938.7</v>
      </c>
      <c r="C2489" t="n">
        <v>4215.9</v>
      </c>
      <c r="E2489" t="n">
        <v>9559.5</v>
      </c>
    </row>
    <row r="2490">
      <c r="A2490" s="81" t="n">
        <v>40819</v>
      </c>
      <c r="D2490" t="n">
        <v>2176.7</v>
      </c>
    </row>
    <row r="2491">
      <c r="A2491" s="81" t="n">
        <v>40826</v>
      </c>
      <c r="D2491" t="n">
        <v>2150.8</v>
      </c>
    </row>
    <row r="2492">
      <c r="A2492" s="81" t="n">
        <v>40833</v>
      </c>
      <c r="D2492" t="n">
        <v>2128.2</v>
      </c>
    </row>
    <row r="2493">
      <c r="A2493" s="81" t="n">
        <v>40840</v>
      </c>
      <c r="D2493" t="n">
        <v>2126.6</v>
      </c>
    </row>
    <row r="2494">
      <c r="A2494" s="81" t="n">
        <v>40847</v>
      </c>
      <c r="D2494" t="n">
        <v>2136.2</v>
      </c>
    </row>
    <row r="2495">
      <c r="A2495" s="81" t="n">
        <v>40848</v>
      </c>
      <c r="B2495" t="n">
        <v>960.5</v>
      </c>
      <c r="C2495" t="n">
        <v>4230.4</v>
      </c>
      <c r="E2495" t="n">
        <v>9610.1</v>
      </c>
    </row>
    <row r="2496">
      <c r="A2496" s="81" t="n">
        <v>40854</v>
      </c>
      <c r="D2496" t="n">
        <v>2147.3</v>
      </c>
    </row>
    <row r="2497">
      <c r="A2497" s="81" t="n">
        <v>40861</v>
      </c>
      <c r="D2497" t="n">
        <v>2171.9</v>
      </c>
    </row>
    <row r="2498">
      <c r="A2498" s="81" t="n">
        <v>40868</v>
      </c>
      <c r="D2498" t="n">
        <v>2179.4</v>
      </c>
    </row>
    <row r="2499">
      <c r="A2499" s="81" t="n">
        <v>40875</v>
      </c>
      <c r="D2499" t="n">
        <v>2171.2</v>
      </c>
    </row>
    <row r="2500">
      <c r="A2500" s="81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1" t="n">
        <v>40882</v>
      </c>
      <c r="D2501" t="n">
        <v>2158.5</v>
      </c>
    </row>
    <row r="2502">
      <c r="A2502" s="81" t="n">
        <v>40889</v>
      </c>
      <c r="D2502" t="n">
        <v>2165.7</v>
      </c>
    </row>
    <row r="2503">
      <c r="A2503" s="81" t="n">
        <v>40896</v>
      </c>
      <c r="D2503" t="n">
        <v>2149.8</v>
      </c>
    </row>
    <row r="2504">
      <c r="A2504" s="81" t="n">
        <v>40903</v>
      </c>
      <c r="D2504" t="n">
        <v>2156.3</v>
      </c>
    </row>
    <row r="2505">
      <c r="A2505" s="81" t="n">
        <v>40909</v>
      </c>
      <c r="B2505" t="n">
        <v>964.5</v>
      </c>
      <c r="C2505" t="n">
        <v>4271.2</v>
      </c>
      <c r="E2505" t="n">
        <v>9731.5</v>
      </c>
    </row>
    <row r="2506">
      <c r="A2506" s="81" t="n">
        <v>40910</v>
      </c>
      <c r="D2506" t="n">
        <v>2199.2</v>
      </c>
    </row>
    <row r="2507">
      <c r="A2507" s="81" t="n">
        <v>40917</v>
      </c>
      <c r="D2507" t="n">
        <v>2199.3</v>
      </c>
    </row>
    <row r="2508">
      <c r="A2508" s="81" t="n">
        <v>40924</v>
      </c>
      <c r="D2508" t="n">
        <v>2198.1</v>
      </c>
    </row>
    <row r="2509">
      <c r="A2509" s="81" t="n">
        <v>40931</v>
      </c>
      <c r="D2509" t="n">
        <v>2207.4</v>
      </c>
    </row>
    <row r="2510">
      <c r="A2510" s="81" t="n">
        <v>40938</v>
      </c>
      <c r="D2510" t="n">
        <v>2204.3</v>
      </c>
    </row>
    <row r="2511">
      <c r="A2511" s="81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1" t="n">
        <v>40945</v>
      </c>
      <c r="D2512" t="n">
        <v>2197.3</v>
      </c>
    </row>
    <row r="2513">
      <c r="A2513" s="81" t="n">
        <v>40952</v>
      </c>
      <c r="D2513" t="n">
        <v>2211.8</v>
      </c>
    </row>
    <row r="2514">
      <c r="A2514" s="81" t="n">
        <v>40959</v>
      </c>
      <c r="D2514" t="n">
        <v>2217.4</v>
      </c>
    </row>
    <row r="2515">
      <c r="A2515" s="81" t="n">
        <v>40966</v>
      </c>
      <c r="D2515" t="n">
        <v>2210.4</v>
      </c>
    </row>
    <row r="2516">
      <c r="A2516" s="81" t="n">
        <v>40969</v>
      </c>
      <c r="B2516" t="n">
        <v>975.7</v>
      </c>
      <c r="C2516" t="n">
        <v>4299.3</v>
      </c>
      <c r="E2516" t="n">
        <v>9837.1</v>
      </c>
    </row>
    <row r="2517">
      <c r="A2517" s="81" t="n">
        <v>40973</v>
      </c>
      <c r="D2517" t="n">
        <v>2213.7</v>
      </c>
    </row>
    <row r="2518">
      <c r="A2518" s="81" t="n">
        <v>40980</v>
      </c>
      <c r="D2518" t="n">
        <v>2228.9</v>
      </c>
    </row>
    <row r="2519">
      <c r="A2519" s="81" t="n">
        <v>40987</v>
      </c>
      <c r="D2519" t="n">
        <v>2227.9</v>
      </c>
    </row>
    <row r="2520">
      <c r="A2520" s="81" t="n">
        <v>40994</v>
      </c>
      <c r="D2520" t="n">
        <v>2227.2</v>
      </c>
    </row>
    <row r="2521">
      <c r="A2521" s="81" t="n">
        <v>41000</v>
      </c>
      <c r="B2521" t="n">
        <v>979.2</v>
      </c>
      <c r="C2521" t="n">
        <v>4315.2</v>
      </c>
      <c r="E2521" t="n">
        <v>9889.9</v>
      </c>
    </row>
    <row r="2522">
      <c r="A2522" s="81" t="n">
        <v>41001</v>
      </c>
      <c r="D2522" t="n">
        <v>2247.1</v>
      </c>
    </row>
    <row r="2523">
      <c r="A2523" s="81" t="n">
        <v>41008</v>
      </c>
      <c r="D2523" t="n">
        <v>2249.9</v>
      </c>
    </row>
    <row r="2524">
      <c r="A2524" s="81" t="n">
        <v>41015</v>
      </c>
      <c r="D2524" t="n">
        <v>2241.8</v>
      </c>
    </row>
    <row r="2525">
      <c r="A2525" s="81" t="n">
        <v>41022</v>
      </c>
      <c r="D2525" t="n">
        <v>2247.4</v>
      </c>
    </row>
    <row r="2526">
      <c r="A2526" s="81" t="n">
        <v>41029</v>
      </c>
      <c r="D2526" t="n">
        <v>2253.5</v>
      </c>
    </row>
    <row r="2527">
      <c r="A2527" s="81" t="n">
        <v>41030</v>
      </c>
      <c r="B2527" t="n">
        <v>988.3</v>
      </c>
      <c r="C2527" t="n">
        <v>4343.7</v>
      </c>
      <c r="E2527" t="n">
        <v>9934.6</v>
      </c>
    </row>
    <row r="2528">
      <c r="A2528" s="81" t="n">
        <v>41036</v>
      </c>
      <c r="D2528" t="n">
        <v>2241.3</v>
      </c>
    </row>
    <row r="2529">
      <c r="A2529" s="81" t="n">
        <v>41043</v>
      </c>
      <c r="D2529" t="n">
        <v>2267.3</v>
      </c>
    </row>
    <row r="2530">
      <c r="A2530" s="81" t="n">
        <v>41050</v>
      </c>
      <c r="D2530" t="n">
        <v>2261.9</v>
      </c>
    </row>
    <row r="2531">
      <c r="A2531" s="81" t="n">
        <v>41057</v>
      </c>
      <c r="D2531" t="n">
        <v>2256.6</v>
      </c>
    </row>
    <row r="2532">
      <c r="A2532" s="81" t="n">
        <v>41061</v>
      </c>
      <c r="B2532" t="n">
        <v>998.5</v>
      </c>
      <c r="C2532" t="n">
        <v>4375.1</v>
      </c>
      <c r="E2532" t="n">
        <v>9998.1</v>
      </c>
    </row>
    <row r="2533">
      <c r="A2533" s="81" t="n">
        <v>41064</v>
      </c>
      <c r="D2533" t="n">
        <v>2255.2</v>
      </c>
    </row>
    <row r="2534">
      <c r="A2534" s="81" t="n">
        <v>41071</v>
      </c>
      <c r="D2534" t="n">
        <v>2290.5</v>
      </c>
    </row>
    <row r="2535">
      <c r="A2535" s="81" t="n">
        <v>41078</v>
      </c>
      <c r="D2535" t="n">
        <v>2274.6</v>
      </c>
    </row>
    <row r="2536">
      <c r="A2536" s="81" t="n">
        <v>41085</v>
      </c>
      <c r="D2536" t="n">
        <v>2272.9</v>
      </c>
    </row>
    <row r="2537">
      <c r="A2537" s="81" t="n">
        <v>41091</v>
      </c>
      <c r="B2537" t="n">
        <v>1012.1</v>
      </c>
      <c r="C2537" t="n">
        <v>4398.8</v>
      </c>
      <c r="E2537" t="n">
        <v>10055.3</v>
      </c>
    </row>
    <row r="2538">
      <c r="A2538" s="81" t="n">
        <v>41092</v>
      </c>
      <c r="D2538" t="n">
        <v>2284.4</v>
      </c>
    </row>
    <row r="2539">
      <c r="A2539" s="81" t="n">
        <v>41099</v>
      </c>
      <c r="D2539" t="n">
        <v>2337.5</v>
      </c>
    </row>
    <row r="2540">
      <c r="A2540" s="81" t="n">
        <v>41106</v>
      </c>
      <c r="D2540" t="n">
        <v>2316.2</v>
      </c>
    </row>
    <row r="2541">
      <c r="A2541" s="81" t="n">
        <v>41113</v>
      </c>
      <c r="D2541" t="n">
        <v>2317.7</v>
      </c>
    </row>
    <row r="2542">
      <c r="A2542" s="81" t="n">
        <v>41120</v>
      </c>
      <c r="D2542" t="n">
        <v>2311.7</v>
      </c>
    </row>
    <row r="2543">
      <c r="A2543" s="81" t="n">
        <v>41122</v>
      </c>
      <c r="B2543" t="n">
        <v>1022.5</v>
      </c>
      <c r="C2543" t="n">
        <v>4399.5</v>
      </c>
      <c r="E2543" t="n">
        <v>10115.2</v>
      </c>
    </row>
    <row r="2544">
      <c r="A2544" s="81" t="n">
        <v>41127</v>
      </c>
      <c r="D2544" t="n">
        <v>2310.6</v>
      </c>
    </row>
    <row r="2545">
      <c r="A2545" s="81" t="n">
        <v>41134</v>
      </c>
      <c r="D2545" t="n">
        <v>2350</v>
      </c>
    </row>
    <row r="2546">
      <c r="A2546" s="81" t="n">
        <v>41141</v>
      </c>
      <c r="D2546" t="n">
        <v>2341.8</v>
      </c>
    </row>
    <row r="2547">
      <c r="A2547" s="81" t="n">
        <v>41148</v>
      </c>
      <c r="D2547" t="n">
        <v>2346.2</v>
      </c>
    </row>
    <row r="2548">
      <c r="A2548" s="81" t="n">
        <v>41153</v>
      </c>
      <c r="B2548" t="n">
        <v>1031.3</v>
      </c>
      <c r="C2548" t="n">
        <v>4412.3</v>
      </c>
      <c r="E2548" t="n">
        <v>10193.1</v>
      </c>
    </row>
    <row r="2549">
      <c r="A2549" s="81" t="n">
        <v>41155</v>
      </c>
      <c r="D2549" t="n">
        <v>2420.7</v>
      </c>
    </row>
    <row r="2550">
      <c r="A2550" s="81" t="n">
        <v>41162</v>
      </c>
      <c r="D2550" t="n">
        <v>2405.4</v>
      </c>
    </row>
    <row r="2551">
      <c r="A2551" s="81" t="n">
        <v>41169</v>
      </c>
      <c r="D2551" t="n">
        <v>2379.6</v>
      </c>
    </row>
    <row r="2552">
      <c r="A2552" s="81" t="n">
        <v>41176</v>
      </c>
      <c r="D2552" t="n">
        <v>2378.6</v>
      </c>
    </row>
    <row r="2553">
      <c r="A2553" s="81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</row>
    <row r="2554">
      <c r="A2554" s="81" t="n">
        <v>41190</v>
      </c>
      <c r="D2554" t="n">
        <v>2422.4</v>
      </c>
    </row>
    <row r="2555">
      <c r="A2555" s="81" t="n">
        <v>41197</v>
      </c>
      <c r="D2555" t="n">
        <v>2422.2</v>
      </c>
    </row>
    <row r="2556">
      <c r="A2556" s="81" t="n">
        <v>41204</v>
      </c>
      <c r="D2556" t="n">
        <v>2417.1</v>
      </c>
    </row>
    <row r="2557">
      <c r="A2557" s="81" t="n">
        <v>41211</v>
      </c>
      <c r="D2557" t="n">
        <v>2429.4</v>
      </c>
    </row>
    <row r="2558">
      <c r="A2558" s="81" t="n">
        <v>41214</v>
      </c>
      <c r="B2558" t="n">
        <v>1053.4</v>
      </c>
      <c r="C2558" t="n">
        <v>4462.6</v>
      </c>
      <c r="E2558" t="n">
        <v>10319.8</v>
      </c>
    </row>
    <row r="2559">
      <c r="A2559" s="81" t="n">
        <v>41218</v>
      </c>
      <c r="D2559" t="n">
        <v>2430.2</v>
      </c>
    </row>
    <row r="2560">
      <c r="A2560" s="81" t="n">
        <v>41225</v>
      </c>
      <c r="D2560" t="n">
        <v>2414.8</v>
      </c>
    </row>
    <row r="2561">
      <c r="A2561" s="81" t="n">
        <v>41232</v>
      </c>
      <c r="D2561" t="n">
        <v>2420.5</v>
      </c>
    </row>
    <row r="2562">
      <c r="A2562" s="81" t="n">
        <v>41239</v>
      </c>
      <c r="D2562" t="n">
        <v>2405.2</v>
      </c>
    </row>
    <row r="2563">
      <c r="A2563" s="81" t="n">
        <v>41244</v>
      </c>
      <c r="B2563" t="n">
        <v>1063.7</v>
      </c>
      <c r="C2563" t="n">
        <v>4520.1</v>
      </c>
      <c r="E2563" t="n">
        <v>10451.5</v>
      </c>
    </row>
    <row r="2564">
      <c r="A2564" s="81" t="n">
        <v>41246</v>
      </c>
      <c r="D2564" t="n">
        <v>2467.5</v>
      </c>
    </row>
    <row r="2565">
      <c r="A2565" s="81" t="n">
        <v>41253</v>
      </c>
      <c r="D2565" t="n">
        <v>2469.3</v>
      </c>
    </row>
    <row r="2566">
      <c r="A2566" s="81" t="n">
        <v>41260</v>
      </c>
      <c r="D2566" t="n">
        <v>2438.6</v>
      </c>
    </row>
    <row r="2567">
      <c r="A2567" s="81" t="n">
        <v>41267</v>
      </c>
      <c r="D2567" t="n">
        <v>2474.4</v>
      </c>
    </row>
    <row r="2568">
      <c r="A2568" s="81" t="n">
        <v>41274</v>
      </c>
      <c r="D2568" t="n">
        <v>2459.7</v>
      </c>
    </row>
    <row r="2569">
      <c r="A2569" s="81" t="n">
        <v>41275</v>
      </c>
      <c r="B2569" t="n">
        <v>1066.8</v>
      </c>
      <c r="C2569" t="n">
        <v>4522.2</v>
      </c>
      <c r="E2569" t="n">
        <v>10477</v>
      </c>
    </row>
    <row r="2570">
      <c r="A2570" s="81" t="n">
        <v>41281</v>
      </c>
      <c r="D2570" t="n">
        <v>2459.6</v>
      </c>
    </row>
    <row r="2571">
      <c r="A2571" s="81" t="n">
        <v>41288</v>
      </c>
      <c r="D2571" t="n">
        <v>2480.1</v>
      </c>
    </row>
    <row r="2572">
      <c r="A2572" s="81" t="n">
        <v>41295</v>
      </c>
      <c r="D2572" t="n">
        <v>2488.5</v>
      </c>
    </row>
    <row r="2573">
      <c r="A2573" s="81" t="n">
        <v>41302</v>
      </c>
      <c r="D2573" t="n">
        <v>2465.2</v>
      </c>
    </row>
    <row r="2574">
      <c r="A2574" s="81" t="n">
        <v>41306</v>
      </c>
      <c r="B2574" t="n">
        <v>1062.1</v>
      </c>
      <c r="C2574" t="n">
        <v>4503</v>
      </c>
      <c r="E2574" t="n">
        <v>10489.1</v>
      </c>
    </row>
    <row r="2575">
      <c r="A2575" s="81" t="n">
        <v>41309</v>
      </c>
      <c r="D2575" t="n">
        <v>2474</v>
      </c>
    </row>
    <row r="2576">
      <c r="A2576" s="81" t="n">
        <v>41316</v>
      </c>
      <c r="D2576" t="n">
        <v>2484.3</v>
      </c>
    </row>
    <row r="2577">
      <c r="A2577" s="81" t="n">
        <v>41323</v>
      </c>
      <c r="D2577" t="n">
        <v>2469.4</v>
      </c>
    </row>
    <row r="2578">
      <c r="A2578" s="81" t="n">
        <v>41330</v>
      </c>
      <c r="D2578" t="n">
        <v>2465.9</v>
      </c>
    </row>
    <row r="2579">
      <c r="A2579" s="81" t="n">
        <v>41334</v>
      </c>
      <c r="B2579" t="n">
        <v>1068.6</v>
      </c>
      <c r="C2579" t="n">
        <v>4544.4</v>
      </c>
      <c r="E2579" t="n">
        <v>10555.8</v>
      </c>
    </row>
    <row r="2580">
      <c r="A2580" s="81" t="n">
        <v>41337</v>
      </c>
      <c r="D2580" t="n">
        <v>2461.8</v>
      </c>
    </row>
    <row r="2581">
      <c r="A2581" s="81" t="n">
        <v>41344</v>
      </c>
      <c r="D2581" t="n">
        <v>2468.3</v>
      </c>
    </row>
    <row r="2582">
      <c r="A2582" s="81" t="n">
        <v>41351</v>
      </c>
      <c r="D2582" t="n">
        <v>2466.8</v>
      </c>
    </row>
    <row r="2583">
      <c r="A2583" s="81" t="n">
        <v>41358</v>
      </c>
      <c r="D2583" t="n">
        <v>2488.8</v>
      </c>
    </row>
    <row r="2584">
      <c r="A2584" s="81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</row>
    <row r="2585">
      <c r="A2585" s="81" t="n">
        <v>41372</v>
      </c>
      <c r="D2585" t="n">
        <v>2486.3</v>
      </c>
    </row>
    <row r="2586">
      <c r="A2586" s="81" t="n">
        <v>41379</v>
      </c>
      <c r="D2586" t="n">
        <v>2514.6</v>
      </c>
    </row>
    <row r="2587">
      <c r="A2587" s="81" t="n">
        <v>41386</v>
      </c>
      <c r="D2587" t="n">
        <v>2527.4</v>
      </c>
    </row>
    <row r="2588">
      <c r="A2588" s="81" t="n">
        <v>41393</v>
      </c>
      <c r="D2588" t="n">
        <v>2534.5</v>
      </c>
    </row>
    <row r="2589">
      <c r="A2589" s="81" t="n">
        <v>41395</v>
      </c>
      <c r="B2589" t="n">
        <v>1091.8</v>
      </c>
      <c r="C2589" t="n">
        <v>4584.1</v>
      </c>
      <c r="E2589" t="n">
        <v>10630.1</v>
      </c>
    </row>
    <row r="2590">
      <c r="A2590" s="81" t="n">
        <v>41400</v>
      </c>
      <c r="D2590" t="n">
        <v>2501.5</v>
      </c>
    </row>
    <row r="2591">
      <c r="A2591" s="81" t="n">
        <v>41407</v>
      </c>
      <c r="D2591" t="n">
        <v>2523.3</v>
      </c>
    </row>
    <row r="2592">
      <c r="A2592" s="81" t="n">
        <v>41414</v>
      </c>
      <c r="D2592" t="n">
        <v>2524.1</v>
      </c>
    </row>
    <row r="2593">
      <c r="A2593" s="81" t="n">
        <v>41421</v>
      </c>
      <c r="D2593" t="n">
        <v>2535.9</v>
      </c>
    </row>
    <row r="2594">
      <c r="A2594" s="81" t="n">
        <v>41426</v>
      </c>
      <c r="B2594" t="n">
        <v>1089.5</v>
      </c>
      <c r="C2594" t="n">
        <v>4595.7</v>
      </c>
      <c r="E2594" t="n">
        <v>10682.5</v>
      </c>
    </row>
    <row r="2595">
      <c r="A2595" s="81" t="n">
        <v>41428</v>
      </c>
      <c r="D2595" t="n">
        <v>2585.8</v>
      </c>
    </row>
    <row r="2596">
      <c r="A2596" s="81" t="n">
        <v>41435</v>
      </c>
      <c r="D2596" t="n">
        <v>2538.9</v>
      </c>
    </row>
    <row r="2597">
      <c r="A2597" s="81" t="n">
        <v>41442</v>
      </c>
      <c r="D2597" t="n">
        <v>2513.2</v>
      </c>
    </row>
    <row r="2598">
      <c r="A2598" s="81" t="n">
        <v>41449</v>
      </c>
      <c r="D2598" t="n">
        <v>2522.4</v>
      </c>
    </row>
    <row r="2599">
      <c r="A2599" s="81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</row>
    <row r="2600">
      <c r="A2600" s="81" t="n">
        <v>41463</v>
      </c>
      <c r="D2600" t="n">
        <v>2526.9</v>
      </c>
    </row>
    <row r="2601">
      <c r="A2601" s="81" t="n">
        <v>41470</v>
      </c>
      <c r="D2601" t="n">
        <v>2544</v>
      </c>
    </row>
    <row r="2602">
      <c r="A2602" s="81" t="n">
        <v>41477</v>
      </c>
      <c r="D2602" t="n">
        <v>2565.6</v>
      </c>
    </row>
    <row r="2603">
      <c r="A2603" s="81" t="n">
        <v>41484</v>
      </c>
      <c r="D2603" t="n">
        <v>2552.2</v>
      </c>
    </row>
    <row r="2604">
      <c r="A2604" s="81" t="n">
        <v>41487</v>
      </c>
      <c r="B2604" t="n">
        <v>1093.9</v>
      </c>
      <c r="C2604" t="n">
        <v>4619.1</v>
      </c>
      <c r="E2604" t="n">
        <v>10783.5</v>
      </c>
    </row>
    <row r="2605">
      <c r="A2605" s="81" t="n">
        <v>41491</v>
      </c>
      <c r="D2605" t="n">
        <v>2533.6</v>
      </c>
    </row>
    <row r="2606">
      <c r="A2606" s="81" t="n">
        <v>41498</v>
      </c>
      <c r="D2606" t="n">
        <v>2545.5</v>
      </c>
    </row>
    <row r="2607">
      <c r="A2607" s="81" t="n">
        <v>41505</v>
      </c>
      <c r="D2607" t="n">
        <v>2537.8</v>
      </c>
    </row>
    <row r="2608">
      <c r="A2608" s="81" t="n">
        <v>41512</v>
      </c>
      <c r="D2608" t="n">
        <v>2562.8</v>
      </c>
    </row>
    <row r="2609">
      <c r="A2609" s="81" t="n">
        <v>41518</v>
      </c>
      <c r="B2609" t="n">
        <v>1105.2</v>
      </c>
      <c r="C2609" t="n">
        <v>4639.5</v>
      </c>
      <c r="E2609" t="n">
        <v>10835.3</v>
      </c>
    </row>
    <row r="2610">
      <c r="A2610" s="81" t="n">
        <v>41519</v>
      </c>
      <c r="D2610" t="n">
        <v>2585.5</v>
      </c>
    </row>
    <row r="2611">
      <c r="A2611" s="81" t="n">
        <v>41526</v>
      </c>
      <c r="D2611" t="n">
        <v>2581.2</v>
      </c>
    </row>
    <row r="2612">
      <c r="A2612" s="81" t="n">
        <v>41533</v>
      </c>
      <c r="D2612" t="n">
        <v>2572.1</v>
      </c>
    </row>
    <row r="2613">
      <c r="A2613" s="81" t="n">
        <v>41540</v>
      </c>
      <c r="D2613" t="n">
        <v>2590.7</v>
      </c>
    </row>
    <row r="2614">
      <c r="A2614" s="81" t="n">
        <v>41547</v>
      </c>
      <c r="D2614" t="n">
        <v>2589.9</v>
      </c>
    </row>
    <row r="2615">
      <c r="A2615" s="81" t="n">
        <v>41548</v>
      </c>
      <c r="B2615" t="n">
        <v>1121.2</v>
      </c>
      <c r="C2615" t="n">
        <v>4685.6</v>
      </c>
      <c r="E2615" t="n">
        <v>10948.7</v>
      </c>
    </row>
    <row r="2616">
      <c r="A2616" s="81" t="n">
        <v>41554</v>
      </c>
      <c r="D2616" t="n">
        <v>2568.8</v>
      </c>
    </row>
    <row r="2617">
      <c r="A2617" s="81" t="n">
        <v>41561</v>
      </c>
      <c r="D2617" t="n">
        <v>2641.1</v>
      </c>
    </row>
    <row r="2618">
      <c r="A2618" s="81" t="n">
        <v>41568</v>
      </c>
      <c r="D2618" t="n">
        <v>2662.6</v>
      </c>
    </row>
    <row r="2619">
      <c r="A2619" s="81" t="n">
        <v>41575</v>
      </c>
      <c r="D2619" t="n">
        <v>2625.4</v>
      </c>
    </row>
    <row r="2620">
      <c r="A2620" s="81" t="n">
        <v>41579</v>
      </c>
      <c r="B2620" t="n">
        <v>1123.7</v>
      </c>
      <c r="C2620" t="n">
        <v>4679.2</v>
      </c>
      <c r="E2620" t="n">
        <v>10954.1</v>
      </c>
    </row>
    <row r="2621">
      <c r="A2621" s="81" t="n">
        <v>41582</v>
      </c>
      <c r="D2621" t="n">
        <v>2604.8</v>
      </c>
    </row>
    <row r="2622">
      <c r="A2622" s="81" t="n">
        <v>41589</v>
      </c>
      <c r="D2622" t="n">
        <v>2615</v>
      </c>
    </row>
    <row r="2623">
      <c r="A2623" s="81" t="n">
        <v>41596</v>
      </c>
      <c r="D2623" t="n">
        <v>2622.8</v>
      </c>
    </row>
    <row r="2624">
      <c r="A2624" s="81" t="n">
        <v>41603</v>
      </c>
      <c r="D2624" t="n">
        <v>2627.9</v>
      </c>
    </row>
    <row r="2625">
      <c r="A2625" s="81" t="n">
        <v>41609</v>
      </c>
      <c r="B2625" t="n">
        <v>1134.5</v>
      </c>
      <c r="C2625" t="n">
        <v>4695.1</v>
      </c>
      <c r="E2625" t="n">
        <v>11020.3</v>
      </c>
    </row>
    <row r="2626">
      <c r="A2626" s="81" t="n">
        <v>41610</v>
      </c>
      <c r="D2626" t="n">
        <v>2654.5</v>
      </c>
    </row>
    <row r="2627">
      <c r="A2627" s="81" t="n">
        <v>41617</v>
      </c>
      <c r="D2627" t="n">
        <v>2672.8</v>
      </c>
    </row>
    <row r="2628">
      <c r="A2628" s="81" t="n">
        <v>41624</v>
      </c>
      <c r="D2628" t="n">
        <v>2656.2</v>
      </c>
    </row>
    <row r="2629">
      <c r="A2629" s="81" t="n">
        <v>41631</v>
      </c>
      <c r="D2629" t="n">
        <v>2682.7</v>
      </c>
    </row>
    <row r="2630">
      <c r="A2630" s="81" t="n">
        <v>41638</v>
      </c>
      <c r="D2630" t="n">
        <v>2648.4</v>
      </c>
    </row>
    <row r="2631">
      <c r="A2631" s="81" t="n">
        <v>41640</v>
      </c>
      <c r="B2631" t="n">
        <v>1146.1</v>
      </c>
      <c r="C2631" t="n">
        <v>4707.7</v>
      </c>
      <c r="E2631" t="n">
        <v>11076.6</v>
      </c>
    </row>
    <row r="2632">
      <c r="A2632" s="81" t="n">
        <v>41645</v>
      </c>
      <c r="D2632" t="n">
        <v>2668.2</v>
      </c>
    </row>
    <row r="2633">
      <c r="A2633" s="81" t="n">
        <v>41652</v>
      </c>
      <c r="D2633" t="n">
        <v>2673.9</v>
      </c>
    </row>
    <row r="2634">
      <c r="A2634" s="81" t="n">
        <v>41659</v>
      </c>
      <c r="D2634" t="n">
        <v>2704.5</v>
      </c>
    </row>
    <row r="2635">
      <c r="A2635" s="81" t="n">
        <v>41666</v>
      </c>
      <c r="D2635" t="n">
        <v>2694.1</v>
      </c>
    </row>
    <row r="2636">
      <c r="A2636" s="81" t="n">
        <v>41671</v>
      </c>
      <c r="B2636" t="n">
        <v>1158.3</v>
      </c>
      <c r="C2636" t="n">
        <v>4741.9</v>
      </c>
      <c r="E2636" t="n">
        <v>11169.3</v>
      </c>
    </row>
    <row r="2637">
      <c r="A2637" s="81" t="n">
        <v>41673</v>
      </c>
      <c r="D2637" t="n">
        <v>2766.9</v>
      </c>
    </row>
    <row r="2638">
      <c r="A2638" s="81" t="n">
        <v>41680</v>
      </c>
      <c r="D2638" t="n">
        <v>2719.4</v>
      </c>
    </row>
    <row r="2639">
      <c r="A2639" s="81" t="n">
        <v>41687</v>
      </c>
      <c r="D2639" t="n">
        <v>2711.3</v>
      </c>
    </row>
    <row r="2640">
      <c r="A2640" s="81" t="n">
        <v>41694</v>
      </c>
      <c r="D2640" t="n">
        <v>2707.1</v>
      </c>
    </row>
    <row r="2641">
      <c r="A2641" s="81" t="n">
        <v>41699</v>
      </c>
      <c r="B2641" t="n">
        <v>1167.3</v>
      </c>
      <c r="C2641" t="n">
        <v>4748.4</v>
      </c>
      <c r="E2641" t="n">
        <v>11207.6</v>
      </c>
    </row>
    <row r="2642">
      <c r="A2642" s="81" t="n">
        <v>41701</v>
      </c>
      <c r="D2642" t="n">
        <v>2764.5</v>
      </c>
    </row>
    <row r="2643">
      <c r="A2643" s="81" t="n">
        <v>41708</v>
      </c>
      <c r="D2643" t="n">
        <v>2762.5</v>
      </c>
    </row>
    <row r="2644">
      <c r="A2644" s="81" t="n">
        <v>41715</v>
      </c>
      <c r="D2644" t="n">
        <v>2740.1</v>
      </c>
    </row>
    <row r="2645">
      <c r="A2645" s="81" t="n">
        <v>41722</v>
      </c>
      <c r="D2645" t="n">
        <v>2749.5</v>
      </c>
    </row>
    <row r="2646">
      <c r="A2646" s="81" t="n">
        <v>41729</v>
      </c>
      <c r="D2646" t="n">
        <v>2762.3</v>
      </c>
    </row>
    <row r="2647">
      <c r="A2647" s="81" t="n">
        <v>41730</v>
      </c>
      <c r="B2647" t="n">
        <v>1174.7</v>
      </c>
      <c r="C2647" t="n">
        <v>4761.7</v>
      </c>
      <c r="E2647" t="n">
        <v>11259.8</v>
      </c>
    </row>
    <row r="2648">
      <c r="A2648" s="81" t="n">
        <v>41736</v>
      </c>
      <c r="D2648" t="n">
        <v>2739.3</v>
      </c>
    </row>
    <row r="2649">
      <c r="A2649" s="81" t="n">
        <v>41743</v>
      </c>
      <c r="D2649" t="n">
        <v>2790</v>
      </c>
    </row>
    <row r="2650">
      <c r="A2650" s="81" t="n">
        <v>41750</v>
      </c>
      <c r="D2650" t="n">
        <v>2789.5</v>
      </c>
    </row>
    <row r="2651">
      <c r="A2651" s="81" t="n">
        <v>41757</v>
      </c>
      <c r="D2651" t="n">
        <v>2793.1</v>
      </c>
    </row>
    <row r="2652">
      <c r="A2652" s="81" t="n">
        <v>41760</v>
      </c>
      <c r="B2652" t="n">
        <v>1179.4</v>
      </c>
      <c r="C2652" t="n">
        <v>4780.7</v>
      </c>
      <c r="E2652" t="n">
        <v>11326.3</v>
      </c>
    </row>
    <row r="2653">
      <c r="A2653" s="81" t="n">
        <v>41764</v>
      </c>
      <c r="D2653" t="n">
        <v>2783.9</v>
      </c>
    </row>
    <row r="2654">
      <c r="A2654" s="81" t="n">
        <v>41771</v>
      </c>
      <c r="D2654" t="n">
        <v>2798.8</v>
      </c>
    </row>
    <row r="2655">
      <c r="A2655" s="81" t="n">
        <v>41778</v>
      </c>
      <c r="D2655" t="n">
        <v>2782.3</v>
      </c>
    </row>
    <row r="2656">
      <c r="A2656" s="81" t="n">
        <v>41785</v>
      </c>
      <c r="D2656" t="n">
        <v>2792.3</v>
      </c>
    </row>
    <row r="2657">
      <c r="A2657" s="81" t="n">
        <v>41791</v>
      </c>
      <c r="B2657" t="n">
        <v>1192.7</v>
      </c>
      <c r="C2657" t="n">
        <v>4795.8</v>
      </c>
      <c r="E2657" t="n">
        <v>11377.2</v>
      </c>
    </row>
    <row r="2658">
      <c r="A2658" s="81" t="n">
        <v>41792</v>
      </c>
      <c r="D2658" t="n">
        <v>2820.5</v>
      </c>
    </row>
    <row r="2659">
      <c r="A2659" s="81" t="n">
        <v>41799</v>
      </c>
      <c r="D2659" t="n">
        <v>2831.3</v>
      </c>
    </row>
    <row r="2660">
      <c r="A2660" s="81" t="n">
        <v>41806</v>
      </c>
      <c r="D2660" t="n">
        <v>2825.5</v>
      </c>
    </row>
    <row r="2661">
      <c r="A2661" s="81" t="n">
        <v>41813</v>
      </c>
      <c r="D2661" t="n">
        <v>2829.2</v>
      </c>
    </row>
    <row r="2662">
      <c r="A2662" s="81" t="n">
        <v>41820</v>
      </c>
      <c r="D2662" t="n">
        <v>2834.5</v>
      </c>
    </row>
    <row r="2663">
      <c r="A2663" s="81" t="n">
        <v>41821</v>
      </c>
      <c r="B2663" t="n">
        <v>1195.8</v>
      </c>
      <c r="C2663" t="n">
        <v>4814.4</v>
      </c>
      <c r="E2663" t="n">
        <v>11434</v>
      </c>
    </row>
    <row r="2664">
      <c r="A2664" s="81" t="n">
        <v>41827</v>
      </c>
      <c r="D2664" t="n">
        <v>2812.5</v>
      </c>
    </row>
    <row r="2665">
      <c r="A2665" s="81" t="n">
        <v>41834</v>
      </c>
      <c r="D2665" t="n">
        <v>2853.2</v>
      </c>
    </row>
    <row r="2666">
      <c r="A2666" s="81" t="n">
        <v>41841</v>
      </c>
      <c r="D2666" t="n">
        <v>2860.9</v>
      </c>
    </row>
    <row r="2667">
      <c r="A2667" s="81" t="n">
        <v>41848</v>
      </c>
      <c r="D2667" t="n">
        <v>2841.4</v>
      </c>
    </row>
    <row r="2668">
      <c r="A2668" s="81" t="n">
        <v>41852</v>
      </c>
      <c r="B2668" t="n">
        <v>1180.7</v>
      </c>
      <c r="C2668" t="n">
        <v>4827.3</v>
      </c>
      <c r="E2668" t="n">
        <v>11462.9</v>
      </c>
    </row>
    <row r="2669">
      <c r="A2669" s="81" t="n">
        <v>41855</v>
      </c>
      <c r="D2669" t="n">
        <v>2841.9</v>
      </c>
    </row>
    <row r="2670">
      <c r="A2670" s="81" t="n">
        <v>41862</v>
      </c>
      <c r="D2670" t="n">
        <v>2807.8</v>
      </c>
    </row>
    <row r="2671">
      <c r="A2671" s="81" t="n">
        <v>41869</v>
      </c>
      <c r="D2671" t="n">
        <v>2781.3</v>
      </c>
    </row>
    <row r="2672">
      <c r="A2672" s="81" t="n">
        <v>41876</v>
      </c>
      <c r="D2672" t="n">
        <v>2794.1</v>
      </c>
    </row>
    <row r="2673">
      <c r="A2673" s="81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1" t="n">
        <v>41890</v>
      </c>
      <c r="D2674" t="n">
        <v>2841</v>
      </c>
    </row>
    <row r="2675">
      <c r="A2675" s="81" t="n">
        <v>41897</v>
      </c>
      <c r="D2675" t="n">
        <v>2870.6</v>
      </c>
    </row>
    <row r="2676">
      <c r="A2676" s="81" t="n">
        <v>41904</v>
      </c>
      <c r="D2676" t="n">
        <v>2873</v>
      </c>
    </row>
    <row r="2677">
      <c r="A2677" s="81" t="n">
        <v>41911</v>
      </c>
      <c r="D2677" t="n">
        <v>2874</v>
      </c>
    </row>
    <row r="2678">
      <c r="A2678" s="81" t="n">
        <v>41913</v>
      </c>
      <c r="B2678" t="n">
        <v>1208.1</v>
      </c>
      <c r="C2678" t="n">
        <v>4868.2</v>
      </c>
      <c r="E2678" t="n">
        <v>11558.6</v>
      </c>
    </row>
    <row r="2679">
      <c r="A2679" s="81" t="n">
        <v>41918</v>
      </c>
      <c r="D2679" t="n">
        <v>2851.7</v>
      </c>
    </row>
    <row r="2680">
      <c r="A2680" s="81" t="n">
        <v>41925</v>
      </c>
      <c r="D2680" t="n">
        <v>2857.2</v>
      </c>
    </row>
    <row r="2681">
      <c r="A2681" s="81" t="n">
        <v>41932</v>
      </c>
      <c r="D2681" t="n">
        <v>2862.6</v>
      </c>
    </row>
    <row r="2682">
      <c r="A2682" s="81" t="n">
        <v>41939</v>
      </c>
      <c r="D2682" t="n">
        <v>2869.6</v>
      </c>
    </row>
    <row r="2683">
      <c r="A2683" s="81" t="n">
        <v>41944</v>
      </c>
      <c r="B2683" t="n">
        <v>1217.9</v>
      </c>
      <c r="C2683" t="n">
        <v>4892.6</v>
      </c>
      <c r="E2683" t="n">
        <v>11594.7</v>
      </c>
    </row>
    <row r="2684">
      <c r="A2684" s="81" t="n">
        <v>41946</v>
      </c>
      <c r="D2684" t="n">
        <v>2919.6</v>
      </c>
    </row>
    <row r="2685">
      <c r="A2685" s="81" t="n">
        <v>41953</v>
      </c>
      <c r="D2685" t="n">
        <v>2891.6</v>
      </c>
    </row>
    <row r="2686">
      <c r="A2686" s="81" t="n">
        <v>41960</v>
      </c>
      <c r="D2686" t="n">
        <v>2871.4</v>
      </c>
    </row>
    <row r="2687">
      <c r="A2687" s="81" t="n">
        <v>41967</v>
      </c>
      <c r="D2687" t="n">
        <v>2880.7</v>
      </c>
    </row>
    <row r="2688">
      <c r="A2688" s="81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1" t="n">
        <v>41981</v>
      </c>
      <c r="D2689" t="n">
        <v>2929</v>
      </c>
    </row>
    <row r="2690">
      <c r="A2690" s="81" t="n">
        <v>41988</v>
      </c>
      <c r="D2690" t="n">
        <v>2944.2</v>
      </c>
    </row>
    <row r="2691">
      <c r="A2691" s="81" t="n">
        <v>41995</v>
      </c>
      <c r="D2691" t="n">
        <v>2959.7</v>
      </c>
    </row>
    <row r="2692">
      <c r="A2692" s="81" t="n">
        <v>42002</v>
      </c>
      <c r="D2692" t="n">
        <v>2937.8</v>
      </c>
    </row>
    <row r="2693">
      <c r="A2693" s="81" t="n">
        <v>42005</v>
      </c>
      <c r="B2693" t="n">
        <v>1252.8</v>
      </c>
      <c r="C2693" t="n">
        <v>5002.8</v>
      </c>
      <c r="E2693" t="n">
        <v>11743.9</v>
      </c>
    </row>
    <row r="2694">
      <c r="A2694" s="81" t="n">
        <v>42009</v>
      </c>
      <c r="D2694" t="n">
        <v>2934</v>
      </c>
    </row>
    <row r="2695">
      <c r="A2695" s="81" t="n">
        <v>42016</v>
      </c>
      <c r="D2695" t="n">
        <v>2930.6</v>
      </c>
    </row>
    <row r="2696">
      <c r="A2696" s="81" t="n">
        <v>42023</v>
      </c>
      <c r="D2696" t="n">
        <v>2917.8</v>
      </c>
    </row>
    <row r="2697">
      <c r="A2697" s="81" t="n">
        <v>42030</v>
      </c>
      <c r="D2697" t="n">
        <v>2935.5</v>
      </c>
    </row>
    <row r="2698">
      <c r="A2698" s="81" t="n">
        <v>42036</v>
      </c>
      <c r="B2698" t="n">
        <v>1278.7</v>
      </c>
      <c r="C2698" t="n">
        <v>5044.4</v>
      </c>
      <c r="E2698" t="n">
        <v>11871.7</v>
      </c>
    </row>
    <row r="2699">
      <c r="A2699" s="81" t="n">
        <v>42037</v>
      </c>
      <c r="D2699" t="n">
        <v>2999.4</v>
      </c>
    </row>
    <row r="2700">
      <c r="A2700" s="81" t="n">
        <v>42044</v>
      </c>
      <c r="D2700" t="n">
        <v>3002.2</v>
      </c>
    </row>
    <row r="2701">
      <c r="A2701" s="81" t="n">
        <v>42051</v>
      </c>
      <c r="D2701" t="n">
        <v>3005.6</v>
      </c>
    </row>
    <row r="2702">
      <c r="A2702" s="81" t="n">
        <v>42058</v>
      </c>
      <c r="D2702" t="n">
        <v>3006.4</v>
      </c>
    </row>
    <row r="2703">
      <c r="A2703" s="81" t="n">
        <v>42064</v>
      </c>
      <c r="B2703" t="n">
        <v>1272.2</v>
      </c>
      <c r="C2703" t="n">
        <v>5037.8</v>
      </c>
      <c r="E2703" t="n">
        <v>11888.1</v>
      </c>
    </row>
    <row r="2704">
      <c r="A2704" s="81" t="n">
        <v>42065</v>
      </c>
      <c r="D2704" t="n">
        <v>3015.5</v>
      </c>
    </row>
    <row r="2705">
      <c r="A2705" s="81" t="n">
        <v>42072</v>
      </c>
      <c r="D2705" t="n">
        <v>3013.2</v>
      </c>
    </row>
    <row r="2706">
      <c r="A2706" s="81" t="n">
        <v>42079</v>
      </c>
      <c r="D2706" t="n">
        <v>2995.8</v>
      </c>
    </row>
    <row r="2707">
      <c r="A2707" s="81" t="n">
        <v>42086</v>
      </c>
      <c r="D2707" t="n">
        <v>3000.2</v>
      </c>
    </row>
    <row r="2708">
      <c r="A2708" s="81" t="n">
        <v>42093</v>
      </c>
      <c r="D2708" t="n">
        <v>2987.5</v>
      </c>
    </row>
    <row r="2709">
      <c r="A2709" s="81" t="n">
        <v>42095</v>
      </c>
      <c r="B2709" t="n">
        <v>1270.6</v>
      </c>
      <c r="C2709" t="n">
        <v>5049.3</v>
      </c>
      <c r="E2709" t="n">
        <v>11927.6</v>
      </c>
    </row>
    <row r="2710">
      <c r="A2710" s="81" t="n">
        <v>42100</v>
      </c>
      <c r="D2710" t="n">
        <v>2977.8</v>
      </c>
    </row>
    <row r="2711">
      <c r="A2711" s="81" t="n">
        <v>42107</v>
      </c>
      <c r="D2711" t="n">
        <v>3014.8</v>
      </c>
    </row>
    <row r="2712">
      <c r="A2712" s="81" t="n">
        <v>42114</v>
      </c>
      <c r="D2712" t="n">
        <v>3015.8</v>
      </c>
    </row>
    <row r="2713">
      <c r="A2713" s="81" t="n">
        <v>42121</v>
      </c>
      <c r="D2713" t="n">
        <v>2994.4</v>
      </c>
    </row>
    <row r="2714">
      <c r="A2714" s="81" t="n">
        <v>42125</v>
      </c>
      <c r="B2714" t="n">
        <v>1258.9</v>
      </c>
      <c r="C2714" t="n">
        <v>5045.5</v>
      </c>
      <c r="E2714" t="n">
        <v>11957.9</v>
      </c>
    </row>
    <row r="2715">
      <c r="A2715" s="81" t="n">
        <v>42128</v>
      </c>
      <c r="D2715" t="n">
        <v>2995.3</v>
      </c>
    </row>
    <row r="2716">
      <c r="A2716" s="81" t="n">
        <v>42135</v>
      </c>
      <c r="D2716" t="n">
        <v>2997.1</v>
      </c>
    </row>
    <row r="2717">
      <c r="A2717" s="81" t="n">
        <v>42142</v>
      </c>
      <c r="D2717" t="n">
        <v>2970.3</v>
      </c>
    </row>
    <row r="2718">
      <c r="A2718" s="81" t="n">
        <v>42149</v>
      </c>
      <c r="D2718" t="n">
        <v>2994.8</v>
      </c>
    </row>
    <row r="2719">
      <c r="A2719" s="81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1" t="n">
        <v>42163</v>
      </c>
      <c r="D2720" t="n">
        <v>2990.7</v>
      </c>
    </row>
    <row r="2721">
      <c r="A2721" s="81" t="n">
        <v>42170</v>
      </c>
      <c r="D2721" t="n">
        <v>3012.6</v>
      </c>
    </row>
    <row r="2722">
      <c r="A2722" s="81" t="n">
        <v>42177</v>
      </c>
      <c r="D2722" t="n">
        <v>3037.1</v>
      </c>
    </row>
    <row r="2723">
      <c r="A2723" s="81" t="n">
        <v>42184</v>
      </c>
      <c r="D2723" t="n">
        <v>3047.2</v>
      </c>
    </row>
    <row r="2724">
      <c r="A2724" s="81" t="n">
        <v>42186</v>
      </c>
      <c r="B2724" t="n">
        <v>1276.3</v>
      </c>
      <c r="C2724" t="n">
        <v>5063.1</v>
      </c>
      <c r="E2724" t="n">
        <v>12052</v>
      </c>
    </row>
    <row r="2725">
      <c r="A2725" s="81" t="n">
        <v>42191</v>
      </c>
      <c r="D2725" t="n">
        <v>3022.5</v>
      </c>
    </row>
    <row r="2726">
      <c r="A2726" s="81" t="n">
        <v>42198</v>
      </c>
      <c r="D2726" t="n">
        <v>3035.5</v>
      </c>
    </row>
    <row r="2727">
      <c r="A2727" s="81" t="n">
        <v>42205</v>
      </c>
      <c r="D2727" t="n">
        <v>3038.4</v>
      </c>
    </row>
    <row r="2728">
      <c r="A2728" s="81" t="n">
        <v>42212</v>
      </c>
      <c r="D2728" t="n">
        <v>3033.5</v>
      </c>
    </row>
    <row r="2729">
      <c r="A2729" s="81" t="n">
        <v>42217</v>
      </c>
      <c r="B2729" t="n">
        <v>1272.3</v>
      </c>
      <c r="C2729" t="n">
        <v>5083.6</v>
      </c>
      <c r="E2729" t="n">
        <v>12100.6</v>
      </c>
    </row>
    <row r="2730">
      <c r="A2730" s="81" t="n">
        <v>42219</v>
      </c>
      <c r="D2730" t="n">
        <v>3092</v>
      </c>
    </row>
    <row r="2731">
      <c r="A2731" s="81" t="n">
        <v>42226</v>
      </c>
      <c r="D2731" t="n">
        <v>3033.6</v>
      </c>
    </row>
    <row r="2732">
      <c r="A2732" s="81" t="n">
        <v>42233</v>
      </c>
      <c r="D2732" t="n">
        <v>3013.6</v>
      </c>
    </row>
    <row r="2733">
      <c r="A2733" s="81" t="n">
        <v>42240</v>
      </c>
      <c r="D2733" t="n">
        <v>3025.7</v>
      </c>
    </row>
    <row r="2734">
      <c r="A2734" s="81" t="n">
        <v>42247</v>
      </c>
      <c r="D2734" t="n">
        <v>3018.5</v>
      </c>
    </row>
    <row r="2735">
      <c r="A2735" s="81" t="n">
        <v>42248</v>
      </c>
      <c r="B2735" t="n">
        <v>1281.3</v>
      </c>
      <c r="C2735" t="n">
        <v>5117.8</v>
      </c>
      <c r="E2735" t="n">
        <v>12154.6</v>
      </c>
    </row>
    <row r="2736">
      <c r="A2736" s="81" t="n">
        <v>42254</v>
      </c>
      <c r="D2736" t="n">
        <v>3012</v>
      </c>
    </row>
    <row r="2737">
      <c r="A2737" s="81" t="n">
        <v>42261</v>
      </c>
      <c r="D2737" t="n">
        <v>3048.2</v>
      </c>
    </row>
    <row r="2738">
      <c r="A2738" s="81" t="n">
        <v>42268</v>
      </c>
      <c r="D2738" t="n">
        <v>3074.9</v>
      </c>
    </row>
    <row r="2739">
      <c r="A2739" s="81" t="n">
        <v>42275</v>
      </c>
      <c r="D2739" t="n">
        <v>3053.2</v>
      </c>
    </row>
    <row r="2740">
      <c r="A2740" s="81" t="n">
        <v>42278</v>
      </c>
      <c r="B2740" t="n">
        <v>1269.1</v>
      </c>
      <c r="C2740" t="n">
        <v>5128.7</v>
      </c>
      <c r="E2740" t="n">
        <v>12192.5</v>
      </c>
    </row>
    <row r="2741">
      <c r="A2741" s="81" t="n">
        <v>42282</v>
      </c>
      <c r="D2741" t="n">
        <v>3016.1</v>
      </c>
    </row>
    <row r="2742">
      <c r="A2742" s="81" t="n">
        <v>42289</v>
      </c>
      <c r="D2742" t="n">
        <v>2999.1</v>
      </c>
    </row>
    <row r="2743">
      <c r="A2743" s="81" t="n">
        <v>42296</v>
      </c>
      <c r="D2743" t="n">
        <v>2996.2</v>
      </c>
    </row>
    <row r="2744">
      <c r="A2744" s="81" t="n">
        <v>42303</v>
      </c>
      <c r="D2744" t="n">
        <v>3023.1</v>
      </c>
    </row>
    <row r="2745">
      <c r="A2745" s="81" t="n">
        <v>42309</v>
      </c>
      <c r="B2745" t="n">
        <v>1294.5</v>
      </c>
      <c r="C2745" t="n">
        <v>5158</v>
      </c>
      <c r="E2745" t="n">
        <v>12277</v>
      </c>
    </row>
    <row r="2746">
      <c r="A2746" s="81" t="n">
        <v>42310</v>
      </c>
      <c r="D2746" t="n">
        <v>3067.6</v>
      </c>
    </row>
    <row r="2747">
      <c r="A2747" s="81" t="n">
        <v>42317</v>
      </c>
      <c r="D2747" t="n">
        <v>3077.4</v>
      </c>
    </row>
    <row r="2748">
      <c r="A2748" s="81" t="n">
        <v>42324</v>
      </c>
      <c r="D2748" t="n">
        <v>3072.7</v>
      </c>
    </row>
    <row r="2749">
      <c r="A2749" s="81" t="n">
        <v>42331</v>
      </c>
      <c r="D2749" t="n">
        <v>3095.2</v>
      </c>
    </row>
    <row r="2750">
      <c r="A2750" s="81" t="n">
        <v>42338</v>
      </c>
      <c r="D2750" t="n">
        <v>3084.4</v>
      </c>
    </row>
    <row r="2751">
      <c r="A2751" s="81" t="n">
        <v>42339</v>
      </c>
      <c r="B2751" t="n">
        <v>1302.3</v>
      </c>
      <c r="C2751" t="n">
        <v>5190.1</v>
      </c>
      <c r="E2751" t="n">
        <v>12340.1</v>
      </c>
    </row>
    <row r="2752">
      <c r="A2752" s="81" t="n">
        <v>42345</v>
      </c>
      <c r="D2752" t="n">
        <v>3038.9</v>
      </c>
    </row>
    <row r="2753">
      <c r="A2753" s="81" t="n">
        <v>42352</v>
      </c>
      <c r="D2753" t="n">
        <v>3083.8</v>
      </c>
    </row>
    <row r="2754">
      <c r="A2754" s="81" t="n">
        <v>42359</v>
      </c>
      <c r="D2754" t="n">
        <v>3116.8</v>
      </c>
    </row>
    <row r="2755">
      <c r="A2755" s="81" t="n">
        <v>42366</v>
      </c>
      <c r="D2755" t="n">
        <v>3099.9</v>
      </c>
    </row>
    <row r="2756">
      <c r="A2756" s="81" t="n">
        <v>42370</v>
      </c>
      <c r="B2756" t="n">
        <v>1304.4</v>
      </c>
      <c r="C2756" t="n">
        <v>5247.8</v>
      </c>
      <c r="E2756" t="n">
        <v>12471.4</v>
      </c>
    </row>
    <row r="2757">
      <c r="A2757" s="81" t="n">
        <v>42373</v>
      </c>
      <c r="D2757" t="n">
        <v>3177.3</v>
      </c>
    </row>
    <row r="2758">
      <c r="A2758" s="81" t="n">
        <v>42380</v>
      </c>
      <c r="D2758" t="n">
        <v>3090.4</v>
      </c>
    </row>
    <row r="2759">
      <c r="A2759" s="81" t="n">
        <v>42387</v>
      </c>
      <c r="D2759" t="n">
        <v>3079.7</v>
      </c>
    </row>
    <row r="2760">
      <c r="A2760" s="81" t="n">
        <v>42394</v>
      </c>
      <c r="D2760" t="n">
        <v>3093.3</v>
      </c>
    </row>
    <row r="2761">
      <c r="A2761" s="81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1" t="n">
        <v>42408</v>
      </c>
      <c r="D2762" t="n">
        <v>3084.2</v>
      </c>
    </row>
    <row r="2763">
      <c r="A2763" s="81" t="n">
        <v>42415</v>
      </c>
      <c r="D2763" t="n">
        <v>3138.4</v>
      </c>
    </row>
    <row r="2764">
      <c r="A2764" s="81" t="n">
        <v>42422</v>
      </c>
      <c r="D2764" t="n">
        <v>3134.3</v>
      </c>
    </row>
    <row r="2765">
      <c r="A2765" s="81" t="n">
        <v>42429</v>
      </c>
      <c r="D2765" t="n">
        <v>3165.8</v>
      </c>
    </row>
    <row r="2766">
      <c r="A2766" s="81" t="n">
        <v>42430</v>
      </c>
      <c r="B2766" t="n">
        <v>1326.1</v>
      </c>
      <c r="C2766" t="n">
        <v>5299.3</v>
      </c>
      <c r="E2766" t="n">
        <v>12616.6</v>
      </c>
    </row>
    <row r="2767">
      <c r="A2767" s="81" t="n">
        <v>42436</v>
      </c>
      <c r="D2767" t="n">
        <v>3107.5</v>
      </c>
    </row>
    <row r="2768">
      <c r="A2768" s="81" t="n">
        <v>42443</v>
      </c>
      <c r="D2768" t="n">
        <v>3134.2</v>
      </c>
    </row>
    <row r="2769">
      <c r="A2769" s="81" t="n">
        <v>42450</v>
      </c>
      <c r="D2769" t="n">
        <v>3174.5</v>
      </c>
    </row>
    <row r="2770">
      <c r="A2770" s="81" t="n">
        <v>42457</v>
      </c>
      <c r="D2770" t="n">
        <v>3181</v>
      </c>
    </row>
    <row r="2771">
      <c r="A2771" s="81" t="n">
        <v>42461</v>
      </c>
      <c r="B2771" t="n">
        <v>1338.6</v>
      </c>
      <c r="C2771" t="n">
        <v>5312.7</v>
      </c>
      <c r="E2771" t="n">
        <v>12697</v>
      </c>
    </row>
    <row r="2772">
      <c r="A2772" s="81" t="n">
        <v>42464</v>
      </c>
      <c r="D2772" t="n">
        <v>3180.7</v>
      </c>
    </row>
    <row r="2773">
      <c r="A2773" s="81" t="n">
        <v>42471</v>
      </c>
      <c r="D2773" t="n">
        <v>3198.4</v>
      </c>
    </row>
    <row r="2774">
      <c r="A2774" s="81" t="n">
        <v>42478</v>
      </c>
      <c r="D2774" t="n">
        <v>3182.4</v>
      </c>
    </row>
    <row r="2775">
      <c r="A2775" s="81" t="n">
        <v>42485</v>
      </c>
      <c r="D2775" t="n">
        <v>3203.5</v>
      </c>
    </row>
    <row r="2776">
      <c r="A2776" s="81" t="n">
        <v>42491</v>
      </c>
      <c r="B2776" t="n">
        <v>1351.4</v>
      </c>
      <c r="C2776" t="n">
        <v>5328</v>
      </c>
      <c r="E2776" t="n">
        <v>12763.7</v>
      </c>
    </row>
    <row r="2777">
      <c r="A2777" s="81" t="n">
        <v>42492</v>
      </c>
      <c r="D2777" t="n">
        <v>3242.5</v>
      </c>
    </row>
    <row r="2778">
      <c r="A2778" s="81" t="n">
        <v>42499</v>
      </c>
      <c r="D2778" t="n">
        <v>3255.3</v>
      </c>
    </row>
    <row r="2779">
      <c r="A2779" s="81" t="n">
        <v>42506</v>
      </c>
      <c r="D2779" t="n">
        <v>3236.6</v>
      </c>
    </row>
    <row r="2780">
      <c r="A2780" s="81" t="n">
        <v>42513</v>
      </c>
      <c r="D2780" t="n">
        <v>3248.8</v>
      </c>
    </row>
    <row r="2781">
      <c r="A2781" s="81" t="n">
        <v>42520</v>
      </c>
      <c r="D2781" t="n">
        <v>3218.7</v>
      </c>
    </row>
    <row r="2782">
      <c r="A2782" s="81" t="n">
        <v>42522</v>
      </c>
      <c r="B2782" t="n">
        <v>1350.5</v>
      </c>
      <c r="C2782" t="n">
        <v>5341.1</v>
      </c>
      <c r="E2782" t="n">
        <v>12830.6</v>
      </c>
    </row>
    <row r="2783">
      <c r="A2783" s="81" t="n">
        <v>42527</v>
      </c>
      <c r="D2783" t="n">
        <v>3207</v>
      </c>
    </row>
    <row r="2784">
      <c r="A2784" s="81" t="n">
        <v>42534</v>
      </c>
      <c r="D2784" t="n">
        <v>3256.1</v>
      </c>
    </row>
    <row r="2785">
      <c r="A2785" s="81" t="n">
        <v>42541</v>
      </c>
      <c r="D2785" t="n">
        <v>3270.2</v>
      </c>
    </row>
    <row r="2786">
      <c r="A2786" s="81" t="n">
        <v>42548</v>
      </c>
      <c r="D2786" t="n">
        <v>3247.8</v>
      </c>
    </row>
    <row r="2787">
      <c r="A2787" s="81" t="n">
        <v>42552</v>
      </c>
      <c r="B2787" t="n">
        <v>1350.5</v>
      </c>
      <c r="C2787" t="n">
        <v>5368.2</v>
      </c>
      <c r="E2787" t="n">
        <v>12889.1</v>
      </c>
    </row>
    <row r="2788">
      <c r="A2788" s="81" t="n">
        <v>42555</v>
      </c>
      <c r="D2788" t="n">
        <v>3251.2</v>
      </c>
    </row>
    <row r="2789">
      <c r="A2789" s="81" t="n">
        <v>42562</v>
      </c>
      <c r="D2789" t="n">
        <v>3260.8</v>
      </c>
    </row>
    <row r="2790">
      <c r="A2790" s="81" t="n">
        <v>42569</v>
      </c>
      <c r="D2790" t="n">
        <v>3243.4</v>
      </c>
    </row>
    <row r="2791">
      <c r="A2791" s="81" t="n">
        <v>42576</v>
      </c>
      <c r="D2791" t="n">
        <v>3253.9</v>
      </c>
    </row>
    <row r="2792">
      <c r="A2792" s="81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1" t="n">
        <v>42590</v>
      </c>
      <c r="D2793" t="n">
        <v>3299.2</v>
      </c>
    </row>
    <row r="2794">
      <c r="A2794" s="81" t="n">
        <v>42597</v>
      </c>
      <c r="D2794" t="n">
        <v>3323.6</v>
      </c>
    </row>
    <row r="2795">
      <c r="A2795" s="81" t="n">
        <v>42604</v>
      </c>
      <c r="D2795" t="n">
        <v>3344.1</v>
      </c>
    </row>
    <row r="2796">
      <c r="A2796" s="81" t="n">
        <v>42611</v>
      </c>
      <c r="D2796" t="n">
        <v>3323.7</v>
      </c>
    </row>
    <row r="2797">
      <c r="A2797" s="81" t="n">
        <v>42614</v>
      </c>
      <c r="B2797" t="n">
        <v>1377.7</v>
      </c>
      <c r="C2797" t="n">
        <v>5401.6</v>
      </c>
      <c r="E2797" t="n">
        <v>13027.4</v>
      </c>
    </row>
    <row r="2798">
      <c r="A2798" s="81" t="n">
        <v>42618</v>
      </c>
      <c r="D2798" t="n">
        <v>3288.9</v>
      </c>
    </row>
    <row r="2799">
      <c r="A2799" s="81" t="n">
        <v>42625</v>
      </c>
      <c r="D2799" t="n">
        <v>3333.2</v>
      </c>
    </row>
    <row r="2800">
      <c r="A2800" s="81" t="n">
        <v>42632</v>
      </c>
      <c r="D2800" t="n">
        <v>3324.8</v>
      </c>
    </row>
    <row r="2801">
      <c r="A2801" s="81" t="n">
        <v>42639</v>
      </c>
      <c r="D2801" t="n">
        <v>3322.3</v>
      </c>
    </row>
    <row r="2802">
      <c r="A2802" s="81" t="n">
        <v>42644</v>
      </c>
      <c r="B2802" t="n">
        <v>1377.6</v>
      </c>
      <c r="C2802" t="n">
        <v>5418.9</v>
      </c>
      <c r="E2802" t="n">
        <v>13099.7</v>
      </c>
    </row>
    <row r="2803">
      <c r="A2803" s="81" t="n">
        <v>42646</v>
      </c>
      <c r="D2803" t="n">
        <v>3374.5</v>
      </c>
    </row>
    <row r="2804">
      <c r="A2804" s="81" t="n">
        <v>42653</v>
      </c>
      <c r="D2804" t="n">
        <v>3362.5</v>
      </c>
    </row>
    <row r="2805">
      <c r="A2805" s="81" t="n">
        <v>42660</v>
      </c>
      <c r="D2805" t="n">
        <v>3309.1</v>
      </c>
    </row>
    <row r="2806">
      <c r="A2806" s="81" t="n">
        <v>42667</v>
      </c>
      <c r="D2806" t="n">
        <v>3318.6</v>
      </c>
    </row>
    <row r="2807">
      <c r="A2807" s="81" t="n">
        <v>42674</v>
      </c>
      <c r="D2807" t="n">
        <v>3328.7</v>
      </c>
    </row>
    <row r="2808">
      <c r="A2808" s="81" t="n">
        <v>42675</v>
      </c>
      <c r="B2808" t="n">
        <v>1386.1</v>
      </c>
      <c r="C2808" t="n">
        <v>5443.3</v>
      </c>
      <c r="E2808" t="n">
        <v>13174.1</v>
      </c>
    </row>
    <row r="2809">
      <c r="A2809" s="81" t="n">
        <v>42681</v>
      </c>
      <c r="D2809" t="n">
        <v>3305.2</v>
      </c>
    </row>
    <row r="2810">
      <c r="A2810" s="81" t="n">
        <v>42688</v>
      </c>
      <c r="D2810" t="n">
        <v>3368</v>
      </c>
    </row>
    <row r="2811">
      <c r="A2811" s="81" t="n">
        <v>42695</v>
      </c>
      <c r="D2811" t="n">
        <v>3385.6</v>
      </c>
    </row>
    <row r="2812">
      <c r="A2812" s="81" t="n">
        <v>42702</v>
      </c>
      <c r="D2812" t="n">
        <v>3360.5</v>
      </c>
    </row>
    <row r="2813">
      <c r="A2813" s="81" t="n">
        <v>42705</v>
      </c>
      <c r="B2813" t="n">
        <v>1378.8</v>
      </c>
      <c r="C2813" t="n">
        <v>5446.1</v>
      </c>
      <c r="E2813" t="n">
        <v>13214.2</v>
      </c>
    </row>
    <row r="2814">
      <c r="A2814" s="81" t="n">
        <v>42709</v>
      </c>
      <c r="D2814" t="n">
        <v>3324.3</v>
      </c>
    </row>
    <row r="2815">
      <c r="A2815" s="81" t="n">
        <v>42716</v>
      </c>
      <c r="D2815" t="n">
        <v>3347.2</v>
      </c>
    </row>
    <row r="2816">
      <c r="A2816" s="81" t="n">
        <v>42723</v>
      </c>
      <c r="D2816" t="n">
        <v>3328.7</v>
      </c>
    </row>
    <row r="2817">
      <c r="A2817" s="81" t="n">
        <v>42730</v>
      </c>
      <c r="D2817" t="n">
        <v>3345.9</v>
      </c>
    </row>
    <row r="2818">
      <c r="A2818" s="81" t="n">
        <v>42736</v>
      </c>
      <c r="B2818" t="n">
        <v>1394.9</v>
      </c>
      <c r="C2818" t="n">
        <v>5454.7</v>
      </c>
      <c r="E2818" t="n">
        <v>13288.7</v>
      </c>
    </row>
    <row r="2819">
      <c r="A2819" s="81" t="n">
        <v>42737</v>
      </c>
      <c r="D2819" t="n">
        <v>3351.8</v>
      </c>
    </row>
    <row r="2820">
      <c r="A2820" s="81" t="n">
        <v>42744</v>
      </c>
      <c r="D2820" t="n">
        <v>3383.8</v>
      </c>
    </row>
    <row r="2821">
      <c r="A2821" s="81" t="n">
        <v>42751</v>
      </c>
      <c r="D2821" t="n">
        <v>3388.8</v>
      </c>
    </row>
    <row r="2822">
      <c r="A2822" s="81" t="n">
        <v>42758</v>
      </c>
      <c r="D2822" t="n">
        <v>3394.6</v>
      </c>
    </row>
    <row r="2823">
      <c r="A2823" s="81" t="n">
        <v>42765</v>
      </c>
      <c r="D2823" t="n">
        <v>3399.7</v>
      </c>
    </row>
    <row r="2824">
      <c r="A2824" s="81" t="n">
        <v>42767</v>
      </c>
      <c r="B2824" t="n">
        <v>1398.8</v>
      </c>
      <c r="C2824" t="n">
        <v>5478</v>
      </c>
      <c r="E2824" t="n">
        <v>13359.2</v>
      </c>
    </row>
    <row r="2825">
      <c r="A2825" s="81" t="n">
        <v>42772</v>
      </c>
      <c r="D2825" t="n">
        <v>3364.4</v>
      </c>
    </row>
    <row r="2826">
      <c r="A2826" s="81" t="n">
        <v>42779</v>
      </c>
      <c r="D2826" t="n">
        <v>3394.4</v>
      </c>
    </row>
    <row r="2827">
      <c r="A2827" s="81" t="n">
        <v>42786</v>
      </c>
      <c r="D2827" t="n">
        <v>3426.8</v>
      </c>
    </row>
    <row r="2828">
      <c r="A2828" s="81" t="n">
        <v>42793</v>
      </c>
      <c r="D2828" t="n">
        <v>3420.9</v>
      </c>
    </row>
    <row r="2829">
      <c r="A2829" s="81" t="n">
        <v>42795</v>
      </c>
      <c r="B2829" t="n">
        <v>1417.8</v>
      </c>
      <c r="C2829" t="n">
        <v>5508.8</v>
      </c>
      <c r="E2829" t="n">
        <v>13428.6</v>
      </c>
    </row>
    <row r="2830">
      <c r="A2830" s="81" t="n">
        <v>42800</v>
      </c>
      <c r="D2830" t="n">
        <v>3394.1</v>
      </c>
    </row>
    <row r="2831">
      <c r="A2831" s="81" t="n">
        <v>42807</v>
      </c>
      <c r="D2831" t="n">
        <v>3446.1</v>
      </c>
    </row>
    <row r="2832">
      <c r="A2832" s="81" t="n">
        <v>42814</v>
      </c>
      <c r="D2832" t="n">
        <v>3458.6</v>
      </c>
    </row>
    <row r="2833">
      <c r="A2833" s="81" t="n">
        <v>42821</v>
      </c>
      <c r="D2833" t="n">
        <v>3445.8</v>
      </c>
    </row>
    <row r="2834">
      <c r="A2834" s="81" t="n">
        <v>42826</v>
      </c>
      <c r="B2834" t="n">
        <v>1412.4</v>
      </c>
      <c r="C2834" t="n">
        <v>5521.1</v>
      </c>
      <c r="E2834" t="n">
        <v>13486.6</v>
      </c>
    </row>
    <row r="2835">
      <c r="A2835" s="81" t="n">
        <v>42828</v>
      </c>
      <c r="D2835" t="n">
        <v>3518.4</v>
      </c>
    </row>
    <row r="2836">
      <c r="A2836" s="81" t="n">
        <v>42835</v>
      </c>
      <c r="D2836" t="n">
        <v>3457</v>
      </c>
    </row>
    <row r="2837">
      <c r="A2837" s="81" t="n">
        <v>42842</v>
      </c>
      <c r="D2837" t="n">
        <v>3441.1</v>
      </c>
    </row>
    <row r="2838">
      <c r="A2838" s="81" t="n">
        <v>42849</v>
      </c>
      <c r="D2838" t="n">
        <v>3446.2</v>
      </c>
    </row>
    <row r="2839">
      <c r="A2839" s="81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1" t="n">
        <v>42863</v>
      </c>
      <c r="D2840" t="n">
        <v>3502.8</v>
      </c>
    </row>
    <row r="2841">
      <c r="A2841" s="81" t="n">
        <v>42870</v>
      </c>
      <c r="D2841" t="n">
        <v>3526.1</v>
      </c>
    </row>
    <row r="2842">
      <c r="A2842" s="81" t="n">
        <v>42877</v>
      </c>
      <c r="D2842" t="n">
        <v>3538.9</v>
      </c>
    </row>
    <row r="2843">
      <c r="A2843" s="81" t="n">
        <v>42884</v>
      </c>
      <c r="D2843" t="n">
        <v>3525.2</v>
      </c>
    </row>
    <row r="2844">
      <c r="A2844" s="81" t="n">
        <v>42887</v>
      </c>
      <c r="B2844" t="n">
        <v>1441.7</v>
      </c>
      <c r="C2844" t="n">
        <v>5554.3</v>
      </c>
      <c r="E2844" t="n">
        <v>13564.7</v>
      </c>
    </row>
    <row r="2845">
      <c r="A2845" s="81" t="n">
        <v>42891</v>
      </c>
      <c r="D2845" t="n">
        <v>3489.2</v>
      </c>
    </row>
    <row r="2846">
      <c r="A2846" s="81" t="n">
        <v>42898</v>
      </c>
      <c r="D2846" t="n">
        <v>3514.5</v>
      </c>
    </row>
    <row r="2847">
      <c r="A2847" s="81" t="n">
        <v>42905</v>
      </c>
      <c r="D2847" t="n">
        <v>3512.4</v>
      </c>
    </row>
    <row r="2848">
      <c r="A2848" s="81" t="n">
        <v>42912</v>
      </c>
      <c r="D2848" t="n">
        <v>3553</v>
      </c>
    </row>
    <row r="2849">
      <c r="A2849" s="81" t="n">
        <v>42917</v>
      </c>
      <c r="B2849" t="n">
        <v>1449.9</v>
      </c>
      <c r="C2849" t="n">
        <v>5576.3</v>
      </c>
      <c r="E2849" t="n">
        <v>13621.8</v>
      </c>
    </row>
    <row r="2850">
      <c r="A2850" s="81" t="n">
        <v>42919</v>
      </c>
      <c r="D2850" t="n">
        <v>3580.7</v>
      </c>
    </row>
    <row r="2851">
      <c r="A2851" s="81" t="n">
        <v>42926</v>
      </c>
      <c r="D2851" t="n">
        <v>3552.4</v>
      </c>
    </row>
    <row r="2852">
      <c r="A2852" s="81" t="n">
        <v>42933</v>
      </c>
      <c r="D2852" t="n">
        <v>3519.5</v>
      </c>
    </row>
    <row r="2853">
      <c r="A2853" s="81" t="n">
        <v>42940</v>
      </c>
      <c r="D2853" t="n">
        <v>3553.4</v>
      </c>
    </row>
    <row r="2854">
      <c r="A2854" s="81" t="n">
        <v>42947</v>
      </c>
      <c r="D2854" t="n">
        <v>3567.4</v>
      </c>
    </row>
    <row r="2855">
      <c r="A2855" s="81" t="n">
        <v>42948</v>
      </c>
      <c r="B2855" t="n">
        <v>1460.1</v>
      </c>
      <c r="C2855" t="n">
        <v>5575.5</v>
      </c>
      <c r="E2855" t="n">
        <v>13671.4</v>
      </c>
    </row>
    <row r="2856">
      <c r="A2856" s="81" t="n">
        <v>42954</v>
      </c>
      <c r="D2856" t="n">
        <v>3540.5</v>
      </c>
    </row>
    <row r="2857">
      <c r="A2857" s="81" t="n">
        <v>42961</v>
      </c>
      <c r="D2857" t="n">
        <v>3582.6</v>
      </c>
    </row>
    <row r="2858">
      <c r="A2858" s="81" t="n">
        <v>42968</v>
      </c>
      <c r="D2858" t="n">
        <v>3635.1</v>
      </c>
    </row>
    <row r="2859">
      <c r="A2859" s="81" t="n">
        <v>42975</v>
      </c>
      <c r="D2859" t="n">
        <v>3597.7</v>
      </c>
    </row>
    <row r="2860">
      <c r="A2860" s="81" t="n">
        <v>42979</v>
      </c>
      <c r="B2860" t="n">
        <v>1445.3</v>
      </c>
      <c r="C2860" t="n">
        <v>5562.5</v>
      </c>
      <c r="E2860" t="n">
        <v>13714.4</v>
      </c>
    </row>
    <row r="2861">
      <c r="A2861" s="81" t="n">
        <v>42982</v>
      </c>
      <c r="D2861" t="n">
        <v>3550.7</v>
      </c>
    </row>
    <row r="2862">
      <c r="A2862" s="81" t="n">
        <v>42989</v>
      </c>
      <c r="D2862" t="n">
        <v>3588.1</v>
      </c>
    </row>
    <row r="2863">
      <c r="A2863" s="81" t="n">
        <v>42996</v>
      </c>
      <c r="D2863" t="n">
        <v>3574.8</v>
      </c>
    </row>
    <row r="2864">
      <c r="A2864" s="81" t="n">
        <v>43003</v>
      </c>
      <c r="D2864" t="n">
        <v>3568.4</v>
      </c>
    </row>
    <row r="2865">
      <c r="A2865" s="81" t="n">
        <v>43009</v>
      </c>
      <c r="B2865" t="n">
        <v>1460</v>
      </c>
      <c r="C2865" t="n">
        <v>5581.7</v>
      </c>
      <c r="E2865" t="n">
        <v>13767.6</v>
      </c>
    </row>
    <row r="2866">
      <c r="A2866" s="81" t="n">
        <v>43010</v>
      </c>
      <c r="D2866" t="n">
        <v>3581.7</v>
      </c>
    </row>
    <row r="2867">
      <c r="A2867" s="81" t="n">
        <v>43017</v>
      </c>
      <c r="D2867" t="n">
        <v>3618.2</v>
      </c>
    </row>
    <row r="2868">
      <c r="A2868" s="81" t="n">
        <v>43024</v>
      </c>
      <c r="D2868" t="n">
        <v>3593.9</v>
      </c>
    </row>
    <row r="2869">
      <c r="A2869" s="81" t="n">
        <v>43031</v>
      </c>
      <c r="D2869" t="n">
        <v>3612.7</v>
      </c>
    </row>
    <row r="2870">
      <c r="A2870" s="81" t="n">
        <v>43038</v>
      </c>
      <c r="D2870" t="n">
        <v>3598.9</v>
      </c>
    </row>
    <row r="2871">
      <c r="A2871" s="81" t="n">
        <v>43040</v>
      </c>
      <c r="B2871" t="n">
        <v>1468.2</v>
      </c>
      <c r="C2871" t="n">
        <v>5579.5</v>
      </c>
      <c r="E2871" t="n">
        <v>13802.4</v>
      </c>
    </row>
    <row r="2872">
      <c r="A2872" s="81" t="n">
        <v>43045</v>
      </c>
      <c r="D2872" t="n">
        <v>3591.9</v>
      </c>
    </row>
    <row r="2873">
      <c r="A2873" s="81" t="n">
        <v>43052</v>
      </c>
      <c r="D2873" t="n">
        <v>3631.3</v>
      </c>
    </row>
    <row r="2874">
      <c r="A2874" s="81" t="n">
        <v>43059</v>
      </c>
      <c r="D2874" t="n">
        <v>3644.9</v>
      </c>
    </row>
    <row r="2875">
      <c r="A2875" s="81" t="n">
        <v>43066</v>
      </c>
      <c r="D2875" t="n">
        <v>3641.9</v>
      </c>
    </row>
    <row r="2876">
      <c r="A2876" s="81" t="n">
        <v>43070</v>
      </c>
      <c r="B2876" t="n">
        <v>1460.8</v>
      </c>
      <c r="C2876" t="n">
        <v>5592.6</v>
      </c>
      <c r="E2876" t="n">
        <v>13854.8</v>
      </c>
    </row>
    <row r="2877">
      <c r="A2877" s="81" t="n">
        <v>43073</v>
      </c>
      <c r="D2877" t="n">
        <v>3619.2</v>
      </c>
    </row>
    <row r="2878">
      <c r="A2878" s="81" t="n">
        <v>43080</v>
      </c>
      <c r="D2878" t="n">
        <v>3632.1</v>
      </c>
    </row>
    <row r="2879">
      <c r="A2879" s="81" t="n">
        <v>43087</v>
      </c>
      <c r="D2879" t="n">
        <v>3608.5</v>
      </c>
    </row>
    <row r="2880">
      <c r="A2880" s="81" t="n">
        <v>43094</v>
      </c>
      <c r="D2880" t="n">
        <v>3595.6</v>
      </c>
    </row>
    <row r="2881">
      <c r="A2881" s="81" t="n">
        <v>43101</v>
      </c>
      <c r="B2881" t="n">
        <v>1474.9</v>
      </c>
      <c r="C2881" t="n">
        <v>5577.3</v>
      </c>
      <c r="D2881" t="n">
        <v>3581</v>
      </c>
      <c r="E2881" t="n">
        <v>13872</v>
      </c>
    </row>
    <row r="2882">
      <c r="A2882" s="81" t="n">
        <v>43108</v>
      </c>
      <c r="D2882" t="n">
        <v>3642.4</v>
      </c>
    </row>
    <row r="2883">
      <c r="A2883" s="81" t="n">
        <v>43115</v>
      </c>
      <c r="D2883" t="n">
        <v>3670.9</v>
      </c>
    </row>
    <row r="2884">
      <c r="A2884" s="81" t="n">
        <v>43122</v>
      </c>
      <c r="D2884" t="n">
        <v>3663.2</v>
      </c>
    </row>
    <row r="2885">
      <c r="A2885" s="81" t="n">
        <v>43129</v>
      </c>
      <c r="D2885" t="n">
        <v>3636.7</v>
      </c>
    </row>
    <row r="2886">
      <c r="A2886" s="81" t="n">
        <v>43132</v>
      </c>
      <c r="B2886" t="n">
        <v>1457.6</v>
      </c>
      <c r="C2886" t="n">
        <v>5581.5</v>
      </c>
      <c r="E2886" t="n">
        <v>13914.6</v>
      </c>
    </row>
    <row r="2887">
      <c r="A2887" s="81" t="n">
        <v>43136</v>
      </c>
      <c r="D2887" t="n">
        <v>3623</v>
      </c>
    </row>
    <row r="2888">
      <c r="A2888" s="81" t="n">
        <v>43143</v>
      </c>
      <c r="D2888" t="n">
        <v>3607.8</v>
      </c>
    </row>
    <row r="2889">
      <c r="A2889" s="81" t="n">
        <v>43150</v>
      </c>
      <c r="D2889" t="n">
        <v>3612.1</v>
      </c>
    </row>
    <row r="2890">
      <c r="A2890" s="81" t="n">
        <v>43157</v>
      </c>
      <c r="D2890" t="n">
        <v>3624.5</v>
      </c>
    </row>
    <row r="2891">
      <c r="A2891" s="81" t="n">
        <v>43160</v>
      </c>
      <c r="B2891" t="n">
        <v>1471.8</v>
      </c>
      <c r="C2891" t="n">
        <v>5599.3</v>
      </c>
      <c r="E2891" t="n">
        <v>13971.2</v>
      </c>
    </row>
    <row r="2892">
      <c r="A2892" s="81" t="n">
        <v>43164</v>
      </c>
      <c r="D2892" t="n">
        <v>3655.4</v>
      </c>
    </row>
    <row r="2893">
      <c r="A2893" s="81" t="n">
        <v>43171</v>
      </c>
      <c r="D2893" t="n">
        <v>3671</v>
      </c>
    </row>
    <row r="2894">
      <c r="A2894" s="81" t="n">
        <v>43178</v>
      </c>
      <c r="D2894" t="n">
        <v>3660.8</v>
      </c>
    </row>
    <row r="2895">
      <c r="A2895" s="81" t="n">
        <v>43185</v>
      </c>
      <c r="D2895" t="n">
        <v>3657.9</v>
      </c>
    </row>
    <row r="2896">
      <c r="A2896" s="81" t="n">
        <v>43191</v>
      </c>
      <c r="B2896" t="n">
        <v>1459.8</v>
      </c>
      <c r="C2896" t="n">
        <v>5594.4</v>
      </c>
      <c r="E2896" t="n">
        <v>14001.3</v>
      </c>
    </row>
    <row r="2897">
      <c r="A2897" s="81" t="n">
        <v>43192</v>
      </c>
      <c r="D2897" t="n">
        <v>3659.3</v>
      </c>
    </row>
    <row r="2898">
      <c r="A2898" s="81" t="n">
        <v>43199</v>
      </c>
      <c r="D2898" t="n">
        <v>3661.2</v>
      </c>
    </row>
    <row r="2899">
      <c r="A2899" s="81" t="n">
        <v>43206</v>
      </c>
      <c r="D2899" t="n">
        <v>3647.4</v>
      </c>
    </row>
    <row r="2900">
      <c r="A2900" s="81" t="n">
        <v>43213</v>
      </c>
      <c r="D2900" t="n">
        <v>3670.1</v>
      </c>
    </row>
    <row r="2901">
      <c r="A2901" s="81" t="n">
        <v>43220</v>
      </c>
      <c r="D2901" t="n">
        <v>3669.8</v>
      </c>
    </row>
    <row r="2902">
      <c r="A2902" s="81" t="n">
        <v>43221</v>
      </c>
      <c r="B2902" t="n">
        <v>1453.9</v>
      </c>
      <c r="C2902" t="n">
        <v>5608.8</v>
      </c>
      <c r="E2902" t="n">
        <v>14066</v>
      </c>
    </row>
    <row r="2903">
      <c r="A2903" s="81" t="n">
        <v>43227</v>
      </c>
      <c r="D2903" t="n">
        <v>3637.4</v>
      </c>
    </row>
    <row r="2904">
      <c r="A2904" s="81" t="n">
        <v>43234</v>
      </c>
      <c r="D2904" t="n">
        <v>3655.5</v>
      </c>
    </row>
    <row r="2905">
      <c r="A2905" s="81" t="n">
        <v>43241</v>
      </c>
      <c r="D2905" t="n">
        <v>3667</v>
      </c>
    </row>
    <row r="2906">
      <c r="A2906" s="81" t="n">
        <v>43248</v>
      </c>
      <c r="D2906" t="n">
        <v>3664.5</v>
      </c>
    </row>
    <row r="2907">
      <c r="A2907" s="81" t="n">
        <v>43252</v>
      </c>
      <c r="B2907" t="n">
        <v>1451.2</v>
      </c>
      <c r="C2907" t="n">
        <v>5624.4</v>
      </c>
      <c r="E2907" t="n">
        <v>14125.8</v>
      </c>
    </row>
    <row r="2908">
      <c r="A2908" s="81" t="n">
        <v>43255</v>
      </c>
      <c r="D2908" t="n">
        <v>3672.4</v>
      </c>
    </row>
    <row r="2909">
      <c r="A2909" s="81" t="n">
        <v>43262</v>
      </c>
      <c r="D2909" t="n">
        <v>3654.9</v>
      </c>
    </row>
    <row r="2910">
      <c r="A2910" s="81" t="n">
        <v>43269</v>
      </c>
      <c r="D2910" t="n">
        <v>3651.4</v>
      </c>
    </row>
    <row r="2911">
      <c r="A2911" s="81" t="n">
        <v>43276</v>
      </c>
      <c r="D2911" t="n">
        <v>3655.5</v>
      </c>
    </row>
    <row r="2912">
      <c r="A2912" s="81" t="n">
        <v>43282</v>
      </c>
      <c r="B2912" t="n">
        <v>1459.8</v>
      </c>
      <c r="C2912" t="n">
        <v>5631.8</v>
      </c>
      <c r="E2912" t="n">
        <v>14155.2</v>
      </c>
    </row>
    <row r="2913">
      <c r="A2913" s="81" t="n">
        <v>43283</v>
      </c>
      <c r="D2913" t="n">
        <v>3673.4</v>
      </c>
    </row>
    <row r="2914">
      <c r="A2914" s="81" t="n">
        <v>43290</v>
      </c>
      <c r="D2914" t="n">
        <v>3682.4</v>
      </c>
    </row>
    <row r="2915">
      <c r="A2915" s="81" t="n">
        <v>43297</v>
      </c>
      <c r="D2915" t="n">
        <v>3681.8</v>
      </c>
    </row>
    <row r="2916">
      <c r="A2916" s="81" t="n">
        <v>43304</v>
      </c>
      <c r="D2916" t="n">
        <v>3678</v>
      </c>
    </row>
    <row r="2917">
      <c r="A2917" s="81" t="n">
        <v>43311</v>
      </c>
      <c r="D2917" t="n">
        <v>3682.2</v>
      </c>
    </row>
    <row r="2918">
      <c r="A2918" s="81" t="n">
        <v>43313</v>
      </c>
      <c r="B2918" t="n">
        <v>1462.9</v>
      </c>
      <c r="C2918" t="n">
        <v>5639.9</v>
      </c>
      <c r="E2918" t="n">
        <v>14197.7</v>
      </c>
    </row>
    <row r="2919">
      <c r="A2919" s="81" t="n">
        <v>43318</v>
      </c>
      <c r="D2919" t="n">
        <v>3661.7</v>
      </c>
    </row>
    <row r="2920">
      <c r="A2920" s="81" t="n">
        <v>43325</v>
      </c>
      <c r="D2920" t="n">
        <v>3677.3</v>
      </c>
    </row>
    <row r="2921">
      <c r="A2921" s="81" t="n">
        <v>43332</v>
      </c>
      <c r="D2921" t="n">
        <v>3676.3</v>
      </c>
    </row>
    <row r="2922">
      <c r="A2922" s="81" t="n">
        <v>43339</v>
      </c>
      <c r="D2922" t="n">
        <v>3695.5</v>
      </c>
    </row>
    <row r="2923">
      <c r="A2923" s="81" t="n">
        <v>43344</v>
      </c>
      <c r="B2923" t="n">
        <v>1464.1</v>
      </c>
      <c r="C2923" t="n">
        <v>5642.1</v>
      </c>
      <c r="E2923" t="n">
        <v>14228.4</v>
      </c>
    </row>
    <row r="2924">
      <c r="A2924" s="81" t="n">
        <v>43346</v>
      </c>
      <c r="D2924" t="n">
        <v>3779.9</v>
      </c>
    </row>
    <row r="2925">
      <c r="A2925" s="81" t="n">
        <v>43353</v>
      </c>
      <c r="D2925" t="n">
        <v>3710.4</v>
      </c>
    </row>
    <row r="2926">
      <c r="A2926" s="81" t="n">
        <v>43360</v>
      </c>
      <c r="D2926" t="n">
        <v>3692</v>
      </c>
    </row>
    <row r="2927">
      <c r="A2927" s="81" t="n">
        <v>43367</v>
      </c>
      <c r="D2927" t="n">
        <v>3705</v>
      </c>
    </row>
    <row r="2928">
      <c r="A2928" s="81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</row>
    <row r="2929">
      <c r="A2929" s="81" t="n">
        <v>43381</v>
      </c>
      <c r="D2929" t="n">
        <v>3708.8</v>
      </c>
    </row>
    <row r="2930">
      <c r="A2930" s="81" t="n">
        <v>43388</v>
      </c>
      <c r="D2930" t="n">
        <v>3723.8</v>
      </c>
    </row>
    <row r="2931">
      <c r="A2931" s="81" t="n">
        <v>43395</v>
      </c>
      <c r="D2931" t="n">
        <v>3744.8</v>
      </c>
    </row>
    <row r="2932">
      <c r="A2932" s="81" t="n">
        <v>43402</v>
      </c>
      <c r="D2932" t="n">
        <v>3729.5</v>
      </c>
    </row>
    <row r="2933">
      <c r="A2933" s="81" t="n">
        <v>43405</v>
      </c>
      <c r="B2933" t="n">
        <v>1466.8</v>
      </c>
      <c r="C2933" t="n">
        <v>5638.3</v>
      </c>
      <c r="E2933" t="n">
        <v>14254.9</v>
      </c>
    </row>
    <row r="2934">
      <c r="A2934" s="81" t="n">
        <v>43409</v>
      </c>
      <c r="D2934" t="n">
        <v>3689.9</v>
      </c>
    </row>
    <row r="2935">
      <c r="A2935" s="81" t="n">
        <v>43416</v>
      </c>
      <c r="D2935" t="n">
        <v>3687.6</v>
      </c>
    </row>
    <row r="2936">
      <c r="A2936" s="81" t="n">
        <v>43423</v>
      </c>
      <c r="D2936" t="n">
        <v>3688.5</v>
      </c>
    </row>
    <row r="2937">
      <c r="A2937" s="81" t="n">
        <v>43430</v>
      </c>
      <c r="D2937" t="n">
        <v>3692.9</v>
      </c>
    </row>
    <row r="2938">
      <c r="A2938" s="81" t="n">
        <v>43435</v>
      </c>
      <c r="B2938" t="n">
        <v>1493.6</v>
      </c>
      <c r="C2938" t="n">
        <v>5692.8</v>
      </c>
      <c r="E2938" t="n">
        <v>14373.9</v>
      </c>
    </row>
    <row r="2939">
      <c r="A2939" s="81" t="n">
        <v>43437</v>
      </c>
      <c r="D2939" t="n">
        <v>3780.7</v>
      </c>
    </row>
    <row r="2940">
      <c r="A2940" s="81" t="n">
        <v>43444</v>
      </c>
      <c r="D2940" t="n">
        <v>3770.2</v>
      </c>
    </row>
    <row r="2941">
      <c r="A2941" s="81" t="n">
        <v>43451</v>
      </c>
      <c r="D2941" t="n">
        <v>3713.2</v>
      </c>
    </row>
    <row r="2942">
      <c r="A2942" s="81" t="n">
        <v>43458</v>
      </c>
      <c r="D2942" t="n">
        <v>3761</v>
      </c>
    </row>
    <row r="2943">
      <c r="A2943" s="81" t="n">
        <v>43465</v>
      </c>
      <c r="D2943" t="n">
        <v>3744.8</v>
      </c>
    </row>
    <row r="2944">
      <c r="A2944" s="81" t="n">
        <v>43466</v>
      </c>
      <c r="B2944" t="n">
        <v>1494.6</v>
      </c>
      <c r="C2944" t="n">
        <v>5721.5</v>
      </c>
      <c r="E2944" t="n">
        <v>14443.3</v>
      </c>
    </row>
    <row r="2945">
      <c r="A2945" s="81" t="n">
        <v>43472</v>
      </c>
      <c r="D2945" t="n">
        <v>3722.2</v>
      </c>
    </row>
    <row r="2946">
      <c r="A2946" s="81" t="n">
        <v>43479</v>
      </c>
      <c r="D2946" t="n">
        <v>3720.3</v>
      </c>
    </row>
    <row r="2947">
      <c r="A2947" s="81" t="n">
        <v>43486</v>
      </c>
      <c r="D2947" t="n">
        <v>3757.1</v>
      </c>
    </row>
    <row r="2948">
      <c r="A2948" s="81" t="n">
        <v>43493</v>
      </c>
      <c r="D2948" t="n">
        <v>3753.4</v>
      </c>
    </row>
    <row r="2949">
      <c r="A2949" s="81" t="n">
        <v>43497</v>
      </c>
      <c r="B2949" t="n">
        <v>1495.6</v>
      </c>
      <c r="C2949" t="n">
        <v>5726.5</v>
      </c>
      <c r="E2949" t="n">
        <v>14486.2</v>
      </c>
    </row>
    <row r="2950">
      <c r="A2950" s="81" t="n">
        <v>43500</v>
      </c>
      <c r="D2950" t="n">
        <v>3792.3</v>
      </c>
    </row>
    <row r="2951">
      <c r="A2951" s="81" t="n">
        <v>43507</v>
      </c>
      <c r="D2951" t="n">
        <v>3768.8</v>
      </c>
    </row>
    <row r="2952">
      <c r="A2952" s="81" t="n">
        <v>43514</v>
      </c>
      <c r="D2952" t="n">
        <v>3757.9</v>
      </c>
    </row>
    <row r="2953">
      <c r="A2953" s="81" t="n">
        <v>43521</v>
      </c>
      <c r="D2953" t="n">
        <v>3743</v>
      </c>
    </row>
    <row r="2954">
      <c r="A2954" s="81" t="n">
        <v>43525</v>
      </c>
      <c r="B2954" t="n">
        <v>1474.1</v>
      </c>
      <c r="C2954" t="n">
        <v>5718.5</v>
      </c>
      <c r="E2954" t="n">
        <v>14533.5</v>
      </c>
    </row>
    <row r="2955">
      <c r="A2955" s="81" t="n">
        <v>43528</v>
      </c>
      <c r="D2955" t="n">
        <v>3766.8</v>
      </c>
    </row>
    <row r="2956">
      <c r="A2956" s="81" t="n">
        <v>43535</v>
      </c>
      <c r="D2956" t="n">
        <v>3736.9</v>
      </c>
    </row>
    <row r="2957">
      <c r="A2957" s="81" t="n">
        <v>43542</v>
      </c>
      <c r="D2957" t="n">
        <v>3716.7</v>
      </c>
    </row>
    <row r="2958">
      <c r="A2958" s="81" t="n">
        <v>43549</v>
      </c>
      <c r="D2958" t="n">
        <v>3728.3</v>
      </c>
    </row>
    <row r="2959">
      <c r="A2959" s="81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</row>
    <row r="2960">
      <c r="A2960" s="81" t="n">
        <v>43563</v>
      </c>
      <c r="D2960" t="n">
        <v>3746.4</v>
      </c>
    </row>
    <row r="2961">
      <c r="A2961" s="81" t="n">
        <v>43570</v>
      </c>
      <c r="D2961" t="n">
        <v>3796.6</v>
      </c>
    </row>
    <row r="2962">
      <c r="A2962" s="81" t="n">
        <v>43577</v>
      </c>
      <c r="D2962" t="n">
        <v>3789.8</v>
      </c>
    </row>
    <row r="2963">
      <c r="A2963" s="81" t="n">
        <v>43584</v>
      </c>
      <c r="D2963" t="n">
        <v>3813.3</v>
      </c>
    </row>
    <row r="2964">
      <c r="A2964" s="81" t="n">
        <v>43586</v>
      </c>
      <c r="B2964" t="n">
        <v>1478.4</v>
      </c>
      <c r="C2964" t="n">
        <v>5744</v>
      </c>
      <c r="E2964" t="n">
        <v>14668.4</v>
      </c>
    </row>
    <row r="2965">
      <c r="A2965" s="81" t="n">
        <v>43591</v>
      </c>
      <c r="D2965" t="n">
        <v>3765.5</v>
      </c>
    </row>
    <row r="2966">
      <c r="A2966" s="81" t="n">
        <v>43598</v>
      </c>
      <c r="D2966" t="n">
        <v>3772.7</v>
      </c>
    </row>
    <row r="2967">
      <c r="A2967" s="81" t="n">
        <v>43605</v>
      </c>
      <c r="D2967" t="n">
        <v>3781.9</v>
      </c>
    </row>
    <row r="2968">
      <c r="A2968" s="81" t="n">
        <v>43612</v>
      </c>
      <c r="D2968" t="n">
        <v>3810</v>
      </c>
    </row>
    <row r="2969">
      <c r="A2969" s="81" t="n">
        <v>43617</v>
      </c>
      <c r="B2969" t="n">
        <v>1493</v>
      </c>
      <c r="C2969" t="n">
        <v>5789.2</v>
      </c>
      <c r="E2969" t="n">
        <v>14787</v>
      </c>
    </row>
    <row r="2970">
      <c r="A2970" s="81" t="n">
        <v>43619</v>
      </c>
      <c r="D2970" t="n">
        <v>3876.1</v>
      </c>
    </row>
    <row r="2971">
      <c r="A2971" s="81" t="n">
        <v>43626</v>
      </c>
      <c r="D2971" t="n">
        <v>3839.6</v>
      </c>
    </row>
    <row r="2972">
      <c r="A2972" s="81" t="n">
        <v>43633</v>
      </c>
      <c r="D2972" t="n">
        <v>3832.6</v>
      </c>
    </row>
    <row r="2973">
      <c r="A2973" s="81" t="n">
        <v>43640</v>
      </c>
      <c r="D2973" t="n">
        <v>3829.8</v>
      </c>
    </row>
    <row r="2974">
      <c r="A2974" s="81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</row>
    <row r="2975">
      <c r="A2975" s="81" t="n">
        <v>43654</v>
      </c>
      <c r="D2975" t="n">
        <v>3837.4</v>
      </c>
    </row>
    <row r="2976">
      <c r="A2976" s="81" t="n">
        <v>43661</v>
      </c>
      <c r="D2976" t="n">
        <v>3856.5</v>
      </c>
    </row>
    <row r="2977">
      <c r="A2977" s="81" t="n">
        <v>43668</v>
      </c>
      <c r="D2977" t="n">
        <v>3875.4</v>
      </c>
    </row>
    <row r="2978">
      <c r="A2978" s="81" t="n">
        <v>43675</v>
      </c>
      <c r="D2978" t="n">
        <v>3872.8</v>
      </c>
    </row>
    <row r="2979">
      <c r="A2979" s="81" t="n">
        <v>43678</v>
      </c>
      <c r="B2979" t="n">
        <v>1500.9</v>
      </c>
      <c r="C2979" t="n">
        <v>5831.4</v>
      </c>
      <c r="E2979" t="n">
        <v>14935.2</v>
      </c>
    </row>
    <row r="2980">
      <c r="A2980" s="81" t="n">
        <v>43682</v>
      </c>
      <c r="D2980" t="n">
        <v>3875.1</v>
      </c>
    </row>
    <row r="2981">
      <c r="A2981" s="81" t="n">
        <v>43689</v>
      </c>
      <c r="D2981" t="n">
        <v>3861</v>
      </c>
    </row>
    <row r="2982">
      <c r="A2982" s="81" t="n">
        <v>43696</v>
      </c>
      <c r="D2982" t="n">
        <v>3832.4</v>
      </c>
    </row>
    <row r="2983">
      <c r="A2983" s="81" t="n">
        <v>43703</v>
      </c>
      <c r="D2983" t="n">
        <v>3845</v>
      </c>
    </row>
    <row r="2984">
      <c r="A2984" s="81" t="n">
        <v>43709</v>
      </c>
      <c r="B2984" t="n">
        <v>1515.5</v>
      </c>
      <c r="C2984" t="n">
        <v>5857.6</v>
      </c>
      <c r="E2984" t="n">
        <v>15026.6</v>
      </c>
    </row>
    <row r="2985">
      <c r="A2985" s="81" t="n">
        <v>43710</v>
      </c>
      <c r="D2985" t="n">
        <v>3878</v>
      </c>
    </row>
    <row r="2986">
      <c r="A2986" s="81" t="n">
        <v>43717</v>
      </c>
      <c r="D2986" t="n">
        <v>3895.9</v>
      </c>
    </row>
    <row r="2987">
      <c r="A2987" s="81" t="n">
        <v>43724</v>
      </c>
      <c r="D2987" t="n">
        <v>3895.8</v>
      </c>
    </row>
    <row r="2988">
      <c r="A2988" s="81" t="n">
        <v>43731</v>
      </c>
      <c r="D2988" t="n">
        <v>3911.1</v>
      </c>
    </row>
    <row r="2989">
      <c r="A2989" s="81" t="n">
        <v>43738</v>
      </c>
      <c r="D2989" t="n">
        <v>3928.2</v>
      </c>
    </row>
    <row r="2990">
      <c r="A2990" s="81" t="n">
        <v>43739</v>
      </c>
      <c r="B2990" t="n">
        <v>1525.4</v>
      </c>
      <c r="C2990" t="n">
        <v>5887.3</v>
      </c>
      <c r="E2990" t="n">
        <v>15153.1</v>
      </c>
    </row>
    <row r="2991">
      <c r="A2991" s="81" t="n">
        <v>43745</v>
      </c>
      <c r="D2991" t="n">
        <v>3893.7</v>
      </c>
    </row>
    <row r="2992">
      <c r="A2992" s="81" t="n">
        <v>43752</v>
      </c>
      <c r="D2992" t="n">
        <v>3930.6</v>
      </c>
    </row>
    <row r="2993">
      <c r="A2993" s="81" t="n">
        <v>43759</v>
      </c>
      <c r="D2993" t="n">
        <v>3929</v>
      </c>
    </row>
    <row r="2994">
      <c r="A2994" s="81" t="n">
        <v>43766</v>
      </c>
      <c r="D2994" t="n">
        <v>3934.5</v>
      </c>
    </row>
    <row r="2995">
      <c r="A2995" s="81" t="n">
        <v>43770</v>
      </c>
      <c r="B2995" t="n">
        <v>1533.2</v>
      </c>
      <c r="C2995" t="n">
        <v>5911.6</v>
      </c>
      <c r="E2995" t="n">
        <v>15251.3</v>
      </c>
    </row>
    <row r="2996">
      <c r="A2996" s="81" t="n">
        <v>43773</v>
      </c>
      <c r="D2996" t="n">
        <v>3955.3</v>
      </c>
    </row>
    <row r="2997">
      <c r="A2997" s="81" t="n">
        <v>43780</v>
      </c>
      <c r="D2997" t="n">
        <v>3955.4</v>
      </c>
    </row>
    <row r="2998">
      <c r="A2998" s="81" t="n">
        <v>43787</v>
      </c>
      <c r="D2998" t="n">
        <v>3928</v>
      </c>
    </row>
    <row r="2999">
      <c r="A2999" s="81" t="n">
        <v>43794</v>
      </c>
      <c r="D2999" t="n">
        <v>3962.5</v>
      </c>
    </row>
    <row r="3000">
      <c r="A3000" s="81" t="n">
        <v>43800</v>
      </c>
      <c r="B3000" t="n">
        <v>1553.5</v>
      </c>
      <c r="C3000" t="n">
        <v>5935.6</v>
      </c>
      <c r="E3000" t="n">
        <v>15325.8</v>
      </c>
    </row>
    <row r="3001">
      <c r="A3001" s="81" t="n">
        <v>43801</v>
      </c>
      <c r="D3001" t="n">
        <v>3953.8</v>
      </c>
    </row>
    <row r="3002">
      <c r="A3002" s="81" t="n">
        <v>43808</v>
      </c>
      <c r="D3002" t="n">
        <v>3978.4</v>
      </c>
    </row>
    <row r="3003">
      <c r="A3003" s="81" t="n">
        <v>43815</v>
      </c>
      <c r="D3003" t="n">
        <v>3992</v>
      </c>
    </row>
    <row r="3004">
      <c r="A3004" s="81" t="n">
        <v>43822</v>
      </c>
      <c r="D3004" t="n">
        <v>3999</v>
      </c>
    </row>
    <row r="3005">
      <c r="A3005" s="81" t="n">
        <v>43829</v>
      </c>
      <c r="D3005" t="n">
        <v>3963.7</v>
      </c>
    </row>
    <row r="3006">
      <c r="A3006" s="81" t="n">
        <v>43831</v>
      </c>
      <c r="B3006" t="n">
        <v>1553.7</v>
      </c>
      <c r="C3006" t="n">
        <v>5955.8</v>
      </c>
      <c r="E3006" t="n">
        <v>15406.8</v>
      </c>
    </row>
    <row r="3007">
      <c r="A3007" s="81" t="n">
        <v>43836</v>
      </c>
      <c r="D3007" t="n">
        <v>3948</v>
      </c>
    </row>
    <row r="3008">
      <c r="A3008" s="81" t="n">
        <v>43843</v>
      </c>
      <c r="D3008" t="n">
        <v>3949.7</v>
      </c>
    </row>
    <row r="3009">
      <c r="A3009" s="81" t="n">
        <v>43850</v>
      </c>
      <c r="D3009" t="n">
        <v>3978</v>
      </c>
    </row>
    <row r="3010">
      <c r="A3010" s="81" t="n">
        <v>43857</v>
      </c>
      <c r="D3010" t="n">
        <v>3962.2</v>
      </c>
    </row>
    <row r="3011">
      <c r="A3011" s="81" t="n">
        <v>43862</v>
      </c>
      <c r="B3011" t="n">
        <v>1556.4</v>
      </c>
      <c r="C3011" t="n">
        <v>5977.2</v>
      </c>
      <c r="E3011" t="n">
        <v>15470.4</v>
      </c>
    </row>
    <row r="3012">
      <c r="A3012" s="81" t="n">
        <v>43864</v>
      </c>
      <c r="D3012" t="n">
        <v>4081.4</v>
      </c>
    </row>
    <row r="3013">
      <c r="A3013" s="81" t="n">
        <v>43871</v>
      </c>
      <c r="D3013" t="n">
        <v>4012.8</v>
      </c>
    </row>
    <row r="3014">
      <c r="A3014" s="81" t="n">
        <v>43878</v>
      </c>
      <c r="D3014" t="n">
        <v>3983.6</v>
      </c>
    </row>
    <row r="3015">
      <c r="A3015" s="81" t="n">
        <v>43885</v>
      </c>
      <c r="D3015" t="n">
        <v>3971.4</v>
      </c>
    </row>
    <row r="3016">
      <c r="A3016" s="81" t="n">
        <v>43891</v>
      </c>
      <c r="B3016" t="n">
        <v>1659.5</v>
      </c>
      <c r="C3016" t="n">
        <v>6206.2</v>
      </c>
      <c r="E3016" t="n">
        <v>16011.4</v>
      </c>
    </row>
    <row r="3017">
      <c r="A3017" s="81" t="n">
        <v>43892</v>
      </c>
      <c r="D3017" t="n">
        <v>4028.2</v>
      </c>
    </row>
    <row r="3018">
      <c r="A3018" s="81" t="n">
        <v>43899</v>
      </c>
      <c r="D3018" t="n">
        <v>4063.6</v>
      </c>
    </row>
    <row r="3019">
      <c r="A3019" s="81" t="n">
        <v>43906</v>
      </c>
      <c r="D3019" t="n">
        <v>4126.8</v>
      </c>
    </row>
    <row r="3020">
      <c r="A3020" s="81" t="n">
        <v>43913</v>
      </c>
      <c r="D3020" t="n">
        <v>4313.6</v>
      </c>
    </row>
    <row r="3021">
      <c r="A3021" s="81" t="n">
        <v>43920</v>
      </c>
      <c r="D3021" t="n">
        <v>4513.2</v>
      </c>
    </row>
    <row r="3022">
      <c r="A3022" s="81" t="n">
        <v>43922</v>
      </c>
      <c r="B3022" t="n">
        <v>1863.6</v>
      </c>
      <c r="C3022" t="n">
        <v>6650.9</v>
      </c>
      <c r="E3022" t="n">
        <v>17039.1</v>
      </c>
    </row>
    <row r="3023">
      <c r="A3023" s="81" t="n">
        <v>43927</v>
      </c>
      <c r="D3023" t="n">
        <v>4591.2</v>
      </c>
    </row>
    <row r="3024">
      <c r="A3024" s="81" t="n">
        <v>43934</v>
      </c>
      <c r="D3024" t="n">
        <v>4716.8</v>
      </c>
    </row>
    <row r="3025">
      <c r="A3025" s="81" t="n">
        <v>43941</v>
      </c>
      <c r="D3025" t="n">
        <v>4850.1</v>
      </c>
    </row>
    <row r="3026">
      <c r="A3026" s="81" t="n">
        <v>43948</v>
      </c>
      <c r="D3026" t="n">
        <v>4898.5</v>
      </c>
    </row>
    <row r="3027">
      <c r="A3027" s="81" t="n">
        <v>43952</v>
      </c>
      <c r="B3027" t="n">
        <v>6353.8</v>
      </c>
      <c r="C3027" t="n">
        <v>6989.6</v>
      </c>
      <c r="E3027" t="n">
        <v>17889.2</v>
      </c>
    </row>
    <row r="3028">
      <c r="A3028" s="81" t="n">
        <v>43955</v>
      </c>
      <c r="D3028" t="n">
        <v>15982.1</v>
      </c>
    </row>
    <row r="3029">
      <c r="A3029" s="81" t="n">
        <v>43962</v>
      </c>
      <c r="D3029" t="n">
        <v>16201.3</v>
      </c>
    </row>
    <row r="3030">
      <c r="A3030" s="81" t="n">
        <v>43969</v>
      </c>
      <c r="D3030" t="n">
        <v>16292.4</v>
      </c>
    </row>
    <row r="3031">
      <c r="A3031" s="81" t="n">
        <v>43976</v>
      </c>
      <c r="D3031" t="n">
        <v>16319.7</v>
      </c>
    </row>
    <row r="3032">
      <c r="A3032" s="81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1" t="n">
        <v>43990</v>
      </c>
      <c r="D3033" t="n">
        <v>16467</v>
      </c>
    </row>
    <row r="3034">
      <c r="A3034" s="81" t="n">
        <v>43997</v>
      </c>
      <c r="D3034" t="n">
        <v>16554.5</v>
      </c>
    </row>
    <row r="3035">
      <c r="A3035" s="81" t="n">
        <v>44004</v>
      </c>
      <c r="D3035" t="n">
        <v>16654.8</v>
      </c>
    </row>
    <row r="3036">
      <c r="A3036" s="81" t="n">
        <v>44011</v>
      </c>
      <c r="D3036" t="n">
        <v>16656.6</v>
      </c>
    </row>
    <row r="3037">
      <c r="A3037" s="81" t="n">
        <v>44013</v>
      </c>
      <c r="B3037" t="n">
        <v>6486.3</v>
      </c>
      <c r="C3037" t="n">
        <v>7082.9</v>
      </c>
      <c r="E3037" t="n">
        <v>18316.6</v>
      </c>
    </row>
    <row r="3038">
      <c r="A3038" s="81" t="n">
        <v>44018</v>
      </c>
      <c r="D3038" t="n">
        <v>16763.3</v>
      </c>
    </row>
    <row r="3039">
      <c r="A3039" s="81" t="n">
        <v>44025</v>
      </c>
      <c r="D3039" t="n">
        <v>16836.7</v>
      </c>
    </row>
    <row r="3040">
      <c r="A3040" s="81" t="n">
        <v>44032</v>
      </c>
      <c r="D3040" t="n">
        <v>16781.9</v>
      </c>
    </row>
    <row r="3041">
      <c r="A3041" s="81" t="n">
        <v>44039</v>
      </c>
      <c r="D3041" t="n">
        <v>16753.3</v>
      </c>
    </row>
    <row r="3042">
      <c r="A3042" s="81" t="n">
        <v>44044</v>
      </c>
      <c r="B3042" t="n">
        <v>6507.2</v>
      </c>
      <c r="C3042" t="n">
        <v>7082</v>
      </c>
      <c r="E3042" t="n">
        <v>18378.5</v>
      </c>
    </row>
    <row r="3043">
      <c r="A3043" s="81" t="n">
        <v>44046</v>
      </c>
      <c r="D3043" t="n">
        <v>16734.7</v>
      </c>
    </row>
    <row r="3044">
      <c r="A3044" s="81" t="n">
        <v>44053</v>
      </c>
      <c r="D3044" t="n">
        <v>16888.9</v>
      </c>
    </row>
    <row r="3045">
      <c r="A3045" s="81" t="n">
        <v>44060</v>
      </c>
      <c r="D3045" t="n">
        <v>16938.6</v>
      </c>
    </row>
    <row r="3046">
      <c r="A3046" s="81" t="n">
        <v>44067</v>
      </c>
      <c r="D3046" t="n">
        <v>16880.6</v>
      </c>
    </row>
    <row r="3047">
      <c r="A3047" s="81" t="n">
        <v>44074</v>
      </c>
      <c r="D3047" t="n">
        <v>16962.8</v>
      </c>
    </row>
    <row r="3048">
      <c r="A3048" s="81" t="n">
        <v>44075</v>
      </c>
      <c r="B3048" t="n">
        <v>6595</v>
      </c>
      <c r="C3048" t="n">
        <v>7150.4</v>
      </c>
      <c r="E3048" t="n">
        <v>18601.6</v>
      </c>
    </row>
    <row r="3049">
      <c r="A3049" s="81" t="n">
        <v>44081</v>
      </c>
      <c r="D3049" t="n">
        <v>17087.5</v>
      </c>
    </row>
    <row r="3050">
      <c r="A3050" s="81" t="n">
        <v>44088</v>
      </c>
      <c r="D3050" t="n">
        <v>17214.5</v>
      </c>
    </row>
    <row r="3051">
      <c r="A3051" s="81" t="n">
        <v>44095</v>
      </c>
      <c r="D3051" t="n">
        <v>17237.7</v>
      </c>
    </row>
    <row r="3052">
      <c r="A3052" s="81" t="n">
        <v>44102</v>
      </c>
      <c r="D3052" t="n">
        <v>17175</v>
      </c>
    </row>
    <row r="3053">
      <c r="A3053" s="81" t="n">
        <v>44105</v>
      </c>
      <c r="B3053" t="n">
        <v>6660</v>
      </c>
      <c r="C3053" t="n">
        <v>7197.9</v>
      </c>
      <c r="E3053" t="n">
        <v>18747.9</v>
      </c>
    </row>
    <row r="3054">
      <c r="A3054" s="81" t="n">
        <v>44109</v>
      </c>
      <c r="D3054" t="n">
        <v>17223.5</v>
      </c>
    </row>
    <row r="3055">
      <c r="A3055" s="81" t="n">
        <v>44116</v>
      </c>
      <c r="D3055" t="n">
        <v>17331.5</v>
      </c>
    </row>
    <row r="3056">
      <c r="A3056" s="81" t="n">
        <v>44123</v>
      </c>
      <c r="D3056" t="n">
        <v>17350.3</v>
      </c>
    </row>
    <row r="3057">
      <c r="A3057" s="81" t="n">
        <v>44130</v>
      </c>
      <c r="D3057" t="n">
        <v>17375.9</v>
      </c>
    </row>
    <row r="3058">
      <c r="A3058" s="81" t="n">
        <v>44136</v>
      </c>
      <c r="B3058" t="n">
        <v>6741</v>
      </c>
      <c r="C3058" t="n">
        <v>7265.9</v>
      </c>
      <c r="E3058" t="n">
        <v>18958.7</v>
      </c>
    </row>
    <row r="3059">
      <c r="A3059" s="81" t="n">
        <v>44137</v>
      </c>
      <c r="D3059" t="n">
        <v>17431</v>
      </c>
    </row>
    <row r="3060">
      <c r="A3060" s="81" t="n">
        <v>44144</v>
      </c>
      <c r="D3060" t="n">
        <v>17593.1</v>
      </c>
    </row>
    <row r="3061">
      <c r="A3061" s="81" t="n">
        <v>44151</v>
      </c>
      <c r="D3061" t="n">
        <v>17638.1</v>
      </c>
    </row>
    <row r="3062">
      <c r="A3062" s="81" t="n">
        <v>44158</v>
      </c>
      <c r="D3062" t="n">
        <v>17657.6</v>
      </c>
    </row>
    <row r="3063">
      <c r="A3063" s="81" t="n">
        <v>44165</v>
      </c>
      <c r="D3063" t="n">
        <v>17547.4</v>
      </c>
    </row>
    <row r="3064">
      <c r="A3064" s="81" t="n">
        <v>44166</v>
      </c>
      <c r="B3064" t="n">
        <v>6810.1</v>
      </c>
      <c r="C3064" t="n">
        <v>7313.6</v>
      </c>
      <c r="E3064" t="n">
        <v>19129.5</v>
      </c>
    </row>
    <row r="3065">
      <c r="A3065" s="81" t="n">
        <v>44172</v>
      </c>
      <c r="D3065" t="n">
        <v>17777</v>
      </c>
    </row>
    <row r="3066">
      <c r="A3066" s="81" t="n">
        <v>44179</v>
      </c>
      <c r="D3066" t="n">
        <v>17853.1</v>
      </c>
    </row>
    <row r="3067">
      <c r="A3067" s="81" t="n">
        <v>44186</v>
      </c>
      <c r="D3067" t="n">
        <v>17762.6</v>
      </c>
    </row>
    <row r="3068">
      <c r="A3068" s="81" t="n">
        <v>44193</v>
      </c>
      <c r="D3068" t="n">
        <v>17661.3</v>
      </c>
    </row>
    <row r="3069">
      <c r="A3069" s="81" t="n">
        <v>44197</v>
      </c>
      <c r="B3069" t="n">
        <v>6902.6</v>
      </c>
      <c r="C3069" t="n">
        <v>7395.5</v>
      </c>
      <c r="E3069" t="n">
        <v>19393.2</v>
      </c>
    </row>
    <row r="3070">
      <c r="A3070" s="81" t="n">
        <v>44200</v>
      </c>
      <c r="D3070" t="n">
        <v>17773.3</v>
      </c>
    </row>
    <row r="3071">
      <c r="A3071" s="81" t="n">
        <v>44207</v>
      </c>
      <c r="D3071" t="n">
        <v>18147.8</v>
      </c>
    </row>
    <row r="3072">
      <c r="A3072" s="81" t="n">
        <v>44214</v>
      </c>
      <c r="D3072" t="n">
        <v>18158.6</v>
      </c>
    </row>
    <row r="3073">
      <c r="A3073" s="81" t="n">
        <v>44221</v>
      </c>
      <c r="D3073" t="n">
        <v>18116.2</v>
      </c>
    </row>
    <row r="3074">
      <c r="A3074" s="81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1" t="n">
        <v>44256</v>
      </c>
      <c r="B3075" t="n">
        <v>7050.5</v>
      </c>
      <c r="C3075" t="n">
        <v>7520.3</v>
      </c>
      <c r="E3075" t="n">
        <v>19913.2</v>
      </c>
    </row>
    <row r="3076">
      <c r="A3076" s="81" t="n">
        <v>44287</v>
      </c>
      <c r="B3076" t="n">
        <v>7093.4</v>
      </c>
      <c r="C3076" t="n">
        <v>7547.4</v>
      </c>
      <c r="E3076" t="n">
        <v>20138.8</v>
      </c>
    </row>
    <row r="3077">
      <c r="A3077" s="81" t="n">
        <v>44317</v>
      </c>
      <c r="B3077" t="n">
        <v>7152.8</v>
      </c>
      <c r="C3077" t="n">
        <v>7597.4</v>
      </c>
      <c r="E3077" t="n">
        <v>20402.8</v>
      </c>
    </row>
    <row r="3078">
      <c r="A3078" s="81" t="n">
        <v>44348</v>
      </c>
      <c r="B3078" t="n">
        <v>7106</v>
      </c>
      <c r="C3078" t="n">
        <v>7539.1</v>
      </c>
      <c r="E3078" t="n">
        <v>20429.5</v>
      </c>
    </row>
    <row r="3079">
      <c r="A3079" s="81" t="n">
        <v>44378</v>
      </c>
      <c r="B3079" t="n">
        <v>7132.8</v>
      </c>
      <c r="C3079" t="n">
        <v>7558.4</v>
      </c>
      <c r="E3079" t="n">
        <v>20578.9</v>
      </c>
    </row>
    <row r="3080">
      <c r="A3080" s="81" t="n">
        <v>44409</v>
      </c>
      <c r="B3080" t="n">
        <v>7214</v>
      </c>
      <c r="C3080" t="n">
        <v>7630.6</v>
      </c>
      <c r="E3080" t="n">
        <v>20832.5</v>
      </c>
    </row>
    <row r="3081">
      <c r="A3081" s="81" t="n">
        <v>44440</v>
      </c>
      <c r="B3081" t="n">
        <v>7249.9</v>
      </c>
      <c r="C3081" t="n">
        <v>7658.5</v>
      </c>
      <c r="E3081" t="n">
        <v>20994.8</v>
      </c>
    </row>
    <row r="3082">
      <c r="A3082" s="81" t="n">
        <v>44470</v>
      </c>
      <c r="B3082" t="n">
        <v>7257.6</v>
      </c>
      <c r="C3082" t="n">
        <v>7656.5</v>
      </c>
      <c r="E3082" t="n">
        <v>21187.5</v>
      </c>
    </row>
    <row r="3083">
      <c r="A3083" s="81" t="n">
        <v>44501</v>
      </c>
      <c r="B3083" t="n">
        <v>7295.3</v>
      </c>
      <c r="C3083" t="n">
        <v>7686.7</v>
      </c>
      <c r="E3083" t="n">
        <v>21436.7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BD843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 activeCell="M40" sqref="M40"/>
    </sheetView>
  </sheetViews>
  <sheetFormatPr baseColWidth="10" defaultColWidth="9.1640625" defaultRowHeight="15"/>
  <cols>
    <col width="9.1640625" customWidth="1" style="83" min="1" max="1"/>
    <col width="11.1640625" customWidth="1" style="83" min="2" max="2"/>
    <col width="4.6640625" customWidth="1" style="83" min="3" max="4"/>
    <col width="9.1640625" customWidth="1" style="83" min="5" max="9"/>
    <col width="10.6640625" bestFit="1" customWidth="1" style="83" min="10" max="10"/>
    <col width="9.1640625" customWidth="1" style="83" min="11" max="14"/>
    <col width="9.1640625" customWidth="1" style="83" min="15" max="16384"/>
  </cols>
  <sheetData>
    <row r="1">
      <c r="B1" s="83" t="inlineStr">
        <is>
          <t>Date</t>
        </is>
      </c>
      <c r="G1" s="83" t="inlineStr">
        <is>
          <t>AUS</t>
        </is>
      </c>
      <c r="H1" s="83" t="inlineStr">
        <is>
          <t>BEL</t>
        </is>
      </c>
      <c r="I1" s="83" t="inlineStr">
        <is>
          <t>BRA</t>
        </is>
      </c>
      <c r="J1" s="83" t="inlineStr">
        <is>
          <t>CAN</t>
        </is>
      </c>
      <c r="K1" s="83" t="inlineStr">
        <is>
          <t>CHE</t>
        </is>
      </c>
      <c r="L1" s="83" t="inlineStr">
        <is>
          <t>CHL</t>
        </is>
      </c>
      <c r="M1" s="83" t="inlineStr">
        <is>
          <t>CHN</t>
        </is>
      </c>
      <c r="N1" s="83" t="inlineStr">
        <is>
          <t>COL</t>
        </is>
      </c>
      <c r="O1" s="83" t="inlineStr">
        <is>
          <t>CRI</t>
        </is>
      </c>
      <c r="P1" s="83" t="inlineStr">
        <is>
          <t>CZE</t>
        </is>
      </c>
      <c r="Q1" s="83" t="inlineStr">
        <is>
          <t>DEU</t>
        </is>
      </c>
      <c r="R1" s="83" t="inlineStr">
        <is>
          <t>DNK</t>
        </is>
      </c>
      <c r="S1" s="83" t="inlineStr">
        <is>
          <t>EA19</t>
        </is>
      </c>
      <c r="T1" s="83" t="inlineStr">
        <is>
          <t>ESP</t>
        </is>
      </c>
      <c r="U1" s="83" t="inlineStr">
        <is>
          <t>EST</t>
        </is>
      </c>
      <c r="V1" s="83" t="inlineStr">
        <is>
          <t>EU28</t>
        </is>
      </c>
      <c r="W1" s="83" t="inlineStr">
        <is>
          <t>FIN</t>
        </is>
      </c>
      <c r="X1" s="83" t="inlineStr">
        <is>
          <t>FRA</t>
        </is>
      </c>
      <c r="Y1" s="83" t="inlineStr">
        <is>
          <t>G-20</t>
        </is>
      </c>
      <c r="Z1" s="83" t="inlineStr">
        <is>
          <t>G-7</t>
        </is>
      </c>
      <c r="AA1" s="83" t="inlineStr">
        <is>
          <t>GBR</t>
        </is>
      </c>
      <c r="AB1" s="83" t="inlineStr">
        <is>
          <t>GRC</t>
        </is>
      </c>
      <c r="AC1" s="83" t="inlineStr">
        <is>
          <t>HUN</t>
        </is>
      </c>
      <c r="AD1" s="83" t="inlineStr">
        <is>
          <t>IDN</t>
        </is>
      </c>
      <c r="AE1" s="83" t="inlineStr">
        <is>
          <t>IND</t>
        </is>
      </c>
      <c r="AF1" s="83" t="inlineStr">
        <is>
          <t>IRL</t>
        </is>
      </c>
      <c r="AG1" s="83" t="inlineStr">
        <is>
          <t>ISL</t>
        </is>
      </c>
      <c r="AH1" s="83" t="inlineStr">
        <is>
          <t>ISR</t>
        </is>
      </c>
      <c r="AI1" s="83" t="inlineStr">
        <is>
          <t>ITA</t>
        </is>
      </c>
      <c r="AJ1" s="83" t="inlineStr">
        <is>
          <t>JPN</t>
        </is>
      </c>
      <c r="AK1" s="83" t="inlineStr">
        <is>
          <t>KOR</t>
        </is>
      </c>
      <c r="AL1" s="83" t="inlineStr">
        <is>
          <t>LTU</t>
        </is>
      </c>
      <c r="AM1" s="83" t="inlineStr">
        <is>
          <t>LUX</t>
        </is>
      </c>
      <c r="AN1" s="83" t="inlineStr">
        <is>
          <t>LVA</t>
        </is>
      </c>
      <c r="AO1" s="83" t="inlineStr">
        <is>
          <t>MEX</t>
        </is>
      </c>
      <c r="AP1" s="83" t="inlineStr">
        <is>
          <t>NLD</t>
        </is>
      </c>
      <c r="AQ1" s="83" t="inlineStr">
        <is>
          <t>NOR</t>
        </is>
      </c>
      <c r="AR1" s="83" t="inlineStr">
        <is>
          <t>OECD</t>
        </is>
      </c>
      <c r="AS1" s="83" t="inlineStr">
        <is>
          <t>OECDE</t>
        </is>
      </c>
      <c r="AT1" s="83" t="inlineStr">
        <is>
          <t>POL</t>
        </is>
      </c>
      <c r="AU1" s="83" t="inlineStr">
        <is>
          <t>PRT</t>
        </is>
      </c>
      <c r="AV1" s="83" t="inlineStr">
        <is>
          <t>RUS</t>
        </is>
      </c>
      <c r="AW1" s="83" t="inlineStr">
        <is>
          <t>SAU</t>
        </is>
      </c>
      <c r="AX1" s="83" t="inlineStr">
        <is>
          <t>SVK</t>
        </is>
      </c>
      <c r="AY1" s="83" t="inlineStr">
        <is>
          <t>SVN</t>
        </is>
      </c>
      <c r="AZ1" s="83" t="inlineStr">
        <is>
          <t>SWE</t>
        </is>
      </c>
      <c r="BA1" s="83" t="inlineStr">
        <is>
          <t>TUR</t>
        </is>
      </c>
      <c r="BB1" s="83" t="inlineStr">
        <is>
          <t>USA</t>
        </is>
      </c>
      <c r="BC1" s="83" t="inlineStr">
        <is>
          <t>ZAF</t>
        </is>
      </c>
      <c r="BD1" s="83" t="inlineStr">
        <is>
          <t>NZL</t>
        </is>
      </c>
    </row>
    <row r="2">
      <c r="A2" s="83" t="inlineStr">
        <is>
          <t>1951-05</t>
        </is>
      </c>
      <c r="B2" s="22" t="n">
        <v>18749</v>
      </c>
      <c r="C2" s="22" t="n"/>
      <c r="D2" s="22" t="n"/>
      <c r="E2" s="22" t="e">
        <v>#N/A</v>
      </c>
      <c r="F2" s="20" t="inlineStr">
        <is>
          <t>1950-01</t>
        </is>
      </c>
    </row>
    <row r="3">
      <c r="A3" s="83" t="inlineStr">
        <is>
          <t>1951-06</t>
        </is>
      </c>
      <c r="B3" s="22" t="n">
        <v>18780</v>
      </c>
      <c r="C3" s="22" t="n"/>
      <c r="D3" s="22" t="n"/>
      <c r="E3" s="22" t="e">
        <v>#N/A</v>
      </c>
      <c r="F3" s="83" t="inlineStr">
        <is>
          <t>1950-02</t>
        </is>
      </c>
    </row>
    <row r="4">
      <c r="A4" s="83" t="inlineStr">
        <is>
          <t>1951-07</t>
        </is>
      </c>
      <c r="B4" s="22" t="n">
        <v>18810</v>
      </c>
      <c r="C4" s="22" t="n"/>
      <c r="D4" s="22" t="n"/>
      <c r="E4" s="22" t="e">
        <v>#N/A</v>
      </c>
      <c r="F4" s="83" t="inlineStr">
        <is>
          <t>1950-03</t>
        </is>
      </c>
    </row>
    <row r="5">
      <c r="A5" s="83" t="inlineStr">
        <is>
          <t>1951-08</t>
        </is>
      </c>
      <c r="B5" s="22" t="n">
        <v>18841</v>
      </c>
      <c r="C5" s="22" t="n"/>
      <c r="D5" s="22" t="n"/>
      <c r="E5" s="22" t="e">
        <v>#N/A</v>
      </c>
      <c r="F5" s="83" t="inlineStr">
        <is>
          <t>1950-04</t>
        </is>
      </c>
    </row>
    <row r="6">
      <c r="A6" s="83" t="inlineStr">
        <is>
          <t>1951-09</t>
        </is>
      </c>
      <c r="B6" s="22" t="n">
        <v>18872</v>
      </c>
      <c r="C6" s="22" t="n"/>
      <c r="D6" s="22" t="n"/>
      <c r="E6" s="22" t="e">
        <v>#N/A</v>
      </c>
      <c r="F6" s="83" t="inlineStr">
        <is>
          <t>1950-05</t>
        </is>
      </c>
    </row>
    <row r="7">
      <c r="A7" s="83" t="inlineStr">
        <is>
          <t>1951-10</t>
        </is>
      </c>
      <c r="B7" s="22" t="n">
        <v>18902</v>
      </c>
      <c r="C7" s="22" t="n"/>
      <c r="D7" s="22" t="n"/>
      <c r="E7" s="22" t="e">
        <v>#N/A</v>
      </c>
      <c r="F7" s="83" t="inlineStr">
        <is>
          <t>1950-06</t>
        </is>
      </c>
    </row>
    <row r="8">
      <c r="A8" s="83" t="inlineStr">
        <is>
          <t>1951-11</t>
        </is>
      </c>
      <c r="B8" s="22" t="n">
        <v>18933</v>
      </c>
      <c r="C8" s="22" t="n"/>
      <c r="D8" s="22" t="n"/>
      <c r="E8" s="22" t="e">
        <v>#N/A</v>
      </c>
      <c r="F8" s="83" t="inlineStr">
        <is>
          <t>1950-07</t>
        </is>
      </c>
    </row>
    <row r="9">
      <c r="A9" s="83" t="inlineStr">
        <is>
          <t>1951-12</t>
        </is>
      </c>
      <c r="B9" s="22" t="n">
        <v>18963</v>
      </c>
      <c r="C9" s="22" t="n"/>
      <c r="D9" s="22" t="n"/>
      <c r="E9" s="22" t="e">
        <v>#N/A</v>
      </c>
      <c r="F9" s="83" t="inlineStr">
        <is>
          <t>1950-08</t>
        </is>
      </c>
    </row>
    <row r="10">
      <c r="A10" s="83" t="inlineStr">
        <is>
          <t>1952-01</t>
        </is>
      </c>
      <c r="B10" s="22" t="n">
        <v>18994</v>
      </c>
      <c r="C10" s="22" t="n"/>
      <c r="D10" s="22" t="n"/>
      <c r="E10" s="22" t="e">
        <v>#N/A</v>
      </c>
      <c r="F10" s="83" t="inlineStr">
        <is>
          <t>1950-09</t>
        </is>
      </c>
    </row>
    <row r="11">
      <c r="A11" s="83" t="inlineStr">
        <is>
          <t>1952-02</t>
        </is>
      </c>
      <c r="B11" s="22" t="n">
        <v>19025</v>
      </c>
      <c r="C11" s="22" t="n"/>
      <c r="D11" s="22" t="n"/>
      <c r="E11" s="22" t="e">
        <v>#N/A</v>
      </c>
      <c r="F11" s="83" t="inlineStr">
        <is>
          <t>1950-10</t>
        </is>
      </c>
    </row>
    <row r="12">
      <c r="A12" s="83" t="inlineStr">
        <is>
          <t>1952-03</t>
        </is>
      </c>
      <c r="B12" s="22" t="n">
        <v>19054</v>
      </c>
      <c r="C12" s="22" t="n"/>
      <c r="D12" s="22" t="n"/>
      <c r="E12" s="22" t="e">
        <v>#N/A</v>
      </c>
      <c r="F12" s="83" t="inlineStr">
        <is>
          <t>1950-11</t>
        </is>
      </c>
    </row>
    <row r="13">
      <c r="A13" s="83" t="inlineStr">
        <is>
          <t>1952-04</t>
        </is>
      </c>
      <c r="B13" s="22" t="n">
        <v>19085</v>
      </c>
      <c r="C13" s="22" t="n"/>
      <c r="D13" s="22" t="n"/>
      <c r="E13" s="22" t="e">
        <v>#N/A</v>
      </c>
      <c r="F13" s="83" t="inlineStr">
        <is>
          <t>1950-12</t>
        </is>
      </c>
    </row>
    <row r="14">
      <c r="A14" s="83" t="inlineStr">
        <is>
          <t>1952-05</t>
        </is>
      </c>
      <c r="B14" s="22" t="n">
        <v>19115</v>
      </c>
      <c r="C14" s="22" t="n"/>
      <c r="D14" s="22" t="n"/>
      <c r="E14" s="22" t="e">
        <v>#N/A</v>
      </c>
      <c r="F14" s="83" t="inlineStr">
        <is>
          <t>1951-01</t>
        </is>
      </c>
    </row>
    <row r="15">
      <c r="A15" s="83" t="inlineStr">
        <is>
          <t>1952-06</t>
        </is>
      </c>
      <c r="B15" s="22" t="n">
        <v>19146</v>
      </c>
      <c r="C15" s="22" t="n"/>
      <c r="D15" s="22" t="n"/>
      <c r="E15" s="22" t="e">
        <v>#N/A</v>
      </c>
      <c r="F15" s="83" t="inlineStr">
        <is>
          <t>1951-02</t>
        </is>
      </c>
    </row>
    <row r="16">
      <c r="A16" s="83" t="inlineStr">
        <is>
          <t>1952-07</t>
        </is>
      </c>
      <c r="B16" s="22" t="n">
        <v>19176</v>
      </c>
      <c r="C16" s="22" t="n"/>
      <c r="D16" s="22" t="n"/>
      <c r="E16" s="22" t="e">
        <v>#N/A</v>
      </c>
      <c r="F16" s="83" t="inlineStr">
        <is>
          <t>1951-03</t>
        </is>
      </c>
    </row>
    <row r="17">
      <c r="A17" s="83" t="inlineStr">
        <is>
          <t>1952-08</t>
        </is>
      </c>
      <c r="B17" s="22" t="n">
        <v>19207</v>
      </c>
      <c r="C17" s="22" t="n"/>
      <c r="D17" s="22" t="n"/>
      <c r="E17" s="22" t="e">
        <v>#N/A</v>
      </c>
      <c r="F17" s="83" t="inlineStr">
        <is>
          <t>1951-04</t>
        </is>
      </c>
    </row>
    <row r="18">
      <c r="A18" s="83" t="inlineStr">
        <is>
          <t>1952-09</t>
        </is>
      </c>
      <c r="B18" s="22" t="n">
        <v>19238</v>
      </c>
      <c r="C18" s="22" t="n"/>
      <c r="D18" s="22" t="n"/>
      <c r="E18" s="22" t="n">
        <v>18749</v>
      </c>
      <c r="F18" s="83" t="inlineStr">
        <is>
          <t>1951-05</t>
        </is>
      </c>
      <c r="AE18" s="83" t="n">
        <v>0.02098284</v>
      </c>
    </row>
    <row r="19">
      <c r="A19" s="83" t="inlineStr">
        <is>
          <t>1952-10</t>
        </is>
      </c>
      <c r="B19" s="22" t="n">
        <v>19268</v>
      </c>
      <c r="C19" s="22" t="n"/>
      <c r="D19" s="22" t="n"/>
      <c r="E19" s="22" t="n">
        <v>18780</v>
      </c>
      <c r="F19" s="83" t="inlineStr">
        <is>
          <t>1951-06</t>
        </is>
      </c>
      <c r="AE19" s="83" t="n">
        <v>0.02089351</v>
      </c>
    </row>
    <row r="20">
      <c r="A20" s="83" t="inlineStr">
        <is>
          <t>1952-11</t>
        </is>
      </c>
      <c r="B20" s="22" t="n">
        <v>19299</v>
      </c>
      <c r="C20" s="22" t="n"/>
      <c r="D20" s="22" t="n"/>
      <c r="E20" s="22" t="n">
        <v>18810</v>
      </c>
      <c r="F20" s="83" t="inlineStr">
        <is>
          <t>1951-07</t>
        </is>
      </c>
      <c r="AE20" s="83" t="n">
        <v>0.02073329</v>
      </c>
    </row>
    <row r="21">
      <c r="A21" s="83" t="inlineStr">
        <is>
          <t>1952-12</t>
        </is>
      </c>
      <c r="B21" s="22" t="n">
        <v>19329</v>
      </c>
      <c r="C21" s="22" t="n"/>
      <c r="D21" s="22" t="n"/>
      <c r="E21" s="22" t="n">
        <v>18841</v>
      </c>
      <c r="F21" s="83" t="inlineStr">
        <is>
          <t>1951-08</t>
        </is>
      </c>
      <c r="AE21" s="83" t="n">
        <v>0.02056927</v>
      </c>
    </row>
    <row r="22">
      <c r="A22" s="83" t="inlineStr">
        <is>
          <t>1953-01</t>
        </is>
      </c>
      <c r="B22" s="22" t="n">
        <v>19360</v>
      </c>
      <c r="C22" s="22" t="n"/>
      <c r="D22" s="22" t="n"/>
      <c r="E22" s="22" t="n">
        <v>18872</v>
      </c>
      <c r="F22" s="83" t="inlineStr">
        <is>
          <t>1951-09</t>
        </is>
      </c>
      <c r="AE22" s="83" t="n">
        <v>0.02033067</v>
      </c>
    </row>
    <row r="23">
      <c r="A23" s="83" t="inlineStr">
        <is>
          <t>1953-02</t>
        </is>
      </c>
      <c r="B23" s="22" t="n">
        <v>19391</v>
      </c>
      <c r="C23" s="22" t="n"/>
      <c r="D23" s="22" t="n"/>
      <c r="E23" s="22" t="n">
        <v>18902</v>
      </c>
      <c r="F23" s="83" t="inlineStr">
        <is>
          <t>1951-10</t>
        </is>
      </c>
      <c r="AE23" s="83" t="n">
        <v>0.02017183</v>
      </c>
    </row>
    <row r="24">
      <c r="A24" s="83" t="inlineStr">
        <is>
          <t>1953-03</t>
        </is>
      </c>
      <c r="B24" s="22" t="n">
        <v>19419</v>
      </c>
      <c r="C24" s="22" t="n"/>
      <c r="D24" s="22" t="n"/>
      <c r="E24" s="22" t="n">
        <v>18933</v>
      </c>
      <c r="F24" s="83" t="inlineStr">
        <is>
          <t>1951-11</t>
        </is>
      </c>
      <c r="AE24" s="83" t="n">
        <v>0.02003792</v>
      </c>
    </row>
    <row r="25">
      <c r="A25" s="83" t="inlineStr">
        <is>
          <t>1953-04</t>
        </is>
      </c>
      <c r="B25" s="22" t="n">
        <v>19450</v>
      </c>
      <c r="C25" s="22" t="n"/>
      <c r="D25" s="22" t="n"/>
      <c r="E25" s="22" t="n">
        <v>18963</v>
      </c>
      <c r="F25" s="83" t="inlineStr">
        <is>
          <t>1951-12</t>
        </is>
      </c>
      <c r="AE25" s="83" t="n">
        <v>0.01990365</v>
      </c>
    </row>
    <row r="26">
      <c r="A26" s="83" t="inlineStr">
        <is>
          <t>1953-05</t>
        </is>
      </c>
      <c r="B26" s="22" t="n">
        <v>19480</v>
      </c>
      <c r="C26" s="22" t="n"/>
      <c r="D26" s="22" t="n"/>
      <c r="E26" s="22" t="n">
        <v>18994</v>
      </c>
      <c r="F26" s="83" t="inlineStr">
        <is>
          <t>1952-01</t>
        </is>
      </c>
      <c r="AE26" s="83" t="n">
        <v>0.01990894</v>
      </c>
    </row>
    <row r="27">
      <c r="A27" s="83" t="inlineStr">
        <is>
          <t>1953-06</t>
        </is>
      </c>
      <c r="B27" s="22" t="n">
        <v>19511</v>
      </c>
      <c r="C27" s="22" t="n"/>
      <c r="D27" s="22" t="n"/>
      <c r="E27" s="22" t="n">
        <v>19025</v>
      </c>
      <c r="F27" s="83" t="inlineStr">
        <is>
          <t>1952-02</t>
        </is>
      </c>
      <c r="AE27" s="83" t="n">
        <v>0.01981428</v>
      </c>
    </row>
    <row r="28">
      <c r="A28" s="83" t="inlineStr">
        <is>
          <t>1953-07</t>
        </is>
      </c>
      <c r="B28" s="22" t="n">
        <v>19541</v>
      </c>
      <c r="C28" s="22" t="n"/>
      <c r="D28" s="22" t="n"/>
      <c r="E28" s="22" t="n">
        <v>19054</v>
      </c>
      <c r="F28" s="83" t="inlineStr">
        <is>
          <t>1952-03</t>
        </is>
      </c>
      <c r="AE28" s="83" t="n">
        <v>0.01958432</v>
      </c>
    </row>
    <row r="29">
      <c r="A29" s="83" t="inlineStr">
        <is>
          <t>1953-08</t>
        </is>
      </c>
      <c r="B29" s="22" t="n">
        <v>19572</v>
      </c>
      <c r="C29" s="22" t="n"/>
      <c r="D29" s="22" t="n"/>
      <c r="E29" s="22" t="n">
        <v>19085</v>
      </c>
      <c r="F29" s="83" t="inlineStr">
        <is>
          <t>1952-04</t>
        </is>
      </c>
      <c r="AE29" s="83" t="n">
        <v>0.01940475</v>
      </c>
    </row>
    <row r="30">
      <c r="A30" s="83" t="inlineStr">
        <is>
          <t>1953-09</t>
        </is>
      </c>
      <c r="B30" s="22" t="n">
        <v>19603</v>
      </c>
      <c r="C30" s="22" t="n"/>
      <c r="D30" s="22" t="n"/>
      <c r="E30" s="22" t="n">
        <v>19115</v>
      </c>
      <c r="F30" s="83" t="inlineStr">
        <is>
          <t>1952-05</t>
        </is>
      </c>
      <c r="AE30" s="83" t="n">
        <v>0.01929388</v>
      </c>
    </row>
    <row r="31">
      <c r="A31" s="83" t="inlineStr">
        <is>
          <t>1953-10</t>
        </is>
      </c>
      <c r="B31" s="22" t="n">
        <v>19633</v>
      </c>
      <c r="C31" s="22" t="n"/>
      <c r="D31" s="22" t="n"/>
      <c r="E31" s="22" t="n">
        <v>19146</v>
      </c>
      <c r="F31" s="83" t="inlineStr">
        <is>
          <t>1952-06</t>
        </is>
      </c>
      <c r="AE31" s="83" t="n">
        <v>0.01933598</v>
      </c>
    </row>
    <row r="32">
      <c r="A32" s="83" t="inlineStr">
        <is>
          <t>1953-11</t>
        </is>
      </c>
      <c r="B32" s="22" t="n">
        <v>19664</v>
      </c>
      <c r="C32" s="22" t="n"/>
      <c r="D32" s="22" t="n"/>
      <c r="E32" s="22" t="n">
        <v>19176</v>
      </c>
      <c r="F32" s="83" t="inlineStr">
        <is>
          <t>1952-07</t>
        </is>
      </c>
      <c r="AE32" s="83" t="n">
        <v>0.019453</v>
      </c>
    </row>
    <row r="33">
      <c r="A33" s="83" t="inlineStr">
        <is>
          <t>1953-12</t>
        </is>
      </c>
      <c r="B33" s="22" t="n">
        <v>19694</v>
      </c>
      <c r="C33" s="22" t="n"/>
      <c r="D33" s="22" t="n"/>
      <c r="E33" s="22" t="n">
        <v>19207</v>
      </c>
      <c r="F33" s="83" t="inlineStr">
        <is>
          <t>1952-08</t>
        </is>
      </c>
      <c r="AE33" s="83" t="n">
        <v>0.01947889</v>
      </c>
    </row>
    <row r="34">
      <c r="A34" s="83" t="inlineStr">
        <is>
          <t>1954-01</t>
        </is>
      </c>
      <c r="B34" s="22" t="n">
        <v>19725</v>
      </c>
      <c r="C34" s="22" t="n"/>
      <c r="D34" s="22" t="n"/>
      <c r="E34" s="22" t="n">
        <v>19238</v>
      </c>
      <c r="F34" s="83" t="inlineStr">
        <is>
          <t>1952-09</t>
        </is>
      </c>
      <c r="AE34" s="83" t="n">
        <v>0.01949227</v>
      </c>
    </row>
    <row r="35">
      <c r="A35" s="83" t="inlineStr">
        <is>
          <t>1954-02</t>
        </is>
      </c>
      <c r="B35" s="22" t="n">
        <v>19756</v>
      </c>
      <c r="C35" s="22" t="n"/>
      <c r="D35" s="22" t="n"/>
      <c r="E35" s="22" t="n">
        <v>19268</v>
      </c>
      <c r="F35" s="83" t="inlineStr">
        <is>
          <t>1952-10</t>
        </is>
      </c>
      <c r="AE35" s="83" t="n">
        <v>0.01944223</v>
      </c>
    </row>
    <row r="36">
      <c r="A36" s="83" t="inlineStr">
        <is>
          <t>1954-03</t>
        </is>
      </c>
      <c r="B36" s="22" t="n">
        <v>19784</v>
      </c>
      <c r="C36" s="22" t="n"/>
      <c r="D36" s="22" t="n"/>
      <c r="E36" s="22" t="n">
        <v>19299</v>
      </c>
      <c r="F36" s="83" t="inlineStr">
        <is>
          <t>1952-11</t>
        </is>
      </c>
      <c r="AE36" s="83" t="n">
        <v>0.01935626</v>
      </c>
    </row>
    <row r="37">
      <c r="A37" s="83" t="inlineStr">
        <is>
          <t>1954-04</t>
        </is>
      </c>
      <c r="B37" s="22" t="n">
        <v>19815</v>
      </c>
      <c r="C37" s="22" t="n"/>
      <c r="D37" s="22" t="n"/>
      <c r="E37" s="22" t="n">
        <v>19329</v>
      </c>
      <c r="F37" s="83" t="inlineStr">
        <is>
          <t>1952-12</t>
        </is>
      </c>
      <c r="AE37" s="83" t="n">
        <v>0.01935452</v>
      </c>
    </row>
    <row r="38">
      <c r="A38" s="83" t="inlineStr">
        <is>
          <t>1954-05</t>
        </is>
      </c>
      <c r="B38" s="22" t="n">
        <v>19845</v>
      </c>
      <c r="C38" s="22" t="n"/>
      <c r="D38" s="22" t="n"/>
      <c r="E38" s="22" t="n">
        <v>19360</v>
      </c>
      <c r="F38" s="83" t="inlineStr">
        <is>
          <t>1953-01</t>
        </is>
      </c>
      <c r="AE38" s="83" t="n">
        <v>0.01930703</v>
      </c>
    </row>
    <row r="39">
      <c r="A39" s="83" t="inlineStr">
        <is>
          <t>1954-06</t>
        </is>
      </c>
      <c r="B39" s="22" t="n">
        <v>19876</v>
      </c>
      <c r="C39" s="22" t="n"/>
      <c r="D39" s="22" t="n"/>
      <c r="E39" s="22" t="n">
        <v>19391</v>
      </c>
      <c r="F39" s="83" t="inlineStr">
        <is>
          <t>1953-02</t>
        </is>
      </c>
      <c r="AE39" s="83" t="n">
        <v>0.01926565</v>
      </c>
    </row>
    <row r="40">
      <c r="A40" s="83" t="inlineStr">
        <is>
          <t>1954-07</t>
        </is>
      </c>
      <c r="B40" s="22" t="n">
        <v>19906</v>
      </c>
      <c r="C40" s="22" t="n"/>
      <c r="D40" s="22" t="n"/>
      <c r="E40" s="22" t="n">
        <v>19419</v>
      </c>
      <c r="F40" s="83" t="inlineStr">
        <is>
          <t>1953-03</t>
        </is>
      </c>
      <c r="AE40" s="83" t="n">
        <v>0.0193019</v>
      </c>
    </row>
    <row r="41">
      <c r="A41" s="83" t="inlineStr">
        <is>
          <t>1954-08</t>
        </is>
      </c>
      <c r="B41" s="22" t="n">
        <v>19937</v>
      </c>
      <c r="C41" s="22" t="n"/>
      <c r="D41" s="22" t="n"/>
      <c r="E41" s="22" t="n">
        <v>19450</v>
      </c>
      <c r="F41" s="83" t="inlineStr">
        <is>
          <t>1953-04</t>
        </is>
      </c>
      <c r="AE41" s="83" t="n">
        <v>0.01947389</v>
      </c>
    </row>
    <row r="42">
      <c r="A42" s="83" t="inlineStr">
        <is>
          <t>1954-09</t>
        </is>
      </c>
      <c r="B42" s="22" t="n">
        <v>19968</v>
      </c>
      <c r="C42" s="22" t="n"/>
      <c r="D42" s="22" t="n"/>
      <c r="E42" s="22" t="n">
        <v>19480</v>
      </c>
      <c r="F42" s="83" t="inlineStr">
        <is>
          <t>1953-05</t>
        </is>
      </c>
      <c r="AE42" s="83" t="n">
        <v>0.01960435</v>
      </c>
    </row>
    <row r="43">
      <c r="A43" s="83" t="inlineStr">
        <is>
          <t>1954-10</t>
        </is>
      </c>
      <c r="B43" s="22" t="n">
        <v>19998</v>
      </c>
      <c r="C43" s="22" t="n"/>
      <c r="D43" s="22" t="n"/>
      <c r="E43" s="22" t="n">
        <v>19511</v>
      </c>
      <c r="F43" s="83" t="inlineStr">
        <is>
          <t>1953-06</t>
        </is>
      </c>
      <c r="AE43" s="83" t="n">
        <v>0.01959453</v>
      </c>
    </row>
    <row r="44">
      <c r="A44" s="83" t="inlineStr">
        <is>
          <t>1954-11</t>
        </is>
      </c>
      <c r="B44" s="22" t="n">
        <v>20029</v>
      </c>
      <c r="C44" s="22" t="n"/>
      <c r="D44" s="22" t="n"/>
      <c r="E44" s="22" t="n">
        <v>19541</v>
      </c>
      <c r="F44" s="83" t="inlineStr">
        <is>
          <t>1953-07</t>
        </is>
      </c>
      <c r="AE44" s="83" t="n">
        <v>0.01954588</v>
      </c>
    </row>
    <row r="45">
      <c r="A45" s="83" t="inlineStr">
        <is>
          <t>1954-12</t>
        </is>
      </c>
      <c r="B45" s="22" t="n">
        <v>20059</v>
      </c>
      <c r="C45" s="22" t="n"/>
      <c r="D45" s="22" t="n"/>
      <c r="E45" s="22" t="n">
        <v>19572</v>
      </c>
      <c r="F45" s="83" t="inlineStr">
        <is>
          <t>1953-08</t>
        </is>
      </c>
      <c r="AE45" s="83" t="n">
        <v>0.01952202</v>
      </c>
    </row>
    <row r="46">
      <c r="A46" s="83" t="inlineStr">
        <is>
          <t>1955-01</t>
        </is>
      </c>
      <c r="B46" s="22" t="n">
        <v>20090</v>
      </c>
      <c r="C46" s="22" t="n"/>
      <c r="D46" s="22" t="n"/>
      <c r="E46" s="22" t="n">
        <v>19603</v>
      </c>
      <c r="F46" s="83" t="inlineStr">
        <is>
          <t>1953-09</t>
        </is>
      </c>
      <c r="AE46" s="83" t="n">
        <v>0.01953336</v>
      </c>
    </row>
    <row r="47">
      <c r="A47" s="83" t="inlineStr">
        <is>
          <t>1955-02</t>
        </is>
      </c>
      <c r="B47" s="22" t="n">
        <v>20121</v>
      </c>
      <c r="C47" s="22" t="n"/>
      <c r="D47" s="22" t="n"/>
      <c r="E47" s="22" t="n">
        <v>19633</v>
      </c>
      <c r="F47" s="83" t="inlineStr">
        <is>
          <t>1953-10</t>
        </is>
      </c>
      <c r="AE47" s="83" t="n">
        <v>0.01957957</v>
      </c>
    </row>
    <row r="48">
      <c r="A48" s="83" t="inlineStr">
        <is>
          <t>1955-03</t>
        </is>
      </c>
      <c r="B48" s="22" t="n">
        <v>20149</v>
      </c>
      <c r="C48" s="22" t="n"/>
      <c r="D48" s="22" t="n"/>
      <c r="E48" s="22" t="n">
        <v>19664</v>
      </c>
      <c r="F48" s="83" t="inlineStr">
        <is>
          <t>1953-11</t>
        </is>
      </c>
      <c r="AE48" s="83" t="n">
        <v>0.01974556</v>
      </c>
    </row>
    <row r="49">
      <c r="A49" s="83" t="inlineStr">
        <is>
          <t>1955-04</t>
        </is>
      </c>
      <c r="B49" s="22" t="n">
        <v>20180</v>
      </c>
      <c r="C49" s="22" t="n"/>
      <c r="D49" s="22" t="n"/>
      <c r="E49" s="22" t="n">
        <v>19694</v>
      </c>
      <c r="F49" s="83" t="inlineStr">
        <is>
          <t>1953-12</t>
        </is>
      </c>
      <c r="AE49" s="83" t="n">
        <v>0.01982211</v>
      </c>
    </row>
    <row r="50">
      <c r="A50" s="83" t="inlineStr">
        <is>
          <t>1955-05</t>
        </is>
      </c>
      <c r="B50" s="22" t="n">
        <v>20210</v>
      </c>
      <c r="C50" s="22" t="n"/>
      <c r="D50" s="22" t="n"/>
      <c r="E50" s="22" t="n">
        <v>19725</v>
      </c>
      <c r="F50" s="83" t="inlineStr">
        <is>
          <t>1954-01</t>
        </is>
      </c>
      <c r="AE50" s="83" t="n">
        <v>0.01987448</v>
      </c>
    </row>
    <row r="51">
      <c r="A51" s="83" t="inlineStr">
        <is>
          <t>1955-06</t>
        </is>
      </c>
      <c r="B51" s="22" t="n">
        <v>20241</v>
      </c>
      <c r="C51" s="22" t="n"/>
      <c r="D51" s="22" t="n"/>
      <c r="E51" s="22" t="n">
        <v>19756</v>
      </c>
      <c r="F51" s="83" t="inlineStr">
        <is>
          <t>1954-02</t>
        </is>
      </c>
      <c r="AE51" s="83" t="n">
        <v>0.02000351</v>
      </c>
    </row>
    <row r="52">
      <c r="A52" s="83" t="inlineStr">
        <is>
          <t>1955-07</t>
        </is>
      </c>
      <c r="B52" s="22" t="n">
        <v>20271</v>
      </c>
      <c r="C52" s="22" t="n"/>
      <c r="D52" s="22" t="n"/>
      <c r="E52" s="22" t="n">
        <v>19784</v>
      </c>
      <c r="F52" s="83" t="inlineStr">
        <is>
          <t>1954-03</t>
        </is>
      </c>
      <c r="AE52" s="83" t="n">
        <v>0.02004592</v>
      </c>
    </row>
    <row r="53">
      <c r="A53" s="83" t="inlineStr">
        <is>
          <t>1955-08</t>
        </is>
      </c>
      <c r="B53" s="22" t="n">
        <v>20302</v>
      </c>
      <c r="C53" s="22" t="n"/>
      <c r="D53" s="22" t="n"/>
      <c r="E53" s="22" t="n">
        <v>19815</v>
      </c>
      <c r="F53" s="83" t="inlineStr">
        <is>
          <t>1954-04</t>
        </is>
      </c>
      <c r="AE53" s="83" t="n">
        <v>0.02008025</v>
      </c>
    </row>
    <row r="54">
      <c r="A54" s="83" t="inlineStr">
        <is>
          <t>1955-09</t>
        </is>
      </c>
      <c r="B54" s="22" t="n">
        <v>20333</v>
      </c>
      <c r="C54" s="22" t="n"/>
      <c r="D54" s="22" t="n"/>
      <c r="E54" s="22" t="n">
        <v>19845</v>
      </c>
      <c r="F54" s="83" t="inlineStr">
        <is>
          <t>1954-05</t>
        </is>
      </c>
      <c r="AE54" s="83" t="n">
        <v>0.02011755</v>
      </c>
    </row>
    <row r="55">
      <c r="A55" s="83" t="inlineStr">
        <is>
          <t>1955-10</t>
        </is>
      </c>
      <c r="B55" s="22" t="n">
        <v>20363</v>
      </c>
      <c r="C55" s="22" t="n"/>
      <c r="D55" s="22" t="n"/>
      <c r="E55" s="22" t="n">
        <v>19876</v>
      </c>
      <c r="F55" s="83" t="inlineStr">
        <is>
          <t>1954-06</t>
        </is>
      </c>
      <c r="AE55" s="83" t="n">
        <v>0.02011572</v>
      </c>
    </row>
    <row r="56">
      <c r="A56" s="83" t="inlineStr">
        <is>
          <t>1955-11</t>
        </is>
      </c>
      <c r="B56" s="22" t="n">
        <v>20394</v>
      </c>
      <c r="C56" s="22" t="n"/>
      <c r="D56" s="22" t="n"/>
      <c r="E56" s="22" t="n">
        <v>19906</v>
      </c>
      <c r="F56" s="83" t="inlineStr">
        <is>
          <t>1954-07</t>
        </is>
      </c>
      <c r="AE56" s="83" t="n">
        <v>0.0201541</v>
      </c>
    </row>
    <row r="57">
      <c r="A57" s="83" t="inlineStr">
        <is>
          <t>1955-12</t>
        </is>
      </c>
      <c r="B57" s="22" t="n">
        <v>20424</v>
      </c>
      <c r="C57" s="22" t="n"/>
      <c r="D57" s="22" t="n"/>
      <c r="E57" s="22" t="n">
        <v>19937</v>
      </c>
      <c r="F57" s="83" t="inlineStr">
        <is>
          <t>1954-08</t>
        </is>
      </c>
      <c r="AE57" s="83" t="n">
        <v>0.02030169</v>
      </c>
    </row>
    <row r="58">
      <c r="A58" s="83" t="inlineStr">
        <is>
          <t>1956-01</t>
        </is>
      </c>
      <c r="B58" s="22" t="n">
        <v>20455</v>
      </c>
      <c r="C58" s="22" t="n"/>
      <c r="D58" s="22" t="n"/>
      <c r="E58" s="22" t="n">
        <v>19968</v>
      </c>
      <c r="F58" s="83" t="inlineStr">
        <is>
          <t>1954-09</t>
        </is>
      </c>
      <c r="AE58" s="83" t="n">
        <v>0.02053089</v>
      </c>
    </row>
    <row r="59">
      <c r="A59" s="83" t="inlineStr">
        <is>
          <t>1956-02</t>
        </is>
      </c>
      <c r="B59" s="22" t="n">
        <v>20486</v>
      </c>
      <c r="C59" s="22" t="n"/>
      <c r="D59" s="22" t="n"/>
      <c r="E59" s="22" t="n">
        <v>19998</v>
      </c>
      <c r="F59" s="83" t="inlineStr">
        <is>
          <t>1954-10</t>
        </is>
      </c>
      <c r="AE59" s="83" t="n">
        <v>0.0207297</v>
      </c>
    </row>
    <row r="60">
      <c r="A60" s="83" t="inlineStr">
        <is>
          <t>1956-03</t>
        </is>
      </c>
      <c r="B60" s="22" t="n">
        <v>20515</v>
      </c>
      <c r="C60" s="22" t="n"/>
      <c r="D60" s="22" t="n"/>
      <c r="E60" s="22" t="n">
        <v>20029</v>
      </c>
      <c r="F60" s="83" t="inlineStr">
        <is>
          <t>1954-11</t>
        </is>
      </c>
      <c r="AE60" s="83" t="n">
        <v>0.02089457</v>
      </c>
    </row>
    <row r="61">
      <c r="A61" s="83" t="inlineStr">
        <is>
          <t>1956-04</t>
        </is>
      </c>
      <c r="B61" s="22" t="n">
        <v>20546</v>
      </c>
      <c r="C61" s="22" t="n"/>
      <c r="D61" s="22" t="n"/>
      <c r="E61" s="22" t="n">
        <v>20059</v>
      </c>
      <c r="F61" s="83" t="inlineStr">
        <is>
          <t>1954-12</t>
        </is>
      </c>
      <c r="AE61" s="83" t="n">
        <v>0.02113452</v>
      </c>
    </row>
    <row r="62">
      <c r="A62" s="83" t="inlineStr">
        <is>
          <t>1956-05</t>
        </is>
      </c>
      <c r="B62" s="22" t="n">
        <v>20576</v>
      </c>
      <c r="C62" s="22" t="n"/>
      <c r="D62" s="22" t="n"/>
      <c r="E62" s="22" t="n">
        <v>20090</v>
      </c>
      <c r="F62" s="83" t="inlineStr">
        <is>
          <t>1955-01</t>
        </is>
      </c>
      <c r="AE62" s="83" t="n">
        <v>0.02129337</v>
      </c>
    </row>
    <row r="63">
      <c r="A63" s="83" t="inlineStr">
        <is>
          <t>1956-06</t>
        </is>
      </c>
      <c r="B63" s="22" t="n">
        <v>20607</v>
      </c>
      <c r="C63" s="22" t="n"/>
      <c r="D63" s="22" t="n"/>
      <c r="E63" s="22" t="n">
        <v>20121</v>
      </c>
      <c r="F63" s="83" t="inlineStr">
        <is>
          <t>1955-02</t>
        </is>
      </c>
      <c r="AE63" s="83" t="n">
        <v>0.02140614</v>
      </c>
    </row>
    <row r="64">
      <c r="A64" s="83" t="inlineStr">
        <is>
          <t>1956-07</t>
        </is>
      </c>
      <c r="B64" s="22" t="n">
        <v>20637</v>
      </c>
      <c r="C64" s="22" t="n"/>
      <c r="D64" s="22" t="n"/>
      <c r="E64" s="22" t="n">
        <v>20149</v>
      </c>
      <c r="F64" s="83" t="inlineStr">
        <is>
          <t>1955-03</t>
        </is>
      </c>
      <c r="AE64" s="83" t="n">
        <v>0.02158276</v>
      </c>
    </row>
    <row r="65">
      <c r="A65" s="83" t="inlineStr">
        <is>
          <t>1956-08</t>
        </is>
      </c>
      <c r="B65" s="22" t="n">
        <v>20668</v>
      </c>
      <c r="C65" s="22" t="n"/>
      <c r="D65" s="22" t="n"/>
      <c r="E65" s="22" t="n">
        <v>20180</v>
      </c>
      <c r="F65" s="83" t="inlineStr">
        <is>
          <t>1955-04</t>
        </is>
      </c>
      <c r="AE65" s="83" t="n">
        <v>0.02172137</v>
      </c>
    </row>
    <row r="66">
      <c r="A66" s="83" t="inlineStr">
        <is>
          <t>1956-09</t>
        </is>
      </c>
      <c r="B66" s="22" t="n">
        <v>20699</v>
      </c>
      <c r="C66" s="22" t="n"/>
      <c r="D66" s="22" t="n"/>
      <c r="E66" s="22" t="n">
        <v>20210</v>
      </c>
      <c r="F66" s="83" t="inlineStr">
        <is>
          <t>1955-05</t>
        </is>
      </c>
      <c r="AE66" s="83" t="n">
        <v>0.02189018</v>
      </c>
    </row>
    <row r="67">
      <c r="A67" s="83" t="inlineStr">
        <is>
          <t>1956-10</t>
        </is>
      </c>
      <c r="B67" s="22" t="n">
        <v>20729</v>
      </c>
      <c r="C67" s="22" t="n"/>
      <c r="D67" s="22" t="n"/>
      <c r="E67" s="22" t="n">
        <v>20241</v>
      </c>
      <c r="F67" s="83" t="inlineStr">
        <is>
          <t>1955-06</t>
        </is>
      </c>
      <c r="AE67" s="83" t="n">
        <v>0.02216841</v>
      </c>
    </row>
    <row r="68">
      <c r="A68" s="83" t="inlineStr">
        <is>
          <t>1956-11</t>
        </is>
      </c>
      <c r="B68" s="22" t="n">
        <v>20760</v>
      </c>
      <c r="C68" s="22" t="n"/>
      <c r="D68" s="22" t="n"/>
      <c r="E68" s="22" t="n">
        <v>20271</v>
      </c>
      <c r="F68" s="83" t="inlineStr">
        <is>
          <t>1955-07</t>
        </is>
      </c>
      <c r="AE68" s="83" t="n">
        <v>0.02244945</v>
      </c>
    </row>
    <row r="69">
      <c r="A69" s="83" t="inlineStr">
        <is>
          <t>1956-12</t>
        </is>
      </c>
      <c r="B69" s="22" t="n">
        <v>20790</v>
      </c>
      <c r="C69" s="22" t="n"/>
      <c r="D69" s="22" t="n"/>
      <c r="E69" s="22" t="n">
        <v>20302</v>
      </c>
      <c r="F69" s="83" t="inlineStr">
        <is>
          <t>1955-08</t>
        </is>
      </c>
      <c r="AE69" s="83" t="n">
        <v>0.02268808</v>
      </c>
    </row>
    <row r="70">
      <c r="A70" s="83" t="inlineStr">
        <is>
          <t>1957-01</t>
        </is>
      </c>
      <c r="B70" s="22" t="n">
        <v>20821</v>
      </c>
      <c r="C70" s="22" t="n"/>
      <c r="D70" s="22" t="n"/>
      <c r="E70" s="22" t="n">
        <v>20333</v>
      </c>
      <c r="F70" s="83" t="inlineStr">
        <is>
          <t>1955-09</t>
        </is>
      </c>
      <c r="AE70" s="83" t="n">
        <v>0.02293799</v>
      </c>
    </row>
    <row r="71">
      <c r="A71" s="83" t="inlineStr">
        <is>
          <t>1957-02</t>
        </is>
      </c>
      <c r="B71" s="22" t="n">
        <v>20852</v>
      </c>
      <c r="C71" s="22" t="n"/>
      <c r="D71" s="22" t="n"/>
      <c r="E71" s="22" t="n">
        <v>20363</v>
      </c>
      <c r="F71" s="83" t="inlineStr">
        <is>
          <t>1955-10</t>
        </is>
      </c>
      <c r="AE71" s="83" t="n">
        <v>0.02317361</v>
      </c>
    </row>
    <row r="72">
      <c r="A72" s="83" t="inlineStr">
        <is>
          <t>1957-03</t>
        </is>
      </c>
      <c r="B72" s="22" t="n">
        <v>20880</v>
      </c>
      <c r="C72" s="22" t="n"/>
      <c r="D72" s="22" t="n"/>
      <c r="E72" s="22" t="n">
        <v>20394</v>
      </c>
      <c r="F72" s="83" t="inlineStr">
        <is>
          <t>1955-11</t>
        </is>
      </c>
      <c r="AE72" s="83" t="n">
        <v>0.02340135</v>
      </c>
    </row>
    <row r="73">
      <c r="A73" s="83" t="inlineStr">
        <is>
          <t>1957-04</t>
        </is>
      </c>
      <c r="B73" s="22" t="n">
        <v>20911</v>
      </c>
      <c r="C73" s="22" t="n"/>
      <c r="D73" s="22" t="n"/>
      <c r="E73" s="22" t="n">
        <v>20424</v>
      </c>
      <c r="F73" s="83" t="inlineStr">
        <is>
          <t>1955-12</t>
        </is>
      </c>
      <c r="AE73" s="83" t="n">
        <v>0.02364683</v>
      </c>
    </row>
    <row r="74">
      <c r="A74" s="83" t="inlineStr">
        <is>
          <t>1957-05</t>
        </is>
      </c>
      <c r="B74" s="22" t="n">
        <v>20941</v>
      </c>
      <c r="C74" s="22" t="n"/>
      <c r="D74" s="22" t="n"/>
      <c r="E74" s="22" t="n">
        <v>20455</v>
      </c>
      <c r="F74" s="83" t="inlineStr">
        <is>
          <t>1956-01</t>
        </is>
      </c>
      <c r="AE74" s="83" t="n">
        <v>0.02386169</v>
      </c>
    </row>
    <row r="75">
      <c r="A75" s="83" t="inlineStr">
        <is>
          <t>1957-06</t>
        </is>
      </c>
      <c r="B75" s="22" t="n">
        <v>20972</v>
      </c>
      <c r="C75" s="22" t="n"/>
      <c r="D75" s="22" t="n"/>
      <c r="E75" s="22" t="n">
        <v>20486</v>
      </c>
      <c r="F75" s="83" t="inlineStr">
        <is>
          <t>1956-02</t>
        </is>
      </c>
      <c r="AE75" s="83" t="n">
        <v>0.02397555</v>
      </c>
    </row>
    <row r="76">
      <c r="A76" s="83" t="inlineStr">
        <is>
          <t>1957-07</t>
        </is>
      </c>
      <c r="B76" s="22" t="n">
        <v>21002</v>
      </c>
      <c r="C76" s="22" t="n"/>
      <c r="D76" s="22" t="n"/>
      <c r="E76" s="22" t="n">
        <v>20515</v>
      </c>
      <c r="F76" s="83" t="inlineStr">
        <is>
          <t>1956-03</t>
        </is>
      </c>
      <c r="AE76" s="83" t="n">
        <v>0.02420798</v>
      </c>
    </row>
    <row r="77">
      <c r="A77" s="83" t="inlineStr">
        <is>
          <t>1957-08</t>
        </is>
      </c>
      <c r="B77" s="22" t="n">
        <v>21033</v>
      </c>
      <c r="C77" s="22" t="n"/>
      <c r="D77" s="22" t="n"/>
      <c r="E77" s="22" t="n">
        <v>20546</v>
      </c>
      <c r="F77" s="83" t="inlineStr">
        <is>
          <t>1956-04</t>
        </is>
      </c>
      <c r="AE77" s="83" t="n">
        <v>0.02448121</v>
      </c>
    </row>
    <row r="78">
      <c r="A78" s="83" t="inlineStr">
        <is>
          <t>1957-09</t>
        </is>
      </c>
      <c r="B78" s="22" t="n">
        <v>21064</v>
      </c>
      <c r="C78" s="22" t="n"/>
      <c r="D78" s="22" t="n"/>
      <c r="E78" s="22" t="n">
        <v>20576</v>
      </c>
      <c r="F78" s="83" t="inlineStr">
        <is>
          <t>1956-05</t>
        </is>
      </c>
      <c r="AE78" s="83" t="n">
        <v>0.02463705</v>
      </c>
    </row>
    <row r="79">
      <c r="A79" s="83" t="inlineStr">
        <is>
          <t>1957-10</t>
        </is>
      </c>
      <c r="B79" s="22" t="n">
        <v>21094</v>
      </c>
      <c r="C79" s="22" t="n"/>
      <c r="D79" s="22" t="n"/>
      <c r="E79" s="22" t="n">
        <v>20607</v>
      </c>
      <c r="F79" s="83" t="inlineStr">
        <is>
          <t>1956-06</t>
        </is>
      </c>
      <c r="AE79" s="83" t="n">
        <v>0.02474315</v>
      </c>
    </row>
    <row r="80">
      <c r="A80" s="83" t="inlineStr">
        <is>
          <t>1957-11</t>
        </is>
      </c>
      <c r="B80" s="22" t="n">
        <v>21125</v>
      </c>
      <c r="C80" s="22" t="n"/>
      <c r="D80" s="22" t="n"/>
      <c r="E80" s="22" t="n">
        <v>20637</v>
      </c>
      <c r="F80" s="83" t="inlineStr">
        <is>
          <t>1956-07</t>
        </is>
      </c>
      <c r="AE80" s="83" t="n">
        <v>0.02481187</v>
      </c>
    </row>
    <row r="81">
      <c r="A81" s="83" t="inlineStr">
        <is>
          <t>1957-12</t>
        </is>
      </c>
      <c r="B81" s="22" t="n">
        <v>21155</v>
      </c>
      <c r="C81" s="22" t="n"/>
      <c r="D81" s="22" t="n"/>
      <c r="E81" s="22" t="n">
        <v>20668</v>
      </c>
      <c r="F81" s="83" t="inlineStr">
        <is>
          <t>1956-08</t>
        </is>
      </c>
      <c r="AE81" s="83" t="n">
        <v>0.0249367</v>
      </c>
    </row>
    <row r="82">
      <c r="A82" s="83" t="inlineStr">
        <is>
          <t>1958-01</t>
        </is>
      </c>
      <c r="B82" s="22" t="n">
        <v>21186</v>
      </c>
      <c r="C82" s="22" t="n"/>
      <c r="D82" s="22" t="n"/>
      <c r="E82" s="22" t="n">
        <v>20699</v>
      </c>
      <c r="F82" s="83" t="inlineStr">
        <is>
          <t>1956-09</t>
        </is>
      </c>
      <c r="AE82" s="83" t="n">
        <v>0.02501603</v>
      </c>
    </row>
    <row r="83">
      <c r="A83" s="83" t="inlineStr">
        <is>
          <t>1958-02</t>
        </is>
      </c>
      <c r="B83" s="22" t="n">
        <v>21217</v>
      </c>
      <c r="C83" s="22" t="n"/>
      <c r="D83" s="22" t="n"/>
      <c r="E83" s="22" t="n">
        <v>20729</v>
      </c>
      <c r="F83" s="83" t="inlineStr">
        <is>
          <t>1956-10</t>
        </is>
      </c>
      <c r="AE83" s="83" t="n">
        <v>0.02502405</v>
      </c>
    </row>
    <row r="84">
      <c r="A84" s="83" t="inlineStr">
        <is>
          <t>1958-03</t>
        </is>
      </c>
      <c r="B84" s="22" t="n">
        <v>21245</v>
      </c>
      <c r="C84" s="22" t="n"/>
      <c r="D84" s="22" t="n"/>
      <c r="E84" s="22" t="n">
        <v>20760</v>
      </c>
      <c r="F84" s="83" t="inlineStr">
        <is>
          <t>1956-11</t>
        </is>
      </c>
      <c r="AE84" s="83" t="n">
        <v>0.02519036</v>
      </c>
    </row>
    <row r="85">
      <c r="A85" s="83" t="inlineStr">
        <is>
          <t>1958-04</t>
        </is>
      </c>
      <c r="B85" s="22" t="n">
        <v>21276</v>
      </c>
      <c r="C85" s="22" t="n"/>
      <c r="D85" s="22" t="n"/>
      <c r="E85" s="22" t="n">
        <v>20790</v>
      </c>
      <c r="F85" s="83" t="inlineStr">
        <is>
          <t>1956-12</t>
        </is>
      </c>
      <c r="AE85" s="83" t="n">
        <v>0.02541433</v>
      </c>
    </row>
    <row r="86">
      <c r="A86" s="83" t="inlineStr">
        <is>
          <t>1958-05</t>
        </is>
      </c>
      <c r="B86" s="22" t="n">
        <v>21306</v>
      </c>
      <c r="C86" s="22" t="n"/>
      <c r="D86" s="22" t="n"/>
      <c r="E86" s="22" t="n">
        <v>20821</v>
      </c>
      <c r="F86" s="83" t="inlineStr">
        <is>
          <t>1957-01</t>
        </is>
      </c>
      <c r="AE86" s="83" t="n">
        <v>0.02557109</v>
      </c>
    </row>
    <row r="87">
      <c r="A87" s="83" t="inlineStr">
        <is>
          <t>1958-06</t>
        </is>
      </c>
      <c r="B87" s="22" t="n">
        <v>21337</v>
      </c>
      <c r="C87" s="22" t="n"/>
      <c r="D87" s="22" t="n"/>
      <c r="E87" s="22" t="n">
        <v>20852</v>
      </c>
      <c r="F87" s="83" t="inlineStr">
        <is>
          <t>1957-02</t>
        </is>
      </c>
      <c r="AE87" s="83" t="n">
        <v>0.02577497</v>
      </c>
    </row>
    <row r="88">
      <c r="A88" s="83" t="inlineStr">
        <is>
          <t>1958-07</t>
        </is>
      </c>
      <c r="B88" s="22" t="n">
        <v>21367</v>
      </c>
      <c r="C88" s="22" t="n"/>
      <c r="D88" s="22" t="n"/>
      <c r="E88" s="22" t="n">
        <v>20880</v>
      </c>
      <c r="F88" s="83" t="inlineStr">
        <is>
          <t>1957-03</t>
        </is>
      </c>
      <c r="AE88" s="83" t="n">
        <v>0.02598824</v>
      </c>
    </row>
    <row r="89">
      <c r="A89" s="83" t="inlineStr">
        <is>
          <t>1958-08</t>
        </is>
      </c>
      <c r="B89" s="22" t="n">
        <v>21398</v>
      </c>
      <c r="C89" s="22" t="n"/>
      <c r="D89" s="22" t="n"/>
      <c r="E89" s="22" t="n">
        <v>20911</v>
      </c>
      <c r="F89" s="83" t="inlineStr">
        <is>
          <t>1957-04</t>
        </is>
      </c>
      <c r="AE89" s="83" t="n">
        <v>0.02624388</v>
      </c>
    </row>
    <row r="90">
      <c r="A90" s="83" t="inlineStr">
        <is>
          <t>1958-09</t>
        </is>
      </c>
      <c r="B90" s="22" t="n">
        <v>21429</v>
      </c>
      <c r="C90" s="22" t="n"/>
      <c r="D90" s="22" t="n"/>
      <c r="E90" s="22" t="n">
        <v>20941</v>
      </c>
      <c r="F90" s="83" t="inlineStr">
        <is>
          <t>1957-05</t>
        </is>
      </c>
      <c r="AE90" s="83" t="n">
        <v>0.02662859</v>
      </c>
    </row>
    <row r="91">
      <c r="A91" s="83" t="inlineStr">
        <is>
          <t>1958-10</t>
        </is>
      </c>
      <c r="B91" s="22" t="n">
        <v>21459</v>
      </c>
      <c r="C91" s="22" t="n"/>
      <c r="D91" s="22" t="n"/>
      <c r="E91" s="22" t="n">
        <v>20972</v>
      </c>
      <c r="F91" s="83" t="inlineStr">
        <is>
          <t>1957-06</t>
        </is>
      </c>
      <c r="AE91" s="83" t="n">
        <v>0.0269542</v>
      </c>
    </row>
    <row r="92">
      <c r="A92" s="83" t="inlineStr">
        <is>
          <t>1958-11</t>
        </is>
      </c>
      <c r="B92" s="22" t="n">
        <v>21490</v>
      </c>
      <c r="C92" s="22" t="n"/>
      <c r="D92" s="22" t="n"/>
      <c r="E92" s="22" t="n">
        <v>21002</v>
      </c>
      <c r="F92" s="83" t="inlineStr">
        <is>
          <t>1957-07</t>
        </is>
      </c>
      <c r="AE92" s="83" t="n">
        <v>0.0271161</v>
      </c>
    </row>
    <row r="93">
      <c r="A93" s="83" t="inlineStr">
        <is>
          <t>1958-12</t>
        </is>
      </c>
      <c r="B93" s="22" t="n">
        <v>21520</v>
      </c>
      <c r="C93" s="22" t="n"/>
      <c r="D93" s="22" t="n"/>
      <c r="E93" s="22" t="n">
        <v>21033</v>
      </c>
      <c r="F93" s="83" t="inlineStr">
        <is>
          <t>1957-08</t>
        </is>
      </c>
      <c r="AE93" s="83" t="n">
        <v>0.02712583</v>
      </c>
    </row>
    <row r="94">
      <c r="A94" s="83" t="inlineStr">
        <is>
          <t>1959-01</t>
        </is>
      </c>
      <c r="B94" s="22" t="n">
        <v>21551</v>
      </c>
      <c r="C94" s="22" t="n"/>
      <c r="D94" s="22" t="n"/>
      <c r="E94" s="22" t="n">
        <v>21064</v>
      </c>
      <c r="F94" s="83" t="inlineStr">
        <is>
          <t>1957-09</t>
        </is>
      </c>
      <c r="AE94" s="83" t="n">
        <v>0.02726255</v>
      </c>
    </row>
    <row r="95">
      <c r="A95" s="83" t="inlineStr">
        <is>
          <t>1959-02</t>
        </is>
      </c>
      <c r="B95" s="22" t="n">
        <v>21582</v>
      </c>
      <c r="C95" s="22" t="n"/>
      <c r="D95" s="22" t="n"/>
      <c r="E95" s="22" t="n">
        <v>21094</v>
      </c>
      <c r="F95" s="83" t="inlineStr">
        <is>
          <t>1957-10</t>
        </is>
      </c>
      <c r="AE95" s="83" t="n">
        <v>0.02758421</v>
      </c>
    </row>
    <row r="96">
      <c r="A96" s="83" t="inlineStr">
        <is>
          <t>1959-03</t>
        </is>
      </c>
      <c r="B96" s="22" t="n">
        <v>21610</v>
      </c>
      <c r="C96" s="22" t="n"/>
      <c r="D96" s="22" t="n"/>
      <c r="E96" s="22" t="n">
        <v>21125</v>
      </c>
      <c r="F96" s="83" t="inlineStr">
        <is>
          <t>1957-11</t>
        </is>
      </c>
      <c r="AE96" s="83" t="n">
        <v>0.02777503</v>
      </c>
    </row>
    <row r="97">
      <c r="A97" s="83" t="inlineStr">
        <is>
          <t>1959-04</t>
        </is>
      </c>
      <c r="B97" s="22" t="n">
        <v>21641</v>
      </c>
      <c r="C97" s="22" t="n"/>
      <c r="D97" s="22" t="n"/>
      <c r="E97" s="22" t="n">
        <v>21155</v>
      </c>
      <c r="F97" s="83" t="inlineStr">
        <is>
          <t>1957-12</t>
        </is>
      </c>
      <c r="AE97" s="83" t="n">
        <v>0.02794308</v>
      </c>
    </row>
    <row r="98">
      <c r="A98" s="83" t="inlineStr">
        <is>
          <t>1959-05</t>
        </is>
      </c>
      <c r="B98" s="22" t="n">
        <v>21671</v>
      </c>
      <c r="C98" s="22" t="n"/>
      <c r="D98" s="22" t="n"/>
      <c r="E98" s="22" t="n">
        <v>21186</v>
      </c>
      <c r="F98" s="83" t="inlineStr">
        <is>
          <t>1958-01</t>
        </is>
      </c>
      <c r="AE98" s="83" t="n">
        <v>0.02820776</v>
      </c>
    </row>
    <row r="99">
      <c r="A99" s="83" t="inlineStr">
        <is>
          <t>1959-06</t>
        </is>
      </c>
      <c r="B99" s="22" t="n">
        <v>21702</v>
      </c>
      <c r="C99" s="22" t="n"/>
      <c r="D99" s="22" t="n"/>
      <c r="E99" s="22" t="n">
        <v>21217</v>
      </c>
      <c r="F99" s="83" t="inlineStr">
        <is>
          <t>1958-02</t>
        </is>
      </c>
      <c r="AE99" s="83" t="n">
        <v>0.02843766</v>
      </c>
    </row>
    <row r="100">
      <c r="A100" s="83" t="inlineStr">
        <is>
          <t>1959-07</t>
        </is>
      </c>
      <c r="B100" s="22" t="n">
        <v>21732</v>
      </c>
      <c r="C100" s="22" t="n"/>
      <c r="D100" s="22" t="n"/>
      <c r="E100" s="22" t="n">
        <v>21245</v>
      </c>
      <c r="F100" s="83" t="inlineStr">
        <is>
          <t>1958-03</t>
        </is>
      </c>
      <c r="AE100" s="83" t="n">
        <v>0.02864417</v>
      </c>
    </row>
    <row r="101">
      <c r="A101" s="83" t="inlineStr">
        <is>
          <t>1959-08</t>
        </is>
      </c>
      <c r="B101" s="22" t="n">
        <v>21763</v>
      </c>
      <c r="C101" s="22" t="n"/>
      <c r="D101" s="22" t="n"/>
      <c r="E101" s="22" t="n">
        <v>21276</v>
      </c>
      <c r="F101" s="83" t="inlineStr">
        <is>
          <t>1958-04</t>
        </is>
      </c>
      <c r="AE101" s="83" t="n">
        <v>0.02889908</v>
      </c>
    </row>
    <row r="102">
      <c r="A102" s="83" t="inlineStr">
        <is>
          <t>1959-09</t>
        </is>
      </c>
      <c r="B102" s="22" t="n">
        <v>21794</v>
      </c>
      <c r="C102" s="22" t="n"/>
      <c r="D102" s="22" t="n"/>
      <c r="E102" s="22" t="n">
        <v>21306</v>
      </c>
      <c r="F102" s="83" t="inlineStr">
        <is>
          <t>1958-05</t>
        </is>
      </c>
      <c r="AE102" s="83" t="n">
        <v>0.02900126</v>
      </c>
    </row>
    <row r="103">
      <c r="A103" s="83" t="inlineStr">
        <is>
          <t>1959-10</t>
        </is>
      </c>
      <c r="B103" s="22" t="n">
        <v>21824</v>
      </c>
      <c r="C103" s="22" t="n"/>
      <c r="D103" s="22" t="n"/>
      <c r="E103" s="22" t="n">
        <v>21337</v>
      </c>
      <c r="F103" s="83" t="inlineStr">
        <is>
          <t>1958-06</t>
        </is>
      </c>
      <c r="AE103" s="83" t="n">
        <v>0.02901862</v>
      </c>
    </row>
    <row r="104">
      <c r="A104" s="83" t="inlineStr">
        <is>
          <t>1959-11</t>
        </is>
      </c>
      <c r="B104" s="22" t="n">
        <v>21855</v>
      </c>
      <c r="C104" s="22" t="n"/>
      <c r="D104" s="22" t="n"/>
      <c r="E104" s="22" t="n">
        <v>21367</v>
      </c>
      <c r="F104" s="83" t="inlineStr">
        <is>
          <t>1958-07</t>
        </is>
      </c>
      <c r="AE104" s="83" t="n">
        <v>0.02925667</v>
      </c>
    </row>
    <row r="105">
      <c r="A105" s="83" t="inlineStr">
        <is>
          <t>1959-12</t>
        </is>
      </c>
      <c r="B105" s="22" t="n">
        <v>21885</v>
      </c>
      <c r="C105" s="22" t="n"/>
      <c r="D105" s="22" t="n"/>
      <c r="E105" s="22" t="n">
        <v>21398</v>
      </c>
      <c r="F105" s="83" t="inlineStr">
        <is>
          <t>1958-08</t>
        </is>
      </c>
      <c r="AE105" s="83" t="n">
        <v>0.02951354</v>
      </c>
    </row>
    <row r="106">
      <c r="A106" s="83" t="inlineStr">
        <is>
          <t>1960-01</t>
        </is>
      </c>
      <c r="B106" s="22" t="n">
        <v>21916</v>
      </c>
      <c r="C106" s="22" t="n"/>
      <c r="D106" s="22" t="n"/>
      <c r="E106" s="22" t="n">
        <v>21429</v>
      </c>
      <c r="F106" s="83" t="inlineStr">
        <is>
          <t>1958-09</t>
        </is>
      </c>
      <c r="AE106" s="83" t="n">
        <v>0.02974491</v>
      </c>
    </row>
    <row r="107">
      <c r="A107" s="83" t="inlineStr">
        <is>
          <t>1960-02</t>
        </is>
      </c>
      <c r="B107" s="22" t="n">
        <v>21947</v>
      </c>
      <c r="C107" s="22" t="n"/>
      <c r="D107" s="22" t="n"/>
      <c r="E107" s="22" t="n">
        <v>21459</v>
      </c>
      <c r="F107" s="83" t="inlineStr">
        <is>
          <t>1958-10</t>
        </is>
      </c>
      <c r="AE107" s="83" t="n">
        <v>0.03009202</v>
      </c>
    </row>
    <row r="108">
      <c r="A108" s="83" t="inlineStr">
        <is>
          <t>1960-03</t>
        </is>
      </c>
      <c r="B108" s="22" t="n">
        <v>21976</v>
      </c>
      <c r="C108" s="22" t="n"/>
      <c r="D108" s="22" t="n"/>
      <c r="E108" s="22" t="n">
        <v>21490</v>
      </c>
      <c r="F108" s="83" t="inlineStr">
        <is>
          <t>1958-11</t>
        </is>
      </c>
      <c r="AE108" s="83" t="n">
        <v>0.03041643</v>
      </c>
    </row>
    <row r="109">
      <c r="A109" s="83" t="inlineStr">
        <is>
          <t>1960-04</t>
        </is>
      </c>
      <c r="B109" s="22" t="n">
        <v>22007</v>
      </c>
      <c r="C109" s="22" t="n"/>
      <c r="D109" s="22" t="n"/>
      <c r="E109" s="22" t="n">
        <v>21520</v>
      </c>
      <c r="F109" s="83" t="inlineStr">
        <is>
          <t>1958-12</t>
        </is>
      </c>
      <c r="AE109" s="83" t="n">
        <v>0.03068341</v>
      </c>
    </row>
    <row r="110">
      <c r="A110" s="83" t="inlineStr">
        <is>
          <t>1960-05</t>
        </is>
      </c>
      <c r="B110" s="22" t="n">
        <v>22037</v>
      </c>
      <c r="C110" s="22" t="n"/>
      <c r="D110" s="22" t="n"/>
      <c r="E110" s="22" t="n">
        <v>21551</v>
      </c>
      <c r="F110" s="83" t="inlineStr">
        <is>
          <t>1959-01</t>
        </is>
      </c>
      <c r="AE110" s="83" t="n">
        <v>0.03086665</v>
      </c>
      <c r="BB110" s="83" t="n">
        <v>2.381699</v>
      </c>
    </row>
    <row r="111">
      <c r="A111" s="83" t="inlineStr">
        <is>
          <t>1960-06</t>
        </is>
      </c>
      <c r="B111" s="22" t="n">
        <v>22068</v>
      </c>
      <c r="C111" s="22" t="n"/>
      <c r="D111" s="22" t="n"/>
      <c r="E111" s="22" t="n">
        <v>21582</v>
      </c>
      <c r="F111" s="83" t="inlineStr">
        <is>
          <t>1959-02</t>
        </is>
      </c>
      <c r="AE111" s="83" t="n">
        <v>0.03111897</v>
      </c>
      <c r="BB111" s="83" t="n">
        <v>2.390841</v>
      </c>
    </row>
    <row r="112">
      <c r="A112" s="83" t="inlineStr">
        <is>
          <t>1960-07</t>
        </is>
      </c>
      <c r="B112" s="22" t="n">
        <v>22098</v>
      </c>
      <c r="C112" s="22" t="n"/>
      <c r="D112" s="22" t="n"/>
      <c r="E112" s="22" t="n">
        <v>21610</v>
      </c>
      <c r="F112" s="83" t="inlineStr">
        <is>
          <t>1959-03</t>
        </is>
      </c>
      <c r="AE112" s="83" t="n">
        <v>0.03146537</v>
      </c>
      <c r="BB112" s="83" t="n">
        <v>2.403306</v>
      </c>
    </row>
    <row r="113">
      <c r="A113" s="83" t="inlineStr">
        <is>
          <t>1960-08</t>
        </is>
      </c>
      <c r="B113" s="22" t="n">
        <v>22129</v>
      </c>
      <c r="C113" s="22" t="n"/>
      <c r="D113" s="22" t="n"/>
      <c r="E113" s="22" t="n">
        <v>21641</v>
      </c>
      <c r="F113" s="83" t="inlineStr">
        <is>
          <t>1959-04</t>
        </is>
      </c>
      <c r="AE113" s="83" t="n">
        <v>0.0318509</v>
      </c>
      <c r="BB113" s="83" t="n">
        <v>2.410785</v>
      </c>
    </row>
    <row r="114">
      <c r="A114" s="83" t="inlineStr">
        <is>
          <t>1960-09</t>
        </is>
      </c>
      <c r="B114" s="22" t="n">
        <v>22160</v>
      </c>
      <c r="C114" s="22" t="n"/>
      <c r="D114" s="22" t="n"/>
      <c r="E114" s="22" t="n">
        <v>21671</v>
      </c>
      <c r="F114" s="83" t="inlineStr">
        <is>
          <t>1959-05</t>
        </is>
      </c>
      <c r="AE114" s="83" t="n">
        <v>0.03219203</v>
      </c>
      <c r="BB114" s="83" t="n">
        <v>2.428236</v>
      </c>
    </row>
    <row r="115">
      <c r="A115" s="83" t="inlineStr">
        <is>
          <t>1960-10</t>
        </is>
      </c>
      <c r="B115" s="22" t="n">
        <v>22190</v>
      </c>
      <c r="C115" s="22" t="n"/>
      <c r="D115" s="22" t="n"/>
      <c r="E115" s="22" t="n">
        <v>21702</v>
      </c>
      <c r="F115" s="83" t="inlineStr">
        <is>
          <t>1959-06</t>
        </is>
      </c>
      <c r="AE115" s="83" t="n">
        <v>0.03248151</v>
      </c>
      <c r="BB115" s="83" t="n">
        <v>2.444026</v>
      </c>
    </row>
    <row r="116">
      <c r="A116" s="83" t="inlineStr">
        <is>
          <t>1960-11</t>
        </is>
      </c>
      <c r="B116" s="22" t="n">
        <v>22221</v>
      </c>
      <c r="C116" s="22" t="n"/>
      <c r="D116" s="22" t="n"/>
      <c r="E116" s="22" t="n">
        <v>21732</v>
      </c>
      <c r="F116" s="83" t="inlineStr">
        <is>
          <t>1959-07</t>
        </is>
      </c>
      <c r="AE116" s="83" t="n">
        <v>0.03275714</v>
      </c>
      <c r="BB116" s="83" t="n">
        <v>2.453167</v>
      </c>
    </row>
    <row r="117">
      <c r="A117" s="83" t="inlineStr">
        <is>
          <t>1960-12</t>
        </is>
      </c>
      <c r="B117" s="22" t="n">
        <v>22251</v>
      </c>
      <c r="C117" s="22" t="n"/>
      <c r="D117" s="22" t="n"/>
      <c r="E117" s="22" t="n">
        <v>21763</v>
      </c>
      <c r="F117" s="83" t="inlineStr">
        <is>
          <t>1959-08</t>
        </is>
      </c>
      <c r="AE117" s="83" t="n">
        <v>0.03307686</v>
      </c>
      <c r="BB117" s="83" t="n">
        <v>2.463139</v>
      </c>
    </row>
    <row r="118">
      <c r="A118" s="83" t="inlineStr">
        <is>
          <t>1961-01</t>
        </is>
      </c>
      <c r="B118" s="22" t="n">
        <v>22282</v>
      </c>
      <c r="C118" s="22" t="n"/>
      <c r="D118" s="22" t="n"/>
      <c r="E118" s="22" t="n">
        <v>21794</v>
      </c>
      <c r="F118" s="83" t="inlineStr">
        <is>
          <t>1959-09</t>
        </is>
      </c>
      <c r="AE118" s="83" t="n">
        <v>0.03344864</v>
      </c>
      <c r="BB118" s="83" t="n">
        <v>2.465632</v>
      </c>
    </row>
    <row r="119">
      <c r="A119" s="83" t="inlineStr">
        <is>
          <t>1961-02</t>
        </is>
      </c>
      <c r="B119" s="22" t="n">
        <v>22313</v>
      </c>
      <c r="C119" s="22" t="n"/>
      <c r="D119" s="22" t="n"/>
      <c r="E119" s="22" t="n">
        <v>21824</v>
      </c>
      <c r="F119" s="83" t="inlineStr">
        <is>
          <t>1959-10</t>
        </is>
      </c>
      <c r="AE119" s="83" t="n">
        <v>0.03377498</v>
      </c>
      <c r="BB119" s="83" t="n">
        <v>2.46397</v>
      </c>
    </row>
    <row r="120">
      <c r="A120" s="83" t="inlineStr">
        <is>
          <t>1961-03</t>
        </is>
      </c>
      <c r="B120" s="22" t="n">
        <v>22341</v>
      </c>
      <c r="C120" s="22" t="n"/>
      <c r="D120" s="22" t="n"/>
      <c r="E120" s="22" t="n">
        <v>21855</v>
      </c>
      <c r="F120" s="83" t="inlineStr">
        <is>
          <t>1959-11</t>
        </is>
      </c>
      <c r="AE120" s="83" t="n">
        <v>0.03407843</v>
      </c>
      <c r="BB120" s="83" t="n">
        <v>2.468956</v>
      </c>
    </row>
    <row r="121">
      <c r="A121" s="83" t="inlineStr">
        <is>
          <t>1961-04</t>
        </is>
      </c>
      <c r="B121" s="22" t="n">
        <v>22372</v>
      </c>
      <c r="C121" s="22" t="n"/>
      <c r="D121" s="22" t="n"/>
      <c r="E121" s="22" t="n">
        <v>21885</v>
      </c>
      <c r="F121" s="83" t="inlineStr">
        <is>
          <t>1959-12</t>
        </is>
      </c>
      <c r="AE121" s="83" t="n">
        <v>0.03437842</v>
      </c>
      <c r="BB121" s="83" t="n">
        <v>2.474773</v>
      </c>
    </row>
    <row r="122">
      <c r="A122" s="83" t="inlineStr">
        <is>
          <t>1961-05</t>
        </is>
      </c>
      <c r="B122" s="22" t="n">
        <v>22402</v>
      </c>
      <c r="C122" s="22" t="n"/>
      <c r="D122" s="22" t="n"/>
      <c r="E122" s="22" t="n">
        <v>21916</v>
      </c>
      <c r="F122" s="83" t="inlineStr">
        <is>
          <t>1960-01</t>
        </is>
      </c>
      <c r="AE122" s="83" t="n">
        <v>0.03471427</v>
      </c>
      <c r="BB122" s="83" t="n">
        <v>2.478097</v>
      </c>
    </row>
    <row r="123">
      <c r="A123" s="83" t="inlineStr">
        <is>
          <t>1961-06</t>
        </is>
      </c>
      <c r="B123" s="22" t="n">
        <v>22433</v>
      </c>
      <c r="C123" s="22" t="n"/>
      <c r="D123" s="22" t="n"/>
      <c r="E123" s="22" t="n">
        <v>21947</v>
      </c>
      <c r="F123" s="83" t="inlineStr">
        <is>
          <t>1960-02</t>
        </is>
      </c>
      <c r="G123" s="83" t="n">
        <v>0.3946056</v>
      </c>
      <c r="AE123" s="83" t="n">
        <v>0.03502077</v>
      </c>
      <c r="AG123" s="83" t="n">
        <v>0.001843192</v>
      </c>
      <c r="AQ123" s="83" t="n">
        <v>0.890502</v>
      </c>
      <c r="AZ123" s="83" t="n">
        <v>1.717802</v>
      </c>
      <c r="BB123" s="83" t="n">
        <v>2.480591</v>
      </c>
    </row>
    <row r="124">
      <c r="A124" s="83" t="inlineStr">
        <is>
          <t>1961-07</t>
        </is>
      </c>
      <c r="B124" s="22" t="n">
        <v>22463</v>
      </c>
      <c r="C124" s="22" t="n"/>
      <c r="D124" s="22" t="n"/>
      <c r="E124" s="22" t="n">
        <v>21976</v>
      </c>
      <c r="F124" s="83" t="inlineStr">
        <is>
          <t>1960-03</t>
        </is>
      </c>
      <c r="G124" s="83" t="n">
        <v>0.3977716</v>
      </c>
      <c r="AE124" s="83" t="n">
        <v>0.03526168</v>
      </c>
      <c r="AG124" s="83" t="n">
        <v>0.001862959</v>
      </c>
      <c r="AQ124" s="83" t="n">
        <v>0.8956847999999999</v>
      </c>
      <c r="AZ124" s="83" t="n">
        <v>1.718916</v>
      </c>
      <c r="BB124" s="83" t="n">
        <v>2.48807</v>
      </c>
    </row>
    <row r="125">
      <c r="A125" s="83" t="inlineStr">
        <is>
          <t>1961-08</t>
        </is>
      </c>
      <c r="B125" s="22" t="n">
        <v>22494</v>
      </c>
      <c r="C125" s="22" t="n"/>
      <c r="D125" s="22" t="n"/>
      <c r="E125" s="22" t="n">
        <v>22007</v>
      </c>
      <c r="F125" s="83" t="inlineStr">
        <is>
          <t>1960-04</t>
        </is>
      </c>
      <c r="G125" s="83" t="n">
        <v>0.4003493</v>
      </c>
      <c r="AE125" s="83" t="n">
        <v>0.03547155</v>
      </c>
      <c r="AG125" s="83" t="n">
        <v>0.001897963</v>
      </c>
      <c r="AQ125" s="83" t="n">
        <v>0.8997979</v>
      </c>
      <c r="AZ125" s="83" t="n">
        <v>1.714388</v>
      </c>
      <c r="BB125" s="83" t="n">
        <v>2.493887</v>
      </c>
    </row>
    <row r="126">
      <c r="A126" s="83" t="inlineStr">
        <is>
          <t>1961-09</t>
        </is>
      </c>
      <c r="B126" s="22" t="n">
        <v>22525</v>
      </c>
      <c r="C126" s="22" t="n"/>
      <c r="D126" s="22" t="n"/>
      <c r="E126" s="22" t="n">
        <v>22037</v>
      </c>
      <c r="F126" s="83" t="inlineStr">
        <is>
          <t>1960-05</t>
        </is>
      </c>
      <c r="G126" s="83" t="n">
        <v>0.4048041</v>
      </c>
      <c r="AE126" s="83" t="n">
        <v>0.03568349</v>
      </c>
      <c r="AG126" s="83" t="n">
        <v>0.00193327</v>
      </c>
      <c r="AQ126" s="83" t="n">
        <v>0.9022519</v>
      </c>
      <c r="AZ126" s="83" t="n">
        <v>1.718725</v>
      </c>
      <c r="BB126" s="83" t="n">
        <v>2.500535</v>
      </c>
    </row>
    <row r="127">
      <c r="A127" s="83" t="inlineStr">
        <is>
          <t>1961-10</t>
        </is>
      </c>
      <c r="B127" s="22" t="n">
        <v>22555</v>
      </c>
      <c r="C127" s="22" t="n"/>
      <c r="D127" s="22" t="n"/>
      <c r="E127" s="22" t="n">
        <v>22068</v>
      </c>
      <c r="F127" s="83" t="inlineStr">
        <is>
          <t>1960-06</t>
        </is>
      </c>
      <c r="G127" s="83" t="n">
        <v>0.4070456</v>
      </c>
      <c r="AE127" s="83" t="n">
        <v>0.03591917</v>
      </c>
      <c r="AG127" s="83" t="n">
        <v>0.001970521</v>
      </c>
      <c r="AQ127" s="83" t="n">
        <v>0.9079137</v>
      </c>
      <c r="AZ127" s="83" t="n">
        <v>1.730103</v>
      </c>
      <c r="BB127" s="83" t="n">
        <v>2.512169</v>
      </c>
    </row>
    <row r="128">
      <c r="A128" s="83" t="inlineStr">
        <is>
          <t>1961-11</t>
        </is>
      </c>
      <c r="B128" s="22" t="n">
        <v>22586</v>
      </c>
      <c r="C128" s="22" t="n"/>
      <c r="D128" s="22" t="n"/>
      <c r="E128" s="22" t="n">
        <v>22098</v>
      </c>
      <c r="F128" s="83" t="inlineStr">
        <is>
          <t>1960-07</t>
        </is>
      </c>
      <c r="G128" s="83" t="n">
        <v>0.4082223</v>
      </c>
      <c r="AE128" s="83" t="n">
        <v>0.03608637</v>
      </c>
      <c r="AG128" s="83" t="n">
        <v>0.001997082</v>
      </c>
      <c r="AQ128" s="83" t="n">
        <v>0.9145309</v>
      </c>
      <c r="AZ128" s="83" t="n">
        <v>1.728862</v>
      </c>
      <c r="BB128" s="83" t="n">
        <v>2.527128</v>
      </c>
    </row>
    <row r="129">
      <c r="A129" s="83" t="inlineStr">
        <is>
          <t>1961-12</t>
        </is>
      </c>
      <c r="B129" s="22" t="n">
        <v>22616</v>
      </c>
      <c r="C129" s="22" t="n"/>
      <c r="D129" s="22" t="n"/>
      <c r="E129" s="22" t="n">
        <v>22129</v>
      </c>
      <c r="F129" s="83" t="inlineStr">
        <is>
          <t>1960-08</t>
        </is>
      </c>
      <c r="G129" s="83" t="n">
        <v>0.4097073</v>
      </c>
      <c r="AE129" s="83" t="n">
        <v>0.03630234</v>
      </c>
      <c r="AG129" s="83" t="n">
        <v>0.002012364</v>
      </c>
      <c r="AQ129" s="83" t="n">
        <v>0.9205787</v>
      </c>
      <c r="AZ129" s="83" t="n">
        <v>1.724072</v>
      </c>
      <c r="BB129" s="83" t="n">
        <v>2.550396</v>
      </c>
    </row>
    <row r="130">
      <c r="A130" s="83" t="inlineStr">
        <is>
          <t>1962-01</t>
        </is>
      </c>
      <c r="B130" s="22" t="n">
        <v>22647</v>
      </c>
      <c r="C130" s="22" t="n"/>
      <c r="D130" s="22" t="n"/>
      <c r="E130" s="22" t="n">
        <v>22160</v>
      </c>
      <c r="F130" s="83" t="inlineStr">
        <is>
          <t>1960-09</t>
        </is>
      </c>
      <c r="G130" s="83" t="n">
        <v>0.4099875</v>
      </c>
      <c r="AE130" s="83" t="n">
        <v>0.03638044</v>
      </c>
      <c r="AG130" s="83" t="n">
        <v>0.002021173</v>
      </c>
      <c r="AQ130" s="83" t="n">
        <v>0.9271035</v>
      </c>
      <c r="AZ130" s="83" t="n">
        <v>1.727856</v>
      </c>
      <c r="BB130" s="83" t="n">
        <v>2.562861</v>
      </c>
    </row>
    <row r="131">
      <c r="A131" s="83" t="inlineStr">
        <is>
          <t>1962-02</t>
        </is>
      </c>
      <c r="B131" s="22" t="n">
        <v>22678</v>
      </c>
      <c r="C131" s="22" t="n"/>
      <c r="D131" s="22" t="n"/>
      <c r="E131" s="22" t="n">
        <v>22190</v>
      </c>
      <c r="F131" s="83" t="inlineStr">
        <is>
          <t>1960-10</t>
        </is>
      </c>
      <c r="G131" s="83" t="n">
        <v>0.410772</v>
      </c>
      <c r="AE131" s="83" t="n">
        <v>0.03621963</v>
      </c>
      <c r="AG131" s="83" t="n">
        <v>0.0020241</v>
      </c>
      <c r="AQ131" s="83" t="n">
        <v>0.9318128</v>
      </c>
      <c r="AZ131" s="83" t="n">
        <v>1.738775</v>
      </c>
      <c r="BB131" s="83" t="n">
        <v>2.572003</v>
      </c>
    </row>
    <row r="132">
      <c r="A132" s="83" t="inlineStr">
        <is>
          <t>1962-03</t>
        </is>
      </c>
      <c r="B132" s="22" t="n">
        <v>22706</v>
      </c>
      <c r="C132" s="22" t="n"/>
      <c r="D132" s="22" t="n"/>
      <c r="E132" s="22" t="n">
        <v>22221</v>
      </c>
      <c r="F132" s="83" t="inlineStr">
        <is>
          <t>1960-11</t>
        </is>
      </c>
      <c r="G132" s="83" t="n">
        <v>0.4103517</v>
      </c>
      <c r="AE132" s="83" t="n">
        <v>0.03589594</v>
      </c>
      <c r="AG132" s="83" t="n">
        <v>0.002033792</v>
      </c>
      <c r="AQ132" s="83" t="n">
        <v>0.9429995</v>
      </c>
      <c r="AZ132" s="83" t="n">
        <v>1.7441</v>
      </c>
      <c r="BB132" s="83" t="n">
        <v>2.583637</v>
      </c>
    </row>
    <row r="133">
      <c r="A133" s="83" t="inlineStr">
        <is>
          <t>1962-04</t>
        </is>
      </c>
      <c r="B133" s="22" t="n">
        <v>22737</v>
      </c>
      <c r="C133" s="22" t="n"/>
      <c r="D133" s="22" t="n"/>
      <c r="E133" s="22" t="n">
        <v>22251</v>
      </c>
      <c r="F133" s="83" t="inlineStr">
        <is>
          <t>1960-12</t>
        </is>
      </c>
      <c r="G133" s="83" t="n">
        <v>0.409203</v>
      </c>
      <c r="AE133" s="83" t="n">
        <v>0.03580718</v>
      </c>
      <c r="AG133" s="83" t="n">
        <v>0.002081028</v>
      </c>
      <c r="AQ133" s="83" t="n">
        <v>0.9485459000000001</v>
      </c>
      <c r="AZ133" s="83" t="n">
        <v>1.747584</v>
      </c>
      <c r="BB133" s="83" t="n">
        <v>2.596102</v>
      </c>
    </row>
    <row r="134">
      <c r="A134" s="83" t="inlineStr">
        <is>
          <t>1962-05</t>
        </is>
      </c>
      <c r="B134" s="22" t="n">
        <v>22767</v>
      </c>
      <c r="C134" s="22" t="n"/>
      <c r="D134" s="22" t="n"/>
      <c r="E134" s="22" t="n">
        <v>22282</v>
      </c>
      <c r="F134" s="83" t="inlineStr">
        <is>
          <t>1961-01</t>
        </is>
      </c>
      <c r="G134" s="83" t="n">
        <v>0.4079142</v>
      </c>
      <c r="AE134" s="83" t="n">
        <v>0.03597163</v>
      </c>
      <c r="AG134" s="83" t="n">
        <v>0.0021064</v>
      </c>
      <c r="AQ134" s="83" t="n">
        <v>0.9463659</v>
      </c>
      <c r="AZ134" s="83" t="n">
        <v>1.753003</v>
      </c>
      <c r="BB134" s="83" t="n">
        <v>2.610229</v>
      </c>
    </row>
    <row r="135">
      <c r="A135" s="83" t="inlineStr">
        <is>
          <t>1962-06</t>
        </is>
      </c>
      <c r="B135" s="22" t="n">
        <v>22798</v>
      </c>
      <c r="C135" s="22" t="n"/>
      <c r="D135" s="22" t="n"/>
      <c r="E135" s="22" t="n">
        <v>22313</v>
      </c>
      <c r="F135" s="83" t="inlineStr">
        <is>
          <t>1961-02</t>
        </is>
      </c>
      <c r="G135" s="83" t="n">
        <v>0.4072137</v>
      </c>
      <c r="AE135" s="83" t="n">
        <v>0.03594464</v>
      </c>
      <c r="AG135" s="83" t="n">
        <v>0.002100724</v>
      </c>
      <c r="AQ135" s="83" t="n">
        <v>0.951586</v>
      </c>
      <c r="AZ135" s="83" t="n">
        <v>1.760633</v>
      </c>
      <c r="BB135" s="83" t="n">
        <v>2.630174</v>
      </c>
    </row>
    <row r="136">
      <c r="A136" s="83" t="inlineStr">
        <is>
          <t>1962-07</t>
        </is>
      </c>
      <c r="B136" s="22" t="n">
        <v>22828</v>
      </c>
      <c r="C136" s="22" t="n"/>
      <c r="D136" s="22" t="n"/>
      <c r="E136" s="22" t="n">
        <v>22341</v>
      </c>
      <c r="F136" s="83" t="inlineStr">
        <is>
          <t>1961-03</t>
        </is>
      </c>
      <c r="G136" s="83" t="n">
        <v>0.4070456</v>
      </c>
      <c r="AE136" s="83" t="n">
        <v>0.03603514</v>
      </c>
      <c r="AG136" s="83" t="n">
        <v>0.002142441</v>
      </c>
      <c r="AQ136" s="83" t="n">
        <v>0.9568809</v>
      </c>
      <c r="AZ136" s="83" t="n">
        <v>1.769198</v>
      </c>
      <c r="BB136" s="83" t="n">
        <v>2.645132</v>
      </c>
    </row>
    <row r="137">
      <c r="A137" s="83" t="inlineStr">
        <is>
          <t>1962-08</t>
        </is>
      </c>
      <c r="B137" s="22" t="n">
        <v>22859</v>
      </c>
      <c r="C137" s="22" t="n"/>
      <c r="D137" s="22" t="n"/>
      <c r="E137" s="22" t="n">
        <v>22372</v>
      </c>
      <c r="F137" s="83" t="inlineStr">
        <is>
          <t>1961-04</t>
        </is>
      </c>
      <c r="G137" s="83" t="n">
        <v>0.4090909</v>
      </c>
      <c r="AE137" s="83" t="n">
        <v>0.03600444</v>
      </c>
      <c r="AG137" s="83" t="n">
        <v>0.002186957</v>
      </c>
      <c r="AQ137" s="83" t="n">
        <v>0.9612637000000001</v>
      </c>
      <c r="AZ137" s="83" t="n">
        <v>1.774632</v>
      </c>
      <c r="BB137" s="83" t="n">
        <v>2.658428</v>
      </c>
    </row>
    <row r="138">
      <c r="A138" s="83" t="inlineStr">
        <is>
          <t>1962-09</t>
        </is>
      </c>
      <c r="B138" s="22" t="n">
        <v>22890</v>
      </c>
      <c r="C138" s="22" t="n"/>
      <c r="D138" s="22" t="n"/>
      <c r="E138" s="22" t="n">
        <v>22402</v>
      </c>
      <c r="F138" s="83" t="inlineStr">
        <is>
          <t>1961-05</t>
        </is>
      </c>
      <c r="G138" s="83" t="n">
        <v>0.4122009</v>
      </c>
      <c r="AE138" s="83" t="n">
        <v>0.03588647</v>
      </c>
      <c r="AG138" s="83" t="n">
        <v>0.002231146</v>
      </c>
      <c r="AQ138" s="83" t="n">
        <v>0.9653013</v>
      </c>
      <c r="AZ138" s="83" t="n">
        <v>1.777228</v>
      </c>
      <c r="BB138" s="83" t="n">
        <v>2.677542</v>
      </c>
    </row>
    <row r="139">
      <c r="A139" s="83" t="inlineStr">
        <is>
          <t>1962-10</t>
        </is>
      </c>
      <c r="B139" s="22" t="n">
        <v>22920</v>
      </c>
      <c r="C139" s="22" t="n"/>
      <c r="D139" s="22" t="n"/>
      <c r="E139" s="22" t="n">
        <v>22433</v>
      </c>
      <c r="F139" s="83" t="inlineStr">
        <is>
          <t>1961-06</t>
        </is>
      </c>
      <c r="G139" s="83" t="n">
        <v>0.413826</v>
      </c>
      <c r="AE139" s="83" t="n">
        <v>0.03596364</v>
      </c>
      <c r="AG139" s="83" t="n">
        <v>0.002277118</v>
      </c>
      <c r="AQ139" s="83" t="n">
        <v>0.9691103</v>
      </c>
      <c r="AZ139" s="83" t="n">
        <v>1.780224</v>
      </c>
      <c r="BB139" s="83" t="n">
        <v>2.694993</v>
      </c>
    </row>
    <row r="140">
      <c r="A140" s="83" t="inlineStr">
        <is>
          <t>1962-11</t>
        </is>
      </c>
      <c r="B140" s="22" t="n">
        <v>22951</v>
      </c>
      <c r="C140" s="22" t="n"/>
      <c r="D140" s="22" t="n"/>
      <c r="E140" s="22" t="n">
        <v>22463</v>
      </c>
      <c r="F140" s="83" t="inlineStr">
        <is>
          <t>1961-07</t>
        </is>
      </c>
      <c r="G140" s="83" t="n">
        <v>0.4156471</v>
      </c>
      <c r="AE140" s="83" t="n">
        <v>0.03608761</v>
      </c>
      <c r="AG140" s="83" t="n">
        <v>0.002332871</v>
      </c>
      <c r="AQ140" s="83" t="n">
        <v>0.9724156</v>
      </c>
      <c r="AZ140" s="83" t="n">
        <v>1.789314</v>
      </c>
      <c r="BB140" s="83" t="n">
        <v>2.705796</v>
      </c>
    </row>
    <row r="141">
      <c r="A141" s="83" t="inlineStr">
        <is>
          <t>1962-12</t>
        </is>
      </c>
      <c r="B141" s="22" t="n">
        <v>22981</v>
      </c>
      <c r="C141" s="22" t="n"/>
      <c r="D141" s="22" t="n"/>
      <c r="E141" s="22" t="n">
        <v>22494</v>
      </c>
      <c r="F141" s="83" t="inlineStr">
        <is>
          <t>1961-08</t>
        </is>
      </c>
      <c r="G141" s="83" t="n">
        <v>0.4170761</v>
      </c>
      <c r="AE141" s="83" t="n">
        <v>0.03635866</v>
      </c>
      <c r="AG141" s="83" t="n">
        <v>0.002429978</v>
      </c>
      <c r="AQ141" s="83" t="n">
        <v>0.9738112</v>
      </c>
      <c r="AZ141" s="83" t="n">
        <v>1.799991</v>
      </c>
      <c r="BB141" s="83" t="n">
        <v>2.722417</v>
      </c>
    </row>
    <row r="142">
      <c r="A142" s="83" t="inlineStr">
        <is>
          <t>1963-01</t>
        </is>
      </c>
      <c r="B142" s="22" t="n">
        <v>23012</v>
      </c>
      <c r="C142" s="22" t="n"/>
      <c r="D142" s="22" t="n"/>
      <c r="E142" s="22" t="n">
        <v>22525</v>
      </c>
      <c r="F142" s="83" t="inlineStr">
        <is>
          <t>1961-09</t>
        </is>
      </c>
      <c r="G142" s="83" t="n">
        <v>0.4197097</v>
      </c>
      <c r="AE142" s="83" t="n">
        <v>0.03652824</v>
      </c>
      <c r="AG142" s="83" t="n">
        <v>0.002486077</v>
      </c>
      <c r="AQ142" s="83" t="n">
        <v>0.9776066</v>
      </c>
      <c r="AZ142" s="83" t="n">
        <v>1.807642</v>
      </c>
      <c r="BB142" s="83" t="n">
        <v>2.738206</v>
      </c>
    </row>
    <row r="143">
      <c r="A143" s="83" t="inlineStr">
        <is>
          <t>1963-02</t>
        </is>
      </c>
      <c r="B143" s="22" t="n">
        <v>23043</v>
      </c>
      <c r="C143" s="22" t="n"/>
      <c r="D143" s="22" t="n"/>
      <c r="E143" s="22" t="n">
        <v>22555</v>
      </c>
      <c r="F143" s="83" t="inlineStr">
        <is>
          <t>1961-10</t>
        </is>
      </c>
      <c r="G143" s="83" t="n">
        <v>0.4231559</v>
      </c>
      <c r="AE143" s="83" t="n">
        <v>0.03659959</v>
      </c>
      <c r="AG143" s="83" t="n">
        <v>0.002517434</v>
      </c>
      <c r="AQ143" s="83" t="n">
        <v>0.9811519</v>
      </c>
      <c r="AZ143" s="83" t="n">
        <v>1.813123</v>
      </c>
      <c r="BB143" s="83" t="n">
        <v>2.751503</v>
      </c>
    </row>
    <row r="144">
      <c r="A144" s="83" t="inlineStr">
        <is>
          <t>1963-03</t>
        </is>
      </c>
      <c r="B144" s="22" t="n">
        <v>23071</v>
      </c>
      <c r="C144" s="22" t="n"/>
      <c r="D144" s="22" t="n"/>
      <c r="E144" s="22" t="n">
        <v>22586</v>
      </c>
      <c r="F144" s="83" t="inlineStr">
        <is>
          <t>1961-11</t>
        </is>
      </c>
      <c r="G144" s="83" t="n">
        <v>0.4244728</v>
      </c>
      <c r="AE144" s="83" t="n">
        <v>0.03686361</v>
      </c>
      <c r="AG144" s="83" t="n">
        <v>0.002567385</v>
      </c>
      <c r="AQ144" s="83" t="n">
        <v>0.983434</v>
      </c>
      <c r="AZ144" s="83" t="n">
        <v>1.821079</v>
      </c>
      <c r="BB144" s="83" t="n">
        <v>2.770616</v>
      </c>
    </row>
    <row r="145">
      <c r="A145" s="83" t="inlineStr">
        <is>
          <t>1963-04</t>
        </is>
      </c>
      <c r="B145" s="22" t="n">
        <v>23102</v>
      </c>
      <c r="C145" s="22" t="n"/>
      <c r="D145" s="22" t="n"/>
      <c r="E145" s="22" t="n">
        <v>22616</v>
      </c>
      <c r="F145" s="83" t="inlineStr">
        <is>
          <t>1961-12</t>
        </is>
      </c>
      <c r="G145" s="83" t="n">
        <v>0.4264621</v>
      </c>
      <c r="AE145" s="83" t="n">
        <v>0.03718661</v>
      </c>
      <c r="AG145" s="83" t="n">
        <v>0.002625768</v>
      </c>
      <c r="AQ145" s="83" t="n">
        <v>0.9905092</v>
      </c>
      <c r="AZ145" s="83" t="n">
        <v>1.842865</v>
      </c>
      <c r="BB145" s="83" t="n">
        <v>2.788067</v>
      </c>
    </row>
    <row r="146">
      <c r="A146" s="83" t="inlineStr">
        <is>
          <t>1963-05</t>
        </is>
      </c>
      <c r="B146" s="22" t="n">
        <v>23132</v>
      </c>
      <c r="C146" s="22" t="n"/>
      <c r="D146" s="22" t="n"/>
      <c r="E146" s="22" t="n">
        <v>22647</v>
      </c>
      <c r="F146" s="83" t="inlineStr">
        <is>
          <t>1962-01</t>
        </is>
      </c>
      <c r="G146" s="83" t="n">
        <v>0.4296841</v>
      </c>
      <c r="AE146" s="83" t="n">
        <v>0.0375456</v>
      </c>
      <c r="AG146" s="83" t="n">
        <v>0.002684465</v>
      </c>
      <c r="AQ146" s="83" t="n">
        <v>1.001068</v>
      </c>
      <c r="AZ146" s="83" t="n">
        <v>1.856032</v>
      </c>
      <c r="BB146" s="83" t="n">
        <v>2.804688</v>
      </c>
    </row>
    <row r="147">
      <c r="A147" s="83" t="inlineStr">
        <is>
          <t>1963-06</t>
        </is>
      </c>
      <c r="B147" s="22" t="n">
        <v>23163</v>
      </c>
      <c r="C147" s="22" t="n"/>
      <c r="D147" s="22" t="n"/>
      <c r="E147" s="22" t="n">
        <v>22678</v>
      </c>
      <c r="F147" s="83" t="inlineStr">
        <is>
          <t>1962-02</t>
        </is>
      </c>
      <c r="G147" s="83" t="n">
        <v>0.4324579</v>
      </c>
      <c r="AE147" s="83" t="n">
        <v>0.03798721</v>
      </c>
      <c r="AG147" s="83" t="n">
        <v>0.00273865</v>
      </c>
      <c r="AQ147" s="83" t="n">
        <v>1.008293</v>
      </c>
      <c r="AZ147" s="83" t="n">
        <v>1.857786</v>
      </c>
      <c r="BB147" s="83" t="n">
        <v>2.826294</v>
      </c>
    </row>
    <row r="148">
      <c r="A148" s="83" t="inlineStr">
        <is>
          <t>1963-07</t>
        </is>
      </c>
      <c r="B148" s="22" t="n">
        <v>23193</v>
      </c>
      <c r="C148" s="22" t="n"/>
      <c r="D148" s="22" t="n"/>
      <c r="E148" s="22" t="n">
        <v>22706</v>
      </c>
      <c r="F148" s="83" t="inlineStr">
        <is>
          <t>1962-03</t>
        </is>
      </c>
      <c r="G148" s="83" t="n">
        <v>0.4358761</v>
      </c>
      <c r="AE148" s="83" t="n">
        <v>0.03848709</v>
      </c>
      <c r="AG148" s="83" t="n">
        <v>0.002814891</v>
      </c>
      <c r="AQ148" s="83" t="n">
        <v>1.011655</v>
      </c>
      <c r="AZ148" s="83" t="n">
        <v>1.867006</v>
      </c>
      <c r="BB148" s="83" t="n">
        <v>2.851225</v>
      </c>
    </row>
    <row r="149">
      <c r="A149" s="83" t="inlineStr">
        <is>
          <t>1963-08</t>
        </is>
      </c>
      <c r="B149" s="22" t="n">
        <v>23224</v>
      </c>
      <c r="C149" s="22" t="n"/>
      <c r="D149" s="22" t="n"/>
      <c r="E149" s="22" t="n">
        <v>22737</v>
      </c>
      <c r="F149" s="83" t="inlineStr">
        <is>
          <t>1962-04</t>
        </is>
      </c>
      <c r="G149" s="83" t="n">
        <v>0.4392383</v>
      </c>
      <c r="AE149" s="83" t="n">
        <v>0.03891896</v>
      </c>
      <c r="AG149" s="83" t="n">
        <v>0.002758149</v>
      </c>
      <c r="AQ149" s="83" t="n">
        <v>1.019461</v>
      </c>
      <c r="AZ149" s="83" t="n">
        <v>1.893437</v>
      </c>
      <c r="BB149" s="83" t="n">
        <v>2.871169</v>
      </c>
    </row>
    <row r="150">
      <c r="A150" s="83" t="inlineStr">
        <is>
          <t>1963-09</t>
        </is>
      </c>
      <c r="B150" s="22" t="n">
        <v>23255</v>
      </c>
      <c r="C150" s="22" t="n"/>
      <c r="D150" s="22" t="n"/>
      <c r="E150" s="22" t="n">
        <v>22767</v>
      </c>
      <c r="F150" s="83" t="inlineStr">
        <is>
          <t>1962-05</t>
        </is>
      </c>
      <c r="G150" s="83" t="n">
        <v>0.4415638</v>
      </c>
      <c r="AE150" s="83" t="n">
        <v>0.039304</v>
      </c>
      <c r="AG150" s="83" t="n">
        <v>0.002797213</v>
      </c>
      <c r="AQ150" s="83" t="n">
        <v>1.028137</v>
      </c>
      <c r="AZ150" s="83" t="n">
        <v>1.913723</v>
      </c>
      <c r="BB150" s="83" t="n">
        <v>2.88779</v>
      </c>
    </row>
    <row r="151">
      <c r="A151" s="83" t="inlineStr">
        <is>
          <t>1963-10</t>
        </is>
      </c>
      <c r="B151" s="22" t="n">
        <v>23285</v>
      </c>
      <c r="C151" s="22" t="n"/>
      <c r="D151" s="22" t="n"/>
      <c r="E151" s="22" t="n">
        <v>22798</v>
      </c>
      <c r="F151" s="83" t="inlineStr">
        <is>
          <t>1962-06</t>
        </is>
      </c>
      <c r="G151" s="83" t="n">
        <v>0.4440854</v>
      </c>
      <c r="AE151" s="83" t="n">
        <v>0.03960571</v>
      </c>
      <c r="AG151" s="83" t="n">
        <v>0.002954011</v>
      </c>
      <c r="AQ151" s="83" t="n">
        <v>1.033082</v>
      </c>
      <c r="AZ151" s="83" t="n">
        <v>1.924302</v>
      </c>
      <c r="BB151" s="83" t="n">
        <v>2.902748</v>
      </c>
    </row>
    <row r="152">
      <c r="A152" s="83" t="inlineStr">
        <is>
          <t>1963-11</t>
        </is>
      </c>
      <c r="B152" s="22" t="n">
        <v>23316</v>
      </c>
      <c r="C152" s="22" t="n"/>
      <c r="D152" s="22" t="n"/>
      <c r="E152" s="22" t="n">
        <v>22828</v>
      </c>
      <c r="F152" s="83" t="inlineStr">
        <is>
          <t>1962-07</t>
        </is>
      </c>
      <c r="G152" s="83" t="n">
        <v>0.4482321</v>
      </c>
      <c r="AE152" s="83" t="n">
        <v>0.03986053</v>
      </c>
      <c r="AG152" s="83" t="n">
        <v>0.002987695</v>
      </c>
      <c r="AQ152" s="83" t="n">
        <v>1.039522</v>
      </c>
      <c r="AZ152" s="83" t="n">
        <v>1.945844</v>
      </c>
      <c r="BB152" s="83" t="n">
        <v>2.915213</v>
      </c>
    </row>
    <row r="153">
      <c r="A153" s="83" t="inlineStr">
        <is>
          <t>1963-12</t>
        </is>
      </c>
      <c r="B153" s="22" t="n">
        <v>23346</v>
      </c>
      <c r="C153" s="22" t="n"/>
      <c r="D153" s="22" t="n"/>
      <c r="E153" s="22" t="n">
        <v>22859</v>
      </c>
      <c r="F153" s="83" t="inlineStr">
        <is>
          <t>1962-08</t>
        </is>
      </c>
      <c r="G153" s="83" t="n">
        <v>0.4506416</v>
      </c>
      <c r="AE153" s="83" t="n">
        <v>0.04009338</v>
      </c>
      <c r="AG153" s="83" t="n">
        <v>0.00302917</v>
      </c>
      <c r="AQ153" s="83" t="n">
        <v>1.046053</v>
      </c>
      <c r="AZ153" s="83" t="n">
        <v>1.965975</v>
      </c>
      <c r="BB153" s="83" t="n">
        <v>2.931834</v>
      </c>
    </row>
    <row r="154">
      <c r="A154" s="83" t="inlineStr">
        <is>
          <t>1964-01</t>
        </is>
      </c>
      <c r="B154" s="22" t="n">
        <v>23377</v>
      </c>
      <c r="C154" s="22" t="n"/>
      <c r="D154" s="22" t="n"/>
      <c r="E154" s="22" t="n">
        <v>22890</v>
      </c>
      <c r="F154" s="83" t="inlineStr">
        <is>
          <t>1962-09</t>
        </is>
      </c>
      <c r="G154" s="83" t="n">
        <v>0.452771</v>
      </c>
      <c r="AE154" s="83" t="n">
        <v>0.04029796</v>
      </c>
      <c r="AG154" s="83" t="n">
        <v>0.003097112</v>
      </c>
      <c r="AQ154" s="83" t="n">
        <v>1.051285</v>
      </c>
      <c r="AZ154" s="83" t="n">
        <v>1.985437</v>
      </c>
      <c r="BB154" s="83" t="n">
        <v>2.949285</v>
      </c>
    </row>
    <row r="155">
      <c r="A155" s="83" t="inlineStr">
        <is>
          <t>1964-02</t>
        </is>
      </c>
      <c r="B155" s="22" t="n">
        <v>23408</v>
      </c>
      <c r="C155" s="22" t="n"/>
      <c r="D155" s="22" t="n"/>
      <c r="E155" s="22" t="n">
        <v>22920</v>
      </c>
      <c r="F155" s="83" t="inlineStr">
        <is>
          <t>1962-10</t>
        </is>
      </c>
      <c r="G155" s="83" t="n">
        <v>0.4560211</v>
      </c>
      <c r="AE155" s="83" t="n">
        <v>0.04061363</v>
      </c>
      <c r="AG155" s="83" t="n">
        <v>0.003166546</v>
      </c>
      <c r="AQ155" s="83" t="n">
        <v>1.059606</v>
      </c>
      <c r="AZ155" s="83" t="n">
        <v>2.003298</v>
      </c>
      <c r="BB155" s="83" t="n">
        <v>2.968398</v>
      </c>
    </row>
    <row r="156">
      <c r="A156" s="83" t="inlineStr">
        <is>
          <t>1964-03</t>
        </is>
      </c>
      <c r="B156" s="22" t="n">
        <v>23437</v>
      </c>
      <c r="C156" s="22" t="n"/>
      <c r="D156" s="22" t="n"/>
      <c r="E156" s="22" t="n">
        <v>22951</v>
      </c>
      <c r="F156" s="83" t="inlineStr">
        <is>
          <t>1962-11</t>
        </is>
      </c>
      <c r="G156" s="83" t="n">
        <v>0.4583746</v>
      </c>
      <c r="AE156" s="83" t="n">
        <v>0.04086407</v>
      </c>
      <c r="AG156" s="83" t="n">
        <v>0.003238064</v>
      </c>
      <c r="AQ156" s="83" t="n">
        <v>1.065608</v>
      </c>
      <c r="AZ156" s="83" t="n">
        <v>2.020294</v>
      </c>
      <c r="BB156" s="83" t="n">
        <v>2.990005</v>
      </c>
    </row>
    <row r="157">
      <c r="A157" s="83" t="inlineStr">
        <is>
          <t>1964-04</t>
        </is>
      </c>
      <c r="B157" s="22" t="n">
        <v>23468</v>
      </c>
      <c r="C157" s="22" t="n"/>
      <c r="D157" s="22" t="n"/>
      <c r="E157" s="22" t="n">
        <v>22981</v>
      </c>
      <c r="F157" s="83" t="inlineStr">
        <is>
          <t>1962-12</t>
        </is>
      </c>
      <c r="G157" s="83" t="n">
        <v>0.4611484</v>
      </c>
      <c r="AE157" s="83" t="n">
        <v>0.04101963</v>
      </c>
      <c r="AG157" s="83" t="n">
        <v>0.00329387</v>
      </c>
      <c r="AQ157" s="83" t="n">
        <v>1.066966</v>
      </c>
      <c r="AZ157" s="83" t="n">
        <v>2.03453</v>
      </c>
      <c r="BB157" s="83" t="n">
        <v>3.014104</v>
      </c>
    </row>
    <row r="158">
      <c r="A158" s="83" t="inlineStr">
        <is>
          <t>1964-05</t>
        </is>
      </c>
      <c r="B158" s="22" t="n">
        <v>23498</v>
      </c>
      <c r="C158" s="22" t="n"/>
      <c r="D158" s="22" t="n"/>
      <c r="E158" s="22" t="n">
        <v>23012</v>
      </c>
      <c r="F158" s="83" t="inlineStr">
        <is>
          <t>1963-01</t>
        </is>
      </c>
      <c r="G158" s="83" t="n">
        <v>0.4640062</v>
      </c>
      <c r="AE158" s="83" t="n">
        <v>0.0412177</v>
      </c>
      <c r="AG158" s="83" t="n">
        <v>0.003346611</v>
      </c>
      <c r="AQ158" s="83" t="n">
        <v>1.068685</v>
      </c>
      <c r="AZ158" s="83" t="n">
        <v>2.045405</v>
      </c>
      <c r="BB158" s="83" t="n">
        <v>3.03488</v>
      </c>
    </row>
    <row r="159">
      <c r="A159" s="83" t="inlineStr">
        <is>
          <t>1964-06</t>
        </is>
      </c>
      <c r="B159" s="22" t="n">
        <v>23529</v>
      </c>
      <c r="C159" s="22" t="n"/>
      <c r="D159" s="22" t="n"/>
      <c r="E159" s="22" t="n">
        <v>23043</v>
      </c>
      <c r="F159" s="83" t="inlineStr">
        <is>
          <t>1963-02</t>
        </is>
      </c>
      <c r="G159" s="83" t="n">
        <v>0.4669761</v>
      </c>
      <c r="AE159" s="83" t="n">
        <v>0.04138835</v>
      </c>
      <c r="AG159" s="83" t="n">
        <v>0.003403531</v>
      </c>
      <c r="AQ159" s="83" t="n">
        <v>1.07098</v>
      </c>
      <c r="AZ159" s="83" t="n">
        <v>2.058144</v>
      </c>
      <c r="BB159" s="83" t="n">
        <v>3.057317</v>
      </c>
    </row>
    <row r="160">
      <c r="A160" s="83" t="inlineStr">
        <is>
          <t>1964-07</t>
        </is>
      </c>
      <c r="B160" s="22" t="n">
        <v>23559</v>
      </c>
      <c r="C160" s="22" t="n"/>
      <c r="D160" s="22" t="n"/>
      <c r="E160" s="22" t="n">
        <v>23071</v>
      </c>
      <c r="F160" s="83" t="inlineStr">
        <is>
          <t>1963-03</t>
        </is>
      </c>
      <c r="G160" s="83" t="n">
        <v>0.4707585</v>
      </c>
      <c r="AE160" s="83" t="n">
        <v>0.04153602</v>
      </c>
      <c r="AG160" s="83" t="n">
        <v>0.003445458</v>
      </c>
      <c r="AQ160" s="83" t="n">
        <v>1.076282</v>
      </c>
      <c r="AZ160" s="83" t="n">
        <v>2.072179</v>
      </c>
      <c r="BB160" s="83" t="n">
        <v>3.080586</v>
      </c>
    </row>
    <row r="161">
      <c r="A161" s="83" t="inlineStr">
        <is>
          <t>1964-08</t>
        </is>
      </c>
      <c r="B161" s="22" t="n">
        <v>23590</v>
      </c>
      <c r="C161" s="22" t="n"/>
      <c r="D161" s="22" t="n"/>
      <c r="E161" s="22" t="n">
        <v>23102</v>
      </c>
      <c r="F161" s="83" t="inlineStr">
        <is>
          <t>1963-04</t>
        </is>
      </c>
      <c r="G161" s="83" t="n">
        <v>0.4747931</v>
      </c>
      <c r="AE161" s="83" t="n">
        <v>0.04183186</v>
      </c>
      <c r="AG161" s="83" t="n">
        <v>0.003499581</v>
      </c>
      <c r="AQ161" s="83" t="n">
        <v>1.082124</v>
      </c>
      <c r="AZ161" s="83" t="n">
        <v>2.085451</v>
      </c>
      <c r="BB161" s="83" t="n">
        <v>3.102192</v>
      </c>
    </row>
    <row r="162">
      <c r="A162" s="83" t="inlineStr">
        <is>
          <t>1964-09</t>
        </is>
      </c>
      <c r="B162" s="22" t="n">
        <v>23621</v>
      </c>
      <c r="C162" s="22" t="n"/>
      <c r="D162" s="22" t="n"/>
      <c r="E162" s="22" t="n">
        <v>23132</v>
      </c>
      <c r="F162" s="83" t="inlineStr">
        <is>
          <t>1963-05</t>
        </is>
      </c>
      <c r="G162" s="83" t="n">
        <v>0.4779031</v>
      </c>
      <c r="AE162" s="83" t="n">
        <v>0.04210004</v>
      </c>
      <c r="AG162" s="83" t="n">
        <v>0.003558037</v>
      </c>
      <c r="AQ162" s="83" t="n">
        <v>1.088437</v>
      </c>
      <c r="AZ162" s="83" t="n">
        <v>2.104062</v>
      </c>
      <c r="BB162" s="83" t="n">
        <v>3.125461</v>
      </c>
    </row>
    <row r="163">
      <c r="A163" s="83" t="inlineStr">
        <is>
          <t>1964-10</t>
        </is>
      </c>
      <c r="B163" s="22" t="n">
        <v>23651</v>
      </c>
      <c r="C163" s="22" t="n"/>
      <c r="D163" s="22" t="n"/>
      <c r="E163" s="22" t="n">
        <v>23163</v>
      </c>
      <c r="F163" s="83" t="inlineStr">
        <is>
          <t>1963-06</t>
        </is>
      </c>
      <c r="G163" s="83" t="n">
        <v>0.4817416</v>
      </c>
      <c r="AE163" s="83" t="n">
        <v>0.04242905</v>
      </c>
      <c r="AG163" s="83" t="n">
        <v>0.003583216</v>
      </c>
      <c r="AQ163" s="83" t="n">
        <v>1.094559</v>
      </c>
      <c r="AZ163" s="83" t="n">
        <v>2.122223</v>
      </c>
      <c r="BB163" s="83" t="n">
        <v>3.144574</v>
      </c>
    </row>
    <row r="164">
      <c r="A164" s="83" t="inlineStr">
        <is>
          <t>1964-11</t>
        </is>
      </c>
      <c r="B164" s="22" t="n">
        <v>23682</v>
      </c>
      <c r="C164" s="22" t="n"/>
      <c r="D164" s="22" t="n"/>
      <c r="E164" s="22" t="n">
        <v>23193</v>
      </c>
      <c r="F164" s="83" t="inlineStr">
        <is>
          <t>1963-07</t>
        </is>
      </c>
      <c r="G164" s="83" t="n">
        <v>0.4861684</v>
      </c>
      <c r="AE164" s="83" t="n">
        <v>0.04289741</v>
      </c>
      <c r="AG164" s="83" t="n">
        <v>0.003592824</v>
      </c>
      <c r="AQ164" s="83" t="n">
        <v>1.100182</v>
      </c>
      <c r="AZ164" s="83" t="n">
        <v>2.137542</v>
      </c>
      <c r="BB164" s="83" t="n">
        <v>3.167012</v>
      </c>
    </row>
    <row r="165">
      <c r="A165" s="83" t="inlineStr">
        <is>
          <t>1964-12</t>
        </is>
      </c>
      <c r="B165" s="22" t="n">
        <v>23712</v>
      </c>
      <c r="C165" s="22" t="n"/>
      <c r="D165" s="22" t="n"/>
      <c r="E165" s="22" t="n">
        <v>23224</v>
      </c>
      <c r="F165" s="83" t="inlineStr">
        <is>
          <t>1963-08</t>
        </is>
      </c>
      <c r="G165" s="83" t="n">
        <v>0.490119</v>
      </c>
      <c r="AE165" s="83" t="n">
        <v>0.04328494</v>
      </c>
      <c r="AG165" s="83" t="n">
        <v>0.003621124</v>
      </c>
      <c r="AQ165" s="83" t="n">
        <v>1.107273</v>
      </c>
      <c r="AZ165" s="83" t="n">
        <v>2.153035</v>
      </c>
      <c r="BB165" s="83" t="n">
        <v>3.187787</v>
      </c>
    </row>
    <row r="166">
      <c r="A166" s="83" t="inlineStr">
        <is>
          <t>1965-01</t>
        </is>
      </c>
      <c r="B166" s="22" t="n">
        <v>23743</v>
      </c>
      <c r="C166" s="22" t="n"/>
      <c r="D166" s="22" t="n"/>
      <c r="E166" s="22" t="n">
        <v>23255</v>
      </c>
      <c r="F166" s="83" t="inlineStr">
        <is>
          <t>1963-09</t>
        </is>
      </c>
      <c r="G166" s="83" t="n">
        <v>0.4941255</v>
      </c>
      <c r="AE166" s="83" t="n">
        <v>0.04371195</v>
      </c>
      <c r="AG166" s="83" t="n">
        <v>0.003664281</v>
      </c>
      <c r="AQ166" s="83" t="n">
        <v>1.112273</v>
      </c>
      <c r="AZ166" s="83" t="n">
        <v>2.166789</v>
      </c>
      <c r="BB166" s="83" t="n">
        <v>3.207732</v>
      </c>
    </row>
    <row r="167">
      <c r="A167" s="83" t="inlineStr">
        <is>
          <t>1965-02</t>
        </is>
      </c>
      <c r="B167" s="22" t="n">
        <v>23774</v>
      </c>
      <c r="C167" s="22" t="n"/>
      <c r="D167" s="22" t="n"/>
      <c r="E167" s="22" t="n">
        <v>23285</v>
      </c>
      <c r="F167" s="83" t="inlineStr">
        <is>
          <t>1963-10</t>
        </is>
      </c>
      <c r="G167" s="83" t="n">
        <v>0.4972916</v>
      </c>
      <c r="AE167" s="83" t="n">
        <v>0.04431144</v>
      </c>
      <c r="AG167" s="83" t="n">
        <v>0.003686385</v>
      </c>
      <c r="AQ167" s="83" t="n">
        <v>1.118515</v>
      </c>
      <c r="AZ167" s="83" t="n">
        <v>2.181745</v>
      </c>
      <c r="BB167" s="83" t="n">
        <v>3.226845</v>
      </c>
    </row>
    <row r="168">
      <c r="A168" s="83" t="inlineStr">
        <is>
          <t>1965-03</t>
        </is>
      </c>
      <c r="B168" s="22" t="n">
        <v>23802</v>
      </c>
      <c r="C168" s="22" t="n"/>
      <c r="D168" s="22" t="n"/>
      <c r="E168" s="22" t="n">
        <v>23316</v>
      </c>
      <c r="F168" s="83" t="inlineStr">
        <is>
          <t>1963-11</t>
        </is>
      </c>
      <c r="G168" s="83" t="n">
        <v>0.5021667</v>
      </c>
      <c r="AE168" s="83" t="n">
        <v>0.04477851</v>
      </c>
      <c r="AG168" s="83" t="n">
        <v>0.003715271</v>
      </c>
      <c r="AQ168" s="83" t="n">
        <v>1.128688</v>
      </c>
      <c r="AZ168" s="83" t="n">
        <v>2.196186</v>
      </c>
      <c r="BB168" s="83" t="n">
        <v>3.253438</v>
      </c>
    </row>
    <row r="169">
      <c r="A169" s="83" t="inlineStr">
        <is>
          <t>1965-04</t>
        </is>
      </c>
      <c r="B169" s="22" t="n">
        <v>23833</v>
      </c>
      <c r="C169" s="22" t="n"/>
      <c r="D169" s="22" t="n"/>
      <c r="E169" s="22" t="n">
        <v>23346</v>
      </c>
      <c r="F169" s="83" t="inlineStr">
        <is>
          <t>1963-12</t>
        </is>
      </c>
      <c r="G169" s="83" t="n">
        <v>0.5086108</v>
      </c>
      <c r="AE169" s="83" t="n">
        <v>0.0450964</v>
      </c>
      <c r="AG169" s="83" t="n">
        <v>0.003750768</v>
      </c>
      <c r="AQ169" s="83" t="n">
        <v>1.136813</v>
      </c>
      <c r="AZ169" s="83" t="n">
        <v>2.208986</v>
      </c>
      <c r="BB169" s="83" t="n">
        <v>3.267565</v>
      </c>
    </row>
    <row r="170">
      <c r="A170" s="83" t="inlineStr">
        <is>
          <t>1965-05</t>
        </is>
      </c>
      <c r="B170" s="22" t="n">
        <v>23863</v>
      </c>
      <c r="C170" s="22" t="n"/>
      <c r="D170" s="22" t="n"/>
      <c r="E170" s="22" t="n">
        <v>23377</v>
      </c>
      <c r="F170" s="83" t="inlineStr">
        <is>
          <t>1964-01</t>
        </is>
      </c>
      <c r="G170" s="83" t="n">
        <v>0.5132899</v>
      </c>
      <c r="AE170" s="83" t="n">
        <v>0.04561103</v>
      </c>
      <c r="AG170" s="83" t="n">
        <v>0.003783741</v>
      </c>
      <c r="AQ170" s="83" t="n">
        <v>1.143606</v>
      </c>
      <c r="AZ170" s="83" t="n">
        <v>2.225844</v>
      </c>
      <c r="BB170" s="83" t="n">
        <v>3.284185</v>
      </c>
    </row>
    <row r="171">
      <c r="A171" s="83" t="inlineStr">
        <is>
          <t>1965-06</t>
        </is>
      </c>
      <c r="B171" s="22" t="n">
        <v>23894</v>
      </c>
      <c r="C171" s="22" t="n"/>
      <c r="D171" s="22" t="n"/>
      <c r="E171" s="22" t="n">
        <v>23408</v>
      </c>
      <c r="F171" s="83" t="inlineStr">
        <is>
          <t>1964-02</t>
        </is>
      </c>
      <c r="G171" s="83" t="n">
        <v>0.5172404</v>
      </c>
      <c r="AE171" s="83" t="n">
        <v>0.04599327</v>
      </c>
      <c r="AG171" s="83" t="n">
        <v>0.003852485</v>
      </c>
      <c r="AQ171" s="83" t="n">
        <v>1.148019</v>
      </c>
      <c r="AZ171" s="83" t="n">
        <v>2.241879</v>
      </c>
      <c r="BB171" s="83" t="n">
        <v>3.30413</v>
      </c>
    </row>
    <row r="172">
      <c r="A172" s="83" t="inlineStr">
        <is>
          <t>1965-07</t>
        </is>
      </c>
      <c r="B172" s="22" t="n">
        <v>23924</v>
      </c>
      <c r="C172" s="22" t="n"/>
      <c r="D172" s="22" t="n"/>
      <c r="E172" s="22" t="n">
        <v>23437</v>
      </c>
      <c r="F172" s="83" t="inlineStr">
        <is>
          <t>1964-03</t>
        </is>
      </c>
      <c r="G172" s="83" t="n">
        <v>0.5237126</v>
      </c>
      <c r="AE172" s="83" t="n">
        <v>0.0460852</v>
      </c>
      <c r="AG172" s="83" t="n">
        <v>0.003916386</v>
      </c>
      <c r="AQ172" s="83" t="n">
        <v>1.156474</v>
      </c>
      <c r="AZ172" s="83" t="n">
        <v>2.253157</v>
      </c>
      <c r="BB172" s="83" t="n">
        <v>3.322412</v>
      </c>
    </row>
    <row r="173">
      <c r="A173" s="83" t="inlineStr">
        <is>
          <t>1965-08</t>
        </is>
      </c>
      <c r="B173" s="22" t="n">
        <v>23955</v>
      </c>
      <c r="C173" s="22" t="n"/>
      <c r="D173" s="22" t="n"/>
      <c r="E173" s="22" t="n">
        <v>23468</v>
      </c>
      <c r="F173" s="83" t="inlineStr">
        <is>
          <t>1964-04</t>
        </is>
      </c>
      <c r="G173" s="83" t="n">
        <v>0.5301567</v>
      </c>
      <c r="AE173" s="83" t="n">
        <v>0.04630179</v>
      </c>
      <c r="AG173" s="83" t="n">
        <v>0.003971961</v>
      </c>
      <c r="AQ173" s="83" t="n">
        <v>1.170414</v>
      </c>
      <c r="AZ173" s="83" t="n">
        <v>2.264385</v>
      </c>
      <c r="BB173" s="83" t="n">
        <v>3.338202</v>
      </c>
    </row>
    <row r="174">
      <c r="A174" s="83" t="inlineStr">
        <is>
          <t>1965-09</t>
        </is>
      </c>
      <c r="B174" s="22" t="n">
        <v>23986</v>
      </c>
      <c r="C174" s="22" t="n"/>
      <c r="D174" s="22" t="n"/>
      <c r="E174" s="22" t="n">
        <v>23498</v>
      </c>
      <c r="F174" s="83" t="inlineStr">
        <is>
          <t>1964-05</t>
        </is>
      </c>
      <c r="G174" s="83" t="n">
        <v>0.5353401</v>
      </c>
      <c r="AE174" s="83" t="n">
        <v>0.04666068</v>
      </c>
      <c r="AG174" s="83" t="n">
        <v>0.004035545</v>
      </c>
      <c r="AQ174" s="83" t="n">
        <v>1.179072</v>
      </c>
      <c r="AZ174" s="83" t="n">
        <v>2.272663</v>
      </c>
      <c r="BB174" s="83" t="n">
        <v>3.358977</v>
      </c>
    </row>
    <row r="175">
      <c r="A175" s="83" t="inlineStr">
        <is>
          <t>1965-10</t>
        </is>
      </c>
      <c r="B175" s="22" t="n">
        <v>24016</v>
      </c>
      <c r="C175" s="22" t="n"/>
      <c r="D175" s="22" t="n"/>
      <c r="E175" s="22" t="n">
        <v>23529</v>
      </c>
      <c r="F175" s="83" t="inlineStr">
        <is>
          <t>1964-06</t>
        </is>
      </c>
      <c r="G175" s="83" t="n">
        <v>0.5410557</v>
      </c>
      <c r="AE175" s="83" t="n">
        <v>0.04705299</v>
      </c>
      <c r="AG175" s="83" t="n">
        <v>0.004090059</v>
      </c>
      <c r="AQ175" s="83" t="n">
        <v>1.182581</v>
      </c>
      <c r="AZ175" s="83" t="n">
        <v>2.281888</v>
      </c>
      <c r="BB175" s="83" t="n">
        <v>3.383077</v>
      </c>
    </row>
    <row r="176">
      <c r="A176" s="83" t="inlineStr">
        <is>
          <t>1965-11</t>
        </is>
      </c>
      <c r="B176" s="22" t="n">
        <v>24047</v>
      </c>
      <c r="C176" s="22" t="n"/>
      <c r="D176" s="22" t="n"/>
      <c r="E176" s="22" t="n">
        <v>23559</v>
      </c>
      <c r="F176" s="83" t="inlineStr">
        <is>
          <t>1964-07</t>
        </is>
      </c>
      <c r="G176" s="83" t="n">
        <v>0.5457347</v>
      </c>
      <c r="AE176" s="83" t="n">
        <v>0.04749539</v>
      </c>
      <c r="AG176" s="83" t="n">
        <v>0.004167799</v>
      </c>
      <c r="AQ176" s="83" t="n">
        <v>1.190034</v>
      </c>
      <c r="AZ176" s="83" t="n">
        <v>2.294204</v>
      </c>
      <c r="BB176" s="83" t="n">
        <v>3.408007</v>
      </c>
    </row>
    <row r="177">
      <c r="A177" s="83" t="inlineStr">
        <is>
          <t>1965-12</t>
        </is>
      </c>
      <c r="B177" s="22" t="n">
        <v>24077</v>
      </c>
      <c r="C177" s="22" t="n"/>
      <c r="D177" s="22" t="n"/>
      <c r="E177" s="22" t="n">
        <v>23590</v>
      </c>
      <c r="F177" s="83" t="inlineStr">
        <is>
          <t>1964-08</t>
        </is>
      </c>
      <c r="G177" s="83" t="n">
        <v>0.5507219</v>
      </c>
      <c r="AE177" s="83" t="n">
        <v>0.04809618</v>
      </c>
      <c r="AG177" s="83" t="n">
        <v>0.004246414</v>
      </c>
      <c r="AQ177" s="83" t="n">
        <v>1.195516</v>
      </c>
      <c r="AZ177" s="83" t="n">
        <v>2.308902</v>
      </c>
      <c r="BB177" s="83" t="n">
        <v>3.435431</v>
      </c>
    </row>
    <row r="178">
      <c r="A178" s="83" t="inlineStr">
        <is>
          <t>1966-01</t>
        </is>
      </c>
      <c r="B178" s="22" t="n">
        <v>24108</v>
      </c>
      <c r="C178" s="22" t="n"/>
      <c r="D178" s="22" t="n"/>
      <c r="E178" s="22" t="n">
        <v>23621</v>
      </c>
      <c r="F178" s="83" t="inlineStr">
        <is>
          <t>1964-09</t>
        </is>
      </c>
      <c r="G178" s="83" t="n">
        <v>0.5552328</v>
      </c>
      <c r="AE178" s="83" t="n">
        <v>0.04856811</v>
      </c>
      <c r="AG178" s="83" t="n">
        <v>0.004304142</v>
      </c>
      <c r="AQ178" s="83" t="n">
        <v>1.20427</v>
      </c>
      <c r="AZ178" s="83" t="n">
        <v>2.327717</v>
      </c>
      <c r="BB178" s="83" t="n">
        <v>3.464517</v>
      </c>
    </row>
    <row r="179">
      <c r="A179" s="83" t="inlineStr">
        <is>
          <t>1966-02</t>
        </is>
      </c>
      <c r="B179" s="22" t="n">
        <v>24139</v>
      </c>
      <c r="C179" s="22" t="n"/>
      <c r="D179" s="22" t="n"/>
      <c r="E179" s="22" t="n">
        <v>23651</v>
      </c>
      <c r="F179" s="83" t="inlineStr">
        <is>
          <t>1964-10</t>
        </is>
      </c>
      <c r="G179" s="83" t="n">
        <v>0.5590713</v>
      </c>
      <c r="AE179" s="83" t="n">
        <v>0.04875568</v>
      </c>
      <c r="AG179" s="83" t="n">
        <v>0.004386568</v>
      </c>
      <c r="AQ179" s="83" t="n">
        <v>1.218447</v>
      </c>
      <c r="AZ179" s="83" t="n">
        <v>2.347163</v>
      </c>
      <c r="BB179" s="83" t="n">
        <v>3.482799</v>
      </c>
    </row>
    <row r="180">
      <c r="A180" s="83" t="inlineStr">
        <is>
          <t>1966-03</t>
        </is>
      </c>
      <c r="B180" s="22" t="n">
        <v>24167</v>
      </c>
      <c r="C180" s="22" t="n"/>
      <c r="D180" s="22" t="n"/>
      <c r="E180" s="22" t="n">
        <v>23682</v>
      </c>
      <c r="F180" s="83" t="inlineStr">
        <is>
          <t>1964-11</t>
        </is>
      </c>
      <c r="G180" s="83" t="n">
        <v>0.5636942</v>
      </c>
      <c r="AE180" s="83" t="n">
        <v>0.04908777</v>
      </c>
      <c r="AG180" s="83" t="n">
        <v>0.004444284</v>
      </c>
      <c r="AQ180" s="83" t="n">
        <v>1.224921</v>
      </c>
      <c r="AZ180" s="83" t="n">
        <v>2.366935</v>
      </c>
      <c r="BB180" s="83" t="n">
        <v>3.506898</v>
      </c>
    </row>
    <row r="181">
      <c r="A181" s="83" t="inlineStr">
        <is>
          <t>1966-04</t>
        </is>
      </c>
      <c r="B181" s="22" t="n">
        <v>24198</v>
      </c>
      <c r="C181" s="22" t="n"/>
      <c r="D181" s="22" t="n"/>
      <c r="E181" s="22" t="n">
        <v>23712</v>
      </c>
      <c r="F181" s="83" t="inlineStr">
        <is>
          <t>1964-12</t>
        </is>
      </c>
      <c r="G181" s="83" t="n">
        <v>0.5669724</v>
      </c>
      <c r="AE181" s="83" t="n">
        <v>0.0494147</v>
      </c>
      <c r="AG181" s="83" t="n">
        <v>0.004471802</v>
      </c>
      <c r="AQ181" s="83" t="n">
        <v>1.227028</v>
      </c>
      <c r="AZ181" s="83" t="n">
        <v>2.389393</v>
      </c>
      <c r="BB181" s="83" t="n">
        <v>3.529336</v>
      </c>
    </row>
    <row r="182">
      <c r="A182" s="83" t="inlineStr">
        <is>
          <t>1966-05</t>
        </is>
      </c>
      <c r="B182" s="22" t="n">
        <v>24228</v>
      </c>
      <c r="C182" s="22" t="n"/>
      <c r="D182" s="22" t="n"/>
      <c r="E182" s="22" t="n">
        <v>23743</v>
      </c>
      <c r="F182" s="83" t="inlineStr">
        <is>
          <t>1965-01</t>
        </is>
      </c>
      <c r="G182" s="83" t="n">
        <v>0.569438</v>
      </c>
      <c r="AE182" s="83" t="n">
        <v>0.04968597</v>
      </c>
      <c r="AG182" s="83" t="n">
        <v>0.004521915</v>
      </c>
      <c r="AQ182" s="83" t="n">
        <v>1.236521</v>
      </c>
      <c r="AZ182" s="83" t="n">
        <v>2.408035</v>
      </c>
      <c r="BB182" s="83" t="n">
        <v>3.552604</v>
      </c>
    </row>
    <row r="183">
      <c r="A183" s="83" t="inlineStr">
        <is>
          <t>1966-06</t>
        </is>
      </c>
      <c r="B183" s="22" t="n">
        <v>24259</v>
      </c>
      <c r="C183" s="22" t="n"/>
      <c r="D183" s="22" t="n"/>
      <c r="E183" s="22" t="n">
        <v>23774</v>
      </c>
      <c r="F183" s="83" t="inlineStr">
        <is>
          <t>1965-02</t>
        </is>
      </c>
      <c r="G183" s="83" t="n">
        <v>0.5732764</v>
      </c>
      <c r="AE183" s="83" t="n">
        <v>0.05005411</v>
      </c>
      <c r="AG183" s="83" t="n">
        <v>0.00457188</v>
      </c>
      <c r="AQ183" s="83" t="n">
        <v>1.250461</v>
      </c>
      <c r="AZ183" s="83" t="n">
        <v>2.42141</v>
      </c>
      <c r="BB183" s="83" t="n">
        <v>3.576704</v>
      </c>
    </row>
    <row r="184">
      <c r="A184" s="83" t="inlineStr">
        <is>
          <t>1966-07</t>
        </is>
      </c>
      <c r="B184" s="22" t="n">
        <v>24289</v>
      </c>
      <c r="C184" s="22" t="n"/>
      <c r="D184" s="22" t="n"/>
      <c r="E184" s="22" t="n">
        <v>23802</v>
      </c>
      <c r="F184" s="83" t="inlineStr">
        <is>
          <t>1965-03</t>
        </is>
      </c>
      <c r="G184" s="83" t="n">
        <v>0.5792162</v>
      </c>
      <c r="AE184" s="83" t="n">
        <v>0.05030023</v>
      </c>
      <c r="AG184" s="83" t="n">
        <v>0.004637344</v>
      </c>
      <c r="AQ184" s="83" t="n">
        <v>1.261934</v>
      </c>
      <c r="AZ184" s="83" t="n">
        <v>2.434537</v>
      </c>
      <c r="BB184" s="83" t="n">
        <v>3.599972</v>
      </c>
    </row>
    <row r="185">
      <c r="A185" s="83" t="inlineStr">
        <is>
          <t>1966-08</t>
        </is>
      </c>
      <c r="B185" s="22" t="n">
        <v>24320</v>
      </c>
      <c r="C185" s="22" t="n"/>
      <c r="D185" s="22" t="n"/>
      <c r="E185" s="22" t="n">
        <v>23833</v>
      </c>
      <c r="F185" s="83" t="inlineStr">
        <is>
          <t>1965-04</t>
        </is>
      </c>
      <c r="G185" s="83" t="n">
        <v>0.5827745</v>
      </c>
      <c r="AE185" s="83" t="n">
        <v>0.05074587</v>
      </c>
      <c r="AG185" s="83" t="n">
        <v>0.004717696</v>
      </c>
      <c r="AQ185" s="83" t="n">
        <v>1.270249</v>
      </c>
      <c r="AZ185" s="83" t="n">
        <v>2.448971</v>
      </c>
      <c r="BB185" s="83" t="n">
        <v>3.618255</v>
      </c>
      <c r="BC185" s="83" t="n">
        <v>0.1688796</v>
      </c>
    </row>
    <row r="186">
      <c r="A186" s="83" t="inlineStr">
        <is>
          <t>1966-09</t>
        </is>
      </c>
      <c r="B186" s="22" t="n">
        <v>24351</v>
      </c>
      <c r="C186" s="22" t="n"/>
      <c r="D186" s="22" t="n"/>
      <c r="E186" s="22" t="n">
        <v>23863</v>
      </c>
      <c r="F186" s="83" t="inlineStr">
        <is>
          <t>1965-05</t>
        </is>
      </c>
      <c r="G186" s="83" t="n">
        <v>0.5827745</v>
      </c>
      <c r="AE186" s="83" t="n">
        <v>0.05136997</v>
      </c>
      <c r="AG186" s="83" t="n">
        <v>0.004775084</v>
      </c>
      <c r="AQ186" s="83" t="n">
        <v>1.273798</v>
      </c>
      <c r="AZ186" s="83" t="n">
        <v>2.452554</v>
      </c>
      <c r="BB186" s="83" t="n">
        <v>3.632382</v>
      </c>
      <c r="BC186" s="83" t="n">
        <v>0.1700512</v>
      </c>
    </row>
    <row r="187">
      <c r="A187" s="83" t="inlineStr">
        <is>
          <t>1966-10</t>
        </is>
      </c>
      <c r="B187" s="22" t="n">
        <v>24381</v>
      </c>
      <c r="C187" s="22" t="n"/>
      <c r="D187" s="22" t="n"/>
      <c r="E187" s="22" t="n">
        <v>23894</v>
      </c>
      <c r="F187" s="83" t="inlineStr">
        <is>
          <t>1965-06</t>
        </is>
      </c>
      <c r="G187" s="83" t="n">
        <v>0.5855764</v>
      </c>
      <c r="AE187" s="83" t="n">
        <v>0.05175373</v>
      </c>
      <c r="AG187" s="83" t="n">
        <v>0.004841473</v>
      </c>
      <c r="AQ187" s="83" t="n">
        <v>1.287017</v>
      </c>
      <c r="AZ187" s="83" t="n">
        <v>2.47366</v>
      </c>
      <c r="BB187" s="83" t="n">
        <v>3.657313</v>
      </c>
      <c r="BC187" s="83" t="n">
        <v>0.1692293</v>
      </c>
    </row>
    <row r="188">
      <c r="A188" s="83" t="inlineStr">
        <is>
          <t>1966-11</t>
        </is>
      </c>
      <c r="B188" s="22" t="n">
        <v>24412</v>
      </c>
      <c r="C188" s="22" t="n"/>
      <c r="D188" s="22" t="n"/>
      <c r="E188" s="22" t="n">
        <v>23924</v>
      </c>
      <c r="F188" s="83" t="inlineStr">
        <is>
          <t>1965-07</t>
        </is>
      </c>
      <c r="G188" s="83" t="n">
        <v>0.5883781</v>
      </c>
      <c r="AE188" s="83" t="n">
        <v>0.05213328</v>
      </c>
      <c r="AG188" s="83" t="n">
        <v>0.004923689</v>
      </c>
      <c r="AQ188" s="83" t="n">
        <v>1.302882</v>
      </c>
      <c r="AZ188" s="83" t="n">
        <v>2.488707</v>
      </c>
      <c r="BB188" s="83" t="n">
        <v>3.680581</v>
      </c>
      <c r="BC188" s="83" t="n">
        <v>0.1689845</v>
      </c>
    </row>
    <row r="189">
      <c r="A189" s="83" t="inlineStr">
        <is>
          <t>1966-12</t>
        </is>
      </c>
      <c r="B189" s="22" t="n">
        <v>24442</v>
      </c>
      <c r="C189" s="22" t="n"/>
      <c r="D189" s="22" t="n"/>
      <c r="E189" s="22" t="n">
        <v>23955</v>
      </c>
      <c r="F189" s="83" t="inlineStr">
        <is>
          <t>1965-08</t>
        </is>
      </c>
      <c r="G189" s="83" t="n">
        <v>0.5883781</v>
      </c>
      <c r="AE189" s="83" t="n">
        <v>0.05263134</v>
      </c>
      <c r="AG189" s="83" t="n">
        <v>0.005000126</v>
      </c>
      <c r="AQ189" s="83" t="n">
        <v>1.312065</v>
      </c>
      <c r="AZ189" s="83" t="n">
        <v>2.484949</v>
      </c>
      <c r="BB189" s="83" t="n">
        <v>3.704681</v>
      </c>
      <c r="BC189" s="83" t="n">
        <v>0.1694392</v>
      </c>
    </row>
    <row r="190">
      <c r="A190" s="83" t="inlineStr">
        <is>
          <t>1967-01</t>
        </is>
      </c>
      <c r="B190" s="22" t="n">
        <v>24473</v>
      </c>
      <c r="C190" s="22" t="n"/>
      <c r="D190" s="22" t="n"/>
      <c r="E190" s="22" t="n">
        <v>23986</v>
      </c>
      <c r="F190" s="83" t="inlineStr">
        <is>
          <t>1965-09</t>
        </is>
      </c>
      <c r="G190" s="83" t="n">
        <v>0.5883781</v>
      </c>
      <c r="AE190" s="83" t="n">
        <v>0.05303506</v>
      </c>
      <c r="AG190" s="83" t="n">
        <v>0.005067888</v>
      </c>
      <c r="AQ190" s="83" t="n">
        <v>1.318929</v>
      </c>
      <c r="AZ190" s="83" t="n">
        <v>2.495981</v>
      </c>
      <c r="BB190" s="83" t="n">
        <v>3.735429</v>
      </c>
      <c r="BC190" s="83" t="n">
        <v>0.1691419</v>
      </c>
    </row>
    <row r="191">
      <c r="A191" s="83" t="inlineStr">
        <is>
          <t>1967-02</t>
        </is>
      </c>
      <c r="B191" s="22" t="n">
        <v>24504</v>
      </c>
      <c r="C191" s="22" t="n"/>
      <c r="D191" s="22" t="n"/>
      <c r="E191" s="22" t="n">
        <v>24016</v>
      </c>
      <c r="F191" s="83" t="inlineStr">
        <is>
          <t>1965-10</t>
        </is>
      </c>
      <c r="G191" s="83" t="n">
        <v>0.5911799</v>
      </c>
      <c r="AE191" s="83" t="n">
        <v>0.05344545</v>
      </c>
      <c r="AG191" s="83" t="n">
        <v>0.005170348</v>
      </c>
      <c r="AQ191" s="83" t="n">
        <v>1.324164</v>
      </c>
      <c r="AZ191" s="83" t="n">
        <v>2.506794</v>
      </c>
      <c r="BB191" s="83" t="n">
        <v>3.76119</v>
      </c>
      <c r="BC191" s="83" t="n">
        <v>0.1697714</v>
      </c>
    </row>
    <row r="192">
      <c r="A192" s="83" t="inlineStr">
        <is>
          <t>1967-03</t>
        </is>
      </c>
      <c r="B192" s="22" t="n">
        <v>24532</v>
      </c>
      <c r="C192" s="22" t="n"/>
      <c r="D192" s="22" t="n"/>
      <c r="E192" s="22" t="n">
        <v>24047</v>
      </c>
      <c r="F192" s="83" t="inlineStr">
        <is>
          <t>1965-11</t>
        </is>
      </c>
      <c r="G192" s="83" t="n">
        <v>0.5939816999999999</v>
      </c>
      <c r="AE192" s="83" t="n">
        <v>0.05394485</v>
      </c>
      <c r="AG192" s="83" t="n">
        <v>0.005299147</v>
      </c>
      <c r="AQ192" s="83" t="n">
        <v>1.333827</v>
      </c>
      <c r="AZ192" s="83" t="n">
        <v>2.522772</v>
      </c>
      <c r="BB192" s="83" t="n">
        <v>3.786952</v>
      </c>
      <c r="BC192" s="83" t="n">
        <v>0.1707158</v>
      </c>
    </row>
    <row r="193">
      <c r="A193" s="83" t="inlineStr">
        <is>
          <t>1967-04</t>
        </is>
      </c>
      <c r="B193" s="22" t="n">
        <v>24563</v>
      </c>
      <c r="C193" s="22" t="n"/>
      <c r="D193" s="22" t="n"/>
      <c r="E193" s="22" t="n">
        <v>24077</v>
      </c>
      <c r="F193" s="83" t="inlineStr">
        <is>
          <t>1965-12</t>
        </is>
      </c>
      <c r="G193" s="83" t="n">
        <v>0.5967835</v>
      </c>
      <c r="AE193" s="83" t="n">
        <v>0.05449168</v>
      </c>
      <c r="AG193" s="83" t="n">
        <v>0.00545454</v>
      </c>
      <c r="AQ193" s="83" t="n">
        <v>1.347904</v>
      </c>
      <c r="AZ193" s="83" t="n">
        <v>2.539871</v>
      </c>
      <c r="BB193" s="83" t="n">
        <v>3.816037</v>
      </c>
      <c r="BC193" s="83" t="n">
        <v>0.1719049</v>
      </c>
    </row>
    <row r="194">
      <c r="A194" s="83" t="inlineStr">
        <is>
          <t>1967-05</t>
        </is>
      </c>
      <c r="B194" s="22" t="n">
        <v>24593</v>
      </c>
      <c r="C194" s="22" t="n"/>
      <c r="D194" s="22" t="n"/>
      <c r="E194" s="22" t="n">
        <v>24108</v>
      </c>
      <c r="F194" s="83" t="inlineStr">
        <is>
          <t>1966-01</t>
        </is>
      </c>
      <c r="G194" s="83" t="n">
        <v>0.5995854</v>
      </c>
      <c r="AE194" s="83" t="n">
        <v>0.05507538</v>
      </c>
      <c r="AG194" s="83" t="n">
        <v>0.005619522</v>
      </c>
      <c r="AQ194" s="83" t="n">
        <v>1.360171</v>
      </c>
      <c r="AZ194" s="83" t="n">
        <v>2.553746</v>
      </c>
      <c r="BB194" s="83" t="n">
        <v>3.839306</v>
      </c>
      <c r="BC194" s="83" t="n">
        <v>0.1728493</v>
      </c>
    </row>
    <row r="195">
      <c r="A195" s="83" t="inlineStr">
        <is>
          <t>1967-06</t>
        </is>
      </c>
      <c r="B195" s="22" t="n">
        <v>24624</v>
      </c>
      <c r="C195" s="22" t="n"/>
      <c r="D195" s="22" t="n"/>
      <c r="E195" s="22" t="n">
        <v>24139</v>
      </c>
      <c r="F195" s="83" t="inlineStr">
        <is>
          <t>1966-02</t>
        </is>
      </c>
      <c r="G195" s="83" t="n">
        <v>0.6051889</v>
      </c>
      <c r="AE195" s="83" t="n">
        <v>0.05555454</v>
      </c>
      <c r="AG195" s="83" t="n">
        <v>0.005693945</v>
      </c>
      <c r="AQ195" s="83" t="n">
        <v>1.369746</v>
      </c>
      <c r="AZ195" s="83" t="n">
        <v>2.570923</v>
      </c>
      <c r="BB195" s="83" t="n">
        <v>3.860912</v>
      </c>
      <c r="BC195" s="83" t="n">
        <v>0.1734264</v>
      </c>
    </row>
    <row r="196">
      <c r="A196" s="83" t="inlineStr">
        <is>
          <t>1967-07</t>
        </is>
      </c>
      <c r="B196" s="22" t="n">
        <v>24654</v>
      </c>
      <c r="C196" s="22" t="n"/>
      <c r="D196" s="22" t="n"/>
      <c r="E196" s="22" t="n">
        <v>24167</v>
      </c>
      <c r="F196" s="83" t="inlineStr">
        <is>
          <t>1966-03</t>
        </is>
      </c>
      <c r="G196" s="83" t="n">
        <v>0.6107925</v>
      </c>
      <c r="AE196" s="83" t="n">
        <v>0.05597505</v>
      </c>
      <c r="AG196" s="83" t="n">
        <v>0.005707911</v>
      </c>
      <c r="AQ196" s="83" t="n">
        <v>1.375109</v>
      </c>
      <c r="AZ196" s="83" t="n">
        <v>2.591389</v>
      </c>
      <c r="BB196" s="83" t="n">
        <v>3.882519</v>
      </c>
      <c r="BC196" s="83" t="n">
        <v>0.1738461</v>
      </c>
    </row>
    <row r="197">
      <c r="A197" s="83" t="inlineStr">
        <is>
          <t>1967-08</t>
        </is>
      </c>
      <c r="B197" s="22" t="n">
        <v>24685</v>
      </c>
      <c r="C197" s="22" t="n"/>
      <c r="D197" s="22" t="n"/>
      <c r="E197" s="22" t="n">
        <v>24198</v>
      </c>
      <c r="F197" s="83" t="inlineStr">
        <is>
          <t>1966-04</t>
        </is>
      </c>
      <c r="G197" s="83" t="n">
        <v>0.6107925</v>
      </c>
      <c r="AE197" s="83" t="n">
        <v>0.05660703</v>
      </c>
      <c r="AG197" s="83" t="n">
        <v>0.005734433</v>
      </c>
      <c r="AQ197" s="83" t="n">
        <v>1.378681</v>
      </c>
      <c r="AZ197" s="83" t="n">
        <v>2.611179</v>
      </c>
      <c r="BB197" s="83" t="n">
        <v>3.89997</v>
      </c>
      <c r="BC197" s="83" t="n">
        <v>0.1750527</v>
      </c>
    </row>
    <row r="198">
      <c r="A198" s="83" t="inlineStr">
        <is>
          <t>1967-09</t>
        </is>
      </c>
      <c r="B198" s="22" t="n">
        <v>24716</v>
      </c>
      <c r="C198" s="22" t="n"/>
      <c r="D198" s="22" t="n"/>
      <c r="E198" s="22" t="n">
        <v>24228</v>
      </c>
      <c r="F198" s="83" t="inlineStr">
        <is>
          <t>1966-05</t>
        </is>
      </c>
      <c r="G198" s="83" t="n">
        <v>0.6135944</v>
      </c>
      <c r="AE198" s="83" t="n">
        <v>0.05726546</v>
      </c>
      <c r="AG198" s="83" t="n">
        <v>0.0057693</v>
      </c>
      <c r="AQ198" s="83" t="n">
        <v>1.389405</v>
      </c>
      <c r="AZ198" s="83" t="n">
        <v>2.632138</v>
      </c>
      <c r="BB198" s="83" t="n">
        <v>3.906618</v>
      </c>
      <c r="BC198" s="83" t="n">
        <v>0.1777109</v>
      </c>
    </row>
    <row r="199">
      <c r="A199" s="83" t="inlineStr">
        <is>
          <t>1967-10</t>
        </is>
      </c>
      <c r="B199" s="22" t="n">
        <v>24746</v>
      </c>
      <c r="C199" s="22" t="n"/>
      <c r="D199" s="22" t="n"/>
      <c r="E199" s="22" t="n">
        <v>24259</v>
      </c>
      <c r="F199" s="83" t="inlineStr">
        <is>
          <t>1966-06</t>
        </is>
      </c>
      <c r="G199" s="83" t="n">
        <v>0.619198</v>
      </c>
      <c r="AE199" s="83" t="n">
        <v>0.05770947</v>
      </c>
      <c r="AG199" s="83" t="n">
        <v>0.005828875</v>
      </c>
      <c r="AQ199" s="83" t="n">
        <v>1.399194</v>
      </c>
      <c r="AZ199" s="83" t="n">
        <v>2.663527</v>
      </c>
      <c r="BB199" s="83" t="n">
        <v>3.91576</v>
      </c>
      <c r="BC199" s="83" t="n">
        <v>0.1802641</v>
      </c>
    </row>
    <row r="200">
      <c r="A200" s="83" t="inlineStr">
        <is>
          <t>1967-11</t>
        </is>
      </c>
      <c r="B200" s="22" t="n">
        <v>24777</v>
      </c>
      <c r="C200" s="22" t="n"/>
      <c r="D200" s="22" t="n"/>
      <c r="E200" s="22" t="n">
        <v>24289</v>
      </c>
      <c r="F200" s="83" t="inlineStr">
        <is>
          <t>1966-07</t>
        </is>
      </c>
      <c r="G200" s="83" t="n">
        <v>0.6219997</v>
      </c>
      <c r="AE200" s="83" t="n">
        <v>0.05827255</v>
      </c>
      <c r="AG200" s="83" t="n">
        <v>0.005885704</v>
      </c>
      <c r="AQ200" s="83" t="n">
        <v>1.406604</v>
      </c>
      <c r="AZ200" s="83" t="n">
        <v>2.687585</v>
      </c>
      <c r="BB200" s="83" t="n">
        <v>3.913267</v>
      </c>
      <c r="BC200" s="83" t="n">
        <v>0.1830796</v>
      </c>
    </row>
    <row r="201">
      <c r="A201" s="83" t="inlineStr">
        <is>
          <t>1967-12</t>
        </is>
      </c>
      <c r="B201" s="22" t="n">
        <v>24807</v>
      </c>
      <c r="C201" s="22" t="n"/>
      <c r="D201" s="22" t="n"/>
      <c r="E201" s="22" t="n">
        <v>24320</v>
      </c>
      <c r="F201" s="83" t="inlineStr">
        <is>
          <t>1966-08</t>
        </is>
      </c>
      <c r="G201" s="83" t="n">
        <v>0.6248015</v>
      </c>
      <c r="AE201" s="83" t="n">
        <v>0.05882042</v>
      </c>
      <c r="AG201" s="83" t="n">
        <v>0.005908799</v>
      </c>
      <c r="AQ201" s="83" t="n">
        <v>1.422022</v>
      </c>
      <c r="AZ201" s="83" t="n">
        <v>2.699467</v>
      </c>
      <c r="BB201" s="83" t="n">
        <v>3.927394</v>
      </c>
      <c r="BC201" s="83" t="n">
        <v>0.1844437</v>
      </c>
    </row>
    <row r="202">
      <c r="A202" s="83" t="inlineStr">
        <is>
          <t>1968-01</t>
        </is>
      </c>
      <c r="B202" s="22" t="n">
        <v>24838</v>
      </c>
      <c r="C202" s="22" t="n"/>
      <c r="D202" s="22" t="n"/>
      <c r="E202" s="22" t="n">
        <v>24351</v>
      </c>
      <c r="F202" s="83" t="inlineStr">
        <is>
          <t>1966-09</t>
        </is>
      </c>
      <c r="G202" s="83" t="n">
        <v>0.6304051000000001</v>
      </c>
      <c r="AE202" s="83" t="n">
        <v>0.05904577</v>
      </c>
      <c r="AG202" s="83" t="n">
        <v>0.005973013</v>
      </c>
      <c r="AQ202" s="83" t="n">
        <v>1.435712</v>
      </c>
      <c r="AZ202" s="83" t="n">
        <v>2.71687</v>
      </c>
      <c r="BB202" s="83" t="n">
        <v>3.950662</v>
      </c>
      <c r="BC202" s="83" t="n">
        <v>0.1855279</v>
      </c>
    </row>
    <row r="203">
      <c r="A203" s="83" t="inlineStr">
        <is>
          <t>1968-02</t>
        </is>
      </c>
      <c r="B203" s="22" t="n">
        <v>24869</v>
      </c>
      <c r="C203" s="22" t="n"/>
      <c r="D203" s="22" t="n"/>
      <c r="E203" s="22" t="n">
        <v>24381</v>
      </c>
      <c r="F203" s="83" t="inlineStr">
        <is>
          <t>1966-10</t>
        </is>
      </c>
      <c r="G203" s="83" t="n">
        <v>0.6360087</v>
      </c>
      <c r="AE203" s="83" t="n">
        <v>0.05940982</v>
      </c>
      <c r="AG203" s="83" t="n">
        <v>0.006067999</v>
      </c>
      <c r="AQ203" s="83" t="n">
        <v>1.441357</v>
      </c>
      <c r="AZ203" s="83" t="n">
        <v>2.73779</v>
      </c>
      <c r="BB203" s="83" t="n">
        <v>3.953156</v>
      </c>
      <c r="BC203" s="83" t="n">
        <v>0.1870144</v>
      </c>
    </row>
    <row r="204">
      <c r="A204" s="83" t="inlineStr">
        <is>
          <t>1968-03</t>
        </is>
      </c>
      <c r="B204" s="22" t="n">
        <v>24898</v>
      </c>
      <c r="C204" s="22" t="n"/>
      <c r="D204" s="22" t="n"/>
      <c r="E204" s="22" t="n">
        <v>24412</v>
      </c>
      <c r="F204" s="83" t="inlineStr">
        <is>
          <t>1966-11</t>
        </is>
      </c>
      <c r="G204" s="83" t="n">
        <v>0.6416124</v>
      </c>
      <c r="AE204" s="83" t="n">
        <v>0.06007482</v>
      </c>
      <c r="AG204" s="83" t="n">
        <v>0.006133731</v>
      </c>
      <c r="AQ204" s="83" t="n">
        <v>1.449661</v>
      </c>
      <c r="AZ204" s="83" t="n">
        <v>2.758021</v>
      </c>
      <c r="BB204" s="83" t="n">
        <v>3.966452</v>
      </c>
      <c r="BC204" s="83" t="n">
        <v>0.1872417</v>
      </c>
    </row>
    <row r="205">
      <c r="A205" s="83" t="inlineStr">
        <is>
          <t>1968-04</t>
        </is>
      </c>
      <c r="B205" s="22" t="n">
        <v>24929</v>
      </c>
      <c r="C205" s="22" t="n"/>
      <c r="D205" s="22" t="n"/>
      <c r="E205" s="22" t="n">
        <v>24442</v>
      </c>
      <c r="F205" s="83" t="inlineStr">
        <is>
          <t>1966-12</t>
        </is>
      </c>
      <c r="G205" s="83" t="n">
        <v>0.6444141</v>
      </c>
      <c r="AE205" s="83" t="n">
        <v>0.06067137</v>
      </c>
      <c r="AG205" s="83" t="n">
        <v>0.00619916</v>
      </c>
      <c r="AQ205" s="83" t="n">
        <v>1.461916</v>
      </c>
      <c r="AZ205" s="83" t="n">
        <v>2.773508</v>
      </c>
      <c r="BB205" s="83" t="n">
        <v>3.990551</v>
      </c>
      <c r="BC205" s="83" t="n">
        <v>0.1880112</v>
      </c>
    </row>
    <row r="206">
      <c r="A206" s="83" t="inlineStr">
        <is>
          <t>1968-05</t>
        </is>
      </c>
      <c r="B206" s="22" t="n">
        <v>24959</v>
      </c>
      <c r="C206" s="22" t="n"/>
      <c r="D206" s="22" t="n"/>
      <c r="E206" s="22" t="n">
        <v>24473</v>
      </c>
      <c r="F206" s="83" t="inlineStr">
        <is>
          <t>1967-01</t>
        </is>
      </c>
      <c r="G206" s="83" t="n">
        <v>0.647216</v>
      </c>
      <c r="AE206" s="83" t="n">
        <v>0.0611</v>
      </c>
      <c r="AG206" s="83" t="n">
        <v>0.006253341</v>
      </c>
      <c r="AQ206" s="83" t="n">
        <v>1.46905</v>
      </c>
      <c r="AZ206" s="83" t="n">
        <v>2.797889</v>
      </c>
      <c r="BB206" s="83" t="n">
        <v>4.002185</v>
      </c>
      <c r="BC206" s="83" t="n">
        <v>0.1895151</v>
      </c>
    </row>
    <row r="207">
      <c r="A207" s="83" t="inlineStr">
        <is>
          <t>1968-06</t>
        </is>
      </c>
      <c r="B207" s="22" t="n">
        <v>24990</v>
      </c>
      <c r="C207" s="22" t="n"/>
      <c r="D207" s="22" t="n"/>
      <c r="E207" s="22" t="n">
        <v>24504</v>
      </c>
      <c r="F207" s="83" t="inlineStr">
        <is>
          <t>1967-02</t>
        </is>
      </c>
      <c r="G207" s="83" t="n">
        <v>0.6528196000000001</v>
      </c>
      <c r="AE207" s="83" t="n">
        <v>0.0615376</v>
      </c>
      <c r="AG207" s="83" t="n">
        <v>0.006259528</v>
      </c>
      <c r="AQ207" s="83" t="n">
        <v>1.482366</v>
      </c>
      <c r="AZ207" s="83" t="n">
        <v>2.829052</v>
      </c>
      <c r="BB207" s="83" t="n">
        <v>4.031271</v>
      </c>
      <c r="BC207" s="83" t="n">
        <v>0.1901447</v>
      </c>
    </row>
    <row r="208">
      <c r="A208" s="83" t="inlineStr">
        <is>
          <t>1968-07</t>
        </is>
      </c>
      <c r="B208" s="22" t="n">
        <v>25020</v>
      </c>
      <c r="C208" s="22" t="n"/>
      <c r="D208" s="22" t="n"/>
      <c r="E208" s="22" t="n">
        <v>24532</v>
      </c>
      <c r="F208" s="83" t="inlineStr">
        <is>
          <t>1967-03</t>
        </is>
      </c>
      <c r="G208" s="83" t="n">
        <v>0.6584231</v>
      </c>
      <c r="AE208" s="83" t="n">
        <v>0.06211763</v>
      </c>
      <c r="AG208" s="83" t="n">
        <v>0.006296658</v>
      </c>
      <c r="AQ208" s="83" t="n">
        <v>1.496088</v>
      </c>
      <c r="AZ208" s="83" t="n">
        <v>2.85219</v>
      </c>
      <c r="BB208" s="83" t="n">
        <v>4.069498</v>
      </c>
      <c r="BC208" s="83" t="n">
        <v>0.1908792</v>
      </c>
    </row>
    <row r="209">
      <c r="A209" s="83" t="inlineStr">
        <is>
          <t>1968-08</t>
        </is>
      </c>
      <c r="B209" s="22" t="n">
        <v>25051</v>
      </c>
      <c r="C209" s="22" t="n"/>
      <c r="D209" s="22" t="n"/>
      <c r="E209" s="22" t="n">
        <v>24563</v>
      </c>
      <c r="F209" s="83" t="inlineStr">
        <is>
          <t>1967-04</t>
        </is>
      </c>
      <c r="G209" s="83" t="n">
        <v>0.6584231</v>
      </c>
      <c r="AE209" s="83" t="n">
        <v>0.06230864</v>
      </c>
      <c r="AG209" s="83" t="n">
        <v>0.006342505</v>
      </c>
      <c r="AQ209" s="83" t="n">
        <v>1.50095</v>
      </c>
      <c r="AZ209" s="83" t="n">
        <v>2.871472</v>
      </c>
      <c r="BB209" s="83" t="n">
        <v>4.089443</v>
      </c>
      <c r="BC209" s="83" t="n">
        <v>0.1920684</v>
      </c>
    </row>
    <row r="210">
      <c r="A210" s="83" t="inlineStr">
        <is>
          <t>1968-09</t>
        </is>
      </c>
      <c r="B210" s="22" t="n">
        <v>25082</v>
      </c>
      <c r="C210" s="22" t="n"/>
      <c r="D210" s="22" t="n"/>
      <c r="E210" s="22" t="n">
        <v>24593</v>
      </c>
      <c r="F210" s="83" t="inlineStr">
        <is>
          <t>1967-05</t>
        </is>
      </c>
      <c r="G210" s="83" t="n">
        <v>0.661225</v>
      </c>
      <c r="AE210" s="83" t="n">
        <v>0.06248513</v>
      </c>
      <c r="AG210" s="83" t="n">
        <v>0.00632497</v>
      </c>
      <c r="AQ210" s="83" t="n">
        <v>1.510566</v>
      </c>
      <c r="AZ210" s="83" t="n">
        <v>2.899246</v>
      </c>
      <c r="BB210" s="83" t="n">
        <v>4.131824</v>
      </c>
      <c r="BC210" s="83" t="n">
        <v>0.1927154</v>
      </c>
    </row>
    <row r="211">
      <c r="A211" s="83" t="inlineStr">
        <is>
          <t>1968-10</t>
        </is>
      </c>
      <c r="B211" s="22" t="n">
        <v>25112</v>
      </c>
      <c r="C211" s="22" t="n"/>
      <c r="D211" s="22" t="n"/>
      <c r="E211" s="22" t="n">
        <v>24624</v>
      </c>
      <c r="F211" s="83" t="inlineStr">
        <is>
          <t>1967-06</t>
        </is>
      </c>
      <c r="G211" s="83" t="n">
        <v>0.6696303</v>
      </c>
      <c r="AE211" s="83" t="n">
        <v>0.06284434999999999</v>
      </c>
      <c r="AG211" s="83" t="n">
        <v>0.006335967</v>
      </c>
      <c r="AQ211" s="83" t="n">
        <v>1.526351</v>
      </c>
      <c r="AZ211" s="83" t="n">
        <v>2.93272</v>
      </c>
      <c r="BB211" s="83" t="n">
        <v>4.171713</v>
      </c>
      <c r="BC211" s="83" t="n">
        <v>0.1942019</v>
      </c>
    </row>
    <row r="212">
      <c r="A212" s="83" t="inlineStr">
        <is>
          <t>1968-11</t>
        </is>
      </c>
      <c r="B212" s="22" t="n">
        <v>25143</v>
      </c>
      <c r="C212" s="22" t="n"/>
      <c r="D212" s="22" t="n"/>
      <c r="E212" s="22" t="n">
        <v>24654</v>
      </c>
      <c r="F212" s="83" t="inlineStr">
        <is>
          <t>1967-07</t>
        </is>
      </c>
      <c r="G212" s="83" t="n">
        <v>0.675234</v>
      </c>
      <c r="AE212" s="83" t="n">
        <v>0.06308991</v>
      </c>
      <c r="AG212" s="83" t="n">
        <v>0.006362742</v>
      </c>
      <c r="AQ212" s="83" t="n">
        <v>1.536415</v>
      </c>
      <c r="AZ212" s="83" t="n">
        <v>2.961912</v>
      </c>
      <c r="BB212" s="83" t="n">
        <v>4.207447</v>
      </c>
      <c r="BC212" s="83" t="n">
        <v>0.1954785</v>
      </c>
    </row>
    <row r="213">
      <c r="A213" s="83" t="inlineStr">
        <is>
          <t>1968-12</t>
        </is>
      </c>
      <c r="B213" s="22" t="n">
        <v>25173</v>
      </c>
      <c r="C213" s="22" t="n"/>
      <c r="D213" s="22" t="n"/>
      <c r="E213" s="22" t="n">
        <v>24685</v>
      </c>
      <c r="F213" s="83" t="inlineStr">
        <is>
          <t>1967-08</t>
        </is>
      </c>
      <c r="G213" s="83" t="n">
        <v>0.6808376</v>
      </c>
      <c r="AE213" s="83" t="n">
        <v>0.06354818</v>
      </c>
      <c r="AG213" s="83" t="n">
        <v>0.006384078</v>
      </c>
      <c r="AQ213" s="83" t="n">
        <v>1.546649</v>
      </c>
      <c r="AZ213" s="83" t="n">
        <v>2.993304</v>
      </c>
      <c r="BB213" s="83" t="n">
        <v>4.244843</v>
      </c>
      <c r="BC213" s="83" t="n">
        <v>0.196178</v>
      </c>
    </row>
    <row r="214">
      <c r="A214" s="83" t="inlineStr">
        <is>
          <t>1969-01</t>
        </is>
      </c>
      <c r="B214" s="22" t="n">
        <v>25204</v>
      </c>
      <c r="C214" s="22" t="n"/>
      <c r="D214" s="22" t="n"/>
      <c r="E214" s="22" t="n">
        <v>24716</v>
      </c>
      <c r="F214" s="83" t="inlineStr">
        <is>
          <t>1967-09</t>
        </is>
      </c>
      <c r="G214" s="83" t="n">
        <v>0.6864411</v>
      </c>
      <c r="AE214" s="83" t="n">
        <v>0.06423180000000001</v>
      </c>
      <c r="AG214" s="83" t="n">
        <v>0.006427068</v>
      </c>
      <c r="AQ214" s="83" t="n">
        <v>1.56409</v>
      </c>
      <c r="AZ214" s="83" t="n">
        <v>3.026825</v>
      </c>
      <c r="BB214" s="83" t="n">
        <v>4.277253</v>
      </c>
      <c r="BC214" s="83" t="n">
        <v>0.1964753</v>
      </c>
    </row>
    <row r="215">
      <c r="A215" s="83" t="inlineStr">
        <is>
          <t>1969-02</t>
        </is>
      </c>
      <c r="B215" s="22" t="n">
        <v>25235</v>
      </c>
      <c r="C215" s="22" t="n"/>
      <c r="D215" s="22" t="n"/>
      <c r="E215" s="22" t="n">
        <v>24746</v>
      </c>
      <c r="F215" s="83" t="inlineStr">
        <is>
          <t>1967-10</t>
        </is>
      </c>
      <c r="G215" s="83" t="n">
        <v>0.6892430000000001</v>
      </c>
      <c r="AE215" s="83" t="n">
        <v>0.06489808</v>
      </c>
      <c r="AG215" s="83" t="n">
        <v>0.006449311</v>
      </c>
      <c r="AQ215" s="83" t="n">
        <v>1.578578</v>
      </c>
      <c r="AZ215" s="83" t="n">
        <v>3.063987</v>
      </c>
      <c r="BB215" s="83" t="n">
        <v>4.306338</v>
      </c>
      <c r="BC215" s="83" t="n">
        <v>0.1967201</v>
      </c>
    </row>
    <row r="216">
      <c r="A216" s="83" t="inlineStr">
        <is>
          <t>1969-03</t>
        </is>
      </c>
      <c r="B216" s="22" t="n">
        <v>25263</v>
      </c>
      <c r="C216" s="22" t="n"/>
      <c r="D216" s="22" t="n"/>
      <c r="E216" s="22" t="n">
        <v>24777</v>
      </c>
      <c r="F216" s="83" t="inlineStr">
        <is>
          <t>1967-11</t>
        </is>
      </c>
      <c r="G216" s="83" t="n">
        <v>0.6920447</v>
      </c>
      <c r="AE216" s="83" t="n">
        <v>0.06545479</v>
      </c>
      <c r="AG216" s="83" t="n">
        <v>0.00646943</v>
      </c>
      <c r="AQ216" s="83" t="n">
        <v>1.595676</v>
      </c>
      <c r="AZ216" s="83" t="n">
        <v>3.095066</v>
      </c>
      <c r="BB216" s="83" t="n">
        <v>4.331269</v>
      </c>
      <c r="BC216" s="83" t="n">
        <v>0.1986787</v>
      </c>
    </row>
    <row r="217">
      <c r="A217" s="83" t="inlineStr">
        <is>
          <t>1969-04</t>
        </is>
      </c>
      <c r="B217" s="22" t="n">
        <v>25294</v>
      </c>
      <c r="C217" s="22" t="n"/>
      <c r="D217" s="22" t="n"/>
      <c r="E217" s="22" t="n">
        <v>24807</v>
      </c>
      <c r="F217" s="83" t="inlineStr">
        <is>
          <t>1967-12</t>
        </is>
      </c>
      <c r="G217" s="83" t="n">
        <v>0.6976483</v>
      </c>
      <c r="AE217" s="83" t="n">
        <v>0.06618830000000001</v>
      </c>
      <c r="AG217" s="83" t="n">
        <v>0.006509473</v>
      </c>
      <c r="AQ217" s="83" t="n">
        <v>1.601347</v>
      </c>
      <c r="AZ217" s="83" t="n">
        <v>3.120218</v>
      </c>
      <c r="BB217" s="83" t="n">
        <v>4.361186</v>
      </c>
      <c r="BC217" s="83" t="n">
        <v>0.2013544</v>
      </c>
    </row>
    <row r="218">
      <c r="A218" s="83" t="inlineStr">
        <is>
          <t>1969-05</t>
        </is>
      </c>
      <c r="B218" s="22" t="n">
        <v>25324</v>
      </c>
      <c r="C218" s="22" t="n"/>
      <c r="D218" s="22" t="n"/>
      <c r="E218" s="22" t="n">
        <v>24838</v>
      </c>
      <c r="F218" s="83" t="inlineStr">
        <is>
          <t>1968-01</t>
        </is>
      </c>
      <c r="G218" s="83" t="n">
        <v>0.703252</v>
      </c>
      <c r="AE218" s="83" t="n">
        <v>0.06681231</v>
      </c>
      <c r="AG218" s="83" t="n">
        <v>0.006541683</v>
      </c>
      <c r="AQ218" s="83" t="n">
        <v>1.601484</v>
      </c>
      <c r="AZ218" s="83" t="n">
        <v>3.142203</v>
      </c>
      <c r="BB218" s="83" t="n">
        <v>4.382792</v>
      </c>
      <c r="BC218" s="83" t="n">
        <v>0.2036278</v>
      </c>
    </row>
    <row r="219">
      <c r="A219" s="83" t="inlineStr">
        <is>
          <t>1969-06</t>
        </is>
      </c>
      <c r="B219" s="22" t="n">
        <v>25355</v>
      </c>
      <c r="C219" s="22" t="n"/>
      <c r="D219" s="22" t="n"/>
      <c r="E219" s="22" t="n">
        <v>24869</v>
      </c>
      <c r="F219" s="83" t="inlineStr">
        <is>
          <t>1968-02</t>
        </is>
      </c>
      <c r="G219" s="83" t="n">
        <v>0.7060537</v>
      </c>
      <c r="AE219" s="83" t="n">
        <v>0.06721356000000001</v>
      </c>
      <c r="AG219" s="83" t="n">
        <v>0.006580962</v>
      </c>
      <c r="AQ219" s="83" t="n">
        <v>1.607993</v>
      </c>
      <c r="AZ219" s="83" t="n">
        <v>3.164432</v>
      </c>
      <c r="BB219" s="83" t="n">
        <v>4.407722</v>
      </c>
      <c r="BC219" s="83" t="n">
        <v>0.2049743</v>
      </c>
    </row>
    <row r="220">
      <c r="A220" s="83" t="inlineStr">
        <is>
          <t>1969-07</t>
        </is>
      </c>
      <c r="B220" s="22" t="n">
        <v>25385</v>
      </c>
      <c r="C220" s="22" t="n"/>
      <c r="D220" s="22" t="n"/>
      <c r="E220" s="22" t="n">
        <v>24898</v>
      </c>
      <c r="F220" s="83" t="inlineStr">
        <is>
          <t>1968-03</t>
        </is>
      </c>
      <c r="G220" s="83" t="n">
        <v>0.7088556</v>
      </c>
      <c r="AE220" s="83" t="n">
        <v>0.06786702999999999</v>
      </c>
      <c r="AG220" s="83" t="n">
        <v>0.006611274</v>
      </c>
      <c r="AQ220" s="83" t="n">
        <v>1.61734</v>
      </c>
      <c r="AZ220" s="83" t="n">
        <v>3.19469</v>
      </c>
      <c r="BB220" s="83" t="n">
        <v>4.430991</v>
      </c>
      <c r="BC220" s="83" t="n">
        <v>0.2060061</v>
      </c>
    </row>
    <row r="221">
      <c r="A221" s="83" t="inlineStr">
        <is>
          <t>1969-08</t>
        </is>
      </c>
      <c r="B221" s="22" t="n">
        <v>25416</v>
      </c>
      <c r="C221" s="22" t="n"/>
      <c r="D221" s="22" t="n"/>
      <c r="E221" s="22" t="n">
        <v>24929</v>
      </c>
      <c r="F221" s="83" t="inlineStr">
        <is>
          <t>1968-04</t>
        </is>
      </c>
      <c r="G221" s="83" t="n">
        <v>0.7116573</v>
      </c>
      <c r="AE221" s="83" t="n">
        <v>0.06855526000000001</v>
      </c>
      <c r="AG221" s="83" t="n">
        <v>0.00664082</v>
      </c>
      <c r="AQ221" s="83" t="n">
        <v>1.636402</v>
      </c>
      <c r="AZ221" s="83" t="n">
        <v>3.231398</v>
      </c>
      <c r="BB221" s="83" t="n">
        <v>4.451766</v>
      </c>
      <c r="BC221" s="83" t="n">
        <v>0.2080697</v>
      </c>
    </row>
    <row r="222">
      <c r="A222" s="83" t="inlineStr">
        <is>
          <t>1969-09</t>
        </is>
      </c>
      <c r="B222" s="22" t="n">
        <v>25447</v>
      </c>
      <c r="C222" s="22" t="n"/>
      <c r="D222" s="22" t="n"/>
      <c r="E222" s="22" t="n">
        <v>24959</v>
      </c>
      <c r="F222" s="83" t="inlineStr">
        <is>
          <t>1968-05</t>
        </is>
      </c>
      <c r="G222" s="83" t="n">
        <v>0.7144592</v>
      </c>
      <c r="AE222" s="83" t="n">
        <v>0.06894931999999999</v>
      </c>
      <c r="AG222" s="83" t="n">
        <v>0.006750283</v>
      </c>
      <c r="AQ222" s="83" t="n">
        <v>1.653073</v>
      </c>
      <c r="AZ222" s="83" t="n">
        <v>3.26562</v>
      </c>
      <c r="BB222" s="83" t="n">
        <v>4.478359</v>
      </c>
      <c r="BC222" s="83" t="n">
        <v>0.2107803</v>
      </c>
    </row>
    <row r="223">
      <c r="A223" s="83" t="inlineStr">
        <is>
          <t>1969-10</t>
        </is>
      </c>
      <c r="B223" s="22" t="n">
        <v>25477</v>
      </c>
      <c r="C223" s="22" t="n"/>
      <c r="D223" s="22" t="n"/>
      <c r="E223" s="22" t="n">
        <v>24990</v>
      </c>
      <c r="F223" s="83" t="inlineStr">
        <is>
          <t>1968-06</t>
        </is>
      </c>
      <c r="G223" s="83" t="n">
        <v>0.7228646</v>
      </c>
      <c r="AE223" s="83" t="n">
        <v>0.06944974</v>
      </c>
      <c r="AG223" s="83" t="n">
        <v>0.006808873</v>
      </c>
      <c r="AQ223" s="83" t="n">
        <v>1.659131</v>
      </c>
      <c r="AZ223" s="83" t="n">
        <v>3.296097</v>
      </c>
      <c r="BB223" s="83" t="n">
        <v>4.509107</v>
      </c>
      <c r="BC223" s="83" t="n">
        <v>0.2132985</v>
      </c>
    </row>
    <row r="224">
      <c r="A224" s="83" t="inlineStr">
        <is>
          <t>1969-11</t>
        </is>
      </c>
      <c r="B224" s="22" t="n">
        <v>25508</v>
      </c>
      <c r="C224" s="22" t="n"/>
      <c r="D224" s="22" t="n"/>
      <c r="E224" s="22" t="n">
        <v>25020</v>
      </c>
      <c r="F224" s="83" t="inlineStr">
        <is>
          <t>1968-07</t>
        </is>
      </c>
      <c r="G224" s="83" t="n">
        <v>0.73127</v>
      </c>
      <c r="AE224" s="83" t="n">
        <v>0.07011223</v>
      </c>
      <c r="AG224" s="83" t="n">
        <v>0.006814596</v>
      </c>
      <c r="AQ224" s="83" t="n">
        <v>1.674251</v>
      </c>
      <c r="AZ224" s="83" t="n">
        <v>3.329255</v>
      </c>
      <c r="BB224" s="83" t="n">
        <v>4.534038</v>
      </c>
      <c r="BC224" s="83" t="n">
        <v>0.2157818</v>
      </c>
    </row>
    <row r="225">
      <c r="A225" s="83" t="inlineStr">
        <is>
          <t>1969-12</t>
        </is>
      </c>
      <c r="B225" s="22" t="n">
        <v>25538</v>
      </c>
      <c r="C225" s="22" t="n"/>
      <c r="D225" s="22" t="n"/>
      <c r="E225" s="22" t="n">
        <v>25051</v>
      </c>
      <c r="F225" s="83" t="inlineStr">
        <is>
          <t>1968-08</t>
        </is>
      </c>
      <c r="G225" s="83" t="n">
        <v>0.7340718000000001</v>
      </c>
      <c r="AE225" s="83" t="n">
        <v>0.07064463</v>
      </c>
      <c r="AG225" s="83" t="n">
        <v>0.006863197</v>
      </c>
      <c r="AQ225" s="83" t="n">
        <v>1.695089</v>
      </c>
      <c r="AZ225" s="83" t="n">
        <v>3.361973</v>
      </c>
      <c r="BB225" s="83" t="n">
        <v>4.565616</v>
      </c>
      <c r="BC225" s="83" t="n">
        <v>0.2183875</v>
      </c>
    </row>
    <row r="226">
      <c r="A226" s="83" t="inlineStr">
        <is>
          <t>1970-01</t>
        </is>
      </c>
      <c r="B226" s="22" t="n">
        <v>25569</v>
      </c>
      <c r="C226" s="22" t="n"/>
      <c r="D226" s="22" t="n"/>
      <c r="E226" s="22" t="n">
        <v>25082</v>
      </c>
      <c r="F226" s="83" t="inlineStr">
        <is>
          <t>1968-09</t>
        </is>
      </c>
      <c r="G226" s="83" t="n">
        <v>0.7368736</v>
      </c>
      <c r="AE226" s="83" t="n">
        <v>0.07123305000000001</v>
      </c>
      <c r="AG226" s="83" t="n">
        <v>0.00686677</v>
      </c>
      <c r="AQ226" s="83" t="n">
        <v>1.706894</v>
      </c>
      <c r="AZ226" s="83" t="n">
        <v>3.398394</v>
      </c>
      <c r="BB226" s="83" t="n">
        <v>4.600519</v>
      </c>
      <c r="BC226" s="83" t="n">
        <v>0.2206959</v>
      </c>
    </row>
    <row r="227">
      <c r="A227" s="83" t="inlineStr">
        <is>
          <t>1970-02</t>
        </is>
      </c>
      <c r="B227" s="22" t="n">
        <v>25600</v>
      </c>
      <c r="C227" s="22" t="n"/>
      <c r="D227" s="22" t="n"/>
      <c r="E227" s="22" t="n">
        <v>25112</v>
      </c>
      <c r="F227" s="83" t="inlineStr">
        <is>
          <t>1968-10</t>
        </is>
      </c>
      <c r="G227" s="83" t="n">
        <v>0.7424771999999999</v>
      </c>
      <c r="AE227" s="83" t="n">
        <v>0.07188406999999999</v>
      </c>
      <c r="AG227" s="83" t="n">
        <v>0.006824786</v>
      </c>
      <c r="AQ227" s="83" t="n">
        <v>1.72694</v>
      </c>
      <c r="AZ227" s="83" t="n">
        <v>3.431185</v>
      </c>
      <c r="BB227" s="83" t="n">
        <v>4.633759</v>
      </c>
      <c r="BC227" s="83" t="n">
        <v>0.2229518</v>
      </c>
    </row>
    <row r="228">
      <c r="A228" s="83" t="inlineStr">
        <is>
          <t>1970-03</t>
        </is>
      </c>
      <c r="B228" s="22" t="n">
        <v>25628</v>
      </c>
      <c r="C228" s="22" t="n"/>
      <c r="D228" s="22" t="n"/>
      <c r="E228" s="22" t="n">
        <v>25143</v>
      </c>
      <c r="F228" s="83" t="inlineStr">
        <is>
          <t>1968-11</t>
        </is>
      </c>
      <c r="G228" s="83" t="n">
        <v>0.745279</v>
      </c>
      <c r="AE228" s="83" t="n">
        <v>0.07227790000000001</v>
      </c>
      <c r="AG228" s="83" t="n">
        <v>0.006798591</v>
      </c>
      <c r="AQ228" s="83" t="n">
        <v>1.747403</v>
      </c>
      <c r="AZ228" s="83" t="n">
        <v>3.456786</v>
      </c>
      <c r="BB228" s="83" t="n">
        <v>4.673649</v>
      </c>
      <c r="BC228" s="83" t="n">
        <v>0.2277959</v>
      </c>
    </row>
    <row r="229">
      <c r="A229" s="83" t="inlineStr">
        <is>
          <t>1970-04</t>
        </is>
      </c>
      <c r="B229" s="22" t="n">
        <v>25659</v>
      </c>
      <c r="C229" s="22" t="n"/>
      <c r="D229" s="22" t="n"/>
      <c r="E229" s="22" t="n">
        <v>25173</v>
      </c>
      <c r="F229" s="83" t="inlineStr">
        <is>
          <t>1968-12</t>
        </is>
      </c>
      <c r="G229" s="83" t="n">
        <v>0.7480808</v>
      </c>
      <c r="AE229" s="83" t="n">
        <v>0.07269009</v>
      </c>
      <c r="AG229" s="83" t="n">
        <v>0.006943772</v>
      </c>
      <c r="AQ229" s="83" t="n">
        <v>1.766322</v>
      </c>
      <c r="AZ229" s="83" t="n">
        <v>3.488146</v>
      </c>
      <c r="BB229" s="83" t="n">
        <v>4.710214</v>
      </c>
      <c r="BC229" s="83" t="n">
        <v>0.2299994</v>
      </c>
    </row>
    <row r="230">
      <c r="A230" s="83" t="inlineStr">
        <is>
          <t>1970-05</t>
        </is>
      </c>
      <c r="B230" s="22" t="n">
        <v>25689</v>
      </c>
      <c r="C230" s="22" t="n"/>
      <c r="D230" s="22" t="n"/>
      <c r="E230" s="22" t="n">
        <v>25204</v>
      </c>
      <c r="F230" s="83" t="inlineStr">
        <is>
          <t>1969-01</t>
        </is>
      </c>
      <c r="G230" s="83" t="n">
        <v>0.7564862</v>
      </c>
      <c r="AE230" s="83" t="n">
        <v>0.07349711</v>
      </c>
      <c r="AG230" s="83" t="n">
        <v>0.007123655</v>
      </c>
      <c r="AQ230" s="83" t="n">
        <v>1.789546</v>
      </c>
      <c r="AZ230" s="83" t="n">
        <v>3.510798</v>
      </c>
      <c r="BB230" s="83" t="n">
        <v>4.730989</v>
      </c>
      <c r="BC230" s="83" t="n">
        <v>0.2295972</v>
      </c>
    </row>
    <row r="231">
      <c r="A231" s="83" t="inlineStr">
        <is>
          <t>1970-06</t>
        </is>
      </c>
      <c r="B231" s="22" t="n">
        <v>25720</v>
      </c>
      <c r="C231" s="22" t="n"/>
      <c r="D231" s="22" t="n"/>
      <c r="E231" s="22" t="n">
        <v>25235</v>
      </c>
      <c r="F231" s="83" t="inlineStr">
        <is>
          <t>1969-02</t>
        </is>
      </c>
      <c r="G231" s="83" t="n">
        <v>0.7648916</v>
      </c>
      <c r="AE231" s="83" t="n">
        <v>0.0744919</v>
      </c>
      <c r="AG231" s="83" t="n">
        <v>0.007216891</v>
      </c>
      <c r="AQ231" s="83" t="n">
        <v>1.809406</v>
      </c>
      <c r="AZ231" s="83" t="n">
        <v>3.528334</v>
      </c>
      <c r="BB231" s="83" t="n">
        <v>4.752595</v>
      </c>
      <c r="BC231" s="83" t="n">
        <v>0.2325001</v>
      </c>
    </row>
    <row r="232">
      <c r="A232" s="83" t="inlineStr">
        <is>
          <t>1970-07</t>
        </is>
      </c>
      <c r="B232" s="22" t="n">
        <v>25750</v>
      </c>
      <c r="C232" s="22" t="n"/>
      <c r="D232" s="22" t="n"/>
      <c r="E232" s="22" t="n">
        <v>25263</v>
      </c>
      <c r="F232" s="83" t="inlineStr">
        <is>
          <t>1969-03</t>
        </is>
      </c>
      <c r="G232" s="83" t="n">
        <v>0.7704952</v>
      </c>
      <c r="AE232" s="83" t="n">
        <v>0.07552787</v>
      </c>
      <c r="AG232" s="83" t="n">
        <v>0.00735185</v>
      </c>
      <c r="AQ232" s="83" t="n">
        <v>1.82064</v>
      </c>
      <c r="AZ232" s="83" t="n">
        <v>3.557477</v>
      </c>
      <c r="BB232" s="83" t="n">
        <v>4.773371</v>
      </c>
      <c r="BC232" s="83" t="n">
        <v>0.2356304</v>
      </c>
    </row>
    <row r="233">
      <c r="A233" s="83" t="inlineStr">
        <is>
          <t>1970-08</t>
        </is>
      </c>
      <c r="B233" s="22" t="n">
        <v>25781</v>
      </c>
      <c r="C233" s="22" t="n"/>
      <c r="D233" s="22" t="n"/>
      <c r="E233" s="22" t="n">
        <v>25294</v>
      </c>
      <c r="F233" s="83" t="inlineStr">
        <is>
          <t>1969-04</t>
        </is>
      </c>
      <c r="G233" s="83" t="n">
        <v>0.7760988</v>
      </c>
      <c r="AE233" s="83" t="n">
        <v>0.0765499</v>
      </c>
      <c r="AG233" s="83" t="n">
        <v>0.007501977</v>
      </c>
      <c r="AQ233" s="83" t="n">
        <v>1.831628</v>
      </c>
      <c r="AZ233" s="83" t="n">
        <v>3.580513</v>
      </c>
      <c r="BB233" s="83" t="n">
        <v>4.784174</v>
      </c>
      <c r="BC233" s="83" t="n">
        <v>0.2371519</v>
      </c>
    </row>
    <row r="234">
      <c r="A234" s="83" t="inlineStr">
        <is>
          <t>1970-09</t>
        </is>
      </c>
      <c r="B234" s="22" t="n">
        <v>25812</v>
      </c>
      <c r="C234" s="22" t="n"/>
      <c r="D234" s="22" t="n"/>
      <c r="E234" s="22" t="n">
        <v>25324</v>
      </c>
      <c r="F234" s="83" t="inlineStr">
        <is>
          <t>1969-05</t>
        </is>
      </c>
      <c r="G234" s="83" t="n">
        <v>0.7817024</v>
      </c>
      <c r="AE234" s="83" t="n">
        <v>0.07749085</v>
      </c>
      <c r="AG234" s="83" t="n">
        <v>0.007652416</v>
      </c>
      <c r="AQ234" s="83" t="n">
        <v>1.843027</v>
      </c>
      <c r="AZ234" s="83" t="n">
        <v>3.602066</v>
      </c>
      <c r="BB234" s="83" t="n">
        <v>4.790822</v>
      </c>
      <c r="BC234" s="83" t="n">
        <v>0.2386034</v>
      </c>
    </row>
    <row r="235">
      <c r="A235" s="83" t="inlineStr">
        <is>
          <t>1970-10</t>
        </is>
      </c>
      <c r="B235" s="22" t="n">
        <v>25842</v>
      </c>
      <c r="C235" s="22" t="n"/>
      <c r="D235" s="22" t="n"/>
      <c r="E235" s="22" t="n">
        <v>25355</v>
      </c>
      <c r="F235" s="83" t="inlineStr">
        <is>
          <t>1969-06</t>
        </is>
      </c>
      <c r="G235" s="83" t="n">
        <v>0.7901078</v>
      </c>
      <c r="AE235" s="83" t="n">
        <v>0.07854688999999999</v>
      </c>
      <c r="AG235" s="83" t="n">
        <v>0.007760061</v>
      </c>
      <c r="AQ235" s="83" t="n">
        <v>1.852315</v>
      </c>
      <c r="AZ235" s="83" t="n">
        <v>3.610799</v>
      </c>
      <c r="BB235" s="83" t="n">
        <v>4.807443</v>
      </c>
      <c r="BC235" s="83" t="n">
        <v>0.2386034</v>
      </c>
    </row>
    <row r="236">
      <c r="A236" s="83" t="inlineStr">
        <is>
          <t>1970-11</t>
        </is>
      </c>
      <c r="B236" s="22" t="n">
        <v>25873</v>
      </c>
      <c r="C236" s="22" t="n"/>
      <c r="D236" s="22" t="n"/>
      <c r="E236" s="22" t="n">
        <v>25385</v>
      </c>
      <c r="F236" s="83" t="inlineStr">
        <is>
          <t>1969-07</t>
        </is>
      </c>
      <c r="G236" s="83" t="n">
        <v>0.7985132</v>
      </c>
      <c r="AE236" s="83" t="n">
        <v>0.07951722</v>
      </c>
      <c r="AG236" s="83" t="n">
        <v>0.007854557</v>
      </c>
      <c r="AQ236" s="83" t="n">
        <v>1.865196</v>
      </c>
      <c r="AZ236" s="83" t="n">
        <v>3.625434</v>
      </c>
      <c r="BB236" s="83" t="n">
        <v>4.815753</v>
      </c>
      <c r="BC236" s="83" t="n">
        <v>0.2374492</v>
      </c>
    </row>
    <row r="237">
      <c r="A237" s="83" t="inlineStr">
        <is>
          <t>1970-12</t>
        </is>
      </c>
      <c r="B237" s="22" t="n">
        <v>25903</v>
      </c>
      <c r="C237" s="22" t="n"/>
      <c r="D237" s="22" t="n"/>
      <c r="E237" s="22" t="n">
        <v>25416</v>
      </c>
      <c r="F237" s="83" t="inlineStr">
        <is>
          <t>1969-08</t>
        </is>
      </c>
      <c r="G237" s="83" t="n">
        <v>0.8041168</v>
      </c>
      <c r="AE237" s="83" t="n">
        <v>0.08013824</v>
      </c>
      <c r="AG237" s="83" t="n">
        <v>0.007999519</v>
      </c>
      <c r="AQ237" s="83" t="n">
        <v>1.879116</v>
      </c>
      <c r="AZ237" s="83" t="n">
        <v>3.646855</v>
      </c>
      <c r="BB237" s="83" t="n">
        <v>4.820739</v>
      </c>
      <c r="BC237" s="83" t="n">
        <v>0.2387607</v>
      </c>
    </row>
    <row r="238">
      <c r="A238" s="83" t="inlineStr">
        <is>
          <t>1971-01</t>
        </is>
      </c>
      <c r="B238" s="22" t="n">
        <v>25934</v>
      </c>
      <c r="C238" s="22" t="n"/>
      <c r="D238" s="22" t="n"/>
      <c r="E238" s="22" t="n">
        <v>25447</v>
      </c>
      <c r="F238" s="83" t="inlineStr">
        <is>
          <t>1969-09</t>
        </is>
      </c>
      <c r="G238" s="83" t="n">
        <v>0.8069186</v>
      </c>
      <c r="AE238" s="83" t="n">
        <v>0.0804216</v>
      </c>
      <c r="AG238" s="83" t="n">
        <v>0.008145616</v>
      </c>
      <c r="AQ238" s="83" t="n">
        <v>1.909589</v>
      </c>
      <c r="AZ238" s="83" t="n">
        <v>3.658989</v>
      </c>
      <c r="BB238" s="83" t="n">
        <v>4.837359</v>
      </c>
      <c r="BC238" s="83" t="n">
        <v>0.2428529</v>
      </c>
    </row>
    <row r="239">
      <c r="A239" s="83" t="inlineStr">
        <is>
          <t>1971-02</t>
        </is>
      </c>
      <c r="B239" s="22" t="n">
        <v>25965</v>
      </c>
      <c r="C239" s="22" t="n"/>
      <c r="D239" s="22" t="n"/>
      <c r="E239" s="22" t="n">
        <v>25477</v>
      </c>
      <c r="F239" s="83" t="inlineStr">
        <is>
          <t>1969-10</t>
        </is>
      </c>
      <c r="G239" s="83" t="n">
        <v>0.8097204</v>
      </c>
      <c r="AE239" s="83" t="n">
        <v>0.08089431</v>
      </c>
      <c r="AG239" s="83" t="n">
        <v>0.008298817999999999</v>
      </c>
      <c r="AQ239" s="83" t="n">
        <v>1.929632</v>
      </c>
      <c r="AZ239" s="83" t="n">
        <v>3.666191</v>
      </c>
      <c r="BB239" s="83" t="n">
        <v>4.848163</v>
      </c>
      <c r="BC239" s="83" t="n">
        <v>0.2474172</v>
      </c>
    </row>
    <row r="240">
      <c r="A240" s="83" t="inlineStr">
        <is>
          <t>1971-03</t>
        </is>
      </c>
      <c r="B240" s="22" t="n">
        <v>25993</v>
      </c>
      <c r="C240" s="22" t="n"/>
      <c r="D240" s="22" t="n"/>
      <c r="E240" s="22" t="n">
        <v>25508</v>
      </c>
      <c r="F240" s="83" t="inlineStr">
        <is>
          <t>1969-11</t>
        </is>
      </c>
      <c r="G240" s="83" t="n">
        <v>0.815324</v>
      </c>
      <c r="AE240" s="83" t="n">
        <v>0.08195204</v>
      </c>
      <c r="AG240" s="83" t="n">
        <v>0.008458448</v>
      </c>
      <c r="AQ240" s="83" t="n">
        <v>1.9315</v>
      </c>
      <c r="AZ240" s="83" t="n">
        <v>3.667571</v>
      </c>
      <c r="BB240" s="83" t="n">
        <v>4.864783</v>
      </c>
      <c r="BC240" s="83" t="n">
        <v>0.2506</v>
      </c>
    </row>
    <row r="241">
      <c r="A241" s="83" t="inlineStr">
        <is>
          <t>1971-04</t>
        </is>
      </c>
      <c r="B241" s="22" t="n">
        <v>26024</v>
      </c>
      <c r="C241" s="22" t="n"/>
      <c r="D241" s="22" t="n"/>
      <c r="E241" s="22" t="n">
        <v>25538</v>
      </c>
      <c r="F241" s="83" t="inlineStr">
        <is>
          <t>1969-12</t>
        </is>
      </c>
      <c r="G241" s="83" t="n">
        <v>0.8209276</v>
      </c>
      <c r="AE241" s="83" t="n">
        <v>0.08270389</v>
      </c>
      <c r="AG241" s="83" t="n">
        <v>0.008621729</v>
      </c>
      <c r="AQ241" s="83" t="n">
        <v>1.939566</v>
      </c>
      <c r="AZ241" s="83" t="n">
        <v>3.66748</v>
      </c>
      <c r="BB241" s="83" t="n">
        <v>4.885558</v>
      </c>
      <c r="BC241" s="83" t="n">
        <v>0.2536254</v>
      </c>
    </row>
    <row r="242">
      <c r="A242" s="83" t="inlineStr">
        <is>
          <t>1971-05</t>
        </is>
      </c>
      <c r="B242" s="22" t="n">
        <v>26054</v>
      </c>
      <c r="C242" s="22" t="n"/>
      <c r="D242" s="22" t="n"/>
      <c r="E242" s="22" t="n">
        <v>25569</v>
      </c>
      <c r="F242" s="83" t="inlineStr">
        <is>
          <t>1970-01</t>
        </is>
      </c>
      <c r="G242" s="83" t="n">
        <v>0.8237293999999999</v>
      </c>
      <c r="J242" s="83" t="n">
        <v>1.976457</v>
      </c>
      <c r="S242" s="83" t="n">
        <v>2.975323</v>
      </c>
      <c r="AE242" s="83" t="n">
        <v>0.08348867</v>
      </c>
      <c r="AG242" s="83" t="n">
        <v>0.008805209</v>
      </c>
      <c r="AQ242" s="83" t="n">
        <v>1.949099</v>
      </c>
      <c r="AS242" s="83" t="n">
        <v>0.2638856</v>
      </c>
      <c r="AZ242" s="83" t="n">
        <v>3.682233</v>
      </c>
      <c r="BB242" s="83" t="n">
        <v>4.899686</v>
      </c>
      <c r="BC242" s="83" t="n">
        <v>0.2542025</v>
      </c>
    </row>
    <row r="243">
      <c r="A243" s="83" t="inlineStr">
        <is>
          <t>1971-06</t>
        </is>
      </c>
      <c r="B243" s="22" t="n">
        <v>26085</v>
      </c>
      <c r="C243" s="22" t="n"/>
      <c r="D243" s="22" t="n"/>
      <c r="E243" s="22" t="n">
        <v>25600</v>
      </c>
      <c r="F243" s="83" t="inlineStr">
        <is>
          <t>1970-02</t>
        </is>
      </c>
      <c r="G243" s="83" t="n">
        <v>0.8265312</v>
      </c>
      <c r="J243" s="83" t="n">
        <v>1.994757</v>
      </c>
      <c r="S243" s="83" t="n">
        <v>3.014636</v>
      </c>
      <c r="AE243" s="83" t="n">
        <v>0.08447129</v>
      </c>
      <c r="AG243" s="83" t="n">
        <v>0.009005637</v>
      </c>
      <c r="AQ243" s="83" t="n">
        <v>1.96237</v>
      </c>
      <c r="AS243" s="83" t="n">
        <v>0.2698299</v>
      </c>
      <c r="AZ243" s="83" t="n">
        <v>3.703036</v>
      </c>
      <c r="BB243" s="83" t="n">
        <v>4.872262</v>
      </c>
      <c r="BC243" s="83" t="n">
        <v>0.2530658</v>
      </c>
    </row>
    <row r="244">
      <c r="A244" s="83" t="inlineStr">
        <is>
          <t>1971-07</t>
        </is>
      </c>
      <c r="B244" s="22" t="n">
        <v>26115</v>
      </c>
      <c r="C244" s="22" t="n"/>
      <c r="D244" s="22" t="n"/>
      <c r="E244" s="22" t="n">
        <v>25628</v>
      </c>
      <c r="F244" s="83" t="inlineStr">
        <is>
          <t>1970-03</t>
        </is>
      </c>
      <c r="G244" s="83" t="n">
        <v>0.8321348</v>
      </c>
      <c r="J244" s="83" t="n">
        <v>2.002563</v>
      </c>
      <c r="R244" s="83" t="n">
        <v>3.327022</v>
      </c>
      <c r="S244" s="83" t="n">
        <v>3.030669</v>
      </c>
      <c r="AE244" s="83" t="n">
        <v>0.08517764999999999</v>
      </c>
      <c r="AG244" s="83" t="n">
        <v>0.009176049</v>
      </c>
      <c r="AQ244" s="83" t="n">
        <v>1.988613</v>
      </c>
      <c r="AS244" s="83" t="n">
        <v>0.2721944</v>
      </c>
      <c r="AZ244" s="83" t="n">
        <v>3.709306</v>
      </c>
      <c r="BB244" s="83" t="n">
        <v>4.880572</v>
      </c>
      <c r="BC244" s="83" t="n">
        <v>0.2554441</v>
      </c>
    </row>
    <row r="245">
      <c r="A245" s="83" t="inlineStr">
        <is>
          <t>1971-08</t>
        </is>
      </c>
      <c r="B245" s="22" t="n">
        <v>26146</v>
      </c>
      <c r="C245" s="22" t="n"/>
      <c r="D245" s="22" t="n"/>
      <c r="E245" s="22" t="n">
        <v>25659</v>
      </c>
      <c r="F245" s="83" t="inlineStr">
        <is>
          <t>1970-04</t>
        </is>
      </c>
      <c r="G245" s="83" t="n">
        <v>0.8349366</v>
      </c>
      <c r="J245" s="83" t="n">
        <v>1.994447</v>
      </c>
      <c r="R245" s="83" t="n">
        <v>3.349325</v>
      </c>
      <c r="S245" s="83" t="n">
        <v>3.048116</v>
      </c>
      <c r="AE245" s="83" t="n">
        <v>0.08759746</v>
      </c>
      <c r="AG245" s="83" t="n">
        <v>0.009359734999999999</v>
      </c>
      <c r="AQ245" s="83" t="n">
        <v>2.017001</v>
      </c>
      <c r="AS245" s="83" t="n">
        <v>0.275742</v>
      </c>
      <c r="AZ245" s="83" t="n">
        <v>3.711629</v>
      </c>
      <c r="BB245" s="83" t="n">
        <v>4.889713</v>
      </c>
      <c r="BC245" s="83" t="n">
        <v>0.2587843</v>
      </c>
    </row>
    <row r="246">
      <c r="A246" s="83" t="inlineStr">
        <is>
          <t>1971-09</t>
        </is>
      </c>
      <c r="B246" s="22" t="n">
        <v>26177</v>
      </c>
      <c r="C246" s="22" t="n"/>
      <c r="D246" s="22" t="n"/>
      <c r="E246" s="22" t="n">
        <v>25689</v>
      </c>
      <c r="F246" s="83" t="inlineStr">
        <is>
          <t>1970-05</t>
        </is>
      </c>
      <c r="G246" s="83" t="n">
        <v>0.8377384</v>
      </c>
      <c r="J246" s="83" t="n">
        <v>2.020552</v>
      </c>
      <c r="R246" s="83" t="n">
        <v>3.341128</v>
      </c>
      <c r="S246" s="83" t="n">
        <v>3.072637</v>
      </c>
      <c r="AE246" s="83" t="n">
        <v>0.09011165</v>
      </c>
      <c r="AG246" s="83" t="n">
        <v>0.009682936</v>
      </c>
      <c r="AQ246" s="83" t="n">
        <v>2.043677</v>
      </c>
      <c r="AS246" s="83" t="n">
        <v>0.2796369</v>
      </c>
      <c r="AZ246" s="83" t="n">
        <v>3.704743</v>
      </c>
      <c r="BB246" s="83" t="n">
        <v>4.915475</v>
      </c>
      <c r="BC246" s="83" t="n">
        <v>0.2605505</v>
      </c>
    </row>
    <row r="247">
      <c r="A247" s="83" t="inlineStr">
        <is>
          <t>1971-10</t>
        </is>
      </c>
      <c r="B247" s="22" t="n">
        <v>26207</v>
      </c>
      <c r="C247" s="22" t="n"/>
      <c r="D247" s="22" t="n"/>
      <c r="E247" s="22" t="n">
        <v>25720</v>
      </c>
      <c r="F247" s="83" t="inlineStr">
        <is>
          <t>1970-06</t>
        </is>
      </c>
      <c r="G247" s="83" t="n">
        <v>0.8405402</v>
      </c>
      <c r="J247" s="83" t="n">
        <v>2.034614</v>
      </c>
      <c r="R247" s="83" t="n">
        <v>3.29152</v>
      </c>
      <c r="S247" s="83" t="n">
        <v>3.108004</v>
      </c>
      <c r="AE247" s="83" t="n">
        <v>0.09092955</v>
      </c>
      <c r="AG247" s="83" t="n">
        <v>0.009876294000000001</v>
      </c>
      <c r="AQ247" s="83" t="n">
        <v>2.072795</v>
      </c>
      <c r="AS247" s="83" t="n">
        <v>0.2832707</v>
      </c>
      <c r="AZ247" s="83" t="n">
        <v>3.715171</v>
      </c>
      <c r="BB247" s="83" t="n">
        <v>4.946223</v>
      </c>
      <c r="BC247" s="83" t="n">
        <v>0.2629638</v>
      </c>
    </row>
    <row r="248">
      <c r="A248" s="83" t="inlineStr">
        <is>
          <t>1971-11</t>
        </is>
      </c>
      <c r="B248" s="22" t="n">
        <v>26238</v>
      </c>
      <c r="C248" s="22" t="n"/>
      <c r="D248" s="22" t="n"/>
      <c r="E248" s="22" t="n">
        <v>25750</v>
      </c>
      <c r="F248" s="83" t="inlineStr">
        <is>
          <t>1970-07</t>
        </is>
      </c>
      <c r="G248" s="83" t="n">
        <v>0.843342</v>
      </c>
      <c r="J248" s="83" t="n">
        <v>2.038025</v>
      </c>
      <c r="R248" s="83" t="n">
        <v>3.298657</v>
      </c>
      <c r="S248" s="83" t="n">
        <v>3.153273</v>
      </c>
      <c r="AE248" s="83" t="n">
        <v>0.09190880999999999</v>
      </c>
      <c r="AG248" s="83" t="n">
        <v>0.009966355</v>
      </c>
      <c r="AQ248" s="83" t="n">
        <v>2.098274</v>
      </c>
      <c r="AS248" s="83" t="n">
        <v>0.294746</v>
      </c>
      <c r="AZ248" s="83" t="n">
        <v>3.72297</v>
      </c>
      <c r="BB248" s="83" t="n">
        <v>4.978632</v>
      </c>
      <c r="BC248" s="83" t="n">
        <v>0.2652372</v>
      </c>
    </row>
    <row r="249">
      <c r="A249" s="83" t="inlineStr">
        <is>
          <t>1971-12</t>
        </is>
      </c>
      <c r="B249" s="22" t="n">
        <v>26268</v>
      </c>
      <c r="C249" s="22" t="n"/>
      <c r="D249" s="22" t="n"/>
      <c r="E249" s="22" t="n">
        <v>25781</v>
      </c>
      <c r="F249" s="83" t="inlineStr">
        <is>
          <t>1970-08</t>
        </is>
      </c>
      <c r="G249" s="83" t="n">
        <v>0.8461438</v>
      </c>
      <c r="J249" s="83" t="n">
        <v>2.067233</v>
      </c>
      <c r="R249" s="83" t="n">
        <v>3.311163</v>
      </c>
      <c r="S249" s="83" t="n">
        <v>3.186281</v>
      </c>
      <c r="AE249" s="83" t="n">
        <v>0.09298286</v>
      </c>
      <c r="AG249" s="83" t="n">
        <v>0.01009725</v>
      </c>
      <c r="AQ249" s="83" t="n">
        <v>2.113882</v>
      </c>
      <c r="AS249" s="83" t="n">
        <v>0.3069837</v>
      </c>
      <c r="AZ249" s="83" t="n">
        <v>3.734303</v>
      </c>
      <c r="BB249" s="83" t="n">
        <v>5.026832</v>
      </c>
      <c r="BC249" s="83" t="n">
        <v>0.266269</v>
      </c>
    </row>
    <row r="250">
      <c r="A250" s="83" t="inlineStr">
        <is>
          <t>1972-01</t>
        </is>
      </c>
      <c r="B250" s="22" t="n">
        <v>26299</v>
      </c>
      <c r="C250" s="22" t="n"/>
      <c r="D250" s="22" t="n"/>
      <c r="E250" s="22" t="n">
        <v>25812</v>
      </c>
      <c r="F250" s="83" t="inlineStr">
        <is>
          <t>1970-09</t>
        </is>
      </c>
      <c r="G250" s="83" t="n">
        <v>0.8489456</v>
      </c>
      <c r="J250" s="83" t="n">
        <v>2.0952</v>
      </c>
      <c r="R250" s="83" t="n">
        <v>3.298118</v>
      </c>
      <c r="S250" s="83" t="n">
        <v>3.206558</v>
      </c>
      <c r="AE250" s="83" t="n">
        <v>0.09413236</v>
      </c>
      <c r="AG250" s="83" t="n">
        <v>0.01022749</v>
      </c>
      <c r="AQ250" s="83" t="n">
        <v>2.137936</v>
      </c>
      <c r="AS250" s="83" t="n">
        <v>0.3145295</v>
      </c>
      <c r="AZ250" s="83" t="n">
        <v>3.757502</v>
      </c>
      <c r="BB250" s="83" t="n">
        <v>5.079185</v>
      </c>
      <c r="BC250" s="83" t="n">
        <v>0.2679828</v>
      </c>
    </row>
    <row r="251">
      <c r="A251" s="83" t="inlineStr">
        <is>
          <t>1972-02</t>
        </is>
      </c>
      <c r="B251" s="22" t="n">
        <v>26330</v>
      </c>
      <c r="C251" s="22" t="n"/>
      <c r="D251" s="22" t="n"/>
      <c r="E251" s="22" t="n">
        <v>25842</v>
      </c>
      <c r="F251" s="83" t="inlineStr">
        <is>
          <t>1970-10</t>
        </is>
      </c>
      <c r="G251" s="83" t="n">
        <v>0.8517474</v>
      </c>
      <c r="J251" s="83" t="n">
        <v>2.100628</v>
      </c>
      <c r="R251" s="83" t="n">
        <v>3.321889</v>
      </c>
      <c r="S251" s="83" t="n">
        <v>3.231079</v>
      </c>
      <c r="AE251" s="83" t="n">
        <v>0.09562659</v>
      </c>
      <c r="AG251" s="83" t="n">
        <v>0.01043359</v>
      </c>
      <c r="AQ251" s="83" t="n">
        <v>2.167026</v>
      </c>
      <c r="AS251" s="83" t="n">
        <v>0.3241476</v>
      </c>
      <c r="AZ251" s="83" t="n">
        <v>3.778646</v>
      </c>
      <c r="BB251" s="83" t="n">
        <v>5.122399</v>
      </c>
      <c r="BC251" s="83" t="n">
        <v>0.2705361</v>
      </c>
    </row>
    <row r="252">
      <c r="A252" s="83" t="inlineStr">
        <is>
          <t>1972-03</t>
        </is>
      </c>
      <c r="B252" s="22" t="n">
        <v>26359</v>
      </c>
      <c r="C252" s="22" t="n"/>
      <c r="D252" s="22" t="n"/>
      <c r="E252" s="22" t="n">
        <v>25873</v>
      </c>
      <c r="F252" s="83" t="inlineStr">
        <is>
          <t>1970-11</t>
        </is>
      </c>
      <c r="G252" s="83" t="n">
        <v>0.8545492</v>
      </c>
      <c r="J252" s="83" t="n">
        <v>2.14674</v>
      </c>
      <c r="R252" s="83" t="n">
        <v>3.320083</v>
      </c>
      <c r="S252" s="83" t="n">
        <v>3.260315</v>
      </c>
      <c r="AE252" s="83" t="n">
        <v>0.09673640999999999</v>
      </c>
      <c r="AG252" s="83" t="n">
        <v>0.01066085</v>
      </c>
      <c r="AQ252" s="83" t="n">
        <v>2.191511</v>
      </c>
      <c r="AS252" s="83" t="n">
        <v>0.331736</v>
      </c>
      <c r="AZ252" s="83" t="n">
        <v>3.812876</v>
      </c>
      <c r="BB252" s="83" t="n">
        <v>5.161457</v>
      </c>
      <c r="BC252" s="83" t="n">
        <v>0.2720575</v>
      </c>
    </row>
    <row r="253">
      <c r="A253" s="83" t="inlineStr">
        <is>
          <t>1972-04</t>
        </is>
      </c>
      <c r="B253" s="22" t="n">
        <v>26390</v>
      </c>
      <c r="C253" s="22" t="n"/>
      <c r="D253" s="22" t="n"/>
      <c r="E253" s="22" t="n">
        <v>25903</v>
      </c>
      <c r="F253" s="83" t="inlineStr">
        <is>
          <t>1970-12</t>
        </is>
      </c>
      <c r="G253" s="83" t="n">
        <v>0.8601528000000001</v>
      </c>
      <c r="J253" s="83" t="n">
        <v>2.162662</v>
      </c>
      <c r="R253" s="83" t="n">
        <v>3.298218</v>
      </c>
      <c r="S253" s="83" t="n">
        <v>3.271632</v>
      </c>
      <c r="AE253" s="83" t="n">
        <v>0.09725758</v>
      </c>
      <c r="AG253" s="83" t="n">
        <v>0.01078239</v>
      </c>
      <c r="AQ253" s="83" t="n">
        <v>2.215648</v>
      </c>
      <c r="AS253" s="83" t="n">
        <v>0.3376556</v>
      </c>
      <c r="AZ253" s="83" t="n">
        <v>3.850293</v>
      </c>
      <c r="BB253" s="83" t="n">
        <v>5.206332</v>
      </c>
      <c r="BC253" s="83" t="n">
        <v>0.273544</v>
      </c>
    </row>
    <row r="254">
      <c r="A254" s="83" t="inlineStr">
        <is>
          <t>1972-05</t>
        </is>
      </c>
      <c r="B254" s="22" t="n">
        <v>26420</v>
      </c>
      <c r="C254" s="22" t="n"/>
      <c r="D254" s="22" t="n"/>
      <c r="E254" s="22" t="n">
        <v>25934</v>
      </c>
      <c r="F254" s="83" t="inlineStr">
        <is>
          <t>1971-01</t>
        </is>
      </c>
      <c r="G254" s="83" t="n">
        <v>0.8629546</v>
      </c>
      <c r="J254" s="83" t="n">
        <v>2.193886</v>
      </c>
      <c r="R254" s="83" t="n">
        <v>3.328163</v>
      </c>
      <c r="S254" s="83" t="n">
        <v>3.293324</v>
      </c>
      <c r="AE254" s="83" t="n">
        <v>0.09830516</v>
      </c>
      <c r="AG254" s="83" t="n">
        <v>0.0109652</v>
      </c>
      <c r="AQ254" s="83" t="n">
        <v>2.267503</v>
      </c>
      <c r="AS254" s="83" t="n">
        <v>0.3432385</v>
      </c>
      <c r="AZ254" s="83" t="n">
        <v>3.895688</v>
      </c>
      <c r="BB254" s="83" t="n">
        <v>5.259517</v>
      </c>
      <c r="BC254" s="83" t="n">
        <v>0.2764819</v>
      </c>
    </row>
    <row r="255">
      <c r="A255" s="83" t="inlineStr">
        <is>
          <t>1972-06</t>
        </is>
      </c>
      <c r="B255" s="22" t="n">
        <v>26451</v>
      </c>
      <c r="C255" s="22" t="n"/>
      <c r="D255" s="22" t="n"/>
      <c r="E255" s="22" t="n">
        <v>25965</v>
      </c>
      <c r="F255" s="83" t="inlineStr">
        <is>
          <t>1971-02</t>
        </is>
      </c>
      <c r="G255" s="83" t="n">
        <v>0.8685581999999999</v>
      </c>
      <c r="J255" s="83" t="n">
        <v>2.193783</v>
      </c>
      <c r="R255" s="83" t="n">
        <v>3.434218</v>
      </c>
      <c r="S255" s="83" t="n">
        <v>3.335764</v>
      </c>
      <c r="AE255" s="83" t="n">
        <v>0.09977453</v>
      </c>
      <c r="AG255" s="83" t="n">
        <v>0.01121859</v>
      </c>
      <c r="AQ255" s="83" t="n">
        <v>2.297293</v>
      </c>
      <c r="AS255" s="83" t="n">
        <v>0.3482307</v>
      </c>
      <c r="AZ255" s="83" t="n">
        <v>3.922586</v>
      </c>
      <c r="BB255" s="83" t="n">
        <v>5.326829</v>
      </c>
      <c r="BC255" s="83" t="n">
        <v>0.2787903</v>
      </c>
    </row>
    <row r="256">
      <c r="A256" s="83" t="inlineStr">
        <is>
          <t>1972-07</t>
        </is>
      </c>
      <c r="B256" s="22" t="n">
        <v>26481</v>
      </c>
      <c r="C256" s="22" t="n"/>
      <c r="D256" s="22" t="n"/>
      <c r="E256" s="22" t="n">
        <v>25993</v>
      </c>
      <c r="F256" s="83" t="inlineStr">
        <is>
          <t>1971-03</t>
        </is>
      </c>
      <c r="G256" s="83" t="n">
        <v>0.8769636</v>
      </c>
      <c r="J256" s="83" t="n">
        <v>2.214719</v>
      </c>
      <c r="R256" s="83" t="n">
        <v>3.445151</v>
      </c>
      <c r="S256" s="83" t="n">
        <v>3.373016</v>
      </c>
      <c r="AE256" s="83" t="n">
        <v>0.10076</v>
      </c>
      <c r="AG256" s="83" t="n">
        <v>0.01137643</v>
      </c>
      <c r="AQ256" s="83" t="n">
        <v>2.297364</v>
      </c>
      <c r="AS256" s="83" t="n">
        <v>0.353399</v>
      </c>
      <c r="AZ256" s="83" t="n">
        <v>3.936455</v>
      </c>
      <c r="BB256" s="83" t="n">
        <v>5.40079</v>
      </c>
      <c r="BC256" s="83" t="n">
        <v>0.2806265</v>
      </c>
    </row>
    <row r="257">
      <c r="A257" s="83" t="inlineStr">
        <is>
          <t>1972-08</t>
        </is>
      </c>
      <c r="B257" s="22" t="n">
        <v>26512</v>
      </c>
      <c r="C257" s="22" t="n"/>
      <c r="D257" s="22" t="n"/>
      <c r="E257" s="22" t="n">
        <v>26024</v>
      </c>
      <c r="F257" s="83" t="inlineStr">
        <is>
          <t>1971-04</t>
        </is>
      </c>
      <c r="G257" s="83" t="n">
        <v>0.8825672</v>
      </c>
      <c r="J257" s="83" t="n">
        <v>2.217924</v>
      </c>
      <c r="R257" s="83" t="n">
        <v>3.387892</v>
      </c>
      <c r="S257" s="83" t="n">
        <v>3.4197</v>
      </c>
      <c r="AE257" s="83" t="n">
        <v>0.1014787</v>
      </c>
      <c r="AG257" s="83" t="n">
        <v>0.01151388</v>
      </c>
      <c r="AQ257" s="83" t="n">
        <v>2.320847</v>
      </c>
      <c r="AS257" s="83" t="n">
        <v>0.3651486</v>
      </c>
      <c r="AZ257" s="83" t="n">
        <v>3.959429</v>
      </c>
      <c r="BB257" s="83" t="n">
        <v>5.471426</v>
      </c>
      <c r="BC257" s="83" t="n">
        <v>0.2831797</v>
      </c>
    </row>
    <row r="258">
      <c r="A258" s="83" t="inlineStr">
        <is>
          <t>1972-09</t>
        </is>
      </c>
      <c r="B258" s="22" t="n">
        <v>26543</v>
      </c>
      <c r="C258" s="22" t="n"/>
      <c r="D258" s="22" t="n"/>
      <c r="E258" s="22" t="n">
        <v>26054</v>
      </c>
      <c r="F258" s="83" t="inlineStr">
        <is>
          <t>1971-05</t>
        </is>
      </c>
      <c r="G258" s="83" t="n">
        <v>0.8909726</v>
      </c>
      <c r="J258" s="83" t="n">
        <v>2.233639</v>
      </c>
      <c r="R258" s="83" t="n">
        <v>3.412113</v>
      </c>
      <c r="S258" s="83" t="n">
        <v>3.470156</v>
      </c>
      <c r="AE258" s="83" t="n">
        <v>0.1024442</v>
      </c>
      <c r="AG258" s="83" t="n">
        <v>0.01170597</v>
      </c>
      <c r="AQ258" s="83" t="n">
        <v>2.335481</v>
      </c>
      <c r="AS258" s="83" t="n">
        <v>0.378767</v>
      </c>
      <c r="AZ258" s="83" t="n">
        <v>3.992809</v>
      </c>
      <c r="BB258" s="83" t="n">
        <v>5.540401</v>
      </c>
      <c r="BC258" s="83" t="n">
        <v>0.2858379</v>
      </c>
    </row>
    <row r="259">
      <c r="A259" s="83" t="inlineStr">
        <is>
          <t>1972-10</t>
        </is>
      </c>
      <c r="B259" s="22" t="n">
        <v>26573</v>
      </c>
      <c r="C259" s="22" t="n"/>
      <c r="D259" s="22" t="n"/>
      <c r="E259" s="22" t="n">
        <v>26085</v>
      </c>
      <c r="F259" s="83" t="inlineStr">
        <is>
          <t>1971-06</t>
        </is>
      </c>
      <c r="G259" s="83" t="n">
        <v>0.899378</v>
      </c>
      <c r="J259" s="83" t="n">
        <v>2.239843</v>
      </c>
      <c r="R259" s="83" t="n">
        <v>3.46466</v>
      </c>
      <c r="S259" s="83" t="n">
        <v>3.509295</v>
      </c>
      <c r="AE259" s="83" t="n">
        <v>0.103582</v>
      </c>
      <c r="AG259" s="83" t="n">
        <v>0.01196572</v>
      </c>
      <c r="AQ259" s="83" t="n">
        <v>2.357951</v>
      </c>
      <c r="AS259" s="83" t="n">
        <v>0.3864732</v>
      </c>
      <c r="AZ259" s="83" t="n">
        <v>4.026244</v>
      </c>
      <c r="BB259" s="83" t="n">
        <v>5.592755</v>
      </c>
      <c r="BC259" s="83" t="n">
        <v>0.287097</v>
      </c>
    </row>
    <row r="260">
      <c r="A260" s="83" t="inlineStr">
        <is>
          <t>1972-11</t>
        </is>
      </c>
      <c r="B260" s="22" t="n">
        <v>26604</v>
      </c>
      <c r="C260" s="22" t="n"/>
      <c r="D260" s="22" t="n"/>
      <c r="E260" s="22" t="n">
        <v>26115</v>
      </c>
      <c r="F260" s="83" t="inlineStr">
        <is>
          <t>1971-07</t>
        </is>
      </c>
      <c r="G260" s="83" t="n">
        <v>0.9021798</v>
      </c>
      <c r="J260" s="83" t="n">
        <v>2.263881</v>
      </c>
      <c r="R260" s="83" t="n">
        <v>3.534374</v>
      </c>
      <c r="S260" s="83" t="n">
        <v>3.546548</v>
      </c>
      <c r="AE260" s="83" t="n">
        <v>0.1045819</v>
      </c>
      <c r="AG260" s="83" t="n">
        <v>0.0121814</v>
      </c>
      <c r="AQ260" s="83" t="n">
        <v>2.380578</v>
      </c>
      <c r="AS260" s="83" t="n">
        <v>0.3996906</v>
      </c>
      <c r="AZ260" s="83" t="n">
        <v>4.057608</v>
      </c>
      <c r="BB260" s="83" t="n">
        <v>5.647603</v>
      </c>
      <c r="BC260" s="83" t="n">
        <v>0.2871145</v>
      </c>
    </row>
    <row r="261">
      <c r="A261" s="83" t="inlineStr">
        <is>
          <t>1972-12</t>
        </is>
      </c>
      <c r="B261" s="22" t="n">
        <v>26634</v>
      </c>
      <c r="C261" s="22" t="n"/>
      <c r="D261" s="22" t="n"/>
      <c r="E261" s="22" t="n">
        <v>26146</v>
      </c>
      <c r="F261" s="83" t="inlineStr">
        <is>
          <t>1971-08</t>
        </is>
      </c>
      <c r="G261" s="83" t="n">
        <v>0.9077834</v>
      </c>
      <c r="J261" s="83" t="n">
        <v>2.309166</v>
      </c>
      <c r="R261" s="83" t="n">
        <v>3.563329</v>
      </c>
      <c r="S261" s="83" t="n">
        <v>3.5838</v>
      </c>
      <c r="AE261" s="83" t="n">
        <v>0.1057668</v>
      </c>
      <c r="AG261" s="83" t="n">
        <v>0.01247012</v>
      </c>
      <c r="AQ261" s="83" t="n">
        <v>2.403209</v>
      </c>
      <c r="AS261" s="83" t="n">
        <v>0.4117141</v>
      </c>
      <c r="AZ261" s="83" t="n">
        <v>4.097553</v>
      </c>
      <c r="BB261" s="83" t="n">
        <v>5.696632</v>
      </c>
      <c r="BC261" s="83" t="n">
        <v>0.2894753</v>
      </c>
    </row>
    <row r="262">
      <c r="A262" s="83" t="inlineStr">
        <is>
          <t>1973-01</t>
        </is>
      </c>
      <c r="B262" s="22" t="n">
        <v>26665</v>
      </c>
      <c r="C262" s="22" t="n"/>
      <c r="D262" s="22" t="n"/>
      <c r="E262" s="22" t="n">
        <v>26177</v>
      </c>
      <c r="F262" s="83" t="inlineStr">
        <is>
          <t>1971-09</t>
        </is>
      </c>
      <c r="G262" s="83" t="n">
        <v>0.9189906</v>
      </c>
      <c r="J262" s="83" t="n">
        <v>2.310562</v>
      </c>
      <c r="R262" s="83" t="n">
        <v>3.605431</v>
      </c>
      <c r="S262" s="83" t="n">
        <v>3.621525</v>
      </c>
      <c r="AE262" s="83" t="n">
        <v>0.1072255</v>
      </c>
      <c r="AG262" s="83" t="n">
        <v>0.01269386</v>
      </c>
      <c r="AQ262" s="83" t="n">
        <v>2.413347</v>
      </c>
      <c r="AS262" s="83" t="n">
        <v>0.416338</v>
      </c>
      <c r="AZ262" s="83" t="n">
        <v>4.140794</v>
      </c>
      <c r="BB262" s="83" t="n">
        <v>5.754804</v>
      </c>
      <c r="BC262" s="83" t="n">
        <v>0.2918012</v>
      </c>
    </row>
    <row r="263">
      <c r="A263" s="83" t="inlineStr">
        <is>
          <t>1973-02</t>
        </is>
      </c>
      <c r="B263" s="22" t="n">
        <v>26696</v>
      </c>
      <c r="C263" s="22" t="n"/>
      <c r="D263" s="22" t="n"/>
      <c r="E263" s="22" t="n">
        <v>26207</v>
      </c>
      <c r="F263" s="83" t="inlineStr">
        <is>
          <t>1971-10</t>
        </is>
      </c>
      <c r="G263" s="83" t="n">
        <v>0.927396</v>
      </c>
      <c r="J263" s="83" t="n">
        <v>2.353469</v>
      </c>
      <c r="R263" s="83" t="n">
        <v>3.589122</v>
      </c>
      <c r="S263" s="83" t="n">
        <v>3.663021</v>
      </c>
      <c r="AE263" s="83" t="n">
        <v>0.1086651</v>
      </c>
      <c r="AG263" s="83" t="n">
        <v>0.0127959</v>
      </c>
      <c r="AQ263" s="83" t="n">
        <v>2.435499</v>
      </c>
      <c r="AS263" s="83" t="n">
        <v>0.430344</v>
      </c>
      <c r="AZ263" s="83" t="n">
        <v>4.179535</v>
      </c>
      <c r="BB263" s="83" t="n">
        <v>5.803834</v>
      </c>
      <c r="BC263" s="83" t="n">
        <v>0.2930428</v>
      </c>
    </row>
    <row r="264">
      <c r="A264" s="83" t="inlineStr">
        <is>
          <t>1973-03</t>
        </is>
      </c>
      <c r="B264" s="22" t="n">
        <v>26724</v>
      </c>
      <c r="C264" s="22" t="n"/>
      <c r="D264" s="22" t="n"/>
      <c r="E264" s="22" t="n">
        <v>26238</v>
      </c>
      <c r="F264" s="83" t="inlineStr">
        <is>
          <t>1971-11</t>
        </is>
      </c>
      <c r="G264" s="83" t="n">
        <v>0.9301978</v>
      </c>
      <c r="J264" s="83" t="n">
        <v>2.364325</v>
      </c>
      <c r="R264" s="83" t="n">
        <v>3.562968</v>
      </c>
      <c r="S264" s="83" t="n">
        <v>3.699331</v>
      </c>
      <c r="AE264" s="83" t="n">
        <v>0.1101289</v>
      </c>
      <c r="AG264" s="83" t="n">
        <v>0.01294403</v>
      </c>
      <c r="AQ264" s="83" t="n">
        <v>2.488004</v>
      </c>
      <c r="AS264" s="83" t="n">
        <v>0.4461027</v>
      </c>
      <c r="AZ264" s="83" t="n">
        <v>4.230453</v>
      </c>
      <c r="BB264" s="83" t="n">
        <v>5.855357</v>
      </c>
      <c r="BC264" s="83" t="n">
        <v>0.2951414</v>
      </c>
    </row>
    <row r="265">
      <c r="A265" s="83" t="inlineStr">
        <is>
          <t>1973-04</t>
        </is>
      </c>
      <c r="B265" s="22" t="n">
        <v>26755</v>
      </c>
      <c r="C265" s="22" t="n"/>
      <c r="D265" s="22" t="n"/>
      <c r="E265" s="22" t="n">
        <v>26268</v>
      </c>
      <c r="F265" s="83" t="inlineStr">
        <is>
          <t>1971-12</t>
        </is>
      </c>
      <c r="G265" s="83" t="n">
        <v>0.9358014</v>
      </c>
      <c r="J265" s="83" t="n">
        <v>2.373061</v>
      </c>
      <c r="R265" s="83" t="n">
        <v>3.592038</v>
      </c>
      <c r="S265" s="83" t="n">
        <v>3.736112</v>
      </c>
      <c r="AE265" s="83" t="n">
        <v>0.1121825</v>
      </c>
      <c r="AG265" s="83" t="n">
        <v>0.01299992</v>
      </c>
      <c r="AQ265" s="83" t="n">
        <v>2.498992</v>
      </c>
      <c r="AS265" s="83" t="n">
        <v>0.4610511</v>
      </c>
      <c r="AZ265" s="83" t="n">
        <v>4.267671</v>
      </c>
      <c r="BB265" s="83" t="n">
        <v>5.902725</v>
      </c>
      <c r="BC265" s="83" t="n">
        <v>0.2974672</v>
      </c>
    </row>
    <row r="266">
      <c r="A266" s="83" t="inlineStr">
        <is>
          <t>1973-05</t>
        </is>
      </c>
      <c r="B266" s="22" t="n">
        <v>26785</v>
      </c>
      <c r="C266" s="22" t="n"/>
      <c r="D266" s="22" t="n"/>
      <c r="E266" s="22" t="n">
        <v>26299</v>
      </c>
      <c r="F266" s="83" t="inlineStr">
        <is>
          <t>1972-01</t>
        </is>
      </c>
      <c r="G266" s="83" t="n">
        <v>0.9442068</v>
      </c>
      <c r="J266" s="83" t="n">
        <v>2.45598</v>
      </c>
      <c r="K266" s="83" t="n">
        <v>11.06668</v>
      </c>
      <c r="R266" s="83" t="n">
        <v>3.6167</v>
      </c>
      <c r="S266" s="83" t="n">
        <v>3.77808</v>
      </c>
      <c r="AE266" s="83" t="n">
        <v>0.1139502</v>
      </c>
      <c r="AG266" s="83" t="n">
        <v>0.01314334</v>
      </c>
      <c r="AQ266" s="83" t="n">
        <v>2.507104</v>
      </c>
      <c r="AS266" s="83" t="n">
        <v>0.47401</v>
      </c>
      <c r="AZ266" s="83" t="n">
        <v>4.29956</v>
      </c>
      <c r="BB266" s="83" t="n">
        <v>5.964221</v>
      </c>
      <c r="BC266" s="83" t="n">
        <v>0.2997581</v>
      </c>
    </row>
    <row r="267">
      <c r="A267" s="83" t="inlineStr">
        <is>
          <t>1973-06</t>
        </is>
      </c>
      <c r="B267" s="22" t="n">
        <v>26816</v>
      </c>
      <c r="C267" s="22" t="n"/>
      <c r="D267" s="22" t="n"/>
      <c r="E267" s="22" t="n">
        <v>26330</v>
      </c>
      <c r="F267" s="83" t="inlineStr">
        <is>
          <t>1972-02</t>
        </is>
      </c>
      <c r="G267" s="83" t="n">
        <v>0.9526122</v>
      </c>
      <c r="J267" s="83" t="n">
        <v>2.454739</v>
      </c>
      <c r="K267" s="83" t="n">
        <v>11.2665</v>
      </c>
      <c r="R267" s="83" t="n">
        <v>3.659312</v>
      </c>
      <c r="S267" s="83" t="n">
        <v>3.822877</v>
      </c>
      <c r="AE267" s="83" t="n">
        <v>0.1149021</v>
      </c>
      <c r="AG267" s="83" t="n">
        <v>0.01336057</v>
      </c>
      <c r="AQ267" s="83" t="n">
        <v>2.543396</v>
      </c>
      <c r="AS267" s="83" t="n">
        <v>0.4793717</v>
      </c>
      <c r="AZ267" s="83" t="n">
        <v>4.345613</v>
      </c>
      <c r="BB267" s="83" t="n">
        <v>6.030702</v>
      </c>
      <c r="BC267" s="83" t="n">
        <v>0.302836</v>
      </c>
    </row>
    <row r="268">
      <c r="A268" s="83" t="inlineStr">
        <is>
          <t>1973-07</t>
        </is>
      </c>
      <c r="B268" s="22" t="n">
        <v>26846</v>
      </c>
      <c r="C268" s="22" t="n"/>
      <c r="D268" s="22" t="n"/>
      <c r="E268" s="22" t="n">
        <v>26359</v>
      </c>
      <c r="F268" s="83" t="inlineStr">
        <is>
          <t>1972-03</t>
        </is>
      </c>
      <c r="G268" s="83" t="n">
        <v>0.9610176</v>
      </c>
      <c r="J268" s="83" t="n">
        <v>2.484671</v>
      </c>
      <c r="K268" s="83" t="n">
        <v>11.43273</v>
      </c>
      <c r="R268" s="83" t="n">
        <v>3.709013</v>
      </c>
      <c r="S268" s="83" t="n">
        <v>3.867203</v>
      </c>
      <c r="AE268" s="83" t="n">
        <v>0.116019</v>
      </c>
      <c r="AG268" s="83" t="n">
        <v>0.01361252</v>
      </c>
      <c r="AQ268" s="83" t="n">
        <v>2.569508</v>
      </c>
      <c r="AS268" s="83" t="n">
        <v>0.4850295</v>
      </c>
      <c r="AZ268" s="83" t="n">
        <v>4.39016</v>
      </c>
      <c r="BB268" s="83" t="n">
        <v>6.095521</v>
      </c>
      <c r="BC268" s="83" t="n">
        <v>0.305669</v>
      </c>
    </row>
    <row r="269">
      <c r="A269" s="83" t="inlineStr">
        <is>
          <t>1973-08</t>
        </is>
      </c>
      <c r="B269" s="22" t="n">
        <v>26877</v>
      </c>
      <c r="C269" s="22" t="n"/>
      <c r="D269" s="22" t="n"/>
      <c r="E269" s="22" t="n">
        <v>26390</v>
      </c>
      <c r="F269" s="83" t="inlineStr">
        <is>
          <t>1972-04</t>
        </is>
      </c>
      <c r="G269" s="83" t="n">
        <v>0.969423</v>
      </c>
      <c r="J269" s="83" t="n">
        <v>2.534867</v>
      </c>
      <c r="K269" s="83" t="n">
        <v>11.52548</v>
      </c>
      <c r="R269" s="83" t="n">
        <v>3.766994</v>
      </c>
      <c r="S269" s="83" t="n">
        <v>3.909172</v>
      </c>
      <c r="AE269" s="83" t="n">
        <v>0.1168959</v>
      </c>
      <c r="AG269" s="83" t="n">
        <v>0.01389426</v>
      </c>
      <c r="AQ269" s="83" t="n">
        <v>2.59487</v>
      </c>
      <c r="AS269" s="83" t="n">
        <v>0.4941764</v>
      </c>
      <c r="AZ269" s="83" t="n">
        <v>4.440331</v>
      </c>
      <c r="BB269" s="83" t="n">
        <v>6.136241</v>
      </c>
      <c r="BC269" s="83" t="n">
        <v>0.3073828</v>
      </c>
    </row>
    <row r="270">
      <c r="A270" s="83" t="inlineStr">
        <is>
          <t>1973-09</t>
        </is>
      </c>
      <c r="B270" s="22" t="n">
        <v>26908</v>
      </c>
      <c r="C270" s="22" t="n"/>
      <c r="D270" s="22" t="n"/>
      <c r="E270" s="22" t="n">
        <v>26420</v>
      </c>
      <c r="F270" s="83" t="inlineStr">
        <is>
          <t>1972-05</t>
        </is>
      </c>
      <c r="G270" s="83" t="n">
        <v>0.9806302</v>
      </c>
      <c r="J270" s="83" t="n">
        <v>2.565935</v>
      </c>
      <c r="K270" s="83" t="n">
        <v>11.62796</v>
      </c>
      <c r="R270" s="83" t="n">
        <v>3.802093</v>
      </c>
      <c r="S270" s="83" t="n">
        <v>3.949725</v>
      </c>
      <c r="AE270" s="83" t="n">
        <v>0.1181687</v>
      </c>
      <c r="AG270" s="83" t="n">
        <v>0.01403145</v>
      </c>
      <c r="AQ270" s="83" t="n">
        <v>2.617378</v>
      </c>
      <c r="AS270" s="83" t="n">
        <v>0.5025987</v>
      </c>
      <c r="AZ270" s="83" t="n">
        <v>4.475728</v>
      </c>
      <c r="BB270" s="83" t="n">
        <v>6.176961</v>
      </c>
      <c r="BC270" s="83" t="n">
        <v>0.3094114</v>
      </c>
    </row>
    <row r="271">
      <c r="A271" s="83" t="inlineStr">
        <is>
          <t>1973-10</t>
        </is>
      </c>
      <c r="B271" s="22" t="n">
        <v>26938</v>
      </c>
      <c r="C271" s="22" t="n"/>
      <c r="D271" s="22" t="n"/>
      <c r="E271" s="22" t="n">
        <v>26451</v>
      </c>
      <c r="F271" s="83" t="inlineStr">
        <is>
          <t>1972-06</t>
        </is>
      </c>
      <c r="G271" s="83" t="n">
        <v>0.9918374</v>
      </c>
      <c r="J271" s="83" t="n">
        <v>2.609514</v>
      </c>
      <c r="K271" s="83" t="n">
        <v>11.75026</v>
      </c>
      <c r="R271" s="83" t="n">
        <v>3.82385</v>
      </c>
      <c r="S271" s="83" t="n">
        <v>4.021401</v>
      </c>
      <c r="AE271" s="83" t="n">
        <v>0.120393</v>
      </c>
      <c r="AG271" s="83" t="n">
        <v>0.01416705</v>
      </c>
      <c r="AQ271" s="83" t="n">
        <v>2.628216</v>
      </c>
      <c r="AS271" s="83" t="n">
        <v>0.5084168</v>
      </c>
      <c r="AZ271" s="83" t="n">
        <v>4.509871</v>
      </c>
      <c r="BB271" s="83" t="n">
        <v>6.230146</v>
      </c>
      <c r="BC271" s="83" t="n">
        <v>0.313591</v>
      </c>
    </row>
    <row r="272">
      <c r="A272" s="83" t="inlineStr">
        <is>
          <t>1973-11</t>
        </is>
      </c>
      <c r="B272" s="22" t="n">
        <v>26969</v>
      </c>
      <c r="C272" s="22" t="n"/>
      <c r="D272" s="22" t="n"/>
      <c r="E272" s="22" t="n">
        <v>26481</v>
      </c>
      <c r="F272" s="83" t="inlineStr">
        <is>
          <t>1972-07</t>
        </is>
      </c>
      <c r="G272" s="83" t="n">
        <v>1.008648</v>
      </c>
      <c r="J272" s="83" t="n">
        <v>2.61975</v>
      </c>
      <c r="K272" s="83" t="n">
        <v>11.87952</v>
      </c>
      <c r="R272" s="83" t="n">
        <v>3.844202</v>
      </c>
      <c r="S272" s="83" t="n">
        <v>4.097793</v>
      </c>
      <c r="AE272" s="83" t="n">
        <v>0.1220083</v>
      </c>
      <c r="AG272" s="83" t="n">
        <v>0.01437343</v>
      </c>
      <c r="AQ272" s="83" t="n">
        <v>2.64685</v>
      </c>
      <c r="AS272" s="83" t="n">
        <v>0.5177769</v>
      </c>
      <c r="AZ272" s="83" t="n">
        <v>4.551866</v>
      </c>
      <c r="BB272" s="83" t="n">
        <v>6.311586</v>
      </c>
      <c r="BC272" s="83" t="n">
        <v>0.3195543</v>
      </c>
    </row>
    <row r="273">
      <c r="A273" s="83" t="inlineStr">
        <is>
          <t>1973-12</t>
        </is>
      </c>
      <c r="B273" s="22" t="n">
        <v>26999</v>
      </c>
      <c r="C273" s="22" t="n"/>
      <c r="D273" s="22" t="n"/>
      <c r="E273" s="22" t="n">
        <v>26512</v>
      </c>
      <c r="F273" s="83" t="inlineStr">
        <is>
          <t>1972-08</t>
        </is>
      </c>
      <c r="G273" s="83" t="n">
        <v>1.031063</v>
      </c>
      <c r="J273" s="83" t="n">
        <v>2.600364</v>
      </c>
      <c r="K273" s="83" t="n">
        <v>12.04478</v>
      </c>
      <c r="R273" s="83" t="n">
        <v>3.885637</v>
      </c>
      <c r="S273" s="83" t="n">
        <v>4.149192</v>
      </c>
      <c r="AE273" s="83" t="n">
        <v>0.1234753</v>
      </c>
      <c r="AG273" s="83" t="n">
        <v>0.0145375</v>
      </c>
      <c r="AQ273" s="83" t="n">
        <v>2.675565</v>
      </c>
      <c r="AS273" s="83" t="n">
        <v>0.5278637</v>
      </c>
      <c r="AZ273" s="83" t="n">
        <v>4.590355</v>
      </c>
      <c r="BB273" s="83" t="n">
        <v>6.38804</v>
      </c>
      <c r="BC273" s="83" t="n">
        <v>0.3257625</v>
      </c>
    </row>
    <row r="274">
      <c r="A274" s="83" t="inlineStr">
        <is>
          <t>1974-01</t>
        </is>
      </c>
      <c r="B274" s="22" t="n">
        <v>27030</v>
      </c>
      <c r="C274" s="22" t="n"/>
      <c r="D274" s="22" t="n"/>
      <c r="E274" s="22" t="n">
        <v>26543</v>
      </c>
      <c r="F274" s="83" t="inlineStr">
        <is>
          <t>1972-09</t>
        </is>
      </c>
      <c r="G274" s="83" t="n">
        <v>1.050675</v>
      </c>
      <c r="J274" s="83" t="n">
        <v>2.649319</v>
      </c>
      <c r="K274" s="83" t="n">
        <v>12.12963</v>
      </c>
      <c r="R274" s="83" t="n">
        <v>3.934174</v>
      </c>
      <c r="S274" s="83" t="n">
        <v>4.202477</v>
      </c>
      <c r="AE274" s="83" t="n">
        <v>0.1246953</v>
      </c>
      <c r="AG274" s="83" t="n">
        <v>0.01477635</v>
      </c>
      <c r="AQ274" s="83" t="n">
        <v>2.693528</v>
      </c>
      <c r="AS274" s="83" t="n">
        <v>0.537641</v>
      </c>
      <c r="AZ274" s="83" t="n">
        <v>4.627288</v>
      </c>
      <c r="BB274" s="83" t="n">
        <v>6.467818</v>
      </c>
      <c r="BC274" s="83" t="n">
        <v>0.3313411</v>
      </c>
    </row>
    <row r="275">
      <c r="A275" s="83" t="inlineStr">
        <is>
          <t>1974-02</t>
        </is>
      </c>
      <c r="B275" s="22" t="n">
        <v>27061</v>
      </c>
      <c r="C275" s="22" t="n"/>
      <c r="D275" s="22" t="n"/>
      <c r="E275" s="22" t="n">
        <v>26573</v>
      </c>
      <c r="F275" s="83" t="inlineStr">
        <is>
          <t>1972-10</t>
        </is>
      </c>
      <c r="G275" s="83" t="n">
        <v>1.070288</v>
      </c>
      <c r="J275" s="83" t="n">
        <v>2.708975</v>
      </c>
      <c r="K275" s="83" t="n">
        <v>12.1813</v>
      </c>
      <c r="R275" s="83" t="n">
        <v>3.964136</v>
      </c>
      <c r="S275" s="83" t="n">
        <v>4.249161</v>
      </c>
      <c r="AE275" s="83" t="n">
        <v>0.1257896</v>
      </c>
      <c r="AG275" s="83" t="n">
        <v>0.01500676</v>
      </c>
      <c r="AQ275" s="83" t="n">
        <v>2.707863</v>
      </c>
      <c r="AS275" s="83" t="n">
        <v>0.5463079</v>
      </c>
      <c r="AZ275" s="83" t="n">
        <v>4.681987</v>
      </c>
      <c r="BB275" s="83" t="n">
        <v>6.539285</v>
      </c>
      <c r="BC275" s="83" t="n">
        <v>0.3348037</v>
      </c>
    </row>
    <row r="276">
      <c r="A276" s="83" t="inlineStr">
        <is>
          <t>1974-03</t>
        </is>
      </c>
      <c r="B276" s="22" t="n">
        <v>27089</v>
      </c>
      <c r="C276" s="22" t="n"/>
      <c r="D276" s="22" t="n"/>
      <c r="E276" s="22" t="n">
        <v>26604</v>
      </c>
      <c r="F276" s="83" t="inlineStr">
        <is>
          <t>1972-11</t>
        </is>
      </c>
      <c r="G276" s="83" t="n">
        <v>1.0899</v>
      </c>
      <c r="J276" s="83" t="n">
        <v>2.684007</v>
      </c>
      <c r="K276" s="83" t="n">
        <v>12.24675</v>
      </c>
      <c r="R276" s="83" t="n">
        <v>4.020948</v>
      </c>
      <c r="S276" s="83" t="n">
        <v>4.295845</v>
      </c>
      <c r="AE276" s="83" t="n">
        <v>0.127804</v>
      </c>
      <c r="AG276" s="83" t="n">
        <v>0.01510945</v>
      </c>
      <c r="AQ276" s="83" t="n">
        <v>2.732778</v>
      </c>
      <c r="AS276" s="83" t="n">
        <v>0.5539931</v>
      </c>
      <c r="AZ276" s="83" t="n">
        <v>4.733354</v>
      </c>
      <c r="BB276" s="83" t="n">
        <v>6.597456</v>
      </c>
      <c r="BC276" s="83" t="n">
        <v>0.339298</v>
      </c>
    </row>
    <row r="277">
      <c r="A277" s="83" t="inlineStr">
        <is>
          <t>1974-04</t>
        </is>
      </c>
      <c r="B277" s="22" t="n">
        <v>27120</v>
      </c>
      <c r="C277" s="22" t="n"/>
      <c r="D277" s="22" t="n"/>
      <c r="E277" s="22" t="n">
        <v>26634</v>
      </c>
      <c r="F277" s="83" t="inlineStr">
        <is>
          <t>1972-12</t>
        </is>
      </c>
      <c r="G277" s="83" t="n">
        <v>1.112315</v>
      </c>
      <c r="J277" s="83" t="n">
        <v>2.746764</v>
      </c>
      <c r="K277" s="83" t="n">
        <v>12.3171</v>
      </c>
      <c r="R277" s="83" t="n">
        <v>4.093327</v>
      </c>
      <c r="S277" s="83" t="n">
        <v>4.340171</v>
      </c>
      <c r="AE277" s="83" t="n">
        <v>0.1301154</v>
      </c>
      <c r="AG277" s="83" t="n">
        <v>0.01527258</v>
      </c>
      <c r="AQ277" s="83" t="n">
        <v>2.762078</v>
      </c>
      <c r="AS277" s="83" t="n">
        <v>0.5655365</v>
      </c>
      <c r="AZ277" s="83" t="n">
        <v>4.76987</v>
      </c>
      <c r="BB277" s="83" t="n">
        <v>6.667262</v>
      </c>
      <c r="BC277" s="83" t="n">
        <v>0.3462232</v>
      </c>
    </row>
    <row r="278">
      <c r="A278" s="83" t="inlineStr">
        <is>
          <t>1974-05</t>
        </is>
      </c>
      <c r="B278" s="22" t="n">
        <v>27150</v>
      </c>
      <c r="C278" s="22" t="n"/>
      <c r="D278" s="22" t="n"/>
      <c r="E278" s="22" t="n">
        <v>26665</v>
      </c>
      <c r="F278" s="83" t="inlineStr">
        <is>
          <t>1973-01</t>
        </is>
      </c>
      <c r="G278" s="83" t="n">
        <v>1.134729</v>
      </c>
      <c r="J278" s="83" t="n">
        <v>2.783054</v>
      </c>
      <c r="K278" s="83" t="n">
        <v>12.40012</v>
      </c>
      <c r="R278" s="83" t="n">
        <v>4.148824</v>
      </c>
      <c r="S278" s="83" t="n">
        <v>4.372708</v>
      </c>
      <c r="AE278" s="83" t="n">
        <v>0.1319919</v>
      </c>
      <c r="AG278" s="83" t="n">
        <v>0.01547124</v>
      </c>
      <c r="AQ278" s="83" t="n">
        <v>2.788445</v>
      </c>
      <c r="AS278" s="83" t="n">
        <v>0.5734665</v>
      </c>
      <c r="AZ278" s="83" t="n">
        <v>4.811443</v>
      </c>
      <c r="BB278" s="83" t="n">
        <v>6.733744</v>
      </c>
      <c r="BC278" s="83" t="n">
        <v>0.3501929</v>
      </c>
    </row>
    <row r="279">
      <c r="A279" s="83" t="inlineStr">
        <is>
          <t>1974-06</t>
        </is>
      </c>
      <c r="B279" s="22" t="n">
        <v>27181</v>
      </c>
      <c r="C279" s="22" t="n"/>
      <c r="D279" s="22" t="n"/>
      <c r="E279" s="22" t="n">
        <v>26696</v>
      </c>
      <c r="F279" s="83" t="inlineStr">
        <is>
          <t>1973-02</t>
        </is>
      </c>
      <c r="G279" s="83" t="n">
        <v>1.154342</v>
      </c>
      <c r="J279" s="83" t="n">
        <v>2.828132</v>
      </c>
      <c r="K279" s="83" t="n">
        <v>12.48208</v>
      </c>
      <c r="R279" s="83" t="n">
        <v>4.191144</v>
      </c>
      <c r="S279" s="83" t="n">
        <v>4.411847</v>
      </c>
      <c r="AE279" s="83" t="n">
        <v>0.1339508</v>
      </c>
      <c r="AG279" s="83" t="n">
        <v>0.01579079</v>
      </c>
      <c r="AQ279" s="83" t="n">
        <v>2.824085</v>
      </c>
      <c r="AS279" s="83" t="n">
        <v>0.5773023</v>
      </c>
      <c r="AZ279" s="83" t="n">
        <v>4.858218</v>
      </c>
      <c r="BB279" s="83" t="n">
        <v>6.765322</v>
      </c>
      <c r="BC279" s="83" t="n">
        <v>0.3530434</v>
      </c>
    </row>
    <row r="280">
      <c r="A280" s="83" t="inlineStr">
        <is>
          <t>1974-07</t>
        </is>
      </c>
      <c r="B280" s="22" t="n">
        <v>27211</v>
      </c>
      <c r="C280" s="22" t="n"/>
      <c r="D280" s="22" t="n"/>
      <c r="E280" s="22" t="n">
        <v>26724</v>
      </c>
      <c r="F280" s="83" t="inlineStr">
        <is>
          <t>1973-03</t>
        </is>
      </c>
      <c r="G280" s="83" t="n">
        <v>1.171153</v>
      </c>
      <c r="J280" s="83" t="n">
        <v>2.846898</v>
      </c>
      <c r="K280" s="83" t="n">
        <v>12.55029</v>
      </c>
      <c r="R280" s="83" t="n">
        <v>4.225288</v>
      </c>
      <c r="S280" s="83" t="n">
        <v>4.469376</v>
      </c>
      <c r="AE280" s="83" t="n">
        <v>0.1367265</v>
      </c>
      <c r="AG280" s="83" t="n">
        <v>0.01629114</v>
      </c>
      <c r="AQ280" s="83" t="n">
        <v>2.855846</v>
      </c>
      <c r="AS280" s="83" t="n">
        <v>0.5859815</v>
      </c>
      <c r="AZ280" s="83" t="n">
        <v>4.895294</v>
      </c>
      <c r="BB280" s="83" t="n">
        <v>6.775295</v>
      </c>
      <c r="BC280" s="83" t="n">
        <v>0.3598637</v>
      </c>
    </row>
    <row r="281">
      <c r="A281" s="83" t="inlineStr">
        <is>
          <t>1974-08</t>
        </is>
      </c>
      <c r="B281" s="22" t="n">
        <v>27242</v>
      </c>
      <c r="C281" s="22" t="n"/>
      <c r="D281" s="22" t="n"/>
      <c r="E281" s="22" t="n">
        <v>26755</v>
      </c>
      <c r="F281" s="83" t="inlineStr">
        <is>
          <t>1973-04</t>
        </is>
      </c>
      <c r="G281" s="83" t="n">
        <v>1.190765</v>
      </c>
      <c r="J281" s="83" t="n">
        <v>2.888047</v>
      </c>
      <c r="K281" s="83" t="n">
        <v>12.59013</v>
      </c>
      <c r="R281" s="83" t="n">
        <v>4.263882</v>
      </c>
      <c r="S281" s="83" t="n">
        <v>4.52502</v>
      </c>
      <c r="AE281" s="83" t="n">
        <v>0.1394935</v>
      </c>
      <c r="AG281" s="83" t="n">
        <v>0.01688806</v>
      </c>
      <c r="AQ281" s="83" t="n">
        <v>2.885447</v>
      </c>
      <c r="AS281" s="83" t="n">
        <v>0.5942165</v>
      </c>
      <c r="AZ281" s="83" t="n">
        <v>4.93933</v>
      </c>
      <c r="BB281" s="83" t="n">
        <v>6.81186</v>
      </c>
      <c r="BC281" s="83" t="n">
        <v>0.3686425</v>
      </c>
    </row>
    <row r="282">
      <c r="A282" s="83" t="inlineStr">
        <is>
          <t>1974-09</t>
        </is>
      </c>
      <c r="B282" s="22" t="n">
        <v>27273</v>
      </c>
      <c r="C282" s="22" t="n"/>
      <c r="D282" s="22" t="n"/>
      <c r="E282" s="22" t="n">
        <v>26785</v>
      </c>
      <c r="F282" s="83" t="inlineStr">
        <is>
          <t>1973-05</t>
        </is>
      </c>
      <c r="G282" s="83" t="n">
        <v>1.218783</v>
      </c>
      <c r="J282" s="83" t="n">
        <v>2.897611</v>
      </c>
      <c r="K282" s="83" t="n">
        <v>12.67197</v>
      </c>
      <c r="R282" s="83" t="n">
        <v>4.312827</v>
      </c>
      <c r="S282" s="83" t="n">
        <v>4.57972</v>
      </c>
      <c r="AE282" s="83" t="n">
        <v>0.1418061</v>
      </c>
      <c r="AG282" s="83" t="n">
        <v>0.01739779</v>
      </c>
      <c r="AQ282" s="83" t="n">
        <v>2.921668</v>
      </c>
      <c r="AS282" s="83" t="n">
        <v>0.6022914</v>
      </c>
      <c r="AZ282" s="83" t="n">
        <v>5.00584</v>
      </c>
      <c r="BB282" s="83" t="n">
        <v>6.870862</v>
      </c>
      <c r="BC282" s="83" t="n">
        <v>0.3779985</v>
      </c>
    </row>
    <row r="283">
      <c r="A283" s="83" t="inlineStr">
        <is>
          <t>1974-10</t>
        </is>
      </c>
      <c r="B283" s="22" t="n">
        <v>27303</v>
      </c>
      <c r="C283" s="22" t="n"/>
      <c r="D283" s="22" t="n"/>
      <c r="E283" s="22" t="n">
        <v>26816</v>
      </c>
      <c r="F283" s="83" t="inlineStr">
        <is>
          <t>1973-06</t>
        </is>
      </c>
      <c r="G283" s="83" t="n">
        <v>1.243999</v>
      </c>
      <c r="J283" s="83" t="n">
        <v>2.952821</v>
      </c>
      <c r="K283" s="83" t="n">
        <v>12.78842</v>
      </c>
      <c r="R283" s="83" t="n">
        <v>4.367211</v>
      </c>
      <c r="S283" s="83" t="n">
        <v>4.636306</v>
      </c>
      <c r="AE283" s="83" t="n">
        <v>0.143895</v>
      </c>
      <c r="AG283" s="83" t="n">
        <v>0.01781696</v>
      </c>
      <c r="AQ283" s="83" t="n">
        <v>2.954276</v>
      </c>
      <c r="AS283" s="83" t="n">
        <v>0.6122984</v>
      </c>
      <c r="AZ283" s="83" t="n">
        <v>5.069698</v>
      </c>
      <c r="BB283" s="83" t="n">
        <v>6.924878</v>
      </c>
      <c r="BC283" s="83" t="n">
        <v>0.3861303</v>
      </c>
    </row>
    <row r="284">
      <c r="A284" s="83" t="inlineStr">
        <is>
          <t>1974-11</t>
        </is>
      </c>
      <c r="B284" s="22" t="n">
        <v>27334</v>
      </c>
      <c r="C284" s="22" t="n"/>
      <c r="D284" s="22" t="n"/>
      <c r="E284" s="22" t="n">
        <v>26846</v>
      </c>
      <c r="F284" s="83" t="inlineStr">
        <is>
          <t>1973-07</t>
        </is>
      </c>
      <c r="G284" s="83" t="n">
        <v>1.269216</v>
      </c>
      <c r="J284" s="83" t="n">
        <v>3.023746</v>
      </c>
      <c r="K284" s="83" t="n">
        <v>12.86485</v>
      </c>
      <c r="R284" s="83" t="n">
        <v>4.406117</v>
      </c>
      <c r="S284" s="83" t="n">
        <v>4.675916</v>
      </c>
      <c r="AE284" s="83" t="n">
        <v>0.1461768</v>
      </c>
      <c r="AG284" s="83" t="n">
        <v>0.01821472</v>
      </c>
      <c r="AQ284" s="83" t="n">
        <v>2.983591</v>
      </c>
      <c r="AS284" s="83" t="n">
        <v>0.6215414</v>
      </c>
      <c r="AZ284" s="83" t="n">
        <v>5.133436</v>
      </c>
      <c r="BB284" s="83" t="n">
        <v>6.95147</v>
      </c>
      <c r="BC284" s="83" t="n">
        <v>0.3931429</v>
      </c>
    </row>
    <row r="285">
      <c r="A285" s="83" t="inlineStr">
        <is>
          <t>1974-12</t>
        </is>
      </c>
      <c r="B285" s="22" t="n">
        <v>27364</v>
      </c>
      <c r="C285" s="22" t="n"/>
      <c r="D285" s="22" t="n"/>
      <c r="E285" s="22" t="n">
        <v>26877</v>
      </c>
      <c r="F285" s="83" t="inlineStr">
        <is>
          <t>1973-08</t>
        </is>
      </c>
      <c r="G285" s="83" t="n">
        <v>1.294432</v>
      </c>
      <c r="J285" s="83" t="n">
        <v>3.029536</v>
      </c>
      <c r="K285" s="83" t="n">
        <v>12.93757</v>
      </c>
      <c r="R285" s="83" t="n">
        <v>4.454519</v>
      </c>
      <c r="S285" s="83" t="n">
        <v>4.719771</v>
      </c>
      <c r="AE285" s="83" t="n">
        <v>0.1483059</v>
      </c>
      <c r="AG285" s="83" t="n">
        <v>0.01867199</v>
      </c>
      <c r="AQ285" s="83" t="n">
        <v>3.002129</v>
      </c>
      <c r="AS285" s="83" t="n">
        <v>0.6271634</v>
      </c>
      <c r="AZ285" s="83" t="n">
        <v>5.186229</v>
      </c>
      <c r="BB285" s="83" t="n">
        <v>6.970584</v>
      </c>
      <c r="BC285" s="83" t="n">
        <v>0.3998757</v>
      </c>
    </row>
    <row r="286">
      <c r="A286" s="83" t="inlineStr">
        <is>
          <t>1975-01</t>
        </is>
      </c>
      <c r="B286" s="22" t="n">
        <v>27395</v>
      </c>
      <c r="C286" s="22" t="n"/>
      <c r="D286" s="22" t="n"/>
      <c r="E286" s="22" t="n">
        <v>26908</v>
      </c>
      <c r="F286" s="83" t="inlineStr">
        <is>
          <t>1973-09</t>
        </is>
      </c>
      <c r="G286" s="83" t="n">
        <v>1.316846</v>
      </c>
      <c r="J286" s="83" t="n">
        <v>3.086918</v>
      </c>
      <c r="K286" s="83" t="n">
        <v>13.02204</v>
      </c>
      <c r="R286" s="83" t="n">
        <v>4.514557</v>
      </c>
      <c r="S286" s="83" t="n">
        <v>4.767869</v>
      </c>
      <c r="AE286" s="83" t="n">
        <v>0.150606</v>
      </c>
      <c r="AG286" s="83" t="n">
        <v>0.01913336</v>
      </c>
      <c r="AQ286" s="83" t="n">
        <v>3.017777</v>
      </c>
      <c r="AS286" s="83" t="n">
        <v>0.6320897</v>
      </c>
      <c r="AZ286" s="83" t="n">
        <v>5.239332</v>
      </c>
      <c r="BB286" s="83" t="n">
        <v>6.974739</v>
      </c>
      <c r="BC286" s="83" t="n">
        <v>0.4068883</v>
      </c>
    </row>
    <row r="287">
      <c r="A287" s="83" t="inlineStr">
        <is>
          <t>1975-02</t>
        </is>
      </c>
      <c r="B287" s="22" t="n">
        <v>27426</v>
      </c>
      <c r="C287" s="22" t="n"/>
      <c r="D287" s="22" t="n"/>
      <c r="E287" s="22" t="n">
        <v>26938</v>
      </c>
      <c r="F287" s="83" t="inlineStr">
        <is>
          <t>1973-10</t>
        </is>
      </c>
      <c r="G287" s="83" t="n">
        <v>1.333657</v>
      </c>
      <c r="J287" s="83" t="n">
        <v>3.153553</v>
      </c>
      <c r="K287" s="83" t="n">
        <v>13.10909</v>
      </c>
      <c r="R287" s="83" t="n">
        <v>4.565602</v>
      </c>
      <c r="S287" s="83" t="n">
        <v>4.815968</v>
      </c>
      <c r="AE287" s="83" t="n">
        <v>0.1528285</v>
      </c>
      <c r="AG287" s="83" t="n">
        <v>0.01946417</v>
      </c>
      <c r="AQ287" s="83" t="n">
        <v>3.027659</v>
      </c>
      <c r="AS287" s="83" t="n">
        <v>0.64081</v>
      </c>
      <c r="AZ287" s="83" t="n">
        <v>5.294028</v>
      </c>
      <c r="BB287" s="83" t="n">
        <v>7.002163</v>
      </c>
      <c r="BC287" s="83" t="n">
        <v>0.4123445</v>
      </c>
    </row>
    <row r="288">
      <c r="A288" s="83" t="inlineStr">
        <is>
          <t>1975-03</t>
        </is>
      </c>
      <c r="B288" s="22" t="n">
        <v>27454</v>
      </c>
      <c r="C288" s="22" t="n"/>
      <c r="D288" s="22" t="n"/>
      <c r="E288" s="22" t="n">
        <v>26969</v>
      </c>
      <c r="F288" s="83" t="inlineStr">
        <is>
          <t>1973-11</t>
        </is>
      </c>
      <c r="G288" s="83" t="n">
        <v>1.339261</v>
      </c>
      <c r="J288" s="83" t="n">
        <v>3.245053</v>
      </c>
      <c r="K288" s="83" t="n">
        <v>13.19371</v>
      </c>
      <c r="R288" s="83" t="n">
        <v>4.598406</v>
      </c>
      <c r="S288" s="83" t="n">
        <v>4.867367</v>
      </c>
      <c r="AE288" s="83" t="n">
        <v>0.1545958</v>
      </c>
      <c r="AG288" s="83" t="n">
        <v>0.0198725</v>
      </c>
      <c r="AQ288" s="83" t="n">
        <v>3.048865</v>
      </c>
      <c r="AS288" s="83" t="n">
        <v>0.6509935</v>
      </c>
      <c r="AZ288" s="83" t="n">
        <v>5.350942</v>
      </c>
      <c r="BB288" s="83" t="n">
        <v>7.054517</v>
      </c>
      <c r="BC288" s="83" t="n">
        <v>0.4154049</v>
      </c>
    </row>
    <row r="289">
      <c r="A289" s="83" t="inlineStr">
        <is>
          <t>1975-04</t>
        </is>
      </c>
      <c r="B289" s="22" t="n">
        <v>27485</v>
      </c>
      <c r="C289" s="22" t="n"/>
      <c r="D289" s="22" t="n"/>
      <c r="E289" s="22" t="n">
        <v>26999</v>
      </c>
      <c r="F289" s="83" t="inlineStr">
        <is>
          <t>1973-12</t>
        </is>
      </c>
      <c r="G289" s="83" t="n">
        <v>1.350468</v>
      </c>
      <c r="J289" s="83" t="n">
        <v>3.334641</v>
      </c>
      <c r="K289" s="83" t="n">
        <v>13.26583</v>
      </c>
      <c r="R289" s="83" t="n">
        <v>4.622355</v>
      </c>
      <c r="S289" s="83" t="n">
        <v>4.918294</v>
      </c>
      <c r="AE289" s="83" t="n">
        <v>0.1560797</v>
      </c>
      <c r="AG289" s="83" t="n">
        <v>0.02028365</v>
      </c>
      <c r="AQ289" s="83" t="n">
        <v>3.087185</v>
      </c>
      <c r="AS289" s="83" t="n">
        <v>0.6614978</v>
      </c>
      <c r="AZ289" s="83" t="n">
        <v>5.42034</v>
      </c>
      <c r="BB289" s="83" t="n">
        <v>7.109364</v>
      </c>
      <c r="BC289" s="83" t="n">
        <v>0.4190948</v>
      </c>
    </row>
    <row r="290">
      <c r="A290" s="83" t="inlineStr">
        <is>
          <t>1975-05</t>
        </is>
      </c>
      <c r="B290" s="22" t="n">
        <v>27515</v>
      </c>
      <c r="C290" s="22" t="n"/>
      <c r="D290" s="22" t="n"/>
      <c r="E290" s="22" t="n">
        <v>27030</v>
      </c>
      <c r="F290" s="83" t="inlineStr">
        <is>
          <t>1974-01</t>
        </is>
      </c>
      <c r="G290" s="83" t="n">
        <v>1.367279</v>
      </c>
      <c r="J290" s="83" t="n">
        <v>3.388196</v>
      </c>
      <c r="K290" s="83" t="n">
        <v>13.31334</v>
      </c>
      <c r="R290" s="83" t="n">
        <v>4.648037</v>
      </c>
      <c r="S290" s="83" t="n">
        <v>4.974881</v>
      </c>
      <c r="AE290" s="83" t="n">
        <v>0.157874</v>
      </c>
      <c r="AG290" s="83" t="n">
        <v>0.0206877</v>
      </c>
      <c r="AQ290" s="83" t="n">
        <v>3.122773</v>
      </c>
      <c r="AS290" s="83" t="n">
        <v>0.669893</v>
      </c>
      <c r="AZ290" s="83" t="n">
        <v>5.459894</v>
      </c>
      <c r="BB290" s="83" t="n">
        <v>7.144267</v>
      </c>
      <c r="BC290" s="83" t="n">
        <v>0.4235717</v>
      </c>
    </row>
    <row r="291">
      <c r="A291" s="83" t="inlineStr">
        <is>
          <t>1975-06</t>
        </is>
      </c>
      <c r="B291" s="22" t="n">
        <v>27546</v>
      </c>
      <c r="C291" s="22" t="n"/>
      <c r="D291" s="22" t="n"/>
      <c r="E291" s="22" t="n">
        <v>27061</v>
      </c>
      <c r="F291" s="83" t="inlineStr">
        <is>
          <t>1974-02</t>
        </is>
      </c>
      <c r="G291" s="83" t="n">
        <v>1.384089</v>
      </c>
      <c r="J291" s="83" t="n">
        <v>3.467238</v>
      </c>
      <c r="K291" s="83" t="n">
        <v>13.3479</v>
      </c>
      <c r="R291" s="83" t="n">
        <v>4.674071</v>
      </c>
      <c r="S291" s="83" t="n">
        <v>5.031939</v>
      </c>
      <c r="AE291" s="83" t="n">
        <v>0.1598356</v>
      </c>
      <c r="AG291" s="83" t="n">
        <v>0.02116817</v>
      </c>
      <c r="AQ291" s="83" t="n">
        <v>3.165494</v>
      </c>
      <c r="AS291" s="83" t="n">
        <v>0.6790122</v>
      </c>
      <c r="AZ291" s="83" t="n">
        <v>5.511176</v>
      </c>
      <c r="BB291" s="83" t="n">
        <v>7.181663</v>
      </c>
      <c r="BC291" s="83" t="n">
        <v>0.4298848</v>
      </c>
    </row>
    <row r="292">
      <c r="A292" s="83" t="inlineStr">
        <is>
          <t>1975-07</t>
        </is>
      </c>
      <c r="B292" s="22" t="n">
        <v>27576</v>
      </c>
      <c r="C292" s="22" t="n"/>
      <c r="D292" s="22" t="n"/>
      <c r="E292" s="22" t="n">
        <v>27089</v>
      </c>
      <c r="F292" s="83" t="inlineStr">
        <is>
          <t>1974-03</t>
        </is>
      </c>
      <c r="G292" s="83" t="n">
        <v>1.4009</v>
      </c>
      <c r="J292" s="83" t="n">
        <v>3.545194</v>
      </c>
      <c r="K292" s="83" t="n">
        <v>13.37386</v>
      </c>
      <c r="R292" s="83" t="n">
        <v>4.67714</v>
      </c>
      <c r="S292" s="83" t="n">
        <v>5.080037</v>
      </c>
      <c r="AE292" s="83" t="n">
        <v>0.16147</v>
      </c>
      <c r="AG292" s="83" t="n">
        <v>0.02158555</v>
      </c>
      <c r="AQ292" s="83" t="n">
        <v>3.187222</v>
      </c>
      <c r="AS292" s="83" t="n">
        <v>0.6929907</v>
      </c>
      <c r="AZ292" s="83" t="n">
        <v>5.582029</v>
      </c>
      <c r="BB292" s="83" t="n">
        <v>7.230693</v>
      </c>
      <c r="BC292" s="83" t="n">
        <v>0.4375444</v>
      </c>
    </row>
    <row r="293">
      <c r="A293" s="83" t="inlineStr">
        <is>
          <t>1975-08</t>
        </is>
      </c>
      <c r="B293" s="22" t="n">
        <v>27607</v>
      </c>
      <c r="C293" s="22" t="n"/>
      <c r="D293" s="22" t="n"/>
      <c r="E293" s="22" t="n">
        <v>27120</v>
      </c>
      <c r="F293" s="83" t="inlineStr">
        <is>
          <t>1974-04</t>
        </is>
      </c>
      <c r="G293" s="83" t="n">
        <v>1.412107</v>
      </c>
      <c r="J293" s="83" t="n">
        <v>3.598233</v>
      </c>
      <c r="K293" s="83" t="n">
        <v>13.42785</v>
      </c>
      <c r="R293" s="83" t="n">
        <v>4.68575</v>
      </c>
      <c r="S293" s="83" t="n">
        <v>5.131908</v>
      </c>
      <c r="AE293" s="83" t="n">
        <v>0.1636292</v>
      </c>
      <c r="AG293" s="83" t="n">
        <v>0.02184423</v>
      </c>
      <c r="AQ293" s="83" t="n">
        <v>3.19934</v>
      </c>
      <c r="AS293" s="83" t="n">
        <v>0.7053913000000001</v>
      </c>
      <c r="AZ293" s="83" t="n">
        <v>5.631622</v>
      </c>
      <c r="BB293" s="83" t="n">
        <v>7.253962</v>
      </c>
      <c r="BC293" s="83" t="n">
        <v>0.4440324</v>
      </c>
    </row>
    <row r="294">
      <c r="A294" s="83" t="inlineStr">
        <is>
          <t>1975-09</t>
        </is>
      </c>
      <c r="B294" s="22" t="n">
        <v>27638</v>
      </c>
      <c r="C294" s="22" t="n"/>
      <c r="D294" s="22" t="n"/>
      <c r="E294" s="22" t="n">
        <v>27150</v>
      </c>
      <c r="F294" s="83" t="inlineStr">
        <is>
          <t>1974-05</t>
        </is>
      </c>
      <c r="G294" s="83" t="n">
        <v>1.428918</v>
      </c>
      <c r="J294" s="83" t="n">
        <v>3.702296</v>
      </c>
      <c r="K294" s="83" t="n">
        <v>13.49049</v>
      </c>
      <c r="R294" s="83" t="n">
        <v>4.716368</v>
      </c>
      <c r="S294" s="83" t="n">
        <v>5.185193</v>
      </c>
      <c r="AE294" s="83" t="n">
        <v>0.1658867</v>
      </c>
      <c r="AG294" s="83" t="n">
        <v>0.02211349</v>
      </c>
      <c r="AQ294" s="83" t="n">
        <v>3.227377</v>
      </c>
      <c r="AS294" s="83" t="n">
        <v>0.7157236</v>
      </c>
      <c r="AZ294" s="83" t="n">
        <v>5.687868</v>
      </c>
      <c r="BB294" s="83" t="n">
        <v>7.268089</v>
      </c>
      <c r="BC294" s="83" t="n">
        <v>0.4505029</v>
      </c>
    </row>
    <row r="295">
      <c r="A295" s="83" t="inlineStr">
        <is>
          <t>1975-10</t>
        </is>
      </c>
      <c r="B295" s="22" t="n">
        <v>27668</v>
      </c>
      <c r="C295" s="22" t="n"/>
      <c r="D295" s="22" t="n"/>
      <c r="E295" s="22" t="n">
        <v>27181</v>
      </c>
      <c r="F295" s="83" t="inlineStr">
        <is>
          <t>1974-06</t>
        </is>
      </c>
      <c r="G295" s="83" t="n">
        <v>1.428918</v>
      </c>
      <c r="J295" s="83" t="n">
        <v>3.730108</v>
      </c>
      <c r="K295" s="83" t="n">
        <v>13.53282</v>
      </c>
      <c r="R295" s="83" t="n">
        <v>4.725514</v>
      </c>
      <c r="S295" s="83" t="n">
        <v>5.226218</v>
      </c>
      <c r="AE295" s="83" t="n">
        <v>0.1675214</v>
      </c>
      <c r="AG295" s="83" t="n">
        <v>0.02246625</v>
      </c>
      <c r="AQ295" s="83" t="n">
        <v>3.247003</v>
      </c>
      <c r="AS295" s="83" t="n">
        <v>0.7300591</v>
      </c>
      <c r="AZ295" s="83" t="n">
        <v>5.757432</v>
      </c>
      <c r="BB295" s="83" t="n">
        <v>7.294681</v>
      </c>
      <c r="BC295" s="83" t="n">
        <v>0.4575155</v>
      </c>
    </row>
    <row r="296">
      <c r="A296" s="83" t="inlineStr">
        <is>
          <t>1975-11</t>
        </is>
      </c>
      <c r="B296" s="22" t="n">
        <v>27699</v>
      </c>
      <c r="C296" s="22" t="n"/>
      <c r="D296" s="22" t="n"/>
      <c r="E296" s="22" t="n">
        <v>27211</v>
      </c>
      <c r="F296" s="83" t="inlineStr">
        <is>
          <t>1974-07</t>
        </is>
      </c>
      <c r="G296" s="83" t="n">
        <v>1.409306</v>
      </c>
      <c r="J296" s="83" t="n">
        <v>3.826364</v>
      </c>
      <c r="K296" s="83" t="n">
        <v>13.59688</v>
      </c>
      <c r="R296" s="83" t="n">
        <v>4.733556</v>
      </c>
      <c r="S296" s="83" t="n">
        <v>5.273374</v>
      </c>
      <c r="AE296" s="83" t="n">
        <v>0.1693591</v>
      </c>
      <c r="AG296" s="83" t="n">
        <v>0.02276791</v>
      </c>
      <c r="AQ296" s="83" t="n">
        <v>3.268237</v>
      </c>
      <c r="AS296" s="83" t="n">
        <v>0.7414404</v>
      </c>
      <c r="AZ296" s="83" t="n">
        <v>5.790671</v>
      </c>
      <c r="BB296" s="83" t="n">
        <v>7.324598</v>
      </c>
      <c r="BC296" s="83" t="n">
        <v>0.4620098</v>
      </c>
    </row>
    <row r="297">
      <c r="A297" s="83" t="inlineStr">
        <is>
          <t>1975-12</t>
        </is>
      </c>
      <c r="B297" s="22" t="n">
        <v>27729</v>
      </c>
      <c r="C297" s="22" t="n"/>
      <c r="D297" s="22" t="n"/>
      <c r="E297" s="22" t="n">
        <v>27242</v>
      </c>
      <c r="F297" s="83" t="inlineStr">
        <is>
          <t>1974-08</t>
        </is>
      </c>
      <c r="G297" s="83" t="n">
        <v>1.392495</v>
      </c>
      <c r="J297" s="83" t="n">
        <v>3.888346</v>
      </c>
      <c r="K297" s="83" t="n">
        <v>13.7068</v>
      </c>
      <c r="R297" s="83" t="n">
        <v>4.775919</v>
      </c>
      <c r="S297" s="83" t="n">
        <v>5.320057</v>
      </c>
      <c r="AE297" s="83" t="n">
        <v>0.1707219</v>
      </c>
      <c r="AG297" s="83" t="n">
        <v>0.02322032</v>
      </c>
      <c r="AQ297" s="83" t="n">
        <v>3.301652</v>
      </c>
      <c r="AS297" s="83" t="n">
        <v>0.753118</v>
      </c>
      <c r="AZ297" s="83" t="n">
        <v>5.815934</v>
      </c>
      <c r="BB297" s="83" t="n">
        <v>7.347035</v>
      </c>
      <c r="BC297" s="83" t="n">
        <v>0.4645455</v>
      </c>
    </row>
    <row r="298">
      <c r="A298" s="83" t="inlineStr">
        <is>
          <t>1976-01</t>
        </is>
      </c>
      <c r="B298" s="22" t="n">
        <v>27760</v>
      </c>
      <c r="C298" s="22" t="n"/>
      <c r="D298" s="22" t="n"/>
      <c r="E298" s="22" t="n">
        <v>27273</v>
      </c>
      <c r="F298" s="83" t="inlineStr">
        <is>
          <t>1974-09</t>
        </is>
      </c>
      <c r="G298" s="83" t="n">
        <v>1.386891</v>
      </c>
      <c r="J298" s="83" t="n">
        <v>3.95343</v>
      </c>
      <c r="K298" s="83" t="n">
        <v>13.81986</v>
      </c>
      <c r="R298" s="83" t="n">
        <v>4.833502</v>
      </c>
      <c r="S298" s="83" t="n">
        <v>5.360139</v>
      </c>
      <c r="AE298" s="83" t="n">
        <v>0.1714667</v>
      </c>
      <c r="AG298" s="83" t="n">
        <v>0.02378082</v>
      </c>
      <c r="AQ298" s="83" t="n">
        <v>3.34018</v>
      </c>
      <c r="AS298" s="83" t="n">
        <v>0.7688372</v>
      </c>
      <c r="AZ298" s="83" t="n">
        <v>5.877268</v>
      </c>
      <c r="BB298" s="83" t="n">
        <v>7.378614</v>
      </c>
      <c r="BC298" s="83" t="n">
        <v>0.4669414</v>
      </c>
    </row>
    <row r="299">
      <c r="A299" s="83" t="inlineStr">
        <is>
          <t>1976-02</t>
        </is>
      </c>
      <c r="B299" s="22" t="n">
        <v>27791</v>
      </c>
      <c r="C299" s="22" t="n"/>
      <c r="D299" s="22" t="n"/>
      <c r="E299" s="22" t="n">
        <v>27303</v>
      </c>
      <c r="F299" s="83" t="inlineStr">
        <is>
          <t>1974-10</t>
        </is>
      </c>
      <c r="G299" s="83" t="n">
        <v>1.403702</v>
      </c>
      <c r="J299" s="83" t="n">
        <v>3.965113</v>
      </c>
      <c r="K299" s="83" t="n">
        <v>13.90088</v>
      </c>
      <c r="R299" s="83" t="n">
        <v>4.8822</v>
      </c>
      <c r="S299" s="83" t="n">
        <v>5.40588</v>
      </c>
      <c r="AE299" s="83" t="n">
        <v>0.172511</v>
      </c>
      <c r="AG299" s="83" t="n">
        <v>0.02442173</v>
      </c>
      <c r="AQ299" s="83" t="n">
        <v>3.389647</v>
      </c>
      <c r="AS299" s="83" t="n">
        <v>0.781552</v>
      </c>
      <c r="AZ299" s="83" t="n">
        <v>5.898004</v>
      </c>
      <c r="BB299" s="83" t="n">
        <v>7.423489</v>
      </c>
      <c r="BC299" s="83" t="n">
        <v>0.4737966</v>
      </c>
    </row>
    <row r="300">
      <c r="A300" s="83" t="inlineStr">
        <is>
          <t>1976-03</t>
        </is>
      </c>
      <c r="B300" s="22" t="n">
        <v>27820</v>
      </c>
      <c r="C300" s="22" t="n"/>
      <c r="D300" s="22" t="n"/>
      <c r="E300" s="22" t="n">
        <v>27334</v>
      </c>
      <c r="F300" s="83" t="inlineStr">
        <is>
          <t>1974-11</t>
        </is>
      </c>
      <c r="G300" s="83" t="n">
        <v>1.428918</v>
      </c>
      <c r="J300" s="83" t="n">
        <v>4.00161</v>
      </c>
      <c r="K300" s="83" t="n">
        <v>13.99403</v>
      </c>
      <c r="R300" s="83" t="n">
        <v>4.9741</v>
      </c>
      <c r="S300" s="83" t="n">
        <v>5.463409</v>
      </c>
      <c r="AE300" s="83" t="n">
        <v>0.1737107</v>
      </c>
      <c r="AG300" s="83" t="n">
        <v>0.02519784</v>
      </c>
      <c r="AQ300" s="83" t="n">
        <v>3.430773</v>
      </c>
      <c r="AS300" s="83" t="n">
        <v>0.7997776</v>
      </c>
      <c r="AZ300" s="83" t="n">
        <v>5.912143</v>
      </c>
      <c r="BB300" s="83" t="n">
        <v>7.467533</v>
      </c>
      <c r="BC300" s="83" t="n">
        <v>0.4840969</v>
      </c>
    </row>
    <row r="301">
      <c r="A301" s="83" t="inlineStr">
        <is>
          <t>1976-04</t>
        </is>
      </c>
      <c r="B301" s="22" t="n">
        <v>27851</v>
      </c>
      <c r="C301" s="22" t="n"/>
      <c r="D301" s="22" t="n"/>
      <c r="E301" s="22" t="n">
        <v>27364</v>
      </c>
      <c r="F301" s="83" t="inlineStr">
        <is>
          <t>1974-12</t>
        </is>
      </c>
      <c r="G301" s="83" t="n">
        <v>1.448531</v>
      </c>
      <c r="J301" s="83" t="n">
        <v>4.039503</v>
      </c>
      <c r="K301" s="83" t="n">
        <v>14.07821</v>
      </c>
      <c r="R301" s="83" t="n">
        <v>5.035784</v>
      </c>
      <c r="S301" s="83" t="n">
        <v>5.526126</v>
      </c>
      <c r="AE301" s="83" t="n">
        <v>0.1747364</v>
      </c>
      <c r="AG301" s="83" t="n">
        <v>0.0258131</v>
      </c>
      <c r="AQ301" s="83" t="n">
        <v>3.450285</v>
      </c>
      <c r="AS301" s="83" t="n">
        <v>0.8221433</v>
      </c>
      <c r="AZ301" s="83" t="n">
        <v>5.950416</v>
      </c>
      <c r="BB301" s="83" t="n">
        <v>7.496619</v>
      </c>
      <c r="BC301" s="83" t="n">
        <v>0.4919489</v>
      </c>
    </row>
    <row r="302">
      <c r="A302" s="83" t="inlineStr">
        <is>
          <t>1976-05</t>
        </is>
      </c>
      <c r="B302" s="22" t="n">
        <v>27881</v>
      </c>
      <c r="C302" s="22" t="n"/>
      <c r="D302" s="22" t="n"/>
      <c r="E302" s="22" t="n">
        <v>27395</v>
      </c>
      <c r="F302" s="83" t="inlineStr">
        <is>
          <t>1975-01</t>
        </is>
      </c>
      <c r="G302" s="83" t="n">
        <v>1.473747</v>
      </c>
      <c r="J302" s="83" t="n">
        <v>4.093317</v>
      </c>
      <c r="K302" s="83" t="n">
        <v>14.14584</v>
      </c>
      <c r="R302" s="83" t="n">
        <v>5.045527</v>
      </c>
      <c r="S302" s="83" t="n">
        <v>5.587899</v>
      </c>
      <c r="AE302" s="83" t="n">
        <v>0.1763233</v>
      </c>
      <c r="AG302" s="83" t="n">
        <v>0.02637157</v>
      </c>
      <c r="AQ302" s="83" t="n">
        <v>3.46809</v>
      </c>
      <c r="AS302" s="83" t="n">
        <v>0.8350281000000001</v>
      </c>
      <c r="AZ302" s="83" t="n">
        <v>5.980357</v>
      </c>
      <c r="BB302" s="83" t="n">
        <v>7.531522</v>
      </c>
      <c r="BC302" s="83" t="n">
        <v>0.5022492</v>
      </c>
    </row>
    <row r="303">
      <c r="A303" s="83" t="inlineStr">
        <is>
          <t>1976-06</t>
        </is>
      </c>
      <c r="B303" s="22" t="n">
        <v>27912</v>
      </c>
      <c r="C303" s="22" t="n"/>
      <c r="D303" s="22" t="n"/>
      <c r="E303" s="22" t="n">
        <v>27426</v>
      </c>
      <c r="F303" s="83" t="inlineStr">
        <is>
          <t>1975-02</t>
        </is>
      </c>
      <c r="G303" s="83" t="n">
        <v>1.507369</v>
      </c>
      <c r="J303" s="83" t="n">
        <v>4.138654</v>
      </c>
      <c r="K303" s="83" t="n">
        <v>14.22715</v>
      </c>
      <c r="R303" s="83" t="n">
        <v>5.101856</v>
      </c>
      <c r="S303" s="83" t="n">
        <v>5.647786</v>
      </c>
      <c r="AE303" s="83" t="n">
        <v>0.1785628</v>
      </c>
      <c r="AG303" s="83" t="n">
        <v>0.02684298</v>
      </c>
      <c r="AQ303" s="83" t="n">
        <v>3.513179</v>
      </c>
      <c r="AS303" s="83" t="n">
        <v>0.8472639</v>
      </c>
      <c r="AZ303" s="83" t="n">
        <v>6.02155</v>
      </c>
      <c r="BB303" s="83" t="n">
        <v>7.596341</v>
      </c>
      <c r="BC303" s="83" t="n">
        <v>0.5112554</v>
      </c>
    </row>
    <row r="304">
      <c r="A304" s="83" t="inlineStr">
        <is>
          <t>1976-07</t>
        </is>
      </c>
      <c r="B304" s="22" t="n">
        <v>27942</v>
      </c>
      <c r="C304" s="22" t="n"/>
      <c r="D304" s="22" t="n"/>
      <c r="E304" s="22" t="n">
        <v>27454</v>
      </c>
      <c r="F304" s="83" t="inlineStr">
        <is>
          <t>1975-03</t>
        </is>
      </c>
      <c r="G304" s="83" t="n">
        <v>1.54099</v>
      </c>
      <c r="J304" s="83" t="n">
        <v>4.173599</v>
      </c>
      <c r="K304" s="83" t="n">
        <v>14.31251</v>
      </c>
      <c r="R304" s="83" t="n">
        <v>5.186793</v>
      </c>
      <c r="S304" s="83" t="n">
        <v>5.693998</v>
      </c>
      <c r="AE304" s="83" t="n">
        <v>0.1798263</v>
      </c>
      <c r="AG304" s="83" t="n">
        <v>0.02710227</v>
      </c>
      <c r="AQ304" s="83" t="n">
        <v>3.549772</v>
      </c>
      <c r="AS304" s="83" t="n">
        <v>0.8647422</v>
      </c>
      <c r="AZ304" s="83" t="n">
        <v>6.082075</v>
      </c>
      <c r="BB304" s="83" t="n">
        <v>7.686922</v>
      </c>
      <c r="BC304" s="83" t="n">
        <v>0.5191249</v>
      </c>
    </row>
    <row r="305">
      <c r="A305" s="83" t="inlineStr">
        <is>
          <t>1976-08</t>
        </is>
      </c>
      <c r="B305" s="22" t="n">
        <v>27973</v>
      </c>
      <c r="C305" s="22" t="n"/>
      <c r="D305" s="22" t="n"/>
      <c r="E305" s="22" t="n">
        <v>27485</v>
      </c>
      <c r="F305" s="83" t="inlineStr">
        <is>
          <t>1975-04</t>
        </is>
      </c>
      <c r="G305" s="83" t="n">
        <v>1.574612</v>
      </c>
      <c r="J305" s="83" t="n">
        <v>4.186006</v>
      </c>
      <c r="K305" s="83" t="n">
        <v>14.38142</v>
      </c>
      <c r="R305" s="83" t="n">
        <v>5.262094</v>
      </c>
      <c r="S305" s="83" t="n">
        <v>5.732194</v>
      </c>
      <c r="AE305" s="83" t="n">
        <v>0.1811789</v>
      </c>
      <c r="AG305" s="83" t="n">
        <v>0.02748186</v>
      </c>
      <c r="AQ305" s="83" t="n">
        <v>3.565689</v>
      </c>
      <c r="AS305" s="83" t="n">
        <v>0.8807598</v>
      </c>
      <c r="AZ305" s="83" t="n">
        <v>6.140782</v>
      </c>
      <c r="BB305" s="83" t="n">
        <v>7.770855</v>
      </c>
      <c r="BC305" s="83" t="n">
        <v>0.5266796</v>
      </c>
    </row>
    <row r="306">
      <c r="A306" s="83" t="inlineStr">
        <is>
          <t>1976-09</t>
        </is>
      </c>
      <c r="B306" s="22" t="n">
        <v>28004</v>
      </c>
      <c r="C306" s="22" t="n"/>
      <c r="D306" s="22" t="n"/>
      <c r="E306" s="22" t="n">
        <v>27515</v>
      </c>
      <c r="F306" s="83" t="inlineStr">
        <is>
          <t>1975-05</t>
        </is>
      </c>
      <c r="G306" s="83" t="n">
        <v>1.60263</v>
      </c>
      <c r="J306" s="83" t="n">
        <v>4.200481</v>
      </c>
      <c r="K306" s="83" t="n">
        <v>14.47339</v>
      </c>
      <c r="R306" s="83" t="n">
        <v>5.340711</v>
      </c>
      <c r="S306" s="83" t="n">
        <v>5.778878</v>
      </c>
      <c r="AE306" s="83" t="n">
        <v>0.1832955</v>
      </c>
      <c r="AG306" s="83" t="n">
        <v>0.02793855</v>
      </c>
      <c r="AQ306" s="83" t="n">
        <v>3.604721</v>
      </c>
      <c r="AS306" s="83" t="n">
        <v>0.8971989</v>
      </c>
      <c r="AZ306" s="83" t="n">
        <v>6.184965</v>
      </c>
      <c r="BB306" s="83" t="n">
        <v>7.877225</v>
      </c>
      <c r="BC306" s="83" t="n">
        <v>0.5303696</v>
      </c>
    </row>
    <row r="307">
      <c r="A307" s="83" t="inlineStr">
        <is>
          <t>1976-10</t>
        </is>
      </c>
      <c r="B307" s="22" t="n">
        <v>28034</v>
      </c>
      <c r="C307" s="22" t="n"/>
      <c r="D307" s="22" t="n"/>
      <c r="E307" s="22" t="n">
        <v>27546</v>
      </c>
      <c r="F307" s="83" t="inlineStr">
        <is>
          <t>1975-06</t>
        </is>
      </c>
      <c r="G307" s="83" t="n">
        <v>1.625044</v>
      </c>
      <c r="J307" s="83" t="n">
        <v>4.283865</v>
      </c>
      <c r="K307" s="83" t="n">
        <v>14.21816</v>
      </c>
      <c r="R307" s="83" t="n">
        <v>5.469603</v>
      </c>
      <c r="S307" s="83" t="n">
        <v>5.843009</v>
      </c>
      <c r="AE307" s="83" t="n">
        <v>0.1855656</v>
      </c>
      <c r="AG307" s="83" t="n">
        <v>0.02854072</v>
      </c>
      <c r="AQ307" s="83" t="n">
        <v>3.664819</v>
      </c>
      <c r="AS307" s="83" t="n">
        <v>0.9136684</v>
      </c>
      <c r="AZ307" s="83" t="n">
        <v>6.2599</v>
      </c>
      <c r="BB307" s="83" t="n">
        <v>8.002708999999999</v>
      </c>
      <c r="BC307" s="83" t="n">
        <v>0.5372073000000001</v>
      </c>
    </row>
    <row r="308">
      <c r="A308" s="83" t="inlineStr">
        <is>
          <t>1976-11</t>
        </is>
      </c>
      <c r="B308" s="22" t="n">
        <v>28065</v>
      </c>
      <c r="C308" s="22" t="n"/>
      <c r="D308" s="22" t="n"/>
      <c r="E308" s="22" t="n">
        <v>27576</v>
      </c>
      <c r="F308" s="83" t="inlineStr">
        <is>
          <t>1975-07</t>
        </is>
      </c>
      <c r="G308" s="83" t="n">
        <v>1.655864</v>
      </c>
      <c r="J308" s="83" t="n">
        <v>4.3124</v>
      </c>
      <c r="K308" s="83" t="n">
        <v>13.91898</v>
      </c>
      <c r="R308" s="83" t="n">
        <v>5.60765</v>
      </c>
      <c r="S308" s="83" t="n">
        <v>5.924116</v>
      </c>
      <c r="AE308" s="83" t="n">
        <v>0.1882198</v>
      </c>
      <c r="AG308" s="83" t="n">
        <v>0.02930691</v>
      </c>
      <c r="AQ308" s="83" t="n">
        <v>3.724512</v>
      </c>
      <c r="AS308" s="83" t="n">
        <v>0.9319525</v>
      </c>
      <c r="AZ308" s="83" t="n">
        <v>6.333976</v>
      </c>
      <c r="BB308" s="83" t="n">
        <v>8.103262000000001</v>
      </c>
      <c r="BC308" s="83" t="n">
        <v>0.5477524</v>
      </c>
    </row>
    <row r="309">
      <c r="A309" s="83" t="inlineStr">
        <is>
          <t>1976-12</t>
        </is>
      </c>
      <c r="B309" s="22" t="n">
        <v>28095</v>
      </c>
      <c r="C309" s="22" t="n"/>
      <c r="D309" s="22" t="n"/>
      <c r="E309" s="22" t="n">
        <v>27607</v>
      </c>
      <c r="F309" s="83" t="inlineStr">
        <is>
          <t>1975-08</t>
        </is>
      </c>
      <c r="G309" s="83" t="n">
        <v>1.686684</v>
      </c>
      <c r="J309" s="83" t="n">
        <v>4.37247</v>
      </c>
      <c r="K309" s="83" t="n">
        <v>13.96477</v>
      </c>
      <c r="R309" s="83" t="n">
        <v>5.71734</v>
      </c>
      <c r="S309" s="83" t="n">
        <v>6.002865</v>
      </c>
      <c r="AE309" s="83" t="n">
        <v>0.1905543</v>
      </c>
      <c r="AG309" s="83" t="n">
        <v>0.03035572</v>
      </c>
      <c r="AQ309" s="83" t="n">
        <v>3.779214</v>
      </c>
      <c r="AS309" s="83" t="n">
        <v>0.9553970000000001</v>
      </c>
      <c r="AZ309" s="83" t="n">
        <v>6.398395</v>
      </c>
      <c r="BB309" s="83" t="n">
        <v>8.169744</v>
      </c>
      <c r="BC309" s="83" t="n">
        <v>0.5580877</v>
      </c>
    </row>
    <row r="310">
      <c r="A310" s="83" t="inlineStr">
        <is>
          <t>1977-01</t>
        </is>
      </c>
      <c r="B310" s="22" t="n">
        <v>28126</v>
      </c>
      <c r="C310" s="22" t="n"/>
      <c r="D310" s="22" t="n"/>
      <c r="E310" s="22" t="n">
        <v>27638</v>
      </c>
      <c r="F310" s="83" t="inlineStr">
        <is>
          <t>1975-09</t>
        </is>
      </c>
      <c r="G310" s="83" t="n">
        <v>1.706297</v>
      </c>
      <c r="J310" s="83" t="n">
        <v>4.446911</v>
      </c>
      <c r="K310" s="83" t="n">
        <v>14.03895</v>
      </c>
      <c r="R310" s="83" t="n">
        <v>5.79929</v>
      </c>
      <c r="S310" s="83" t="n">
        <v>6.078785</v>
      </c>
      <c r="AE310" s="83" t="n">
        <v>0.1921577</v>
      </c>
      <c r="AG310" s="83" t="n">
        <v>0.03122363</v>
      </c>
      <c r="AQ310" s="83" t="n">
        <v>3.847359</v>
      </c>
      <c r="AS310" s="83" t="n">
        <v>0.9761226</v>
      </c>
      <c r="AZ310" s="83" t="n">
        <v>6.467146</v>
      </c>
      <c r="BB310" s="83" t="n">
        <v>8.239549999999999</v>
      </c>
      <c r="BC310" s="83" t="n">
        <v>0.5654326</v>
      </c>
    </row>
    <row r="311">
      <c r="A311" s="83" t="inlineStr">
        <is>
          <t>1977-02</t>
        </is>
      </c>
      <c r="B311" s="22" t="n">
        <v>28157</v>
      </c>
      <c r="C311" s="22" t="n"/>
      <c r="D311" s="22" t="n"/>
      <c r="E311" s="22" t="n">
        <v>27668</v>
      </c>
      <c r="F311" s="83" t="inlineStr">
        <is>
          <t>1975-10</t>
        </is>
      </c>
      <c r="G311" s="83" t="n">
        <v>1.725909</v>
      </c>
      <c r="J311" s="83" t="n">
        <v>4.498554</v>
      </c>
      <c r="K311" s="83" t="n">
        <v>14.15363</v>
      </c>
      <c r="R311" s="83" t="n">
        <v>5.965448</v>
      </c>
      <c r="S311" s="83" t="n">
        <v>6.162722</v>
      </c>
      <c r="AE311" s="83" t="n">
        <v>0.1943284</v>
      </c>
      <c r="AG311" s="83" t="n">
        <v>0.03171745</v>
      </c>
      <c r="AQ311" s="83" t="n">
        <v>3.897102</v>
      </c>
      <c r="AS311" s="83" t="n">
        <v>0.9881427</v>
      </c>
      <c r="AZ311" s="83" t="n">
        <v>6.530608</v>
      </c>
      <c r="BB311" s="83" t="n">
        <v>8.291903</v>
      </c>
      <c r="BC311" s="83" t="n">
        <v>0.5720255</v>
      </c>
    </row>
    <row r="312">
      <c r="A312" s="83" t="inlineStr">
        <is>
          <t>1977-03</t>
        </is>
      </c>
      <c r="B312" s="22" t="n">
        <v>28185</v>
      </c>
      <c r="C312" s="22" t="n"/>
      <c r="D312" s="22" t="n"/>
      <c r="E312" s="22" t="n">
        <v>27699</v>
      </c>
      <c r="F312" s="83" t="inlineStr">
        <is>
          <t>1975-11</t>
        </is>
      </c>
      <c r="G312" s="83" t="n">
        <v>1.745522</v>
      </c>
      <c r="J312" s="83" t="n">
        <v>4.505895</v>
      </c>
      <c r="K312" s="83" t="n">
        <v>14.27769</v>
      </c>
      <c r="R312" s="83" t="n">
        <v>6.168248</v>
      </c>
      <c r="S312" s="83" t="n">
        <v>6.233926</v>
      </c>
      <c r="AE312" s="83" t="n">
        <v>0.1967083</v>
      </c>
      <c r="AG312" s="83" t="n">
        <v>0.03229173</v>
      </c>
      <c r="AQ312" s="83" t="n">
        <v>3.929647</v>
      </c>
      <c r="AS312" s="83" t="n">
        <v>0.9998487</v>
      </c>
      <c r="AZ312" s="83" t="n">
        <v>6.595116</v>
      </c>
      <c r="BB312" s="83" t="n">
        <v>8.367526</v>
      </c>
      <c r="BC312" s="83" t="n">
        <v>0.582046</v>
      </c>
    </row>
    <row r="313">
      <c r="A313" s="83" t="inlineStr">
        <is>
          <t>1977-04</t>
        </is>
      </c>
      <c r="B313" s="22" t="n">
        <v>28216</v>
      </c>
      <c r="C313" s="22" t="n"/>
      <c r="D313" s="22" t="n"/>
      <c r="E313" s="22" t="n">
        <v>27729</v>
      </c>
      <c r="F313" s="83" t="inlineStr">
        <is>
          <t>1975-12</t>
        </is>
      </c>
      <c r="G313" s="83" t="n">
        <v>1.765134</v>
      </c>
      <c r="J313" s="83" t="n">
        <v>4.615644</v>
      </c>
      <c r="K313" s="83" t="n">
        <v>14.43195</v>
      </c>
      <c r="R313" s="83" t="n">
        <v>6.260873</v>
      </c>
      <c r="S313" s="83" t="n">
        <v>6.311261</v>
      </c>
      <c r="AE313" s="83" t="n">
        <v>0.1977529</v>
      </c>
      <c r="AG313" s="83" t="n">
        <v>0.03304794</v>
      </c>
      <c r="AQ313" s="83" t="n">
        <v>3.957046</v>
      </c>
      <c r="AS313" s="83" t="n">
        <v>1.021998</v>
      </c>
      <c r="AZ313" s="83" t="n">
        <v>6.64643</v>
      </c>
      <c r="BB313" s="83" t="n">
        <v>8.444811</v>
      </c>
      <c r="BC313" s="83" t="n">
        <v>0.5915419</v>
      </c>
    </row>
    <row r="314">
      <c r="A314" s="83" t="inlineStr">
        <is>
          <t>1977-05</t>
        </is>
      </c>
      <c r="B314" s="22" t="n">
        <v>28246</v>
      </c>
      <c r="C314" s="22" t="n"/>
      <c r="D314" s="22" t="n"/>
      <c r="E314" s="22" t="n">
        <v>27760</v>
      </c>
      <c r="F314" s="83" t="inlineStr">
        <is>
          <t>1976-01</t>
        </is>
      </c>
      <c r="G314" s="83" t="n">
        <v>1.784747</v>
      </c>
      <c r="J314" s="83" t="n">
        <v>4.663979</v>
      </c>
      <c r="K314" s="83" t="n">
        <v>14.57651</v>
      </c>
      <c r="R314" s="83" t="n">
        <v>6.355097</v>
      </c>
      <c r="S314" s="83" t="n">
        <v>6.395197</v>
      </c>
      <c r="AE314" s="83" t="n">
        <v>0.1996406</v>
      </c>
      <c r="AG314" s="83" t="n">
        <v>0.03393688</v>
      </c>
      <c r="AQ314" s="83" t="n">
        <v>4.007399</v>
      </c>
      <c r="AS314" s="83" t="n">
        <v>1.046865</v>
      </c>
      <c r="AZ314" s="83" t="n">
        <v>6.703125</v>
      </c>
      <c r="BB314" s="83" t="n">
        <v>8.531237000000001</v>
      </c>
      <c r="BC314" s="83" t="n">
        <v>0.5968756</v>
      </c>
    </row>
    <row r="315">
      <c r="A315" s="83" t="inlineStr">
        <is>
          <t>1977-06</t>
        </is>
      </c>
      <c r="B315" s="22" t="n">
        <v>28277</v>
      </c>
      <c r="C315" s="22" t="n"/>
      <c r="D315" s="22" t="n"/>
      <c r="E315" s="22" t="n">
        <v>27791</v>
      </c>
      <c r="F315" s="83" t="inlineStr">
        <is>
          <t>1976-02</t>
        </is>
      </c>
      <c r="G315" s="83" t="n">
        <v>1.793152</v>
      </c>
      <c r="J315" s="83" t="n">
        <v>4.747931</v>
      </c>
      <c r="K315" s="83" t="n">
        <v>14.66614</v>
      </c>
      <c r="R315" s="83" t="n">
        <v>6.540217</v>
      </c>
      <c r="S315" s="83" t="n">
        <v>6.463573</v>
      </c>
      <c r="AE315" s="83" t="n">
        <v>0.203025</v>
      </c>
      <c r="AG315" s="83" t="n">
        <v>0.03481824</v>
      </c>
      <c r="AQ315" s="83" t="n">
        <v>4.07398</v>
      </c>
      <c r="AS315" s="83" t="n">
        <v>1.063436</v>
      </c>
      <c r="AZ315" s="83" t="n">
        <v>6.7613</v>
      </c>
      <c r="BB315" s="83" t="n">
        <v>8.645085999999999</v>
      </c>
      <c r="BC315" s="83" t="n">
        <v>0.6010377</v>
      </c>
    </row>
    <row r="316">
      <c r="A316" s="83" t="inlineStr">
        <is>
          <t>1977-07</t>
        </is>
      </c>
      <c r="B316" s="22" t="n">
        <v>28307</v>
      </c>
      <c r="C316" s="22" t="n"/>
      <c r="D316" s="22" t="n"/>
      <c r="E316" s="22" t="n">
        <v>27820</v>
      </c>
      <c r="F316" s="83" t="inlineStr">
        <is>
          <t>1976-03</t>
        </is>
      </c>
      <c r="G316" s="83" t="n">
        <v>1.80436</v>
      </c>
      <c r="J316" s="83" t="n">
        <v>4.860523</v>
      </c>
      <c r="K316" s="83" t="n">
        <v>14.76122</v>
      </c>
      <c r="R316" s="83" t="n">
        <v>6.635415</v>
      </c>
      <c r="S316" s="83" t="n">
        <v>6.539021</v>
      </c>
      <c r="AE316" s="83" t="n">
        <v>0.2057937</v>
      </c>
      <c r="AG316" s="83" t="n">
        <v>0.03527416</v>
      </c>
      <c r="AQ316" s="83" t="n">
        <v>4.119127</v>
      </c>
      <c r="AS316" s="83" t="n">
        <v>1.089449</v>
      </c>
      <c r="AZ316" s="83" t="n">
        <v>6.803356</v>
      </c>
      <c r="BB316" s="83" t="n">
        <v>8.725695999999999</v>
      </c>
      <c r="BC316" s="83" t="n">
        <v>0.6047451</v>
      </c>
    </row>
    <row r="317">
      <c r="A317" s="83" t="inlineStr">
        <is>
          <t>1977-08</t>
        </is>
      </c>
      <c r="B317" s="22" t="n">
        <v>28338</v>
      </c>
      <c r="C317" s="22" t="n"/>
      <c r="D317" s="22" t="n"/>
      <c r="E317" s="22" t="n">
        <v>27851</v>
      </c>
      <c r="F317" s="83" t="inlineStr">
        <is>
          <t>1976-04</t>
        </is>
      </c>
      <c r="G317" s="83" t="n">
        <v>1.829576</v>
      </c>
      <c r="J317" s="83" t="n">
        <v>4.971461</v>
      </c>
      <c r="K317" s="83" t="n">
        <v>14.87307</v>
      </c>
      <c r="R317" s="83" t="n">
        <v>6.644436</v>
      </c>
      <c r="S317" s="83" t="n">
        <v>6.622957</v>
      </c>
      <c r="AE317" s="83" t="n">
        <v>0.2086842</v>
      </c>
      <c r="AG317" s="83" t="n">
        <v>0.03558265</v>
      </c>
      <c r="AQ317" s="83" t="n">
        <v>4.178306</v>
      </c>
      <c r="AS317" s="83" t="n">
        <v>1.114598</v>
      </c>
      <c r="AZ317" s="83" t="n">
        <v>6.850328</v>
      </c>
      <c r="BB317" s="83" t="n">
        <v>8.815445</v>
      </c>
      <c r="BC317" s="83" t="n">
        <v>0.6095018</v>
      </c>
    </row>
    <row r="318">
      <c r="A318" s="83" t="inlineStr">
        <is>
          <t>1977-09</t>
        </is>
      </c>
      <c r="B318" s="22" t="n">
        <v>28369</v>
      </c>
      <c r="C318" s="22" t="n"/>
      <c r="D318" s="22" t="n"/>
      <c r="E318" s="22" t="n">
        <v>27881</v>
      </c>
      <c r="F318" s="83" t="inlineStr">
        <is>
          <t>1976-05</t>
        </is>
      </c>
      <c r="G318" s="83" t="n">
        <v>1.85199</v>
      </c>
      <c r="J318" s="83" t="n">
        <v>5.061306</v>
      </c>
      <c r="K318" s="83" t="n">
        <v>14.97462</v>
      </c>
      <c r="R318" s="83" t="n">
        <v>6.719182</v>
      </c>
      <c r="S318" s="83" t="n">
        <v>6.69369</v>
      </c>
      <c r="AE318" s="83" t="n">
        <v>0.2126274</v>
      </c>
      <c r="AG318" s="83" t="n">
        <v>0.03660999</v>
      </c>
      <c r="AQ318" s="83" t="n">
        <v>4.240266</v>
      </c>
      <c r="AS318" s="83" t="n">
        <v>1.139137</v>
      </c>
      <c r="AZ318" s="83" t="n">
        <v>6.907081</v>
      </c>
      <c r="BB318" s="83" t="n">
        <v>8.90935</v>
      </c>
      <c r="BC318" s="83" t="n">
        <v>0.6139087</v>
      </c>
    </row>
    <row r="319">
      <c r="A319" s="83" t="inlineStr">
        <is>
          <t>1977-10</t>
        </is>
      </c>
      <c r="B319" s="22" t="n">
        <v>28399</v>
      </c>
      <c r="C319" s="22" t="n"/>
      <c r="D319" s="22" t="n"/>
      <c r="E319" s="22" t="n">
        <v>27912</v>
      </c>
      <c r="F319" s="83" t="inlineStr">
        <is>
          <t>1976-06</t>
        </is>
      </c>
      <c r="G319" s="83" t="n">
        <v>1.868801</v>
      </c>
      <c r="J319" s="83" t="n">
        <v>5.120446</v>
      </c>
      <c r="K319" s="83" t="n">
        <v>15.0561</v>
      </c>
      <c r="R319" s="83" t="n">
        <v>6.767349</v>
      </c>
      <c r="S319" s="83" t="n">
        <v>6.775269</v>
      </c>
      <c r="AE319" s="83" t="n">
        <v>0.2164844</v>
      </c>
      <c r="AG319" s="83" t="n">
        <v>0.03798544</v>
      </c>
      <c r="AQ319" s="83" t="n">
        <v>4.297476</v>
      </c>
      <c r="AS319" s="83" t="n">
        <v>1.165482</v>
      </c>
      <c r="AZ319" s="83" t="n">
        <v>6.953247</v>
      </c>
      <c r="BB319" s="83" t="n">
        <v>8.955056000000001</v>
      </c>
      <c r="BC319" s="83" t="n">
        <v>0.6198371</v>
      </c>
    </row>
    <row r="320">
      <c r="A320" s="83" t="inlineStr">
        <is>
          <t>1977-11</t>
        </is>
      </c>
      <c r="B320" s="22" t="n">
        <v>28430</v>
      </c>
      <c r="C320" s="22" t="n"/>
      <c r="D320" s="22" t="n"/>
      <c r="E320" s="22" t="n">
        <v>27942</v>
      </c>
      <c r="F320" s="83" t="inlineStr">
        <is>
          <t>1976-07</t>
        </is>
      </c>
      <c r="G320" s="83" t="n">
        <v>1.888414</v>
      </c>
      <c r="J320" s="83" t="n">
        <v>5.185944</v>
      </c>
      <c r="K320" s="83" t="n">
        <v>15.14628</v>
      </c>
      <c r="R320" s="83" t="n">
        <v>6.813318</v>
      </c>
      <c r="S320" s="83" t="n">
        <v>6.856847</v>
      </c>
      <c r="AE320" s="83" t="n">
        <v>0.2201387</v>
      </c>
      <c r="AG320" s="83" t="n">
        <v>0.03954473</v>
      </c>
      <c r="AQ320" s="83" t="n">
        <v>4.359907</v>
      </c>
      <c r="AS320" s="83" t="n">
        <v>1.185736</v>
      </c>
      <c r="AZ320" s="83" t="n">
        <v>6.987827</v>
      </c>
      <c r="BB320" s="83" t="n">
        <v>9.027355</v>
      </c>
      <c r="BC320" s="83" t="n">
        <v>0.6254507</v>
      </c>
    </row>
    <row r="321">
      <c r="A321" s="83" t="inlineStr">
        <is>
          <t>1977-12</t>
        </is>
      </c>
      <c r="B321" s="22" t="n">
        <v>28460</v>
      </c>
      <c r="C321" s="22" t="n"/>
      <c r="D321" s="22" t="n"/>
      <c r="E321" s="22" t="n">
        <v>27973</v>
      </c>
      <c r="F321" s="83" t="inlineStr">
        <is>
          <t>1976-08</t>
        </is>
      </c>
      <c r="G321" s="83" t="n">
        <v>2.036909</v>
      </c>
      <c r="J321" s="83" t="n">
        <v>5.287007</v>
      </c>
      <c r="K321" s="83" t="n">
        <v>15.24286</v>
      </c>
      <c r="R321" s="83" t="n">
        <v>6.856611</v>
      </c>
      <c r="S321" s="83" t="n">
        <v>6.925222</v>
      </c>
      <c r="AE321" s="83" t="n">
        <v>0.2243882</v>
      </c>
      <c r="AG321" s="83" t="n">
        <v>0.04079017</v>
      </c>
      <c r="AQ321" s="83" t="n">
        <v>4.404839</v>
      </c>
      <c r="AS321" s="83" t="n">
        <v>1.202319</v>
      </c>
      <c r="AZ321" s="83" t="n">
        <v>7.028236</v>
      </c>
      <c r="BB321" s="83" t="n">
        <v>9.130402</v>
      </c>
      <c r="BC321" s="83" t="n">
        <v>0.6289657</v>
      </c>
    </row>
    <row r="322">
      <c r="A322" s="83" t="inlineStr">
        <is>
          <t>1978-01</t>
        </is>
      </c>
      <c r="B322" s="22" t="n">
        <v>28491</v>
      </c>
      <c r="C322" s="22" t="n"/>
      <c r="D322" s="22" t="n"/>
      <c r="E322" s="22" t="n">
        <v>28004</v>
      </c>
      <c r="F322" s="83" t="inlineStr">
        <is>
          <t>1976-09</t>
        </is>
      </c>
      <c r="G322" s="83" t="n">
        <v>2.188206</v>
      </c>
      <c r="J322" s="83" t="n">
        <v>5.288041</v>
      </c>
      <c r="K322" s="83" t="n">
        <v>15.31078</v>
      </c>
      <c r="R322" s="83" t="n">
        <v>6.854707</v>
      </c>
      <c r="S322" s="83" t="n">
        <v>7.001143</v>
      </c>
      <c r="AE322" s="83" t="n">
        <v>0.2290839</v>
      </c>
      <c r="AG322" s="83" t="n">
        <v>0.04157753</v>
      </c>
      <c r="AQ322" s="83" t="n">
        <v>4.432706</v>
      </c>
      <c r="AS322" s="83" t="n">
        <v>1.217214</v>
      </c>
      <c r="AZ322" s="83" t="n">
        <v>7.075679</v>
      </c>
      <c r="BB322" s="83" t="n">
        <v>9.230954000000001</v>
      </c>
      <c r="BC322" s="83" t="n">
        <v>0.6349815</v>
      </c>
    </row>
    <row r="323">
      <c r="A323" s="83" t="inlineStr">
        <is>
          <t>1978-02</t>
        </is>
      </c>
      <c r="B323" s="22" t="n">
        <v>28522</v>
      </c>
      <c r="C323" s="22" t="n"/>
      <c r="D323" s="22" t="n"/>
      <c r="E323" s="22" t="n">
        <v>28034</v>
      </c>
      <c r="F323" s="83" t="inlineStr">
        <is>
          <t>1976-10</t>
        </is>
      </c>
      <c r="G323" s="83" t="n">
        <v>2.207819</v>
      </c>
      <c r="J323" s="83" t="n">
        <v>5.396084</v>
      </c>
      <c r="K323" s="83" t="n">
        <v>15.36818</v>
      </c>
      <c r="R323" s="83" t="n">
        <v>6.864598</v>
      </c>
      <c r="S323" s="83" t="n">
        <v>7.075648</v>
      </c>
      <c r="AE323" s="83" t="n">
        <v>0.2337192</v>
      </c>
      <c r="AG323" s="83" t="n">
        <v>0.04239818</v>
      </c>
      <c r="AQ323" s="83" t="n">
        <v>4.486518</v>
      </c>
      <c r="AS323" s="83" t="n">
        <v>1.235544</v>
      </c>
      <c r="AZ323" s="83" t="n">
        <v>7.107671</v>
      </c>
      <c r="BB323" s="83" t="n">
        <v>9.348959000000001</v>
      </c>
      <c r="BC323" s="83" t="n">
        <v>0.6416968</v>
      </c>
    </row>
    <row r="324">
      <c r="A324" s="83" t="inlineStr">
        <is>
          <t>1978-03</t>
        </is>
      </c>
      <c r="B324" s="22" t="n">
        <v>28550</v>
      </c>
      <c r="C324" s="22" t="n"/>
      <c r="D324" s="22" t="n"/>
      <c r="E324" s="22" t="n">
        <v>28065</v>
      </c>
      <c r="F324" s="83" t="inlineStr">
        <is>
          <t>1976-11</t>
        </is>
      </c>
      <c r="G324" s="83" t="n">
        <v>2.227432</v>
      </c>
      <c r="J324" s="83" t="n">
        <v>5.463029</v>
      </c>
      <c r="K324" s="83" t="n">
        <v>15.43532</v>
      </c>
      <c r="R324" s="83" t="n">
        <v>6.90483</v>
      </c>
      <c r="S324" s="83" t="n">
        <v>7.145909</v>
      </c>
      <c r="AE324" s="83" t="n">
        <v>0.2374978</v>
      </c>
      <c r="AG324" s="83" t="n">
        <v>0.04309634</v>
      </c>
      <c r="AQ324" s="83" t="n">
        <v>4.555447</v>
      </c>
      <c r="AS324" s="83" t="n">
        <v>1.256788</v>
      </c>
      <c r="AZ324" s="83" t="n">
        <v>7.11022</v>
      </c>
      <c r="BB324" s="83" t="n">
        <v>9.458653</v>
      </c>
      <c r="BC324" s="83" t="n">
        <v>0.6462961</v>
      </c>
    </row>
    <row r="325">
      <c r="A325" s="83" t="inlineStr">
        <is>
          <t>1978-04</t>
        </is>
      </c>
      <c r="B325" s="22" t="n">
        <v>28581</v>
      </c>
      <c r="C325" s="22" t="n"/>
      <c r="D325" s="22" t="n"/>
      <c r="E325" s="22" t="n">
        <v>28095</v>
      </c>
      <c r="F325" s="83" t="inlineStr">
        <is>
          <t>1976-12</t>
        </is>
      </c>
      <c r="G325" s="83" t="n">
        <v>2.258251</v>
      </c>
      <c r="J325" s="83" t="n">
        <v>5.540468</v>
      </c>
      <c r="K325" s="83" t="n">
        <v>15.56761</v>
      </c>
      <c r="R325" s="83" t="n">
        <v>6.965141</v>
      </c>
      <c r="S325" s="83" t="n">
        <v>7.200609</v>
      </c>
      <c r="AE325" s="83" t="n">
        <v>0.2422626</v>
      </c>
      <c r="AG325" s="83" t="n">
        <v>0.04388583</v>
      </c>
      <c r="AQ325" s="83" t="n">
        <v>4.620019</v>
      </c>
      <c r="AS325" s="83" t="n">
        <v>1.280648</v>
      </c>
      <c r="AZ325" s="83" t="n">
        <v>7.042789</v>
      </c>
      <c r="BB325" s="83" t="n">
        <v>9.573335</v>
      </c>
      <c r="BC325" s="83" t="n">
        <v>0.6488668</v>
      </c>
    </row>
    <row r="326">
      <c r="A326" s="83" t="inlineStr">
        <is>
          <t>1978-05</t>
        </is>
      </c>
      <c r="B326" s="22" t="n">
        <v>28611</v>
      </c>
      <c r="C326" s="22" t="n"/>
      <c r="D326" s="22" t="n"/>
      <c r="E326" s="22" t="n">
        <v>28126</v>
      </c>
      <c r="F326" s="83" t="inlineStr">
        <is>
          <t>1977-01</t>
        </is>
      </c>
      <c r="G326" s="83" t="n">
        <v>2.289071</v>
      </c>
      <c r="J326" s="83" t="n">
        <v>5.612583</v>
      </c>
      <c r="K326" s="83" t="n">
        <v>15.73027</v>
      </c>
      <c r="R326" s="83" t="n">
        <v>7.042852</v>
      </c>
      <c r="S326" s="83" t="n">
        <v>7.262383</v>
      </c>
      <c r="AE326" s="83" t="n">
        <v>0.2458972</v>
      </c>
      <c r="AG326" s="83" t="n">
        <v>0.04504865</v>
      </c>
      <c r="AQ326" s="83" t="n">
        <v>4.692544</v>
      </c>
      <c r="AS326" s="83" t="n">
        <v>1.303677</v>
      </c>
      <c r="AZ326" s="83" t="n">
        <v>7.053965</v>
      </c>
      <c r="BB326" s="83" t="n">
        <v>9.683028999999999</v>
      </c>
      <c r="BC326" s="83" t="n">
        <v>0.6514025</v>
      </c>
    </row>
    <row r="327">
      <c r="A327" s="83" t="inlineStr">
        <is>
          <t>1978-06</t>
        </is>
      </c>
      <c r="B327" s="22" t="n">
        <v>28642</v>
      </c>
      <c r="C327" s="22" t="n"/>
      <c r="D327" s="22" t="n"/>
      <c r="E327" s="22" t="n">
        <v>28157</v>
      </c>
      <c r="F327" s="83" t="inlineStr">
        <is>
          <t>1977-02</t>
        </is>
      </c>
      <c r="G327" s="83" t="n">
        <v>2.319891</v>
      </c>
      <c r="J327" s="83" t="n">
        <v>5.676633</v>
      </c>
      <c r="K327" s="83" t="n">
        <v>15.83175</v>
      </c>
      <c r="R327" s="83" t="n">
        <v>7.112787</v>
      </c>
      <c r="S327" s="83" t="n">
        <v>7.338303</v>
      </c>
      <c r="AE327" s="83" t="n">
        <v>0.2478398</v>
      </c>
      <c r="AG327" s="83" t="n">
        <v>0.04658079</v>
      </c>
      <c r="AQ327" s="83" t="n">
        <v>4.752344</v>
      </c>
      <c r="AS327" s="83" t="n">
        <v>1.448464</v>
      </c>
      <c r="AZ327" s="83" t="n">
        <v>7.143676</v>
      </c>
      <c r="BB327" s="83" t="n">
        <v>9.786075</v>
      </c>
      <c r="BC327" s="83" t="n">
        <v>0.653571</v>
      </c>
    </row>
    <row r="328">
      <c r="A328" s="83" t="inlineStr">
        <is>
          <t>1978-07</t>
        </is>
      </c>
      <c r="B328" s="22" t="n">
        <v>28672</v>
      </c>
      <c r="C328" s="22" t="n"/>
      <c r="D328" s="22" t="n"/>
      <c r="E328" s="22" t="n">
        <v>28185</v>
      </c>
      <c r="F328" s="83" t="inlineStr">
        <is>
          <t>1977-03</t>
        </is>
      </c>
      <c r="G328" s="83" t="n">
        <v>2.345107</v>
      </c>
      <c r="J328" s="83" t="n">
        <v>5.755933</v>
      </c>
      <c r="K328" s="83" t="n">
        <v>15.91362</v>
      </c>
      <c r="R328" s="83" t="n">
        <v>7.16076</v>
      </c>
      <c r="S328" s="83" t="n">
        <v>7.418938</v>
      </c>
      <c r="AE328" s="83" t="n">
        <v>0.2523594</v>
      </c>
      <c r="AG328" s="83" t="n">
        <v>0.04839224</v>
      </c>
      <c r="AQ328" s="83" t="n">
        <v>4.862486</v>
      </c>
      <c r="AS328" s="83" t="n">
        <v>1.467177</v>
      </c>
      <c r="AZ328" s="83" t="n">
        <v>7.180856</v>
      </c>
      <c r="BB328" s="83" t="n">
        <v>9.876657</v>
      </c>
      <c r="BC328" s="83" t="n">
        <v>0.6576982</v>
      </c>
      <c r="BD328" s="83" t="n">
        <v>1.5</v>
      </c>
    </row>
    <row r="329">
      <c r="A329" s="83" t="inlineStr">
        <is>
          <t>1978-08</t>
        </is>
      </c>
      <c r="B329" s="22" t="n">
        <v>28703</v>
      </c>
      <c r="C329" s="22" t="n"/>
      <c r="D329" s="22" t="n"/>
      <c r="E329" s="22" t="n">
        <v>28216</v>
      </c>
      <c r="F329" s="83" t="inlineStr">
        <is>
          <t>1977-04</t>
        </is>
      </c>
      <c r="G329" s="83" t="n">
        <v>2.359116</v>
      </c>
      <c r="J329" s="83" t="n">
        <v>5.828823</v>
      </c>
      <c r="K329" s="83" t="n">
        <v>16.02579</v>
      </c>
      <c r="R329" s="83" t="n">
        <v>7.227644</v>
      </c>
      <c r="S329" s="83" t="n">
        <v>7.502403</v>
      </c>
      <c r="AE329" s="83" t="n">
        <v>0.2569612</v>
      </c>
      <c r="AG329" s="83" t="n">
        <v>0.04997462</v>
      </c>
      <c r="AQ329" s="83" t="n">
        <v>4.946805</v>
      </c>
      <c r="AS329" s="83" t="n">
        <v>1.491002</v>
      </c>
      <c r="AZ329" s="83" t="n">
        <v>7.216521</v>
      </c>
      <c r="BB329" s="83" t="n">
        <v>9.968899</v>
      </c>
      <c r="BC329" s="83" t="n">
        <v>0.6643435</v>
      </c>
      <c r="BD329" s="83" t="n">
        <v>1.027579</v>
      </c>
    </row>
    <row r="330">
      <c r="A330" s="83" t="inlineStr">
        <is>
          <t>1978-09</t>
        </is>
      </c>
      <c r="B330" s="22" t="n">
        <v>28734</v>
      </c>
      <c r="C330" s="22" t="n"/>
      <c r="D330" s="22" t="n"/>
      <c r="E330" s="22" t="n">
        <v>28246</v>
      </c>
      <c r="F330" s="83" t="inlineStr">
        <is>
          <t>1977-05</t>
        </is>
      </c>
      <c r="G330" s="83" t="n">
        <v>2.375927</v>
      </c>
      <c r="J330" s="83" t="n">
        <v>5.965763</v>
      </c>
      <c r="K330" s="83" t="n">
        <v>16.17748</v>
      </c>
      <c r="R330" s="83" t="n">
        <v>7.321764</v>
      </c>
      <c r="S330" s="83" t="n">
        <v>7.584453</v>
      </c>
      <c r="AE330" s="83" t="n">
        <v>0.2600694</v>
      </c>
      <c r="AG330" s="83" t="n">
        <v>0.05170248</v>
      </c>
      <c r="AQ330" s="83" t="n">
        <v>4.961606</v>
      </c>
      <c r="AS330" s="83" t="n">
        <v>1.514839</v>
      </c>
      <c r="AZ330" s="83" t="n">
        <v>7.241634</v>
      </c>
      <c r="BB330" s="83" t="n">
        <v>10.04702</v>
      </c>
      <c r="BC330" s="83" t="n">
        <v>0.6733846999999999</v>
      </c>
      <c r="BD330" s="83" t="n">
        <v>1.060704</v>
      </c>
    </row>
    <row r="331">
      <c r="A331" s="83" t="inlineStr">
        <is>
          <t>1978-10</t>
        </is>
      </c>
      <c r="B331" s="22" t="n">
        <v>28764</v>
      </c>
      <c r="C331" s="22" t="n"/>
      <c r="D331" s="22" t="n"/>
      <c r="E331" s="22" t="n">
        <v>28277</v>
      </c>
      <c r="F331" s="83" t="inlineStr">
        <is>
          <t>1977-06</t>
        </is>
      </c>
      <c r="G331" s="83" t="n">
        <v>2.392738</v>
      </c>
      <c r="J331" s="83" t="n">
        <v>5.961576</v>
      </c>
      <c r="K331" s="83" t="n">
        <v>16.36149</v>
      </c>
      <c r="R331" s="83" t="n">
        <v>7.369443</v>
      </c>
      <c r="S331" s="83" t="n">
        <v>7.657072</v>
      </c>
      <c r="AE331" s="83" t="n">
        <v>0.2630472</v>
      </c>
      <c r="AG331" s="83" t="n">
        <v>0.05294431</v>
      </c>
      <c r="AQ331" s="83" t="n">
        <v>5.030513</v>
      </c>
      <c r="AS331" s="83" t="n">
        <v>1.535276</v>
      </c>
      <c r="AZ331" s="83" t="n">
        <v>7.248706</v>
      </c>
      <c r="BB331" s="83" t="n">
        <v>10.12014</v>
      </c>
      <c r="BC331" s="83" t="n">
        <v>0.6837723999999999</v>
      </c>
      <c r="BD331" s="83" t="n">
        <v>1.06745</v>
      </c>
    </row>
    <row r="332">
      <c r="A332" s="83" t="inlineStr">
        <is>
          <t>1978-11</t>
        </is>
      </c>
      <c r="B332" s="22" t="n">
        <v>28795</v>
      </c>
      <c r="C332" s="22" t="n"/>
      <c r="D332" s="22" t="n"/>
      <c r="E332" s="22" t="n">
        <v>28307</v>
      </c>
      <c r="F332" s="83" t="inlineStr">
        <is>
          <t>1977-07</t>
        </is>
      </c>
      <c r="G332" s="83" t="n">
        <v>2.403945</v>
      </c>
      <c r="J332" s="83" t="n">
        <v>6.02971</v>
      </c>
      <c r="K332" s="83" t="n">
        <v>16.52022</v>
      </c>
      <c r="R332" s="83" t="n">
        <v>7.379846</v>
      </c>
      <c r="S332" s="83" t="n">
        <v>7.744309</v>
      </c>
      <c r="AE332" s="83" t="n">
        <v>0.2662847</v>
      </c>
      <c r="AG332" s="83" t="n">
        <v>0.0536682</v>
      </c>
      <c r="AQ332" s="83" t="n">
        <v>5.111448</v>
      </c>
      <c r="AS332" s="83" t="n">
        <v>1.563287</v>
      </c>
      <c r="AZ332" s="83" t="n">
        <v>7.294525</v>
      </c>
      <c r="BB332" s="83" t="n">
        <v>10.19411</v>
      </c>
      <c r="BC332" s="83" t="n">
        <v>0.6873050000000001</v>
      </c>
      <c r="BD332" s="83" t="n">
        <v>1.076854</v>
      </c>
    </row>
    <row r="333">
      <c r="A333" s="83" t="inlineStr">
        <is>
          <t>1978-12</t>
        </is>
      </c>
      <c r="B333" s="22" t="n">
        <v>28825</v>
      </c>
      <c r="C333" s="22" t="n"/>
      <c r="D333" s="22" t="n"/>
      <c r="E333" s="22" t="n">
        <v>28338</v>
      </c>
      <c r="F333" s="83" t="inlineStr">
        <is>
          <t>1977-08</t>
        </is>
      </c>
      <c r="G333" s="83" t="n">
        <v>2.41235</v>
      </c>
      <c r="J333" s="83" t="n">
        <v>6.113301</v>
      </c>
      <c r="K333" s="83" t="n">
        <v>16.63925</v>
      </c>
      <c r="R333" s="83" t="n">
        <v>7.426987</v>
      </c>
      <c r="S333" s="83" t="n">
        <v>7.83862</v>
      </c>
      <c r="AE333" s="83" t="n">
        <v>0.2703209</v>
      </c>
      <c r="AG333" s="83" t="n">
        <v>0.0545656</v>
      </c>
      <c r="AQ333" s="83" t="n">
        <v>5.187503</v>
      </c>
      <c r="AS333" s="83" t="n">
        <v>1.591933</v>
      </c>
      <c r="AZ333" s="83" t="n">
        <v>7.348556</v>
      </c>
      <c r="BB333" s="83" t="n">
        <v>10.2797</v>
      </c>
      <c r="BC333" s="83" t="n">
        <v>0.6887215</v>
      </c>
      <c r="BD333" s="83" t="n">
        <v>1.103616</v>
      </c>
    </row>
    <row r="334">
      <c r="A334" s="83" t="inlineStr">
        <is>
          <t>1979-01</t>
        </is>
      </c>
      <c r="B334" s="22" t="n">
        <v>28856</v>
      </c>
      <c r="C334" s="22" t="n"/>
      <c r="D334" s="22" t="n"/>
      <c r="E334" s="22" t="n">
        <v>28369</v>
      </c>
      <c r="F334" s="83" t="inlineStr">
        <is>
          <t>1977-09</t>
        </is>
      </c>
      <c r="G334" s="83" t="n">
        <v>2.417954</v>
      </c>
      <c r="J334" s="83" t="n">
        <v>6.209247</v>
      </c>
      <c r="K334" s="83" t="n">
        <v>16.76123</v>
      </c>
      <c r="R334" s="83" t="n">
        <v>7.503331</v>
      </c>
      <c r="S334" s="83" t="n">
        <v>7.918313</v>
      </c>
      <c r="AE334" s="83" t="n">
        <v>0.2747163</v>
      </c>
      <c r="AG334" s="83" t="n">
        <v>0.05596242</v>
      </c>
      <c r="AQ334" s="83" t="n">
        <v>5.262348</v>
      </c>
      <c r="AS334" s="83" t="n">
        <v>1.611849</v>
      </c>
      <c r="AZ334" s="83" t="n">
        <v>7.424395</v>
      </c>
      <c r="BB334" s="83" t="n">
        <v>10.35615</v>
      </c>
      <c r="BC334" s="83" t="n">
        <v>0.6940553</v>
      </c>
      <c r="BD334" s="83" t="n">
        <v>1.120016</v>
      </c>
    </row>
    <row r="335">
      <c r="A335" s="83" t="inlineStr">
        <is>
          <t>1979-02</t>
        </is>
      </c>
      <c r="B335" s="22" t="n">
        <v>28887</v>
      </c>
      <c r="C335" s="22" t="n"/>
      <c r="D335" s="22" t="n"/>
      <c r="E335" s="22" t="n">
        <v>28399</v>
      </c>
      <c r="F335" s="83" t="inlineStr">
        <is>
          <t>1977-10</t>
        </is>
      </c>
      <c r="G335" s="83" t="n">
        <v>2.426359</v>
      </c>
      <c r="J335" s="83" t="n">
        <v>6.279346</v>
      </c>
      <c r="K335" s="83" t="n">
        <v>16.88542</v>
      </c>
      <c r="R335" s="83" t="n">
        <v>7.589255</v>
      </c>
      <c r="S335" s="83" t="n">
        <v>7.988574</v>
      </c>
      <c r="AE335" s="83" t="n">
        <v>0.2785078</v>
      </c>
      <c r="AG335" s="83" t="n">
        <v>0.05798067</v>
      </c>
      <c r="AQ335" s="83" t="n">
        <v>5.329422</v>
      </c>
      <c r="AS335" s="83" t="n">
        <v>1.637645</v>
      </c>
      <c r="AZ335" s="83" t="n">
        <v>7.552206</v>
      </c>
      <c r="BB335" s="83" t="n">
        <v>10.42097</v>
      </c>
      <c r="BC335" s="83" t="n">
        <v>0.6979725</v>
      </c>
      <c r="BD335" s="83" t="n">
        <v>1.135453</v>
      </c>
    </row>
    <row r="336">
      <c r="A336" s="83" t="inlineStr">
        <is>
          <t>1979-03</t>
        </is>
      </c>
      <c r="B336" s="22" t="n">
        <v>28915</v>
      </c>
      <c r="C336" s="22" t="n"/>
      <c r="D336" s="22" t="n"/>
      <c r="E336" s="22" t="n">
        <v>28430</v>
      </c>
      <c r="F336" s="83" t="inlineStr">
        <is>
          <t>1977-11</t>
        </is>
      </c>
      <c r="G336" s="83" t="n">
        <v>2.44317</v>
      </c>
      <c r="J336" s="83" t="n">
        <v>6.298679</v>
      </c>
      <c r="K336" s="83" t="n">
        <v>16.96905</v>
      </c>
      <c r="R336" s="83" t="n">
        <v>7.645595</v>
      </c>
      <c r="S336" s="83" t="n">
        <v>8.053177</v>
      </c>
      <c r="AE336" s="83" t="n">
        <v>0.2827985</v>
      </c>
      <c r="AG336" s="83" t="n">
        <v>0.0600231</v>
      </c>
      <c r="AQ336" s="83" t="n">
        <v>5.379885</v>
      </c>
      <c r="AS336" s="83" t="n">
        <v>1.664218</v>
      </c>
      <c r="AZ336" s="83" t="n">
        <v>7.661088</v>
      </c>
      <c r="BB336" s="83" t="n">
        <v>10.49078</v>
      </c>
      <c r="BC336" s="83" t="n">
        <v>0.7026767</v>
      </c>
      <c r="BD336" s="83" t="n">
        <v>1.16004</v>
      </c>
    </row>
    <row r="337">
      <c r="A337" s="83" t="inlineStr">
        <is>
          <t>1979-04</t>
        </is>
      </c>
      <c r="B337" s="22" t="n">
        <v>28946</v>
      </c>
      <c r="C337" s="22" t="n"/>
      <c r="D337" s="22" t="n"/>
      <c r="E337" s="22" t="n">
        <v>28460</v>
      </c>
      <c r="F337" s="83" t="inlineStr">
        <is>
          <t>1977-12</t>
        </is>
      </c>
      <c r="G337" s="83" t="n">
        <v>2.465585</v>
      </c>
      <c r="J337" s="83" t="n">
        <v>6.37281</v>
      </c>
      <c r="K337" s="83" t="n">
        <v>17.03576</v>
      </c>
      <c r="R337" s="83" t="n">
        <v>7.661994</v>
      </c>
      <c r="S337" s="83" t="n">
        <v>8.141829</v>
      </c>
      <c r="AE337" s="83" t="n">
        <v>0.2883429</v>
      </c>
      <c r="AG337" s="83" t="n">
        <v>0.06248561</v>
      </c>
      <c r="AQ337" s="83" t="n">
        <v>5.423347</v>
      </c>
      <c r="AS337" s="83" t="n">
        <v>1.693443</v>
      </c>
      <c r="AZ337" s="83" t="n">
        <v>7.658084</v>
      </c>
      <c r="BB337" s="83" t="n">
        <v>10.55643</v>
      </c>
      <c r="BC337" s="83" t="n">
        <v>0.7104938</v>
      </c>
      <c r="BD337" s="83" t="n">
        <v>1.194637</v>
      </c>
    </row>
    <row r="338">
      <c r="A338" s="83" t="inlineStr">
        <is>
          <t>1979-05</t>
        </is>
      </c>
      <c r="B338" s="22" t="n">
        <v>28976</v>
      </c>
      <c r="C338" s="22" t="n"/>
      <c r="D338" s="22" t="n"/>
      <c r="E338" s="22" t="n">
        <v>28491</v>
      </c>
      <c r="F338" s="83" t="inlineStr">
        <is>
          <t>1978-01</t>
        </is>
      </c>
      <c r="G338" s="83" t="n">
        <v>2.485197</v>
      </c>
      <c r="J338" s="83" t="n">
        <v>6.434586</v>
      </c>
      <c r="K338" s="83" t="n">
        <v>17.13391</v>
      </c>
      <c r="R338" s="83" t="n">
        <v>7.673442</v>
      </c>
      <c r="S338" s="83" t="n">
        <v>8.23944</v>
      </c>
      <c r="AE338" s="83" t="n">
        <v>0.2922073</v>
      </c>
      <c r="AG338" s="83" t="n">
        <v>0.06458746</v>
      </c>
      <c r="AO338" s="83" t="n">
        <v>0.007082072</v>
      </c>
      <c r="AQ338" s="83" t="n">
        <v>5.476979</v>
      </c>
      <c r="AS338" s="83" t="n">
        <v>1.724964</v>
      </c>
      <c r="AZ338" s="83" t="n">
        <v>7.732455</v>
      </c>
      <c r="BB338" s="83" t="n">
        <v>10.63455</v>
      </c>
      <c r="BC338" s="83" t="n">
        <v>0.725988</v>
      </c>
      <c r="BD338" s="83" t="n">
        <v>1.232598</v>
      </c>
    </row>
    <row r="339">
      <c r="A339" s="83" t="inlineStr">
        <is>
          <t>1979-06</t>
        </is>
      </c>
      <c r="B339" s="22" t="n">
        <v>29007</v>
      </c>
      <c r="C339" s="22" t="n"/>
      <c r="D339" s="22" t="n"/>
      <c r="E339" s="22" t="n">
        <v>28522</v>
      </c>
      <c r="F339" s="83" t="inlineStr">
        <is>
          <t>1978-02</t>
        </is>
      </c>
      <c r="G339" s="83" t="n">
        <v>2.507612</v>
      </c>
      <c r="J339" s="83" t="n">
        <v>6.485092</v>
      </c>
      <c r="K339" s="83" t="n">
        <v>17.29186</v>
      </c>
      <c r="R339" s="83" t="n">
        <v>7.675124</v>
      </c>
      <c r="S339" s="83" t="n">
        <v>8.323848</v>
      </c>
      <c r="AE339" s="83" t="n">
        <v>0.2952169</v>
      </c>
      <c r="AG339" s="83" t="n">
        <v>0.06640247000000001</v>
      </c>
      <c r="AO339" s="83" t="n">
        <v>0.004017277</v>
      </c>
      <c r="AQ339" s="83" t="n">
        <v>5.502078</v>
      </c>
      <c r="AS339" s="83" t="n">
        <v>1.741969</v>
      </c>
      <c r="AZ339" s="83" t="n">
        <v>7.882069</v>
      </c>
      <c r="BB339" s="83" t="n">
        <v>10.68274</v>
      </c>
      <c r="BC339" s="83" t="n">
        <v>0.7392436999999999</v>
      </c>
      <c r="BD339" s="83" t="n">
        <v>1.264022</v>
      </c>
    </row>
    <row r="340">
      <c r="A340" s="83" t="inlineStr">
        <is>
          <t>1979-07</t>
        </is>
      </c>
      <c r="B340" s="22" t="n">
        <v>29037</v>
      </c>
      <c r="C340" s="22" t="n"/>
      <c r="D340" s="22" t="n"/>
      <c r="E340" s="22" t="n">
        <v>28550</v>
      </c>
      <c r="F340" s="83" t="inlineStr">
        <is>
          <t>1978-03</t>
        </is>
      </c>
      <c r="G340" s="83" t="n">
        <v>2.538431</v>
      </c>
      <c r="J340" s="83" t="n">
        <v>6.576695</v>
      </c>
      <c r="K340" s="83" t="n">
        <v>17.50772</v>
      </c>
      <c r="R340" s="83" t="n">
        <v>7.680691</v>
      </c>
      <c r="S340" s="83" t="n">
        <v>8.407783999999999</v>
      </c>
      <c r="AE340" s="83" t="n">
        <v>0.2996161</v>
      </c>
      <c r="AG340" s="83" t="n">
        <v>0.06853542999999999</v>
      </c>
      <c r="AO340" s="83" t="n">
        <v>0.004104598</v>
      </c>
      <c r="AQ340" s="83" t="n">
        <v>5.547111</v>
      </c>
      <c r="AS340" s="83" t="n">
        <v>1.762391</v>
      </c>
      <c r="AZ340" s="83" t="n">
        <v>7.962214</v>
      </c>
      <c r="BB340" s="83" t="n">
        <v>10.73842</v>
      </c>
      <c r="BC340" s="83" t="n">
        <v>0.7458366</v>
      </c>
      <c r="BD340" s="83" t="n">
        <v>1.296333</v>
      </c>
    </row>
    <row r="341">
      <c r="A341" s="83" t="inlineStr">
        <is>
          <t>1979-08</t>
        </is>
      </c>
      <c r="B341" s="22" t="n">
        <v>29068</v>
      </c>
      <c r="C341" s="22" t="n"/>
      <c r="D341" s="22" t="n"/>
      <c r="E341" s="22" t="n">
        <v>28581</v>
      </c>
      <c r="F341" s="83" t="inlineStr">
        <is>
          <t>1978-04</t>
        </is>
      </c>
      <c r="G341" s="83" t="n">
        <v>2.569251</v>
      </c>
      <c r="J341" s="83" t="n">
        <v>6.706708</v>
      </c>
      <c r="K341" s="83" t="n">
        <v>17.69762</v>
      </c>
      <c r="R341" s="83" t="n">
        <v>7.713516</v>
      </c>
      <c r="S341" s="83" t="n">
        <v>8.493607000000001</v>
      </c>
      <c r="AE341" s="83" t="n">
        <v>0.3048389</v>
      </c>
      <c r="AG341" s="83" t="n">
        <v>0.07041714</v>
      </c>
      <c r="AO341" s="83" t="n">
        <v>0.004200114</v>
      </c>
      <c r="AQ341" s="83" t="n">
        <v>5.597266</v>
      </c>
      <c r="AS341" s="83" t="n">
        <v>1.784805</v>
      </c>
      <c r="AZ341" s="83" t="n">
        <v>8.081644000000001</v>
      </c>
      <c r="BB341" s="83" t="n">
        <v>10.80657</v>
      </c>
      <c r="BC341" s="83" t="n">
        <v>0.7576758</v>
      </c>
      <c r="BD341" s="83" t="n">
        <v>1.332546</v>
      </c>
    </row>
    <row r="342">
      <c r="A342" s="83" t="inlineStr">
        <is>
          <t>1979-09</t>
        </is>
      </c>
      <c r="B342" s="22" t="n">
        <v>29099</v>
      </c>
      <c r="C342" s="22" t="n"/>
      <c r="D342" s="22" t="n"/>
      <c r="E342" s="22" t="n">
        <v>28611</v>
      </c>
      <c r="F342" s="83" t="inlineStr">
        <is>
          <t>1978-05</t>
        </is>
      </c>
      <c r="G342" s="83" t="n">
        <v>2.600071</v>
      </c>
      <c r="J342" s="83" t="n">
        <v>6.759799</v>
      </c>
      <c r="K342" s="83" t="n">
        <v>17.8592</v>
      </c>
      <c r="R342" s="83" t="n">
        <v>7.755785</v>
      </c>
      <c r="S342" s="83" t="n">
        <v>8.581787</v>
      </c>
      <c r="AE342" s="83" t="n">
        <v>0.3096677</v>
      </c>
      <c r="AG342" s="83" t="n">
        <v>0.07225739</v>
      </c>
      <c r="AO342" s="83" t="n">
        <v>0.004306524</v>
      </c>
      <c r="AQ342" s="83" t="n">
        <v>5.679105</v>
      </c>
      <c r="AS342" s="83" t="n">
        <v>1.810412</v>
      </c>
      <c r="AZ342" s="83" t="n">
        <v>8.186499</v>
      </c>
      <c r="BB342" s="83" t="n">
        <v>10.8905</v>
      </c>
      <c r="BC342" s="83" t="n">
        <v>0.7710365</v>
      </c>
      <c r="BD342" s="83" t="n">
        <v>1.377003</v>
      </c>
    </row>
    <row r="343">
      <c r="A343" s="83" t="inlineStr">
        <is>
          <t>1979-10</t>
        </is>
      </c>
      <c r="B343" s="22" t="n">
        <v>29129</v>
      </c>
      <c r="C343" s="22" t="n"/>
      <c r="D343" s="22" t="n"/>
      <c r="E343" s="22" t="n">
        <v>28642</v>
      </c>
      <c r="F343" s="83" t="inlineStr">
        <is>
          <t>1978-06</t>
        </is>
      </c>
      <c r="G343" s="83" t="n">
        <v>2.625287</v>
      </c>
      <c r="J343" s="83" t="n">
        <v>6.840133</v>
      </c>
      <c r="K343" s="83" t="n">
        <v>18.00848</v>
      </c>
      <c r="R343" s="83" t="n">
        <v>7.839728</v>
      </c>
      <c r="S343" s="83" t="n">
        <v>8.685529000000001</v>
      </c>
      <c r="AE343" s="83" t="n">
        <v>0.3142943</v>
      </c>
      <c r="AG343" s="83" t="n">
        <v>0.07509231</v>
      </c>
      <c r="AO343" s="83" t="n">
        <v>0.004418895</v>
      </c>
      <c r="AQ343" s="83" t="n">
        <v>5.729936</v>
      </c>
      <c r="AS343" s="83" t="n">
        <v>1.841094</v>
      </c>
      <c r="AZ343" s="83" t="n">
        <v>8.304358000000001</v>
      </c>
      <c r="BB343" s="83" t="n">
        <v>10.95698</v>
      </c>
      <c r="BC343" s="83" t="n">
        <v>0.7820538</v>
      </c>
      <c r="BD343" s="83" t="n">
        <v>1.429871</v>
      </c>
    </row>
    <row r="344">
      <c r="A344" s="83" t="inlineStr">
        <is>
          <t>1979-11</t>
        </is>
      </c>
      <c r="B344" s="22" t="n">
        <v>29160</v>
      </c>
      <c r="C344" s="22" t="n"/>
      <c r="D344" s="22" t="n"/>
      <c r="E344" s="22" t="n">
        <v>28672</v>
      </c>
      <c r="F344" s="83" t="inlineStr">
        <is>
          <t>1978-07</t>
        </is>
      </c>
      <c r="G344" s="83" t="n">
        <v>2.647702</v>
      </c>
      <c r="J344" s="83" t="n">
        <v>6.907957</v>
      </c>
      <c r="K344" s="83" t="n">
        <v>18.04591</v>
      </c>
      <c r="R344" s="83" t="n">
        <v>7.917566</v>
      </c>
      <c r="S344" s="83" t="n">
        <v>8.789742</v>
      </c>
      <c r="AE344" s="83" t="n">
        <v>0.3184593</v>
      </c>
      <c r="AG344" s="83" t="n">
        <v>0.07772059000000001</v>
      </c>
      <c r="AO344" s="83" t="n">
        <v>0.004529092</v>
      </c>
      <c r="AQ344" s="83" t="n">
        <v>5.732326</v>
      </c>
      <c r="AS344" s="83" t="n">
        <v>1.875651</v>
      </c>
      <c r="AZ344" s="83" t="n">
        <v>8.445105</v>
      </c>
      <c r="BB344" s="83" t="n">
        <v>11.00352</v>
      </c>
      <c r="BC344" s="83" t="n">
        <v>0.7945401</v>
      </c>
      <c r="BD344" s="83" t="n">
        <v>1.469658</v>
      </c>
    </row>
    <row r="345">
      <c r="A345" s="83" t="inlineStr">
        <is>
          <t>1979-12</t>
        </is>
      </c>
      <c r="B345" s="22" t="n">
        <v>29190</v>
      </c>
      <c r="C345" s="22" t="n"/>
      <c r="D345" s="22" t="n"/>
      <c r="E345" s="22" t="n">
        <v>28703</v>
      </c>
      <c r="F345" s="83" t="inlineStr">
        <is>
          <t>1978-08</t>
        </is>
      </c>
      <c r="G345" s="83" t="n">
        <v>2.675719</v>
      </c>
      <c r="J345" s="83" t="n">
        <v>6.999302</v>
      </c>
      <c r="K345" s="83" t="n">
        <v>18.13406</v>
      </c>
      <c r="R345" s="83" t="n">
        <v>7.95062</v>
      </c>
      <c r="S345" s="83" t="n">
        <v>8.897727</v>
      </c>
      <c r="AE345" s="83" t="n">
        <v>0.3224828</v>
      </c>
      <c r="AG345" s="83" t="n">
        <v>0.07898312</v>
      </c>
      <c r="AO345" s="83" t="n">
        <v>0.00463854</v>
      </c>
      <c r="AQ345" s="83" t="n">
        <v>5.791</v>
      </c>
      <c r="AS345" s="83" t="n">
        <v>1.914446</v>
      </c>
      <c r="AZ345" s="83" t="n">
        <v>8.563223000000001</v>
      </c>
      <c r="BB345" s="83" t="n">
        <v>11.08163</v>
      </c>
      <c r="BC345" s="83" t="n">
        <v>0.8112584</v>
      </c>
      <c r="BD345" s="83" t="n">
        <v>1.511088</v>
      </c>
    </row>
    <row r="346">
      <c r="A346" s="83" t="inlineStr">
        <is>
          <t>1980-01</t>
        </is>
      </c>
      <c r="B346" s="22" t="n">
        <v>29221</v>
      </c>
      <c r="C346" s="22" t="n"/>
      <c r="D346" s="22" t="n"/>
      <c r="E346" s="22" t="n">
        <v>28734</v>
      </c>
      <c r="F346" s="83" t="inlineStr">
        <is>
          <t>1978-09</t>
        </is>
      </c>
      <c r="G346" s="83" t="n">
        <v>2.703737</v>
      </c>
      <c r="J346" s="83" t="n">
        <v>7.138413</v>
      </c>
      <c r="K346" s="83" t="n">
        <v>18.28124</v>
      </c>
      <c r="R346" s="83" t="n">
        <v>7.995248</v>
      </c>
      <c r="S346" s="83" t="n">
        <v>9.012314999999999</v>
      </c>
      <c r="AE346" s="83" t="n">
        <v>0.3282099</v>
      </c>
      <c r="AG346" s="83" t="n">
        <v>0.08160723</v>
      </c>
      <c r="AO346" s="83" t="n">
        <v>0.004762589</v>
      </c>
      <c r="AQ346" s="83" t="n">
        <v>5.845563</v>
      </c>
      <c r="AS346" s="83" t="n">
        <v>1.95249</v>
      </c>
      <c r="AZ346" s="83" t="n">
        <v>8.643022</v>
      </c>
      <c r="BB346" s="83" t="n">
        <v>11.1772</v>
      </c>
      <c r="BC346" s="83" t="n">
        <v>0.8056273</v>
      </c>
      <c r="BD346" s="83" t="n">
        <v>1.567631</v>
      </c>
    </row>
    <row r="347">
      <c r="A347" s="83" t="inlineStr">
        <is>
          <t>1980-02</t>
        </is>
      </c>
      <c r="B347" s="22" t="n">
        <v>29252</v>
      </c>
      <c r="C347" s="22" t="n"/>
      <c r="D347" s="22" t="n"/>
      <c r="E347" s="22" t="n">
        <v>28764</v>
      </c>
      <c r="F347" s="83" t="inlineStr">
        <is>
          <t>1978-10</t>
        </is>
      </c>
      <c r="G347" s="83" t="n">
        <v>2.726152</v>
      </c>
      <c r="J347" s="83" t="n">
        <v>7.218799</v>
      </c>
      <c r="K347" s="83" t="n">
        <v>18.4427</v>
      </c>
      <c r="R347" s="83" t="n">
        <v>8.015281</v>
      </c>
      <c r="S347" s="83" t="n">
        <v>9.1203</v>
      </c>
      <c r="AE347" s="83" t="n">
        <v>0.3342254</v>
      </c>
      <c r="AG347" s="83" t="n">
        <v>0.08558037</v>
      </c>
      <c r="AO347" s="83" t="n">
        <v>0.004890397</v>
      </c>
      <c r="AQ347" s="83" t="n">
        <v>5.904947</v>
      </c>
      <c r="AS347" s="83" t="n">
        <v>1.987836</v>
      </c>
      <c r="AZ347" s="83" t="n">
        <v>8.704250999999999</v>
      </c>
      <c r="BB347" s="83" t="n">
        <v>11.23786</v>
      </c>
      <c r="BC347" s="83" t="n">
        <v>0.8108212</v>
      </c>
      <c r="BD347" s="83" t="n">
        <v>1.639709</v>
      </c>
    </row>
    <row r="348">
      <c r="A348" s="83" t="inlineStr">
        <is>
          <t>1980-03</t>
        </is>
      </c>
      <c r="B348" s="22" t="n">
        <v>29281</v>
      </c>
      <c r="C348" s="22" t="n"/>
      <c r="D348" s="22" t="n"/>
      <c r="E348" s="22" t="n">
        <v>28795</v>
      </c>
      <c r="F348" s="83" t="inlineStr">
        <is>
          <t>1978-11</t>
        </is>
      </c>
      <c r="G348" s="83" t="n">
        <v>2.748566</v>
      </c>
      <c r="J348" s="83" t="n">
        <v>7.419531</v>
      </c>
      <c r="K348" s="83" t="n">
        <v>18.65357</v>
      </c>
      <c r="R348" s="83" t="n">
        <v>8.03145</v>
      </c>
      <c r="S348" s="83" t="n">
        <v>9.227814</v>
      </c>
      <c r="AE348" s="83" t="n">
        <v>0.3398083</v>
      </c>
      <c r="AG348" s="83" t="n">
        <v>0.08947989000000001</v>
      </c>
      <c r="AO348" s="83" t="n">
        <v>0.005003104</v>
      </c>
      <c r="AQ348" s="83" t="n">
        <v>5.995262</v>
      </c>
      <c r="AS348" s="83" t="n">
        <v>2.023226</v>
      </c>
      <c r="AZ348" s="83" t="n">
        <v>8.851471</v>
      </c>
      <c r="BB348" s="83" t="n">
        <v>11.29437</v>
      </c>
      <c r="BC348" s="83" t="n">
        <v>0.8378049</v>
      </c>
      <c r="BD348" s="83" t="n">
        <v>1.694465</v>
      </c>
    </row>
    <row r="349">
      <c r="A349" s="83" t="inlineStr">
        <is>
          <t>1980-04</t>
        </is>
      </c>
      <c r="B349" s="22" t="n">
        <v>29312</v>
      </c>
      <c r="C349" s="22" t="n"/>
      <c r="D349" s="22" t="n"/>
      <c r="E349" s="22" t="n">
        <v>28825</v>
      </c>
      <c r="F349" s="83" t="inlineStr">
        <is>
          <t>1978-12</t>
        </is>
      </c>
      <c r="G349" s="83" t="n">
        <v>2.773783</v>
      </c>
      <c r="J349" s="83" t="n">
        <v>7.50457</v>
      </c>
      <c r="K349" s="83" t="n">
        <v>18.79138</v>
      </c>
      <c r="R349" s="83" t="n">
        <v>8.104241999999999</v>
      </c>
      <c r="S349" s="83" t="n">
        <v>9.304206000000001</v>
      </c>
      <c r="AE349" s="83" t="n">
        <v>0.3479181</v>
      </c>
      <c r="AG349" s="83" t="n">
        <v>0.09329597000000001</v>
      </c>
      <c r="AO349" s="83" t="n">
        <v>0.005137753</v>
      </c>
      <c r="AQ349" s="83" t="n">
        <v>6.054224</v>
      </c>
      <c r="AS349" s="83" t="n">
        <v>2.062169</v>
      </c>
      <c r="AZ349" s="83" t="n">
        <v>8.913691999999999</v>
      </c>
      <c r="BB349" s="83" t="n">
        <v>11.35171</v>
      </c>
      <c r="BC349" s="83" t="n">
        <v>0.8464264</v>
      </c>
      <c r="BD349" s="83" t="n">
        <v>1.71704</v>
      </c>
    </row>
    <row r="350">
      <c r="A350" s="83" t="inlineStr">
        <is>
          <t>1980-05</t>
        </is>
      </c>
      <c r="B350" s="22" t="n">
        <v>29342</v>
      </c>
      <c r="C350" s="22" t="n"/>
      <c r="D350" s="22" t="n"/>
      <c r="E350" s="22" t="n">
        <v>28856</v>
      </c>
      <c r="F350" s="83" t="inlineStr">
        <is>
          <t>1979-01</t>
        </is>
      </c>
      <c r="G350" s="83" t="n">
        <v>2.807404</v>
      </c>
      <c r="J350" s="83" t="n">
        <v>7.633187</v>
      </c>
      <c r="K350" s="83" t="n">
        <v>18.90587</v>
      </c>
      <c r="R350" s="83" t="n">
        <v>8.182373</v>
      </c>
      <c r="S350" s="83" t="n">
        <v>9.371637</v>
      </c>
      <c r="AE350" s="83" t="n">
        <v>0.356795</v>
      </c>
      <c r="AG350" s="83" t="n">
        <v>0.09662783</v>
      </c>
      <c r="AO350" s="83" t="n">
        <v>0.005306436</v>
      </c>
      <c r="AQ350" s="83" t="n">
        <v>6.090045</v>
      </c>
      <c r="AS350" s="83" t="n">
        <v>2.085136</v>
      </c>
      <c r="AZ350" s="83" t="n">
        <v>8.975816999999999</v>
      </c>
      <c r="BB350" s="83" t="n">
        <v>11.39825</v>
      </c>
      <c r="BC350" s="83" t="n">
        <v>0.8500988</v>
      </c>
      <c r="BD350" s="83" t="n">
        <v>1.750994</v>
      </c>
    </row>
    <row r="351">
      <c r="A351" s="83" t="inlineStr">
        <is>
          <t>1980-06</t>
        </is>
      </c>
      <c r="B351" s="22" t="n">
        <v>29373</v>
      </c>
      <c r="C351" s="22" t="n"/>
      <c r="D351" s="22" t="n"/>
      <c r="E351" s="22" t="n">
        <v>28887</v>
      </c>
      <c r="F351" s="83" t="inlineStr">
        <is>
          <t>1979-02</t>
        </is>
      </c>
      <c r="G351" s="83" t="n">
        <v>2.849431</v>
      </c>
      <c r="J351" s="83" t="n">
        <v>7.752551</v>
      </c>
      <c r="K351" s="83" t="n">
        <v>19.01518</v>
      </c>
      <c r="R351" s="83" t="n">
        <v>8.260353</v>
      </c>
      <c r="S351" s="83" t="n">
        <v>9.460761</v>
      </c>
      <c r="AE351" s="83" t="n">
        <v>0.3608015</v>
      </c>
      <c r="AG351" s="83" t="n">
        <v>0.1000326</v>
      </c>
      <c r="AO351" s="83" t="n">
        <v>0.005460929</v>
      </c>
      <c r="AQ351" s="83" t="n">
        <v>6.15482</v>
      </c>
      <c r="AS351" s="83" t="n">
        <v>2.11591</v>
      </c>
      <c r="AZ351" s="83" t="n">
        <v>9.137976</v>
      </c>
      <c r="BB351" s="83" t="n">
        <v>11.44977</v>
      </c>
      <c r="BC351" s="83" t="n">
        <v>0.8580382</v>
      </c>
      <c r="BD351" s="83" t="n">
        <v>1.797859</v>
      </c>
    </row>
    <row r="352">
      <c r="A352" s="83" t="inlineStr">
        <is>
          <t>1980-07</t>
        </is>
      </c>
      <c r="B352" s="22" t="n">
        <v>29403</v>
      </c>
      <c r="C352" s="22" t="n"/>
      <c r="D352" s="22" t="n"/>
      <c r="E352" s="22" t="n">
        <v>28915</v>
      </c>
      <c r="F352" s="83" t="inlineStr">
        <is>
          <t>1979-03</t>
        </is>
      </c>
      <c r="G352" s="83" t="n">
        <v>2.885855</v>
      </c>
      <c r="J352" s="83" t="n">
        <v>7.813809</v>
      </c>
      <c r="K352" s="83" t="n">
        <v>19.14382</v>
      </c>
      <c r="R352" s="83" t="n">
        <v>8.367699999999999</v>
      </c>
      <c r="S352" s="83" t="n">
        <v>9.553184999999999</v>
      </c>
      <c r="AE352" s="83" t="n">
        <v>0.3645556</v>
      </c>
      <c r="AG352" s="83" t="n">
        <v>0.105232</v>
      </c>
      <c r="AO352" s="83" t="n">
        <v>0.005611058</v>
      </c>
      <c r="AQ352" s="83" t="n">
        <v>6.218841</v>
      </c>
      <c r="AS352" s="83" t="n">
        <v>2.160283</v>
      </c>
      <c r="AZ352" s="83" t="n">
        <v>9.226723</v>
      </c>
      <c r="BB352" s="83" t="n">
        <v>11.53288</v>
      </c>
      <c r="BC352" s="83" t="n">
        <v>0.8687583</v>
      </c>
      <c r="BD352" s="83" t="n">
        <v>1.857762</v>
      </c>
    </row>
    <row r="353">
      <c r="A353" s="83" t="inlineStr">
        <is>
          <t>1980-08</t>
        </is>
      </c>
      <c r="B353" s="22" t="n">
        <v>29434</v>
      </c>
      <c r="C353" s="22" t="n"/>
      <c r="D353" s="22" t="n"/>
      <c r="E353" s="22" t="n">
        <v>28946</v>
      </c>
      <c r="F353" s="83" t="inlineStr">
        <is>
          <t>1979-04</t>
        </is>
      </c>
      <c r="G353" s="83" t="n">
        <v>2.922278</v>
      </c>
      <c r="J353" s="83" t="n">
        <v>7.940462</v>
      </c>
      <c r="K353" s="83" t="n">
        <v>19.2597</v>
      </c>
      <c r="R353" s="83" t="n">
        <v>8.466001</v>
      </c>
      <c r="S353" s="83" t="n">
        <v>9.641837000000001</v>
      </c>
      <c r="AE353" s="83" t="n">
        <v>0.3693098</v>
      </c>
      <c r="AG353" s="83" t="n">
        <v>0.109893</v>
      </c>
      <c r="AO353" s="83" t="n">
        <v>0.005765336</v>
      </c>
      <c r="AQ353" s="83" t="n">
        <v>6.297297</v>
      </c>
      <c r="AS353" s="83" t="n">
        <v>2.191645</v>
      </c>
      <c r="AZ353" s="83" t="n">
        <v>9.294090000000001</v>
      </c>
      <c r="BB353" s="83" t="n">
        <v>11.65171</v>
      </c>
      <c r="BC353" s="83" t="n">
        <v>0.8764529</v>
      </c>
      <c r="BD353" s="83" t="n">
        <v>1.87284</v>
      </c>
    </row>
    <row r="354">
      <c r="A354" s="83" t="inlineStr">
        <is>
          <t>1980-09</t>
        </is>
      </c>
      <c r="B354" s="22" t="n">
        <v>29465</v>
      </c>
      <c r="C354" s="22" t="n"/>
      <c r="D354" s="22" t="n"/>
      <c r="E354" s="22" t="n">
        <v>28976</v>
      </c>
      <c r="F354" s="83" t="inlineStr">
        <is>
          <t>1979-05</t>
        </is>
      </c>
      <c r="G354" s="83" t="n">
        <v>2.953098</v>
      </c>
      <c r="J354" s="83" t="n">
        <v>8.075386</v>
      </c>
      <c r="K354" s="83" t="n">
        <v>19.36926</v>
      </c>
      <c r="R354" s="83" t="n">
        <v>8.557528</v>
      </c>
      <c r="S354" s="83" t="n">
        <v>9.734734</v>
      </c>
      <c r="AE354" s="83" t="n">
        <v>0.3738114</v>
      </c>
      <c r="AG354" s="83" t="n">
        <v>0.1132163</v>
      </c>
      <c r="AO354" s="83" t="n">
        <v>0.005939282</v>
      </c>
      <c r="AQ354" s="83" t="n">
        <v>6.358631</v>
      </c>
      <c r="AS354" s="83" t="n">
        <v>2.225406</v>
      </c>
      <c r="AZ354" s="83" t="n">
        <v>9.365287</v>
      </c>
      <c r="BB354" s="83" t="n">
        <v>11.71902</v>
      </c>
      <c r="BC354" s="83" t="n">
        <v>0.88413</v>
      </c>
      <c r="BD354" s="83" t="n">
        <v>1.891191</v>
      </c>
    </row>
    <row r="355">
      <c r="A355" s="83" t="inlineStr">
        <is>
          <t>1980-10</t>
        </is>
      </c>
      <c r="B355" s="22" t="n">
        <v>29495</v>
      </c>
      <c r="C355" s="22" t="n"/>
      <c r="D355" s="22" t="n"/>
      <c r="E355" s="22" t="n">
        <v>29007</v>
      </c>
      <c r="F355" s="83" t="inlineStr">
        <is>
          <t>1979-06</t>
        </is>
      </c>
      <c r="G355" s="83" t="n">
        <v>2.97271</v>
      </c>
      <c r="J355" s="83" t="n">
        <v>8.196095</v>
      </c>
      <c r="K355" s="83" t="n">
        <v>19.51944</v>
      </c>
      <c r="R355" s="83" t="n">
        <v>8.617751999999999</v>
      </c>
      <c r="S355" s="83" t="n">
        <v>9.834702</v>
      </c>
      <c r="AE355" s="83" t="n">
        <v>0.381866</v>
      </c>
      <c r="AG355" s="83" t="n">
        <v>0.11773</v>
      </c>
      <c r="AO355" s="83" t="n">
        <v>0.006084756</v>
      </c>
      <c r="AQ355" s="83" t="n">
        <v>6.415992</v>
      </c>
      <c r="AS355" s="83" t="n">
        <v>2.275133</v>
      </c>
      <c r="AZ355" s="83" t="n">
        <v>9.445976</v>
      </c>
      <c r="BB355" s="83" t="n">
        <v>11.82539</v>
      </c>
      <c r="BC355" s="83" t="n">
        <v>0.8908978</v>
      </c>
      <c r="BD355" s="83" t="n">
        <v>1.938749</v>
      </c>
    </row>
    <row r="356">
      <c r="A356" s="83" t="inlineStr">
        <is>
          <t>1980-11</t>
        </is>
      </c>
      <c r="B356" s="22" t="n">
        <v>29526</v>
      </c>
      <c r="C356" s="22" t="n"/>
      <c r="D356" s="22" t="n"/>
      <c r="E356" s="22" t="n">
        <v>29037</v>
      </c>
      <c r="F356" s="83" t="inlineStr">
        <is>
          <t>1979-07</t>
        </is>
      </c>
      <c r="G356" s="83" t="n">
        <v>2.989521</v>
      </c>
      <c r="J356" s="83" t="n">
        <v>8.354436</v>
      </c>
      <c r="K356" s="83" t="n">
        <v>19.72854</v>
      </c>
      <c r="R356" s="83" t="n">
        <v>8.674053000000001</v>
      </c>
      <c r="S356" s="83" t="n">
        <v>9.917223999999999</v>
      </c>
      <c r="AE356" s="83" t="n">
        <v>0.3900744</v>
      </c>
      <c r="AG356" s="83" t="n">
        <v>0.1216666</v>
      </c>
      <c r="AO356" s="83" t="n">
        <v>0.006212723</v>
      </c>
      <c r="AQ356" s="83" t="n">
        <v>6.504589</v>
      </c>
      <c r="AS356" s="83" t="n">
        <v>2.320544</v>
      </c>
      <c r="AZ356" s="83" t="n">
        <v>9.515933</v>
      </c>
      <c r="BB356" s="83" t="n">
        <v>11.92346</v>
      </c>
      <c r="BC356" s="83" t="n">
        <v>0.8980153</v>
      </c>
      <c r="BD356" s="83" t="n">
        <v>1.990531</v>
      </c>
    </row>
    <row r="357">
      <c r="A357" s="83" t="inlineStr">
        <is>
          <t>1980-12</t>
        </is>
      </c>
      <c r="B357" s="22" t="n">
        <v>29556</v>
      </c>
      <c r="C357" s="22" t="n"/>
      <c r="D357" s="22" t="n"/>
      <c r="E357" s="22" t="n">
        <v>29068</v>
      </c>
      <c r="F357" s="83" t="inlineStr">
        <is>
          <t>1979-08</t>
        </is>
      </c>
      <c r="G357" s="83" t="n">
        <v>3.011936</v>
      </c>
      <c r="J357" s="83" t="n">
        <v>8.429135</v>
      </c>
      <c r="K357" s="83" t="n">
        <v>19.90002</v>
      </c>
      <c r="R357" s="83" t="n">
        <v>8.731092</v>
      </c>
      <c r="S357" s="83" t="n">
        <v>10.0021</v>
      </c>
      <c r="AE357" s="83" t="n">
        <v>0.3980472</v>
      </c>
      <c r="AG357" s="83" t="n">
        <v>0.1254235</v>
      </c>
      <c r="AO357" s="83" t="n">
        <v>0.006393537</v>
      </c>
      <c r="AQ357" s="83" t="n">
        <v>6.565951</v>
      </c>
      <c r="AS357" s="83" t="n">
        <v>2.35619</v>
      </c>
      <c r="AZ357" s="83" t="n">
        <v>9.616871</v>
      </c>
      <c r="BB357" s="83" t="n">
        <v>12.02151</v>
      </c>
      <c r="BC357" s="83" t="n">
        <v>0.9114109</v>
      </c>
      <c r="BD357" s="83" t="n">
        <v>2.047494</v>
      </c>
    </row>
    <row r="358">
      <c r="A358" s="83" t="inlineStr">
        <is>
          <t>1981-01</t>
        </is>
      </c>
      <c r="B358" s="22" t="n">
        <v>29587</v>
      </c>
      <c r="C358" s="22" t="n"/>
      <c r="D358" s="22" t="n"/>
      <c r="E358" s="22" t="n">
        <v>29099</v>
      </c>
      <c r="F358" s="83" t="inlineStr">
        <is>
          <t>1979-09</t>
        </is>
      </c>
      <c r="G358" s="83" t="n">
        <v>3.037152</v>
      </c>
      <c r="J358" s="83" t="n">
        <v>8.514329</v>
      </c>
      <c r="K358" s="83" t="n">
        <v>19.95234</v>
      </c>
      <c r="R358" s="83" t="n">
        <v>8.766159999999999</v>
      </c>
      <c r="S358" s="83" t="n">
        <v>10.0818</v>
      </c>
      <c r="AE358" s="83" t="n">
        <v>0.4027366</v>
      </c>
      <c r="AG358" s="83" t="n">
        <v>0.1297499</v>
      </c>
      <c r="AO358" s="83" t="n">
        <v>0.006569705</v>
      </c>
      <c r="AQ358" s="83" t="n">
        <v>6.639487</v>
      </c>
      <c r="AS358" s="83" t="n">
        <v>2.40081</v>
      </c>
      <c r="AZ358" s="83" t="n">
        <v>9.753304</v>
      </c>
      <c r="BB358" s="83" t="n">
        <v>12.08384</v>
      </c>
      <c r="BC358" s="83" t="n">
        <v>0.9244568</v>
      </c>
      <c r="BD358" s="83" t="n">
        <v>2.097986</v>
      </c>
    </row>
    <row r="359">
      <c r="A359" s="83" t="inlineStr">
        <is>
          <t>1981-02</t>
        </is>
      </c>
      <c r="B359" s="22" t="n">
        <v>29618</v>
      </c>
      <c r="C359" s="22" t="n"/>
      <c r="D359" s="22" t="n"/>
      <c r="E359" s="22" t="n">
        <v>29129</v>
      </c>
      <c r="F359" s="83" t="inlineStr">
        <is>
          <t>1979-10</t>
        </is>
      </c>
      <c r="G359" s="83" t="n">
        <v>3.062368</v>
      </c>
      <c r="J359" s="83" t="n">
        <v>8.619942</v>
      </c>
      <c r="K359" s="83" t="n">
        <v>20.06967</v>
      </c>
      <c r="R359" s="83" t="n">
        <v>8.841642</v>
      </c>
      <c r="S359" s="83" t="n">
        <v>10.1596</v>
      </c>
      <c r="AE359" s="83" t="n">
        <v>0.4053748</v>
      </c>
      <c r="AG359" s="83" t="n">
        <v>0.1342344</v>
      </c>
      <c r="AO359" s="83" t="n">
        <v>0.006750683</v>
      </c>
      <c r="AQ359" s="83" t="n">
        <v>6.722725</v>
      </c>
      <c r="AS359" s="83" t="n">
        <v>2.453603</v>
      </c>
      <c r="AZ359" s="83" t="n">
        <v>9.848148</v>
      </c>
      <c r="BB359" s="83" t="n">
        <v>12.1362</v>
      </c>
      <c r="BC359" s="83" t="n">
        <v>0.9387094</v>
      </c>
      <c r="BD359" s="83" t="n">
        <v>2.161611</v>
      </c>
    </row>
    <row r="360">
      <c r="A360" s="83" t="inlineStr">
        <is>
          <t>1981-03</t>
        </is>
      </c>
      <c r="B360" s="22" t="n">
        <v>29646</v>
      </c>
      <c r="C360" s="22" t="n"/>
      <c r="D360" s="22" t="n"/>
      <c r="E360" s="22" t="n">
        <v>29160</v>
      </c>
      <c r="F360" s="83" t="inlineStr">
        <is>
          <t>1979-11</t>
        </is>
      </c>
      <c r="G360" s="83" t="n">
        <v>3.098792</v>
      </c>
      <c r="J360" s="83" t="n">
        <v>8.818192</v>
      </c>
      <c r="K360" s="83" t="n">
        <v>20.24322</v>
      </c>
      <c r="R360" s="83" t="n">
        <v>8.915198</v>
      </c>
      <c r="S360" s="83" t="n">
        <v>10.2624</v>
      </c>
      <c r="AE360" s="83" t="n">
        <v>0.4091777</v>
      </c>
      <c r="AG360" s="83" t="n">
        <v>0.1396661</v>
      </c>
      <c r="AO360" s="83" t="n">
        <v>0.006950789</v>
      </c>
      <c r="AQ360" s="83" t="n">
        <v>6.803395</v>
      </c>
      <c r="AS360" s="83" t="n">
        <v>2.505679</v>
      </c>
      <c r="AZ360" s="83" t="n">
        <v>9.942406</v>
      </c>
      <c r="BB360" s="83" t="n">
        <v>12.1819</v>
      </c>
      <c r="BC360" s="83" t="n">
        <v>0.956407</v>
      </c>
      <c r="BD360" s="83" t="n">
        <v>2.214002</v>
      </c>
    </row>
    <row r="361">
      <c r="A361" s="83" t="inlineStr">
        <is>
          <t>1981-04</t>
        </is>
      </c>
      <c r="B361" s="22" t="n">
        <v>29677</v>
      </c>
      <c r="C361" s="22" t="n"/>
      <c r="D361" s="22" t="n"/>
      <c r="E361" s="22" t="n">
        <v>29190</v>
      </c>
      <c r="F361" s="83" t="inlineStr">
        <is>
          <t>1979-12</t>
        </is>
      </c>
      <c r="G361" s="83" t="n">
        <v>3.138017</v>
      </c>
      <c r="J361" s="83" t="n">
        <v>8.924064</v>
      </c>
      <c r="K361" s="83" t="n">
        <v>20.38059</v>
      </c>
      <c r="R361" s="83" t="n">
        <v>8.936184000000001</v>
      </c>
      <c r="S361" s="83" t="n">
        <v>10.34822</v>
      </c>
      <c r="AE361" s="83" t="n">
        <v>0.412892</v>
      </c>
      <c r="AG361" s="83" t="n">
        <v>0.1454236</v>
      </c>
      <c r="AO361" s="83" t="n">
        <v>0.007128569</v>
      </c>
      <c r="AQ361" s="83" t="n">
        <v>6.850966</v>
      </c>
      <c r="AS361" s="83" t="n">
        <v>2.543941</v>
      </c>
      <c r="AZ361" s="83" t="n">
        <v>9.865951000000001</v>
      </c>
      <c r="BB361" s="83" t="n">
        <v>12.24672</v>
      </c>
      <c r="BC361" s="83" t="n">
        <v>0.9731429</v>
      </c>
      <c r="BD361" s="83" t="n">
        <v>2.275297</v>
      </c>
    </row>
    <row r="362">
      <c r="A362" s="83" t="inlineStr">
        <is>
          <t>1981-05</t>
        </is>
      </c>
      <c r="B362" s="22" t="n">
        <v>29707</v>
      </c>
      <c r="C362" s="22" t="n"/>
      <c r="D362" s="22" t="n"/>
      <c r="E362" s="22" t="n">
        <v>29221</v>
      </c>
      <c r="F362" s="83" t="inlineStr">
        <is>
          <t>1980-01</t>
        </is>
      </c>
      <c r="G362" s="83" t="n">
        <v>3.191251</v>
      </c>
      <c r="J362" s="83" t="n">
        <v>9.002846999999999</v>
      </c>
      <c r="K362" s="83" t="n">
        <v>20.56983</v>
      </c>
      <c r="R362" s="83" t="n">
        <v>8.967541000000001</v>
      </c>
      <c r="S362" s="83" t="n">
        <v>10.41</v>
      </c>
      <c r="AE362" s="83" t="n">
        <v>0.4182861</v>
      </c>
      <c r="AG362" s="83" t="n">
        <v>0.1507328</v>
      </c>
      <c r="AJ362" s="83" t="n">
        <v>24.14741</v>
      </c>
      <c r="AK362" s="83" t="n">
        <v>0.461453</v>
      </c>
      <c r="AO362" s="83" t="n">
        <v>0.007306386</v>
      </c>
      <c r="AQ362" s="83" t="n">
        <v>6.881392</v>
      </c>
      <c r="AR362" s="83" t="n">
        <v>3.277178</v>
      </c>
      <c r="AS362" s="83" t="n">
        <v>2.601266</v>
      </c>
      <c r="AZ362" s="83" t="n">
        <v>9.969514</v>
      </c>
      <c r="BA362" s="83" t="n">
        <v>6.078698e-05</v>
      </c>
      <c r="BB362" s="83" t="n">
        <v>12.32151</v>
      </c>
      <c r="BC362" s="83" t="n">
        <v>0.9872379999999999</v>
      </c>
      <c r="BD362" s="83" t="n">
        <v>2.338407</v>
      </c>
    </row>
    <row r="363">
      <c r="A363" s="83" t="inlineStr">
        <is>
          <t>1981-06</t>
        </is>
      </c>
      <c r="B363" s="22" t="n">
        <v>29738</v>
      </c>
      <c r="C363" s="22" t="n"/>
      <c r="D363" s="22" t="n"/>
      <c r="E363" s="22" t="n">
        <v>29252</v>
      </c>
      <c r="F363" s="83" t="inlineStr">
        <is>
          <t>1980-02</t>
        </is>
      </c>
      <c r="G363" s="83" t="n">
        <v>3.247287</v>
      </c>
      <c r="J363" s="83" t="n">
        <v>9.156328999999999</v>
      </c>
      <c r="K363" s="83" t="n">
        <v>20.76486</v>
      </c>
      <c r="R363" s="83" t="n">
        <v>9.001068999999999</v>
      </c>
      <c r="S363" s="83" t="n">
        <v>10.44246</v>
      </c>
      <c r="AE363" s="83" t="n">
        <v>0.424802</v>
      </c>
      <c r="AG363" s="83" t="n">
        <v>0.1568924</v>
      </c>
      <c r="AJ363" s="83" t="n">
        <v>24.29465</v>
      </c>
      <c r="AK363" s="83" t="n">
        <v>0.4768333</v>
      </c>
      <c r="AO363" s="83" t="n">
        <v>0.007497021</v>
      </c>
      <c r="AQ363" s="83" t="n">
        <v>6.933142</v>
      </c>
      <c r="AR363" s="83" t="n">
        <v>3.313705</v>
      </c>
      <c r="AS363" s="83" t="n">
        <v>2.642431</v>
      </c>
      <c r="AZ363" s="83" t="n">
        <v>10.2362</v>
      </c>
      <c r="BA363" s="83" t="n">
        <v>6.333899e-05</v>
      </c>
      <c r="BB363" s="83" t="n">
        <v>12.4204</v>
      </c>
      <c r="BC363" s="83" t="n">
        <v>0.998745</v>
      </c>
      <c r="BD363" s="83" t="n">
        <v>2.3681</v>
      </c>
    </row>
    <row r="364">
      <c r="A364" s="83" t="inlineStr">
        <is>
          <t>1981-07</t>
        </is>
      </c>
      <c r="B364" s="22" t="n">
        <v>29768</v>
      </c>
      <c r="C364" s="22" t="n"/>
      <c r="D364" s="22" t="n"/>
      <c r="E364" s="22" t="n">
        <v>29281</v>
      </c>
      <c r="F364" s="83" t="inlineStr">
        <is>
          <t>1980-03</t>
        </is>
      </c>
      <c r="G364" s="83" t="n">
        <v>3.275305</v>
      </c>
      <c r="J364" s="83" t="n">
        <v>9.290582000000001</v>
      </c>
      <c r="K364" s="83" t="n">
        <v>20.86418</v>
      </c>
      <c r="R364" s="83" t="n">
        <v>9.052892</v>
      </c>
      <c r="S364" s="83" t="n">
        <v>10.50105</v>
      </c>
      <c r="AE364" s="83" t="n">
        <v>0.4308831</v>
      </c>
      <c r="AG364" s="83" t="n">
        <v>0.1636134</v>
      </c>
      <c r="AJ364" s="83" t="n">
        <v>24.42553</v>
      </c>
      <c r="AK364" s="83" t="n">
        <v>0.4884114</v>
      </c>
      <c r="AO364" s="83" t="n">
        <v>0.007717619</v>
      </c>
      <c r="AQ364" s="83" t="n">
        <v>6.983389</v>
      </c>
      <c r="AR364" s="83" t="n">
        <v>3.337423</v>
      </c>
      <c r="AS364" s="83" t="n">
        <v>2.673506</v>
      </c>
      <c r="AZ364" s="83" t="n">
        <v>10.31415</v>
      </c>
      <c r="BA364" s="83" t="n">
        <v>6.417515e-05</v>
      </c>
      <c r="BB364" s="83" t="n">
        <v>12.46362</v>
      </c>
      <c r="BC364" s="83" t="n">
        <v>1.018803</v>
      </c>
      <c r="BD364" s="83" t="n">
        <v>2.384577</v>
      </c>
    </row>
    <row r="365">
      <c r="A365" s="83" t="inlineStr">
        <is>
          <t>1981-08</t>
        </is>
      </c>
      <c r="B365" s="22" t="n">
        <v>29799</v>
      </c>
      <c r="C365" s="22" t="n"/>
      <c r="D365" s="22" t="n"/>
      <c r="E365" s="22" t="n">
        <v>29312</v>
      </c>
      <c r="F365" s="83" t="inlineStr">
        <is>
          <t>1980-04</t>
        </is>
      </c>
      <c r="G365" s="83" t="n">
        <v>3.294918</v>
      </c>
      <c r="J365" s="83" t="n">
        <v>9.409428999999999</v>
      </c>
      <c r="K365" s="83" t="n">
        <v>20.86298</v>
      </c>
      <c r="R365" s="83" t="n">
        <v>9.087802999999999</v>
      </c>
      <c r="S365" s="83" t="n">
        <v>10.56845</v>
      </c>
      <c r="AE365" s="83" t="n">
        <v>0.4362835</v>
      </c>
      <c r="AG365" s="83" t="n">
        <v>0.1715925</v>
      </c>
      <c r="AJ365" s="83" t="n">
        <v>24.59731</v>
      </c>
      <c r="AK365" s="83" t="n">
        <v>0.4970974</v>
      </c>
      <c r="AO365" s="83" t="n">
        <v>0.007916764999999999</v>
      </c>
      <c r="AQ365" s="83" t="n">
        <v>7.0443</v>
      </c>
      <c r="AR365" s="83" t="n">
        <v>3.358953</v>
      </c>
      <c r="AS365" s="83" t="n">
        <v>2.714807</v>
      </c>
      <c r="AZ365" s="83" t="n">
        <v>10.37246</v>
      </c>
      <c r="BA365" s="83" t="n">
        <v>6.611238000000001e-05</v>
      </c>
      <c r="BB365" s="83" t="n">
        <v>12.48356</v>
      </c>
      <c r="BC365" s="83" t="n">
        <v>1.029401</v>
      </c>
      <c r="BD365" s="83" t="n">
        <v>2.408262</v>
      </c>
    </row>
    <row r="366">
      <c r="A366" s="83" t="inlineStr">
        <is>
          <t>1981-09</t>
        </is>
      </c>
      <c r="B366" s="22" t="n">
        <v>29830</v>
      </c>
      <c r="C366" s="22" t="n"/>
      <c r="D366" s="22" t="n"/>
      <c r="E366" s="22" t="n">
        <v>29342</v>
      </c>
      <c r="F366" s="83" t="inlineStr">
        <is>
          <t>1980-05</t>
        </is>
      </c>
      <c r="G366" s="83" t="n">
        <v>3.322936</v>
      </c>
      <c r="J366" s="83" t="n">
        <v>9.543836000000001</v>
      </c>
      <c r="K366" s="83" t="n">
        <v>20.79299</v>
      </c>
      <c r="R366" s="83" t="n">
        <v>9.103354</v>
      </c>
      <c r="S366" s="83" t="n">
        <v>10.60635</v>
      </c>
      <c r="AE366" s="83" t="n">
        <v>0.4410809</v>
      </c>
      <c r="AG366" s="83" t="n">
        <v>0.1795664</v>
      </c>
      <c r="AJ366" s="83" t="n">
        <v>24.79363</v>
      </c>
      <c r="AK366" s="83" t="n">
        <v>0.5086732</v>
      </c>
      <c r="AO366" s="83" t="n">
        <v>0.008132708000000001</v>
      </c>
      <c r="AQ366" s="83" t="n">
        <v>7.156661</v>
      </c>
      <c r="AR366" s="83" t="n">
        <v>3.391965</v>
      </c>
      <c r="AS366" s="83" t="n">
        <v>2.747632</v>
      </c>
      <c r="AZ366" s="83" t="n">
        <v>10.44545</v>
      </c>
      <c r="BA366" s="83" t="n">
        <v>6.825525999999999e-05</v>
      </c>
      <c r="BB366" s="83" t="n">
        <v>12.56749</v>
      </c>
      <c r="BC366" s="83" t="n">
        <v>1.033476</v>
      </c>
      <c r="BD366" s="83" t="n">
        <v>2.435349</v>
      </c>
    </row>
    <row r="367">
      <c r="A367" s="83" t="inlineStr">
        <is>
          <t>1981-10</t>
        </is>
      </c>
      <c r="B367" s="22" t="n">
        <v>29860</v>
      </c>
      <c r="C367" s="22" t="n"/>
      <c r="D367" s="22" t="n"/>
      <c r="E367" s="22" t="n">
        <v>29373</v>
      </c>
      <c r="F367" s="83" t="inlineStr">
        <is>
          <t>1980-06</t>
        </is>
      </c>
      <c r="G367" s="83" t="n">
        <v>3.356557</v>
      </c>
      <c r="J367" s="83" t="n">
        <v>9.675554</v>
      </c>
      <c r="K367" s="83" t="n">
        <v>20.71429</v>
      </c>
      <c r="R367" s="83" t="n">
        <v>9.169413</v>
      </c>
      <c r="S367" s="83" t="n">
        <v>10.70413</v>
      </c>
      <c r="AE367" s="83" t="n">
        <v>0.4437073</v>
      </c>
      <c r="AG367" s="83" t="n">
        <v>0.18501</v>
      </c>
      <c r="AJ367" s="83" t="n">
        <v>24.88361</v>
      </c>
      <c r="AK367" s="83" t="n">
        <v>0.5191345000000001</v>
      </c>
      <c r="AO367" s="83" t="n">
        <v>0.008431284000000001</v>
      </c>
      <c r="AQ367" s="83" t="n">
        <v>7.2332</v>
      </c>
      <c r="AR367" s="83" t="n">
        <v>3.433078</v>
      </c>
      <c r="AS367" s="83" t="n">
        <v>2.784553</v>
      </c>
      <c r="AZ367" s="83" t="n">
        <v>10.53694</v>
      </c>
      <c r="BA367" s="83" t="n">
        <v>7.018130000000001e-05</v>
      </c>
      <c r="BB367" s="83" t="n">
        <v>12.70794</v>
      </c>
      <c r="BC367" s="83" t="n">
        <v>1.053587</v>
      </c>
      <c r="BD367" s="83" t="n">
        <v>2.478129</v>
      </c>
    </row>
    <row r="368">
      <c r="A368" s="83" t="inlineStr">
        <is>
          <t>1981-11</t>
        </is>
      </c>
      <c r="B368" s="22" t="n">
        <v>29891</v>
      </c>
      <c r="C368" s="22" t="n"/>
      <c r="D368" s="22" t="n"/>
      <c r="E368" s="22" t="n">
        <v>29403</v>
      </c>
      <c r="F368" s="83" t="inlineStr">
        <is>
          <t>1980-07</t>
        </is>
      </c>
      <c r="G368" s="83" t="n">
        <v>3.398584</v>
      </c>
      <c r="J368" s="83" t="n">
        <v>9.791093</v>
      </c>
      <c r="K368" s="83" t="n">
        <v>20.6782</v>
      </c>
      <c r="R368" s="83" t="n">
        <v>9.21574</v>
      </c>
      <c r="S368" s="83" t="n">
        <v>10.80115</v>
      </c>
      <c r="AE368" s="83" t="n">
        <v>0.4474412</v>
      </c>
      <c r="AG368" s="83" t="n">
        <v>0.1914449</v>
      </c>
      <c r="AJ368" s="83" t="n">
        <v>24.98995</v>
      </c>
      <c r="AK368" s="83" t="n">
        <v>0.5306271</v>
      </c>
      <c r="AO368" s="83" t="n">
        <v>0.008682034999999999</v>
      </c>
      <c r="AQ368" s="83" t="n">
        <v>7.268801</v>
      </c>
      <c r="AR368" s="83" t="n">
        <v>3.481021</v>
      </c>
      <c r="AS368" s="83" t="n">
        <v>2.819226</v>
      </c>
      <c r="AZ368" s="83" t="n">
        <v>10.65679</v>
      </c>
      <c r="BA368" s="83" t="n">
        <v>7.760613e-05</v>
      </c>
      <c r="BB368" s="83" t="n">
        <v>12.84339</v>
      </c>
      <c r="BC368" s="83" t="n">
        <v>1.082564</v>
      </c>
      <c r="BD368" s="83" t="n">
        <v>2.526233</v>
      </c>
    </row>
    <row r="369">
      <c r="A369" s="83" t="inlineStr">
        <is>
          <t>1981-12</t>
        </is>
      </c>
      <c r="B369" s="22" t="n">
        <v>29921</v>
      </c>
      <c r="C369" s="22" t="n"/>
      <c r="D369" s="22" t="n"/>
      <c r="E369" s="22" t="n">
        <v>29434</v>
      </c>
      <c r="F369" s="83" t="inlineStr">
        <is>
          <t>1980-08</t>
        </is>
      </c>
      <c r="G369" s="83" t="n">
        <v>3.440611</v>
      </c>
      <c r="J369" s="83" t="n">
        <v>9.776464000000001</v>
      </c>
      <c r="K369" s="83" t="n">
        <v>20.70009</v>
      </c>
      <c r="R369" s="83" t="n">
        <v>9.278383</v>
      </c>
      <c r="S369" s="83" t="n">
        <v>10.82687</v>
      </c>
      <c r="AE369" s="83" t="n">
        <v>0.4533649</v>
      </c>
      <c r="AG369" s="83" t="n">
        <v>0.1994011</v>
      </c>
      <c r="AJ369" s="83" t="n">
        <v>25.12083</v>
      </c>
      <c r="AK369" s="83" t="n">
        <v>0.5451885</v>
      </c>
      <c r="AO369" s="83" t="n">
        <v>0.008893781</v>
      </c>
      <c r="AQ369" s="83" t="n">
        <v>7.373771</v>
      </c>
      <c r="AR369" s="83" t="n">
        <v>3.526109</v>
      </c>
      <c r="AS369" s="83" t="n">
        <v>2.846071</v>
      </c>
      <c r="AZ369" s="83" t="n">
        <v>10.74394</v>
      </c>
      <c r="BA369" s="83" t="n">
        <v>8.526421e-05</v>
      </c>
      <c r="BB369" s="83" t="n">
        <v>12.97636</v>
      </c>
      <c r="BC369" s="83" t="n">
        <v>1.106959</v>
      </c>
      <c r="BD369" s="83" t="n">
        <v>2.565848</v>
      </c>
    </row>
    <row r="370">
      <c r="A370" s="83" t="inlineStr">
        <is>
          <t>1982-01</t>
        </is>
      </c>
      <c r="B370" s="22" t="n">
        <v>29952</v>
      </c>
      <c r="C370" s="22" t="n"/>
      <c r="D370" s="22" t="n"/>
      <c r="E370" s="22" t="n">
        <v>29465</v>
      </c>
      <c r="F370" s="83" t="inlineStr">
        <is>
          <t>1980-09</t>
        </is>
      </c>
      <c r="G370" s="83" t="n">
        <v>3.471431</v>
      </c>
      <c r="J370" s="83" t="n">
        <v>9.846251000000001</v>
      </c>
      <c r="K370" s="83" t="n">
        <v>20.78765</v>
      </c>
      <c r="R370" s="83" t="n">
        <v>9.404995</v>
      </c>
      <c r="S370" s="83" t="n">
        <v>10.85962</v>
      </c>
      <c r="AE370" s="83" t="n">
        <v>0.4598303</v>
      </c>
      <c r="AG370" s="83" t="n">
        <v>0.2084551</v>
      </c>
      <c r="AJ370" s="83" t="n">
        <v>25.24353</v>
      </c>
      <c r="AK370" s="83" t="n">
        <v>0.5536243</v>
      </c>
      <c r="AO370" s="83" t="n">
        <v>0.009134246</v>
      </c>
      <c r="AQ370" s="83" t="n">
        <v>7.465675</v>
      </c>
      <c r="AR370" s="83" t="n">
        <v>3.56401</v>
      </c>
      <c r="AS370" s="83" t="n">
        <v>2.879259</v>
      </c>
      <c r="AZ370" s="83" t="n">
        <v>10.78914</v>
      </c>
      <c r="BA370" s="83" t="n">
        <v>8.951539e-05</v>
      </c>
      <c r="BB370" s="83" t="n">
        <v>13.08023</v>
      </c>
      <c r="BC370" s="83" t="n">
        <v>1.130201</v>
      </c>
      <c r="BD370" s="83" t="n">
        <v>2.627764</v>
      </c>
    </row>
    <row r="371">
      <c r="A371" s="83" t="inlineStr">
        <is>
          <t>1982-02</t>
        </is>
      </c>
      <c r="B371" s="22" t="n">
        <v>29983</v>
      </c>
      <c r="C371" s="22" t="n"/>
      <c r="D371" s="22" t="n"/>
      <c r="E371" s="22" t="n">
        <v>29495</v>
      </c>
      <c r="F371" s="83" t="inlineStr">
        <is>
          <t>1980-10</t>
        </is>
      </c>
      <c r="G371" s="83" t="n">
        <v>3.510656</v>
      </c>
      <c r="J371" s="83" t="n">
        <v>9.961687</v>
      </c>
      <c r="K371" s="83" t="n">
        <v>20.8882</v>
      </c>
      <c r="R371" s="83" t="n">
        <v>9.568272</v>
      </c>
      <c r="S371" s="83" t="n">
        <v>10.91513</v>
      </c>
      <c r="AE371" s="83" t="n">
        <v>0.4672821</v>
      </c>
      <c r="AG371" s="83" t="n">
        <v>0.2189587</v>
      </c>
      <c r="AJ371" s="83" t="n">
        <v>25.38259</v>
      </c>
      <c r="AK371" s="83" t="n">
        <v>0.5598836</v>
      </c>
      <c r="AO371" s="83" t="n">
        <v>0.009402506999999999</v>
      </c>
      <c r="AQ371" s="83" t="n">
        <v>7.541241</v>
      </c>
      <c r="AR371" s="83" t="n">
        <v>3.604596</v>
      </c>
      <c r="AS371" s="83" t="n">
        <v>2.906608</v>
      </c>
      <c r="AZ371" s="83" t="n">
        <v>10.86918</v>
      </c>
      <c r="BA371" s="83" t="n">
        <v>9.502692e-05</v>
      </c>
      <c r="BB371" s="83" t="n">
        <v>13.16998</v>
      </c>
      <c r="BC371" s="83" t="n">
        <v>1.158828</v>
      </c>
      <c r="BD371" s="83" t="n">
        <v>2.667152</v>
      </c>
    </row>
    <row r="372">
      <c r="A372" s="83" t="inlineStr">
        <is>
          <t>1982-03</t>
        </is>
      </c>
      <c r="B372" s="22" t="n">
        <v>30011</v>
      </c>
      <c r="C372" s="22" t="n"/>
      <c r="D372" s="22" t="n"/>
      <c r="E372" s="22" t="n">
        <v>29526</v>
      </c>
      <c r="F372" s="83" t="inlineStr">
        <is>
          <t>1980-11</t>
        </is>
      </c>
      <c r="G372" s="83" t="n">
        <v>3.555485</v>
      </c>
      <c r="J372" s="83" t="n">
        <v>10.07826</v>
      </c>
      <c r="K372" s="83" t="n">
        <v>20.9656</v>
      </c>
      <c r="R372" s="83" t="n">
        <v>9.753704000000001</v>
      </c>
      <c r="S372" s="83" t="n">
        <v>11.06384</v>
      </c>
      <c r="AE372" s="83" t="n">
        <v>0.4756908</v>
      </c>
      <c r="AG372" s="83" t="n">
        <v>0.2298227</v>
      </c>
      <c r="AJ372" s="83" t="n">
        <v>25.58709</v>
      </c>
      <c r="AK372" s="83" t="n">
        <v>0.5796322</v>
      </c>
      <c r="AO372" s="83" t="n">
        <v>0.009720447</v>
      </c>
      <c r="AQ372" s="83" t="n">
        <v>7.639981</v>
      </c>
      <c r="AR372" s="83" t="n">
        <v>3.646791</v>
      </c>
      <c r="AS372" s="83" t="n">
        <v>2.939041</v>
      </c>
      <c r="AZ372" s="83" t="n">
        <v>10.98007</v>
      </c>
      <c r="BA372" s="83" t="n">
        <v>9.891860000000001e-05</v>
      </c>
      <c r="BB372" s="83" t="n">
        <v>13.26139</v>
      </c>
      <c r="BC372" s="83" t="n">
        <v>1.180198</v>
      </c>
      <c r="BD372" s="83" t="n">
        <v>2.702134</v>
      </c>
    </row>
    <row r="373">
      <c r="A373" s="83" t="inlineStr">
        <is>
          <t>1982-04</t>
        </is>
      </c>
      <c r="B373" s="22" t="n">
        <v>30042</v>
      </c>
      <c r="C373" s="22" t="n"/>
      <c r="D373" s="22" t="n"/>
      <c r="E373" s="22" t="n">
        <v>29556</v>
      </c>
      <c r="F373" s="83" t="inlineStr">
        <is>
          <t>1980-12</t>
        </is>
      </c>
      <c r="G373" s="83" t="n">
        <v>3.59471</v>
      </c>
      <c r="J373" s="83" t="n">
        <v>10.19607</v>
      </c>
      <c r="K373" s="83" t="n">
        <v>21.0886</v>
      </c>
      <c r="R373" s="83" t="n">
        <v>9.862261999999999</v>
      </c>
      <c r="S373" s="83" t="n">
        <v>11.39776</v>
      </c>
      <c r="AE373" s="83" t="n">
        <v>0.4827676</v>
      </c>
      <c r="AG373" s="83" t="n">
        <v>0.2401843</v>
      </c>
      <c r="AJ373" s="83" t="n">
        <v>25.75887</v>
      </c>
      <c r="AK373" s="83" t="n">
        <v>0.5970501</v>
      </c>
      <c r="AO373" s="83" t="n">
        <v>0.01012419</v>
      </c>
      <c r="AQ373" s="83" t="n">
        <v>7.740711</v>
      </c>
      <c r="AR373" s="83" t="n">
        <v>3.680776</v>
      </c>
      <c r="AS373" s="83" t="n">
        <v>2.980361</v>
      </c>
      <c r="AZ373" s="83" t="n">
        <v>11.16738</v>
      </c>
      <c r="BA373" s="83" t="n">
        <v>0.0001014808</v>
      </c>
      <c r="BB373" s="83" t="n">
        <v>13.29464</v>
      </c>
      <c r="BC373" s="83" t="n">
        <v>1.198438</v>
      </c>
      <c r="BD373" s="83" t="n">
        <v>2.756258</v>
      </c>
    </row>
    <row r="374">
      <c r="A374" s="83" t="inlineStr">
        <is>
          <t>1982-05</t>
        </is>
      </c>
      <c r="B374" s="22" t="n">
        <v>30072</v>
      </c>
      <c r="C374" s="22" t="n"/>
      <c r="D374" s="22" t="n"/>
      <c r="E374" s="22" t="n">
        <v>29587</v>
      </c>
      <c r="F374" s="83" t="inlineStr">
        <is>
          <t>1981-01</t>
        </is>
      </c>
      <c r="G374" s="83" t="n">
        <v>3.628332</v>
      </c>
      <c r="J374" s="83" t="n">
        <v>10.41298</v>
      </c>
      <c r="K374" s="83" t="n">
        <v>21.17146</v>
      </c>
      <c r="R374" s="83" t="n">
        <v>9.903942000000001</v>
      </c>
      <c r="S374" s="83" t="n">
        <v>11.5548</v>
      </c>
      <c r="AE374" s="83" t="n">
        <v>0.4905824</v>
      </c>
      <c r="AG374" s="83" t="n">
        <v>0.2538308</v>
      </c>
      <c r="AJ374" s="83" t="n">
        <v>25.93065</v>
      </c>
      <c r="AK374" s="83" t="n">
        <v>0.6092603</v>
      </c>
      <c r="AO374" s="83" t="n">
        <v>0.01045117</v>
      </c>
      <c r="AQ374" s="83" t="n">
        <v>7.854198</v>
      </c>
      <c r="AR374" s="83" t="n">
        <v>3.718508</v>
      </c>
      <c r="AS374" s="83" t="n">
        <v>3.00644</v>
      </c>
      <c r="AZ374" s="83" t="n">
        <v>11.25028</v>
      </c>
      <c r="BA374" s="83" t="n">
        <v>0.0001043509</v>
      </c>
      <c r="BB374" s="83" t="n">
        <v>13.35364</v>
      </c>
      <c r="BC374" s="83" t="n">
        <v>1.220543</v>
      </c>
      <c r="BD374" s="83" t="n">
        <v>2.978422</v>
      </c>
    </row>
    <row r="375">
      <c r="A375" s="83" t="inlineStr">
        <is>
          <t>1982-06</t>
        </is>
      </c>
      <c r="B375" s="22" t="n">
        <v>30103</v>
      </c>
      <c r="C375" s="22" t="n"/>
      <c r="D375" s="22" t="n"/>
      <c r="E375" s="22" t="n">
        <v>29618</v>
      </c>
      <c r="F375" s="83" t="inlineStr">
        <is>
          <t>1981-02</t>
        </is>
      </c>
      <c r="G375" s="83" t="n">
        <v>3.65635</v>
      </c>
      <c r="J375" s="83" t="n">
        <v>10.65802</v>
      </c>
      <c r="K375" s="83" t="n">
        <v>21.20195</v>
      </c>
      <c r="R375" s="83" t="n">
        <v>10.00008</v>
      </c>
      <c r="S375" s="83" t="n">
        <v>11.53819</v>
      </c>
      <c r="AE375" s="83" t="n">
        <v>0.4992913</v>
      </c>
      <c r="AG375" s="83" t="n">
        <v>0.2695014</v>
      </c>
      <c r="AJ375" s="83" t="n">
        <v>26.12697</v>
      </c>
      <c r="AK375" s="83" t="n">
        <v>0.6265491</v>
      </c>
      <c r="AO375" s="83" t="n">
        <v>0.01068727</v>
      </c>
      <c r="AQ375" s="83" t="n">
        <v>7.929842</v>
      </c>
      <c r="AR375" s="83" t="n">
        <v>3.758339</v>
      </c>
      <c r="AS375" s="83" t="n">
        <v>3.027551</v>
      </c>
      <c r="AZ375" s="83" t="n">
        <v>11.1776</v>
      </c>
      <c r="BA375" s="83" t="n">
        <v>0.0001083568</v>
      </c>
      <c r="BB375" s="83" t="n">
        <v>13.4517</v>
      </c>
      <c r="BC375" s="83" t="n">
        <v>1.244623</v>
      </c>
      <c r="BD375" s="83" t="n">
        <v>3.249067</v>
      </c>
    </row>
    <row r="376">
      <c r="A376" s="83" t="inlineStr">
        <is>
          <t>1982-07</t>
        </is>
      </c>
      <c r="B376" s="22" t="n">
        <v>30133</v>
      </c>
      <c r="C376" s="22" t="n"/>
      <c r="D376" s="22" t="n"/>
      <c r="E376" s="22" t="n">
        <v>29646</v>
      </c>
      <c r="F376" s="83" t="inlineStr">
        <is>
          <t>1981-03</t>
        </is>
      </c>
      <c r="G376" s="83" t="n">
        <v>3.68717</v>
      </c>
      <c r="J376" s="83" t="n">
        <v>10.62111</v>
      </c>
      <c r="K376" s="83" t="n">
        <v>21.28116</v>
      </c>
      <c r="R376" s="83" t="n">
        <v>10.08456</v>
      </c>
      <c r="S376" s="83" t="n">
        <v>11.60947</v>
      </c>
      <c r="AE376" s="83" t="n">
        <v>0.507641</v>
      </c>
      <c r="AG376" s="83" t="n">
        <v>0.2806506</v>
      </c>
      <c r="AJ376" s="83" t="n">
        <v>26.32329</v>
      </c>
      <c r="AK376" s="83" t="n">
        <v>0.6422647</v>
      </c>
      <c r="AO376" s="83" t="n">
        <v>0.01108111</v>
      </c>
      <c r="AQ376" s="83" t="n">
        <v>7.914538</v>
      </c>
      <c r="AR376" s="83" t="n">
        <v>3.803504</v>
      </c>
      <c r="AS376" s="83" t="n">
        <v>3.063752</v>
      </c>
      <c r="AZ376" s="83" t="n">
        <v>11.23761</v>
      </c>
      <c r="BA376" s="83" t="n">
        <v>0.0001122243</v>
      </c>
      <c r="BB376" s="83" t="n">
        <v>13.60045</v>
      </c>
      <c r="BC376" s="83" t="n">
        <v>1.272674</v>
      </c>
      <c r="BD376" s="83" t="n">
        <v>3.241671</v>
      </c>
    </row>
    <row r="377">
      <c r="A377" s="83" t="inlineStr">
        <is>
          <t>1982-08</t>
        </is>
      </c>
      <c r="B377" s="22" t="n">
        <v>30164</v>
      </c>
      <c r="C377" s="22" t="n"/>
      <c r="D377" s="22" t="n"/>
      <c r="E377" s="22" t="n">
        <v>29677</v>
      </c>
      <c r="F377" s="83" t="inlineStr">
        <is>
          <t>1981-04</t>
        </is>
      </c>
      <c r="G377" s="83" t="n">
        <v>3.720791</v>
      </c>
      <c r="J377" s="83" t="n">
        <v>10.68418</v>
      </c>
      <c r="K377" s="83" t="n">
        <v>21.39914</v>
      </c>
      <c r="R377" s="83" t="n">
        <v>10.18049</v>
      </c>
      <c r="S377" s="83" t="n">
        <v>11.68251</v>
      </c>
      <c r="AE377" s="83" t="n">
        <v>0.5156795</v>
      </c>
      <c r="AG377" s="83" t="n">
        <v>0.2951231</v>
      </c>
      <c r="AJ377" s="83" t="n">
        <v>26.59323</v>
      </c>
      <c r="AK377" s="83" t="n">
        <v>0.6546380000000001</v>
      </c>
      <c r="AO377" s="83" t="n">
        <v>0.01161029</v>
      </c>
      <c r="AQ377" s="83" t="n">
        <v>7.989538</v>
      </c>
      <c r="AR377" s="83" t="n">
        <v>3.868448</v>
      </c>
      <c r="AS377" s="83" t="n">
        <v>3.109676</v>
      </c>
      <c r="AZ377" s="83" t="n">
        <v>11.43051</v>
      </c>
      <c r="BA377" s="83" t="n">
        <v>0.0001208189</v>
      </c>
      <c r="BB377" s="83" t="n">
        <v>13.78826</v>
      </c>
      <c r="BC377" s="83" t="n">
        <v>1.307247</v>
      </c>
      <c r="BD377" s="83" t="n">
        <v>3.242064</v>
      </c>
    </row>
    <row r="378">
      <c r="A378" s="83" t="inlineStr">
        <is>
          <t>1982-09</t>
        </is>
      </c>
      <c r="B378" s="22" t="n">
        <v>30195</v>
      </c>
      <c r="C378" s="22" t="n"/>
      <c r="D378" s="22" t="n"/>
      <c r="E378" s="22" t="n">
        <v>29707</v>
      </c>
      <c r="F378" s="83" t="inlineStr">
        <is>
          <t>1981-05</t>
        </is>
      </c>
      <c r="G378" s="83" t="n">
        <v>3.760016</v>
      </c>
      <c r="J378" s="83" t="n">
        <v>10.69524</v>
      </c>
      <c r="K378" s="83" t="n">
        <v>21.51704</v>
      </c>
      <c r="R378" s="83" t="n">
        <v>10.27708</v>
      </c>
      <c r="S378" s="83" t="n">
        <v>11.79272</v>
      </c>
      <c r="AE378" s="83" t="n">
        <v>0.5225905</v>
      </c>
      <c r="AG378" s="83" t="n">
        <v>0.3127218</v>
      </c>
      <c r="AJ378" s="83" t="n">
        <v>26.75683</v>
      </c>
      <c r="AK378" s="83" t="n">
        <v>0.6670369</v>
      </c>
      <c r="AO378" s="83" t="n">
        <v>0.01210499</v>
      </c>
      <c r="AQ378" s="83" t="n">
        <v>8.102182000000001</v>
      </c>
      <c r="AR378" s="83" t="n">
        <v>3.909364</v>
      </c>
      <c r="AS378" s="83" t="n">
        <v>3.15709</v>
      </c>
      <c r="AZ378" s="83" t="n">
        <v>11.55608</v>
      </c>
      <c r="BA378" s="83" t="n">
        <v>0.0001312706</v>
      </c>
      <c r="BB378" s="83" t="n">
        <v>13.82981</v>
      </c>
      <c r="BC378" s="83" t="n">
        <v>1.334598</v>
      </c>
      <c r="BD378" s="83" t="n">
        <v>3.406044</v>
      </c>
    </row>
    <row r="379">
      <c r="A379" s="83" t="inlineStr">
        <is>
          <t>1982-10</t>
        </is>
      </c>
      <c r="B379" s="22" t="n">
        <v>30225</v>
      </c>
      <c r="C379" s="22" t="n"/>
      <c r="D379" s="22" t="n"/>
      <c r="E379" s="22" t="n">
        <v>29738</v>
      </c>
      <c r="F379" s="83" t="inlineStr">
        <is>
          <t>1981-06</t>
        </is>
      </c>
      <c r="G379" s="83" t="n">
        <v>3.804845</v>
      </c>
      <c r="J379" s="83" t="n">
        <v>10.89261</v>
      </c>
      <c r="K379" s="83" t="n">
        <v>21.65575</v>
      </c>
      <c r="R379" s="83" t="n">
        <v>10.3389</v>
      </c>
      <c r="S379" s="83" t="n">
        <v>11.91502</v>
      </c>
      <c r="AE379" s="83" t="n">
        <v>0.5295406</v>
      </c>
      <c r="AG379" s="83" t="n">
        <v>0.3237512</v>
      </c>
      <c r="AJ379" s="83" t="n">
        <v>27.04313</v>
      </c>
      <c r="AK379" s="83" t="n">
        <v>0.6781287</v>
      </c>
      <c r="AO379" s="83" t="n">
        <v>0.01254493</v>
      </c>
      <c r="AQ379" s="83" t="n">
        <v>8.161056</v>
      </c>
      <c r="AR379" s="83" t="n">
        <v>3.951504</v>
      </c>
      <c r="AS379" s="83" t="n">
        <v>3.200733</v>
      </c>
      <c r="AZ379" s="83" t="n">
        <v>11.59058</v>
      </c>
      <c r="BA379" s="83" t="n">
        <v>0.0001371171</v>
      </c>
      <c r="BB379" s="83" t="n">
        <v>13.8805</v>
      </c>
      <c r="BC379" s="83" t="n">
        <v>1.348815</v>
      </c>
      <c r="BD379" s="83" t="n">
        <v>3.542017</v>
      </c>
    </row>
    <row r="380">
      <c r="A380" s="83" t="inlineStr">
        <is>
          <t>1982-11</t>
        </is>
      </c>
      <c r="B380" s="22" t="n">
        <v>30256</v>
      </c>
      <c r="C380" s="22" t="n"/>
      <c r="D380" s="22" t="n"/>
      <c r="E380" s="22" t="n">
        <v>29768</v>
      </c>
      <c r="F380" s="83" t="inlineStr">
        <is>
          <t>1981-07</t>
        </is>
      </c>
      <c r="G380" s="83" t="n">
        <v>3.841269</v>
      </c>
      <c r="J380" s="83" t="n">
        <v>11.03715</v>
      </c>
      <c r="K380" s="83" t="n">
        <v>21.79733</v>
      </c>
      <c r="R380" s="83" t="n">
        <v>10.40407</v>
      </c>
      <c r="S380" s="83" t="n">
        <v>11.96699</v>
      </c>
      <c r="AE380" s="83" t="n">
        <v>0.537683</v>
      </c>
      <c r="AG380" s="83" t="n">
        <v>0.3381612</v>
      </c>
      <c r="AJ380" s="83" t="n">
        <v>27.25581</v>
      </c>
      <c r="AK380" s="83" t="n">
        <v>0.6904623</v>
      </c>
      <c r="AO380" s="83" t="n">
        <v>0.01296565</v>
      </c>
      <c r="AQ380" s="83" t="n">
        <v>8.246729</v>
      </c>
      <c r="AR380" s="83" t="n">
        <v>4.001491</v>
      </c>
      <c r="AS380" s="83" t="n">
        <v>3.242508</v>
      </c>
      <c r="AZ380" s="83" t="n">
        <v>11.53765</v>
      </c>
      <c r="BA380" s="83" t="n">
        <v>0.0001483281</v>
      </c>
      <c r="BB380" s="83" t="n">
        <v>13.9769</v>
      </c>
      <c r="BC380" s="83" t="n">
        <v>1.365901</v>
      </c>
      <c r="BD380" s="83" t="n">
        <v>3.634371</v>
      </c>
    </row>
    <row r="381">
      <c r="A381" s="83" t="inlineStr">
        <is>
          <t>1982-12</t>
        </is>
      </c>
      <c r="B381" s="22" t="n">
        <v>30286</v>
      </c>
      <c r="C381" s="22" t="n"/>
      <c r="D381" s="22" t="n"/>
      <c r="E381" s="22" t="n">
        <v>29799</v>
      </c>
      <c r="F381" s="83" t="inlineStr">
        <is>
          <t>1981-08</t>
        </is>
      </c>
      <c r="G381" s="83" t="n">
        <v>3.869287</v>
      </c>
      <c r="J381" s="83" t="n">
        <v>11.272</v>
      </c>
      <c r="K381" s="83" t="n">
        <v>21.85016</v>
      </c>
      <c r="R381" s="83" t="n">
        <v>10.65027</v>
      </c>
      <c r="S381" s="83" t="n">
        <v>11.96821</v>
      </c>
      <c r="AE381" s="83" t="n">
        <v>0.5424854</v>
      </c>
      <c r="AG381" s="83" t="n">
        <v>0.3557804</v>
      </c>
      <c r="AJ381" s="83" t="n">
        <v>27.49303</v>
      </c>
      <c r="AK381" s="83" t="n">
        <v>0.7047868</v>
      </c>
      <c r="AO381" s="83" t="n">
        <v>0.01336107</v>
      </c>
      <c r="AQ381" s="83" t="n">
        <v>8.326178000000001</v>
      </c>
      <c r="AR381" s="83" t="n">
        <v>4.052896</v>
      </c>
      <c r="AS381" s="83" t="n">
        <v>3.286318</v>
      </c>
      <c r="AZ381" s="83" t="n">
        <v>11.61517</v>
      </c>
      <c r="BA381" s="83" t="n">
        <v>0.000157352</v>
      </c>
      <c r="BB381" s="83" t="n">
        <v>14.07995</v>
      </c>
      <c r="BC381" s="83" t="n">
        <v>1.381413</v>
      </c>
      <c r="BD381" s="83" t="n">
        <v>3.719534</v>
      </c>
    </row>
    <row r="382">
      <c r="A382" s="83" t="inlineStr">
        <is>
          <t>1983-01</t>
        </is>
      </c>
      <c r="B382" s="22" t="n">
        <v>30317</v>
      </c>
      <c r="C382" s="22" t="n"/>
      <c r="D382" s="22" t="n"/>
      <c r="E382" s="22" t="n">
        <v>29830</v>
      </c>
      <c r="F382" s="83" t="inlineStr">
        <is>
          <t>1981-09</t>
        </is>
      </c>
      <c r="G382" s="83" t="n">
        <v>3.900106</v>
      </c>
      <c r="J382" s="83" t="n">
        <v>11.33476</v>
      </c>
      <c r="K382" s="83" t="n">
        <v>21.84356</v>
      </c>
      <c r="R382" s="83" t="n">
        <v>10.71031</v>
      </c>
      <c r="S382" s="83" t="n">
        <v>12.03075</v>
      </c>
      <c r="AE382" s="83" t="n">
        <v>0.5461467</v>
      </c>
      <c r="AG382" s="83" t="n">
        <v>0.3682985</v>
      </c>
      <c r="AJ382" s="83" t="n">
        <v>27.73843</v>
      </c>
      <c r="AK382" s="83" t="n">
        <v>0.7212376</v>
      </c>
      <c r="AO382" s="83" t="n">
        <v>0.01380726</v>
      </c>
      <c r="AQ382" s="83" t="n">
        <v>8.44197</v>
      </c>
      <c r="AR382" s="83" t="n">
        <v>4.094737</v>
      </c>
      <c r="AS382" s="83" t="n">
        <v>3.348756</v>
      </c>
      <c r="AZ382" s="83" t="n">
        <v>11.7979</v>
      </c>
      <c r="BA382" s="83" t="n">
        <v>0.0001597777</v>
      </c>
      <c r="BB382" s="83" t="n">
        <v>14.17718</v>
      </c>
      <c r="BC382" s="83" t="n">
        <v>1.381115</v>
      </c>
      <c r="BD382" s="83" t="n">
        <v>3.783665</v>
      </c>
    </row>
    <row r="383">
      <c r="A383" s="83" t="inlineStr">
        <is>
          <t>1983-02</t>
        </is>
      </c>
      <c r="B383" s="22" t="n">
        <v>30348</v>
      </c>
      <c r="C383" s="22" t="n"/>
      <c r="D383" s="22" t="n"/>
      <c r="E383" s="22" t="n">
        <v>29860</v>
      </c>
      <c r="F383" s="83" t="inlineStr">
        <is>
          <t>1981-10</t>
        </is>
      </c>
      <c r="G383" s="83" t="n">
        <v>3.93653</v>
      </c>
      <c r="J383" s="83" t="n">
        <v>11.32246</v>
      </c>
      <c r="K383" s="83" t="n">
        <v>21.82302</v>
      </c>
      <c r="R383" s="83" t="n">
        <v>10.61846</v>
      </c>
      <c r="S383" s="83" t="n">
        <v>12.11512</v>
      </c>
      <c r="AE383" s="83" t="n">
        <v>0.5547605</v>
      </c>
      <c r="AG383" s="83" t="n">
        <v>0.382011</v>
      </c>
      <c r="AJ383" s="83" t="n">
        <v>28.01655</v>
      </c>
      <c r="AK383" s="83" t="n">
        <v>0.7399732</v>
      </c>
      <c r="AO383" s="83" t="n">
        <v>0.01426318</v>
      </c>
      <c r="AQ383" s="83" t="n">
        <v>8.530984999999999</v>
      </c>
      <c r="AR383" s="83" t="n">
        <v>4.15088</v>
      </c>
      <c r="AS383" s="83" t="n">
        <v>3.416606</v>
      </c>
      <c r="AZ383" s="83" t="n">
        <v>11.94102</v>
      </c>
      <c r="BA383" s="83" t="n">
        <v>0.0001718742</v>
      </c>
      <c r="BB383" s="83" t="n">
        <v>14.30848</v>
      </c>
      <c r="BC383" s="83" t="n">
        <v>1.388058</v>
      </c>
      <c r="BD383" s="83" t="n">
        <v>3.860488</v>
      </c>
    </row>
    <row r="384">
      <c r="A384" s="83" t="inlineStr">
        <is>
          <t>1983-03</t>
        </is>
      </c>
      <c r="B384" s="22" t="n">
        <v>30376</v>
      </c>
      <c r="C384" s="22" t="n"/>
      <c r="D384" s="22" t="n"/>
      <c r="E384" s="22" t="n">
        <v>29891</v>
      </c>
      <c r="F384" s="83" t="inlineStr">
        <is>
          <t>1981-11</t>
        </is>
      </c>
      <c r="G384" s="83" t="n">
        <v>3.972953</v>
      </c>
      <c r="J384" s="83" t="n">
        <v>11.16339</v>
      </c>
      <c r="K384" s="83" t="n">
        <v>21.81142</v>
      </c>
      <c r="R384" s="83" t="n">
        <v>10.82757</v>
      </c>
      <c r="S384" s="83" t="n">
        <v>12.21845</v>
      </c>
      <c r="AE384" s="83" t="n">
        <v>0.5599707</v>
      </c>
      <c r="AG384" s="83" t="n">
        <v>0.4009482</v>
      </c>
      <c r="AJ384" s="83" t="n">
        <v>28.21288</v>
      </c>
      <c r="AK384" s="83" t="n">
        <v>0.7614834</v>
      </c>
      <c r="AO384" s="83" t="n">
        <v>0.01465469</v>
      </c>
      <c r="AQ384" s="83" t="n">
        <v>8.560876</v>
      </c>
      <c r="AR384" s="83" t="n">
        <v>4.200143</v>
      </c>
      <c r="AS384" s="83" t="n">
        <v>3.470883</v>
      </c>
      <c r="AZ384" s="83" t="n">
        <v>12.00661</v>
      </c>
      <c r="BA384" s="83" t="n">
        <v>0.0001850347</v>
      </c>
      <c r="BB384" s="83" t="n">
        <v>14.42731</v>
      </c>
      <c r="BC384" s="83" t="n">
        <v>1.409813</v>
      </c>
      <c r="BD384" s="83" t="n">
        <v>3.926356</v>
      </c>
    </row>
    <row r="385">
      <c r="A385" s="83" t="inlineStr">
        <is>
          <t>1983-04</t>
        </is>
      </c>
      <c r="B385" s="22" t="n">
        <v>30407</v>
      </c>
      <c r="C385" s="22" t="n"/>
      <c r="D385" s="22" t="n"/>
      <c r="E385" s="22" t="n">
        <v>29921</v>
      </c>
      <c r="F385" s="83" t="inlineStr">
        <is>
          <t>1981-12</t>
        </is>
      </c>
      <c r="G385" s="83" t="n">
        <v>4.003773</v>
      </c>
      <c r="J385" s="83" t="n">
        <v>11.31062</v>
      </c>
      <c r="K385" s="83" t="n">
        <v>21.76022</v>
      </c>
      <c r="R385" s="83" t="n">
        <v>10.91061</v>
      </c>
      <c r="S385" s="83" t="n">
        <v>12.55037</v>
      </c>
      <c r="AE385" s="83" t="n">
        <v>0.5638398999999999</v>
      </c>
      <c r="AG385" s="83" t="n">
        <v>0.4145447</v>
      </c>
      <c r="AJ385" s="83" t="n">
        <v>28.41738</v>
      </c>
      <c r="AK385" s="83" t="n">
        <v>0.7826077</v>
      </c>
      <c r="AO385" s="83" t="n">
        <v>0.01509401</v>
      </c>
      <c r="AQ385" s="83" t="n">
        <v>8.603138</v>
      </c>
      <c r="AR385" s="83" t="n">
        <v>4.262157</v>
      </c>
      <c r="AS385" s="83" t="n">
        <v>3.52548</v>
      </c>
      <c r="AZ385" s="83" t="n">
        <v>12.33992</v>
      </c>
      <c r="BA385" s="83" t="n">
        <v>0.0001966704</v>
      </c>
      <c r="BB385" s="83" t="n">
        <v>14.58853</v>
      </c>
      <c r="BC385" s="83" t="n">
        <v>1.422631</v>
      </c>
      <c r="BD385" s="83" t="n">
        <v>3.942002</v>
      </c>
    </row>
    <row r="386">
      <c r="A386" s="83" t="inlineStr">
        <is>
          <t>1983-05</t>
        </is>
      </c>
      <c r="B386" s="22" t="n">
        <v>30437</v>
      </c>
      <c r="C386" s="22" t="n"/>
      <c r="D386" s="22" t="n"/>
      <c r="E386" s="22" t="n">
        <v>29952</v>
      </c>
      <c r="F386" s="83" t="inlineStr">
        <is>
          <t>1982-01</t>
        </is>
      </c>
      <c r="G386" s="83" t="n">
        <v>4.037395</v>
      </c>
      <c r="J386" s="83" t="n">
        <v>11.24098</v>
      </c>
      <c r="K386" s="83" t="n">
        <v>21.65627</v>
      </c>
      <c r="R386" s="83" t="n">
        <v>10.91096</v>
      </c>
      <c r="S386" s="83" t="n">
        <v>12.79003</v>
      </c>
      <c r="AE386" s="83" t="n">
        <v>0.5683018</v>
      </c>
      <c r="AG386" s="83" t="n">
        <v>0.4267665</v>
      </c>
      <c r="AJ386" s="83" t="n">
        <v>28.6546</v>
      </c>
      <c r="AK386" s="83" t="n">
        <v>0.798534</v>
      </c>
      <c r="AO386" s="83" t="n">
        <v>0.01560373</v>
      </c>
      <c r="AQ386" s="83" t="n">
        <v>8.690974000000001</v>
      </c>
      <c r="AR386" s="83" t="n">
        <v>4.315474</v>
      </c>
      <c r="AS386" s="83" t="n">
        <v>3.590199</v>
      </c>
      <c r="AZ386" s="83" t="n">
        <v>12.64484</v>
      </c>
      <c r="BA386" s="83" t="n">
        <v>0.0002068945</v>
      </c>
      <c r="BB386" s="83" t="n">
        <v>14.71235</v>
      </c>
      <c r="BC386" s="83" t="n">
        <v>1.428088</v>
      </c>
      <c r="BD386" s="83" t="n">
        <v>3.975161</v>
      </c>
    </row>
    <row r="387">
      <c r="A387" s="83" t="inlineStr">
        <is>
          <t>1983-06</t>
        </is>
      </c>
      <c r="B387" s="22" t="n">
        <v>30468</v>
      </c>
      <c r="C387" s="22" t="n"/>
      <c r="D387" s="22" t="n"/>
      <c r="E387" s="22" t="n">
        <v>29983</v>
      </c>
      <c r="F387" s="83" t="inlineStr">
        <is>
          <t>1982-02</t>
        </is>
      </c>
      <c r="G387" s="83" t="n">
        <v>4.073818</v>
      </c>
      <c r="J387" s="83" t="n">
        <v>11.19616</v>
      </c>
      <c r="K387" s="83" t="n">
        <v>21.68812</v>
      </c>
      <c r="N387" s="83" t="n">
        <v>0.1771576</v>
      </c>
      <c r="R387" s="83" t="n">
        <v>11.021</v>
      </c>
      <c r="S387" s="83" t="n">
        <v>12.80822</v>
      </c>
      <c r="AE387" s="83" t="n">
        <v>0.5721776</v>
      </c>
      <c r="AG387" s="83" t="n">
        <v>0.4437726</v>
      </c>
      <c r="AJ387" s="83" t="n">
        <v>28.85092</v>
      </c>
      <c r="AK387" s="83" t="n">
        <v>0.8165723</v>
      </c>
      <c r="AO387" s="83" t="n">
        <v>0.01717754</v>
      </c>
      <c r="AQ387" s="83" t="n">
        <v>8.731602000000001</v>
      </c>
      <c r="AR387" s="83" t="n">
        <v>4.367439</v>
      </c>
      <c r="AS387" s="83" t="n">
        <v>3.643198</v>
      </c>
      <c r="AZ387" s="83" t="n">
        <v>12.69007</v>
      </c>
      <c r="BA387" s="83" t="n">
        <v>0.000212031</v>
      </c>
      <c r="BB387" s="83" t="n">
        <v>14.74642</v>
      </c>
      <c r="BC387" s="83" t="n">
        <v>1.435905</v>
      </c>
      <c r="BD387" s="83" t="n">
        <v>4.022623</v>
      </c>
    </row>
    <row r="388">
      <c r="A388" s="83" t="inlineStr">
        <is>
          <t>1983-07</t>
        </is>
      </c>
      <c r="B388" s="22" t="n">
        <v>30498</v>
      </c>
      <c r="C388" s="22" t="n"/>
      <c r="D388" s="22" t="n"/>
      <c r="E388" s="22" t="n">
        <v>30011</v>
      </c>
      <c r="F388" s="83" t="inlineStr">
        <is>
          <t>1982-03</t>
        </is>
      </c>
      <c r="G388" s="83" t="n">
        <v>4.10744</v>
      </c>
      <c r="J388" s="83" t="n">
        <v>11.28642</v>
      </c>
      <c r="K388" s="83" t="n">
        <v>21.74871</v>
      </c>
      <c r="N388" s="83" t="n">
        <v>0.1804272</v>
      </c>
      <c r="R388" s="83" t="n">
        <v>11.11571</v>
      </c>
      <c r="S388" s="83" t="n">
        <v>12.86188</v>
      </c>
      <c r="AE388" s="83" t="n">
        <v>0.576221</v>
      </c>
      <c r="AG388" s="83" t="n">
        <v>0.4587705</v>
      </c>
      <c r="AJ388" s="83" t="n">
        <v>29.0227</v>
      </c>
      <c r="AK388" s="83" t="n">
        <v>0.8391777</v>
      </c>
      <c r="AO388" s="83" t="n">
        <v>0.01864573</v>
      </c>
      <c r="AQ388" s="83" t="n">
        <v>8.827809</v>
      </c>
      <c r="AR388" s="83" t="n">
        <v>4.42906</v>
      </c>
      <c r="AS388" s="83" t="n">
        <v>3.696273</v>
      </c>
      <c r="AZ388" s="83" t="n">
        <v>12.80865</v>
      </c>
      <c r="BA388" s="83" t="n">
        <v>0.0002163111</v>
      </c>
      <c r="BB388" s="83" t="n">
        <v>14.84615</v>
      </c>
      <c r="BC388" s="83" t="n">
        <v>1.458272</v>
      </c>
      <c r="BD388" s="83" t="n">
        <v>3.954267</v>
      </c>
    </row>
    <row r="389">
      <c r="A389" s="83" t="inlineStr">
        <is>
          <t>1983-08</t>
        </is>
      </c>
      <c r="B389" s="22" t="n">
        <v>30529</v>
      </c>
      <c r="C389" s="22" t="n"/>
      <c r="D389" s="22" t="n"/>
      <c r="E389" s="22" t="n">
        <v>30042</v>
      </c>
      <c r="F389" s="83" t="inlineStr">
        <is>
          <t>1982-04</t>
        </is>
      </c>
      <c r="G389" s="83" t="n">
        <v>4.149467</v>
      </c>
      <c r="J389" s="83" t="n">
        <v>11.33708</v>
      </c>
      <c r="K389" s="83" t="n">
        <v>21.77984</v>
      </c>
      <c r="N389" s="83" t="n">
        <v>0.1843336</v>
      </c>
      <c r="R389" s="83" t="n">
        <v>11.18365</v>
      </c>
      <c r="S389" s="83" t="n">
        <v>12.91419</v>
      </c>
      <c r="AE389" s="83" t="n">
        <v>0.5826924</v>
      </c>
      <c r="AG389" s="83" t="n">
        <v>0.4732257</v>
      </c>
      <c r="AJ389" s="83" t="n">
        <v>29.15358</v>
      </c>
      <c r="AK389" s="83" t="n">
        <v>0.8623053000000001</v>
      </c>
      <c r="AO389" s="83" t="n">
        <v>0.01878851</v>
      </c>
      <c r="AQ389" s="83" t="n">
        <v>8.960488</v>
      </c>
      <c r="AR389" s="83" t="n">
        <v>4.470346</v>
      </c>
      <c r="AS389" s="83" t="n">
        <v>3.748638</v>
      </c>
      <c r="AZ389" s="83" t="n">
        <v>12.91643</v>
      </c>
      <c r="BA389" s="83" t="n">
        <v>0.0002252988</v>
      </c>
      <c r="BB389" s="83" t="n">
        <v>14.99074</v>
      </c>
      <c r="BC389" s="83" t="n">
        <v>1.469604</v>
      </c>
      <c r="BD389" s="83" t="n">
        <v>3.953799</v>
      </c>
    </row>
    <row r="390">
      <c r="A390" s="83" t="inlineStr">
        <is>
          <t>1983-09</t>
        </is>
      </c>
      <c r="B390" s="22" t="n">
        <v>30560</v>
      </c>
      <c r="C390" s="22" t="n"/>
      <c r="D390" s="22" t="n"/>
      <c r="E390" s="22" t="n">
        <v>30072</v>
      </c>
      <c r="F390" s="83" t="inlineStr">
        <is>
          <t>1982-05</t>
        </is>
      </c>
      <c r="G390" s="83" t="n">
        <v>4.211106</v>
      </c>
      <c r="J390" s="83" t="n">
        <v>11.36009</v>
      </c>
      <c r="K390" s="83" t="n">
        <v>21.83899</v>
      </c>
      <c r="N390" s="83" t="n">
        <v>0.1894767</v>
      </c>
      <c r="R390" s="83" t="n">
        <v>11.24003</v>
      </c>
      <c r="S390" s="83" t="n">
        <v>12.99659</v>
      </c>
      <c r="AE390" s="83" t="n">
        <v>0.5916687</v>
      </c>
      <c r="AG390" s="83" t="n">
        <v>0.4884466</v>
      </c>
      <c r="AJ390" s="83" t="n">
        <v>29.34172</v>
      </c>
      <c r="AK390" s="83" t="n">
        <v>0.8858740000000001</v>
      </c>
      <c r="AO390" s="83" t="n">
        <v>0.01893954</v>
      </c>
      <c r="AQ390" s="83" t="n">
        <v>9.040450999999999</v>
      </c>
      <c r="AR390" s="83" t="n">
        <v>4.506177</v>
      </c>
      <c r="AS390" s="83" t="n">
        <v>3.79864</v>
      </c>
      <c r="AZ390" s="83" t="n">
        <v>13.01475</v>
      </c>
      <c r="BA390" s="83" t="n">
        <v>0.0002337984</v>
      </c>
      <c r="BB390" s="83" t="n">
        <v>15.08631</v>
      </c>
      <c r="BC390" s="83" t="n">
        <v>1.465337</v>
      </c>
      <c r="BD390" s="83" t="n">
        <v>4.093322</v>
      </c>
    </row>
    <row r="391">
      <c r="A391" s="83" t="inlineStr">
        <is>
          <t>1983-10</t>
        </is>
      </c>
      <c r="B391" s="22" t="n">
        <v>30590</v>
      </c>
      <c r="C391" s="22" t="n"/>
      <c r="D391" s="22" t="n"/>
      <c r="E391" s="22" t="n">
        <v>30103</v>
      </c>
      <c r="F391" s="83" t="inlineStr">
        <is>
          <t>1982-06</t>
        </is>
      </c>
      <c r="G391" s="83" t="n">
        <v>4.253133</v>
      </c>
      <c r="J391" s="83" t="n">
        <v>11.40667</v>
      </c>
      <c r="K391" s="83" t="n">
        <v>21.86314</v>
      </c>
      <c r="N391" s="83" t="n">
        <v>0.1929897</v>
      </c>
      <c r="R391" s="83" t="n">
        <v>11.29443</v>
      </c>
      <c r="S391" s="83" t="n">
        <v>13.15205</v>
      </c>
      <c r="AE391" s="83" t="n">
        <v>0.5992496</v>
      </c>
      <c r="AG391" s="83" t="n">
        <v>0.5033117</v>
      </c>
      <c r="AJ391" s="83" t="n">
        <v>29.5135</v>
      </c>
      <c r="AK391" s="83" t="n">
        <v>0.9151312</v>
      </c>
      <c r="AO391" s="83" t="n">
        <v>0.01934244</v>
      </c>
      <c r="AQ391" s="83" t="n">
        <v>9.120132</v>
      </c>
      <c r="AR391" s="83" t="n">
        <v>4.543792</v>
      </c>
      <c r="AS391" s="83" t="n">
        <v>3.852793</v>
      </c>
      <c r="AZ391" s="83" t="n">
        <v>13.23277</v>
      </c>
      <c r="BA391" s="83" t="n">
        <v>0.0002380426</v>
      </c>
      <c r="BB391" s="83" t="n">
        <v>15.1744</v>
      </c>
      <c r="BC391" s="83" t="n">
        <v>1.47798</v>
      </c>
      <c r="BD391" s="83" t="n">
        <v>4.245547</v>
      </c>
    </row>
    <row r="392">
      <c r="A392" s="83" t="inlineStr">
        <is>
          <t>1983-11</t>
        </is>
      </c>
      <c r="B392" s="22" t="n">
        <v>30621</v>
      </c>
      <c r="C392" s="22" t="n"/>
      <c r="D392" s="22" t="n"/>
      <c r="E392" s="22" t="n">
        <v>30133</v>
      </c>
      <c r="F392" s="83" t="inlineStr">
        <is>
          <t>1982-07</t>
        </is>
      </c>
      <c r="G392" s="83" t="n">
        <v>4.269944</v>
      </c>
      <c r="J392" s="83" t="n">
        <v>11.42765</v>
      </c>
      <c r="K392" s="83" t="n">
        <v>21.93151</v>
      </c>
      <c r="N392" s="83" t="n">
        <v>0.1952613</v>
      </c>
      <c r="R392" s="83" t="n">
        <v>11.44097</v>
      </c>
      <c r="S392" s="83" t="n">
        <v>13.27945</v>
      </c>
      <c r="AE392" s="83" t="n">
        <v>0.6061147</v>
      </c>
      <c r="AG392" s="83" t="n">
        <v>0.519509</v>
      </c>
      <c r="AJ392" s="83" t="n">
        <v>29.79162</v>
      </c>
      <c r="AK392" s="83" t="n">
        <v>0.9388383</v>
      </c>
      <c r="AO392" s="83" t="n">
        <v>0.01994151</v>
      </c>
      <c r="AQ392" s="83" t="n">
        <v>9.167441</v>
      </c>
      <c r="AR392" s="83" t="n">
        <v>4.583911</v>
      </c>
      <c r="AS392" s="83" t="n">
        <v>3.908237</v>
      </c>
      <c r="AZ392" s="83" t="n">
        <v>13.35188</v>
      </c>
      <c r="BA392" s="83" t="n">
        <v>0.0002471922</v>
      </c>
      <c r="BB392" s="83" t="n">
        <v>15.22011</v>
      </c>
      <c r="BC392" s="83" t="n">
        <v>1.498004</v>
      </c>
      <c r="BD392" s="83" t="n">
        <v>4.323359</v>
      </c>
    </row>
    <row r="393">
      <c r="A393" s="83" t="inlineStr">
        <is>
          <t>1983-12</t>
        </is>
      </c>
      <c r="B393" s="22" t="n">
        <v>30651</v>
      </c>
      <c r="C393" s="22" t="n"/>
      <c r="D393" s="22" t="n"/>
      <c r="E393" s="22" t="n">
        <v>30164</v>
      </c>
      <c r="F393" s="83" t="inlineStr">
        <is>
          <t>1982-08</t>
        </is>
      </c>
      <c r="G393" s="83" t="n">
        <v>4.292358</v>
      </c>
      <c r="J393" s="83" t="n">
        <v>11.52427</v>
      </c>
      <c r="K393" s="83" t="n">
        <v>22.04599</v>
      </c>
      <c r="N393" s="83" t="n">
        <v>0.1968156</v>
      </c>
      <c r="R393" s="83" t="n">
        <v>11.59072</v>
      </c>
      <c r="S393" s="83" t="n">
        <v>13.33083</v>
      </c>
      <c r="AE393" s="83" t="n">
        <v>0.6147642</v>
      </c>
      <c r="AG393" s="83" t="n">
        <v>0.540496</v>
      </c>
      <c r="AJ393" s="83" t="n">
        <v>29.99612</v>
      </c>
      <c r="AK393" s="83" t="n">
        <v>0.9619856</v>
      </c>
      <c r="AO393" s="83" t="n">
        <v>0.02171556</v>
      </c>
      <c r="AQ393" s="83" t="n">
        <v>9.213243</v>
      </c>
      <c r="AR393" s="83" t="n">
        <v>4.659572</v>
      </c>
      <c r="AS393" s="83" t="n">
        <v>3.964679</v>
      </c>
      <c r="AZ393" s="83" t="n">
        <v>13.34699</v>
      </c>
      <c r="BA393" s="83" t="n">
        <v>0.0002580823</v>
      </c>
      <c r="BB393" s="83" t="n">
        <v>15.33395</v>
      </c>
      <c r="BC393" s="83" t="n">
        <v>1.520196</v>
      </c>
      <c r="BD393" s="83" t="n">
        <v>4.307176</v>
      </c>
    </row>
    <row r="394">
      <c r="A394" s="83" t="inlineStr">
        <is>
          <t>1984-01</t>
        </is>
      </c>
      <c r="B394" s="22" t="n">
        <v>30682</v>
      </c>
      <c r="C394" s="22" t="n"/>
      <c r="D394" s="22" t="n"/>
      <c r="E394" s="22" t="n">
        <v>30195</v>
      </c>
      <c r="F394" s="83" t="inlineStr">
        <is>
          <t>1982-09</t>
        </is>
      </c>
      <c r="G394" s="83" t="n">
        <v>4.328782</v>
      </c>
      <c r="J394" s="83" t="n">
        <v>11.54795</v>
      </c>
      <c r="K394" s="83" t="n">
        <v>22.22538</v>
      </c>
      <c r="N394" s="83" t="n">
        <v>0.198518</v>
      </c>
      <c r="R394" s="83" t="n">
        <v>11.65027</v>
      </c>
      <c r="S394" s="83" t="n">
        <v>13.40988</v>
      </c>
      <c r="AE394" s="83" t="n">
        <v>0.6241963</v>
      </c>
      <c r="AG394" s="83" t="n">
        <v>0.5647579</v>
      </c>
      <c r="AJ394" s="83" t="n">
        <v>30.15154</v>
      </c>
      <c r="AK394" s="83" t="n">
        <v>0.9909540999999999</v>
      </c>
      <c r="AO394" s="83" t="n">
        <v>0.02363807</v>
      </c>
      <c r="AQ394" s="83" t="n">
        <v>9.269256</v>
      </c>
      <c r="AR394" s="83" t="n">
        <v>4.735022</v>
      </c>
      <c r="AS394" s="83" t="n">
        <v>4.019837</v>
      </c>
      <c r="AZ394" s="83" t="n">
        <v>13.37656</v>
      </c>
      <c r="BA394" s="83" t="n">
        <v>0.0002683309</v>
      </c>
      <c r="BB394" s="83" t="n">
        <v>15.44365</v>
      </c>
      <c r="BC394" s="83" t="n">
        <v>1.548194</v>
      </c>
      <c r="BD394" s="83" t="n">
        <v>4.29113</v>
      </c>
    </row>
    <row r="395">
      <c r="A395" s="83" t="inlineStr">
        <is>
          <t>1984-02</t>
        </is>
      </c>
      <c r="B395" s="22" t="n">
        <v>30713</v>
      </c>
      <c r="C395" s="22" t="n"/>
      <c r="D395" s="22" t="n"/>
      <c r="E395" s="22" t="n">
        <v>30225</v>
      </c>
      <c r="F395" s="83" t="inlineStr">
        <is>
          <t>1982-10</t>
        </is>
      </c>
      <c r="G395" s="83" t="n">
        <v>4.362403</v>
      </c>
      <c r="J395" s="83" t="n">
        <v>11.58202</v>
      </c>
      <c r="K395" s="83" t="n">
        <v>22.42946</v>
      </c>
      <c r="N395" s="83" t="n">
        <v>0.1996751</v>
      </c>
      <c r="R395" s="83" t="n">
        <v>11.72598</v>
      </c>
      <c r="S395" s="83" t="n">
        <v>13.50671</v>
      </c>
      <c r="AE395" s="83" t="n">
        <v>0.6309283999999999</v>
      </c>
      <c r="AG395" s="83" t="n">
        <v>0.5892789</v>
      </c>
      <c r="AJ395" s="83" t="n">
        <v>30.33968</v>
      </c>
      <c r="AK395" s="83" t="n">
        <v>1.014064</v>
      </c>
      <c r="AO395" s="83" t="n">
        <v>0.0245368</v>
      </c>
      <c r="AQ395" s="83" t="n">
        <v>9.317335</v>
      </c>
      <c r="AR395" s="83" t="n">
        <v>4.786248</v>
      </c>
      <c r="AS395" s="83" t="n">
        <v>4.073986</v>
      </c>
      <c r="AZ395" s="83" t="n">
        <v>13.42534</v>
      </c>
      <c r="BA395" s="83" t="n">
        <v>0.0002767517</v>
      </c>
      <c r="BB395" s="83" t="n">
        <v>15.53755</v>
      </c>
      <c r="BC395" s="83" t="n">
        <v>1.57147</v>
      </c>
      <c r="BD395" s="83" t="n">
        <v>4.275642</v>
      </c>
    </row>
    <row r="396">
      <c r="A396" s="83" t="inlineStr">
        <is>
          <t>1984-03</t>
        </is>
      </c>
      <c r="B396" s="22" t="n">
        <v>30742</v>
      </c>
      <c r="C396" s="22" t="n"/>
      <c r="D396" s="22" t="n"/>
      <c r="E396" s="22" t="n">
        <v>30256</v>
      </c>
      <c r="F396" s="83" t="inlineStr">
        <is>
          <t>1982-11</t>
        </is>
      </c>
      <c r="G396" s="83" t="n">
        <v>4.396025</v>
      </c>
      <c r="J396" s="83" t="n">
        <v>11.61293</v>
      </c>
      <c r="K396" s="83" t="n">
        <v>22.61771</v>
      </c>
      <c r="N396" s="83" t="n">
        <v>0.201134</v>
      </c>
      <c r="R396" s="83" t="n">
        <v>11.82584</v>
      </c>
      <c r="S396" s="83" t="n">
        <v>13.61329</v>
      </c>
      <c r="AE396" s="83" t="n">
        <v>0.6387392</v>
      </c>
      <c r="AG396" s="83" t="n">
        <v>0.6148934</v>
      </c>
      <c r="AJ396" s="83" t="n">
        <v>30.51964</v>
      </c>
      <c r="AK396" s="83" t="n">
        <v>1.028265</v>
      </c>
      <c r="AO396" s="83" t="n">
        <v>0.0254745</v>
      </c>
      <c r="AQ396" s="83" t="n">
        <v>9.352713</v>
      </c>
      <c r="AR396" s="83" t="n">
        <v>4.840739</v>
      </c>
      <c r="AS396" s="83" t="n">
        <v>4.130794</v>
      </c>
      <c r="AZ396" s="83" t="n">
        <v>13.46736</v>
      </c>
      <c r="BA396" s="83" t="n">
        <v>0.0002839949</v>
      </c>
      <c r="BB396" s="83" t="n">
        <v>15.6539</v>
      </c>
      <c r="BC396" s="83" t="n">
        <v>1.597702</v>
      </c>
      <c r="BD396" s="83" t="n">
        <v>4.358589</v>
      </c>
    </row>
    <row r="397">
      <c r="A397" s="83" t="inlineStr">
        <is>
          <t>1984-04</t>
        </is>
      </c>
      <c r="B397" s="22" t="n">
        <v>30773</v>
      </c>
      <c r="C397" s="22" t="n"/>
      <c r="D397" s="22" t="n"/>
      <c r="E397" s="22" t="n">
        <v>30286</v>
      </c>
      <c r="F397" s="83" t="inlineStr">
        <is>
          <t>1982-12</t>
        </is>
      </c>
      <c r="G397" s="83" t="n">
        <v>4.449259</v>
      </c>
      <c r="J397" s="83" t="n">
        <v>11.59416</v>
      </c>
      <c r="K397" s="83" t="n">
        <v>22.7134</v>
      </c>
      <c r="N397" s="83" t="n">
        <v>0.2044357</v>
      </c>
      <c r="R397" s="83" t="n">
        <v>11.94952</v>
      </c>
      <c r="S397" s="83" t="n">
        <v>13.96884</v>
      </c>
      <c r="AE397" s="83" t="n">
        <v>0.6544532</v>
      </c>
      <c r="AG397" s="83" t="n">
        <v>0.6435654</v>
      </c>
      <c r="AJ397" s="83" t="n">
        <v>30.6587</v>
      </c>
      <c r="AK397" s="83" t="n">
        <v>1.036621</v>
      </c>
      <c r="AO397" s="83" t="n">
        <v>0.02648265</v>
      </c>
      <c r="AQ397" s="83" t="n">
        <v>9.451589999999999</v>
      </c>
      <c r="AR397" s="83" t="n">
        <v>4.908548</v>
      </c>
      <c r="AS397" s="83" t="n">
        <v>4.182588</v>
      </c>
      <c r="AZ397" s="83" t="n">
        <v>13.52073</v>
      </c>
      <c r="BA397" s="83" t="n">
        <v>0.0002960128</v>
      </c>
      <c r="BB397" s="83" t="n">
        <v>15.83838</v>
      </c>
      <c r="BC397" s="83" t="n">
        <v>1.629302</v>
      </c>
      <c r="BD397" s="83" t="n">
        <v>4.533742</v>
      </c>
    </row>
    <row r="398">
      <c r="A398" s="83" t="inlineStr">
        <is>
          <t>1984-05</t>
        </is>
      </c>
      <c r="B398" s="22" t="n">
        <v>30803</v>
      </c>
      <c r="C398" s="22" t="n"/>
      <c r="D398" s="22" t="n"/>
      <c r="E398" s="22" t="n">
        <v>30317</v>
      </c>
      <c r="F398" s="83" t="inlineStr">
        <is>
          <t>1983-01</t>
        </is>
      </c>
      <c r="G398" s="83" t="n">
        <v>4.494088</v>
      </c>
      <c r="J398" s="83" t="n">
        <v>11.6701</v>
      </c>
      <c r="K398" s="83" t="n">
        <v>22.75543</v>
      </c>
      <c r="N398" s="83" t="n">
        <v>0.2080037</v>
      </c>
      <c r="R398" s="83" t="n">
        <v>12.12848</v>
      </c>
      <c r="S398" s="83" t="n">
        <v>14.22731</v>
      </c>
      <c r="AE398" s="83" t="n">
        <v>0.6626164</v>
      </c>
      <c r="AG398" s="83" t="n">
        <v>0.6710023000000001</v>
      </c>
      <c r="AH398" s="83" t="n">
        <v>0.02095743</v>
      </c>
      <c r="AJ398" s="83" t="n">
        <v>30.8223</v>
      </c>
      <c r="AK398" s="83" t="n">
        <v>1.056316</v>
      </c>
      <c r="AO398" s="83" t="n">
        <v>0.02744468</v>
      </c>
      <c r="AQ398" s="83" t="n">
        <v>9.511203</v>
      </c>
      <c r="AR398" s="83" t="n">
        <v>5.014716</v>
      </c>
      <c r="AS398" s="83" t="n">
        <v>4.238477</v>
      </c>
      <c r="AZ398" s="83" t="n">
        <v>13.72822</v>
      </c>
      <c r="BA398" s="83" t="n">
        <v>0.0003022324</v>
      </c>
      <c r="BB398" s="83" t="n">
        <v>16.28298</v>
      </c>
      <c r="BC398" s="83" t="n">
        <v>1.660343</v>
      </c>
      <c r="BD398" s="83" t="n">
        <v>4.695979</v>
      </c>
    </row>
    <row r="399">
      <c r="A399" s="83" t="inlineStr">
        <is>
          <t>1984-06</t>
        </is>
      </c>
      <c r="B399" s="22" t="n">
        <v>30834</v>
      </c>
      <c r="C399" s="22" t="n"/>
      <c r="D399" s="22" t="n"/>
      <c r="E399" s="22" t="n">
        <v>30348</v>
      </c>
      <c r="F399" s="83" t="inlineStr">
        <is>
          <t>1983-02</t>
        </is>
      </c>
      <c r="G399" s="83" t="n">
        <v>4.536115</v>
      </c>
      <c r="J399" s="83" t="n">
        <v>11.70009</v>
      </c>
      <c r="K399" s="83" t="n">
        <v>22.87497</v>
      </c>
      <c r="N399" s="83" t="n">
        <v>0.2107508</v>
      </c>
      <c r="R399" s="83" t="n">
        <v>12.31365</v>
      </c>
      <c r="S399" s="83" t="n">
        <v>14.20619</v>
      </c>
      <c r="AE399" s="83" t="n">
        <v>0.6632768999999999</v>
      </c>
      <c r="AG399" s="83" t="n">
        <v>0.7008974</v>
      </c>
      <c r="AH399" s="83" t="n">
        <v>0.02273216</v>
      </c>
      <c r="AJ399" s="83" t="n">
        <v>30.9859</v>
      </c>
      <c r="AK399" s="83" t="n">
        <v>1.079212</v>
      </c>
      <c r="AO399" s="83" t="n">
        <v>0.02837446</v>
      </c>
      <c r="AQ399" s="83" t="n">
        <v>9.577389</v>
      </c>
      <c r="AR399" s="83" t="n">
        <v>5.09297</v>
      </c>
      <c r="AS399" s="83" t="n">
        <v>4.289293</v>
      </c>
      <c r="AZ399" s="83" t="n">
        <v>13.93952</v>
      </c>
      <c r="BA399" s="83" t="n">
        <v>0.0003019425</v>
      </c>
      <c r="BB399" s="83" t="n">
        <v>16.59378</v>
      </c>
      <c r="BC399" s="83" t="n">
        <v>1.6896</v>
      </c>
      <c r="BD399" s="83" t="n">
        <v>4.831162</v>
      </c>
    </row>
    <row r="400">
      <c r="A400" s="83" t="inlineStr">
        <is>
          <t>1984-07</t>
        </is>
      </c>
      <c r="B400" s="22" t="n">
        <v>30864</v>
      </c>
      <c r="C400" s="22" t="n"/>
      <c r="D400" s="22" t="n"/>
      <c r="E400" s="22" t="n">
        <v>30376</v>
      </c>
      <c r="F400" s="83" t="inlineStr">
        <is>
          <t>1983-03</t>
        </is>
      </c>
      <c r="G400" s="83" t="n">
        <v>4.608962</v>
      </c>
      <c r="J400" s="83" t="n">
        <v>11.6761</v>
      </c>
      <c r="K400" s="83" t="n">
        <v>23.05199</v>
      </c>
      <c r="N400" s="83" t="n">
        <v>0.2120904</v>
      </c>
      <c r="R400" s="83" t="n">
        <v>12.581</v>
      </c>
      <c r="S400" s="83" t="n">
        <v>14.1993</v>
      </c>
      <c r="AE400" s="83" t="n">
        <v>0.6704164</v>
      </c>
      <c r="AG400" s="83" t="n">
        <v>0.7422256</v>
      </c>
      <c r="AH400" s="83" t="n">
        <v>0.0245674</v>
      </c>
      <c r="AJ400" s="83" t="n">
        <v>31.1495</v>
      </c>
      <c r="AK400" s="83" t="n">
        <v>1.096242</v>
      </c>
      <c r="AO400" s="83" t="n">
        <v>0.02923939</v>
      </c>
      <c r="AQ400" s="83" t="n">
        <v>9.659592999999999</v>
      </c>
      <c r="AR400" s="83" t="n">
        <v>5.14768</v>
      </c>
      <c r="AS400" s="83" t="n">
        <v>4.341461</v>
      </c>
      <c r="AZ400" s="83" t="n">
        <v>14.04092</v>
      </c>
      <c r="BA400" s="83" t="n">
        <v>0.0003089869</v>
      </c>
      <c r="BB400" s="83" t="n">
        <v>16.74669</v>
      </c>
      <c r="BC400" s="83" t="n">
        <v>1.720186</v>
      </c>
      <c r="BD400" s="83" t="n">
        <v>4.734241</v>
      </c>
    </row>
    <row r="401">
      <c r="A401" s="83" t="inlineStr">
        <is>
          <t>1984-08</t>
        </is>
      </c>
      <c r="B401" s="22" t="n">
        <v>30895</v>
      </c>
      <c r="C401" s="22" t="n"/>
      <c r="D401" s="22" t="n"/>
      <c r="E401" s="22" t="n">
        <v>30407</v>
      </c>
      <c r="F401" s="83" t="inlineStr">
        <is>
          <t>1983-04</t>
        </is>
      </c>
      <c r="G401" s="83" t="n">
        <v>4.670602</v>
      </c>
      <c r="J401" s="83" t="n">
        <v>11.63878</v>
      </c>
      <c r="K401" s="83" t="n">
        <v>23.21208</v>
      </c>
      <c r="N401" s="83" t="n">
        <v>0.2164105</v>
      </c>
      <c r="R401" s="83" t="n">
        <v>12.90168</v>
      </c>
      <c r="S401" s="83" t="n">
        <v>14.22851</v>
      </c>
      <c r="AE401" s="83" t="n">
        <v>0.6801361</v>
      </c>
      <c r="AG401" s="83" t="n">
        <v>0.7794129</v>
      </c>
      <c r="AH401" s="83" t="n">
        <v>0.02605076</v>
      </c>
      <c r="AJ401" s="83" t="n">
        <v>31.37854</v>
      </c>
      <c r="AK401" s="83" t="n">
        <v>1.117585</v>
      </c>
      <c r="AO401" s="83" t="n">
        <v>0.03025216</v>
      </c>
      <c r="AQ401" s="83" t="n">
        <v>9.706</v>
      </c>
      <c r="AR401" s="83" t="n">
        <v>5.197642</v>
      </c>
      <c r="AS401" s="83" t="n">
        <v>4.383633</v>
      </c>
      <c r="AZ401" s="83" t="n">
        <v>14.01494</v>
      </c>
      <c r="BA401" s="83" t="n">
        <v>0.000316996</v>
      </c>
      <c r="BB401" s="83" t="n">
        <v>16.85804</v>
      </c>
      <c r="BC401" s="83" t="n">
        <v>1.749233</v>
      </c>
      <c r="BD401" s="83" t="n">
        <v>4.561956</v>
      </c>
    </row>
    <row r="402">
      <c r="A402" s="83" t="inlineStr">
        <is>
          <t>1984-09</t>
        </is>
      </c>
      <c r="B402" s="22" t="n">
        <v>30926</v>
      </c>
      <c r="C402" s="22" t="n"/>
      <c r="D402" s="22" t="n"/>
      <c r="E402" s="22" t="n">
        <v>30437</v>
      </c>
      <c r="F402" s="83" t="inlineStr">
        <is>
          <t>1983-05</t>
        </is>
      </c>
      <c r="G402" s="83" t="n">
        <v>4.718232</v>
      </c>
      <c r="J402" s="83" t="n">
        <v>11.6043</v>
      </c>
      <c r="K402" s="83" t="n">
        <v>23.3881</v>
      </c>
      <c r="N402" s="83" t="n">
        <v>0.2239967</v>
      </c>
      <c r="R402" s="83" t="n">
        <v>13.16513</v>
      </c>
      <c r="S402" s="83" t="n">
        <v>14.32323</v>
      </c>
      <c r="AE402" s="83" t="n">
        <v>0.691323</v>
      </c>
      <c r="AG402" s="83" t="n">
        <v>0.8223155</v>
      </c>
      <c r="AH402" s="83" t="n">
        <v>0.02812095</v>
      </c>
      <c r="AJ402" s="83" t="n">
        <v>31.57486</v>
      </c>
      <c r="AK402" s="83" t="n">
        <v>1.139085</v>
      </c>
      <c r="AO402" s="83" t="n">
        <v>0.03150535</v>
      </c>
      <c r="AQ402" s="83" t="n">
        <v>9.781976</v>
      </c>
      <c r="AR402" s="83" t="n">
        <v>5.253428</v>
      </c>
      <c r="AS402" s="83" t="n">
        <v>4.435042</v>
      </c>
      <c r="AZ402" s="83" t="n">
        <v>14.03833</v>
      </c>
      <c r="BA402" s="83" t="n">
        <v>0.0003241502</v>
      </c>
      <c r="BB402" s="83" t="n">
        <v>16.97854</v>
      </c>
      <c r="BC402" s="83" t="n">
        <v>1.775587</v>
      </c>
      <c r="BD402" s="83" t="n">
        <v>4.63286</v>
      </c>
    </row>
    <row r="403">
      <c r="A403" s="83" t="inlineStr">
        <is>
          <t>1984-10</t>
        </is>
      </c>
      <c r="B403" s="22" t="n">
        <v>30956</v>
      </c>
      <c r="C403" s="22" t="n"/>
      <c r="D403" s="22" t="n"/>
      <c r="E403" s="22" t="n">
        <v>30468</v>
      </c>
      <c r="F403" s="83" t="inlineStr">
        <is>
          <t>1983-06</t>
        </is>
      </c>
      <c r="G403" s="83" t="n">
        <v>4.77707</v>
      </c>
      <c r="J403" s="83" t="n">
        <v>11.57338</v>
      </c>
      <c r="K403" s="83" t="n">
        <v>23.57176</v>
      </c>
      <c r="N403" s="83" t="n">
        <v>0.2301046</v>
      </c>
      <c r="R403" s="83" t="n">
        <v>13.47718</v>
      </c>
      <c r="S403" s="83" t="n">
        <v>14.44253</v>
      </c>
      <c r="AE403" s="83" t="n">
        <v>0.7014590000000001</v>
      </c>
      <c r="AG403" s="83" t="n">
        <v>0.884497</v>
      </c>
      <c r="AH403" s="83" t="n">
        <v>0.03042645</v>
      </c>
      <c r="AJ403" s="83" t="n">
        <v>31.78754</v>
      </c>
      <c r="AK403" s="83" t="n">
        <v>1.157779</v>
      </c>
      <c r="AO403" s="83" t="n">
        <v>0.03301629</v>
      </c>
      <c r="AQ403" s="83" t="n">
        <v>9.873263</v>
      </c>
      <c r="AR403" s="83" t="n">
        <v>5.310591</v>
      </c>
      <c r="AS403" s="83" t="n">
        <v>4.475329</v>
      </c>
      <c r="AZ403" s="83" t="n">
        <v>14.15845</v>
      </c>
      <c r="BA403" s="83" t="n">
        <v>0.0003323121</v>
      </c>
      <c r="BB403" s="83" t="n">
        <v>17.06497</v>
      </c>
      <c r="BC403" s="83" t="n">
        <v>1.802956</v>
      </c>
      <c r="BD403" s="83" t="n">
        <v>4.756926</v>
      </c>
    </row>
    <row r="404">
      <c r="A404" s="83" t="inlineStr">
        <is>
          <t>1984-11</t>
        </is>
      </c>
      <c r="B404" s="22" t="n">
        <v>30987</v>
      </c>
      <c r="C404" s="22" t="n"/>
      <c r="D404" s="22" t="n"/>
      <c r="E404" s="22" t="n">
        <v>30498</v>
      </c>
      <c r="F404" s="83" t="inlineStr">
        <is>
          <t>1983-07</t>
        </is>
      </c>
      <c r="G404" s="83" t="n">
        <v>4.824701</v>
      </c>
      <c r="J404" s="83" t="n">
        <v>11.59494</v>
      </c>
      <c r="K404" s="83" t="n">
        <v>23.69643</v>
      </c>
      <c r="N404" s="83" t="n">
        <v>0.2363022</v>
      </c>
      <c r="R404" s="83" t="n">
        <v>13.74848</v>
      </c>
      <c r="S404" s="83" t="n">
        <v>14.57456</v>
      </c>
      <c r="AE404" s="83" t="n">
        <v>0.7130629000000001</v>
      </c>
      <c r="AG404" s="83" t="n">
        <v>0.9422323</v>
      </c>
      <c r="AH404" s="83" t="n">
        <v>0.03285351</v>
      </c>
      <c r="AJ404" s="83" t="n">
        <v>31.93478</v>
      </c>
      <c r="AK404" s="83" t="n">
        <v>1.176036</v>
      </c>
      <c r="AO404" s="83" t="n">
        <v>0.03484663</v>
      </c>
      <c r="AQ404" s="83" t="n">
        <v>10.03738</v>
      </c>
      <c r="AR404" s="83" t="n">
        <v>5.371374</v>
      </c>
      <c r="AS404" s="83" t="n">
        <v>4.519748</v>
      </c>
      <c r="AZ404" s="83" t="n">
        <v>14.31264</v>
      </c>
      <c r="BA404" s="83" t="n">
        <v>0.0003389236</v>
      </c>
      <c r="BB404" s="83" t="n">
        <v>17.15887</v>
      </c>
      <c r="BC404" s="83" t="n">
        <v>1.815022</v>
      </c>
      <c r="BD404" s="83" t="n">
        <v>4.855741</v>
      </c>
    </row>
    <row r="405">
      <c r="A405" s="83" t="inlineStr">
        <is>
          <t>1984-12</t>
        </is>
      </c>
      <c r="B405" s="22" t="n">
        <v>31017</v>
      </c>
      <c r="C405" s="22" t="n"/>
      <c r="D405" s="22" t="n"/>
      <c r="E405" s="22" t="n">
        <v>30529</v>
      </c>
      <c r="F405" s="83" t="inlineStr">
        <is>
          <t>1983-08</t>
        </is>
      </c>
      <c r="G405" s="83" t="n">
        <v>4.872331</v>
      </c>
      <c r="J405" s="83" t="n">
        <v>11.6548</v>
      </c>
      <c r="K405" s="83" t="n">
        <v>23.83766</v>
      </c>
      <c r="N405" s="83" t="n">
        <v>0.2426254</v>
      </c>
      <c r="R405" s="83" t="n">
        <v>13.93152</v>
      </c>
      <c r="S405" s="83" t="n">
        <v>14.61794</v>
      </c>
      <c r="AE405" s="83" t="n">
        <v>0.7238493</v>
      </c>
      <c r="AG405" s="83" t="n">
        <v>0.9986113</v>
      </c>
      <c r="AH405" s="83" t="n">
        <v>0.03660771</v>
      </c>
      <c r="AJ405" s="83" t="n">
        <v>32.11474</v>
      </c>
      <c r="AK405" s="83" t="n">
        <v>1.194269</v>
      </c>
      <c r="AO405" s="83" t="n">
        <v>0.03670263</v>
      </c>
      <c r="AQ405" s="83" t="n">
        <v>10.14108</v>
      </c>
      <c r="AR405" s="83" t="n">
        <v>5.430591</v>
      </c>
      <c r="AS405" s="83" t="n">
        <v>4.588013</v>
      </c>
      <c r="AZ405" s="83" t="n">
        <v>14.42652</v>
      </c>
      <c r="BA405" s="83" t="n">
        <v>0.0003417805</v>
      </c>
      <c r="BB405" s="83" t="n">
        <v>17.23532</v>
      </c>
      <c r="BC405" s="83" t="n">
        <v>1.826285</v>
      </c>
      <c r="BD405" s="83" t="n">
        <v>4.96856</v>
      </c>
    </row>
    <row r="406">
      <c r="A406" s="83" t="inlineStr">
        <is>
          <t>1985-01</t>
        </is>
      </c>
      <c r="B406" s="22" t="n">
        <v>31048</v>
      </c>
      <c r="C406" s="22" t="n"/>
      <c r="D406" s="22" t="n"/>
      <c r="E406" s="22" t="n">
        <v>30560</v>
      </c>
      <c r="F406" s="83" t="inlineStr">
        <is>
          <t>1983-09</t>
        </is>
      </c>
      <c r="G406" s="83" t="n">
        <v>4.922764</v>
      </c>
      <c r="J406" s="83" t="n">
        <v>11.70934</v>
      </c>
      <c r="K406" s="83" t="n">
        <v>23.9619</v>
      </c>
      <c r="N406" s="83" t="n">
        <v>0.2478349</v>
      </c>
      <c r="R406" s="83" t="n">
        <v>14.24056</v>
      </c>
      <c r="S406" s="83" t="n">
        <v>14.62258</v>
      </c>
      <c r="AE406" s="83" t="n">
        <v>0.7322921</v>
      </c>
      <c r="AG406" s="83" t="n">
        <v>1.049833</v>
      </c>
      <c r="AH406" s="83" t="n">
        <v>0.04088593</v>
      </c>
      <c r="AJ406" s="83" t="n">
        <v>32.32742</v>
      </c>
      <c r="AK406" s="83" t="n">
        <v>1.21007</v>
      </c>
      <c r="AO406" s="83" t="n">
        <v>0.03831557</v>
      </c>
      <c r="AQ406" s="83" t="n">
        <v>10.13828</v>
      </c>
      <c r="AR406" s="83" t="n">
        <v>5.487486</v>
      </c>
      <c r="AS406" s="83" t="n">
        <v>4.645791</v>
      </c>
      <c r="AZ406" s="83" t="n">
        <v>14.5254</v>
      </c>
      <c r="BA406" s="83" t="n">
        <v>0.0003440433</v>
      </c>
      <c r="BB406" s="83" t="n">
        <v>17.31178</v>
      </c>
      <c r="BC406" s="83" t="n">
        <v>1.857658</v>
      </c>
      <c r="BD406" s="83" t="n">
        <v>5.081468</v>
      </c>
    </row>
    <row r="407">
      <c r="A407" s="83" t="inlineStr">
        <is>
          <t>1985-02</t>
        </is>
      </c>
      <c r="B407" s="22" t="n">
        <v>31079</v>
      </c>
      <c r="C407" s="22" t="n"/>
      <c r="D407" s="22" t="n"/>
      <c r="E407" s="22" t="n">
        <v>30590</v>
      </c>
      <c r="F407" s="83" t="inlineStr">
        <is>
          <t>1983-10</t>
        </is>
      </c>
      <c r="G407" s="83" t="n">
        <v>4.970394</v>
      </c>
      <c r="J407" s="83" t="n">
        <v>11.72867</v>
      </c>
      <c r="K407" s="83" t="n">
        <v>23.9701</v>
      </c>
      <c r="N407" s="83" t="n">
        <v>0.2550661</v>
      </c>
      <c r="R407" s="83" t="n">
        <v>14.49575</v>
      </c>
      <c r="S407" s="83" t="n">
        <v>14.71523</v>
      </c>
      <c r="AE407" s="83" t="n">
        <v>0.7427153</v>
      </c>
      <c r="AG407" s="83" t="n">
        <v>1.091228</v>
      </c>
      <c r="AH407" s="83" t="n">
        <v>0.04735332</v>
      </c>
      <c r="AJ407" s="83" t="n">
        <v>32.52374</v>
      </c>
      <c r="AK407" s="83" t="n">
        <v>1.227073</v>
      </c>
      <c r="AO407" s="83" t="n">
        <v>0.0400954</v>
      </c>
      <c r="AQ407" s="83" t="n">
        <v>10.17922</v>
      </c>
      <c r="AR407" s="83" t="n">
        <v>5.559956</v>
      </c>
      <c r="AS407" s="83" t="n">
        <v>4.715034</v>
      </c>
      <c r="AZ407" s="83" t="n">
        <v>14.54648</v>
      </c>
      <c r="BA407" s="83" t="n">
        <v>0.000354166</v>
      </c>
      <c r="BB407" s="83" t="n">
        <v>17.44557</v>
      </c>
      <c r="BC407" s="83" t="n">
        <v>1.872959</v>
      </c>
      <c r="BD407" s="83" t="n">
        <v>5.1701</v>
      </c>
    </row>
    <row r="408">
      <c r="A408" s="83" t="inlineStr">
        <is>
          <t>1985-03</t>
        </is>
      </c>
      <c r="B408" s="22" t="n">
        <v>31107</v>
      </c>
      <c r="C408" s="22" t="n"/>
      <c r="D408" s="22" t="n"/>
      <c r="E408" s="22" t="n">
        <v>30621</v>
      </c>
      <c r="F408" s="83" t="inlineStr">
        <is>
          <t>1983-11</t>
        </is>
      </c>
      <c r="G408" s="83" t="n">
        <v>5.020827</v>
      </c>
      <c r="J408" s="83" t="n">
        <v>11.72687</v>
      </c>
      <c r="K408" s="83" t="n">
        <v>24.05365</v>
      </c>
      <c r="N408" s="83" t="n">
        <v>0.263099</v>
      </c>
      <c r="R408" s="83" t="n">
        <v>14.6788</v>
      </c>
      <c r="S408" s="83" t="n">
        <v>14.86142</v>
      </c>
      <c r="AE408" s="83" t="n">
        <v>0.7537034</v>
      </c>
      <c r="AG408" s="83" t="n">
        <v>1.129102</v>
      </c>
      <c r="AH408" s="83" t="n">
        <v>0.05619687</v>
      </c>
      <c r="AJ408" s="83" t="n">
        <v>32.65462</v>
      </c>
      <c r="AK408" s="83" t="n">
        <v>1.24715</v>
      </c>
      <c r="AO408" s="83" t="n">
        <v>0.04204137</v>
      </c>
      <c r="AQ408" s="83" t="n">
        <v>10.26783</v>
      </c>
      <c r="AR408" s="83" t="n">
        <v>5.632593</v>
      </c>
      <c r="AS408" s="83" t="n">
        <v>4.800676</v>
      </c>
      <c r="AZ408" s="83" t="n">
        <v>14.53533</v>
      </c>
      <c r="BA408" s="83" t="n">
        <v>0.0003664137</v>
      </c>
      <c r="BB408" s="83" t="n">
        <v>17.55361</v>
      </c>
      <c r="BC408" s="83" t="n">
        <v>1.87985</v>
      </c>
      <c r="BD408" s="83" t="n">
        <v>5.283453</v>
      </c>
    </row>
    <row r="409">
      <c r="A409" s="83" t="inlineStr">
        <is>
          <t>1985-04</t>
        </is>
      </c>
      <c r="B409" s="22" t="n">
        <v>31138</v>
      </c>
      <c r="C409" s="22" t="n"/>
      <c r="D409" s="22" t="n"/>
      <c r="E409" s="22" t="n">
        <v>30651</v>
      </c>
      <c r="F409" s="83" t="inlineStr">
        <is>
          <t>1983-12</t>
        </is>
      </c>
      <c r="G409" s="83" t="n">
        <v>5.082466</v>
      </c>
      <c r="J409" s="83" t="n">
        <v>11.76745</v>
      </c>
      <c r="K409" s="83" t="n">
        <v>24.22371</v>
      </c>
      <c r="N409" s="83" t="n">
        <v>0.2669038</v>
      </c>
      <c r="R409" s="83" t="n">
        <v>15.03503</v>
      </c>
      <c r="S409" s="83" t="n">
        <v>15.23922</v>
      </c>
      <c r="AE409" s="83" t="n">
        <v>0.7683733</v>
      </c>
      <c r="AG409" s="83" t="n">
        <v>1.159382</v>
      </c>
      <c r="AH409" s="83" t="n">
        <v>0.06448279</v>
      </c>
      <c r="AJ409" s="83" t="n">
        <v>32.96547</v>
      </c>
      <c r="AK409" s="83" t="n">
        <v>1.265856</v>
      </c>
      <c r="AO409" s="83" t="n">
        <v>0.04396788</v>
      </c>
      <c r="AQ409" s="83" t="n">
        <v>10.37255</v>
      </c>
      <c r="AR409" s="83" t="n">
        <v>5.709736</v>
      </c>
      <c r="AS409" s="83" t="n">
        <v>4.874714</v>
      </c>
      <c r="AZ409" s="83" t="n">
        <v>14.54432</v>
      </c>
      <c r="BA409" s="83" t="n">
        <v>0.0003764761</v>
      </c>
      <c r="BB409" s="83" t="n">
        <v>17.64668</v>
      </c>
      <c r="BC409" s="83" t="n">
        <v>1.902024</v>
      </c>
      <c r="BD409" s="83" t="n">
        <v>5.417884</v>
      </c>
    </row>
    <row r="410">
      <c r="A410" s="83" t="inlineStr">
        <is>
          <t>1985-05</t>
        </is>
      </c>
      <c r="B410" s="22" t="n">
        <v>31168</v>
      </c>
      <c r="C410" s="22" t="n"/>
      <c r="D410" s="22" t="n"/>
      <c r="E410" s="22" t="n">
        <v>30682</v>
      </c>
      <c r="F410" s="83" t="inlineStr">
        <is>
          <t>1984-01</t>
        </is>
      </c>
      <c r="G410" s="83" t="n">
        <v>5.146908</v>
      </c>
      <c r="J410" s="83" t="n">
        <v>11.77427</v>
      </c>
      <c r="K410" s="83" t="n">
        <v>24.34656</v>
      </c>
      <c r="N410" s="83" t="n">
        <v>0.2689271</v>
      </c>
      <c r="R410" s="83" t="n">
        <v>15.37568</v>
      </c>
      <c r="S410" s="83" t="n">
        <v>15.47452</v>
      </c>
      <c r="AE410" s="83" t="n">
        <v>0.7782943</v>
      </c>
      <c r="AG410" s="83" t="n">
        <v>1.1844</v>
      </c>
      <c r="AH410" s="83" t="n">
        <v>0.07367181</v>
      </c>
      <c r="AJ410" s="83" t="n">
        <v>33.1536</v>
      </c>
      <c r="AK410" s="83" t="n">
        <v>1.281726</v>
      </c>
      <c r="AO410" s="83" t="n">
        <v>0.04600075</v>
      </c>
      <c r="AQ410" s="83" t="n">
        <v>10.4756</v>
      </c>
      <c r="AR410" s="83" t="n">
        <v>5.787604</v>
      </c>
      <c r="AS410" s="83" t="n">
        <v>4.988683</v>
      </c>
      <c r="AZ410" s="83" t="n">
        <v>14.53624</v>
      </c>
      <c r="BA410" s="83" t="n">
        <v>0.0003840756</v>
      </c>
      <c r="BB410" s="83" t="n">
        <v>17.76884</v>
      </c>
      <c r="BC410" s="83" t="n">
        <v>1.932313</v>
      </c>
      <c r="BD410" s="83" t="n">
        <v>5.528678</v>
      </c>
    </row>
    <row r="411">
      <c r="A411" s="83" t="inlineStr">
        <is>
          <t>1985-06</t>
        </is>
      </c>
      <c r="B411" s="22" t="n">
        <v>31199</v>
      </c>
      <c r="C411" s="22" t="n"/>
      <c r="D411" s="22" t="n"/>
      <c r="E411" s="22" t="n">
        <v>30713</v>
      </c>
      <c r="F411" s="83" t="inlineStr">
        <is>
          <t>1984-02</t>
        </is>
      </c>
      <c r="G411" s="83" t="n">
        <v>5.214151</v>
      </c>
      <c r="J411" s="83" t="n">
        <v>11.77618</v>
      </c>
      <c r="K411" s="83" t="n">
        <v>24.48341</v>
      </c>
      <c r="N411" s="83" t="n">
        <v>0.2721754</v>
      </c>
      <c r="R411" s="83" t="n">
        <v>15.60685</v>
      </c>
      <c r="S411" s="83" t="n">
        <v>15.39303</v>
      </c>
      <c r="AE411" s="83" t="n">
        <v>0.7833513</v>
      </c>
      <c r="AG411" s="83" t="n">
        <v>1.210088</v>
      </c>
      <c r="AH411" s="83" t="n">
        <v>0.08497962000000001</v>
      </c>
      <c r="AJ411" s="83" t="n">
        <v>33.37447</v>
      </c>
      <c r="AK411" s="83" t="n">
        <v>1.297711</v>
      </c>
      <c r="AO411" s="83" t="n">
        <v>0.04815287</v>
      </c>
      <c r="AQ411" s="83" t="n">
        <v>10.59868</v>
      </c>
      <c r="AR411" s="83" t="n">
        <v>5.859575</v>
      </c>
      <c r="AS411" s="83" t="n">
        <v>5.106152</v>
      </c>
      <c r="AZ411" s="83" t="n">
        <v>14.55841</v>
      </c>
      <c r="BA411" s="83" t="n">
        <v>0.0003937122</v>
      </c>
      <c r="BB411" s="83" t="n">
        <v>17.93504</v>
      </c>
      <c r="BC411" s="83" t="n">
        <v>1.963669</v>
      </c>
      <c r="BD411" s="83" t="n">
        <v>5.622452</v>
      </c>
    </row>
    <row r="412">
      <c r="A412" s="83" t="inlineStr">
        <is>
          <t>1985-07</t>
        </is>
      </c>
      <c r="B412" s="22" t="n">
        <v>31229</v>
      </c>
      <c r="C412" s="22" t="n"/>
      <c r="D412" s="22" t="n"/>
      <c r="E412" s="22" t="n">
        <v>30742</v>
      </c>
      <c r="F412" s="83" t="inlineStr">
        <is>
          <t>1984-03</t>
        </is>
      </c>
      <c r="G412" s="83" t="n">
        <v>5.272989</v>
      </c>
      <c r="J412" s="83" t="n">
        <v>11.84494</v>
      </c>
      <c r="K412" s="83" t="n">
        <v>24.61698</v>
      </c>
      <c r="N412" s="83" t="n">
        <v>0.2758665</v>
      </c>
      <c r="R412" s="83" t="n">
        <v>15.80437</v>
      </c>
      <c r="S412" s="83" t="n">
        <v>15.37608</v>
      </c>
      <c r="AE412" s="83" t="n">
        <v>0.7927789</v>
      </c>
      <c r="AG412" s="83" t="n">
        <v>1.238413</v>
      </c>
      <c r="AH412" s="83" t="n">
        <v>0.09761741</v>
      </c>
      <c r="AJ412" s="83" t="n">
        <v>33.66077</v>
      </c>
      <c r="AK412" s="83" t="n">
        <v>1.306639</v>
      </c>
      <c r="AO412" s="83" t="n">
        <v>0.05049831</v>
      </c>
      <c r="AQ412" s="83" t="n">
        <v>10.73885</v>
      </c>
      <c r="AR412" s="83" t="n">
        <v>5.936124</v>
      </c>
      <c r="AS412" s="83" t="n">
        <v>5.19681</v>
      </c>
      <c r="AZ412" s="83" t="n">
        <v>14.6418</v>
      </c>
      <c r="BA412" s="83" t="n">
        <v>0.0004106298</v>
      </c>
      <c r="BB412" s="83" t="n">
        <v>18.07632</v>
      </c>
      <c r="BC412" s="83" t="n">
        <v>1.979425</v>
      </c>
      <c r="BD412" s="83" t="n">
        <v>5.529034</v>
      </c>
    </row>
    <row r="413">
      <c r="A413" s="83" t="inlineStr">
        <is>
          <t>1985-08</t>
        </is>
      </c>
      <c r="B413" s="22" t="n">
        <v>31260</v>
      </c>
      <c r="C413" s="22" t="n"/>
      <c r="D413" s="22" t="n"/>
      <c r="E413" s="22" t="n">
        <v>30773</v>
      </c>
      <c r="F413" s="83" t="inlineStr">
        <is>
          <t>1984-04</t>
        </is>
      </c>
      <c r="G413" s="83" t="n">
        <v>5.306611</v>
      </c>
      <c r="J413" s="83" t="n">
        <v>11.91581</v>
      </c>
      <c r="K413" s="83" t="n">
        <v>24.73698</v>
      </c>
      <c r="N413" s="83" t="n">
        <v>0.280459</v>
      </c>
      <c r="R413" s="83" t="n">
        <v>15.9664</v>
      </c>
      <c r="S413" s="83" t="n">
        <v>15.43884</v>
      </c>
      <c r="AE413" s="83" t="n">
        <v>0.8029526</v>
      </c>
      <c r="AG413" s="83" t="n">
        <v>1.261552</v>
      </c>
      <c r="AH413" s="83" t="n">
        <v>0.1130234</v>
      </c>
      <c r="AJ413" s="83" t="n">
        <v>33.74257</v>
      </c>
      <c r="AK413" s="83" t="n">
        <v>1.322852</v>
      </c>
      <c r="AO413" s="83" t="n">
        <v>0.05289715</v>
      </c>
      <c r="AQ413" s="83" t="n">
        <v>10.87809</v>
      </c>
      <c r="AR413" s="83" t="n">
        <v>6.004313</v>
      </c>
      <c r="AS413" s="83" t="n">
        <v>5.377778</v>
      </c>
      <c r="AZ413" s="83" t="n">
        <v>14.73688</v>
      </c>
      <c r="BA413" s="83" t="n">
        <v>0.0004252506</v>
      </c>
      <c r="BB413" s="83" t="n">
        <v>18.21343</v>
      </c>
      <c r="BC413" s="83" t="n">
        <v>2.003243</v>
      </c>
      <c r="BD413" s="83" t="n">
        <v>5.535796</v>
      </c>
    </row>
    <row r="414">
      <c r="A414" s="83" t="inlineStr">
        <is>
          <t>1985-09</t>
        </is>
      </c>
      <c r="B414" s="22" t="n">
        <v>31291</v>
      </c>
      <c r="C414" s="22" t="n"/>
      <c r="D414" s="22" t="n"/>
      <c r="E414" s="22" t="n">
        <v>30803</v>
      </c>
      <c r="F414" s="83" t="inlineStr">
        <is>
          <t>1984-05</t>
        </is>
      </c>
      <c r="G414" s="83" t="n">
        <v>5.33743</v>
      </c>
      <c r="J414" s="83" t="n">
        <v>12.0115</v>
      </c>
      <c r="K414" s="83" t="n">
        <v>24.86688</v>
      </c>
      <c r="N414" s="83" t="n">
        <v>0.2840043</v>
      </c>
      <c r="R414" s="83" t="n">
        <v>16.16055</v>
      </c>
      <c r="S414" s="83" t="n">
        <v>15.5475</v>
      </c>
      <c r="AE414" s="83" t="n">
        <v>0.8155017</v>
      </c>
      <c r="AG414" s="83" t="n">
        <v>1.282798</v>
      </c>
      <c r="AH414" s="83" t="n">
        <v>0.1299396</v>
      </c>
      <c r="AJ414" s="83" t="n">
        <v>33.97979</v>
      </c>
      <c r="AK414" s="83" t="n">
        <v>1.354004</v>
      </c>
      <c r="AO414" s="83" t="n">
        <v>0.05522592</v>
      </c>
      <c r="AQ414" s="83" t="n">
        <v>11.00437</v>
      </c>
      <c r="AR414" s="83" t="n">
        <v>6.072849</v>
      </c>
      <c r="AS414" s="83" t="n">
        <v>5.589424</v>
      </c>
      <c r="AZ414" s="83" t="n">
        <v>14.67159</v>
      </c>
      <c r="BA414" s="83" t="n">
        <v>0.0004385066</v>
      </c>
      <c r="BB414" s="83" t="n">
        <v>18.31648</v>
      </c>
      <c r="BC414" s="83" t="n">
        <v>2.03376</v>
      </c>
      <c r="BD414" s="83" t="n">
        <v>5.743718</v>
      </c>
    </row>
    <row r="415">
      <c r="A415" s="83" t="inlineStr">
        <is>
          <t>1985-10</t>
        </is>
      </c>
      <c r="B415" s="22" t="n">
        <v>31321</v>
      </c>
      <c r="C415" s="22" t="n"/>
      <c r="D415" s="22" t="n"/>
      <c r="E415" s="22" t="n">
        <v>30834</v>
      </c>
      <c r="F415" s="83" t="inlineStr">
        <is>
          <t>1984-06</t>
        </is>
      </c>
      <c r="G415" s="83" t="n">
        <v>5.379457</v>
      </c>
      <c r="J415" s="83" t="n">
        <v>12.13097</v>
      </c>
      <c r="K415" s="83" t="n">
        <v>24.98396</v>
      </c>
      <c r="N415" s="83" t="n">
        <v>0.2874759</v>
      </c>
      <c r="R415" s="83" t="n">
        <v>16.39417</v>
      </c>
      <c r="S415" s="83" t="n">
        <v>15.66175</v>
      </c>
      <c r="AE415" s="83" t="n">
        <v>0.8339583</v>
      </c>
      <c r="AG415" s="83" t="n">
        <v>1.31664</v>
      </c>
      <c r="AH415" s="83" t="n">
        <v>0.1477956</v>
      </c>
      <c r="AJ415" s="83" t="n">
        <v>34.20883</v>
      </c>
      <c r="AK415" s="83" t="n">
        <v>1.383955</v>
      </c>
      <c r="AO415" s="83" t="n">
        <v>0.05764965</v>
      </c>
      <c r="AQ415" s="83" t="n">
        <v>11.12586</v>
      </c>
      <c r="AR415" s="83" t="n">
        <v>6.145213</v>
      </c>
      <c r="AS415" s="83" t="n">
        <v>5.760461</v>
      </c>
      <c r="AZ415" s="83" t="n">
        <v>14.50934</v>
      </c>
      <c r="BA415" s="83" t="n">
        <v>0.0004595496</v>
      </c>
      <c r="BB415" s="83" t="n">
        <v>18.40789</v>
      </c>
      <c r="BC415" s="83" t="n">
        <v>2.056511</v>
      </c>
      <c r="BD415" s="83" t="n">
        <v>5.851186</v>
      </c>
    </row>
    <row r="416">
      <c r="A416" s="83" t="inlineStr">
        <is>
          <t>1985-11</t>
        </is>
      </c>
      <c r="B416" s="22" t="n">
        <v>31352</v>
      </c>
      <c r="C416" s="22" t="n"/>
      <c r="D416" s="22" t="n"/>
      <c r="E416" s="22" t="n">
        <v>30864</v>
      </c>
      <c r="F416" s="83" t="inlineStr">
        <is>
          <t>1984-07</t>
        </is>
      </c>
      <c r="G416" s="83" t="n">
        <v>5.435493</v>
      </c>
      <c r="J416" s="83" t="n">
        <v>12.23715</v>
      </c>
      <c r="K416" s="83" t="n">
        <v>25.09446</v>
      </c>
      <c r="N416" s="83" t="n">
        <v>0.2922639</v>
      </c>
      <c r="R416" s="83" t="n">
        <v>16.51702</v>
      </c>
      <c r="S416" s="83" t="n">
        <v>15.78797</v>
      </c>
      <c r="AE416" s="83" t="n">
        <v>0.8455156</v>
      </c>
      <c r="AG416" s="83" t="n">
        <v>1.340334</v>
      </c>
      <c r="AH416" s="83" t="n">
        <v>0.1693513</v>
      </c>
      <c r="AJ416" s="83" t="n">
        <v>34.4215</v>
      </c>
      <c r="AK416" s="83" t="n">
        <v>1.415264</v>
      </c>
      <c r="AO416" s="83" t="n">
        <v>0.06000213</v>
      </c>
      <c r="AQ416" s="83" t="n">
        <v>11.26769</v>
      </c>
      <c r="AR416" s="83" t="n">
        <v>6.212059</v>
      </c>
      <c r="AS416" s="83" t="n">
        <v>5.949071</v>
      </c>
      <c r="AZ416" s="83" t="n">
        <v>14.54618</v>
      </c>
      <c r="BA416" s="83" t="n">
        <v>0.0004737034</v>
      </c>
      <c r="BB416" s="83" t="n">
        <v>18.4777</v>
      </c>
      <c r="BC416" s="83" t="n">
        <v>2.086888</v>
      </c>
      <c r="BD416" s="83" t="n">
        <v>5.984647</v>
      </c>
    </row>
    <row r="417">
      <c r="A417" s="83" t="inlineStr">
        <is>
          <t>1985-12</t>
        </is>
      </c>
      <c r="B417" s="22" t="n">
        <v>31382</v>
      </c>
      <c r="C417" s="22" t="n"/>
      <c r="D417" s="22" t="n"/>
      <c r="E417" s="22" t="n">
        <v>30895</v>
      </c>
      <c r="F417" s="83" t="inlineStr">
        <is>
          <t>1984-08</t>
        </is>
      </c>
      <c r="G417" s="83" t="n">
        <v>5.50834</v>
      </c>
      <c r="J417" s="83" t="n">
        <v>12.24976</v>
      </c>
      <c r="K417" s="83" t="n">
        <v>25.23694</v>
      </c>
      <c r="N417" s="83" t="n">
        <v>0.2979365</v>
      </c>
      <c r="R417" s="83" t="n">
        <v>16.75134</v>
      </c>
      <c r="S417" s="83" t="n">
        <v>15.82855</v>
      </c>
      <c r="AE417" s="83" t="n">
        <v>0.8514036</v>
      </c>
      <c r="AG417" s="83" t="n">
        <v>1.350274</v>
      </c>
      <c r="AH417" s="83" t="n">
        <v>0.1977201</v>
      </c>
      <c r="AJ417" s="83" t="n">
        <v>34.64237</v>
      </c>
      <c r="AK417" s="83" t="n">
        <v>1.434372</v>
      </c>
      <c r="AO417" s="83" t="n">
        <v>0.06244386</v>
      </c>
      <c r="AQ417" s="83" t="n">
        <v>11.39157</v>
      </c>
      <c r="AR417" s="83" t="n">
        <v>6.27974</v>
      </c>
      <c r="AS417" s="83" t="n">
        <v>6.076604</v>
      </c>
      <c r="AZ417" s="83" t="n">
        <v>14.68725</v>
      </c>
      <c r="BA417" s="83" t="n">
        <v>0.0004858874</v>
      </c>
      <c r="BB417" s="83" t="n">
        <v>18.53504</v>
      </c>
      <c r="BC417" s="83" t="n">
        <v>2.115113</v>
      </c>
      <c r="BD417" s="83" t="n">
        <v>6.211764</v>
      </c>
    </row>
    <row r="418">
      <c r="A418" s="83" t="inlineStr">
        <is>
          <t>1986-01</t>
        </is>
      </c>
      <c r="B418" s="22" t="n">
        <v>31413</v>
      </c>
      <c r="C418" s="22" t="n"/>
      <c r="D418" s="22" t="n"/>
      <c r="E418" s="22" t="n">
        <v>30926</v>
      </c>
      <c r="F418" s="83" t="inlineStr">
        <is>
          <t>1984-09</t>
        </is>
      </c>
      <c r="G418" s="83" t="n">
        <v>5.575583</v>
      </c>
      <c r="J418" s="83" t="n">
        <v>12.2998</v>
      </c>
      <c r="K418" s="83" t="n">
        <v>25.37943</v>
      </c>
      <c r="N418" s="83" t="n">
        <v>0.3065812</v>
      </c>
      <c r="R418" s="83" t="n">
        <v>17.04036</v>
      </c>
      <c r="S418" s="83" t="n">
        <v>15.93709</v>
      </c>
      <c r="AE418" s="83" t="n">
        <v>0.8630456</v>
      </c>
      <c r="AG418" s="83" t="n">
        <v>1.383487</v>
      </c>
      <c r="AH418" s="83" t="n">
        <v>0.2353792</v>
      </c>
      <c r="AJ418" s="83" t="n">
        <v>34.90413</v>
      </c>
      <c r="AK418" s="83" t="n">
        <v>1.453959</v>
      </c>
      <c r="AO418" s="83" t="n">
        <v>0.06494071</v>
      </c>
      <c r="AQ418" s="83" t="n">
        <v>11.59661</v>
      </c>
      <c r="AR418" s="83" t="n">
        <v>6.366007</v>
      </c>
      <c r="AS418" s="83" t="n">
        <v>6.196012</v>
      </c>
      <c r="AZ418" s="83" t="n">
        <v>14.73463</v>
      </c>
      <c r="BA418" s="83" t="n">
        <v>0.000504402</v>
      </c>
      <c r="BB418" s="83" t="n">
        <v>18.65138</v>
      </c>
      <c r="BC418" s="83" t="n">
        <v>2.145367</v>
      </c>
      <c r="BD418" s="83" t="n">
        <v>6.415709</v>
      </c>
    </row>
    <row r="419">
      <c r="A419" s="83" t="inlineStr">
        <is>
          <t>1986-02</t>
        </is>
      </c>
      <c r="B419" s="22" t="n">
        <v>31444</v>
      </c>
      <c r="C419" s="22" t="n"/>
      <c r="D419" s="22" t="n"/>
      <c r="E419" s="22" t="n">
        <v>30956</v>
      </c>
      <c r="F419" s="83" t="inlineStr">
        <is>
          <t>1984-10</t>
        </is>
      </c>
      <c r="G419" s="83" t="n">
        <v>5.634421</v>
      </c>
      <c r="J419" s="83" t="n">
        <v>12.42925</v>
      </c>
      <c r="K419" s="83" t="n">
        <v>25.49077</v>
      </c>
      <c r="N419" s="83" t="n">
        <v>0.3143494</v>
      </c>
      <c r="R419" s="83" t="n">
        <v>17.37403</v>
      </c>
      <c r="S419" s="83" t="n">
        <v>16.05753</v>
      </c>
      <c r="AE419" s="83" t="n">
        <v>0.8761432</v>
      </c>
      <c r="AG419" s="83" t="n">
        <v>1.447383</v>
      </c>
      <c r="AH419" s="83" t="n">
        <v>0.2814425</v>
      </c>
      <c r="AJ419" s="83" t="n">
        <v>35.07591</v>
      </c>
      <c r="AK419" s="83" t="n">
        <v>1.48205</v>
      </c>
      <c r="AO419" s="83" t="n">
        <v>0.06739870000000001</v>
      </c>
      <c r="AQ419" s="83" t="n">
        <v>11.79886</v>
      </c>
      <c r="AR419" s="83" t="n">
        <v>6.452154</v>
      </c>
      <c r="AS419" s="83" t="n">
        <v>6.33351</v>
      </c>
      <c r="AZ419" s="83" t="n">
        <v>14.83623</v>
      </c>
      <c r="BA419" s="83" t="n">
        <v>0.0005169691</v>
      </c>
      <c r="BB419" s="83" t="n">
        <v>18.77188</v>
      </c>
      <c r="BC419" s="83" t="n">
        <v>2.185746</v>
      </c>
      <c r="BD419" s="83" t="n">
        <v>6.567493</v>
      </c>
    </row>
    <row r="420">
      <c r="A420" s="83" t="inlineStr">
        <is>
          <t>1986-03</t>
        </is>
      </c>
      <c r="B420" s="22" t="n">
        <v>31472</v>
      </c>
      <c r="C420" s="22" t="n"/>
      <c r="D420" s="22" t="n"/>
      <c r="E420" s="22" t="n">
        <v>30987</v>
      </c>
      <c r="F420" s="83" t="inlineStr">
        <is>
          <t>1984-11</t>
        </is>
      </c>
      <c r="G420" s="83" t="n">
        <v>5.71007</v>
      </c>
      <c r="J420" s="83" t="n">
        <v>12.38179</v>
      </c>
      <c r="K420" s="83" t="n">
        <v>25.55677</v>
      </c>
      <c r="N420" s="83" t="n">
        <v>0.3202533</v>
      </c>
      <c r="R420" s="83" t="n">
        <v>17.8057</v>
      </c>
      <c r="S420" s="83" t="n">
        <v>16.10488</v>
      </c>
      <c r="AE420" s="83" t="n">
        <v>0.8899835</v>
      </c>
      <c r="AG420" s="83" t="n">
        <v>1.492604</v>
      </c>
      <c r="AH420" s="83" t="n">
        <v>0.3354224</v>
      </c>
      <c r="AJ420" s="83" t="n">
        <v>35.30495</v>
      </c>
      <c r="AK420" s="83" t="n">
        <v>1.504928</v>
      </c>
      <c r="AO420" s="83" t="n">
        <v>0.07034174</v>
      </c>
      <c r="AQ420" s="83" t="n">
        <v>11.94015</v>
      </c>
      <c r="AR420" s="83" t="n">
        <v>6.560379</v>
      </c>
      <c r="AS420" s="83" t="n">
        <v>6.457189</v>
      </c>
      <c r="AZ420" s="83" t="n">
        <v>14.97422</v>
      </c>
      <c r="BA420" s="83" t="n">
        <v>0.0005386524</v>
      </c>
      <c r="BB420" s="83" t="n">
        <v>18.95886</v>
      </c>
      <c r="BC420" s="83" t="n">
        <v>2.232456</v>
      </c>
      <c r="BD420" s="83" t="n">
        <v>6.693426</v>
      </c>
    </row>
    <row r="421">
      <c r="A421" s="83" t="inlineStr">
        <is>
          <t>1986-04</t>
        </is>
      </c>
      <c r="B421" s="22" t="n">
        <v>31503</v>
      </c>
      <c r="C421" s="22" t="n"/>
      <c r="D421" s="22" t="n"/>
      <c r="E421" s="22" t="n">
        <v>31017</v>
      </c>
      <c r="F421" s="83" t="inlineStr">
        <is>
          <t>1984-12</t>
        </is>
      </c>
      <c r="G421" s="83" t="n">
        <v>5.794124</v>
      </c>
      <c r="J421" s="83" t="n">
        <v>12.5423</v>
      </c>
      <c r="K421" s="83" t="n">
        <v>25.8788</v>
      </c>
      <c r="N421" s="83" t="n">
        <v>0.3286207</v>
      </c>
      <c r="R421" s="83" t="n">
        <v>17.90689</v>
      </c>
      <c r="S421" s="83" t="n">
        <v>16.51403</v>
      </c>
      <c r="AE421" s="83" t="n">
        <v>0.9080241</v>
      </c>
      <c r="AG421" s="83" t="n">
        <v>1.53026</v>
      </c>
      <c r="AH421" s="83" t="n">
        <v>0.3871266</v>
      </c>
      <c r="AJ421" s="83" t="n">
        <v>35.49309</v>
      </c>
      <c r="AK421" s="83" t="n">
        <v>1.531744</v>
      </c>
      <c r="AO421" s="83" t="n">
        <v>0.07434909000000001</v>
      </c>
      <c r="AQ421" s="83" t="n">
        <v>12.2685</v>
      </c>
      <c r="AR421" s="83" t="n">
        <v>6.687786</v>
      </c>
      <c r="AS421" s="83" t="n">
        <v>6.557995</v>
      </c>
      <c r="AZ421" s="83" t="n">
        <v>15.26634</v>
      </c>
      <c r="BA421" s="83" t="n">
        <v>0.0005629532</v>
      </c>
      <c r="BB421" s="83" t="n">
        <v>19.16661</v>
      </c>
      <c r="BC421" s="83" t="n">
        <v>2.256379</v>
      </c>
      <c r="BD421" s="83" t="n">
        <v>6.804257</v>
      </c>
    </row>
    <row r="422">
      <c r="A422" s="83" t="inlineStr">
        <is>
          <t>1986-05</t>
        </is>
      </c>
      <c r="B422" s="22" t="n">
        <v>31533</v>
      </c>
      <c r="C422" s="22" t="n"/>
      <c r="D422" s="22" t="n"/>
      <c r="E422" s="22" t="n">
        <v>31048</v>
      </c>
      <c r="F422" s="83" t="inlineStr">
        <is>
          <t>1985-01</t>
        </is>
      </c>
      <c r="G422" s="83" t="n">
        <v>5.886583</v>
      </c>
      <c r="J422" s="83" t="n">
        <v>12.59736</v>
      </c>
      <c r="K422" s="83" t="n">
        <v>26.23501</v>
      </c>
      <c r="N422" s="83" t="n">
        <v>0.3373622</v>
      </c>
      <c r="R422" s="83" t="n">
        <v>17.95308</v>
      </c>
      <c r="S422" s="83" t="n">
        <v>16.80724</v>
      </c>
      <c r="AE422" s="83" t="n">
        <v>0.9210614</v>
      </c>
      <c r="AG422" s="83" t="n">
        <v>1.591517</v>
      </c>
      <c r="AH422" s="83" t="n">
        <v>0.4360271</v>
      </c>
      <c r="AJ422" s="83" t="n">
        <v>35.77121</v>
      </c>
      <c r="AK422" s="83" t="n">
        <v>1.560289</v>
      </c>
      <c r="AO422" s="83" t="n">
        <v>0.07779700000000001</v>
      </c>
      <c r="AQ422" s="83" t="n">
        <v>12.43956</v>
      </c>
      <c r="AR422" s="83" t="n">
        <v>6.804028</v>
      </c>
      <c r="AS422" s="83" t="n">
        <v>6.693007</v>
      </c>
      <c r="AZ422" s="83" t="n">
        <v>15.27805</v>
      </c>
      <c r="BA422" s="83" t="n">
        <v>0.0005776518</v>
      </c>
      <c r="BB422" s="83" t="n">
        <v>19.38268</v>
      </c>
      <c r="BC422" s="83" t="n">
        <v>2.268393</v>
      </c>
      <c r="BD422" s="83" t="n">
        <v>6.899369</v>
      </c>
    </row>
    <row r="423">
      <c r="A423" s="83" t="inlineStr">
        <is>
          <t>1986-06</t>
        </is>
      </c>
      <c r="B423" s="22" t="n">
        <v>31564</v>
      </c>
      <c r="C423" s="22" t="n"/>
      <c r="D423" s="22" t="n"/>
      <c r="E423" s="22" t="n">
        <v>31079</v>
      </c>
      <c r="F423" s="83" t="inlineStr">
        <is>
          <t>1985-02</t>
        </is>
      </c>
      <c r="G423" s="83" t="n">
        <v>5.976241</v>
      </c>
      <c r="J423" s="83" t="n">
        <v>12.68333</v>
      </c>
      <c r="K423" s="83" t="n">
        <v>26.36601</v>
      </c>
      <c r="N423" s="83" t="n">
        <v>0.3437996</v>
      </c>
      <c r="R423" s="83" t="n">
        <v>18.19077</v>
      </c>
      <c r="S423" s="83" t="n">
        <v>16.77268</v>
      </c>
      <c r="AE423" s="83" t="n">
        <v>0.9282543</v>
      </c>
      <c r="AG423" s="83" t="n">
        <v>1.651867</v>
      </c>
      <c r="AH423" s="83" t="n">
        <v>0.4852949</v>
      </c>
      <c r="AJ423" s="83" t="n">
        <v>36.01661</v>
      </c>
      <c r="AK423" s="83" t="n">
        <v>1.585165</v>
      </c>
      <c r="AO423" s="83" t="n">
        <v>0.07987536000000001</v>
      </c>
      <c r="AQ423" s="83" t="n">
        <v>12.40736</v>
      </c>
      <c r="AR423" s="83" t="n">
        <v>6.880911</v>
      </c>
      <c r="AS423" s="83" t="n">
        <v>6.814953</v>
      </c>
      <c r="AZ423" s="83" t="n">
        <v>15.04765</v>
      </c>
      <c r="BA423" s="83" t="n">
        <v>0.000602146</v>
      </c>
      <c r="BB423" s="83" t="n">
        <v>19.56301</v>
      </c>
      <c r="BC423" s="83" t="n">
        <v>2.292946</v>
      </c>
      <c r="BD423" s="83" t="n">
        <v>6.971493</v>
      </c>
    </row>
    <row r="424">
      <c r="A424" s="83" t="inlineStr">
        <is>
          <t>1986-07</t>
        </is>
      </c>
      <c r="B424" s="22" t="n">
        <v>31594</v>
      </c>
      <c r="C424" s="22" t="n"/>
      <c r="D424" s="22" t="n"/>
      <c r="E424" s="22" t="n">
        <v>31107</v>
      </c>
      <c r="F424" s="83" t="inlineStr">
        <is>
          <t>1985-03</t>
        </is>
      </c>
      <c r="G424" s="83" t="n">
        <v>6.051889</v>
      </c>
      <c r="J424" s="83" t="n">
        <v>12.70561</v>
      </c>
      <c r="K424" s="83" t="n">
        <v>26.52586</v>
      </c>
      <c r="N424" s="83" t="n">
        <v>0.3509829</v>
      </c>
      <c r="R424" s="83" t="n">
        <v>18.29265</v>
      </c>
      <c r="S424" s="83" t="n">
        <v>16.83982</v>
      </c>
      <c r="AE424" s="83" t="n">
        <v>0.9412262</v>
      </c>
      <c r="AG424" s="83" t="n">
        <v>1.703585</v>
      </c>
      <c r="AH424" s="83" t="n">
        <v>0.5413828000000001</v>
      </c>
      <c r="AJ424" s="83" t="n">
        <v>36.28655</v>
      </c>
      <c r="AK424" s="83" t="n">
        <v>1.612284</v>
      </c>
      <c r="AO424" s="83" t="n">
        <v>0.08260018</v>
      </c>
      <c r="AQ424" s="83" t="n">
        <v>12.57775</v>
      </c>
      <c r="AR424" s="83" t="n">
        <v>6.94981</v>
      </c>
      <c r="AS424" s="83" t="n">
        <v>6.964487</v>
      </c>
      <c r="AZ424" s="83" t="n">
        <v>15.00089</v>
      </c>
      <c r="BA424" s="83" t="n">
        <v>0.0006310740999999999</v>
      </c>
      <c r="BB424" s="83" t="n">
        <v>19.66356</v>
      </c>
      <c r="BC424" s="83" t="n">
        <v>2.30538</v>
      </c>
      <c r="BD424" s="83" t="n">
        <v>7.069933</v>
      </c>
    </row>
    <row r="425">
      <c r="A425" s="83" t="inlineStr">
        <is>
          <t>1986-08</t>
        </is>
      </c>
      <c r="B425" s="22" t="n">
        <v>31625</v>
      </c>
      <c r="C425" s="22" t="n"/>
      <c r="D425" s="22" t="n"/>
      <c r="E425" s="22" t="n">
        <v>31138</v>
      </c>
      <c r="F425" s="83" t="inlineStr">
        <is>
          <t>1985-04</t>
        </is>
      </c>
      <c r="G425" s="83" t="n">
        <v>6.124736</v>
      </c>
      <c r="J425" s="83" t="n">
        <v>12.78915</v>
      </c>
      <c r="K425" s="83" t="n">
        <v>26.65285</v>
      </c>
      <c r="N425" s="83" t="n">
        <v>0.3577576</v>
      </c>
      <c r="R425" s="83" t="n">
        <v>18.44324</v>
      </c>
      <c r="S425" s="83" t="n">
        <v>16.90485</v>
      </c>
      <c r="AE425" s="83" t="n">
        <v>0.9514911</v>
      </c>
      <c r="AG425" s="83" t="n">
        <v>1.758884</v>
      </c>
      <c r="AH425" s="83" t="n">
        <v>0.6177485</v>
      </c>
      <c r="AJ425" s="83" t="n">
        <v>36.58921</v>
      </c>
      <c r="AK425" s="83" t="n">
        <v>1.636716</v>
      </c>
      <c r="AO425" s="83" t="n">
        <v>0.08567561</v>
      </c>
      <c r="AQ425" s="83" t="n">
        <v>12.65944</v>
      </c>
      <c r="AR425" s="83" t="n">
        <v>7.020614</v>
      </c>
      <c r="AS425" s="83" t="n">
        <v>7.103551</v>
      </c>
      <c r="AZ425" s="83" t="n">
        <v>15.01838</v>
      </c>
      <c r="BA425" s="83" t="n">
        <v>0.0006572407</v>
      </c>
      <c r="BB425" s="83" t="n">
        <v>19.74002</v>
      </c>
      <c r="BC425" s="83" t="n">
        <v>2.322098</v>
      </c>
      <c r="BD425" s="83" t="n">
        <v>7.278556</v>
      </c>
    </row>
    <row r="426">
      <c r="A426" s="83" t="inlineStr">
        <is>
          <t>1986-09</t>
        </is>
      </c>
      <c r="B426" s="22" t="n">
        <v>31656</v>
      </c>
      <c r="C426" s="22" t="n"/>
      <c r="D426" s="22" t="n"/>
      <c r="E426" s="22" t="n">
        <v>31168</v>
      </c>
      <c r="F426" s="83" t="inlineStr">
        <is>
          <t>1985-05</t>
        </is>
      </c>
      <c r="G426" s="83" t="n">
        <v>6.200385</v>
      </c>
      <c r="J426" s="83" t="n">
        <v>12.87574</v>
      </c>
      <c r="K426" s="83" t="n">
        <v>26.80603</v>
      </c>
      <c r="N426" s="83" t="n">
        <v>0.3644272</v>
      </c>
      <c r="R426" s="83" t="n">
        <v>18.71522</v>
      </c>
      <c r="S426" s="83" t="n">
        <v>16.92256</v>
      </c>
      <c r="AE426" s="83" t="n">
        <v>0.9604991000000001</v>
      </c>
      <c r="AG426" s="83" t="n">
        <v>1.827748</v>
      </c>
      <c r="AH426" s="83" t="n">
        <v>0.6879579</v>
      </c>
      <c r="AJ426" s="83" t="n">
        <v>36.82643</v>
      </c>
      <c r="AK426" s="83" t="n">
        <v>1.652595</v>
      </c>
      <c r="AO426" s="83" t="n">
        <v>0.08909824</v>
      </c>
      <c r="AQ426" s="83" t="n">
        <v>12.72197</v>
      </c>
      <c r="AR426" s="83" t="n">
        <v>7.098621</v>
      </c>
      <c r="AS426" s="83" t="n">
        <v>7.227101</v>
      </c>
      <c r="AZ426" s="83" t="n">
        <v>15.01582</v>
      </c>
      <c r="BA426" s="83" t="n">
        <v>0.0006831919</v>
      </c>
      <c r="BB426" s="83" t="n">
        <v>19.85719</v>
      </c>
      <c r="BC426" s="83" t="n">
        <v>2.353052</v>
      </c>
      <c r="BD426" s="83" t="n">
        <v>7.52564</v>
      </c>
    </row>
    <row r="427">
      <c r="A427" s="83" t="inlineStr">
        <is>
          <t>1986-10</t>
        </is>
      </c>
      <c r="B427" s="22" t="n">
        <v>31686</v>
      </c>
      <c r="C427" s="22" t="n"/>
      <c r="D427" s="22" t="n"/>
      <c r="E427" s="22" t="n">
        <v>31199</v>
      </c>
      <c r="F427" s="83" t="inlineStr">
        <is>
          <t>1985-06</t>
        </is>
      </c>
      <c r="G427" s="83" t="n">
        <v>6.245214</v>
      </c>
      <c r="J427" s="83" t="n">
        <v>12.91471</v>
      </c>
      <c r="K427" s="83" t="n">
        <v>26.91879</v>
      </c>
      <c r="N427" s="83" t="n">
        <v>0.3731406</v>
      </c>
      <c r="R427" s="83" t="n">
        <v>18.94069</v>
      </c>
      <c r="S427" s="83" t="n">
        <v>17.02847</v>
      </c>
      <c r="AE427" s="83" t="n">
        <v>0.9710152</v>
      </c>
      <c r="AG427" s="83" t="n">
        <v>1.892036</v>
      </c>
      <c r="AH427" s="83" t="n">
        <v>0.7561407999999999</v>
      </c>
      <c r="AJ427" s="83" t="n">
        <v>37.04729</v>
      </c>
      <c r="AK427" s="83" t="n">
        <v>1.673925</v>
      </c>
      <c r="AO427" s="83" t="n">
        <v>0.09239435</v>
      </c>
      <c r="AQ427" s="83" t="n">
        <v>12.90263</v>
      </c>
      <c r="AR427" s="83" t="n">
        <v>7.185892</v>
      </c>
      <c r="AS427" s="83" t="n">
        <v>7.35193</v>
      </c>
      <c r="AZ427" s="83" t="n">
        <v>14.84312</v>
      </c>
      <c r="BA427" s="83" t="n">
        <v>0.0007116221</v>
      </c>
      <c r="BB427" s="83" t="n">
        <v>20.04915</v>
      </c>
      <c r="BC427" s="83" t="n">
        <v>2.388814</v>
      </c>
      <c r="BD427" s="83" t="n">
        <v>7.774296</v>
      </c>
    </row>
    <row r="428">
      <c r="A428" s="83" t="inlineStr">
        <is>
          <t>1986-11</t>
        </is>
      </c>
      <c r="B428" s="22" t="n">
        <v>31717</v>
      </c>
      <c r="C428" s="22" t="n"/>
      <c r="D428" s="22" t="n"/>
      <c r="E428" s="22" t="n">
        <v>31229</v>
      </c>
      <c r="F428" s="83" t="inlineStr">
        <is>
          <t>1985-07</t>
        </is>
      </c>
      <c r="G428" s="83" t="n">
        <v>6.329268</v>
      </c>
      <c r="J428" s="83" t="n">
        <v>12.98011</v>
      </c>
      <c r="K428" s="83" t="n">
        <v>26.9481</v>
      </c>
      <c r="N428" s="83" t="n">
        <v>0.3834677</v>
      </c>
      <c r="R428" s="83" t="n">
        <v>19.23511</v>
      </c>
      <c r="S428" s="83" t="n">
        <v>17.16287</v>
      </c>
      <c r="AE428" s="83" t="n">
        <v>0.9840778999999999</v>
      </c>
      <c r="AG428" s="83" t="n">
        <v>1.946736</v>
      </c>
      <c r="AH428" s="83" t="n">
        <v>0.9078904</v>
      </c>
      <c r="AJ428" s="83" t="n">
        <v>37.29269</v>
      </c>
      <c r="AK428" s="83" t="n">
        <v>1.703007</v>
      </c>
      <c r="AO428" s="83" t="n">
        <v>0.09603361000000001</v>
      </c>
      <c r="AQ428" s="83" t="n">
        <v>13.08079</v>
      </c>
      <c r="AR428" s="83" t="n">
        <v>7.277556</v>
      </c>
      <c r="AS428" s="83" t="n">
        <v>7.497736</v>
      </c>
      <c r="AZ428" s="83" t="n">
        <v>14.84823</v>
      </c>
      <c r="BA428" s="83" t="n">
        <v>0.0007405478</v>
      </c>
      <c r="BB428" s="83" t="n">
        <v>20.1896</v>
      </c>
      <c r="BC428" s="83" t="n">
        <v>2.417302</v>
      </c>
      <c r="BD428" s="83" t="n">
        <v>8.104157000000001</v>
      </c>
    </row>
    <row r="429">
      <c r="A429" s="83" t="inlineStr">
        <is>
          <t>1986-12</t>
        </is>
      </c>
      <c r="B429" s="22" t="n">
        <v>31747</v>
      </c>
      <c r="C429" s="22" t="n"/>
      <c r="D429" s="22" t="n"/>
      <c r="E429" s="22" t="n">
        <v>31260</v>
      </c>
      <c r="F429" s="83" t="inlineStr">
        <is>
          <t>1985-08</t>
        </is>
      </c>
      <c r="G429" s="83" t="n">
        <v>6.446943</v>
      </c>
      <c r="J429" s="83" t="n">
        <v>13.04788</v>
      </c>
      <c r="K429" s="83" t="n">
        <v>27.00077</v>
      </c>
      <c r="N429" s="83" t="n">
        <v>0.3956846</v>
      </c>
      <c r="R429" s="83" t="n">
        <v>19.68019</v>
      </c>
      <c r="S429" s="83" t="n">
        <v>17.14371</v>
      </c>
      <c r="AE429" s="83" t="n">
        <v>0.999068</v>
      </c>
      <c r="AG429" s="83" t="n">
        <v>1.99503</v>
      </c>
      <c r="AH429" s="83" t="n">
        <v>1.025001</v>
      </c>
      <c r="AJ429" s="83" t="n">
        <v>37.52991</v>
      </c>
      <c r="AK429" s="83" t="n">
        <v>1.737114</v>
      </c>
      <c r="AO429" s="83" t="n">
        <v>0.1004015</v>
      </c>
      <c r="AQ429" s="83" t="n">
        <v>13.29608</v>
      </c>
      <c r="AR429" s="83" t="n">
        <v>7.371878</v>
      </c>
      <c r="AS429" s="83" t="n">
        <v>7.660719</v>
      </c>
      <c r="AZ429" s="83" t="n">
        <v>14.93588</v>
      </c>
      <c r="BA429" s="83" t="n">
        <v>0.0007754273</v>
      </c>
      <c r="BB429" s="83" t="n">
        <v>20.31009</v>
      </c>
      <c r="BC429" s="83" t="n">
        <v>2.441767</v>
      </c>
      <c r="BD429" s="83" t="n">
        <v>8.299205000000001</v>
      </c>
    </row>
    <row r="430">
      <c r="A430" s="83" t="inlineStr">
        <is>
          <t>1987-01</t>
        </is>
      </c>
      <c r="B430" s="22" t="n">
        <v>31778</v>
      </c>
      <c r="C430" s="22" t="n"/>
      <c r="D430" s="22" t="n"/>
      <c r="E430" s="22" t="n">
        <v>31291</v>
      </c>
      <c r="F430" s="83" t="inlineStr">
        <is>
          <t>1985-09</t>
        </is>
      </c>
      <c r="G430" s="83" t="n">
        <v>6.525393</v>
      </c>
      <c r="J430" s="83" t="n">
        <v>13.13421</v>
      </c>
      <c r="K430" s="83" t="n">
        <v>27.13457</v>
      </c>
      <c r="N430" s="83" t="n">
        <v>0.4045058</v>
      </c>
      <c r="R430" s="83" t="n">
        <v>19.98777</v>
      </c>
      <c r="S430" s="83" t="n">
        <v>17.1856</v>
      </c>
      <c r="AE430" s="83" t="n">
        <v>1.01169</v>
      </c>
      <c r="AG430" s="83" t="n">
        <v>2.055998</v>
      </c>
      <c r="AH430" s="83" t="n">
        <v>1.047182</v>
      </c>
      <c r="AJ430" s="83" t="n">
        <v>37.79985</v>
      </c>
      <c r="AK430" s="83" t="n">
        <v>1.765668</v>
      </c>
      <c r="AO430" s="83" t="n">
        <v>0.1042746</v>
      </c>
      <c r="AQ430" s="83" t="n">
        <v>13.47439</v>
      </c>
      <c r="AR430" s="83" t="n">
        <v>7.450898</v>
      </c>
      <c r="AS430" s="83" t="n">
        <v>7.796371</v>
      </c>
      <c r="AZ430" s="83" t="n">
        <v>14.86674</v>
      </c>
      <c r="BA430" s="83" t="n">
        <v>0.0008090641</v>
      </c>
      <c r="BB430" s="83" t="n">
        <v>20.41314</v>
      </c>
      <c r="BC430" s="83" t="n">
        <v>2.448098</v>
      </c>
      <c r="BD430" s="83" t="n">
        <v>8.423455000000001</v>
      </c>
    </row>
    <row r="431">
      <c r="A431" s="83" t="inlineStr">
        <is>
          <t>1987-02</t>
        </is>
      </c>
      <c r="B431" s="22" t="n">
        <v>31809</v>
      </c>
      <c r="C431" s="22" t="n"/>
      <c r="D431" s="22" t="n"/>
      <c r="E431" s="22" t="n">
        <v>31321</v>
      </c>
      <c r="F431" s="83" t="inlineStr">
        <is>
          <t>1985-10</t>
        </is>
      </c>
      <c r="G431" s="83" t="n">
        <v>6.587033</v>
      </c>
      <c r="J431" s="83" t="n">
        <v>13.21072</v>
      </c>
      <c r="K431" s="83" t="n">
        <v>27.31643</v>
      </c>
      <c r="N431" s="83" t="n">
        <v>0.4144617</v>
      </c>
      <c r="R431" s="83" t="n">
        <v>20.06895</v>
      </c>
      <c r="S431" s="83" t="n">
        <v>17.27396</v>
      </c>
      <c r="AE431" s="83" t="n">
        <v>1.023906</v>
      </c>
      <c r="AG431" s="83" t="n">
        <v>2.134644</v>
      </c>
      <c r="AH431" s="83" t="n">
        <v>1.077023</v>
      </c>
      <c r="AJ431" s="83" t="n">
        <v>38.11887</v>
      </c>
      <c r="AK431" s="83" t="n">
        <v>1.795073</v>
      </c>
      <c r="AO431" s="83" t="n">
        <v>0.1070225</v>
      </c>
      <c r="AQ431" s="83" t="n">
        <v>13.57277</v>
      </c>
      <c r="AR431" s="83" t="n">
        <v>7.516615</v>
      </c>
      <c r="AS431" s="83" t="n">
        <v>7.924687</v>
      </c>
      <c r="AZ431" s="83" t="n">
        <v>14.89697</v>
      </c>
      <c r="BA431" s="83" t="n">
        <v>0.0008267501</v>
      </c>
      <c r="BB431" s="83" t="n">
        <v>20.50954</v>
      </c>
      <c r="BC431" s="83" t="n">
        <v>2.460811</v>
      </c>
      <c r="BD431" s="83" t="n">
        <v>8.562561000000001</v>
      </c>
    </row>
    <row r="432">
      <c r="A432" s="83" t="inlineStr">
        <is>
          <t>1987-03</t>
        </is>
      </c>
      <c r="B432" s="22" t="n">
        <v>31837</v>
      </c>
      <c r="C432" s="22" t="n"/>
      <c r="D432" s="22" t="n"/>
      <c r="E432" s="22" t="n">
        <v>31352</v>
      </c>
      <c r="F432" s="83" t="inlineStr">
        <is>
          <t>1985-11</t>
        </is>
      </c>
      <c r="G432" s="83" t="n">
        <v>6.634664</v>
      </c>
      <c r="J432" s="83" t="n">
        <v>13.30217</v>
      </c>
      <c r="K432" s="83" t="n">
        <v>27.43832</v>
      </c>
      <c r="N432" s="83" t="n">
        <v>0.4280553</v>
      </c>
      <c r="R432" s="83" t="n">
        <v>20.27525</v>
      </c>
      <c r="S432" s="83" t="n">
        <v>17.33947</v>
      </c>
      <c r="AE432" s="83" t="n">
        <v>1.036158</v>
      </c>
      <c r="AG432" s="83" t="n">
        <v>2.201579</v>
      </c>
      <c r="AH432" s="83" t="n">
        <v>1.115094</v>
      </c>
      <c r="AJ432" s="83" t="n">
        <v>38.44608</v>
      </c>
      <c r="AK432" s="83" t="n">
        <v>1.828698</v>
      </c>
      <c r="AO432" s="83" t="n">
        <v>0.1095315</v>
      </c>
      <c r="AQ432" s="83" t="n">
        <v>13.68146</v>
      </c>
      <c r="AR432" s="83" t="n">
        <v>7.578914</v>
      </c>
      <c r="AS432" s="83" t="n">
        <v>8.106688999999999</v>
      </c>
      <c r="AZ432" s="83" t="n">
        <v>14.93735</v>
      </c>
      <c r="BA432" s="83" t="n">
        <v>0.0008429034</v>
      </c>
      <c r="BB432" s="83" t="n">
        <v>20.59098</v>
      </c>
      <c r="BC432" s="83" t="n">
        <v>2.485801</v>
      </c>
      <c r="BD432" s="83" t="n">
        <v>8.717511999999999</v>
      </c>
    </row>
    <row r="433">
      <c r="A433" s="83" t="inlineStr">
        <is>
          <t>1987-04</t>
        </is>
      </c>
      <c r="B433" s="22" t="n">
        <v>31868</v>
      </c>
      <c r="C433" s="22" t="n"/>
      <c r="D433" s="22" t="n"/>
      <c r="E433" s="22" t="n">
        <v>31382</v>
      </c>
      <c r="F433" s="83" t="inlineStr">
        <is>
          <t>1985-12</t>
        </is>
      </c>
      <c r="G433" s="83" t="n">
        <v>6.673889</v>
      </c>
      <c r="J433" s="83" t="n">
        <v>13.37899</v>
      </c>
      <c r="K433" s="83" t="n">
        <v>27.60261</v>
      </c>
      <c r="N433" s="83" t="n">
        <v>0.4399588</v>
      </c>
      <c r="R433" s="83" t="n">
        <v>20.68847</v>
      </c>
      <c r="S433" s="83" t="n">
        <v>17.79004</v>
      </c>
      <c r="AE433" s="83" t="n">
        <v>1.047654</v>
      </c>
      <c r="AG433" s="83" t="n">
        <v>2.264307</v>
      </c>
      <c r="AH433" s="83" t="n">
        <v>1.142723</v>
      </c>
      <c r="AJ433" s="83" t="n">
        <v>38.77327</v>
      </c>
      <c r="AK433" s="83" t="n">
        <v>1.876257</v>
      </c>
      <c r="AO433" s="83" t="n">
        <v>0.1409878</v>
      </c>
      <c r="AQ433" s="83" t="n">
        <v>14.03137</v>
      </c>
      <c r="AR433" s="83" t="n">
        <v>7.836039</v>
      </c>
      <c r="AS433" s="83" t="n">
        <v>8.364015</v>
      </c>
      <c r="AZ433" s="83" t="n">
        <v>15.21611</v>
      </c>
      <c r="BA433" s="83" t="n">
        <v>0.0008679832</v>
      </c>
      <c r="BB433" s="83" t="n">
        <v>20.70981</v>
      </c>
      <c r="BC433" s="83" t="n">
        <v>2.508238</v>
      </c>
      <c r="BD433" s="83" t="n">
        <v>8.897497</v>
      </c>
    </row>
    <row r="434">
      <c r="A434" s="83" t="inlineStr">
        <is>
          <t>1987-05</t>
        </is>
      </c>
      <c r="B434" s="22" t="n">
        <v>31898</v>
      </c>
      <c r="C434" s="22" t="n"/>
      <c r="D434" s="22" t="n"/>
      <c r="E434" s="22" t="n">
        <v>31413</v>
      </c>
      <c r="F434" s="83" t="inlineStr">
        <is>
          <t>1986-01</t>
        </is>
      </c>
      <c r="G434" s="83" t="n">
        <v>6.693501</v>
      </c>
      <c r="J434" s="83" t="n">
        <v>13.54829</v>
      </c>
      <c r="K434" s="83" t="n">
        <v>27.78797</v>
      </c>
      <c r="N434" s="83" t="n">
        <v>0.4525957</v>
      </c>
      <c r="R434" s="83" t="n">
        <v>21.12677</v>
      </c>
      <c r="S434" s="83" t="n">
        <v>18.06919</v>
      </c>
      <c r="AE434" s="83" t="n">
        <v>1.065353</v>
      </c>
      <c r="AG434" s="83" t="n">
        <v>2.341244</v>
      </c>
      <c r="AH434" s="83" t="n">
        <v>1.149931</v>
      </c>
      <c r="AJ434" s="83" t="n">
        <v>38.9696</v>
      </c>
      <c r="AK434" s="83" t="n">
        <v>1.926982</v>
      </c>
      <c r="AO434" s="83" t="n">
        <v>0.1715862</v>
      </c>
      <c r="AQ434" s="83" t="n">
        <v>14.1522</v>
      </c>
      <c r="AR434" s="83" t="n">
        <v>8.079449</v>
      </c>
      <c r="AS434" s="83" t="n">
        <v>8.670309</v>
      </c>
      <c r="AZ434" s="83" t="n">
        <v>15.43827</v>
      </c>
      <c r="BA434" s="83" t="n">
        <v>0.000902793</v>
      </c>
      <c r="BB434" s="83" t="n">
        <v>20.79292</v>
      </c>
      <c r="BC434" s="83" t="n">
        <v>2.52779</v>
      </c>
      <c r="BD434" s="83" t="n">
        <v>9.031952</v>
      </c>
    </row>
    <row r="435">
      <c r="A435" s="83" t="inlineStr">
        <is>
          <t>1987-06</t>
        </is>
      </c>
      <c r="B435" s="22" t="n">
        <v>31929</v>
      </c>
      <c r="C435" s="22" t="n"/>
      <c r="D435" s="22" t="n"/>
      <c r="E435" s="22" t="n">
        <v>31444</v>
      </c>
      <c r="F435" s="83" t="inlineStr">
        <is>
          <t>1986-02</t>
        </is>
      </c>
      <c r="G435" s="83" t="n">
        <v>6.70751</v>
      </c>
      <c r="J435" s="83" t="n">
        <v>13.62376</v>
      </c>
      <c r="K435" s="83" t="n">
        <v>27.92073</v>
      </c>
      <c r="L435" s="83" t="n">
        <v>0.7170138</v>
      </c>
      <c r="N435" s="83" t="n">
        <v>0.4649194</v>
      </c>
      <c r="R435" s="83" t="n">
        <v>21.49007</v>
      </c>
      <c r="S435" s="83" t="n">
        <v>17.93594</v>
      </c>
      <c r="AE435" s="83" t="n">
        <v>1.082783</v>
      </c>
      <c r="AG435" s="83" t="n">
        <v>2.42049</v>
      </c>
      <c r="AH435" s="83" t="n">
        <v>1.172369</v>
      </c>
      <c r="AJ435" s="83" t="n">
        <v>39.22318</v>
      </c>
      <c r="AK435" s="83" t="n">
        <v>1.964593</v>
      </c>
      <c r="AO435" s="83" t="n">
        <v>0.1727196</v>
      </c>
      <c r="AQ435" s="83" t="n">
        <v>13.98903</v>
      </c>
      <c r="AR435" s="83" t="n">
        <v>8.132376000000001</v>
      </c>
      <c r="AS435" s="83" t="n">
        <v>8.893837</v>
      </c>
      <c r="AZ435" s="83" t="n">
        <v>15.3806</v>
      </c>
      <c r="BA435" s="83" t="n">
        <v>0.0009405538</v>
      </c>
      <c r="BB435" s="83" t="n">
        <v>20.88267</v>
      </c>
      <c r="BC435" s="83" t="n">
        <v>2.56579</v>
      </c>
      <c r="BD435" s="83" t="n">
        <v>9.190341</v>
      </c>
    </row>
    <row r="436">
      <c r="A436" s="83" t="inlineStr">
        <is>
          <t>1987-07</t>
        </is>
      </c>
      <c r="B436" s="22" t="n">
        <v>31959</v>
      </c>
      <c r="C436" s="22" t="n"/>
      <c r="D436" s="22" t="n"/>
      <c r="E436" s="22" t="n">
        <v>31472</v>
      </c>
      <c r="F436" s="83" t="inlineStr">
        <is>
          <t>1986-03</t>
        </is>
      </c>
      <c r="G436" s="83" t="n">
        <v>6.766348</v>
      </c>
      <c r="J436" s="83" t="n">
        <v>13.78438</v>
      </c>
      <c r="K436" s="83" t="n">
        <v>27.91823</v>
      </c>
      <c r="L436" s="83" t="n">
        <v>0.7378309</v>
      </c>
      <c r="N436" s="83" t="n">
        <v>0.4761226</v>
      </c>
      <c r="R436" s="83" t="n">
        <v>21.83648</v>
      </c>
      <c r="S436" s="83" t="n">
        <v>17.99923</v>
      </c>
      <c r="AE436" s="83" t="n">
        <v>1.093785</v>
      </c>
      <c r="AG436" s="83" t="n">
        <v>2.494111</v>
      </c>
      <c r="AH436" s="83" t="n">
        <v>1.195952</v>
      </c>
      <c r="AJ436" s="83" t="n">
        <v>39.49311</v>
      </c>
      <c r="AK436" s="83" t="n">
        <v>2.006434</v>
      </c>
      <c r="AO436" s="83" t="n">
        <v>0.1733179</v>
      </c>
      <c r="AQ436" s="83" t="n">
        <v>13.97229</v>
      </c>
      <c r="AR436" s="83" t="n">
        <v>8.210049</v>
      </c>
      <c r="AS436" s="83" t="n">
        <v>9.060174</v>
      </c>
      <c r="AZ436" s="83" t="n">
        <v>15.44312</v>
      </c>
      <c r="BA436" s="83" t="n">
        <v>0.0009972499000000001</v>
      </c>
      <c r="BB436" s="83" t="n">
        <v>21.05053</v>
      </c>
      <c r="BC436" s="83" t="n">
        <v>2.581127</v>
      </c>
      <c r="BD436" s="83" t="n">
        <v>9.428877</v>
      </c>
    </row>
    <row r="437">
      <c r="A437" s="83" t="inlineStr">
        <is>
          <t>1987-08</t>
        </is>
      </c>
      <c r="B437" s="22" t="n">
        <v>31990</v>
      </c>
      <c r="C437" s="22" t="n"/>
      <c r="D437" s="22" t="n"/>
      <c r="E437" s="22" t="n">
        <v>31503</v>
      </c>
      <c r="F437" s="83" t="inlineStr">
        <is>
          <t>1986-04</t>
        </is>
      </c>
      <c r="G437" s="83" t="n">
        <v>6.875619</v>
      </c>
      <c r="J437" s="83" t="n">
        <v>13.94215</v>
      </c>
      <c r="K437" s="83" t="n">
        <v>28.04147</v>
      </c>
      <c r="L437" s="83" t="n">
        <v>0.7677375</v>
      </c>
      <c r="N437" s="83" t="n">
        <v>0.4846632</v>
      </c>
      <c r="R437" s="83" t="n">
        <v>22.05007</v>
      </c>
      <c r="S437" s="83" t="n">
        <v>18.06557</v>
      </c>
      <c r="AE437" s="83" t="n">
        <v>1.107286</v>
      </c>
      <c r="AG437" s="83" t="n">
        <v>2.549231</v>
      </c>
      <c r="AH437" s="83" t="n">
        <v>1.199109</v>
      </c>
      <c r="AJ437" s="83" t="n">
        <v>39.69762</v>
      </c>
      <c r="AK437" s="83" t="n">
        <v>2.051267</v>
      </c>
      <c r="AO437" s="83" t="n">
        <v>0.1738291</v>
      </c>
      <c r="AQ437" s="83" t="n">
        <v>14.01908</v>
      </c>
      <c r="AR437" s="83" t="n">
        <v>8.293066</v>
      </c>
      <c r="AS437" s="83" t="n">
        <v>9.261685999999999</v>
      </c>
      <c r="AZ437" s="83" t="n">
        <v>15.54464</v>
      </c>
      <c r="BA437" s="83" t="n">
        <v>0.001048793</v>
      </c>
      <c r="BB437" s="83" t="n">
        <v>21.25579</v>
      </c>
      <c r="BC437" s="83" t="n">
        <v>2.586356</v>
      </c>
      <c r="BD437" s="83" t="n">
        <v>9.660170000000001</v>
      </c>
    </row>
    <row r="438">
      <c r="A438" s="83" t="inlineStr">
        <is>
          <t>1987-09</t>
        </is>
      </c>
      <c r="B438" s="22" t="n">
        <v>32021</v>
      </c>
      <c r="C438" s="22" t="n"/>
      <c r="D438" s="22" t="n"/>
      <c r="E438" s="22" t="n">
        <v>31533</v>
      </c>
      <c r="F438" s="83" t="inlineStr">
        <is>
          <t>1986-05</t>
        </is>
      </c>
      <c r="G438" s="83" t="n">
        <v>6.965276</v>
      </c>
      <c r="J438" s="83" t="n">
        <v>13.8231</v>
      </c>
      <c r="K438" s="83" t="n">
        <v>28.31984</v>
      </c>
      <c r="L438" s="83" t="n">
        <v>0.7869343</v>
      </c>
      <c r="N438" s="83" t="n">
        <v>0.4943854</v>
      </c>
      <c r="R438" s="83" t="n">
        <v>22.20981</v>
      </c>
      <c r="S438" s="83" t="n">
        <v>18.07651</v>
      </c>
      <c r="AE438" s="83" t="n">
        <v>1.123449</v>
      </c>
      <c r="AG438" s="83" t="n">
        <v>2.591296</v>
      </c>
      <c r="AH438" s="83" t="n">
        <v>1.187873</v>
      </c>
      <c r="AJ438" s="83" t="n">
        <v>39.93484</v>
      </c>
      <c r="AK438" s="83" t="n">
        <v>2.093079</v>
      </c>
      <c r="AO438" s="83" t="n">
        <v>0.1747761</v>
      </c>
      <c r="AQ438" s="83" t="n">
        <v>14.11022</v>
      </c>
      <c r="AR438" s="83" t="n">
        <v>8.372468</v>
      </c>
      <c r="AS438" s="83" t="n">
        <v>9.464444</v>
      </c>
      <c r="AZ438" s="83" t="n">
        <v>15.78364</v>
      </c>
      <c r="BA438" s="83" t="n">
        <v>0.001091547</v>
      </c>
      <c r="BB438" s="83" t="n">
        <v>21.48017</v>
      </c>
      <c r="BC438" s="83" t="n">
        <v>2.621122</v>
      </c>
      <c r="BD438" s="83" t="n">
        <v>9.786033</v>
      </c>
    </row>
    <row r="439">
      <c r="A439" s="83" t="inlineStr">
        <is>
          <t>1987-10</t>
        </is>
      </c>
      <c r="B439" s="22" t="n">
        <v>32051</v>
      </c>
      <c r="C439" s="22" t="n"/>
      <c r="D439" s="22" t="n"/>
      <c r="E439" s="22" t="n">
        <v>31564</v>
      </c>
      <c r="F439" s="83" t="inlineStr">
        <is>
          <t>1986-06</t>
        </is>
      </c>
      <c r="G439" s="83" t="n">
        <v>7.015709</v>
      </c>
      <c r="J439" s="83" t="n">
        <v>13.85003</v>
      </c>
      <c r="K439" s="83" t="n">
        <v>28.56799</v>
      </c>
      <c r="L439" s="83" t="n">
        <v>0.7948619</v>
      </c>
      <c r="N439" s="83" t="n">
        <v>0.506934</v>
      </c>
      <c r="R439" s="83" t="n">
        <v>22.23123</v>
      </c>
      <c r="S439" s="83" t="n">
        <v>18.20671</v>
      </c>
      <c r="AE439" s="83" t="n">
        <v>1.139765</v>
      </c>
      <c r="AG439" s="83" t="n">
        <v>2.648893</v>
      </c>
      <c r="AH439" s="83" t="n">
        <v>1.175309</v>
      </c>
      <c r="AJ439" s="83" t="n">
        <v>40.26204</v>
      </c>
      <c r="AK439" s="83" t="n">
        <v>2.131275</v>
      </c>
      <c r="AO439" s="83" t="n">
        <v>0.1756083</v>
      </c>
      <c r="AQ439" s="83" t="n">
        <v>14.19369</v>
      </c>
      <c r="AR439" s="83" t="n">
        <v>8.447405</v>
      </c>
      <c r="AS439" s="83" t="n">
        <v>9.644773000000001</v>
      </c>
      <c r="AZ439" s="83" t="n">
        <v>16.00965</v>
      </c>
      <c r="BA439" s="83" t="n">
        <v>0.001141825</v>
      </c>
      <c r="BB439" s="83" t="n">
        <v>21.64804</v>
      </c>
      <c r="BC439" s="83" t="n">
        <v>2.637805</v>
      </c>
      <c r="BD439" s="83" t="n">
        <v>9.847531999999999</v>
      </c>
    </row>
    <row r="440">
      <c r="A440" s="83" t="inlineStr">
        <is>
          <t>1987-11</t>
        </is>
      </c>
      <c r="B440" s="22" t="n">
        <v>32082</v>
      </c>
      <c r="C440" s="22" t="n"/>
      <c r="D440" s="22" t="n"/>
      <c r="E440" s="22" t="n">
        <v>31594</v>
      </c>
      <c r="F440" s="83" t="inlineStr">
        <is>
          <t>1986-07</t>
        </is>
      </c>
      <c r="G440" s="83" t="n">
        <v>7.057736</v>
      </c>
      <c r="J440" s="83" t="n">
        <v>13.94996</v>
      </c>
      <c r="K440" s="83" t="n">
        <v>28.84381</v>
      </c>
      <c r="L440" s="83" t="n">
        <v>0.810804</v>
      </c>
      <c r="N440" s="83" t="n">
        <v>0.5173832</v>
      </c>
      <c r="R440" s="83" t="n">
        <v>22.20123</v>
      </c>
      <c r="S440" s="83" t="n">
        <v>18.34067</v>
      </c>
      <c r="AE440" s="83" t="n">
        <v>1.154279</v>
      </c>
      <c r="AG440" s="83" t="n">
        <v>2.719897</v>
      </c>
      <c r="AH440" s="83" t="n">
        <v>1.184724</v>
      </c>
      <c r="AJ440" s="83" t="n">
        <v>40.55652</v>
      </c>
      <c r="AK440" s="83" t="n">
        <v>2.171296</v>
      </c>
      <c r="AO440" s="83" t="n">
        <v>0.176451</v>
      </c>
      <c r="AQ440" s="83" t="n">
        <v>14.2236</v>
      </c>
      <c r="AR440" s="83" t="n">
        <v>8.521696</v>
      </c>
      <c r="AS440" s="83" t="n">
        <v>9.83052</v>
      </c>
      <c r="AZ440" s="83" t="n">
        <v>16.11474</v>
      </c>
      <c r="BA440" s="83" t="n">
        <v>0.001182233</v>
      </c>
      <c r="BB440" s="83" t="n">
        <v>21.82753</v>
      </c>
      <c r="BC440" s="83" t="n">
        <v>2.652845</v>
      </c>
      <c r="BD440" s="83" t="n">
        <v>9.905913999999999</v>
      </c>
    </row>
    <row r="441">
      <c r="A441" s="83" t="inlineStr">
        <is>
          <t>1987-12</t>
        </is>
      </c>
      <c r="B441" s="22" t="n">
        <v>32112</v>
      </c>
      <c r="C441" s="22" t="n"/>
      <c r="D441" s="22" t="n"/>
      <c r="E441" s="22" t="n">
        <v>31625</v>
      </c>
      <c r="F441" s="83" t="inlineStr">
        <is>
          <t>1986-08</t>
        </is>
      </c>
      <c r="G441" s="83" t="n">
        <v>7.105366</v>
      </c>
      <c r="J441" s="83" t="n">
        <v>14.06839</v>
      </c>
      <c r="K441" s="83" t="n">
        <v>29.00286</v>
      </c>
      <c r="L441" s="83" t="n">
        <v>0.8301354</v>
      </c>
      <c r="N441" s="83" t="n">
        <v>0.5253901</v>
      </c>
      <c r="R441" s="83" t="n">
        <v>22.24606</v>
      </c>
      <c r="S441" s="83" t="n">
        <v>18.37827</v>
      </c>
      <c r="AE441" s="83" t="n">
        <v>1.167798</v>
      </c>
      <c r="AG441" s="83" t="n">
        <v>2.789308</v>
      </c>
      <c r="AH441" s="83" t="n">
        <v>1.21972</v>
      </c>
      <c r="AJ441" s="83" t="n">
        <v>40.82646</v>
      </c>
      <c r="AK441" s="83" t="n">
        <v>2.211868</v>
      </c>
      <c r="AO441" s="83" t="n">
        <v>0.1834797</v>
      </c>
      <c r="AQ441" s="83" t="n">
        <v>14.26584</v>
      </c>
      <c r="AR441" s="83" t="n">
        <v>8.612144000000001</v>
      </c>
      <c r="AS441" s="83" t="n">
        <v>10.0519</v>
      </c>
      <c r="AZ441" s="83" t="n">
        <v>16.31956</v>
      </c>
      <c r="BA441" s="83" t="n">
        <v>0.001211554</v>
      </c>
      <c r="BB441" s="83" t="n">
        <v>21.99291</v>
      </c>
      <c r="BC441" s="83" t="n">
        <v>2.673428</v>
      </c>
      <c r="BD441" s="83" t="n">
        <v>10.02725</v>
      </c>
    </row>
    <row r="442">
      <c r="A442" s="83" t="inlineStr">
        <is>
          <t>1988-01</t>
        </is>
      </c>
      <c r="B442" s="22" t="n">
        <v>32143</v>
      </c>
      <c r="C442" s="22" t="n"/>
      <c r="D442" s="22" t="n"/>
      <c r="E442" s="22" t="n">
        <v>31656</v>
      </c>
      <c r="F442" s="83" t="inlineStr">
        <is>
          <t>1986-09</t>
        </is>
      </c>
      <c r="G442" s="83" t="n">
        <v>7.138988</v>
      </c>
      <c r="J442" s="83" t="n">
        <v>14.16599</v>
      </c>
      <c r="K442" s="83" t="n">
        <v>29.11378</v>
      </c>
      <c r="L442" s="83" t="n">
        <v>0.851989</v>
      </c>
      <c r="N442" s="83" t="n">
        <v>0.5323655</v>
      </c>
      <c r="R442" s="83" t="n">
        <v>22.33207</v>
      </c>
      <c r="S442" s="83" t="n">
        <v>18.45783</v>
      </c>
      <c r="AE442" s="83" t="n">
        <v>1.185065</v>
      </c>
      <c r="AG442" s="83" t="n">
        <v>2.856907</v>
      </c>
      <c r="AH442" s="83" t="n">
        <v>1.256799</v>
      </c>
      <c r="AJ442" s="83" t="n">
        <v>41.1373</v>
      </c>
      <c r="AK442" s="83" t="n">
        <v>2.257599</v>
      </c>
      <c r="AO442" s="83" t="n">
        <v>0.1954433</v>
      </c>
      <c r="AQ442" s="83" t="n">
        <v>14.26829</v>
      </c>
      <c r="AR442" s="83" t="n">
        <v>8.721204999999999</v>
      </c>
      <c r="AS442" s="83" t="n">
        <v>10.30914</v>
      </c>
      <c r="AZ442" s="83" t="n">
        <v>16.54966</v>
      </c>
      <c r="BA442" s="83" t="n">
        <v>0.001237263</v>
      </c>
      <c r="BB442" s="83" t="n">
        <v>22.16991</v>
      </c>
      <c r="BC442" s="83" t="n">
        <v>2.694466</v>
      </c>
      <c r="BD442" s="83" t="n">
        <v>10.22722</v>
      </c>
    </row>
    <row r="443">
      <c r="A443" s="83" t="inlineStr">
        <is>
          <t>1988-02</t>
        </is>
      </c>
      <c r="B443" s="22" t="n">
        <v>32174</v>
      </c>
      <c r="C443" s="22" t="n"/>
      <c r="D443" s="22" t="n"/>
      <c r="E443" s="22" t="n">
        <v>31686</v>
      </c>
      <c r="F443" s="83" t="inlineStr">
        <is>
          <t>1986-10</t>
        </is>
      </c>
      <c r="G443" s="83" t="n">
        <v>7.181015</v>
      </c>
      <c r="J443" s="83" t="n">
        <v>14.35587</v>
      </c>
      <c r="K443" s="83" t="n">
        <v>29.30439</v>
      </c>
      <c r="L443" s="83" t="n">
        <v>0.8753348</v>
      </c>
      <c r="N443" s="83" t="n">
        <v>0.542006</v>
      </c>
      <c r="R443" s="83" t="n">
        <v>22.47242</v>
      </c>
      <c r="S443" s="83" t="n">
        <v>18.57153</v>
      </c>
      <c r="AE443" s="83" t="n">
        <v>1.200411</v>
      </c>
      <c r="AG443" s="83" t="n">
        <v>2.913519</v>
      </c>
      <c r="AH443" s="83" t="n">
        <v>1.292101</v>
      </c>
      <c r="AJ443" s="83" t="n">
        <v>41.36634</v>
      </c>
      <c r="AK443" s="83" t="n">
        <v>2.304375</v>
      </c>
      <c r="AO443" s="83" t="n">
        <v>0.2092311</v>
      </c>
      <c r="AQ443" s="83" t="n">
        <v>14.35822</v>
      </c>
      <c r="AR443" s="83" t="n">
        <v>8.8361</v>
      </c>
      <c r="AS443" s="83" t="n">
        <v>10.55264</v>
      </c>
      <c r="AZ443" s="83" t="n">
        <v>16.60254</v>
      </c>
      <c r="BA443" s="83" t="n">
        <v>0.001272326</v>
      </c>
      <c r="BB443" s="83" t="n">
        <v>22.33279</v>
      </c>
      <c r="BC443" s="83" t="n">
        <v>2.718616</v>
      </c>
      <c r="BD443" s="83" t="n">
        <v>10.48647</v>
      </c>
    </row>
    <row r="444">
      <c r="A444" s="83" t="inlineStr">
        <is>
          <t>1988-03</t>
        </is>
      </c>
      <c r="B444" s="22" t="n">
        <v>32203</v>
      </c>
      <c r="C444" s="22" t="n"/>
      <c r="D444" s="22" t="n"/>
      <c r="E444" s="22" t="n">
        <v>31717</v>
      </c>
      <c r="F444" s="83" t="inlineStr">
        <is>
          <t>1986-11</t>
        </is>
      </c>
      <c r="G444" s="83" t="n">
        <v>7.211835</v>
      </c>
      <c r="J444" s="83" t="n">
        <v>14.54585</v>
      </c>
      <c r="K444" s="83" t="n">
        <v>29.47783</v>
      </c>
      <c r="L444" s="83" t="n">
        <v>0.9016253</v>
      </c>
      <c r="N444" s="83" t="n">
        <v>0.5543148</v>
      </c>
      <c r="R444" s="83" t="n">
        <v>22.55466</v>
      </c>
      <c r="S444" s="83" t="n">
        <v>18.73664</v>
      </c>
      <c r="AE444" s="83" t="n">
        <v>1.216142</v>
      </c>
      <c r="AG444" s="83" t="n">
        <v>2.97055</v>
      </c>
      <c r="AH444" s="83" t="n">
        <v>1.321403</v>
      </c>
      <c r="AJ444" s="83" t="n">
        <v>41.61174</v>
      </c>
      <c r="AK444" s="83" t="n">
        <v>2.352932</v>
      </c>
      <c r="AO444" s="83" t="n">
        <v>0.2249735</v>
      </c>
      <c r="AQ444" s="83" t="n">
        <v>14.5099</v>
      </c>
      <c r="AR444" s="83" t="n">
        <v>8.949854999999999</v>
      </c>
      <c r="AS444" s="83" t="n">
        <v>10.84351</v>
      </c>
      <c r="AZ444" s="83" t="n">
        <v>16.65893</v>
      </c>
      <c r="BA444" s="83" t="n">
        <v>0.001314138</v>
      </c>
      <c r="BB444" s="83" t="n">
        <v>22.44831</v>
      </c>
      <c r="BC444" s="83" t="n">
        <v>2.739654</v>
      </c>
      <c r="BD444" s="83" t="n">
        <v>10.74393</v>
      </c>
    </row>
    <row r="445">
      <c r="A445" s="83" t="inlineStr">
        <is>
          <t>1988-04</t>
        </is>
      </c>
      <c r="B445" s="22" t="n">
        <v>32234</v>
      </c>
      <c r="C445" s="22" t="n"/>
      <c r="D445" s="22" t="n"/>
      <c r="E445" s="22" t="n">
        <v>31747</v>
      </c>
      <c r="F445" s="83" t="inlineStr">
        <is>
          <t>1986-12</t>
        </is>
      </c>
      <c r="G445" s="83" t="n">
        <v>7.253862</v>
      </c>
      <c r="J445" s="83" t="n">
        <v>14.76731</v>
      </c>
      <c r="K445" s="83" t="n">
        <v>29.66596</v>
      </c>
      <c r="L445" s="83" t="n">
        <v>0.9221378</v>
      </c>
      <c r="N445" s="83" t="n">
        <v>0.5672933</v>
      </c>
      <c r="R445" s="83" t="n">
        <v>22.65631</v>
      </c>
      <c r="S445" s="83" t="n">
        <v>19.1398</v>
      </c>
      <c r="AE445" s="83" t="n">
        <v>1.237262</v>
      </c>
      <c r="AG445" s="83" t="n">
        <v>3.052847</v>
      </c>
      <c r="AH445" s="83" t="n">
        <v>1.35144</v>
      </c>
      <c r="AJ445" s="83" t="n">
        <v>42.0371</v>
      </c>
      <c r="AK445" s="83" t="n">
        <v>2.402038</v>
      </c>
      <c r="AO445" s="83" t="n">
        <v>0.2405682</v>
      </c>
      <c r="AQ445" s="83" t="n">
        <v>14.58352</v>
      </c>
      <c r="AR445" s="83" t="n">
        <v>9.095696999999999</v>
      </c>
      <c r="AS445" s="83" t="n">
        <v>11.155</v>
      </c>
      <c r="AZ445" s="83" t="n">
        <v>16.95985</v>
      </c>
      <c r="BA445" s="83" t="n">
        <v>0.001356173</v>
      </c>
      <c r="BB445" s="83" t="n">
        <v>22.67019</v>
      </c>
      <c r="BC445" s="83" t="n">
        <v>2.750794</v>
      </c>
      <c r="BD445" s="83" t="n">
        <v>10.97117</v>
      </c>
    </row>
    <row r="446">
      <c r="A446" s="83" t="inlineStr">
        <is>
          <t>1988-05</t>
        </is>
      </c>
      <c r="B446" s="22" t="n">
        <v>32264</v>
      </c>
      <c r="C446" s="22" t="n"/>
      <c r="D446" s="22" t="n"/>
      <c r="E446" s="22" t="n">
        <v>31778</v>
      </c>
      <c r="F446" s="83" t="inlineStr">
        <is>
          <t>1987-01</t>
        </is>
      </c>
      <c r="G446" s="83" t="n">
        <v>7.343519</v>
      </c>
      <c r="J446" s="83" t="n">
        <v>14.87117</v>
      </c>
      <c r="K446" s="83" t="n">
        <v>29.87621</v>
      </c>
      <c r="L446" s="83" t="n">
        <v>0.9416072</v>
      </c>
      <c r="N446" s="83" t="n">
        <v>0.5791849999999999</v>
      </c>
      <c r="R446" s="83" t="n">
        <v>22.63851</v>
      </c>
      <c r="S446" s="83" t="n">
        <v>19.34158</v>
      </c>
      <c r="AA446" s="83" t="n">
        <v>9.223307</v>
      </c>
      <c r="AE446" s="83" t="n">
        <v>1.260513</v>
      </c>
      <c r="AG446" s="83" t="n">
        <v>3.097813</v>
      </c>
      <c r="AH446" s="83" t="n">
        <v>1.402343</v>
      </c>
      <c r="AJ446" s="83" t="n">
        <v>42.35612</v>
      </c>
      <c r="AK446" s="83" t="n">
        <v>2.4574</v>
      </c>
      <c r="AO446" s="83" t="n">
        <v>0.2566681</v>
      </c>
      <c r="AQ446" s="83" t="n">
        <v>14.61435</v>
      </c>
      <c r="AR446" s="83" t="n">
        <v>9.218716000000001</v>
      </c>
      <c r="AS446" s="83" t="n">
        <v>11.43599</v>
      </c>
      <c r="AZ446" s="83" t="n">
        <v>17.04802</v>
      </c>
      <c r="BA446" s="83" t="n">
        <v>0.001405086</v>
      </c>
      <c r="BB446" s="83" t="n">
        <v>22.80232</v>
      </c>
      <c r="BC446" s="83" t="n">
        <v>2.747471</v>
      </c>
      <c r="BD446" s="83" t="n">
        <v>11.23449</v>
      </c>
    </row>
    <row r="447">
      <c r="A447" s="83" t="inlineStr">
        <is>
          <t>1988-06</t>
        </is>
      </c>
      <c r="B447" s="22" t="n">
        <v>32295</v>
      </c>
      <c r="C447" s="22" t="n"/>
      <c r="D447" s="22" t="n"/>
      <c r="E447" s="22" t="n">
        <v>31809</v>
      </c>
      <c r="F447" s="83" t="inlineStr">
        <is>
          <t>1987-02</t>
        </is>
      </c>
      <c r="G447" s="83" t="n">
        <v>7.42197</v>
      </c>
      <c r="J447" s="83" t="n">
        <v>15.09531</v>
      </c>
      <c r="K447" s="83" t="n">
        <v>30.03304</v>
      </c>
      <c r="L447" s="83" t="n">
        <v>0.9675662</v>
      </c>
      <c r="N447" s="83" t="n">
        <v>0.5923535</v>
      </c>
      <c r="R447" s="83" t="n">
        <v>22.56106</v>
      </c>
      <c r="S447" s="83" t="n">
        <v>19.25452</v>
      </c>
      <c r="AA447" s="83" t="n">
        <v>11.16492</v>
      </c>
      <c r="AE447" s="83" t="n">
        <v>1.280062</v>
      </c>
      <c r="AG447" s="83" t="n">
        <v>3.176628</v>
      </c>
      <c r="AH447" s="83" t="n">
        <v>1.45122</v>
      </c>
      <c r="AJ447" s="83" t="n">
        <v>42.66696</v>
      </c>
      <c r="AK447" s="83" t="n">
        <v>2.513592</v>
      </c>
      <c r="AO447" s="83" t="n">
        <v>0.2750925</v>
      </c>
      <c r="AQ447" s="83" t="n">
        <v>14.76739</v>
      </c>
      <c r="AR447" s="83" t="n">
        <v>9.460082</v>
      </c>
      <c r="AS447" s="83" t="n">
        <v>11.65036</v>
      </c>
      <c r="AZ447" s="83" t="n">
        <v>17.00662</v>
      </c>
      <c r="BA447" s="83" t="n">
        <v>0.001446076</v>
      </c>
      <c r="BB447" s="83" t="n">
        <v>22.83224</v>
      </c>
      <c r="BC447" s="83" t="n">
        <v>2.765116</v>
      </c>
      <c r="BD447" s="83" t="n">
        <v>11.52059</v>
      </c>
    </row>
    <row r="448">
      <c r="A448" s="83" t="inlineStr">
        <is>
          <t>1988-07</t>
        </is>
      </c>
      <c r="B448" s="22" t="n">
        <v>32325</v>
      </c>
      <c r="C448" s="22" t="n"/>
      <c r="D448" s="22" t="n"/>
      <c r="E448" s="22" t="n">
        <v>31837</v>
      </c>
      <c r="F448" s="83" t="inlineStr">
        <is>
          <t>1987-03</t>
        </is>
      </c>
      <c r="G448" s="83" t="n">
        <v>7.455592</v>
      </c>
      <c r="J448" s="83" t="n">
        <v>15.20393</v>
      </c>
      <c r="K448" s="83" t="n">
        <v>30.28381</v>
      </c>
      <c r="L448" s="83" t="n">
        <v>0.9955277</v>
      </c>
      <c r="N448" s="83" t="n">
        <v>0.6068230999999999</v>
      </c>
      <c r="R448" s="83" t="n">
        <v>22.76226</v>
      </c>
      <c r="S448" s="83" t="n">
        <v>19.28458</v>
      </c>
      <c r="AA448" s="83" t="n">
        <v>11.32877</v>
      </c>
      <c r="AE448" s="83" t="n">
        <v>1.295625</v>
      </c>
      <c r="AG448" s="83" t="n">
        <v>3.294622</v>
      </c>
      <c r="AH448" s="83" t="n">
        <v>1.499365</v>
      </c>
      <c r="AJ448" s="83" t="n">
        <v>43.11686</v>
      </c>
      <c r="AK448" s="83" t="n">
        <v>2.593944</v>
      </c>
      <c r="AO448" s="83" t="n">
        <v>0.2968611</v>
      </c>
      <c r="AQ448" s="83" t="n">
        <v>14.9351</v>
      </c>
      <c r="AR448" s="83" t="n">
        <v>9.568885</v>
      </c>
      <c r="AS448" s="83" t="n">
        <v>11.84412</v>
      </c>
      <c r="AZ448" s="83" t="n">
        <v>17.01118</v>
      </c>
      <c r="BA448" s="83" t="n">
        <v>0.001471114</v>
      </c>
      <c r="BB448" s="83" t="n">
        <v>22.88376</v>
      </c>
      <c r="BC448" s="83" t="n">
        <v>2.803257</v>
      </c>
      <c r="BD448" s="83" t="n">
        <v>11.62466</v>
      </c>
    </row>
    <row r="449">
      <c r="A449" s="83" t="inlineStr">
        <is>
          <t>1988-08</t>
        </is>
      </c>
      <c r="B449" s="22" t="n">
        <v>32356</v>
      </c>
      <c r="C449" s="22" t="n"/>
      <c r="D449" s="22" t="n"/>
      <c r="E449" s="22" t="n">
        <v>31868</v>
      </c>
      <c r="F449" s="83" t="inlineStr">
        <is>
          <t>1987-04</t>
        </is>
      </c>
      <c r="G449" s="83" t="n">
        <v>7.480808</v>
      </c>
      <c r="J449" s="83" t="n">
        <v>15.35627</v>
      </c>
      <c r="K449" s="83" t="n">
        <v>30.57079</v>
      </c>
      <c r="L449" s="83" t="n">
        <v>1.026427</v>
      </c>
      <c r="N449" s="83" t="n">
        <v>0.6235852</v>
      </c>
      <c r="R449" s="83" t="n">
        <v>22.9657</v>
      </c>
      <c r="S449" s="83" t="n">
        <v>19.39494</v>
      </c>
      <c r="AA449" s="83" t="n">
        <v>11.51287</v>
      </c>
      <c r="AE449" s="83" t="n">
        <v>1.311164</v>
      </c>
      <c r="AG449" s="83" t="n">
        <v>3.401168</v>
      </c>
      <c r="AH449" s="83" t="n">
        <v>1.557123</v>
      </c>
      <c r="AJ449" s="83" t="n">
        <v>43.58313</v>
      </c>
      <c r="AK449" s="83" t="n">
        <v>2.673598</v>
      </c>
      <c r="AO449" s="83" t="n">
        <v>0.3216515</v>
      </c>
      <c r="AQ449" s="83" t="n">
        <v>15.06556</v>
      </c>
      <c r="AR449" s="83" t="n">
        <v>9.706115</v>
      </c>
      <c r="AS449" s="83" t="n">
        <v>12.0103</v>
      </c>
      <c r="AZ449" s="83" t="n">
        <v>17.0949</v>
      </c>
      <c r="BA449" s="83" t="n">
        <v>0.001515242</v>
      </c>
      <c r="BB449" s="83" t="n">
        <v>23.0001</v>
      </c>
      <c r="BC449" s="83" t="n">
        <v>2.843322</v>
      </c>
      <c r="BD449" s="83" t="n">
        <v>11.53679</v>
      </c>
    </row>
    <row r="450">
      <c r="A450" s="83" t="inlineStr">
        <is>
          <t>1988-09</t>
        </is>
      </c>
      <c r="B450" s="22" t="n">
        <v>32387</v>
      </c>
      <c r="C450" s="22" t="n"/>
      <c r="D450" s="22" t="n"/>
      <c r="E450" s="22" t="n">
        <v>31898</v>
      </c>
      <c r="F450" s="83" t="inlineStr">
        <is>
          <t>1987-05</t>
        </is>
      </c>
      <c r="G450" s="83" t="n">
        <v>7.56206</v>
      </c>
      <c r="J450" s="83" t="n">
        <v>15.5004</v>
      </c>
      <c r="K450" s="83" t="n">
        <v>30.75797</v>
      </c>
      <c r="L450" s="83" t="n">
        <v>1.058663</v>
      </c>
      <c r="N450" s="83" t="n">
        <v>0.6407281</v>
      </c>
      <c r="R450" s="83" t="n">
        <v>23.04919</v>
      </c>
      <c r="S450" s="83" t="n">
        <v>19.5495</v>
      </c>
      <c r="AA450" s="83" t="n">
        <v>11.67343</v>
      </c>
      <c r="AE450" s="83" t="n">
        <v>1.32282</v>
      </c>
      <c r="AG450" s="83" t="n">
        <v>3.530192</v>
      </c>
      <c r="AH450" s="83" t="n">
        <v>1.606737</v>
      </c>
      <c r="AJ450" s="83" t="n">
        <v>44.00031</v>
      </c>
      <c r="AK450" s="83" t="n">
        <v>2.727451</v>
      </c>
      <c r="AO450" s="83" t="n">
        <v>0.3485421</v>
      </c>
      <c r="AQ450" s="83" t="n">
        <v>15.08597</v>
      </c>
      <c r="AR450" s="83" t="n">
        <v>9.833256</v>
      </c>
      <c r="AS450" s="83" t="n">
        <v>12.19604</v>
      </c>
      <c r="AZ450" s="83" t="n">
        <v>17.39414</v>
      </c>
      <c r="BA450" s="83" t="n">
        <v>0.001569439</v>
      </c>
      <c r="BB450" s="83" t="n">
        <v>23.04331</v>
      </c>
      <c r="BC450" s="83" t="n">
        <v>2.881165</v>
      </c>
      <c r="BD450" s="83" t="n">
        <v>11.53573</v>
      </c>
    </row>
    <row r="451">
      <c r="A451" s="83" t="inlineStr">
        <is>
          <t>1988-10</t>
        </is>
      </c>
      <c r="B451" s="22" t="n">
        <v>32417</v>
      </c>
      <c r="C451" s="22" t="n"/>
      <c r="D451" s="22" t="n"/>
      <c r="E451" s="22" t="n">
        <v>31929</v>
      </c>
      <c r="F451" s="83" t="inlineStr">
        <is>
          <t>1987-06</t>
        </is>
      </c>
      <c r="G451" s="83" t="n">
        <v>7.662925</v>
      </c>
      <c r="J451" s="83" t="n">
        <v>15.63961</v>
      </c>
      <c r="K451" s="83" t="n">
        <v>30.99412</v>
      </c>
      <c r="L451" s="83" t="n">
        <v>1.092345</v>
      </c>
      <c r="N451" s="83" t="n">
        <v>0.6533234999999999</v>
      </c>
      <c r="R451" s="83" t="n">
        <v>23.31146</v>
      </c>
      <c r="S451" s="83" t="n">
        <v>19.7154</v>
      </c>
      <c r="AA451" s="83" t="n">
        <v>11.78799</v>
      </c>
      <c r="AE451" s="83" t="n">
        <v>1.336125</v>
      </c>
      <c r="AG451" s="83" t="n">
        <v>3.6236</v>
      </c>
      <c r="AH451" s="83" t="n">
        <v>1.648894</v>
      </c>
      <c r="AJ451" s="83" t="n">
        <v>44.38477</v>
      </c>
      <c r="AK451" s="83" t="n">
        <v>2.782616</v>
      </c>
      <c r="AO451" s="83" t="n">
        <v>0.3790073</v>
      </c>
      <c r="AQ451" s="83" t="n">
        <v>15.16761</v>
      </c>
      <c r="AR451" s="83" t="n">
        <v>9.956051</v>
      </c>
      <c r="AS451" s="83" t="n">
        <v>12.4718</v>
      </c>
      <c r="AZ451" s="83" t="n">
        <v>17.54369</v>
      </c>
      <c r="BA451" s="83" t="n">
        <v>0.0016218</v>
      </c>
      <c r="BB451" s="83" t="n">
        <v>23.05744</v>
      </c>
      <c r="BC451" s="83" t="n">
        <v>2.901853</v>
      </c>
      <c r="BD451" s="83" t="n">
        <v>11.68109</v>
      </c>
    </row>
    <row r="452">
      <c r="A452" s="83" t="inlineStr">
        <is>
          <t>1988-11</t>
        </is>
      </c>
      <c r="B452" s="22" t="n">
        <v>32448</v>
      </c>
      <c r="C452" s="22" t="n"/>
      <c r="D452" s="22" t="n"/>
      <c r="E452" s="22" t="n">
        <v>31959</v>
      </c>
      <c r="F452" s="83" t="inlineStr">
        <is>
          <t>1987-07</t>
        </is>
      </c>
      <c r="G452" s="83" t="n">
        <v>7.758186</v>
      </c>
      <c r="J452" s="83" t="n">
        <v>15.73628</v>
      </c>
      <c r="K452" s="83" t="n">
        <v>31.33548</v>
      </c>
      <c r="L452" s="83" t="n">
        <v>1.124549</v>
      </c>
      <c r="N452" s="83" t="n">
        <v>0.6667187</v>
      </c>
      <c r="R452" s="83" t="n">
        <v>23.43208</v>
      </c>
      <c r="S452" s="83" t="n">
        <v>19.81458</v>
      </c>
      <c r="AA452" s="83" t="n">
        <v>11.95055</v>
      </c>
      <c r="AE452" s="83" t="n">
        <v>1.355901</v>
      </c>
      <c r="AG452" s="83" t="n">
        <v>3.749668</v>
      </c>
      <c r="AH452" s="83" t="n">
        <v>1.683899</v>
      </c>
      <c r="AJ452" s="83" t="n">
        <v>44.79377</v>
      </c>
      <c r="AK452" s="83" t="n">
        <v>2.836942</v>
      </c>
      <c r="AO452" s="83" t="n">
        <v>0.4130578</v>
      </c>
      <c r="AQ452" s="83" t="n">
        <v>15.52818</v>
      </c>
      <c r="AR452" s="83" t="n">
        <v>10.09885</v>
      </c>
      <c r="AS452" s="83" t="n">
        <v>12.80997</v>
      </c>
      <c r="AZ452" s="83" t="n">
        <v>17.5537</v>
      </c>
      <c r="BA452" s="83" t="n">
        <v>0.001695084</v>
      </c>
      <c r="BB452" s="83" t="n">
        <v>23.09401</v>
      </c>
      <c r="BC452" s="83" t="n">
        <v>2.945625</v>
      </c>
      <c r="BD452" s="83" t="n">
        <v>11.77384</v>
      </c>
    </row>
    <row r="453">
      <c r="A453" s="83" t="inlineStr">
        <is>
          <t>1988-12</t>
        </is>
      </c>
      <c r="B453" s="22" t="n">
        <v>32478</v>
      </c>
      <c r="C453" s="22" t="n"/>
      <c r="D453" s="22" t="n"/>
      <c r="E453" s="22" t="n">
        <v>31990</v>
      </c>
      <c r="F453" s="83" t="inlineStr">
        <is>
          <t>1987-08</t>
        </is>
      </c>
      <c r="G453" s="83" t="n">
        <v>7.847844</v>
      </c>
      <c r="J453" s="83" t="n">
        <v>15.7781</v>
      </c>
      <c r="K453" s="83" t="n">
        <v>31.67595</v>
      </c>
      <c r="L453" s="83" t="n">
        <v>1.151617</v>
      </c>
      <c r="N453" s="83" t="n">
        <v>0.6827718</v>
      </c>
      <c r="R453" s="83" t="n">
        <v>23.48534</v>
      </c>
      <c r="S453" s="83" t="n">
        <v>19.86186</v>
      </c>
      <c r="AA453" s="83" t="n">
        <v>12.12972</v>
      </c>
      <c r="AE453" s="83" t="n">
        <v>1.376741</v>
      </c>
      <c r="AG453" s="83" t="n">
        <v>3.866318</v>
      </c>
      <c r="AH453" s="83" t="n">
        <v>1.701931</v>
      </c>
      <c r="AJ453" s="83" t="n">
        <v>45.24367</v>
      </c>
      <c r="AK453" s="83" t="n">
        <v>2.895226</v>
      </c>
      <c r="AO453" s="83" t="n">
        <v>0.4472899</v>
      </c>
      <c r="AQ453" s="83" t="n">
        <v>15.73751</v>
      </c>
      <c r="AR453" s="83" t="n">
        <v>10.24954</v>
      </c>
      <c r="AS453" s="83" t="n">
        <v>13.12334</v>
      </c>
      <c r="AZ453" s="83" t="n">
        <v>17.55914</v>
      </c>
      <c r="BA453" s="83" t="n">
        <v>0.001772105</v>
      </c>
      <c r="BB453" s="83" t="n">
        <v>23.17046</v>
      </c>
      <c r="BC453" s="83" t="n">
        <v>2.977523</v>
      </c>
      <c r="BD453" s="83" t="n">
        <v>11.84956</v>
      </c>
    </row>
    <row r="454">
      <c r="A454" s="83" t="inlineStr">
        <is>
          <t>1989-01</t>
        </is>
      </c>
      <c r="B454" s="22" t="n">
        <v>32509</v>
      </c>
      <c r="C454" s="22" t="n"/>
      <c r="D454" s="22" t="n"/>
      <c r="E454" s="22" t="n">
        <v>32021</v>
      </c>
      <c r="F454" s="83" t="inlineStr">
        <is>
          <t>1987-09</t>
        </is>
      </c>
      <c r="G454" s="83" t="n">
        <v>7.926294</v>
      </c>
      <c r="J454" s="83" t="n">
        <v>15.87105</v>
      </c>
      <c r="K454" s="83" t="n">
        <v>31.9916</v>
      </c>
      <c r="L454" s="83" t="n">
        <v>1.180915</v>
      </c>
      <c r="N454" s="83" t="n">
        <v>0.7047715</v>
      </c>
      <c r="R454" s="83" t="n">
        <v>23.4671</v>
      </c>
      <c r="S454" s="83" t="n">
        <v>19.96626</v>
      </c>
      <c r="AA454" s="83" t="n">
        <v>12.21361</v>
      </c>
      <c r="AE454" s="83" t="n">
        <v>1.397702</v>
      </c>
      <c r="AG454" s="83" t="n">
        <v>3.924559</v>
      </c>
      <c r="AH454" s="83" t="n">
        <v>1.71059</v>
      </c>
      <c r="AJ454" s="83" t="n">
        <v>45.70175</v>
      </c>
      <c r="AK454" s="83" t="n">
        <v>2.940574</v>
      </c>
      <c r="AO454" s="83" t="n">
        <v>0.4813524</v>
      </c>
      <c r="AQ454" s="83" t="n">
        <v>15.82284</v>
      </c>
      <c r="AR454" s="83" t="n">
        <v>10.39531</v>
      </c>
      <c r="AS454" s="83" t="n">
        <v>13.25473</v>
      </c>
      <c r="AZ454" s="83" t="n">
        <v>17.62576</v>
      </c>
      <c r="BA454" s="83" t="n">
        <v>0.001841465</v>
      </c>
      <c r="BB454" s="83" t="n">
        <v>23.26437</v>
      </c>
      <c r="BC454" s="83" t="n">
        <v>3.026629</v>
      </c>
      <c r="BD454" s="83" t="n">
        <v>12.04193</v>
      </c>
    </row>
    <row r="455">
      <c r="A455" s="83" t="inlineStr">
        <is>
          <t>1989-02</t>
        </is>
      </c>
      <c r="B455" s="22" t="n">
        <v>32540</v>
      </c>
      <c r="C455" s="22" t="n"/>
      <c r="D455" s="22" t="n"/>
      <c r="E455" s="22" t="n">
        <v>32051</v>
      </c>
      <c r="F455" s="83" t="inlineStr">
        <is>
          <t>1987-10</t>
        </is>
      </c>
      <c r="G455" s="83" t="n">
        <v>8.015950999999999</v>
      </c>
      <c r="J455" s="83" t="n">
        <v>15.99786</v>
      </c>
      <c r="K455" s="83" t="n">
        <v>32.33082</v>
      </c>
      <c r="L455" s="83" t="n">
        <v>1.21286</v>
      </c>
      <c r="N455" s="83" t="n">
        <v>0.7230472</v>
      </c>
      <c r="R455" s="83" t="n">
        <v>23.46243</v>
      </c>
      <c r="S455" s="83" t="n">
        <v>20.09508</v>
      </c>
      <c r="AA455" s="83" t="n">
        <v>12.35499</v>
      </c>
      <c r="AE455" s="83" t="n">
        <v>1.417164</v>
      </c>
      <c r="AG455" s="83" t="n">
        <v>3.984225</v>
      </c>
      <c r="AH455" s="83" t="n">
        <v>1.713417</v>
      </c>
      <c r="AJ455" s="83" t="n">
        <v>46.08621</v>
      </c>
      <c r="AK455" s="83" t="n">
        <v>3.009511</v>
      </c>
      <c r="AO455" s="83" t="n">
        <v>0.5169406</v>
      </c>
      <c r="AQ455" s="83" t="n">
        <v>16.16628</v>
      </c>
      <c r="AR455" s="83" t="n">
        <v>10.55536</v>
      </c>
      <c r="AS455" s="83" t="n">
        <v>13.49248</v>
      </c>
      <c r="AZ455" s="83" t="n">
        <v>17.72446</v>
      </c>
      <c r="BA455" s="83" t="n">
        <v>0.001910554</v>
      </c>
      <c r="BB455" s="83" t="n">
        <v>23.39151</v>
      </c>
      <c r="BC455" s="83" t="n">
        <v>3.092645</v>
      </c>
      <c r="BD455" s="83" t="n">
        <v>12.34059</v>
      </c>
    </row>
    <row r="456">
      <c r="A456" s="83" t="inlineStr">
        <is>
          <t>1989-03</t>
        </is>
      </c>
      <c r="B456" s="22" t="n">
        <v>32568</v>
      </c>
      <c r="C456" s="22" t="n"/>
      <c r="D456" s="22" t="n"/>
      <c r="E456" s="22" t="n">
        <v>32082</v>
      </c>
      <c r="F456" s="83" t="inlineStr">
        <is>
          <t>1987-11</t>
        </is>
      </c>
      <c r="G456" s="83" t="n">
        <v>8.12242</v>
      </c>
      <c r="J456" s="83" t="n">
        <v>15.83517</v>
      </c>
      <c r="K456" s="83" t="n">
        <v>32.67075</v>
      </c>
      <c r="L456" s="83" t="n">
        <v>1.246058</v>
      </c>
      <c r="N456" s="83" t="n">
        <v>0.7301823</v>
      </c>
      <c r="R456" s="83" t="n">
        <v>23.59049</v>
      </c>
      <c r="S456" s="83" t="n">
        <v>20.2728</v>
      </c>
      <c r="AA456" s="83" t="n">
        <v>12.50261</v>
      </c>
      <c r="AE456" s="83" t="n">
        <v>1.432946</v>
      </c>
      <c r="AG456" s="83" t="n">
        <v>4.059226</v>
      </c>
      <c r="AH456" s="83" t="n">
        <v>1.736922</v>
      </c>
      <c r="AJ456" s="83" t="n">
        <v>46.62609</v>
      </c>
      <c r="AK456" s="83" t="n">
        <v>3.085485</v>
      </c>
      <c r="AO456" s="83" t="n">
        <v>0.5472872</v>
      </c>
      <c r="AQ456" s="83" t="n">
        <v>16.61929</v>
      </c>
      <c r="AR456" s="83" t="n">
        <v>10.6873</v>
      </c>
      <c r="AS456" s="83" t="n">
        <v>13.87024</v>
      </c>
      <c r="AZ456" s="83" t="n">
        <v>17.85745</v>
      </c>
      <c r="BA456" s="83" t="n">
        <v>0.001973561</v>
      </c>
      <c r="BB456" s="83" t="n">
        <v>23.42558</v>
      </c>
      <c r="BC456" s="83" t="n">
        <v>3.167388</v>
      </c>
      <c r="BD456" s="83" t="n">
        <v>12.54499</v>
      </c>
    </row>
    <row r="457">
      <c r="A457" s="83" t="inlineStr">
        <is>
          <t>1989-04</t>
        </is>
      </c>
      <c r="B457" s="22" t="n">
        <v>32599</v>
      </c>
      <c r="C457" s="22" t="n"/>
      <c r="D457" s="22" t="n"/>
      <c r="E457" s="22" t="n">
        <v>32112</v>
      </c>
      <c r="F457" s="83" t="inlineStr">
        <is>
          <t>1987-12</t>
        </is>
      </c>
      <c r="G457" s="83" t="n">
        <v>8.198069</v>
      </c>
      <c r="J457" s="83" t="n">
        <v>15.96451</v>
      </c>
      <c r="K457" s="83" t="n">
        <v>32.94631</v>
      </c>
      <c r="L457" s="83" t="n">
        <v>1.284101</v>
      </c>
      <c r="N457" s="83" t="n">
        <v>0.7394136</v>
      </c>
      <c r="R457" s="83" t="n">
        <v>23.6166</v>
      </c>
      <c r="S457" s="83" t="n">
        <v>20.67437</v>
      </c>
      <c r="AA457" s="83" t="n">
        <v>12.61747</v>
      </c>
      <c r="AE457" s="83" t="n">
        <v>1.450064</v>
      </c>
      <c r="AG457" s="83" t="n">
        <v>4.14712</v>
      </c>
      <c r="AH457" s="83" t="n">
        <v>1.769589</v>
      </c>
      <c r="AJ457" s="83" t="n">
        <v>46.91239</v>
      </c>
      <c r="AK457" s="83" t="n">
        <v>3.134233</v>
      </c>
      <c r="AO457" s="83" t="n">
        <v>0.5772753</v>
      </c>
      <c r="AQ457" s="83" t="n">
        <v>16.85977</v>
      </c>
      <c r="AR457" s="83" t="n">
        <v>10.82521</v>
      </c>
      <c r="AS457" s="83" t="n">
        <v>14.1494</v>
      </c>
      <c r="AZ457" s="83" t="n">
        <v>17.90208</v>
      </c>
      <c r="BA457" s="83" t="n">
        <v>0.002080837</v>
      </c>
      <c r="BB457" s="83" t="n">
        <v>23.48791</v>
      </c>
      <c r="BC457" s="83" t="n">
        <v>3.23169</v>
      </c>
      <c r="BD457" s="83" t="n">
        <v>12.68686</v>
      </c>
    </row>
    <row r="458">
      <c r="A458" s="83" t="inlineStr">
        <is>
          <t>1989-05</t>
        </is>
      </c>
      <c r="B458" s="22" t="n">
        <v>32629</v>
      </c>
      <c r="C458" s="22" t="n"/>
      <c r="D458" s="22" t="n"/>
      <c r="E458" s="22" t="n">
        <v>32143</v>
      </c>
      <c r="F458" s="83" t="inlineStr">
        <is>
          <t>1988-01</t>
        </is>
      </c>
      <c r="G458" s="83" t="n">
        <v>8.234491999999999</v>
      </c>
      <c r="J458" s="83" t="n">
        <v>16.02024</v>
      </c>
      <c r="K458" s="83" t="n">
        <v>33.18246</v>
      </c>
      <c r="L458" s="83" t="n">
        <v>1.322988</v>
      </c>
      <c r="N458" s="83" t="n">
        <v>0.7529377</v>
      </c>
      <c r="R458" s="83" t="n">
        <v>23.64436</v>
      </c>
      <c r="S458" s="83" t="n">
        <v>20.89334</v>
      </c>
      <c r="AA458" s="83" t="n">
        <v>12.7817</v>
      </c>
      <c r="AE458" s="83" t="n">
        <v>1.470109</v>
      </c>
      <c r="AG458" s="83" t="n">
        <v>4.252719</v>
      </c>
      <c r="AH458" s="83" t="n">
        <v>1.785518</v>
      </c>
      <c r="AJ458" s="83" t="n">
        <v>47.34593</v>
      </c>
      <c r="AK458" s="83" t="n">
        <v>3.190313</v>
      </c>
      <c r="AO458" s="83" t="n">
        <v>0.6119086</v>
      </c>
      <c r="AQ458" s="83" t="n">
        <v>17.2906</v>
      </c>
      <c r="AR458" s="83" t="n">
        <v>10.99746</v>
      </c>
      <c r="AS458" s="83" t="n">
        <v>14.43501</v>
      </c>
      <c r="AZ458" s="83" t="n">
        <v>17.71553</v>
      </c>
      <c r="BA458" s="83" t="n">
        <v>0.002184756</v>
      </c>
      <c r="BB458" s="83" t="n">
        <v>23.66242</v>
      </c>
      <c r="BC458" s="83" t="n">
        <v>3.270601</v>
      </c>
      <c r="BD458" s="83" t="n">
        <v>12.772</v>
      </c>
    </row>
    <row r="459">
      <c r="A459" s="83" t="inlineStr">
        <is>
          <t>1989-06</t>
        </is>
      </c>
      <c r="B459" s="22" t="n">
        <v>32660</v>
      </c>
      <c r="C459" s="22" t="n"/>
      <c r="D459" s="22" t="n"/>
      <c r="E459" s="22" t="n">
        <v>32174</v>
      </c>
      <c r="F459" s="83" t="inlineStr">
        <is>
          <t>1988-02</t>
        </is>
      </c>
      <c r="G459" s="83" t="n">
        <v>8.279320999999999</v>
      </c>
      <c r="J459" s="83" t="n">
        <v>16.10781</v>
      </c>
      <c r="K459" s="83" t="n">
        <v>33.4363</v>
      </c>
      <c r="L459" s="83" t="n">
        <v>1.348459</v>
      </c>
      <c r="N459" s="83" t="n">
        <v>0.7670198</v>
      </c>
      <c r="R459" s="83" t="n">
        <v>23.62288</v>
      </c>
      <c r="S459" s="83" t="n">
        <v>20.81351</v>
      </c>
      <c r="AA459" s="83" t="n">
        <v>12.90561</v>
      </c>
      <c r="AE459" s="83" t="n">
        <v>1.48905</v>
      </c>
      <c r="AG459" s="83" t="n">
        <v>4.319077</v>
      </c>
      <c r="AH459" s="83" t="n">
        <v>1.811664</v>
      </c>
      <c r="AJ459" s="83" t="n">
        <v>47.84491</v>
      </c>
      <c r="AK459" s="83" t="n">
        <v>3.260391</v>
      </c>
      <c r="AO459" s="83" t="n">
        <v>0.6583872</v>
      </c>
      <c r="AQ459" s="83" t="n">
        <v>17.57699</v>
      </c>
      <c r="AR459" s="83" t="n">
        <v>11.1399</v>
      </c>
      <c r="AS459" s="83" t="n">
        <v>14.63463</v>
      </c>
      <c r="AZ459" s="83" t="n">
        <v>17.64827</v>
      </c>
      <c r="BA459" s="83" t="n">
        <v>0.002225725</v>
      </c>
      <c r="BB459" s="83" t="n">
        <v>23.85356</v>
      </c>
      <c r="BC459" s="83" t="n">
        <v>3.329814</v>
      </c>
      <c r="BD459" s="83" t="n">
        <v>12.89683</v>
      </c>
    </row>
    <row r="460">
      <c r="A460" s="83" t="inlineStr">
        <is>
          <t>1989-07</t>
        </is>
      </c>
      <c r="B460" s="22" t="n">
        <v>32690</v>
      </c>
      <c r="C460" s="22" t="n"/>
      <c r="D460" s="22" t="n"/>
      <c r="E460" s="22" t="n">
        <v>32203</v>
      </c>
      <c r="F460" s="83" t="inlineStr">
        <is>
          <t>1988-03</t>
        </is>
      </c>
      <c r="G460" s="83" t="n">
        <v>8.354969000000001</v>
      </c>
      <c r="J460" s="83" t="n">
        <v>16.28347</v>
      </c>
      <c r="K460" s="83" t="n">
        <v>33.64347</v>
      </c>
      <c r="L460" s="83" t="n">
        <v>1.377442</v>
      </c>
      <c r="N460" s="83" t="n">
        <v>0.7785161</v>
      </c>
      <c r="R460" s="83" t="n">
        <v>23.45168</v>
      </c>
      <c r="S460" s="83" t="n">
        <v>20.7864</v>
      </c>
      <c r="AA460" s="83" t="n">
        <v>13.08579</v>
      </c>
      <c r="AE460" s="83" t="n">
        <v>1.505517</v>
      </c>
      <c r="AG460" s="83" t="n">
        <v>4.396917</v>
      </c>
      <c r="AH460" s="83" t="n">
        <v>1.853042</v>
      </c>
      <c r="AJ460" s="83" t="n">
        <v>48.19665</v>
      </c>
      <c r="AK460" s="83" t="n">
        <v>3.324317</v>
      </c>
      <c r="AO460" s="83" t="n">
        <v>0.7171009</v>
      </c>
      <c r="AQ460" s="83" t="n">
        <v>17.69511</v>
      </c>
      <c r="AR460" s="83" t="n">
        <v>11.29651</v>
      </c>
      <c r="AS460" s="83" t="n">
        <v>14.86172</v>
      </c>
      <c r="AZ460" s="83" t="n">
        <v>17.78161</v>
      </c>
      <c r="BA460" s="83" t="n">
        <v>0.002265637</v>
      </c>
      <c r="BB460" s="83" t="n">
        <v>24.02225</v>
      </c>
      <c r="BC460" s="83" t="n">
        <v>3.40356</v>
      </c>
      <c r="BD460" s="83" t="n">
        <v>13.92068</v>
      </c>
    </row>
    <row r="461">
      <c r="A461" s="83" t="inlineStr">
        <is>
          <t>1989-08</t>
        </is>
      </c>
      <c r="B461" s="22" t="n">
        <v>32721</v>
      </c>
      <c r="C461" s="22" t="n"/>
      <c r="D461" s="22" t="n"/>
      <c r="E461" s="22" t="n">
        <v>32234</v>
      </c>
      <c r="F461" s="83" t="inlineStr">
        <is>
          <t>1988-04</t>
        </is>
      </c>
      <c r="G461" s="83" t="n">
        <v>8.444627000000001</v>
      </c>
      <c r="J461" s="83" t="n">
        <v>16.47195</v>
      </c>
      <c r="K461" s="83" t="n">
        <v>33.93316</v>
      </c>
      <c r="L461" s="83" t="n">
        <v>1.420816</v>
      </c>
      <c r="N461" s="83" t="n">
        <v>0.7894871</v>
      </c>
      <c r="R461" s="83" t="n">
        <v>23.48208</v>
      </c>
      <c r="S461" s="83" t="n">
        <v>20.90091</v>
      </c>
      <c r="AA461" s="83" t="n">
        <v>13.25289</v>
      </c>
      <c r="AE461" s="83" t="n">
        <v>1.522268</v>
      </c>
      <c r="AG461" s="83" t="n">
        <v>4.450884</v>
      </c>
      <c r="AH461" s="83" t="n">
        <v>1.892419</v>
      </c>
      <c r="AJ461" s="83" t="n">
        <v>48.56475</v>
      </c>
      <c r="AK461" s="83" t="n">
        <v>3.399235</v>
      </c>
      <c r="AO461" s="83" t="n">
        <v>0.7598406</v>
      </c>
      <c r="AQ461" s="83" t="n">
        <v>17.88847</v>
      </c>
      <c r="AR461" s="83" t="n">
        <v>11.4385</v>
      </c>
      <c r="AS461" s="83" t="n">
        <v>15.1521</v>
      </c>
      <c r="AZ461" s="83" t="n">
        <v>17.82694</v>
      </c>
      <c r="BA461" s="83" t="n">
        <v>0.002318184</v>
      </c>
      <c r="BB461" s="83" t="n">
        <v>24.18846</v>
      </c>
      <c r="BC461" s="83" t="n">
        <v>3.464925</v>
      </c>
      <c r="BD461" s="83" t="n">
        <v>14.69014</v>
      </c>
    </row>
    <row r="462">
      <c r="A462" s="83" t="inlineStr">
        <is>
          <t>1989-09</t>
        </is>
      </c>
      <c r="B462" s="22" t="n">
        <v>32752</v>
      </c>
      <c r="C462" s="22" t="n"/>
      <c r="D462" s="22" t="n"/>
      <c r="E462" s="22" t="n">
        <v>32264</v>
      </c>
      <c r="F462" s="83" t="inlineStr">
        <is>
          <t>1988-05</t>
        </is>
      </c>
      <c r="G462" s="83" t="n">
        <v>8.525879</v>
      </c>
      <c r="J462" s="83" t="n">
        <v>16.63433</v>
      </c>
      <c r="K462" s="83" t="n">
        <v>34.29292</v>
      </c>
      <c r="L462" s="83" t="n">
        <v>1.464424</v>
      </c>
      <c r="N462" s="83" t="n">
        <v>0.8047681</v>
      </c>
      <c r="R462" s="83" t="n">
        <v>23.74325</v>
      </c>
      <c r="S462" s="83" t="n">
        <v>21.10526</v>
      </c>
      <c r="AA462" s="83" t="n">
        <v>13.34977</v>
      </c>
      <c r="AE462" s="83" t="n">
        <v>1.542621</v>
      </c>
      <c r="AG462" s="83" t="n">
        <v>4.491276</v>
      </c>
      <c r="AH462" s="83" t="n">
        <v>1.918558</v>
      </c>
      <c r="AJ462" s="83" t="n">
        <v>49.07191</v>
      </c>
      <c r="AK462" s="83" t="n">
        <v>3.48647</v>
      </c>
      <c r="AO462" s="83" t="n">
        <v>0.7906901</v>
      </c>
      <c r="AQ462" s="83" t="n">
        <v>17.91864</v>
      </c>
      <c r="AR462" s="83" t="n">
        <v>11.56433</v>
      </c>
      <c r="AS462" s="83" t="n">
        <v>15.49793</v>
      </c>
      <c r="AZ462" s="83" t="n">
        <v>17.87968</v>
      </c>
      <c r="BA462" s="83" t="n">
        <v>0.00242129</v>
      </c>
      <c r="BB462" s="83" t="n">
        <v>24.31561</v>
      </c>
      <c r="BC462" s="83" t="n">
        <v>3.521463</v>
      </c>
      <c r="BD462" s="83" t="n">
        <v>14.54165</v>
      </c>
    </row>
    <row r="463">
      <c r="A463" s="83" t="inlineStr">
        <is>
          <t>1989-10</t>
        </is>
      </c>
      <c r="B463" s="22" t="n">
        <v>32782</v>
      </c>
      <c r="C463" s="22" t="n"/>
      <c r="D463" s="22" t="n"/>
      <c r="E463" s="22" t="n">
        <v>32295</v>
      </c>
      <c r="F463" s="83" t="inlineStr">
        <is>
          <t>1988-06</t>
        </is>
      </c>
      <c r="G463" s="83" t="n">
        <v>8.632348</v>
      </c>
      <c r="J463" s="83" t="n">
        <v>16.90051</v>
      </c>
      <c r="K463" s="83" t="n">
        <v>34.41161</v>
      </c>
      <c r="L463" s="83" t="n">
        <v>1.496286</v>
      </c>
      <c r="N463" s="83" t="n">
        <v>0.826087</v>
      </c>
      <c r="R463" s="83" t="n">
        <v>24.00524</v>
      </c>
      <c r="S463" s="83" t="n">
        <v>21.27416</v>
      </c>
      <c r="AA463" s="83" t="n">
        <v>13.54964</v>
      </c>
      <c r="AE463" s="83" t="n">
        <v>1.548043</v>
      </c>
      <c r="AG463" s="83" t="n">
        <v>4.611727</v>
      </c>
      <c r="AH463" s="83" t="n">
        <v>1.947271</v>
      </c>
      <c r="AJ463" s="83" t="n">
        <v>49.44001</v>
      </c>
      <c r="AK463" s="83" t="n">
        <v>3.565141</v>
      </c>
      <c r="AO463" s="83" t="n">
        <v>0.8149745</v>
      </c>
      <c r="AQ463" s="83" t="n">
        <v>17.97002</v>
      </c>
      <c r="AR463" s="83" t="n">
        <v>11.68273</v>
      </c>
      <c r="AS463" s="83" t="n">
        <v>15.85116</v>
      </c>
      <c r="AZ463" s="83" t="n">
        <v>18.0264</v>
      </c>
      <c r="BA463" s="83" t="n">
        <v>0.002513368</v>
      </c>
      <c r="BB463" s="83" t="n">
        <v>24.41865</v>
      </c>
      <c r="BC463" s="83" t="n">
        <v>3.60182</v>
      </c>
      <c r="BD463" s="83" t="n">
        <v>14.63362</v>
      </c>
    </row>
    <row r="464">
      <c r="A464" s="83" t="inlineStr">
        <is>
          <t>1989-11</t>
        </is>
      </c>
      <c r="B464" s="22" t="n">
        <v>32813</v>
      </c>
      <c r="C464" s="22" t="n"/>
      <c r="D464" s="22" t="n"/>
      <c r="E464" s="22" t="n">
        <v>32325</v>
      </c>
      <c r="F464" s="83" t="inlineStr">
        <is>
          <t>1988-07</t>
        </is>
      </c>
      <c r="G464" s="83" t="n">
        <v>8.727608999999999</v>
      </c>
      <c r="J464" s="83" t="n">
        <v>17.09669</v>
      </c>
      <c r="K464" s="83" t="n">
        <v>34.60744</v>
      </c>
      <c r="L464" s="83" t="n">
        <v>1.524239</v>
      </c>
      <c r="N464" s="83" t="n">
        <v>0.8420612</v>
      </c>
      <c r="R464" s="83" t="n">
        <v>24.33787</v>
      </c>
      <c r="S464" s="83" t="n">
        <v>21.45646</v>
      </c>
      <c r="AA464" s="83" t="n">
        <v>13.82039</v>
      </c>
      <c r="AE464" s="83" t="n">
        <v>1.580273</v>
      </c>
      <c r="AG464" s="83" t="n">
        <v>4.739569</v>
      </c>
      <c r="AH464" s="83" t="n">
        <v>1.990802</v>
      </c>
      <c r="AJ464" s="83" t="n">
        <v>49.82448</v>
      </c>
      <c r="AK464" s="83" t="n">
        <v>3.644418</v>
      </c>
      <c r="AO464" s="83" t="n">
        <v>0.8242766</v>
      </c>
      <c r="AQ464" s="83" t="n">
        <v>17.95637</v>
      </c>
      <c r="AR464" s="83" t="n">
        <v>11.78042</v>
      </c>
      <c r="AS464" s="83" t="n">
        <v>16.21564</v>
      </c>
      <c r="AZ464" s="83" t="n">
        <v>18.16947</v>
      </c>
      <c r="BA464" s="83" t="n">
        <v>0.002597631</v>
      </c>
      <c r="BB464" s="83" t="n">
        <v>24.49178</v>
      </c>
      <c r="BC464" s="83" t="n">
        <v>3.671613</v>
      </c>
      <c r="BD464" s="83" t="n">
        <v>14.76795</v>
      </c>
    </row>
    <row r="465">
      <c r="A465" s="83" t="inlineStr">
        <is>
          <t>1989-12</t>
        </is>
      </c>
      <c r="B465" s="22" t="n">
        <v>32843</v>
      </c>
      <c r="C465" s="22" t="n"/>
      <c r="D465" s="22" t="n"/>
      <c r="E465" s="22" t="n">
        <v>32356</v>
      </c>
      <c r="F465" s="83" t="inlineStr">
        <is>
          <t>1988-08</t>
        </is>
      </c>
      <c r="G465" s="83" t="n">
        <v>8.803258</v>
      </c>
      <c r="J465" s="83" t="n">
        <v>17.37352</v>
      </c>
      <c r="K465" s="83" t="n">
        <v>34.8749</v>
      </c>
      <c r="L465" s="83" t="n">
        <v>1.564574</v>
      </c>
      <c r="N465" s="83" t="n">
        <v>0.8564345</v>
      </c>
      <c r="R465" s="83" t="n">
        <v>24.46678</v>
      </c>
      <c r="S465" s="83" t="n">
        <v>21.5388</v>
      </c>
      <c r="AA465" s="83" t="n">
        <v>14.05585</v>
      </c>
      <c r="AE465" s="83" t="n">
        <v>1.624457</v>
      </c>
      <c r="AG465" s="83" t="n">
        <v>4.820896</v>
      </c>
      <c r="AH465" s="83" t="n">
        <v>2.034417</v>
      </c>
      <c r="AJ465" s="83" t="n">
        <v>50.25802</v>
      </c>
      <c r="AK465" s="83" t="n">
        <v>3.729973</v>
      </c>
      <c r="AO465" s="83" t="n">
        <v>0.8294367</v>
      </c>
      <c r="AQ465" s="83" t="n">
        <v>17.83703</v>
      </c>
      <c r="AR465" s="83" t="n">
        <v>11.87492</v>
      </c>
      <c r="AS465" s="83" t="n">
        <v>16.47714</v>
      </c>
      <c r="AZ465" s="83" t="n">
        <v>18.27527</v>
      </c>
      <c r="BA465" s="83" t="n">
        <v>0.002736364</v>
      </c>
      <c r="BB465" s="83" t="n">
        <v>24.53167</v>
      </c>
      <c r="BC465" s="83" t="n">
        <v>3.750116</v>
      </c>
      <c r="BD465" s="83" t="n">
        <v>14.78829</v>
      </c>
    </row>
    <row r="466">
      <c r="A466" s="83" t="inlineStr">
        <is>
          <t>1990-01</t>
        </is>
      </c>
      <c r="B466" s="22" t="n">
        <v>32874</v>
      </c>
      <c r="C466" s="22" t="n"/>
      <c r="D466" s="22" t="n"/>
      <c r="E466" s="22" t="n">
        <v>32387</v>
      </c>
      <c r="F466" s="83" t="inlineStr">
        <is>
          <t>1988-09</t>
        </is>
      </c>
      <c r="G466" s="83" t="n">
        <v>8.918132</v>
      </c>
      <c r="J466" s="83" t="n">
        <v>17.49154</v>
      </c>
      <c r="K466" s="83" t="n">
        <v>34.94967</v>
      </c>
      <c r="L466" s="83" t="n">
        <v>1.604468</v>
      </c>
      <c r="N466" s="83" t="n">
        <v>0.8743211</v>
      </c>
      <c r="R466" s="83" t="n">
        <v>24.49899</v>
      </c>
      <c r="S466" s="83" t="n">
        <v>21.58034</v>
      </c>
      <c r="AA466" s="83" t="n">
        <v>14.26276</v>
      </c>
      <c r="AE466" s="83" t="n">
        <v>1.635664</v>
      </c>
      <c r="AG466" s="83" t="n">
        <v>4.942592</v>
      </c>
      <c r="AH466" s="83" t="n">
        <v>2.066204</v>
      </c>
      <c r="AJ466" s="83" t="n">
        <v>50.62612</v>
      </c>
      <c r="AK466" s="83" t="n">
        <v>3.815063</v>
      </c>
      <c r="AO466" s="83" t="n">
        <v>0.8445106</v>
      </c>
      <c r="AQ466" s="83" t="n">
        <v>17.84242</v>
      </c>
      <c r="AR466" s="83" t="n">
        <v>11.97233</v>
      </c>
      <c r="AS466" s="83" t="n">
        <v>16.89142</v>
      </c>
      <c r="AZ466" s="83" t="n">
        <v>18.3547</v>
      </c>
      <c r="BA466" s="83" t="n">
        <v>0.002888297</v>
      </c>
      <c r="BB466" s="83" t="n">
        <v>24.57239</v>
      </c>
      <c r="BC466" s="83" t="n">
        <v>3.849744</v>
      </c>
      <c r="BD466" s="83" t="n">
        <v>14.66895</v>
      </c>
    </row>
    <row r="467">
      <c r="A467" s="83" t="inlineStr">
        <is>
          <t>1990-02</t>
        </is>
      </c>
      <c r="B467" s="22" t="n">
        <v>32905</v>
      </c>
      <c r="C467" s="22" t="n"/>
      <c r="D467" s="22" t="n"/>
      <c r="E467" s="22" t="n">
        <v>32417</v>
      </c>
      <c r="F467" s="83" t="inlineStr">
        <is>
          <t>1988-10</t>
        </is>
      </c>
      <c r="G467" s="83" t="n">
        <v>9.089041</v>
      </c>
      <c r="J467" s="83" t="n">
        <v>17.59172</v>
      </c>
      <c r="K467" s="83" t="n">
        <v>34.96038</v>
      </c>
      <c r="L467" s="83" t="n">
        <v>1.63967</v>
      </c>
      <c r="N467" s="83" t="n">
        <v>0.8877696</v>
      </c>
      <c r="R467" s="83" t="n">
        <v>24.56776</v>
      </c>
      <c r="S467" s="83" t="n">
        <v>21.7571</v>
      </c>
      <c r="AA467" s="83" t="n">
        <v>14.4264</v>
      </c>
      <c r="AE467" s="83" t="n">
        <v>1.650658</v>
      </c>
      <c r="AG467" s="83" t="n">
        <v>5.047574</v>
      </c>
      <c r="AH467" s="83" t="n">
        <v>2.052427</v>
      </c>
      <c r="AJ467" s="83" t="n">
        <v>51.07602</v>
      </c>
      <c r="AK467" s="83" t="n">
        <v>3.900852</v>
      </c>
      <c r="AO467" s="83" t="n">
        <v>0.8570874000000001</v>
      </c>
      <c r="AQ467" s="83" t="n">
        <v>17.92791</v>
      </c>
      <c r="AR467" s="83" t="n">
        <v>12.07486</v>
      </c>
      <c r="AS467" s="83" t="n">
        <v>17.10683</v>
      </c>
      <c r="AZ467" s="83" t="n">
        <v>18.47636</v>
      </c>
      <c r="BA467" s="83" t="n">
        <v>0.003037207</v>
      </c>
      <c r="BB467" s="83" t="n">
        <v>24.64219</v>
      </c>
      <c r="BC467" s="83" t="n">
        <v>3.93323</v>
      </c>
      <c r="BD467" s="83" t="n">
        <v>14.74822</v>
      </c>
    </row>
    <row r="468">
      <c r="A468" s="83" t="inlineStr">
        <is>
          <t>1990-03</t>
        </is>
      </c>
      <c r="B468" s="22" t="n">
        <v>32933</v>
      </c>
      <c r="C468" s="22" t="n"/>
      <c r="D468" s="22" t="n"/>
      <c r="E468" s="22" t="n">
        <v>32448</v>
      </c>
      <c r="F468" s="83" t="inlineStr">
        <is>
          <t>1988-11</t>
        </is>
      </c>
      <c r="G468" s="83" t="n">
        <v>9.276762</v>
      </c>
      <c r="J468" s="83" t="n">
        <v>17.74691</v>
      </c>
      <c r="K468" s="83" t="n">
        <v>35.02381</v>
      </c>
      <c r="L468" s="83" t="n">
        <v>1.660002</v>
      </c>
      <c r="N468" s="83" t="n">
        <v>0.9109581</v>
      </c>
      <c r="R468" s="83" t="n">
        <v>24.49643</v>
      </c>
      <c r="S468" s="83" t="n">
        <v>21.98185</v>
      </c>
      <c r="AA468" s="83" t="n">
        <v>14.54294</v>
      </c>
      <c r="AE468" s="83" t="n">
        <v>1.672618</v>
      </c>
      <c r="AG468" s="83" t="n">
        <v>5.072921</v>
      </c>
      <c r="AH468" s="83" t="n">
        <v>2.003129</v>
      </c>
      <c r="AJ468" s="83" t="n">
        <v>51.44412</v>
      </c>
      <c r="AK468" s="83" t="n">
        <v>3.972041</v>
      </c>
      <c r="AO468" s="83" t="n">
        <v>0.8717667</v>
      </c>
      <c r="AQ468" s="83" t="n">
        <v>17.71589</v>
      </c>
      <c r="AR468" s="83" t="n">
        <v>12.18871</v>
      </c>
      <c r="AS468" s="83" t="n">
        <v>17.11197</v>
      </c>
      <c r="AZ468" s="83" t="n">
        <v>18.62122</v>
      </c>
      <c r="BA468" s="83" t="n">
        <v>0.003221587</v>
      </c>
      <c r="BB468" s="83" t="n">
        <v>24.76602</v>
      </c>
      <c r="BC468" s="83" t="n">
        <v>3.99421</v>
      </c>
      <c r="BD468" s="83" t="n">
        <v>14.7825</v>
      </c>
    </row>
    <row r="469">
      <c r="A469" s="83" t="inlineStr">
        <is>
          <t>1990-04</t>
        </is>
      </c>
      <c r="B469" s="22" t="n">
        <v>32964</v>
      </c>
      <c r="C469" s="22" t="n"/>
      <c r="D469" s="22" t="n"/>
      <c r="E469" s="22" t="n">
        <v>32478</v>
      </c>
      <c r="F469" s="83" t="inlineStr">
        <is>
          <t>1988-12</t>
        </is>
      </c>
      <c r="G469" s="83" t="n">
        <v>9.47569</v>
      </c>
      <c r="J469" s="83" t="n">
        <v>17.85356</v>
      </c>
      <c r="K469" s="83" t="n">
        <v>35.01396</v>
      </c>
      <c r="L469" s="83" t="n">
        <v>1.69486</v>
      </c>
      <c r="N469" s="83" t="n">
        <v>0.9283437</v>
      </c>
      <c r="R469" s="83" t="n">
        <v>24.75491</v>
      </c>
      <c r="S469" s="83" t="n">
        <v>22.4078</v>
      </c>
      <c r="AA469" s="83" t="n">
        <v>14.72137</v>
      </c>
      <c r="AE469" s="83" t="n">
        <v>1.723676</v>
      </c>
      <c r="AG469" s="83" t="n">
        <v>5.142262</v>
      </c>
      <c r="AH469" s="83" t="n">
        <v>1.969198</v>
      </c>
      <c r="AJ469" s="83" t="n">
        <v>51.84494</v>
      </c>
      <c r="AK469" s="83" t="n">
        <v>4.036476</v>
      </c>
      <c r="AO469" s="83" t="n">
        <v>0.8925168</v>
      </c>
      <c r="AQ469" s="83" t="n">
        <v>17.66353</v>
      </c>
      <c r="AR469" s="83" t="n">
        <v>12.2995</v>
      </c>
      <c r="AS469" s="83" t="n">
        <v>17.41344</v>
      </c>
      <c r="AZ469" s="83" t="n">
        <v>18.62169</v>
      </c>
      <c r="BA469" s="83" t="n">
        <v>0.003396151</v>
      </c>
      <c r="BB469" s="83" t="n">
        <v>24.8325</v>
      </c>
      <c r="BC469" s="83" t="n">
        <v>4.072049</v>
      </c>
      <c r="BD469" s="83" t="n">
        <v>14.66795</v>
      </c>
    </row>
    <row r="470">
      <c r="A470" s="83" t="inlineStr">
        <is>
          <t>1990-05</t>
        </is>
      </c>
      <c r="B470" s="22" t="n">
        <v>32994</v>
      </c>
      <c r="C470" s="22" t="n"/>
      <c r="D470" s="22" t="n"/>
      <c r="E470" s="22" t="n">
        <v>32509</v>
      </c>
      <c r="F470" s="83" t="inlineStr">
        <is>
          <t>1989-01</t>
        </is>
      </c>
      <c r="G470" s="83" t="n">
        <v>9.702636</v>
      </c>
      <c r="J470" s="83" t="n">
        <v>18.02043</v>
      </c>
      <c r="K470" s="83" t="n">
        <v>35.1754</v>
      </c>
      <c r="L470" s="83" t="n">
        <v>1.756355</v>
      </c>
      <c r="N470" s="83" t="n">
        <v>0.9387645999999999</v>
      </c>
      <c r="R470" s="83" t="n">
        <v>22.49386</v>
      </c>
      <c r="S470" s="83" t="n">
        <v>22.64933</v>
      </c>
      <c r="AA470" s="83" t="n">
        <v>14.93174</v>
      </c>
      <c r="AE470" s="83" t="n">
        <v>1.751553</v>
      </c>
      <c r="AG470" s="83" t="n">
        <v>5.248433</v>
      </c>
      <c r="AH470" s="83" t="n">
        <v>2.019896</v>
      </c>
      <c r="AJ470" s="83" t="n">
        <v>51.984</v>
      </c>
      <c r="AK470" s="83" t="n">
        <v>4.093265</v>
      </c>
      <c r="AO470" s="83" t="n">
        <v>0.9219609</v>
      </c>
      <c r="AQ470" s="83" t="n">
        <v>17.90216</v>
      </c>
      <c r="AR470" s="83" t="n">
        <v>12.39017</v>
      </c>
      <c r="AS470" s="83" t="n">
        <v>17.79816</v>
      </c>
      <c r="AZ470" s="83" t="n">
        <v>18.61817</v>
      </c>
      <c r="BA470" s="83" t="n">
        <v>0.003503059</v>
      </c>
      <c r="BB470" s="83" t="n">
        <v>24.86158</v>
      </c>
      <c r="BC470" s="83" t="n">
        <v>4.157389</v>
      </c>
      <c r="BD470" s="83" t="n">
        <v>14.77255</v>
      </c>
    </row>
    <row r="471">
      <c r="A471" s="83" t="inlineStr">
        <is>
          <t>1990-06</t>
        </is>
      </c>
      <c r="B471" s="22" t="n">
        <v>33025</v>
      </c>
      <c r="C471" s="22" t="n"/>
      <c r="D471" s="22" t="n"/>
      <c r="E471" s="22" t="n">
        <v>32540</v>
      </c>
      <c r="F471" s="83" t="inlineStr">
        <is>
          <t>1989-02</t>
        </is>
      </c>
      <c r="G471" s="83" t="n">
        <v>9.918374</v>
      </c>
      <c r="J471" s="83" t="n">
        <v>18.11782</v>
      </c>
      <c r="K471" s="83" t="n">
        <v>35.55895</v>
      </c>
      <c r="L471" s="83" t="n">
        <v>1.810393</v>
      </c>
      <c r="N471" s="83" t="n">
        <v>0.9603487000000001</v>
      </c>
      <c r="R471" s="83" t="n">
        <v>20.39935</v>
      </c>
      <c r="S471" s="83" t="n">
        <v>22.59151</v>
      </c>
      <c r="AA471" s="83" t="n">
        <v>15.15617</v>
      </c>
      <c r="AE471" s="83" t="n">
        <v>1.747706</v>
      </c>
      <c r="AG471" s="83" t="n">
        <v>5.357343</v>
      </c>
      <c r="AH471" s="83" t="n">
        <v>2.121355</v>
      </c>
      <c r="AJ471" s="83" t="n">
        <v>52.76928</v>
      </c>
      <c r="AK471" s="83" t="n">
        <v>4.161708</v>
      </c>
      <c r="AO471" s="83" t="n">
        <v>0.9565951</v>
      </c>
      <c r="AQ471" s="83" t="n">
        <v>17.94696</v>
      </c>
      <c r="AR471" s="83" t="n">
        <v>12.50331</v>
      </c>
      <c r="AS471" s="83" t="n">
        <v>18.13383</v>
      </c>
      <c r="AZ471" s="83" t="n">
        <v>18.91497</v>
      </c>
      <c r="BA471" s="83" t="n">
        <v>0.003685099</v>
      </c>
      <c r="BB471" s="83" t="n">
        <v>24.86574</v>
      </c>
      <c r="BC471" s="83" t="n">
        <v>4.230803</v>
      </c>
      <c r="BD471" s="83" t="n">
        <v>15.0218</v>
      </c>
    </row>
    <row r="472">
      <c r="A472" s="83" t="inlineStr">
        <is>
          <t>1990-07</t>
        </is>
      </c>
      <c r="B472" s="22" t="n">
        <v>33055</v>
      </c>
      <c r="C472" s="22" t="n"/>
      <c r="D472" s="22" t="n"/>
      <c r="E472" s="22" t="n">
        <v>32568</v>
      </c>
      <c r="F472" s="83" t="inlineStr">
        <is>
          <t>1989-03</t>
        </is>
      </c>
      <c r="G472" s="83" t="n">
        <v>10.1145</v>
      </c>
      <c r="J472" s="83" t="n">
        <v>18.39496</v>
      </c>
      <c r="K472" s="83" t="n">
        <v>35.84479</v>
      </c>
      <c r="L472" s="83" t="n">
        <v>1.865373</v>
      </c>
      <c r="N472" s="83" t="n">
        <v>0.9857556</v>
      </c>
      <c r="R472" s="83" t="n">
        <v>20.56858</v>
      </c>
      <c r="S472" s="83" t="n">
        <v>22.67284</v>
      </c>
      <c r="AA472" s="83" t="n">
        <v>15.40806</v>
      </c>
      <c r="AE472" s="83" t="n">
        <v>1.769631</v>
      </c>
      <c r="AG472" s="83" t="n">
        <v>5.43048</v>
      </c>
      <c r="AH472" s="83" t="n">
        <v>2.190952</v>
      </c>
      <c r="AJ472" s="83" t="n">
        <v>53.18646</v>
      </c>
      <c r="AK472" s="83" t="n">
        <v>4.250242</v>
      </c>
      <c r="AO472" s="83" t="n">
        <v>0.9809871</v>
      </c>
      <c r="AQ472" s="83" t="n">
        <v>17.97729</v>
      </c>
      <c r="AR472" s="83" t="n">
        <v>12.62397</v>
      </c>
      <c r="AS472" s="83" t="n">
        <v>18.42307</v>
      </c>
      <c r="AZ472" s="83" t="n">
        <v>18.96506</v>
      </c>
      <c r="BA472" s="83" t="n">
        <v>0.00389367</v>
      </c>
      <c r="BB472" s="83" t="n">
        <v>24.92806</v>
      </c>
      <c r="BC472" s="83" t="n">
        <v>4.313013</v>
      </c>
      <c r="BD472" s="83" t="n">
        <v>15.24085</v>
      </c>
    </row>
    <row r="473">
      <c r="A473" s="83" t="inlineStr">
        <is>
          <t>1990-08</t>
        </is>
      </c>
      <c r="B473" s="22" t="n">
        <v>33086</v>
      </c>
      <c r="C473" s="22" t="n"/>
      <c r="D473" s="22" t="n"/>
      <c r="E473" s="22" t="n">
        <v>32599</v>
      </c>
      <c r="F473" s="83" t="inlineStr">
        <is>
          <t>1989-04</t>
        </is>
      </c>
      <c r="G473" s="83" t="n">
        <v>10.29662</v>
      </c>
      <c r="J473" s="83" t="n">
        <v>18.52952</v>
      </c>
      <c r="K473" s="83" t="n">
        <v>36.01554</v>
      </c>
      <c r="L473" s="83" t="n">
        <v>1.917063</v>
      </c>
      <c r="N473" s="83" t="n">
        <v>1.004367</v>
      </c>
      <c r="R473" s="83" t="n">
        <v>20.10524</v>
      </c>
      <c r="S473" s="83" t="n">
        <v>22.84181</v>
      </c>
      <c r="AA473" s="83" t="n">
        <v>15.59632</v>
      </c>
      <c r="AE473" s="83" t="n">
        <v>1.800939</v>
      </c>
      <c r="AG473" s="83" t="n">
        <v>5.563546</v>
      </c>
      <c r="AH473" s="83" t="n">
        <v>2.250354</v>
      </c>
      <c r="AJ473" s="83" t="n">
        <v>53.48094</v>
      </c>
      <c r="AK473" s="83" t="n">
        <v>4.326796</v>
      </c>
      <c r="AO473" s="83" t="n">
        <v>1.020793</v>
      </c>
      <c r="AQ473" s="83" t="n">
        <v>18.20759</v>
      </c>
      <c r="AR473" s="83" t="n">
        <v>12.73112</v>
      </c>
      <c r="AS473" s="83" t="n">
        <v>18.70654</v>
      </c>
      <c r="AZ473" s="83" t="n">
        <v>18.95792</v>
      </c>
      <c r="BA473" s="83" t="n">
        <v>0.004053218</v>
      </c>
      <c r="BB473" s="83" t="n">
        <v>24.98042</v>
      </c>
      <c r="BC473" s="83" t="n">
        <v>4.350664</v>
      </c>
      <c r="BD473" s="83" t="n">
        <v>15.21931</v>
      </c>
    </row>
    <row r="474">
      <c r="A474" s="83" t="inlineStr">
        <is>
          <t>1990-09</t>
        </is>
      </c>
      <c r="B474" s="22" t="n">
        <v>33117</v>
      </c>
      <c r="C474" s="22" t="n"/>
      <c r="D474" s="22" t="n"/>
      <c r="E474" s="22" t="n">
        <v>32629</v>
      </c>
      <c r="F474" s="83" t="inlineStr">
        <is>
          <t>1989-05</t>
        </is>
      </c>
      <c r="G474" s="83" t="n">
        <v>10.45632</v>
      </c>
      <c r="J474" s="83" t="n">
        <v>18.76137</v>
      </c>
      <c r="K474" s="83" t="n">
        <v>36.22506</v>
      </c>
      <c r="L474" s="83" t="n">
        <v>1.973503</v>
      </c>
      <c r="N474" s="83" t="n">
        <v>1.035285</v>
      </c>
      <c r="R474" s="83" t="n">
        <v>19.84241</v>
      </c>
      <c r="S474" s="83" t="n">
        <v>23.01213</v>
      </c>
      <c r="AA474" s="83" t="n">
        <v>15.7839</v>
      </c>
      <c r="AE474" s="83" t="n">
        <v>1.829601</v>
      </c>
      <c r="AG474" s="83" t="n">
        <v>5.669227</v>
      </c>
      <c r="AH474" s="83" t="n">
        <v>2.305821</v>
      </c>
      <c r="AJ474" s="83" t="n">
        <v>53.75089</v>
      </c>
      <c r="AK474" s="83" t="n">
        <v>4.407647</v>
      </c>
      <c r="AO474" s="83" t="n">
        <v>1.056403</v>
      </c>
      <c r="AQ474" s="83" t="n">
        <v>18.62574</v>
      </c>
      <c r="AR474" s="83" t="n">
        <v>12.83665</v>
      </c>
      <c r="AS474" s="83" t="n">
        <v>19.06005</v>
      </c>
      <c r="AZ474" s="83" t="n">
        <v>19.10346</v>
      </c>
      <c r="BA474" s="83" t="n">
        <v>0.004198329</v>
      </c>
      <c r="BB474" s="83" t="n">
        <v>25.02696</v>
      </c>
      <c r="BC474" s="83" t="n">
        <v>4.421157</v>
      </c>
      <c r="BD474" s="83" t="n">
        <v>15.25783</v>
      </c>
    </row>
    <row r="475">
      <c r="A475" s="83" t="inlineStr">
        <is>
          <t>1990-10</t>
        </is>
      </c>
      <c r="B475" s="22" t="n">
        <v>33147</v>
      </c>
      <c r="C475" s="22" t="n"/>
      <c r="D475" s="22" t="n"/>
      <c r="E475" s="22" t="n">
        <v>32660</v>
      </c>
      <c r="F475" s="83" t="inlineStr">
        <is>
          <t>1989-06</t>
        </is>
      </c>
      <c r="G475" s="83" t="n">
        <v>10.66646</v>
      </c>
      <c r="J475" s="83" t="n">
        <v>18.96448</v>
      </c>
      <c r="K475" s="83" t="n">
        <v>36.49818</v>
      </c>
      <c r="L475" s="83" t="n">
        <v>2.052754</v>
      </c>
      <c r="N475" s="83" t="n">
        <v>1.075283</v>
      </c>
      <c r="R475" s="83" t="n">
        <v>20.02153</v>
      </c>
      <c r="S475" s="83" t="n">
        <v>23.22037</v>
      </c>
      <c r="AA475" s="83" t="n">
        <v>16.19059</v>
      </c>
      <c r="AE475" s="83" t="n">
        <v>1.857993</v>
      </c>
      <c r="AG475" s="83" t="n">
        <v>5.760977</v>
      </c>
      <c r="AH475" s="83" t="n">
        <v>2.348957</v>
      </c>
      <c r="AJ475" s="83" t="n">
        <v>54.20897</v>
      </c>
      <c r="AK475" s="83" t="n">
        <v>4.497259</v>
      </c>
      <c r="AO475" s="83" t="n">
        <v>1.092513</v>
      </c>
      <c r="AQ475" s="83" t="n">
        <v>18.83692</v>
      </c>
      <c r="AR475" s="83" t="n">
        <v>12.9898</v>
      </c>
      <c r="AS475" s="83" t="n">
        <v>19.37958</v>
      </c>
      <c r="AZ475" s="83" t="n">
        <v>19.16779</v>
      </c>
      <c r="BA475" s="83" t="n">
        <v>0.004343258</v>
      </c>
      <c r="BB475" s="83" t="n">
        <v>25.16241</v>
      </c>
      <c r="BC475" s="83" t="n">
        <v>4.547734</v>
      </c>
      <c r="BD475" s="83" t="n">
        <v>15.42736</v>
      </c>
    </row>
    <row r="476">
      <c r="A476" s="83" t="inlineStr">
        <is>
          <t>1990-11</t>
        </is>
      </c>
      <c r="B476" s="22" t="n">
        <v>33178</v>
      </c>
      <c r="C476" s="22" t="n"/>
      <c r="D476" s="22" t="n"/>
      <c r="E476" s="22" t="n">
        <v>32690</v>
      </c>
      <c r="F476" s="83" t="inlineStr">
        <is>
          <t>1989-07</t>
        </is>
      </c>
      <c r="G476" s="83" t="n">
        <v>10.899</v>
      </c>
      <c r="J476" s="83" t="n">
        <v>19.10344</v>
      </c>
      <c r="K476" s="83" t="n">
        <v>36.61799</v>
      </c>
      <c r="L476" s="83" t="n">
        <v>2.121398</v>
      </c>
      <c r="N476" s="83" t="n">
        <v>1.109588</v>
      </c>
      <c r="R476" s="83" t="n">
        <v>20.13582</v>
      </c>
      <c r="S476" s="83" t="n">
        <v>23.49319</v>
      </c>
      <c r="AA476" s="83" t="n">
        <v>16.51599</v>
      </c>
      <c r="AE476" s="83" t="n">
        <v>1.8845</v>
      </c>
      <c r="AG476" s="83" t="n">
        <v>5.854302</v>
      </c>
      <c r="AH476" s="83" t="n">
        <v>2.383319</v>
      </c>
      <c r="AJ476" s="83" t="n">
        <v>54.68341</v>
      </c>
      <c r="AK476" s="83" t="n">
        <v>4.594714</v>
      </c>
      <c r="AO476" s="83" t="n">
        <v>1.157504</v>
      </c>
      <c r="AQ476" s="83" t="n">
        <v>18.84729</v>
      </c>
      <c r="AR476" s="83" t="n">
        <v>13.17666</v>
      </c>
      <c r="AS476" s="83" t="n">
        <v>19.61235</v>
      </c>
      <c r="AZ476" s="83" t="n">
        <v>19.35938</v>
      </c>
      <c r="BA476" s="83" t="n">
        <v>0.004514189</v>
      </c>
      <c r="BB476" s="83" t="n">
        <v>25.36601</v>
      </c>
      <c r="BC476" s="83" t="n">
        <v>4.634595</v>
      </c>
      <c r="BD476" s="83" t="n">
        <v>15.61483</v>
      </c>
    </row>
    <row r="477">
      <c r="A477" s="83" t="inlineStr">
        <is>
          <t>1990-12</t>
        </is>
      </c>
      <c r="B477" s="22" t="n">
        <v>33208</v>
      </c>
      <c r="C477" s="22" t="n"/>
      <c r="D477" s="22" t="n"/>
      <c r="E477" s="22" t="n">
        <v>32721</v>
      </c>
      <c r="F477" s="83" t="inlineStr">
        <is>
          <t>1989-08</t>
        </is>
      </c>
      <c r="G477" s="83" t="n">
        <v>11.09793</v>
      </c>
      <c r="J477" s="83" t="n">
        <v>19.32986</v>
      </c>
      <c r="K477" s="83" t="n">
        <v>36.73188</v>
      </c>
      <c r="L477" s="83" t="n">
        <v>2.174546</v>
      </c>
      <c r="N477" s="83" t="n">
        <v>1.148206</v>
      </c>
      <c r="R477" s="83" t="n">
        <v>19.95938</v>
      </c>
      <c r="S477" s="83" t="n">
        <v>23.58497</v>
      </c>
      <c r="AA477" s="83" t="n">
        <v>16.71379</v>
      </c>
      <c r="AE477" s="83" t="n">
        <v>1.912364</v>
      </c>
      <c r="AG477" s="83" t="n">
        <v>5.940197</v>
      </c>
      <c r="AH477" s="83" t="n">
        <v>2.404739</v>
      </c>
      <c r="AJ477" s="83" t="n">
        <v>55.12513</v>
      </c>
      <c r="AK477" s="83" t="n">
        <v>4.683237</v>
      </c>
      <c r="AO477" s="83" t="n">
        <v>1.208756</v>
      </c>
      <c r="AQ477" s="83" t="n">
        <v>19.06669</v>
      </c>
      <c r="AR477" s="83" t="n">
        <v>13.3383</v>
      </c>
      <c r="AS477" s="83" t="n">
        <v>19.93411</v>
      </c>
      <c r="AZ477" s="83" t="n">
        <v>19.53375</v>
      </c>
      <c r="BA477" s="83" t="n">
        <v>0.004681063</v>
      </c>
      <c r="BB477" s="83" t="n">
        <v>25.54884</v>
      </c>
      <c r="BC477" s="83" t="n">
        <v>4.719499</v>
      </c>
      <c r="BD477" s="83" t="n">
        <v>15.77112</v>
      </c>
    </row>
    <row r="478">
      <c r="A478" s="83" t="inlineStr">
        <is>
          <t>1991-01</t>
        </is>
      </c>
      <c r="B478" s="22" t="n">
        <v>33239</v>
      </c>
      <c r="C478" s="22" t="n"/>
      <c r="D478" s="22" t="n"/>
      <c r="E478" s="22" t="n">
        <v>32752</v>
      </c>
      <c r="F478" s="83" t="inlineStr">
        <is>
          <t>1989-09</t>
        </is>
      </c>
      <c r="G478" s="83" t="n">
        <v>11.2072</v>
      </c>
      <c r="J478" s="83" t="n">
        <v>19.49901</v>
      </c>
      <c r="K478" s="83" t="n">
        <v>36.89173</v>
      </c>
      <c r="L478" s="83" t="n">
        <v>2.242032</v>
      </c>
      <c r="N478" s="83" t="n">
        <v>1.170778</v>
      </c>
      <c r="R478" s="83" t="n">
        <v>20.14634</v>
      </c>
      <c r="S478" s="83" t="n">
        <v>23.63899</v>
      </c>
      <c r="AA478" s="83" t="n">
        <v>16.97448</v>
      </c>
      <c r="AE478" s="83" t="n">
        <v>1.942242</v>
      </c>
      <c r="AG478" s="83" t="n">
        <v>6.058738</v>
      </c>
      <c r="AH478" s="83" t="n">
        <v>2.452152</v>
      </c>
      <c r="AJ478" s="83" t="n">
        <v>55.50141</v>
      </c>
      <c r="AK478" s="83" t="n">
        <v>4.768384</v>
      </c>
      <c r="AO478" s="83" t="n">
        <v>1.241866</v>
      </c>
      <c r="AQ478" s="83" t="n">
        <v>19.178</v>
      </c>
      <c r="AR478" s="83" t="n">
        <v>13.47997</v>
      </c>
      <c r="AS478" s="83" t="n">
        <v>20.25807</v>
      </c>
      <c r="AZ478" s="83" t="n">
        <v>19.6761</v>
      </c>
      <c r="BA478" s="83" t="n">
        <v>0.004878413</v>
      </c>
      <c r="BB478" s="83" t="n">
        <v>25.69925</v>
      </c>
      <c r="BC478" s="83" t="n">
        <v>4.777978</v>
      </c>
      <c r="BD478" s="83" t="n">
        <v>15.96184</v>
      </c>
    </row>
    <row r="479">
      <c r="A479" s="83" t="inlineStr">
        <is>
          <t>1991-02</t>
        </is>
      </c>
      <c r="B479" s="22" t="n">
        <v>33270</v>
      </c>
      <c r="C479" s="22" t="n"/>
      <c r="D479" s="22" t="n"/>
      <c r="E479" s="22" t="n">
        <v>32782</v>
      </c>
      <c r="F479" s="83" t="inlineStr">
        <is>
          <t>1989-10</t>
        </is>
      </c>
      <c r="G479" s="83" t="n">
        <v>11.26324</v>
      </c>
      <c r="J479" s="83" t="n">
        <v>19.6772</v>
      </c>
      <c r="K479" s="83" t="n">
        <v>36.97316</v>
      </c>
      <c r="L479" s="83" t="n">
        <v>2.306187</v>
      </c>
      <c r="N479" s="83" t="n">
        <v>1.183045</v>
      </c>
      <c r="R479" s="83" t="n">
        <v>20.29394</v>
      </c>
      <c r="S479" s="83" t="n">
        <v>23.79332</v>
      </c>
      <c r="AA479" s="83" t="n">
        <v>17.22863</v>
      </c>
      <c r="AE479" s="83" t="n">
        <v>1.97581</v>
      </c>
      <c r="AG479" s="83" t="n">
        <v>6.180325</v>
      </c>
      <c r="AH479" s="83" t="n">
        <v>2.500836</v>
      </c>
      <c r="AJ479" s="83" t="n">
        <v>55.91859</v>
      </c>
      <c r="AK479" s="83" t="n">
        <v>4.858843</v>
      </c>
      <c r="AO479" s="83" t="n">
        <v>1.281769</v>
      </c>
      <c r="AQ479" s="83" t="n">
        <v>19.18657</v>
      </c>
      <c r="AR479" s="83" t="n">
        <v>13.64134</v>
      </c>
      <c r="AS479" s="83" t="n">
        <v>20.59917</v>
      </c>
      <c r="AZ479" s="83" t="n">
        <v>19.82582</v>
      </c>
      <c r="BA479" s="83" t="n">
        <v>0.00516548</v>
      </c>
      <c r="BB479" s="83" t="n">
        <v>25.87875</v>
      </c>
      <c r="BC479" s="83" t="n">
        <v>4.861185</v>
      </c>
      <c r="BD479" s="83" t="n">
        <v>16.05169</v>
      </c>
    </row>
    <row r="480">
      <c r="A480" s="83" t="inlineStr">
        <is>
          <t>1991-03</t>
        </is>
      </c>
      <c r="B480" s="22" t="n">
        <v>33298</v>
      </c>
      <c r="C480" s="22" t="n"/>
      <c r="D480" s="22" t="n"/>
      <c r="E480" s="22" t="n">
        <v>32813</v>
      </c>
      <c r="F480" s="83" t="inlineStr">
        <is>
          <t>1989-11</t>
        </is>
      </c>
      <c r="G480" s="83" t="n">
        <v>11.3585</v>
      </c>
      <c r="J480" s="83" t="n">
        <v>19.95155</v>
      </c>
      <c r="K480" s="83" t="n">
        <v>37.04495</v>
      </c>
      <c r="L480" s="83" t="n">
        <v>2.367185</v>
      </c>
      <c r="N480" s="83" t="n">
        <v>1.20843</v>
      </c>
      <c r="R480" s="83" t="n">
        <v>20.40583</v>
      </c>
      <c r="S480" s="83" t="n">
        <v>23.99078</v>
      </c>
      <c r="AA480" s="83" t="n">
        <v>17.43809</v>
      </c>
      <c r="AE480" s="83" t="n">
        <v>2.008104</v>
      </c>
      <c r="AG480" s="83" t="n">
        <v>6.34579</v>
      </c>
      <c r="AH480" s="83" t="n">
        <v>2.529098</v>
      </c>
      <c r="AJ480" s="83" t="n">
        <v>56.46665</v>
      </c>
      <c r="AK480" s="83" t="n">
        <v>5.005185</v>
      </c>
      <c r="AO480" s="83" t="n">
        <v>1.324292</v>
      </c>
      <c r="AQ480" s="83" t="n">
        <v>19.34149</v>
      </c>
      <c r="AR480" s="83" t="n">
        <v>13.80878</v>
      </c>
      <c r="AS480" s="83" t="n">
        <v>21.10622</v>
      </c>
      <c r="AZ480" s="83" t="n">
        <v>19.98211</v>
      </c>
      <c r="BA480" s="83" t="n">
        <v>0.005466596</v>
      </c>
      <c r="BB480" s="83" t="n">
        <v>26.03831</v>
      </c>
      <c r="BC480" s="83" t="n">
        <v>4.951719</v>
      </c>
      <c r="BD480" s="83" t="n">
        <v>16.01685</v>
      </c>
    </row>
    <row r="481">
      <c r="A481" s="83" t="inlineStr">
        <is>
          <t>1991-04</t>
        </is>
      </c>
      <c r="B481" s="22" t="n">
        <v>33329</v>
      </c>
      <c r="C481" s="22" t="n"/>
      <c r="D481" s="22" t="n"/>
      <c r="E481" s="22" t="n">
        <v>32843</v>
      </c>
      <c r="F481" s="83" t="inlineStr">
        <is>
          <t>1989-12</t>
        </is>
      </c>
      <c r="G481" s="83" t="n">
        <v>11.45096</v>
      </c>
      <c r="J481" s="83" t="n">
        <v>20.16629</v>
      </c>
      <c r="K481" s="83" t="n">
        <v>37.08093</v>
      </c>
      <c r="L481" s="83" t="n">
        <v>2.460021</v>
      </c>
      <c r="N481" s="83" t="n">
        <v>1.235766</v>
      </c>
      <c r="R481" s="83" t="n">
        <v>20.75683</v>
      </c>
      <c r="S481" s="83" t="n">
        <v>24.60379</v>
      </c>
      <c r="AA481" s="83" t="n">
        <v>17.65471</v>
      </c>
      <c r="AE481" s="83" t="n">
        <v>2.035583</v>
      </c>
      <c r="AG481" s="83" t="n">
        <v>6.499479</v>
      </c>
      <c r="AH481" s="83" t="n">
        <v>2.55595</v>
      </c>
      <c r="AJ481" s="83" t="n">
        <v>57.39099</v>
      </c>
      <c r="AK481" s="83" t="n">
        <v>5.194031</v>
      </c>
      <c r="AO481" s="83" t="n">
        <v>1.37142</v>
      </c>
      <c r="AQ481" s="83" t="n">
        <v>19.37458</v>
      </c>
      <c r="AR481" s="83" t="n">
        <v>13.98649</v>
      </c>
      <c r="AS481" s="83" t="n">
        <v>21.61455</v>
      </c>
      <c r="AZ481" s="83" t="n">
        <v>20.23717</v>
      </c>
      <c r="BA481" s="83" t="n">
        <v>0.00562854</v>
      </c>
      <c r="BB481" s="83" t="n">
        <v>26.19786</v>
      </c>
      <c r="BC481" s="83" t="n">
        <v>5.006159</v>
      </c>
      <c r="BD481" s="83" t="n">
        <v>15.89918</v>
      </c>
    </row>
    <row r="482">
      <c r="A482" s="83" t="inlineStr">
        <is>
          <t>1991-05</t>
        </is>
      </c>
      <c r="B482" s="22" t="n">
        <v>33359</v>
      </c>
      <c r="C482" s="22" t="n"/>
      <c r="D482" s="22" t="n"/>
      <c r="E482" s="22" t="n">
        <v>32874</v>
      </c>
      <c r="F482" s="83" t="inlineStr">
        <is>
          <t>1990-01</t>
        </is>
      </c>
      <c r="G482" s="83" t="n">
        <v>11.55182</v>
      </c>
      <c r="J482" s="83" t="n">
        <v>20.33032</v>
      </c>
      <c r="K482" s="83" t="n">
        <v>37.05554</v>
      </c>
      <c r="L482" s="83" t="n">
        <v>2.537006</v>
      </c>
      <c r="N482" s="83" t="n">
        <v>1.261037</v>
      </c>
      <c r="P482" s="83" t="n">
        <v>8.706934</v>
      </c>
      <c r="R482" s="83" t="n">
        <v>20.81559</v>
      </c>
      <c r="S482" s="83" t="n">
        <v>24.98233</v>
      </c>
      <c r="AA482" s="83" t="n">
        <v>17.93717</v>
      </c>
      <c r="AC482" s="83" t="n">
        <v>3.72217</v>
      </c>
      <c r="AE482" s="83" t="n">
        <v>2.062484</v>
      </c>
      <c r="AG482" s="83" t="n">
        <v>6.589669</v>
      </c>
      <c r="AH482" s="83" t="n">
        <v>2.586612</v>
      </c>
      <c r="AJ482" s="83" t="n">
        <v>57.97177</v>
      </c>
      <c r="AK482" s="83" t="n">
        <v>5.31759</v>
      </c>
      <c r="AO482" s="83" t="n">
        <v>1.410608</v>
      </c>
      <c r="AQ482" s="83" t="n">
        <v>19.35483</v>
      </c>
      <c r="AR482" s="83" t="n">
        <v>14.15293</v>
      </c>
      <c r="AS482" s="83" t="n">
        <v>22.00463</v>
      </c>
      <c r="AT482" s="83" t="n">
        <v>0.9333442</v>
      </c>
      <c r="AZ482" s="83" t="n">
        <v>20.59448</v>
      </c>
      <c r="BA482" s="83" t="n">
        <v>0.005932116</v>
      </c>
      <c r="BB482" s="83" t="n">
        <v>26.3167</v>
      </c>
      <c r="BC482" s="83" t="n">
        <v>5.114146</v>
      </c>
      <c r="BD482" s="83" t="n">
        <v>15.91531</v>
      </c>
    </row>
    <row r="483">
      <c r="A483" s="83" t="inlineStr">
        <is>
          <t>1991-06</t>
        </is>
      </c>
      <c r="B483" s="22" t="n">
        <v>33390</v>
      </c>
      <c r="C483" s="22" t="n"/>
      <c r="D483" s="22" t="n"/>
      <c r="E483" s="22" t="n">
        <v>32905</v>
      </c>
      <c r="F483" s="83" t="inlineStr">
        <is>
          <t>1990-02</t>
        </is>
      </c>
      <c r="G483" s="83" t="n">
        <v>11.6751</v>
      </c>
      <c r="J483" s="83" t="n">
        <v>20.44772</v>
      </c>
      <c r="K483" s="83" t="n">
        <v>37.02631</v>
      </c>
      <c r="L483" s="83" t="n">
        <v>2.602846</v>
      </c>
      <c r="M483" s="83" t="n">
        <v>0.936452</v>
      </c>
      <c r="N483" s="83" t="n">
        <v>1.297734</v>
      </c>
      <c r="P483" s="83" t="n">
        <v>9.029346</v>
      </c>
      <c r="R483" s="83" t="n">
        <v>20.74436</v>
      </c>
      <c r="S483" s="83" t="n">
        <v>24.88845</v>
      </c>
      <c r="AA483" s="83" t="n">
        <v>18.13556</v>
      </c>
      <c r="AC483" s="83" t="n">
        <v>3.847624</v>
      </c>
      <c r="AD483" s="83" t="n">
        <v>1.361583</v>
      </c>
      <c r="AE483" s="83" t="n">
        <v>2.089263</v>
      </c>
      <c r="AG483" s="83" t="n">
        <v>6.712185</v>
      </c>
      <c r="AH483" s="83" t="n">
        <v>2.632705</v>
      </c>
      <c r="AJ483" s="83" t="n">
        <v>59.08426</v>
      </c>
      <c r="AK483" s="83" t="n">
        <v>5.403422</v>
      </c>
      <c r="AO483" s="83" t="n">
        <v>1.444117</v>
      </c>
      <c r="AQ483" s="83" t="n">
        <v>19.45727</v>
      </c>
      <c r="AR483" s="83" t="n">
        <v>14.30618</v>
      </c>
      <c r="AS483" s="83" t="n">
        <v>22.30065</v>
      </c>
      <c r="AT483" s="83" t="n">
        <v>0.9819432</v>
      </c>
      <c r="AZ483" s="83" t="n">
        <v>20.96971</v>
      </c>
      <c r="BA483" s="83" t="n">
        <v>0.006207442</v>
      </c>
      <c r="BB483" s="83" t="n">
        <v>26.41974</v>
      </c>
      <c r="BC483" s="83" t="n">
        <v>5.183817</v>
      </c>
      <c r="BD483" s="83" t="n">
        <v>15.97168</v>
      </c>
    </row>
    <row r="484">
      <c r="A484" s="83" t="inlineStr">
        <is>
          <t>1991-07</t>
        </is>
      </c>
      <c r="B484" s="22" t="n">
        <v>33420</v>
      </c>
      <c r="C484" s="22" t="n"/>
      <c r="D484" s="22" t="n"/>
      <c r="E484" s="22" t="n">
        <v>32933</v>
      </c>
      <c r="F484" s="83" t="inlineStr">
        <is>
          <t>1990-03</t>
        </is>
      </c>
      <c r="G484" s="83" t="n">
        <v>11.79838</v>
      </c>
      <c r="J484" s="83" t="n">
        <v>20.53741</v>
      </c>
      <c r="K484" s="83" t="n">
        <v>36.9603</v>
      </c>
      <c r="L484" s="83" t="n">
        <v>2.698117</v>
      </c>
      <c r="M484" s="83" t="n">
        <v>0.9548662</v>
      </c>
      <c r="N484" s="83" t="n">
        <v>1.334219</v>
      </c>
      <c r="P484" s="83" t="n">
        <v>9.351756999999999</v>
      </c>
      <c r="R484" s="83" t="n">
        <v>21.07767</v>
      </c>
      <c r="S484" s="83" t="n">
        <v>24.88562</v>
      </c>
      <c r="AA484" s="83" t="n">
        <v>18.36296</v>
      </c>
      <c r="AC484" s="83" t="n">
        <v>3.973886</v>
      </c>
      <c r="AD484" s="83" t="n">
        <v>1.438037</v>
      </c>
      <c r="AE484" s="83" t="n">
        <v>2.118918</v>
      </c>
      <c r="AG484" s="83" t="n">
        <v>6.892989</v>
      </c>
      <c r="AH484" s="83" t="n">
        <v>2.696224</v>
      </c>
      <c r="AJ484" s="83" t="n">
        <v>59.46872</v>
      </c>
      <c r="AK484" s="83" t="n">
        <v>5.507432</v>
      </c>
      <c r="AO484" s="83" t="n">
        <v>1.490892</v>
      </c>
      <c r="AQ484" s="83" t="n">
        <v>19.65489</v>
      </c>
      <c r="AR484" s="83" t="n">
        <v>14.41892</v>
      </c>
      <c r="AS484" s="83" t="n">
        <v>22.69281</v>
      </c>
      <c r="AT484" s="83" t="n">
        <v>1.060034</v>
      </c>
      <c r="AZ484" s="83" t="n">
        <v>20.98198</v>
      </c>
      <c r="BA484" s="83" t="n">
        <v>0.006337828</v>
      </c>
      <c r="BB484" s="83" t="n">
        <v>26.51032</v>
      </c>
      <c r="BC484" s="83" t="n">
        <v>5.207583</v>
      </c>
      <c r="BD484" s="83" t="n">
        <v>15.99402</v>
      </c>
    </row>
    <row r="485">
      <c r="A485" s="83" t="inlineStr">
        <is>
          <t>1991-08</t>
        </is>
      </c>
      <c r="B485" s="22" t="n">
        <v>33451</v>
      </c>
      <c r="C485" s="22" t="n"/>
      <c r="D485" s="22" t="n"/>
      <c r="E485" s="22" t="n">
        <v>32964</v>
      </c>
      <c r="F485" s="83" t="inlineStr">
        <is>
          <t>1990-04</t>
        </is>
      </c>
      <c r="G485" s="83" t="n">
        <v>11.93007</v>
      </c>
      <c r="J485" s="83" t="n">
        <v>20.73095</v>
      </c>
      <c r="K485" s="83" t="n">
        <v>36.86821</v>
      </c>
      <c r="L485" s="83" t="n">
        <v>2.785278</v>
      </c>
      <c r="M485" s="83" t="n">
        <v>0.9743054</v>
      </c>
      <c r="N485" s="83" t="n">
        <v>1.367595</v>
      </c>
      <c r="P485" s="83" t="n">
        <v>9.67417</v>
      </c>
      <c r="R485" s="83" t="n">
        <v>21.33813</v>
      </c>
      <c r="S485" s="83" t="n">
        <v>24.96603</v>
      </c>
      <c r="AA485" s="83" t="n">
        <v>18.58242</v>
      </c>
      <c r="AC485" s="83" t="n">
        <v>4.100955</v>
      </c>
      <c r="AD485" s="83" t="n">
        <v>1.5416</v>
      </c>
      <c r="AE485" s="83" t="n">
        <v>2.155439</v>
      </c>
      <c r="AG485" s="83" t="n">
        <v>6.972162</v>
      </c>
      <c r="AH485" s="83" t="n">
        <v>2.779339</v>
      </c>
      <c r="AJ485" s="83" t="n">
        <v>60.51576</v>
      </c>
      <c r="AK485" s="83" t="n">
        <v>5.619563</v>
      </c>
      <c r="AO485" s="83" t="n">
        <v>1.536594</v>
      </c>
      <c r="AQ485" s="83" t="n">
        <v>19.74269</v>
      </c>
      <c r="AR485" s="83" t="n">
        <v>14.57812</v>
      </c>
      <c r="AS485" s="83" t="n">
        <v>23.004</v>
      </c>
      <c r="AT485" s="83" t="n">
        <v>1.145556</v>
      </c>
      <c r="AZ485" s="83" t="n">
        <v>20.86262</v>
      </c>
      <c r="BA485" s="83" t="n">
        <v>0.006641788</v>
      </c>
      <c r="BB485" s="83" t="n">
        <v>26.60589</v>
      </c>
      <c r="BC485" s="83" t="n">
        <v>5.269875</v>
      </c>
      <c r="BD485" s="83" t="n">
        <v>16.25387</v>
      </c>
    </row>
    <row r="486">
      <c r="A486" s="83" t="inlineStr">
        <is>
          <t>1991-09</t>
        </is>
      </c>
      <c r="B486" s="22" t="n">
        <v>33482</v>
      </c>
      <c r="C486" s="22" t="n"/>
      <c r="D486" s="22" t="n"/>
      <c r="E486" s="22" t="n">
        <v>32994</v>
      </c>
      <c r="F486" s="83" t="inlineStr">
        <is>
          <t>1990-05</t>
        </is>
      </c>
      <c r="G486" s="83" t="n">
        <v>12.03093</v>
      </c>
      <c r="J486" s="83" t="n">
        <v>20.89757</v>
      </c>
      <c r="K486" s="83" t="n">
        <v>36.82397</v>
      </c>
      <c r="L486" s="83" t="n">
        <v>2.868018</v>
      </c>
      <c r="M486" s="83" t="n">
        <v>0.99508</v>
      </c>
      <c r="N486" s="83" t="n">
        <v>1.386149</v>
      </c>
      <c r="P486" s="83" t="n">
        <v>9.996581000000001</v>
      </c>
      <c r="R486" s="83" t="n">
        <v>21.33511</v>
      </c>
      <c r="S486" s="83" t="n">
        <v>25.09027</v>
      </c>
      <c r="AA486" s="83" t="n">
        <v>18.71492</v>
      </c>
      <c r="AC486" s="83" t="n">
        <v>4.228833</v>
      </c>
      <c r="AD486" s="83" t="n">
        <v>1.569356</v>
      </c>
      <c r="AE486" s="83" t="n">
        <v>2.18222</v>
      </c>
      <c r="AG486" s="83" t="n">
        <v>7.055731</v>
      </c>
      <c r="AH486" s="83" t="n">
        <v>2.851522</v>
      </c>
      <c r="AJ486" s="83" t="n">
        <v>60.81842</v>
      </c>
      <c r="AK486" s="83" t="n">
        <v>5.746354</v>
      </c>
      <c r="AO486" s="83" t="n">
        <v>1.583569</v>
      </c>
      <c r="AQ486" s="83" t="n">
        <v>19.84506</v>
      </c>
      <c r="AR486" s="83" t="n">
        <v>14.66709</v>
      </c>
      <c r="AS486" s="83" t="n">
        <v>23.34441</v>
      </c>
      <c r="AT486" s="83" t="n">
        <v>1.229475</v>
      </c>
      <c r="AZ486" s="83" t="n">
        <v>20.91052</v>
      </c>
      <c r="BA486" s="83" t="n">
        <v>0.006914669</v>
      </c>
      <c r="BB486" s="83" t="n">
        <v>26.59758</v>
      </c>
      <c r="BC486" s="83" t="n">
        <v>5.336678</v>
      </c>
      <c r="BD486" s="83" t="n">
        <v>16.44296</v>
      </c>
    </row>
    <row r="487">
      <c r="A487" s="83" t="inlineStr">
        <is>
          <t>1991-10</t>
        </is>
      </c>
      <c r="B487" s="22" t="n">
        <v>33512</v>
      </c>
      <c r="C487" s="22" t="n"/>
      <c r="D487" s="22" t="n"/>
      <c r="E487" s="22" t="n">
        <v>33025</v>
      </c>
      <c r="F487" s="83" t="inlineStr">
        <is>
          <t>1990-06</t>
        </is>
      </c>
      <c r="G487" s="83" t="n">
        <v>12.09537</v>
      </c>
      <c r="J487" s="83" t="n">
        <v>20.97041</v>
      </c>
      <c r="K487" s="83" t="n">
        <v>36.88106</v>
      </c>
      <c r="L487" s="83" t="n">
        <v>2.951337</v>
      </c>
      <c r="M487" s="83" t="n">
        <v>1.016636</v>
      </c>
      <c r="N487" s="83" t="n">
        <v>1.405189</v>
      </c>
      <c r="P487" s="83" t="n">
        <v>10.31899</v>
      </c>
      <c r="R487" s="83" t="n">
        <v>21.43189</v>
      </c>
      <c r="S487" s="83" t="n">
        <v>25.71133</v>
      </c>
      <c r="AA487" s="83" t="n">
        <v>18.87738</v>
      </c>
      <c r="AC487" s="83" t="n">
        <v>4.357248</v>
      </c>
      <c r="AD487" s="83" t="n">
        <v>1.590602</v>
      </c>
      <c r="AE487" s="83" t="n">
        <v>2.198584</v>
      </c>
      <c r="AG487" s="83" t="n">
        <v>7.166275</v>
      </c>
      <c r="AH487" s="83" t="n">
        <v>2.915987</v>
      </c>
      <c r="AJ487" s="83" t="n">
        <v>60.9902</v>
      </c>
      <c r="AK487" s="83" t="n">
        <v>5.863138</v>
      </c>
      <c r="AO487" s="83" t="n">
        <v>1.640134</v>
      </c>
      <c r="AQ487" s="83" t="n">
        <v>20.15364</v>
      </c>
      <c r="AR487" s="83" t="n">
        <v>14.78477</v>
      </c>
      <c r="AS487" s="83" t="n">
        <v>23.73717</v>
      </c>
      <c r="AT487" s="83" t="n">
        <v>1.321535</v>
      </c>
      <c r="AZ487" s="83" t="n">
        <v>20.92306</v>
      </c>
      <c r="BA487" s="83" t="n">
        <v>0.007177081</v>
      </c>
      <c r="BB487" s="83" t="n">
        <v>26.70645</v>
      </c>
      <c r="BC487" s="83" t="n">
        <v>5.361125</v>
      </c>
      <c r="BD487" s="83" t="n">
        <v>16.34025</v>
      </c>
    </row>
    <row r="488">
      <c r="A488" s="83" t="inlineStr">
        <is>
          <t>1991-11</t>
        </is>
      </c>
      <c r="B488" s="22" t="n">
        <v>33543</v>
      </c>
      <c r="C488" s="22" t="n"/>
      <c r="D488" s="22" t="n"/>
      <c r="E488" s="22" t="n">
        <v>33055</v>
      </c>
      <c r="F488" s="83" t="inlineStr">
        <is>
          <t>1990-07</t>
        </is>
      </c>
      <c r="G488" s="83" t="n">
        <v>12.14581</v>
      </c>
      <c r="J488" s="83" t="n">
        <v>21.12011</v>
      </c>
      <c r="K488" s="83" t="n">
        <v>36.91725</v>
      </c>
      <c r="L488" s="83" t="n">
        <v>3.032523</v>
      </c>
      <c r="M488" s="83" t="n">
        <v>1.042472</v>
      </c>
      <c r="N488" s="83" t="n">
        <v>1.446048</v>
      </c>
      <c r="P488" s="83" t="n">
        <v>10.64141</v>
      </c>
      <c r="R488" s="83" t="n">
        <v>21.47227</v>
      </c>
      <c r="S488" s="83" t="n">
        <v>26.36371</v>
      </c>
      <c r="AA488" s="83" t="n">
        <v>18.985</v>
      </c>
      <c r="AC488" s="83" t="n">
        <v>4.486472</v>
      </c>
      <c r="AD488" s="83" t="n">
        <v>1.648504</v>
      </c>
      <c r="AE488" s="83" t="n">
        <v>2.222058</v>
      </c>
      <c r="AG488" s="83" t="n">
        <v>7.212004</v>
      </c>
      <c r="AH488" s="83" t="n">
        <v>2.975412</v>
      </c>
      <c r="AJ488" s="83" t="n">
        <v>61.33376</v>
      </c>
      <c r="AK488" s="83" t="n">
        <v>5.969015</v>
      </c>
      <c r="AO488" s="83" t="n">
        <v>1.698425</v>
      </c>
      <c r="AQ488" s="83" t="n">
        <v>20.32719</v>
      </c>
      <c r="AR488" s="83" t="n">
        <v>14.9054</v>
      </c>
      <c r="AS488" s="83" t="n">
        <v>23.93937</v>
      </c>
      <c r="AT488" s="83" t="n">
        <v>1.430828</v>
      </c>
      <c r="AZ488" s="83" t="n">
        <v>20.97004</v>
      </c>
      <c r="BA488" s="83" t="n">
        <v>0.007478551</v>
      </c>
      <c r="BB488" s="83" t="n">
        <v>26.79619</v>
      </c>
      <c r="BC488" s="83" t="n">
        <v>5.373787</v>
      </c>
      <c r="BD488" s="83" t="n">
        <v>16.14572</v>
      </c>
    </row>
    <row r="489">
      <c r="A489" s="83" t="inlineStr">
        <is>
          <t>1991-12</t>
        </is>
      </c>
      <c r="B489" s="22" t="n">
        <v>33573</v>
      </c>
      <c r="C489" s="22" t="n"/>
      <c r="D489" s="22" t="n"/>
      <c r="E489" s="22" t="n">
        <v>33086</v>
      </c>
      <c r="F489" s="83" t="inlineStr">
        <is>
          <t>1990-08</t>
        </is>
      </c>
      <c r="G489" s="83" t="n">
        <v>12.21585</v>
      </c>
      <c r="J489" s="83" t="n">
        <v>21.25359</v>
      </c>
      <c r="K489" s="83" t="n">
        <v>37.03731</v>
      </c>
      <c r="L489" s="83" t="n">
        <v>3.123254</v>
      </c>
      <c r="M489" s="83" t="n">
        <v>1.0689</v>
      </c>
      <c r="N489" s="83" t="n">
        <v>1.485598</v>
      </c>
      <c r="P489" s="83" t="n">
        <v>10.96382</v>
      </c>
      <c r="R489" s="83" t="n">
        <v>21.49126</v>
      </c>
      <c r="S489" s="83" t="n">
        <v>26.38314</v>
      </c>
      <c r="AA489" s="83" t="n">
        <v>19.07302</v>
      </c>
      <c r="AC489" s="83" t="n">
        <v>4.616503</v>
      </c>
      <c r="AD489" s="83" t="n">
        <v>1.686617</v>
      </c>
      <c r="AE489" s="83" t="n">
        <v>2.241195</v>
      </c>
      <c r="AG489" s="83" t="n">
        <v>7.277062</v>
      </c>
      <c r="AH489" s="83" t="n">
        <v>3.048524</v>
      </c>
      <c r="AJ489" s="83" t="n">
        <v>61.66096</v>
      </c>
      <c r="AK489" s="83" t="n">
        <v>6.08043</v>
      </c>
      <c r="AO489" s="83" t="n">
        <v>1.755306</v>
      </c>
      <c r="AQ489" s="83" t="n">
        <v>20.36525</v>
      </c>
      <c r="AR489" s="83" t="n">
        <v>15.0335</v>
      </c>
      <c r="AS489" s="83" t="n">
        <v>24.06745</v>
      </c>
      <c r="AT489" s="83" t="n">
        <v>1.552345</v>
      </c>
      <c r="AZ489" s="83" t="n">
        <v>21.04338</v>
      </c>
      <c r="BA489" s="83" t="n">
        <v>0.007704831</v>
      </c>
      <c r="BB489" s="83" t="n">
        <v>26.94162</v>
      </c>
      <c r="BC489" s="83" t="n">
        <v>5.404513</v>
      </c>
      <c r="BD489" s="83" t="n">
        <v>16.33568</v>
      </c>
    </row>
    <row r="490">
      <c r="A490" s="83" t="inlineStr">
        <is>
          <t>1992-01</t>
        </is>
      </c>
      <c r="B490" s="22" t="n">
        <v>33604</v>
      </c>
      <c r="C490" s="22" t="n"/>
      <c r="D490" s="22" t="n"/>
      <c r="E490" s="22" t="n">
        <v>33117</v>
      </c>
      <c r="F490" s="83" t="inlineStr">
        <is>
          <t>1990-09</t>
        </is>
      </c>
      <c r="G490" s="83" t="n">
        <v>12.34754</v>
      </c>
      <c r="J490" s="83" t="n">
        <v>21.39513</v>
      </c>
      <c r="K490" s="83" t="n">
        <v>37.40493</v>
      </c>
      <c r="L490" s="83" t="n">
        <v>3.217586</v>
      </c>
      <c r="M490" s="83" t="n">
        <v>1.092539</v>
      </c>
      <c r="N490" s="83" t="n">
        <v>1.528064</v>
      </c>
      <c r="P490" s="83" t="n">
        <v>11.28623</v>
      </c>
      <c r="R490" s="83" t="n">
        <v>21.80052</v>
      </c>
      <c r="S490" s="83" t="n">
        <v>26.53296</v>
      </c>
      <c r="AA490" s="83" t="n">
        <v>19.25322</v>
      </c>
      <c r="AC490" s="83" t="n">
        <v>4.747341</v>
      </c>
      <c r="AD490" s="83" t="n">
        <v>1.730471</v>
      </c>
      <c r="AE490" s="83" t="n">
        <v>2.266864</v>
      </c>
      <c r="AG490" s="83" t="n">
        <v>7.382695</v>
      </c>
      <c r="AH490" s="83" t="n">
        <v>3.10876</v>
      </c>
      <c r="AJ490" s="83" t="n">
        <v>62.0536</v>
      </c>
      <c r="AK490" s="83" t="n">
        <v>6.193816</v>
      </c>
      <c r="AO490" s="83" t="n">
        <v>1.804872</v>
      </c>
      <c r="AQ490" s="83" t="n">
        <v>20.40226</v>
      </c>
      <c r="AR490" s="83" t="n">
        <v>15.15867</v>
      </c>
      <c r="AS490" s="83" t="n">
        <v>24.23914</v>
      </c>
      <c r="AT490" s="83" t="n">
        <v>1.660999</v>
      </c>
      <c r="AZ490" s="83" t="n">
        <v>21.17764</v>
      </c>
      <c r="BA490" s="83" t="n">
        <v>0.007869354</v>
      </c>
      <c r="BB490" s="83" t="n">
        <v>27.04633</v>
      </c>
      <c r="BC490" s="83" t="n">
        <v>5.403096</v>
      </c>
      <c r="BD490" s="83" t="n">
        <v>16.74463</v>
      </c>
    </row>
    <row r="491">
      <c r="A491" s="83" t="inlineStr">
        <is>
          <t>1992-02</t>
        </is>
      </c>
      <c r="B491" s="22" t="n">
        <v>33635</v>
      </c>
      <c r="C491" s="22" t="n"/>
      <c r="D491" s="22" t="n"/>
      <c r="E491" s="22" t="n">
        <v>33147</v>
      </c>
      <c r="F491" s="83" t="inlineStr">
        <is>
          <t>1990-10</t>
        </is>
      </c>
      <c r="G491" s="83" t="n">
        <v>12.45681</v>
      </c>
      <c r="J491" s="83" t="n">
        <v>21.51424</v>
      </c>
      <c r="K491" s="83" t="n">
        <v>37.58594</v>
      </c>
      <c r="L491" s="83" t="n">
        <v>3.325178</v>
      </c>
      <c r="M491" s="83" t="n">
        <v>1.118628</v>
      </c>
      <c r="N491" s="83" t="n">
        <v>1.569293</v>
      </c>
      <c r="P491" s="83" t="n">
        <v>11.60864</v>
      </c>
      <c r="R491" s="83" t="n">
        <v>21.9989</v>
      </c>
      <c r="S491" s="83" t="n">
        <v>26.76388</v>
      </c>
      <c r="AA491" s="83" t="n">
        <v>19.38198</v>
      </c>
      <c r="AC491" s="83" t="n">
        <v>4.879257</v>
      </c>
      <c r="AD491" s="83" t="n">
        <v>1.766847</v>
      </c>
      <c r="AE491" s="83" t="n">
        <v>2.295778</v>
      </c>
      <c r="AG491" s="83" t="n">
        <v>7.495289</v>
      </c>
      <c r="AH491" s="83" t="n">
        <v>3.143032</v>
      </c>
      <c r="AJ491" s="83" t="n">
        <v>62.34808</v>
      </c>
      <c r="AK491" s="83" t="n">
        <v>6.32373</v>
      </c>
      <c r="AO491" s="83" t="n">
        <v>1.86196</v>
      </c>
      <c r="AQ491" s="83" t="n">
        <v>20.32588</v>
      </c>
      <c r="AR491" s="83" t="n">
        <v>15.25893</v>
      </c>
      <c r="AS491" s="83" t="n">
        <v>24.43565</v>
      </c>
      <c r="AT491" s="83" t="n">
        <v>1.746254</v>
      </c>
      <c r="AZ491" s="83" t="n">
        <v>21.24396</v>
      </c>
      <c r="BA491" s="83" t="n">
        <v>0.008055285000000001</v>
      </c>
      <c r="BB491" s="83" t="n">
        <v>27.08539</v>
      </c>
      <c r="BC491" s="83" t="n">
        <v>5.410931</v>
      </c>
      <c r="BD491" s="83" t="n">
        <v>16.85504</v>
      </c>
    </row>
    <row r="492">
      <c r="A492" s="83" t="inlineStr">
        <is>
          <t>1992-03</t>
        </is>
      </c>
      <c r="B492" s="22" t="n">
        <v>33664</v>
      </c>
      <c r="C492" s="22" t="n"/>
      <c r="D492" s="22" t="n"/>
      <c r="E492" s="22" t="n">
        <v>33178</v>
      </c>
      <c r="F492" s="83" t="inlineStr">
        <is>
          <t>1990-11</t>
        </is>
      </c>
      <c r="G492" s="83" t="n">
        <v>12.56047</v>
      </c>
      <c r="J492" s="83" t="n">
        <v>21.63417</v>
      </c>
      <c r="K492" s="83" t="n">
        <v>37.58518</v>
      </c>
      <c r="L492" s="83" t="n">
        <v>3.441226</v>
      </c>
      <c r="M492" s="83" t="n">
        <v>1.144827</v>
      </c>
      <c r="N492" s="83" t="n">
        <v>1.595764</v>
      </c>
      <c r="P492" s="83" t="n">
        <v>11.93105</v>
      </c>
      <c r="R492" s="83" t="n">
        <v>22.1138</v>
      </c>
      <c r="S492" s="83" t="n">
        <v>26.91195</v>
      </c>
      <c r="AA492" s="83" t="n">
        <v>19.50461</v>
      </c>
      <c r="AC492" s="83" t="n">
        <v>5.01198</v>
      </c>
      <c r="AD492" s="83" t="n">
        <v>1.810111</v>
      </c>
      <c r="AE492" s="83" t="n">
        <v>2.324341</v>
      </c>
      <c r="AG492" s="83" t="n">
        <v>7.585234</v>
      </c>
      <c r="AH492" s="83" t="n">
        <v>3.194356</v>
      </c>
      <c r="AJ492" s="83" t="n">
        <v>62.02088</v>
      </c>
      <c r="AK492" s="83" t="n">
        <v>6.496475</v>
      </c>
      <c r="AO492" s="83" t="n">
        <v>1.934631</v>
      </c>
      <c r="AQ492" s="83" t="n">
        <v>20.25237</v>
      </c>
      <c r="AR492" s="83" t="n">
        <v>15.34208</v>
      </c>
      <c r="AS492" s="83" t="n">
        <v>24.7238</v>
      </c>
      <c r="AT492" s="83" t="n">
        <v>1.834122</v>
      </c>
      <c r="AZ492" s="83" t="n">
        <v>21.37452</v>
      </c>
      <c r="BA492" s="83" t="n">
        <v>0.008324732</v>
      </c>
      <c r="BB492" s="83" t="n">
        <v>27.11281</v>
      </c>
      <c r="BC492" s="83" t="n">
        <v>5.52308</v>
      </c>
      <c r="BD492" s="83" t="n">
        <v>16.94505</v>
      </c>
    </row>
    <row r="493">
      <c r="A493" s="83" t="inlineStr">
        <is>
          <t>1992-04</t>
        </is>
      </c>
      <c r="B493" s="22" t="n">
        <v>33695</v>
      </c>
      <c r="C493" s="22" t="n"/>
      <c r="D493" s="22" t="n"/>
      <c r="E493" s="22" t="n">
        <v>33208</v>
      </c>
      <c r="F493" s="83" t="inlineStr">
        <is>
          <t>1990-12</t>
        </is>
      </c>
      <c r="G493" s="83" t="n">
        <v>12.67535</v>
      </c>
      <c r="J493" s="83" t="n">
        <v>21.79866</v>
      </c>
      <c r="K493" s="83" t="n">
        <v>37.79787</v>
      </c>
      <c r="L493" s="83" t="n">
        <v>3.553864</v>
      </c>
      <c r="M493" s="83" t="n">
        <v>1.169261</v>
      </c>
      <c r="N493" s="83" t="n">
        <v>1.626675</v>
      </c>
      <c r="P493" s="83" t="n">
        <v>12.25346</v>
      </c>
      <c r="R493" s="83" t="n">
        <v>22.46718</v>
      </c>
      <c r="S493" s="83" t="n">
        <v>27.56309</v>
      </c>
      <c r="AA493" s="83" t="n">
        <v>19.60086</v>
      </c>
      <c r="AC493" s="83" t="n">
        <v>5.160922</v>
      </c>
      <c r="AD493" s="83" t="n">
        <v>1.869222</v>
      </c>
      <c r="AE493" s="83" t="n">
        <v>2.354901</v>
      </c>
      <c r="AG493" s="83" t="n">
        <v>7.566935</v>
      </c>
      <c r="AH493" s="83" t="n">
        <v>3.279783</v>
      </c>
      <c r="AJ493" s="83" t="n">
        <v>62.23356</v>
      </c>
      <c r="AK493" s="83" t="n">
        <v>6.651142</v>
      </c>
      <c r="AO493" s="83" t="n">
        <v>1.994534</v>
      </c>
      <c r="AQ493" s="83" t="n">
        <v>20.2807</v>
      </c>
      <c r="AR493" s="83" t="n">
        <v>15.47034</v>
      </c>
      <c r="AS493" s="83" t="n">
        <v>24.97201</v>
      </c>
      <c r="AT493" s="83" t="n">
        <v>1.869587</v>
      </c>
      <c r="AZ493" s="83" t="n">
        <v>22.13248</v>
      </c>
      <c r="BA493" s="83" t="n">
        <v>0.008595314999999999</v>
      </c>
      <c r="BB493" s="83" t="n">
        <v>27.18927</v>
      </c>
      <c r="BC493" s="83" t="n">
        <v>5.629301</v>
      </c>
      <c r="BD493" s="83" t="n">
        <v>17.40953</v>
      </c>
    </row>
    <row r="494">
      <c r="A494" s="83" t="inlineStr">
        <is>
          <t>1992-05</t>
        </is>
      </c>
      <c r="B494" s="22" t="n">
        <v>33725</v>
      </c>
      <c r="C494" s="22" t="n"/>
      <c r="D494" s="22" t="n"/>
      <c r="E494" s="22" t="n">
        <v>33239</v>
      </c>
      <c r="F494" s="83" t="inlineStr">
        <is>
          <t>1991-01</t>
        </is>
      </c>
      <c r="G494" s="83" t="n">
        <v>12.66694</v>
      </c>
      <c r="J494" s="83" t="n">
        <v>21.95178</v>
      </c>
      <c r="K494" s="83" t="n">
        <v>37.901</v>
      </c>
      <c r="L494" s="83" t="n">
        <v>3.655895</v>
      </c>
      <c r="M494" s="83" t="n">
        <v>1.194355</v>
      </c>
      <c r="N494" s="83" t="n">
        <v>1.658027</v>
      </c>
      <c r="P494" s="83" t="n">
        <v>12.57588</v>
      </c>
      <c r="R494" s="83" t="n">
        <v>22.48048</v>
      </c>
      <c r="S494" s="83" t="n">
        <v>27.90499</v>
      </c>
      <c r="AA494" s="83" t="n">
        <v>19.65831</v>
      </c>
      <c r="AC494" s="83" t="n">
        <v>5.27656</v>
      </c>
      <c r="AD494" s="83" t="n">
        <v>1.913423</v>
      </c>
      <c r="AE494" s="83" t="n">
        <v>2.378565</v>
      </c>
      <c r="AG494" s="83" t="n">
        <v>7.50345</v>
      </c>
      <c r="AH494" s="83" t="n">
        <v>3.43899</v>
      </c>
      <c r="AJ494" s="83" t="n">
        <v>62.36444</v>
      </c>
      <c r="AK494" s="83" t="n">
        <v>6.762905</v>
      </c>
      <c r="AO494" s="83" t="n">
        <v>2.032381</v>
      </c>
      <c r="AQ494" s="83" t="n">
        <v>20.41824</v>
      </c>
      <c r="AR494" s="83" t="n">
        <v>15.57806</v>
      </c>
      <c r="AS494" s="83" t="n">
        <v>25.2622</v>
      </c>
      <c r="AT494" s="83" t="n">
        <v>1.884344</v>
      </c>
      <c r="AZ494" s="83" t="n">
        <v>22.44964</v>
      </c>
      <c r="BA494" s="83" t="n">
        <v>0.008800593000000001</v>
      </c>
      <c r="BB494" s="83" t="n">
        <v>27.3214</v>
      </c>
      <c r="BC494" s="83" t="n">
        <v>5.667232</v>
      </c>
      <c r="BD494" s="83" t="n">
        <v>17.55264</v>
      </c>
    </row>
    <row r="495">
      <c r="A495" s="83" t="inlineStr">
        <is>
          <t>1992-06</t>
        </is>
      </c>
      <c r="B495" s="22" t="n">
        <v>33756</v>
      </c>
      <c r="C495" s="22" t="n"/>
      <c r="D495" s="22" t="n"/>
      <c r="E495" s="22" t="n">
        <v>33270</v>
      </c>
      <c r="F495" s="83" t="inlineStr">
        <is>
          <t>1991-02</t>
        </is>
      </c>
      <c r="G495" s="83" t="n">
        <v>12.6025</v>
      </c>
      <c r="J495" s="83" t="n">
        <v>22.08273</v>
      </c>
      <c r="K495" s="83" t="n">
        <v>37.82836</v>
      </c>
      <c r="L495" s="83" t="n">
        <v>3.747555</v>
      </c>
      <c r="M495" s="83" t="n">
        <v>1.219399</v>
      </c>
      <c r="N495" s="83" t="n">
        <v>1.68033</v>
      </c>
      <c r="P495" s="83" t="n">
        <v>12.89829</v>
      </c>
      <c r="R495" s="83" t="n">
        <v>21.8701</v>
      </c>
      <c r="S495" s="83" t="n">
        <v>27.75632</v>
      </c>
      <c r="AA495" s="83" t="n">
        <v>19.72359</v>
      </c>
      <c r="AC495" s="83" t="n">
        <v>5.371303</v>
      </c>
      <c r="AD495" s="83" t="n">
        <v>1.934546</v>
      </c>
      <c r="AE495" s="83" t="n">
        <v>2.411737</v>
      </c>
      <c r="AG495" s="83" t="n">
        <v>7.583294</v>
      </c>
      <c r="AH495" s="83" t="n">
        <v>3.565928</v>
      </c>
      <c r="AJ495" s="83" t="n">
        <v>62.51168</v>
      </c>
      <c r="AK495" s="83" t="n">
        <v>6.889515</v>
      </c>
      <c r="AO495" s="83" t="n">
        <v>2.079064</v>
      </c>
      <c r="AQ495" s="83" t="n">
        <v>20.60383</v>
      </c>
      <c r="AR495" s="83" t="n">
        <v>15.67456</v>
      </c>
      <c r="AS495" s="83" t="n">
        <v>25.78236</v>
      </c>
      <c r="AT495" s="83" t="n">
        <v>1.948898</v>
      </c>
      <c r="AZ495" s="83" t="n">
        <v>22.39408</v>
      </c>
      <c r="BA495" s="83" t="n">
        <v>0.009102565999999999</v>
      </c>
      <c r="BB495" s="83" t="n">
        <v>27.46101</v>
      </c>
      <c r="BC495" s="83" t="n">
        <v>5.836951</v>
      </c>
      <c r="BD495" s="83" t="n">
        <v>17.26489</v>
      </c>
    </row>
    <row r="496">
      <c r="A496" s="83" t="inlineStr">
        <is>
          <t>1992-07</t>
        </is>
      </c>
      <c r="B496" s="22" t="n">
        <v>33786</v>
      </c>
      <c r="C496" s="22" t="n"/>
      <c r="D496" s="22" t="n"/>
      <c r="E496" s="22" t="n">
        <v>33298</v>
      </c>
      <c r="F496" s="83" t="inlineStr">
        <is>
          <t>1991-03</t>
        </is>
      </c>
      <c r="G496" s="83" t="n">
        <v>12.62211</v>
      </c>
      <c r="J496" s="83" t="n">
        <v>22.20633</v>
      </c>
      <c r="K496" s="83" t="n">
        <v>37.83947</v>
      </c>
      <c r="L496" s="83" t="n">
        <v>3.833224</v>
      </c>
      <c r="M496" s="83" t="n">
        <v>1.243399</v>
      </c>
      <c r="N496" s="83" t="n">
        <v>1.70067</v>
      </c>
      <c r="P496" s="83" t="n">
        <v>13.2207</v>
      </c>
      <c r="R496" s="83" t="n">
        <v>21.94953</v>
      </c>
      <c r="S496" s="83" t="n">
        <v>27.85303</v>
      </c>
      <c r="AA496" s="83" t="n">
        <v>19.79823</v>
      </c>
      <c r="AC496" s="83" t="n">
        <v>5.488802</v>
      </c>
      <c r="AD496" s="83" t="n">
        <v>1.911813</v>
      </c>
      <c r="AE496" s="83" t="n">
        <v>2.445956</v>
      </c>
      <c r="AG496" s="83" t="n">
        <v>7.735173</v>
      </c>
      <c r="AH496" s="83" t="n">
        <v>3.633026</v>
      </c>
      <c r="AJ496" s="83" t="n">
        <v>62.6262</v>
      </c>
      <c r="AK496" s="83" t="n">
        <v>7.025607</v>
      </c>
      <c r="AO496" s="83" t="n">
        <v>2.142543</v>
      </c>
      <c r="AQ496" s="83" t="n">
        <v>20.75665</v>
      </c>
      <c r="AR496" s="83" t="n">
        <v>15.79337</v>
      </c>
      <c r="AS496" s="83" t="n">
        <v>26.57956</v>
      </c>
      <c r="AT496" s="83" t="n">
        <v>2.032185</v>
      </c>
      <c r="AZ496" s="83" t="n">
        <v>22.75279</v>
      </c>
      <c r="BA496" s="83" t="n">
        <v>0.009466756999999999</v>
      </c>
      <c r="BB496" s="83" t="n">
        <v>27.60561</v>
      </c>
      <c r="BC496" s="83" t="n">
        <v>5.975489</v>
      </c>
      <c r="BD496" s="83" t="n">
        <v>17.17398</v>
      </c>
    </row>
    <row r="497">
      <c r="A497" s="83" t="inlineStr">
        <is>
          <t>1992-08</t>
        </is>
      </c>
      <c r="B497" s="22" t="n">
        <v>33817</v>
      </c>
      <c r="C497" s="22" t="n"/>
      <c r="D497" s="22" t="n"/>
      <c r="E497" s="22" t="n">
        <v>33329</v>
      </c>
      <c r="F497" s="83" t="inlineStr">
        <is>
          <t>1991-04</t>
        </is>
      </c>
      <c r="G497" s="83" t="n">
        <v>12.65013</v>
      </c>
      <c r="J497" s="83" t="n">
        <v>22.28584</v>
      </c>
      <c r="K497" s="83" t="n">
        <v>37.87432</v>
      </c>
      <c r="L497" s="83" t="n">
        <v>3.922998</v>
      </c>
      <c r="M497" s="83" t="n">
        <v>1.264193</v>
      </c>
      <c r="N497" s="83" t="n">
        <v>1.734346</v>
      </c>
      <c r="P497" s="83" t="n">
        <v>13.54311</v>
      </c>
      <c r="R497" s="83" t="n">
        <v>22.59809</v>
      </c>
      <c r="S497" s="83" t="n">
        <v>27.95298</v>
      </c>
      <c r="AA497" s="83" t="n">
        <v>19.91029</v>
      </c>
      <c r="AC497" s="83" t="n">
        <v>5.598585</v>
      </c>
      <c r="AD497" s="83" t="n">
        <v>1.918892</v>
      </c>
      <c r="AE497" s="83" t="n">
        <v>2.474186</v>
      </c>
      <c r="AG497" s="83" t="n">
        <v>7.842461</v>
      </c>
      <c r="AH497" s="83" t="n">
        <v>3.695356</v>
      </c>
      <c r="AJ497" s="83" t="n">
        <v>62.82252</v>
      </c>
      <c r="AK497" s="83" t="n">
        <v>7.148883</v>
      </c>
      <c r="AO497" s="83" t="n">
        <v>2.204623</v>
      </c>
      <c r="AQ497" s="83" t="n">
        <v>20.89923</v>
      </c>
      <c r="AR497" s="83" t="n">
        <v>15.90788</v>
      </c>
      <c r="AS497" s="83" t="n">
        <v>27.26435</v>
      </c>
      <c r="AT497" s="83" t="n">
        <v>2.121431</v>
      </c>
      <c r="AZ497" s="83" t="n">
        <v>22.85525</v>
      </c>
      <c r="BA497" s="83" t="n">
        <v>0.009914340000000001</v>
      </c>
      <c r="BB497" s="83" t="n">
        <v>27.69286</v>
      </c>
      <c r="BC497" s="83" t="n">
        <v>6.003644</v>
      </c>
      <c r="BD497" s="83" t="n">
        <v>17.19172</v>
      </c>
    </row>
    <row r="498">
      <c r="A498" s="83" t="inlineStr">
        <is>
          <t>1992-09</t>
        </is>
      </c>
      <c r="B498" s="22" t="n">
        <v>33848</v>
      </c>
      <c r="C498" s="22" t="n"/>
      <c r="D498" s="22" t="n"/>
      <c r="E498" s="22" t="n">
        <v>33359</v>
      </c>
      <c r="F498" s="83" t="inlineStr">
        <is>
          <t>1991-05</t>
        </is>
      </c>
      <c r="G498" s="83" t="n">
        <v>12.70056</v>
      </c>
      <c r="J498" s="83" t="n">
        <v>22.43544</v>
      </c>
      <c r="K498" s="83" t="n">
        <v>37.96265</v>
      </c>
      <c r="L498" s="83" t="n">
        <v>4.016781</v>
      </c>
      <c r="M498" s="83" t="n">
        <v>1.286682</v>
      </c>
      <c r="N498" s="83" t="n">
        <v>1.782152</v>
      </c>
      <c r="P498" s="83" t="n">
        <v>13.86552</v>
      </c>
      <c r="R498" s="83" t="n">
        <v>23.10584</v>
      </c>
      <c r="S498" s="83" t="n">
        <v>28.03255</v>
      </c>
      <c r="AA498" s="83" t="n">
        <v>19.98442</v>
      </c>
      <c r="AC498" s="83" t="n">
        <v>5.756001</v>
      </c>
      <c r="AD498" s="83" t="n">
        <v>1.973093</v>
      </c>
      <c r="AE498" s="83" t="n">
        <v>2.513268</v>
      </c>
      <c r="AG498" s="83" t="n">
        <v>7.930514</v>
      </c>
      <c r="AH498" s="83" t="n">
        <v>3.760077</v>
      </c>
      <c r="AJ498" s="83" t="n">
        <v>62.96976</v>
      </c>
      <c r="AK498" s="83" t="n">
        <v>7.254159</v>
      </c>
      <c r="AO498" s="83" t="n">
        <v>2.270242</v>
      </c>
      <c r="AQ498" s="83" t="n">
        <v>20.94503</v>
      </c>
      <c r="AR498" s="83" t="n">
        <v>16.02565</v>
      </c>
      <c r="AS498" s="83" t="n">
        <v>27.65826</v>
      </c>
      <c r="AT498" s="83" t="n">
        <v>2.241134</v>
      </c>
      <c r="AZ498" s="83" t="n">
        <v>23.02577</v>
      </c>
      <c r="BA498" s="83" t="n">
        <v>0.01043846</v>
      </c>
      <c r="BB498" s="83" t="n">
        <v>27.78095</v>
      </c>
      <c r="BC498" s="83" t="n">
        <v>6.117157</v>
      </c>
      <c r="BD498" s="83" t="n">
        <v>17.29126</v>
      </c>
    </row>
    <row r="499">
      <c r="A499" s="83" t="inlineStr">
        <is>
          <t>1992-10</t>
        </is>
      </c>
      <c r="B499" s="22" t="n">
        <v>33878</v>
      </c>
      <c r="C499" s="22" t="n"/>
      <c r="D499" s="22" t="n"/>
      <c r="E499" s="22" t="n">
        <v>33390</v>
      </c>
      <c r="F499" s="83" t="inlineStr">
        <is>
          <t>1991-06</t>
        </is>
      </c>
      <c r="G499" s="83" t="n">
        <v>12.77061</v>
      </c>
      <c r="J499" s="83" t="n">
        <v>22.41445</v>
      </c>
      <c r="K499" s="83" t="n">
        <v>38.07423</v>
      </c>
      <c r="L499" s="83" t="n">
        <v>4.119725</v>
      </c>
      <c r="M499" s="83" t="n">
        <v>1.314026</v>
      </c>
      <c r="N499" s="83" t="n">
        <v>1.811605</v>
      </c>
      <c r="P499" s="83" t="n">
        <v>14.18794</v>
      </c>
      <c r="R499" s="83" t="n">
        <v>23.30735</v>
      </c>
      <c r="S499" s="83" t="n">
        <v>28.24823</v>
      </c>
      <c r="AA499" s="83" t="n">
        <v>20.02426</v>
      </c>
      <c r="AC499" s="83" t="n">
        <v>5.89714</v>
      </c>
      <c r="AD499" s="83" t="n">
        <v>2.016941</v>
      </c>
      <c r="AE499" s="83" t="n">
        <v>2.543087</v>
      </c>
      <c r="AG499" s="83" t="n">
        <v>7.988161</v>
      </c>
      <c r="AH499" s="83" t="n">
        <v>3.792223</v>
      </c>
      <c r="AJ499" s="83" t="n">
        <v>63.10882</v>
      </c>
      <c r="AK499" s="83" t="n">
        <v>7.365927</v>
      </c>
      <c r="AO499" s="83" t="n">
        <v>2.320424</v>
      </c>
      <c r="AQ499" s="83" t="n">
        <v>20.91187</v>
      </c>
      <c r="AR499" s="83" t="n">
        <v>16.12337</v>
      </c>
      <c r="AS499" s="83" t="n">
        <v>28.09251</v>
      </c>
      <c r="AT499" s="83" t="n">
        <v>2.369991</v>
      </c>
      <c r="AZ499" s="83" t="n">
        <v>23.38599</v>
      </c>
      <c r="BA499" s="83" t="n">
        <v>0.01095472</v>
      </c>
      <c r="BB499" s="83" t="n">
        <v>27.85491</v>
      </c>
      <c r="BC499" s="83" t="n">
        <v>6.19587</v>
      </c>
      <c r="BD499" s="83" t="n">
        <v>17.55813</v>
      </c>
    </row>
    <row r="500">
      <c r="A500" s="83" t="inlineStr">
        <is>
          <t>1992-11</t>
        </is>
      </c>
      <c r="B500" s="22" t="n">
        <v>33909</v>
      </c>
      <c r="C500" s="22" t="n"/>
      <c r="D500" s="22" t="n"/>
      <c r="E500" s="22" t="n">
        <v>33420</v>
      </c>
      <c r="F500" s="83" t="inlineStr">
        <is>
          <t>1991-07</t>
        </is>
      </c>
      <c r="G500" s="83" t="n">
        <v>12.80983</v>
      </c>
      <c r="J500" s="83" t="n">
        <v>22.39233</v>
      </c>
      <c r="K500" s="83" t="n">
        <v>38.18285</v>
      </c>
      <c r="L500" s="83" t="n">
        <v>4.247941</v>
      </c>
      <c r="M500" s="83" t="n">
        <v>1.342134</v>
      </c>
      <c r="N500" s="83" t="n">
        <v>1.815964</v>
      </c>
      <c r="P500" s="83" t="n">
        <v>14.51035</v>
      </c>
      <c r="R500" s="83" t="n">
        <v>23.86522</v>
      </c>
      <c r="S500" s="83" t="n">
        <v>28.46589</v>
      </c>
      <c r="AA500" s="83" t="n">
        <v>20.03483</v>
      </c>
      <c r="AC500" s="83" t="n">
        <v>6.010439</v>
      </c>
      <c r="AD500" s="83" t="n">
        <v>2.091114</v>
      </c>
      <c r="AE500" s="83" t="n">
        <v>2.562158</v>
      </c>
      <c r="AG500" s="83" t="n">
        <v>8.067864</v>
      </c>
      <c r="AH500" s="83" t="n">
        <v>3.783186</v>
      </c>
      <c r="AJ500" s="83" t="n">
        <v>63.33786</v>
      </c>
      <c r="AK500" s="83" t="n">
        <v>7.503667</v>
      </c>
      <c r="AO500" s="83" t="n">
        <v>2.363013</v>
      </c>
      <c r="AQ500" s="83" t="n">
        <v>21.00706</v>
      </c>
      <c r="AR500" s="83" t="n">
        <v>16.20835</v>
      </c>
      <c r="AS500" s="83" t="n">
        <v>28.48021</v>
      </c>
      <c r="AT500" s="83" t="n">
        <v>2.444735</v>
      </c>
      <c r="AZ500" s="83" t="n">
        <v>23.62144</v>
      </c>
      <c r="BA500" s="83" t="n">
        <v>0.01144188</v>
      </c>
      <c r="BB500" s="83" t="n">
        <v>27.88981</v>
      </c>
      <c r="BC500" s="83" t="n">
        <v>6.173241</v>
      </c>
      <c r="BD500" s="83" t="n">
        <v>17.61871</v>
      </c>
    </row>
    <row r="501">
      <c r="A501" s="83" t="inlineStr">
        <is>
          <t>1992-12</t>
        </is>
      </c>
      <c r="B501" s="22" t="n">
        <v>33939</v>
      </c>
      <c r="C501" s="22" t="n"/>
      <c r="D501" s="22" t="n"/>
      <c r="E501" s="22" t="n">
        <v>33451</v>
      </c>
      <c r="F501" s="83" t="inlineStr">
        <is>
          <t>1991-08</t>
        </is>
      </c>
      <c r="G501" s="83" t="n">
        <v>12.84906</v>
      </c>
      <c r="J501" s="83" t="n">
        <v>22.34906</v>
      </c>
      <c r="K501" s="83" t="n">
        <v>38.28791</v>
      </c>
      <c r="L501" s="83" t="n">
        <v>4.39203</v>
      </c>
      <c r="M501" s="83" t="n">
        <v>1.371477</v>
      </c>
      <c r="N501" s="83" t="n">
        <v>1.818802</v>
      </c>
      <c r="P501" s="83" t="n">
        <v>14.83276</v>
      </c>
      <c r="R501" s="83" t="n">
        <v>24.35081</v>
      </c>
      <c r="S501" s="83" t="n">
        <v>28.50018</v>
      </c>
      <c r="AA501" s="83" t="n">
        <v>20.04688</v>
      </c>
      <c r="AC501" s="83" t="n">
        <v>6.135788</v>
      </c>
      <c r="AD501" s="83" t="n">
        <v>2.120657</v>
      </c>
      <c r="AE501" s="83" t="n">
        <v>2.593009</v>
      </c>
      <c r="AG501" s="83" t="n">
        <v>8.189533000000001</v>
      </c>
      <c r="AH501" s="83" t="n">
        <v>3.848878</v>
      </c>
      <c r="AJ501" s="83" t="n">
        <v>63.32968</v>
      </c>
      <c r="AK501" s="83" t="n">
        <v>7.664024</v>
      </c>
      <c r="AO501" s="83" t="n">
        <v>2.419734</v>
      </c>
      <c r="AQ501" s="83" t="n">
        <v>21.12787</v>
      </c>
      <c r="AR501" s="83" t="n">
        <v>16.28013</v>
      </c>
      <c r="AS501" s="83" t="n">
        <v>29.05094</v>
      </c>
      <c r="AT501" s="83" t="n">
        <v>2.504953</v>
      </c>
      <c r="AZ501" s="83" t="n">
        <v>23.58144</v>
      </c>
      <c r="BA501" s="83" t="n">
        <v>0.01200948</v>
      </c>
      <c r="BB501" s="83" t="n">
        <v>27.88067</v>
      </c>
      <c r="BC501" s="83" t="n">
        <v>6.173661</v>
      </c>
      <c r="BD501" s="83" t="n">
        <v>17.4857</v>
      </c>
    </row>
    <row r="502">
      <c r="A502" s="83" t="inlineStr">
        <is>
          <t>1993-01</t>
        </is>
      </c>
      <c r="B502" s="22" t="n">
        <v>33970</v>
      </c>
      <c r="C502" s="22" t="n"/>
      <c r="D502" s="22" t="n"/>
      <c r="E502" s="22" t="n">
        <v>33482</v>
      </c>
      <c r="F502" s="83" t="inlineStr">
        <is>
          <t>1991-09</t>
        </is>
      </c>
      <c r="G502" s="83" t="n">
        <v>12.9079</v>
      </c>
      <c r="J502" s="83" t="n">
        <v>22.47344</v>
      </c>
      <c r="K502" s="83" t="n">
        <v>38.33513</v>
      </c>
      <c r="L502" s="83" t="n">
        <v>4.538535</v>
      </c>
      <c r="M502" s="83" t="n">
        <v>1.40165</v>
      </c>
      <c r="N502" s="83" t="n">
        <v>1.875208</v>
      </c>
      <c r="P502" s="83" t="n">
        <v>15.15517</v>
      </c>
      <c r="R502" s="83" t="n">
        <v>24.15785</v>
      </c>
      <c r="S502" s="83" t="n">
        <v>28.62026</v>
      </c>
      <c r="AA502" s="83" t="n">
        <v>20.08502</v>
      </c>
      <c r="AC502" s="83" t="n">
        <v>6.266993</v>
      </c>
      <c r="AD502" s="83" t="n">
        <v>2.114997</v>
      </c>
      <c r="AE502" s="83" t="n">
        <v>2.631315</v>
      </c>
      <c r="AG502" s="83" t="n">
        <v>8.287991</v>
      </c>
      <c r="AH502" s="83" t="n">
        <v>3.876416</v>
      </c>
      <c r="AJ502" s="83" t="n">
        <v>63.50146</v>
      </c>
      <c r="AK502" s="83" t="n">
        <v>7.814988</v>
      </c>
      <c r="AO502" s="83" t="n">
        <v>2.442573</v>
      </c>
      <c r="AQ502" s="83" t="n">
        <v>21.83629</v>
      </c>
      <c r="AR502" s="83" t="n">
        <v>16.37032</v>
      </c>
      <c r="AS502" s="83" t="n">
        <v>29.767</v>
      </c>
      <c r="AT502" s="83" t="n">
        <v>2.581065</v>
      </c>
      <c r="AZ502" s="83" t="n">
        <v>23.65626</v>
      </c>
      <c r="BA502" s="83" t="n">
        <v>0.01281189</v>
      </c>
      <c r="BB502" s="83" t="n">
        <v>27.87984</v>
      </c>
      <c r="BC502" s="83" t="n">
        <v>6.224445</v>
      </c>
      <c r="BD502" s="83" t="n">
        <v>17.52026</v>
      </c>
    </row>
    <row r="503">
      <c r="A503" s="83" t="inlineStr">
        <is>
          <t>1993-02</t>
        </is>
      </c>
      <c r="B503" s="22" t="n">
        <v>34001</v>
      </c>
      <c r="C503" s="22" t="n"/>
      <c r="D503" s="22" t="n"/>
      <c r="E503" s="22" t="n">
        <v>33512</v>
      </c>
      <c r="F503" s="83" t="inlineStr">
        <is>
          <t>1991-10</t>
        </is>
      </c>
      <c r="G503" s="83" t="n">
        <v>12.93311</v>
      </c>
      <c r="J503" s="83" t="n">
        <v>22.6356</v>
      </c>
      <c r="K503" s="83" t="n">
        <v>38.43585</v>
      </c>
      <c r="L503" s="83" t="n">
        <v>4.671726</v>
      </c>
      <c r="M503" s="83" t="n">
        <v>1.424415</v>
      </c>
      <c r="N503" s="83" t="n">
        <v>1.975306</v>
      </c>
      <c r="P503" s="83" t="n">
        <v>15.47758</v>
      </c>
      <c r="R503" s="83" t="n">
        <v>24.2994</v>
      </c>
      <c r="S503" s="83" t="n">
        <v>28.77878</v>
      </c>
      <c r="AA503" s="83" t="n">
        <v>20.11431</v>
      </c>
      <c r="AC503" s="83" t="n">
        <v>6.415822</v>
      </c>
      <c r="AD503" s="83" t="n">
        <v>2.149671</v>
      </c>
      <c r="AE503" s="83" t="n">
        <v>2.680513</v>
      </c>
      <c r="AG503" s="83" t="n">
        <v>8.353813000000001</v>
      </c>
      <c r="AH503" s="83" t="n">
        <v>3.871948</v>
      </c>
      <c r="AJ503" s="83" t="n">
        <v>63.64052</v>
      </c>
      <c r="AK503" s="83" t="n">
        <v>7.899872</v>
      </c>
      <c r="AO503" s="83" t="n">
        <v>2.482954</v>
      </c>
      <c r="AQ503" s="83" t="n">
        <v>22.32757</v>
      </c>
      <c r="AR503" s="83" t="n">
        <v>16.48228</v>
      </c>
      <c r="AS503" s="83" t="n">
        <v>30.27245</v>
      </c>
      <c r="AT503" s="83" t="n">
        <v>2.650165</v>
      </c>
      <c r="AZ503" s="83" t="n">
        <v>23.82929</v>
      </c>
      <c r="BA503" s="83" t="n">
        <v>0.01367489</v>
      </c>
      <c r="BB503" s="83" t="n">
        <v>27.92306</v>
      </c>
      <c r="BC503" s="83" t="n">
        <v>6.251044</v>
      </c>
      <c r="BD503" s="83" t="n">
        <v>17.72756</v>
      </c>
    </row>
    <row r="504">
      <c r="A504" s="83" t="inlineStr">
        <is>
          <t>1993-03</t>
        </is>
      </c>
      <c r="B504" s="22" t="n">
        <v>34029</v>
      </c>
      <c r="C504" s="22" t="n"/>
      <c r="D504" s="22" t="n"/>
      <c r="E504" s="22" t="n">
        <v>33543</v>
      </c>
      <c r="F504" s="83" t="inlineStr">
        <is>
          <t>1991-11</t>
        </is>
      </c>
      <c r="G504" s="83" t="n">
        <v>12.9107</v>
      </c>
      <c r="J504" s="83" t="n">
        <v>22.70545</v>
      </c>
      <c r="K504" s="83" t="n">
        <v>38.4815</v>
      </c>
      <c r="L504" s="83" t="n">
        <v>4.80686</v>
      </c>
      <c r="M504" s="83" t="n">
        <v>1.447612</v>
      </c>
      <c r="N504" s="83" t="n">
        <v>2.068149</v>
      </c>
      <c r="P504" s="83" t="n">
        <v>15.8</v>
      </c>
      <c r="R504" s="83" t="n">
        <v>24.51388</v>
      </c>
      <c r="S504" s="83" t="n">
        <v>29.00022</v>
      </c>
      <c r="AA504" s="83" t="n">
        <v>20.13505</v>
      </c>
      <c r="AC504" s="83" t="n">
        <v>6.608044</v>
      </c>
      <c r="AD504" s="83" t="n">
        <v>2.17834</v>
      </c>
      <c r="AE504" s="83" t="n">
        <v>2.743272</v>
      </c>
      <c r="AG504" s="83" t="n">
        <v>8.412444000000001</v>
      </c>
      <c r="AH504" s="83" t="n">
        <v>4.015701</v>
      </c>
      <c r="AJ504" s="83" t="n">
        <v>63.61598</v>
      </c>
      <c r="AK504" s="83" t="n">
        <v>8.035803</v>
      </c>
      <c r="AO504" s="83" t="n">
        <v>2.561093</v>
      </c>
      <c r="AQ504" s="83" t="n">
        <v>22.29456</v>
      </c>
      <c r="AR504" s="83" t="n">
        <v>16.58681</v>
      </c>
      <c r="AS504" s="83" t="n">
        <v>30.50873</v>
      </c>
      <c r="AT504" s="83" t="n">
        <v>2.709859</v>
      </c>
      <c r="AZ504" s="83" t="n">
        <v>23.83768</v>
      </c>
      <c r="BA504" s="83" t="n">
        <v>0.01443985</v>
      </c>
      <c r="BB504" s="83" t="n">
        <v>27.96793</v>
      </c>
      <c r="BC504" s="83" t="n">
        <v>6.326346</v>
      </c>
      <c r="BD504" s="83" t="n">
        <v>17.82046</v>
      </c>
    </row>
    <row r="505">
      <c r="A505" s="83" t="inlineStr">
        <is>
          <t>1993-04</t>
        </is>
      </c>
      <c r="B505" s="22" t="n">
        <v>34060</v>
      </c>
      <c r="C505" s="22" t="n"/>
      <c r="D505" s="22" t="n"/>
      <c r="E505" s="22" t="n">
        <v>33573</v>
      </c>
      <c r="F505" s="83" t="inlineStr">
        <is>
          <t>1991-12</t>
        </is>
      </c>
      <c r="G505" s="83" t="n">
        <v>12.94152</v>
      </c>
      <c r="J505" s="83" t="n">
        <v>22.81406</v>
      </c>
      <c r="K505" s="83" t="n">
        <v>38.65637</v>
      </c>
      <c r="L505" s="83" t="n">
        <v>4.933028</v>
      </c>
      <c r="M505" s="83" t="n">
        <v>1.478785</v>
      </c>
      <c r="N505" s="83" t="n">
        <v>2.148947</v>
      </c>
      <c r="P505" s="83" t="n">
        <v>16.22708</v>
      </c>
      <c r="R505" s="83" t="n">
        <v>24.31369</v>
      </c>
      <c r="S505" s="83" t="n">
        <v>29.69997</v>
      </c>
      <c r="AA505" s="83" t="n">
        <v>20.18342</v>
      </c>
      <c r="AC505" s="83" t="n">
        <v>6.923194</v>
      </c>
      <c r="AD505" s="83" t="n">
        <v>2.204942</v>
      </c>
      <c r="AE505" s="83" t="n">
        <v>2.792468</v>
      </c>
      <c r="AG505" s="83" t="n">
        <v>8.500567</v>
      </c>
      <c r="AH505" s="83" t="n">
        <v>4.476696</v>
      </c>
      <c r="AJ505" s="83" t="n">
        <v>63.61598</v>
      </c>
      <c r="AK505" s="83" t="n">
        <v>8.243186</v>
      </c>
      <c r="AO505" s="83" t="n">
        <v>2.593085</v>
      </c>
      <c r="AQ505" s="83" t="n">
        <v>22.62472</v>
      </c>
      <c r="AR505" s="83" t="n">
        <v>16.68785</v>
      </c>
      <c r="AS505" s="83" t="n">
        <v>30.54958</v>
      </c>
      <c r="AT505" s="83" t="n">
        <v>2.59394</v>
      </c>
      <c r="AZ505" s="83" t="n">
        <v>23.77412</v>
      </c>
      <c r="BA505" s="83" t="n">
        <v>0.01517167</v>
      </c>
      <c r="BB505" s="83" t="n">
        <v>28.02361</v>
      </c>
      <c r="BC505" s="83" t="n">
        <v>6.3644</v>
      </c>
      <c r="BD505" s="83" t="n">
        <v>17.90046</v>
      </c>
    </row>
    <row r="506">
      <c r="A506" s="83" t="inlineStr">
        <is>
          <t>1993-05</t>
        </is>
      </c>
      <c r="B506" s="22" t="n">
        <v>34090</v>
      </c>
      <c r="C506" s="22" t="n"/>
      <c r="D506" s="22" t="n"/>
      <c r="E506" s="22" t="n">
        <v>33604</v>
      </c>
      <c r="F506" s="83" t="inlineStr">
        <is>
          <t>1992-01</t>
        </is>
      </c>
      <c r="G506" s="83" t="n">
        <v>12.98915</v>
      </c>
      <c r="J506" s="83" t="n">
        <v>22.90912</v>
      </c>
      <c r="K506" s="83" t="n">
        <v>38.66642</v>
      </c>
      <c r="L506" s="83" t="n">
        <v>5.056484</v>
      </c>
      <c r="M506" s="83" t="n">
        <v>1.512678</v>
      </c>
      <c r="N506" s="83" t="n">
        <v>2.232512</v>
      </c>
      <c r="P506" s="83" t="n">
        <v>13.80709</v>
      </c>
      <c r="R506" s="83" t="n">
        <v>24.75193</v>
      </c>
      <c r="S506" s="83" t="n">
        <v>29.96666</v>
      </c>
      <c r="AA506" s="83" t="n">
        <v>20.29461</v>
      </c>
      <c r="AC506" s="83" t="n">
        <v>7.224833</v>
      </c>
      <c r="AD506" s="83" t="n">
        <v>2.239434</v>
      </c>
      <c r="AE506" s="83" t="n">
        <v>2.831384</v>
      </c>
      <c r="AG506" s="83" t="n">
        <v>8.575295000000001</v>
      </c>
      <c r="AH506" s="83" t="n">
        <v>4.966001</v>
      </c>
      <c r="AJ506" s="83" t="n">
        <v>63.62416</v>
      </c>
      <c r="AK506" s="83" t="n">
        <v>8.366213</v>
      </c>
      <c r="AO506" s="83" t="n">
        <v>2.599951</v>
      </c>
      <c r="AQ506" s="83" t="n">
        <v>22.76298</v>
      </c>
      <c r="AR506" s="83" t="n">
        <v>16.79748</v>
      </c>
      <c r="AS506" s="83" t="n">
        <v>30.19955</v>
      </c>
      <c r="AT506" s="83" t="n">
        <v>2.532147</v>
      </c>
      <c r="AZ506" s="83" t="n">
        <v>23.55983</v>
      </c>
      <c r="BA506" s="83" t="n">
        <v>0.01598432</v>
      </c>
      <c r="BB506" s="83" t="n">
        <v>28.0984</v>
      </c>
      <c r="BC506" s="83" t="n">
        <v>6.395913</v>
      </c>
      <c r="BD506" s="83" t="n">
        <v>18.21936</v>
      </c>
    </row>
    <row r="507">
      <c r="A507" s="83" t="inlineStr">
        <is>
          <t>1993-06</t>
        </is>
      </c>
      <c r="B507" s="22" t="n">
        <v>34121</v>
      </c>
      <c r="C507" s="22" t="n"/>
      <c r="D507" s="22" t="n"/>
      <c r="E507" s="22" t="n">
        <v>33635</v>
      </c>
      <c r="F507" s="83" t="inlineStr">
        <is>
          <t>1992-02</t>
        </is>
      </c>
      <c r="G507" s="83" t="n">
        <v>13.01997</v>
      </c>
      <c r="J507" s="83" t="n">
        <v>23.01986</v>
      </c>
      <c r="K507" s="83" t="n">
        <v>38.53617</v>
      </c>
      <c r="L507" s="83" t="n">
        <v>5.200384</v>
      </c>
      <c r="M507" s="83" t="n">
        <v>1.547107</v>
      </c>
      <c r="N507" s="83" t="n">
        <v>2.306984</v>
      </c>
      <c r="P507" s="83" t="n">
        <v>14.28967</v>
      </c>
      <c r="R507" s="83" t="n">
        <v>25.58785</v>
      </c>
      <c r="S507" s="83" t="n">
        <v>29.74235</v>
      </c>
      <c r="AA507" s="83" t="n">
        <v>20.41515</v>
      </c>
      <c r="AC507" s="83" t="n">
        <v>7.372275</v>
      </c>
      <c r="AD507" s="83" t="n">
        <v>2.263876</v>
      </c>
      <c r="AE507" s="83" t="n">
        <v>2.877242</v>
      </c>
      <c r="AG507" s="83" t="n">
        <v>8.598919</v>
      </c>
      <c r="AH507" s="83" t="n">
        <v>5.217452</v>
      </c>
      <c r="AJ507" s="83" t="n">
        <v>63.54236</v>
      </c>
      <c r="AK507" s="83" t="n">
        <v>8.474778000000001</v>
      </c>
      <c r="AO507" s="83" t="n">
        <v>2.635613</v>
      </c>
      <c r="AQ507" s="83" t="n">
        <v>22.86904</v>
      </c>
      <c r="AR507" s="83" t="n">
        <v>16.9101</v>
      </c>
      <c r="AS507" s="83" t="n">
        <v>30.07585</v>
      </c>
      <c r="AT507" s="83" t="n">
        <v>2.696351</v>
      </c>
      <c r="AZ507" s="83" t="n">
        <v>23.38128</v>
      </c>
      <c r="BA507" s="83" t="n">
        <v>0.01684528</v>
      </c>
      <c r="BB507" s="83" t="n">
        <v>28.25463</v>
      </c>
      <c r="BC507" s="83" t="n">
        <v>6.525148</v>
      </c>
      <c r="BD507" s="83" t="n">
        <v>18.5097</v>
      </c>
    </row>
    <row r="508">
      <c r="A508" s="83" t="inlineStr">
        <is>
          <t>1993-07</t>
        </is>
      </c>
      <c r="B508" s="22" t="n">
        <v>34151</v>
      </c>
      <c r="C508" s="22" t="n"/>
      <c r="D508" s="22" t="n"/>
      <c r="E508" s="22" t="n">
        <v>33664</v>
      </c>
      <c r="F508" s="83" t="inlineStr">
        <is>
          <t>1992-03</t>
        </is>
      </c>
      <c r="G508" s="83" t="n">
        <v>13.00876</v>
      </c>
      <c r="J508" s="83" t="n">
        <v>23.20239</v>
      </c>
      <c r="K508" s="83" t="n">
        <v>38.56611</v>
      </c>
      <c r="L508" s="83" t="n">
        <v>5.316297</v>
      </c>
      <c r="M508" s="83" t="n">
        <v>1.577881</v>
      </c>
      <c r="N508" s="83" t="n">
        <v>2.385778</v>
      </c>
      <c r="P508" s="83" t="n">
        <v>14.45835</v>
      </c>
      <c r="R508" s="83" t="n">
        <v>25.73087</v>
      </c>
      <c r="S508" s="83" t="n">
        <v>29.861</v>
      </c>
      <c r="AA508" s="83" t="n">
        <v>20.49091</v>
      </c>
      <c r="AC508" s="83" t="n">
        <v>7.508822</v>
      </c>
      <c r="AD508" s="83" t="n">
        <v>2.305664</v>
      </c>
      <c r="AE508" s="83" t="n">
        <v>2.916583</v>
      </c>
      <c r="AG508" s="83" t="n">
        <v>8.602059000000001</v>
      </c>
      <c r="AH508" s="83" t="n">
        <v>5.372983</v>
      </c>
      <c r="AJ508" s="83" t="n">
        <v>63.7305</v>
      </c>
      <c r="AK508" s="83" t="n">
        <v>8.624682</v>
      </c>
      <c r="AO508" s="83" t="n">
        <v>2.670815</v>
      </c>
      <c r="AQ508" s="83" t="n">
        <v>22.80292</v>
      </c>
      <c r="AR508" s="83" t="n">
        <v>17.00002</v>
      </c>
      <c r="AS508" s="83" t="n">
        <v>30.2991</v>
      </c>
      <c r="AT508" s="83" t="n">
        <v>2.820824</v>
      </c>
      <c r="AZ508" s="83" t="n">
        <v>23.4768</v>
      </c>
      <c r="BA508" s="83" t="n">
        <v>0.01784804</v>
      </c>
      <c r="BB508" s="83" t="n">
        <v>28.28704</v>
      </c>
      <c r="BC508" s="83" t="n">
        <v>6.534084</v>
      </c>
      <c r="BD508" s="83" t="n">
        <v>18.82857</v>
      </c>
    </row>
    <row r="509">
      <c r="A509" s="83" t="inlineStr">
        <is>
          <t>1993-08</t>
        </is>
      </c>
      <c r="B509" s="22" t="n">
        <v>34182</v>
      </c>
      <c r="C509" s="22" t="n"/>
      <c r="D509" s="22" t="n"/>
      <c r="E509" s="22" t="n">
        <v>33695</v>
      </c>
      <c r="F509" s="83" t="inlineStr">
        <is>
          <t>1992-04</t>
        </is>
      </c>
      <c r="G509" s="83" t="n">
        <v>13.03117</v>
      </c>
      <c r="J509" s="83" t="n">
        <v>23.21014</v>
      </c>
      <c r="K509" s="83" t="n">
        <v>38.68985</v>
      </c>
      <c r="L509" s="83" t="n">
        <v>5.422208</v>
      </c>
      <c r="M509" s="83" t="n">
        <v>1.622136</v>
      </c>
      <c r="N509" s="83" t="n">
        <v>2.470984</v>
      </c>
      <c r="P509" s="83" t="n">
        <v>14.50382</v>
      </c>
      <c r="R509" s="83" t="n">
        <v>25.86659</v>
      </c>
      <c r="S509" s="83" t="n">
        <v>30.09694</v>
      </c>
      <c r="AA509" s="83" t="n">
        <v>20.53939</v>
      </c>
      <c r="AC509" s="83" t="n">
        <v>7.758142</v>
      </c>
      <c r="AD509" s="83" t="n">
        <v>2.370161</v>
      </c>
      <c r="AE509" s="83" t="n">
        <v>2.947616</v>
      </c>
      <c r="AG509" s="83" t="n">
        <v>8.637072</v>
      </c>
      <c r="AH509" s="83" t="n">
        <v>5.531381</v>
      </c>
      <c r="AJ509" s="83" t="n">
        <v>63.61598</v>
      </c>
      <c r="AK509" s="83" t="n">
        <v>8.778430999999999</v>
      </c>
      <c r="AO509" s="83" t="n">
        <v>2.701557</v>
      </c>
      <c r="AQ509" s="83" t="n">
        <v>22.74905</v>
      </c>
      <c r="AR509" s="83" t="n">
        <v>17.04989</v>
      </c>
      <c r="AS509" s="83" t="n">
        <v>30.43236</v>
      </c>
      <c r="AT509" s="83" t="n">
        <v>2.917038</v>
      </c>
      <c r="AZ509" s="83" t="n">
        <v>23.6404</v>
      </c>
      <c r="BA509" s="83" t="n">
        <v>0.01884715</v>
      </c>
      <c r="BB509" s="83" t="n">
        <v>28.25214</v>
      </c>
      <c r="BC509" s="83" t="n">
        <v>6.57852</v>
      </c>
      <c r="BD509" s="83" t="n">
        <v>18.95553</v>
      </c>
    </row>
    <row r="510">
      <c r="A510" s="83" t="inlineStr">
        <is>
          <t>1993-09</t>
        </is>
      </c>
      <c r="B510" s="22" t="n">
        <v>34213</v>
      </c>
      <c r="C510" s="22" t="n"/>
      <c r="D510" s="22" t="n"/>
      <c r="E510" s="22" t="n">
        <v>33725</v>
      </c>
      <c r="F510" s="83" t="inlineStr">
        <is>
          <t>1992-05</t>
        </is>
      </c>
      <c r="G510" s="83" t="n">
        <v>13.12083</v>
      </c>
      <c r="J510" s="83" t="n">
        <v>23.24876</v>
      </c>
      <c r="K510" s="83" t="n">
        <v>38.92315</v>
      </c>
      <c r="L510" s="83" t="n">
        <v>5.534326</v>
      </c>
      <c r="M510" s="83" t="n">
        <v>1.669094</v>
      </c>
      <c r="N510" s="83" t="n">
        <v>2.537199</v>
      </c>
      <c r="P510" s="83" t="n">
        <v>14.69451</v>
      </c>
      <c r="R510" s="83" t="n">
        <v>26.031</v>
      </c>
      <c r="S510" s="83" t="n">
        <v>30.37684</v>
      </c>
      <c r="AA510" s="83" t="n">
        <v>20.50239</v>
      </c>
      <c r="AC510" s="83" t="n">
        <v>7.951969</v>
      </c>
      <c r="AD510" s="83" t="n">
        <v>2.439597</v>
      </c>
      <c r="AE510" s="83" t="n">
        <v>2.993605</v>
      </c>
      <c r="AG510" s="83" t="n">
        <v>8.687632000000001</v>
      </c>
      <c r="AH510" s="83" t="n">
        <v>5.627271</v>
      </c>
      <c r="AJ510" s="83" t="n">
        <v>63.45238</v>
      </c>
      <c r="AK510" s="83" t="n">
        <v>8.910647000000001</v>
      </c>
      <c r="AO510" s="83" t="n">
        <v>2.745855</v>
      </c>
      <c r="AQ510" s="83" t="n">
        <v>23.04223</v>
      </c>
      <c r="AR510" s="83" t="n">
        <v>17.10954</v>
      </c>
      <c r="AS510" s="83" t="n">
        <v>30.7571</v>
      </c>
      <c r="AT510" s="83" t="n">
        <v>3.008138</v>
      </c>
      <c r="AZ510" s="83" t="n">
        <v>23.74101</v>
      </c>
      <c r="BA510" s="83" t="n">
        <v>0.01987605</v>
      </c>
      <c r="BB510" s="83" t="n">
        <v>28.243</v>
      </c>
      <c r="BC510" s="83" t="n">
        <v>6.6182</v>
      </c>
      <c r="BD510" s="83" t="n">
        <v>18.83998</v>
      </c>
    </row>
    <row r="511">
      <c r="A511" s="83" t="inlineStr">
        <is>
          <t>1993-10</t>
        </is>
      </c>
      <c r="B511" s="22" t="n">
        <v>34243</v>
      </c>
      <c r="C511" s="22" t="n"/>
      <c r="D511" s="22" t="n"/>
      <c r="E511" s="22" t="n">
        <v>33756</v>
      </c>
      <c r="F511" s="83" t="inlineStr">
        <is>
          <t>1992-06</t>
        </is>
      </c>
      <c r="G511" s="83" t="n">
        <v>13.16006</v>
      </c>
      <c r="J511" s="83" t="n">
        <v>23.3764</v>
      </c>
      <c r="K511" s="83" t="n">
        <v>39.03709</v>
      </c>
      <c r="L511" s="83" t="n">
        <v>5.667751</v>
      </c>
      <c r="M511" s="83" t="n">
        <v>1.703734</v>
      </c>
      <c r="N511" s="83" t="n">
        <v>2.613029</v>
      </c>
      <c r="P511" s="83" t="n">
        <v>14.85439</v>
      </c>
      <c r="R511" s="83" t="n">
        <v>26.06194</v>
      </c>
      <c r="S511" s="83" t="n">
        <v>30.59925</v>
      </c>
      <c r="AA511" s="83" t="n">
        <v>20.50648</v>
      </c>
      <c r="AC511" s="83" t="n">
        <v>8.11834</v>
      </c>
      <c r="AD511" s="83" t="n">
        <v>2.483678</v>
      </c>
      <c r="AE511" s="83" t="n">
        <v>3.044239</v>
      </c>
      <c r="AG511" s="83" t="n">
        <v>8.666492</v>
      </c>
      <c r="AH511" s="83" t="n">
        <v>5.656137</v>
      </c>
      <c r="AJ511" s="83" t="n">
        <v>63.526</v>
      </c>
      <c r="AK511" s="83" t="n">
        <v>9.041857</v>
      </c>
      <c r="AO511" s="83" t="n">
        <v>2.775203</v>
      </c>
      <c r="AQ511" s="83" t="n">
        <v>23.17638</v>
      </c>
      <c r="AR511" s="83" t="n">
        <v>17.16854</v>
      </c>
      <c r="AS511" s="83" t="n">
        <v>31.11116</v>
      </c>
      <c r="AT511" s="83" t="n">
        <v>3.102586</v>
      </c>
      <c r="AZ511" s="83" t="n">
        <v>23.77963</v>
      </c>
      <c r="BA511" s="83" t="n">
        <v>0.02102138</v>
      </c>
      <c r="BB511" s="83" t="n">
        <v>28.19979</v>
      </c>
      <c r="BC511" s="83" t="n">
        <v>6.589136</v>
      </c>
      <c r="BD511" s="83" t="n">
        <v>18.70082</v>
      </c>
    </row>
    <row r="512">
      <c r="A512" s="83" t="inlineStr">
        <is>
          <t>1993-11</t>
        </is>
      </c>
      <c r="B512" s="22" t="n">
        <v>34274</v>
      </c>
      <c r="C512" s="22" t="n"/>
      <c r="D512" s="22" t="n"/>
      <c r="E512" s="22" t="n">
        <v>33786</v>
      </c>
      <c r="F512" s="83" t="inlineStr">
        <is>
          <t>1992-07</t>
        </is>
      </c>
      <c r="G512" s="83" t="n">
        <v>13.21609</v>
      </c>
      <c r="J512" s="83" t="n">
        <v>23.54596</v>
      </c>
      <c r="K512" s="83" t="n">
        <v>39.05744</v>
      </c>
      <c r="L512" s="83" t="n">
        <v>5.819061</v>
      </c>
      <c r="M512" s="83" t="n">
        <v>1.736459</v>
      </c>
      <c r="N512" s="83" t="n">
        <v>2.668515</v>
      </c>
      <c r="P512" s="83" t="n">
        <v>15.27683</v>
      </c>
      <c r="R512" s="83" t="n">
        <v>26.04585</v>
      </c>
      <c r="S512" s="83" t="n">
        <v>30.72778</v>
      </c>
      <c r="AA512" s="83" t="n">
        <v>20.5871</v>
      </c>
      <c r="AC512" s="83" t="n">
        <v>8.324648</v>
      </c>
      <c r="AD512" s="83" t="n">
        <v>2.503967</v>
      </c>
      <c r="AE512" s="83" t="n">
        <v>3.087719</v>
      </c>
      <c r="AG512" s="83" t="n">
        <v>8.76732</v>
      </c>
      <c r="AH512" s="83" t="n">
        <v>5.726929</v>
      </c>
      <c r="AJ512" s="83" t="n">
        <v>63.4033</v>
      </c>
      <c r="AK512" s="83" t="n">
        <v>9.174115</v>
      </c>
      <c r="AO512" s="83" t="n">
        <v>2.834255</v>
      </c>
      <c r="AQ512" s="83" t="n">
        <v>23.3115</v>
      </c>
      <c r="AR512" s="83" t="n">
        <v>17.24636</v>
      </c>
      <c r="AS512" s="83" t="n">
        <v>31.4787</v>
      </c>
      <c r="AT512" s="83" t="n">
        <v>3.213878</v>
      </c>
      <c r="AZ512" s="83" t="n">
        <v>23.73722</v>
      </c>
      <c r="BA512" s="83" t="n">
        <v>0.02209267</v>
      </c>
      <c r="BB512" s="83" t="n">
        <v>28.20394</v>
      </c>
      <c r="BC512" s="83" t="n">
        <v>6.68287</v>
      </c>
      <c r="BD512" s="83" t="n">
        <v>18.68005</v>
      </c>
    </row>
    <row r="513">
      <c r="A513" s="83" t="inlineStr">
        <is>
          <t>1993-12</t>
        </is>
      </c>
      <c r="B513" s="22" t="n">
        <v>34304</v>
      </c>
      <c r="C513" s="22" t="n"/>
      <c r="D513" s="22" t="n"/>
      <c r="E513" s="22" t="n">
        <v>33817</v>
      </c>
      <c r="F513" s="83" t="inlineStr">
        <is>
          <t>1992-08</t>
        </is>
      </c>
      <c r="G513" s="83" t="n">
        <v>13.32536</v>
      </c>
      <c r="J513" s="83" t="n">
        <v>23.6405</v>
      </c>
      <c r="K513" s="83" t="n">
        <v>39.07546</v>
      </c>
      <c r="L513" s="83" t="n">
        <v>5.934134</v>
      </c>
      <c r="M513" s="83" t="n">
        <v>1.771986</v>
      </c>
      <c r="N513" s="83" t="n">
        <v>2.682822</v>
      </c>
      <c r="P513" s="83" t="n">
        <v>15.94716</v>
      </c>
      <c r="R513" s="83" t="n">
        <v>26.19967</v>
      </c>
      <c r="S513" s="83" t="n">
        <v>30.76137</v>
      </c>
      <c r="AA513" s="83" t="n">
        <v>20.61311</v>
      </c>
      <c r="AC513" s="83" t="n">
        <v>8.517340000000001</v>
      </c>
      <c r="AD513" s="83" t="n">
        <v>2.5298</v>
      </c>
      <c r="AE513" s="83" t="n">
        <v>3.125258</v>
      </c>
      <c r="AG513" s="83" t="n">
        <v>8.794103</v>
      </c>
      <c r="AH513" s="83" t="n">
        <v>5.803829</v>
      </c>
      <c r="AJ513" s="83" t="n">
        <v>63.42784</v>
      </c>
      <c r="AK513" s="83" t="n">
        <v>9.311157</v>
      </c>
      <c r="AO513" s="83" t="n">
        <v>2.877285</v>
      </c>
      <c r="AQ513" s="83" t="n">
        <v>23.54208</v>
      </c>
      <c r="AR513" s="83" t="n">
        <v>17.33581</v>
      </c>
      <c r="AS513" s="83" t="n">
        <v>31.79176</v>
      </c>
      <c r="AT513" s="83" t="n">
        <v>3.300713</v>
      </c>
      <c r="AZ513" s="83" t="n">
        <v>23.71776</v>
      </c>
      <c r="BA513" s="83" t="n">
        <v>0.02323866</v>
      </c>
      <c r="BB513" s="83" t="n">
        <v>28.24466</v>
      </c>
      <c r="BC513" s="83" t="n">
        <v>6.740597</v>
      </c>
      <c r="BD513" s="83" t="n">
        <v>18.76402</v>
      </c>
    </row>
    <row r="514">
      <c r="A514" s="83" t="inlineStr">
        <is>
          <t>1994-01</t>
        </is>
      </c>
      <c r="B514" s="22" t="n">
        <v>34335</v>
      </c>
      <c r="C514" s="22" t="n"/>
      <c r="D514" s="22" t="n"/>
      <c r="E514" s="22" t="n">
        <v>33848</v>
      </c>
      <c r="F514" s="83" t="inlineStr">
        <is>
          <t>1992-09</t>
        </is>
      </c>
      <c r="G514" s="83" t="n">
        <v>13.3814</v>
      </c>
      <c r="J514" s="83" t="n">
        <v>23.72203</v>
      </c>
      <c r="K514" s="83" t="n">
        <v>39.16491</v>
      </c>
      <c r="L514" s="83" t="n">
        <v>6.021388</v>
      </c>
      <c r="M514" s="83" t="n">
        <v>1.811641</v>
      </c>
      <c r="N514" s="83" t="n">
        <v>2.737974</v>
      </c>
      <c r="P514" s="83" t="n">
        <v>16.15252</v>
      </c>
      <c r="R514" s="83" t="n">
        <v>26.22879</v>
      </c>
      <c r="S514" s="83" t="n">
        <v>30.96744</v>
      </c>
      <c r="AA514" s="83" t="n">
        <v>20.6982</v>
      </c>
      <c r="AC514" s="83" t="n">
        <v>8.685425</v>
      </c>
      <c r="AD514" s="83" t="n">
        <v>2.566596</v>
      </c>
      <c r="AE514" s="83" t="n">
        <v>3.144758</v>
      </c>
      <c r="AG514" s="83" t="n">
        <v>8.722004</v>
      </c>
      <c r="AH514" s="83" t="n">
        <v>6.018304</v>
      </c>
      <c r="AJ514" s="83" t="n">
        <v>63.3215</v>
      </c>
      <c r="AK514" s="83" t="n">
        <v>9.492910999999999</v>
      </c>
      <c r="AO514" s="83" t="n">
        <v>2.899365</v>
      </c>
      <c r="AQ514" s="83" t="n">
        <v>23.65923</v>
      </c>
      <c r="AR514" s="83" t="n">
        <v>17.42443</v>
      </c>
      <c r="AS514" s="83" t="n">
        <v>31.94034</v>
      </c>
      <c r="AT514" s="83" t="n">
        <v>3.398825</v>
      </c>
      <c r="AZ514" s="83" t="n">
        <v>23.26823</v>
      </c>
      <c r="BA514" s="83" t="n">
        <v>0.02439806</v>
      </c>
      <c r="BB514" s="83" t="n">
        <v>28.34023</v>
      </c>
      <c r="BC514" s="83" t="n">
        <v>6.778983</v>
      </c>
      <c r="BD514" s="83" t="n">
        <v>18.82891</v>
      </c>
    </row>
    <row r="515">
      <c r="A515" s="83" t="inlineStr">
        <is>
          <t>1994-02</t>
        </is>
      </c>
      <c r="B515" s="22" t="n">
        <v>34366</v>
      </c>
      <c r="C515" s="22" t="n"/>
      <c r="D515" s="22" t="n"/>
      <c r="E515" s="22" t="n">
        <v>33878</v>
      </c>
      <c r="F515" s="83" t="inlineStr">
        <is>
          <t>1992-10</t>
        </is>
      </c>
      <c r="G515" s="83" t="n">
        <v>13.3786</v>
      </c>
      <c r="J515" s="83" t="n">
        <v>23.86336</v>
      </c>
      <c r="K515" s="83" t="n">
        <v>39.14379</v>
      </c>
      <c r="L515" s="83" t="n">
        <v>6.115942</v>
      </c>
      <c r="M515" s="83" t="n">
        <v>1.854434</v>
      </c>
      <c r="N515" s="83" t="n">
        <v>2.826669</v>
      </c>
      <c r="P515" s="83" t="n">
        <v>16.23906</v>
      </c>
      <c r="R515" s="83" t="n">
        <v>26.23431</v>
      </c>
      <c r="S515" s="83" t="n">
        <v>31.19611</v>
      </c>
      <c r="AA515" s="83" t="n">
        <v>20.91167</v>
      </c>
      <c r="AC515" s="83" t="n">
        <v>8.804592</v>
      </c>
      <c r="AD515" s="83" t="n">
        <v>2.618265</v>
      </c>
      <c r="AE515" s="83" t="n">
        <v>3.181611</v>
      </c>
      <c r="AG515" s="83" t="n">
        <v>8.752135000000001</v>
      </c>
      <c r="AH515" s="83" t="n">
        <v>6.089159</v>
      </c>
      <c r="AJ515" s="83" t="n">
        <v>63.37058</v>
      </c>
      <c r="AK515" s="83" t="n">
        <v>9.673721</v>
      </c>
      <c r="AO515" s="83" t="n">
        <v>2.960435</v>
      </c>
      <c r="AQ515" s="83" t="n">
        <v>23.7615</v>
      </c>
      <c r="AR515" s="83" t="n">
        <v>17.54078</v>
      </c>
      <c r="AS515" s="83" t="n">
        <v>32.1538</v>
      </c>
      <c r="AT515" s="83" t="n">
        <v>3.54469</v>
      </c>
      <c r="AZ515" s="83" t="n">
        <v>22.82112</v>
      </c>
      <c r="BA515" s="83" t="n">
        <v>0.02530736</v>
      </c>
      <c r="BB515" s="83" t="n">
        <v>28.45242</v>
      </c>
      <c r="BC515" s="83" t="n">
        <v>6.825378</v>
      </c>
      <c r="BD515" s="83" t="n">
        <v>18.91908</v>
      </c>
    </row>
    <row r="516">
      <c r="A516" s="83" t="inlineStr">
        <is>
          <t>1994-03</t>
        </is>
      </c>
      <c r="B516" s="22" t="n">
        <v>34394</v>
      </c>
      <c r="C516" s="22" t="n"/>
      <c r="D516" s="22" t="n"/>
      <c r="E516" s="22" t="n">
        <v>33909</v>
      </c>
      <c r="F516" s="83" t="inlineStr">
        <is>
          <t>1992-11</t>
        </is>
      </c>
      <c r="G516" s="83" t="n">
        <v>13.41502</v>
      </c>
      <c r="J516" s="83" t="n">
        <v>24.09832</v>
      </c>
      <c r="K516" s="83" t="n">
        <v>39.24086</v>
      </c>
      <c r="L516" s="83" t="n">
        <v>6.227587</v>
      </c>
      <c r="M516" s="83" t="n">
        <v>1.898727</v>
      </c>
      <c r="N516" s="83" t="n">
        <v>2.8952</v>
      </c>
      <c r="P516" s="83" t="n">
        <v>16.55736</v>
      </c>
      <c r="R516" s="83" t="n">
        <v>26.39144</v>
      </c>
      <c r="S516" s="83" t="n">
        <v>31.39835</v>
      </c>
      <c r="AA516" s="83" t="n">
        <v>21.02527</v>
      </c>
      <c r="AC516" s="83" t="n">
        <v>8.926295</v>
      </c>
      <c r="AD516" s="83" t="n">
        <v>2.674046</v>
      </c>
      <c r="AE516" s="83" t="n">
        <v>3.22471</v>
      </c>
      <c r="AG516" s="83" t="n">
        <v>8.777243</v>
      </c>
      <c r="AH516" s="83" t="n">
        <v>6.090273</v>
      </c>
      <c r="AJ516" s="83" t="n">
        <v>63.41148</v>
      </c>
      <c r="AK516" s="83" t="n">
        <v>9.840911999999999</v>
      </c>
      <c r="AO516" s="83" t="n">
        <v>3.021608</v>
      </c>
      <c r="AQ516" s="83" t="n">
        <v>23.90055</v>
      </c>
      <c r="AR516" s="83" t="n">
        <v>17.63719</v>
      </c>
      <c r="AS516" s="83" t="n">
        <v>32.34644</v>
      </c>
      <c r="AT516" s="83" t="n">
        <v>3.686244</v>
      </c>
      <c r="AZ516" s="83" t="n">
        <v>23.38539</v>
      </c>
      <c r="BA516" s="83" t="n">
        <v>0.02612054</v>
      </c>
      <c r="BB516" s="83" t="n">
        <v>28.47485</v>
      </c>
      <c r="BC516" s="83" t="n">
        <v>6.887897</v>
      </c>
      <c r="BD516" s="83" t="n">
        <v>19.08778</v>
      </c>
    </row>
    <row r="517">
      <c r="A517" s="83" t="inlineStr">
        <is>
          <t>1994-04</t>
        </is>
      </c>
      <c r="B517" s="22" t="n">
        <v>34425</v>
      </c>
      <c r="C517" s="22" t="n"/>
      <c r="D517" s="22" t="n"/>
      <c r="E517" s="22" t="n">
        <v>33939</v>
      </c>
      <c r="F517" s="83" t="inlineStr">
        <is>
          <t>1992-12</t>
        </is>
      </c>
      <c r="G517" s="83" t="n">
        <v>13.47666</v>
      </c>
      <c r="J517" s="83" t="n">
        <v>24.10555</v>
      </c>
      <c r="K517" s="83" t="n">
        <v>39.49576</v>
      </c>
      <c r="L517" s="83" t="n">
        <v>6.335655</v>
      </c>
      <c r="M517" s="83" t="n">
        <v>1.940652</v>
      </c>
      <c r="N517" s="83" t="n">
        <v>2.9874</v>
      </c>
      <c r="P517" s="83" t="n">
        <v>16.86099</v>
      </c>
      <c r="R517" s="83" t="n">
        <v>25.96051</v>
      </c>
      <c r="S517" s="83" t="n">
        <v>31.97977</v>
      </c>
      <c r="AA517" s="83" t="n">
        <v>20.98202</v>
      </c>
      <c r="AC517" s="83" t="n">
        <v>9.020199</v>
      </c>
      <c r="AD517" s="83" t="n">
        <v>2.690278</v>
      </c>
      <c r="AE517" s="83" t="n">
        <v>3.246403</v>
      </c>
      <c r="AG517" s="83" t="n">
        <v>8.829141999999999</v>
      </c>
      <c r="AH517" s="83" t="n">
        <v>6.245804</v>
      </c>
      <c r="AJ517" s="83" t="n">
        <v>63.54236</v>
      </c>
      <c r="AK517" s="83" t="n">
        <v>10.0116</v>
      </c>
      <c r="AO517" s="83" t="n">
        <v>3.069907</v>
      </c>
      <c r="AQ517" s="83" t="n">
        <v>24.38677</v>
      </c>
      <c r="AR517" s="83" t="n">
        <v>17.71383</v>
      </c>
      <c r="AS517" s="83" t="n">
        <v>32.56775</v>
      </c>
      <c r="AT517" s="83" t="n">
        <v>3.804427</v>
      </c>
      <c r="AZ517" s="83" t="n">
        <v>24.26369</v>
      </c>
      <c r="BA517" s="83" t="n">
        <v>0.02703784</v>
      </c>
      <c r="BB517" s="83" t="n">
        <v>28.45989</v>
      </c>
      <c r="BC517" s="83" t="n">
        <v>6.916996</v>
      </c>
      <c r="BD517" s="83" t="n">
        <v>19.08506</v>
      </c>
    </row>
    <row r="518">
      <c r="A518" s="83" t="inlineStr">
        <is>
          <t>1994-05</t>
        </is>
      </c>
      <c r="B518" s="22" t="n">
        <v>34455</v>
      </c>
      <c r="C518" s="22" t="n"/>
      <c r="D518" s="22" t="n"/>
      <c r="E518" s="22" t="n">
        <v>33970</v>
      </c>
      <c r="F518" s="83" t="inlineStr">
        <is>
          <t>1993-01</t>
        </is>
      </c>
      <c r="G518" s="83" t="n">
        <v>13.56071</v>
      </c>
      <c r="J518" s="83" t="n">
        <v>24.18113</v>
      </c>
      <c r="K518" s="83" t="n">
        <v>39.58134</v>
      </c>
      <c r="L518" s="83" t="n">
        <v>6.501351</v>
      </c>
      <c r="M518" s="83" t="n">
        <v>2.074899</v>
      </c>
      <c r="N518" s="83" t="n">
        <v>3.064526</v>
      </c>
      <c r="P518" s="83" t="n">
        <v>16.91379</v>
      </c>
      <c r="R518" s="83" t="n">
        <v>25.64733</v>
      </c>
      <c r="S518" s="83" t="n">
        <v>32.21137</v>
      </c>
      <c r="AA518" s="83" t="n">
        <v>20.95651</v>
      </c>
      <c r="AC518" s="83" t="n">
        <v>9.139176000000001</v>
      </c>
      <c r="AD518" s="83" t="n">
        <v>2.701066</v>
      </c>
      <c r="AE518" s="83" t="n">
        <v>3.275181</v>
      </c>
      <c r="AG518" s="83" t="n">
        <v>8.854608000000001</v>
      </c>
      <c r="AH518" s="83" t="n">
        <v>6.433946</v>
      </c>
      <c r="AJ518" s="83" t="n">
        <v>63.58326</v>
      </c>
      <c r="AK518" s="83" t="n">
        <v>10.18838</v>
      </c>
      <c r="AO518" s="83" t="n">
        <v>3.143966</v>
      </c>
      <c r="AQ518" s="83" t="n">
        <v>24.62577</v>
      </c>
      <c r="AR518" s="83" t="n">
        <v>17.79443</v>
      </c>
      <c r="AS518" s="83" t="n">
        <v>32.86001</v>
      </c>
      <c r="AT518" s="83" t="n">
        <v>3.933639</v>
      </c>
      <c r="AZ518" s="83" t="n">
        <v>24.69536</v>
      </c>
      <c r="BA518" s="83" t="n">
        <v>0.02821167</v>
      </c>
      <c r="BB518" s="83" t="n">
        <v>28.41336</v>
      </c>
      <c r="BC518" s="83" t="n">
        <v>6.841939</v>
      </c>
      <c r="BD518" s="83" t="n">
        <v>18.96963</v>
      </c>
    </row>
    <row r="519">
      <c r="A519" s="83" t="inlineStr">
        <is>
          <t>1994-06</t>
        </is>
      </c>
      <c r="B519" s="22" t="n">
        <v>34486</v>
      </c>
      <c r="C519" s="22" t="n"/>
      <c r="D519" s="22" t="n"/>
      <c r="E519" s="22" t="n">
        <v>34001</v>
      </c>
      <c r="F519" s="83" t="inlineStr">
        <is>
          <t>1993-02</t>
        </is>
      </c>
      <c r="G519" s="83" t="n">
        <v>13.66158</v>
      </c>
      <c r="J519" s="83" t="n">
        <v>24.3174</v>
      </c>
      <c r="K519" s="83" t="n">
        <v>39.66636</v>
      </c>
      <c r="L519" s="83" t="n">
        <v>6.633216</v>
      </c>
      <c r="M519" s="83" t="n">
        <v>2.211827</v>
      </c>
      <c r="N519" s="83" t="n">
        <v>3.134194</v>
      </c>
      <c r="P519" s="83" t="n">
        <v>16.69964</v>
      </c>
      <c r="R519" s="83" t="n">
        <v>25.91966</v>
      </c>
      <c r="S519" s="83" t="n">
        <v>32.07701</v>
      </c>
      <c r="AA519" s="83" t="n">
        <v>21.02736</v>
      </c>
      <c r="AC519" s="83" t="n">
        <v>9.307642</v>
      </c>
      <c r="AD519" s="83" t="n">
        <v>2.753246</v>
      </c>
      <c r="AE519" s="83" t="n">
        <v>3.306375</v>
      </c>
      <c r="AG519" s="83" t="n">
        <v>8.875814</v>
      </c>
      <c r="AH519" s="83" t="n">
        <v>6.598189</v>
      </c>
      <c r="AJ519" s="83" t="n">
        <v>63.72232</v>
      </c>
      <c r="AK519" s="83" t="n">
        <v>10.35079</v>
      </c>
      <c r="AO519" s="83" t="n">
        <v>3.225786</v>
      </c>
      <c r="AQ519" s="83" t="n">
        <v>24.45052</v>
      </c>
      <c r="AR519" s="83" t="n">
        <v>17.87424</v>
      </c>
      <c r="AS519" s="83" t="n">
        <v>33.16171</v>
      </c>
      <c r="AT519" s="83" t="n">
        <v>4.063238</v>
      </c>
      <c r="AZ519" s="83" t="n">
        <v>24.89933</v>
      </c>
      <c r="BA519" s="83" t="n">
        <v>0.02948542</v>
      </c>
      <c r="BB519" s="83" t="n">
        <v>28.37513</v>
      </c>
      <c r="BC519" s="83" t="n">
        <v>6.843863</v>
      </c>
      <c r="BD519" s="83" t="n">
        <v>19.03575</v>
      </c>
    </row>
    <row r="520">
      <c r="A520" s="83" t="inlineStr">
        <is>
          <t>1994-07</t>
        </is>
      </c>
      <c r="B520" s="22" t="n">
        <v>34516</v>
      </c>
      <c r="C520" s="22" t="n"/>
      <c r="D520" s="22" t="n"/>
      <c r="E520" s="22" t="n">
        <v>34029</v>
      </c>
      <c r="F520" s="83" t="inlineStr">
        <is>
          <t>1993-03</t>
        </is>
      </c>
      <c r="G520" s="83" t="n">
        <v>13.73443</v>
      </c>
      <c r="J520" s="83" t="n">
        <v>24.41769</v>
      </c>
      <c r="K520" s="83" t="n">
        <v>39.95182</v>
      </c>
      <c r="L520" s="83" t="n">
        <v>6.68051</v>
      </c>
      <c r="M520" s="83" t="n">
        <v>2.256151</v>
      </c>
      <c r="N520" s="83" t="n">
        <v>3.220094</v>
      </c>
      <c r="P520" s="83" t="n">
        <v>16.57203</v>
      </c>
      <c r="R520" s="83" t="n">
        <v>26.23442</v>
      </c>
      <c r="S520" s="83" t="n">
        <v>32.2961</v>
      </c>
      <c r="AA520" s="83" t="n">
        <v>21.10268</v>
      </c>
      <c r="AC520" s="83" t="n">
        <v>9.434657</v>
      </c>
      <c r="AD520" s="83" t="n">
        <v>2.818631</v>
      </c>
      <c r="AE520" s="83" t="n">
        <v>3.342468</v>
      </c>
      <c r="AG520" s="83" t="n">
        <v>8.860041000000001</v>
      </c>
      <c r="AH520" s="83" t="n">
        <v>6.674175</v>
      </c>
      <c r="AJ520" s="83" t="n">
        <v>63.61598</v>
      </c>
      <c r="AK520" s="83" t="n">
        <v>10.50279</v>
      </c>
      <c r="AO520" s="83" t="n">
        <v>3.283189</v>
      </c>
      <c r="AQ520" s="83" t="n">
        <v>24.39298</v>
      </c>
      <c r="AR520" s="83" t="n">
        <v>17.93146</v>
      </c>
      <c r="AS520" s="83" t="n">
        <v>33.32414</v>
      </c>
      <c r="AT520" s="83" t="n">
        <v>4.175943</v>
      </c>
      <c r="AZ520" s="83" t="n">
        <v>24.89593</v>
      </c>
      <c r="BA520" s="83" t="n">
        <v>0.03076164</v>
      </c>
      <c r="BB520" s="83" t="n">
        <v>28.35186</v>
      </c>
      <c r="BC520" s="83" t="n">
        <v>6.8727</v>
      </c>
      <c r="BD520" s="83" t="n">
        <v>19.03161</v>
      </c>
    </row>
    <row r="521">
      <c r="A521" s="83" t="inlineStr">
        <is>
          <t>1994-08</t>
        </is>
      </c>
      <c r="B521" s="22" t="n">
        <v>34547</v>
      </c>
      <c r="C521" s="22" t="n"/>
      <c r="D521" s="22" t="n"/>
      <c r="E521" s="22" t="n">
        <v>34060</v>
      </c>
      <c r="F521" s="83" t="inlineStr">
        <is>
          <t>1993-04</t>
        </is>
      </c>
      <c r="G521" s="83" t="n">
        <v>13.77085</v>
      </c>
      <c r="J521" s="83" t="n">
        <v>24.41061</v>
      </c>
      <c r="K521" s="83" t="n">
        <v>40.1515</v>
      </c>
      <c r="L521" s="83" t="n">
        <v>6.822307</v>
      </c>
      <c r="M521" s="83" t="n">
        <v>2.291844</v>
      </c>
      <c r="N521" s="83" t="n">
        <v>3.293049</v>
      </c>
      <c r="P521" s="83" t="n">
        <v>16.79645</v>
      </c>
      <c r="R521" s="83" t="n">
        <v>26.63787</v>
      </c>
      <c r="S521" s="83" t="n">
        <v>32.51075</v>
      </c>
      <c r="AA521" s="83" t="n">
        <v>21.11696</v>
      </c>
      <c r="AC521" s="83" t="n">
        <v>9.563959000000001</v>
      </c>
      <c r="AD521" s="83" t="n">
        <v>2.844302</v>
      </c>
      <c r="AE521" s="83" t="n">
        <v>3.411236</v>
      </c>
      <c r="AG521" s="83" t="n">
        <v>8.862294</v>
      </c>
      <c r="AH521" s="83" t="n">
        <v>6.757572</v>
      </c>
      <c r="AJ521" s="83" t="n">
        <v>63.86956</v>
      </c>
      <c r="AK521" s="83" t="n">
        <v>10.64273</v>
      </c>
      <c r="AO521" s="83" t="n">
        <v>3.357902</v>
      </c>
      <c r="AQ521" s="83" t="n">
        <v>24.4296</v>
      </c>
      <c r="AR521" s="83" t="n">
        <v>18.01093</v>
      </c>
      <c r="AS521" s="83" t="n">
        <v>33.37564</v>
      </c>
      <c r="AT521" s="83" t="n">
        <v>4.282169</v>
      </c>
      <c r="AZ521" s="83" t="n">
        <v>24.80884</v>
      </c>
      <c r="BA521" s="83" t="n">
        <v>0.0319184</v>
      </c>
      <c r="BB521" s="83" t="n">
        <v>28.34854</v>
      </c>
      <c r="BC521" s="83" t="n">
        <v>6.872333</v>
      </c>
      <c r="BD521" s="83" t="n">
        <v>19.11148</v>
      </c>
    </row>
    <row r="522">
      <c r="A522" s="83" t="inlineStr">
        <is>
          <t>1994-09</t>
        </is>
      </c>
      <c r="B522" s="22" t="n">
        <v>34578</v>
      </c>
      <c r="C522" s="22" t="n"/>
      <c r="D522" s="22" t="n"/>
      <c r="E522" s="22" t="n">
        <v>34090</v>
      </c>
      <c r="F522" s="83" t="inlineStr">
        <is>
          <t>1993-05</t>
        </is>
      </c>
      <c r="G522" s="83" t="n">
        <v>13.79887</v>
      </c>
      <c r="J522" s="83" t="n">
        <v>24.44012</v>
      </c>
      <c r="K522" s="83" t="n">
        <v>40.09433</v>
      </c>
      <c r="L522" s="83" t="n">
        <v>6.998036</v>
      </c>
      <c r="M522" s="83" t="n">
        <v>2.330029</v>
      </c>
      <c r="N522" s="83" t="n">
        <v>3.388735</v>
      </c>
      <c r="P522" s="83" t="n">
        <v>17.11181</v>
      </c>
      <c r="R522" s="83" t="n">
        <v>26.93382</v>
      </c>
      <c r="S522" s="83" t="n">
        <v>32.64515</v>
      </c>
      <c r="AA522" s="83" t="n">
        <v>21.13156</v>
      </c>
      <c r="AC522" s="83" t="n">
        <v>9.680028</v>
      </c>
      <c r="AD522" s="83" t="n">
        <v>2.843684</v>
      </c>
      <c r="AE522" s="83" t="n">
        <v>3.466968</v>
      </c>
      <c r="AG522" s="83" t="n">
        <v>8.869861999999999</v>
      </c>
      <c r="AH522" s="83" t="n">
        <v>6.85403</v>
      </c>
      <c r="AJ522" s="83" t="n">
        <v>64.1395</v>
      </c>
      <c r="AK522" s="83" t="n">
        <v>10.79194</v>
      </c>
      <c r="AO522" s="83" t="n">
        <v>3.436906</v>
      </c>
      <c r="AQ522" s="83" t="n">
        <v>24.53684</v>
      </c>
      <c r="AR522" s="83" t="n">
        <v>18.1645</v>
      </c>
      <c r="AS522" s="83" t="n">
        <v>33.44787</v>
      </c>
      <c r="AT522" s="83" t="n">
        <v>4.375011</v>
      </c>
      <c r="AZ522" s="83" t="n">
        <v>24.95734</v>
      </c>
      <c r="BA522" s="83" t="n">
        <v>0.03336132</v>
      </c>
      <c r="BB522" s="83" t="n">
        <v>28.56128</v>
      </c>
      <c r="BC522" s="83" t="n">
        <v>6.879258</v>
      </c>
      <c r="BD522" s="83" t="n">
        <v>19.34547</v>
      </c>
    </row>
    <row r="523">
      <c r="A523" s="83" t="inlineStr">
        <is>
          <t>1994-10</t>
        </is>
      </c>
      <c r="B523" s="22" t="n">
        <v>34608</v>
      </c>
      <c r="C523" s="22" t="n"/>
      <c r="D523" s="22" t="n"/>
      <c r="E523" s="22" t="n">
        <v>34121</v>
      </c>
      <c r="F523" s="83" t="inlineStr">
        <is>
          <t>1993-06</t>
        </is>
      </c>
      <c r="G523" s="83" t="n">
        <v>13.91094</v>
      </c>
      <c r="J523" s="83" t="n">
        <v>24.4836</v>
      </c>
      <c r="K523" s="83" t="n">
        <v>40.12416</v>
      </c>
      <c r="L523" s="83" t="n">
        <v>7.127446</v>
      </c>
      <c r="M523" s="83" t="n">
        <v>2.376665</v>
      </c>
      <c r="N523" s="83" t="n">
        <v>3.512841</v>
      </c>
      <c r="P523" s="83" t="n">
        <v>17.3861</v>
      </c>
      <c r="R523" s="83" t="n">
        <v>27.1652</v>
      </c>
      <c r="S523" s="83" t="n">
        <v>32.80605</v>
      </c>
      <c r="AA523" s="83" t="n">
        <v>21.20302</v>
      </c>
      <c r="AC523" s="83" t="n">
        <v>9.747745</v>
      </c>
      <c r="AD523" s="83" t="n">
        <v>2.875759</v>
      </c>
      <c r="AE523" s="83" t="n">
        <v>3.490485</v>
      </c>
      <c r="AG523" s="83" t="n">
        <v>8.937452</v>
      </c>
      <c r="AH523" s="83" t="n">
        <v>6.946791</v>
      </c>
      <c r="AJ523" s="83" t="n">
        <v>64.27856</v>
      </c>
      <c r="AK523" s="83" t="n">
        <v>10.96939</v>
      </c>
      <c r="AO523" s="83" t="n">
        <v>3.520147</v>
      </c>
      <c r="AQ523" s="83" t="n">
        <v>24.64669</v>
      </c>
      <c r="AR523" s="83" t="n">
        <v>18.25815</v>
      </c>
      <c r="AS523" s="83" t="n">
        <v>33.57378</v>
      </c>
      <c r="AT523" s="83" t="n">
        <v>4.464827</v>
      </c>
      <c r="AZ523" s="83" t="n">
        <v>25.05954</v>
      </c>
      <c r="BA523" s="83" t="n">
        <v>0.03426847</v>
      </c>
      <c r="BB523" s="83" t="n">
        <v>28.60699</v>
      </c>
      <c r="BC523" s="83" t="n">
        <v>6.853918</v>
      </c>
      <c r="BD523" s="83" t="n">
        <v>19.53069</v>
      </c>
    </row>
    <row r="524">
      <c r="A524" s="83" t="inlineStr">
        <is>
          <t>1994-11</t>
        </is>
      </c>
      <c r="B524" s="22" t="n">
        <v>34639</v>
      </c>
      <c r="C524" s="22" t="n"/>
      <c r="D524" s="22" t="n"/>
      <c r="E524" s="22" t="n">
        <v>34151</v>
      </c>
      <c r="F524" s="83" t="inlineStr">
        <is>
          <t>1993-07</t>
        </is>
      </c>
      <c r="G524" s="83" t="n">
        <v>14.02862</v>
      </c>
      <c r="J524" s="83" t="n">
        <v>24.5522</v>
      </c>
      <c r="K524" s="83" t="n">
        <v>40.38581</v>
      </c>
      <c r="L524" s="83" t="n">
        <v>7.262348</v>
      </c>
      <c r="M524" s="83" t="n">
        <v>2.38158</v>
      </c>
      <c r="N524" s="83" t="n">
        <v>3.673202</v>
      </c>
      <c r="P524" s="83" t="n">
        <v>17.82321</v>
      </c>
      <c r="R524" s="83" t="n">
        <v>27.43218</v>
      </c>
      <c r="S524" s="83" t="n">
        <v>32.84085</v>
      </c>
      <c r="AA524" s="83" t="n">
        <v>21.34278</v>
      </c>
      <c r="AC524" s="83" t="n">
        <v>9.881387</v>
      </c>
      <c r="AD524" s="83" t="n">
        <v>2.93056</v>
      </c>
      <c r="AE524" s="83" t="n">
        <v>3.526952</v>
      </c>
      <c r="AG524" s="83" t="n">
        <v>9.141386000000001</v>
      </c>
      <c r="AH524" s="83" t="n">
        <v>7.04441</v>
      </c>
      <c r="AJ524" s="83" t="n">
        <v>64.27039000000001</v>
      </c>
      <c r="AK524" s="83" t="n">
        <v>11.1583</v>
      </c>
      <c r="AO524" s="83" t="n">
        <v>3.598607</v>
      </c>
      <c r="AQ524" s="83" t="n">
        <v>24.7487</v>
      </c>
      <c r="AR524" s="83" t="n">
        <v>18.33388</v>
      </c>
      <c r="AS524" s="83" t="n">
        <v>33.85451</v>
      </c>
      <c r="AT524" s="83" t="n">
        <v>4.55884</v>
      </c>
      <c r="AZ524" s="83" t="n">
        <v>25.21445</v>
      </c>
      <c r="BA524" s="83" t="n">
        <v>0.03497266</v>
      </c>
      <c r="BB524" s="83" t="n">
        <v>28.60366</v>
      </c>
      <c r="BC524" s="83" t="n">
        <v>6.848654</v>
      </c>
      <c r="BD524" s="83" t="n">
        <v>19.99483</v>
      </c>
    </row>
    <row r="525">
      <c r="A525" s="83" t="inlineStr">
        <is>
          <t>1994-12</t>
        </is>
      </c>
      <c r="B525" s="22" t="n">
        <v>34669</v>
      </c>
      <c r="C525" s="22" t="n"/>
      <c r="D525" s="22" t="n"/>
      <c r="E525" s="22" t="n">
        <v>34182</v>
      </c>
      <c r="F525" s="83" t="inlineStr">
        <is>
          <t>1993-08</t>
        </is>
      </c>
      <c r="G525" s="83" t="n">
        <v>14.03702</v>
      </c>
      <c r="J525" s="83" t="n">
        <v>24.55509</v>
      </c>
      <c r="K525" s="83" t="n">
        <v>40.66637</v>
      </c>
      <c r="L525" s="83" t="n">
        <v>7.391126</v>
      </c>
      <c r="M525" s="83" t="n">
        <v>2.391276</v>
      </c>
      <c r="N525" s="83" t="n">
        <v>3.821</v>
      </c>
      <c r="P525" s="83" t="n">
        <v>18.26032</v>
      </c>
      <c r="R525" s="83" t="n">
        <v>27.75802</v>
      </c>
      <c r="S525" s="83" t="n">
        <v>32.80367</v>
      </c>
      <c r="AA525" s="83" t="n">
        <v>21.45719</v>
      </c>
      <c r="AC525" s="83" t="n">
        <v>9.994849</v>
      </c>
      <c r="AD525" s="83" t="n">
        <v>3.009543</v>
      </c>
      <c r="AE525" s="83" t="n">
        <v>3.577121</v>
      </c>
      <c r="AG525" s="83" t="n">
        <v>9.220406000000001</v>
      </c>
      <c r="AH525" s="83" t="n">
        <v>7.199467</v>
      </c>
      <c r="AJ525" s="83" t="n">
        <v>64.40945000000001</v>
      </c>
      <c r="AK525" s="83" t="n">
        <v>11.37093</v>
      </c>
      <c r="AO525" s="83" t="n">
        <v>3.652821</v>
      </c>
      <c r="AQ525" s="83" t="n">
        <v>24.80101</v>
      </c>
      <c r="AR525" s="83" t="n">
        <v>18.43002</v>
      </c>
      <c r="AS525" s="83" t="n">
        <v>34.04822</v>
      </c>
      <c r="AT525" s="83" t="n">
        <v>4.695856</v>
      </c>
      <c r="AZ525" s="83" t="n">
        <v>25.46311</v>
      </c>
      <c r="BA525" s="83" t="n">
        <v>0.03648539</v>
      </c>
      <c r="BB525" s="83" t="n">
        <v>28.63441</v>
      </c>
      <c r="BC525" s="83" t="n">
        <v>6.949873</v>
      </c>
      <c r="BD525" s="83" t="n">
        <v>20.28486</v>
      </c>
    </row>
    <row r="526">
      <c r="A526" s="83" t="inlineStr">
        <is>
          <t>1995-01</t>
        </is>
      </c>
      <c r="B526" s="22" t="n">
        <v>34700</v>
      </c>
      <c r="C526" s="22" t="n"/>
      <c r="D526" s="22" t="n"/>
      <c r="E526" s="22" t="n">
        <v>34213</v>
      </c>
      <c r="F526" s="83" t="inlineStr">
        <is>
          <t>1993-09</t>
        </is>
      </c>
      <c r="G526" s="83" t="n">
        <v>14.07344</v>
      </c>
      <c r="J526" s="83" t="n">
        <v>24.65911</v>
      </c>
      <c r="K526" s="83" t="n">
        <v>40.81391</v>
      </c>
      <c r="L526" s="83" t="n">
        <v>7.53058</v>
      </c>
      <c r="M526" s="83" t="n">
        <v>2.44537</v>
      </c>
      <c r="N526" s="83" t="n">
        <v>3.926342</v>
      </c>
      <c r="P526" s="83" t="n">
        <v>18.45247</v>
      </c>
      <c r="R526" s="83" t="n">
        <v>28.19883</v>
      </c>
      <c r="S526" s="83" t="n">
        <v>32.84391</v>
      </c>
      <c r="AA526" s="83" t="n">
        <v>21.50597</v>
      </c>
      <c r="AC526" s="83" t="n">
        <v>10.09275</v>
      </c>
      <c r="AD526" s="83" t="n">
        <v>3.087968</v>
      </c>
      <c r="AE526" s="83" t="n">
        <v>3.615468</v>
      </c>
      <c r="AG526" s="83" t="n">
        <v>9.144838</v>
      </c>
      <c r="AH526" s="83" t="n">
        <v>7.394462</v>
      </c>
      <c r="AJ526" s="83" t="n">
        <v>64.40945000000001</v>
      </c>
      <c r="AK526" s="83" t="n">
        <v>11.49055</v>
      </c>
      <c r="AO526" s="83" t="n">
        <v>3.714485</v>
      </c>
      <c r="AQ526" s="83" t="n">
        <v>24.7827</v>
      </c>
      <c r="AR526" s="83" t="n">
        <v>18.52579</v>
      </c>
      <c r="AS526" s="83" t="n">
        <v>34.26584</v>
      </c>
      <c r="AT526" s="83" t="n">
        <v>4.82113</v>
      </c>
      <c r="AZ526" s="83" t="n">
        <v>25.51521</v>
      </c>
      <c r="BA526" s="83" t="n">
        <v>0.03800163</v>
      </c>
      <c r="BB526" s="83" t="n">
        <v>28.68843</v>
      </c>
      <c r="BC526" s="83" t="n">
        <v>7.082903</v>
      </c>
      <c r="BD526" s="83" t="n">
        <v>20.16297</v>
      </c>
    </row>
    <row r="527">
      <c r="A527" s="83" t="inlineStr">
        <is>
          <t>1995-02</t>
        </is>
      </c>
      <c r="B527" s="22" t="n">
        <v>34731</v>
      </c>
      <c r="C527" s="22" t="n"/>
      <c r="D527" s="22" t="n"/>
      <c r="E527" s="22" t="n">
        <v>34243</v>
      </c>
      <c r="F527" s="83" t="inlineStr">
        <is>
          <t>1993-10</t>
        </is>
      </c>
      <c r="G527" s="83" t="n">
        <v>14.1659</v>
      </c>
      <c r="J527" s="83" t="n">
        <v>24.76658</v>
      </c>
      <c r="K527" s="83" t="n">
        <v>41.06517</v>
      </c>
      <c r="L527" s="83" t="n">
        <v>7.692958</v>
      </c>
      <c r="M527" s="83" t="n">
        <v>2.523816</v>
      </c>
      <c r="N527" s="83" t="n">
        <v>4.040804</v>
      </c>
      <c r="P527" s="83" t="n">
        <v>18.54488</v>
      </c>
      <c r="R527" s="83" t="n">
        <v>28.64165</v>
      </c>
      <c r="S527" s="83" t="n">
        <v>33.02144</v>
      </c>
      <c r="AA527" s="83" t="n">
        <v>21.60697</v>
      </c>
      <c r="AC527" s="83" t="n">
        <v>10.19202</v>
      </c>
      <c r="AD527" s="83" t="n">
        <v>3.138422</v>
      </c>
      <c r="AE527" s="83" t="n">
        <v>3.646096</v>
      </c>
      <c r="AG527" s="83" t="n">
        <v>9.119567</v>
      </c>
      <c r="AH527" s="83" t="n">
        <v>7.600535</v>
      </c>
      <c r="AJ527" s="83" t="n">
        <v>64.52396</v>
      </c>
      <c r="AK527" s="83" t="n">
        <v>11.59745</v>
      </c>
      <c r="AO527" s="83" t="n">
        <v>3.769654</v>
      </c>
      <c r="AQ527" s="83" t="n">
        <v>24.72516</v>
      </c>
      <c r="AR527" s="83" t="n">
        <v>18.62634</v>
      </c>
      <c r="AS527" s="83" t="n">
        <v>34.70121</v>
      </c>
      <c r="AT527" s="83" t="n">
        <v>4.930014</v>
      </c>
      <c r="AZ527" s="83" t="n">
        <v>25.64697</v>
      </c>
      <c r="BA527" s="83" t="n">
        <v>0.03966008</v>
      </c>
      <c r="BB527" s="83" t="n">
        <v>28.72582</v>
      </c>
      <c r="BC527" s="83" t="n">
        <v>7.156177</v>
      </c>
      <c r="BD527" s="83" t="n">
        <v>20.18353</v>
      </c>
    </row>
    <row r="528">
      <c r="A528" s="83" t="inlineStr">
        <is>
          <t>1995-03</t>
        </is>
      </c>
      <c r="B528" s="22" t="n">
        <v>34759</v>
      </c>
      <c r="C528" s="22" t="n"/>
      <c r="D528" s="22" t="n"/>
      <c r="E528" s="22" t="n">
        <v>34274</v>
      </c>
      <c r="F528" s="83" t="inlineStr">
        <is>
          <t>1993-11</t>
        </is>
      </c>
      <c r="G528" s="83" t="n">
        <v>14.23315</v>
      </c>
      <c r="J528" s="83" t="n">
        <v>24.73675</v>
      </c>
      <c r="K528" s="83" t="n">
        <v>41.36685</v>
      </c>
      <c r="L528" s="83" t="n">
        <v>7.829247</v>
      </c>
      <c r="M528" s="83" t="n">
        <v>2.605726</v>
      </c>
      <c r="N528" s="83" t="n">
        <v>4.181262</v>
      </c>
      <c r="P528" s="83" t="n">
        <v>18.84411</v>
      </c>
      <c r="R528" s="83" t="n">
        <v>28.92183</v>
      </c>
      <c r="S528" s="83" t="n">
        <v>33.29352</v>
      </c>
      <c r="AA528" s="83" t="n">
        <v>21.77107</v>
      </c>
      <c r="AC528" s="83" t="n">
        <v>10.26221</v>
      </c>
      <c r="AD528" s="83" t="n">
        <v>3.190482</v>
      </c>
      <c r="AE528" s="83" t="n">
        <v>3.698002</v>
      </c>
      <c r="AG528" s="83" t="n">
        <v>9.179973</v>
      </c>
      <c r="AH528" s="83" t="n">
        <v>7.837463</v>
      </c>
      <c r="AJ528" s="83" t="n">
        <v>64.46671000000001</v>
      </c>
      <c r="AK528" s="83" t="n">
        <v>11.75766</v>
      </c>
      <c r="AO528" s="83" t="n">
        <v>3.783435</v>
      </c>
      <c r="AQ528" s="83" t="n">
        <v>24.70162</v>
      </c>
      <c r="AR528" s="83" t="n">
        <v>18.73036</v>
      </c>
      <c r="AS528" s="83" t="n">
        <v>35.17036</v>
      </c>
      <c r="AT528" s="83" t="n">
        <v>5.053929</v>
      </c>
      <c r="AZ528" s="83" t="n">
        <v>25.73375</v>
      </c>
      <c r="BA528" s="83" t="n">
        <v>0.04168316</v>
      </c>
      <c r="BB528" s="83" t="n">
        <v>28.83718</v>
      </c>
      <c r="BC528" s="83" t="n">
        <v>7.254843</v>
      </c>
      <c r="BD528" s="83" t="n">
        <v>20.31519</v>
      </c>
    </row>
    <row r="529">
      <c r="A529" s="83" t="inlineStr">
        <is>
          <t>1995-04</t>
        </is>
      </c>
      <c r="B529" s="22" t="n">
        <v>34790</v>
      </c>
      <c r="C529" s="22" t="n"/>
      <c r="D529" s="22" t="n"/>
      <c r="E529" s="22" t="n">
        <v>34304</v>
      </c>
      <c r="F529" s="83" t="inlineStr">
        <is>
          <t>1993-12</t>
        </is>
      </c>
      <c r="G529" s="83" t="n">
        <v>14.29479</v>
      </c>
      <c r="J529" s="83" t="n">
        <v>24.79899</v>
      </c>
      <c r="K529" s="83" t="n">
        <v>41.53017</v>
      </c>
      <c r="L529" s="83" t="n">
        <v>7.971923</v>
      </c>
      <c r="M529" s="83" t="n">
        <v>2.6642</v>
      </c>
      <c r="N529" s="83" t="n">
        <v>4.316201</v>
      </c>
      <c r="P529" s="83" t="n">
        <v>19.36483</v>
      </c>
      <c r="R529" s="83" t="n">
        <v>29.07011</v>
      </c>
      <c r="S529" s="83" t="n">
        <v>33.94279</v>
      </c>
      <c r="AA529" s="83" t="n">
        <v>21.94078</v>
      </c>
      <c r="AC529" s="83" t="n">
        <v>10.39161</v>
      </c>
      <c r="AD529" s="83" t="n">
        <v>3.248031</v>
      </c>
      <c r="AE529" s="83" t="n">
        <v>3.765539</v>
      </c>
      <c r="AG529" s="83" t="n">
        <v>9.312113999999999</v>
      </c>
      <c r="AH529" s="83" t="n">
        <v>8.093139000000001</v>
      </c>
      <c r="AJ529" s="83" t="n">
        <v>64.54031999999999</v>
      </c>
      <c r="AK529" s="83" t="n">
        <v>11.91662</v>
      </c>
      <c r="AO529" s="83" t="n">
        <v>3.844779</v>
      </c>
      <c r="AQ529" s="83" t="n">
        <v>24.631</v>
      </c>
      <c r="AR529" s="83" t="n">
        <v>18.83414</v>
      </c>
      <c r="AS529" s="83" t="n">
        <v>35.47553</v>
      </c>
      <c r="AT529" s="83" t="n">
        <v>5.180573</v>
      </c>
      <c r="AZ529" s="83" t="n">
        <v>25.71045</v>
      </c>
      <c r="BA529" s="83" t="n">
        <v>0.0434639</v>
      </c>
      <c r="BB529" s="83" t="n">
        <v>28.87374</v>
      </c>
      <c r="BC529" s="83" t="n">
        <v>7.359367</v>
      </c>
      <c r="BD529" s="83" t="n">
        <v>20.45062</v>
      </c>
    </row>
    <row r="530">
      <c r="A530" s="83" t="inlineStr">
        <is>
          <t>1995-05</t>
        </is>
      </c>
      <c r="B530" s="22" t="n">
        <v>34820</v>
      </c>
      <c r="C530" s="22" t="n"/>
      <c r="D530" s="22" t="n"/>
      <c r="E530" s="22" t="n">
        <v>34335</v>
      </c>
      <c r="F530" s="83" t="inlineStr">
        <is>
          <t>1994-01</t>
        </is>
      </c>
      <c r="G530" s="83" t="n">
        <v>14.40686</v>
      </c>
      <c r="J530" s="83" t="n">
        <v>24.96447</v>
      </c>
      <c r="K530" s="83" t="n">
        <v>41.77111</v>
      </c>
      <c r="L530" s="83" t="n">
        <v>8.117302</v>
      </c>
      <c r="M530" s="83" t="n">
        <v>2.720741</v>
      </c>
      <c r="N530" s="83" t="n">
        <v>4.466726</v>
      </c>
      <c r="P530" s="83" t="n">
        <v>19.84448</v>
      </c>
      <c r="R530" s="83" t="n">
        <v>29.66182</v>
      </c>
      <c r="S530" s="83" t="n">
        <v>34.27485</v>
      </c>
      <c r="AA530" s="83" t="n">
        <v>22.06284</v>
      </c>
      <c r="AC530" s="83" t="n">
        <v>10.51924</v>
      </c>
      <c r="AD530" s="83" t="n">
        <v>3.306293</v>
      </c>
      <c r="AE530" s="83" t="n">
        <v>3.836406</v>
      </c>
      <c r="AG530" s="83" t="n">
        <v>9.396003</v>
      </c>
      <c r="AH530" s="83" t="n">
        <v>8.278418</v>
      </c>
      <c r="AJ530" s="83" t="n">
        <v>64.61395</v>
      </c>
      <c r="AK530" s="83" t="n">
        <v>12.14748</v>
      </c>
      <c r="AO530" s="83" t="n">
        <v>3.94185</v>
      </c>
      <c r="AQ530" s="83" t="n">
        <v>24.65977</v>
      </c>
      <c r="AR530" s="83" t="n">
        <v>18.96902</v>
      </c>
      <c r="AS530" s="83" t="n">
        <v>35.976</v>
      </c>
      <c r="AT530" s="83" t="n">
        <v>5.32178</v>
      </c>
      <c r="AZ530" s="83" t="n">
        <v>25.92902</v>
      </c>
      <c r="BA530" s="83" t="n">
        <v>0.04638773</v>
      </c>
      <c r="BB530" s="83" t="n">
        <v>28.87707</v>
      </c>
      <c r="BC530" s="83" t="n">
        <v>7.424003</v>
      </c>
      <c r="BD530" s="83" t="n">
        <v>20.23956</v>
      </c>
    </row>
    <row r="531">
      <c r="A531" s="83" t="inlineStr">
        <is>
          <t>1995-06</t>
        </is>
      </c>
      <c r="B531" s="22" t="n">
        <v>34851</v>
      </c>
      <c r="C531" s="22" t="n"/>
      <c r="D531" s="22" t="n"/>
      <c r="E531" s="22" t="n">
        <v>34366</v>
      </c>
      <c r="F531" s="83" t="inlineStr">
        <is>
          <t>1994-02</t>
        </is>
      </c>
      <c r="G531" s="83" t="n">
        <v>14.52453</v>
      </c>
      <c r="J531" s="83" t="n">
        <v>24.93309</v>
      </c>
      <c r="K531" s="83" t="n">
        <v>42.17281</v>
      </c>
      <c r="L531" s="83" t="n">
        <v>8.245856</v>
      </c>
      <c r="M531" s="83" t="n">
        <v>2.778686</v>
      </c>
      <c r="N531" s="83" t="n">
        <v>4.618948</v>
      </c>
      <c r="P531" s="83" t="n">
        <v>20.21705</v>
      </c>
      <c r="R531" s="83" t="n">
        <v>30.09851</v>
      </c>
      <c r="S531" s="83" t="n">
        <v>34.09097</v>
      </c>
      <c r="AA531" s="83" t="n">
        <v>22.18202</v>
      </c>
      <c r="AC531" s="83" t="n">
        <v>10.61094</v>
      </c>
      <c r="AD531" s="83" t="n">
        <v>3.404782</v>
      </c>
      <c r="AE531" s="83" t="n">
        <v>3.905887</v>
      </c>
      <c r="AG531" s="83" t="n">
        <v>9.383606</v>
      </c>
      <c r="AH531" s="83" t="n">
        <v>8.471401999999999</v>
      </c>
      <c r="AJ531" s="83" t="n">
        <v>64.70393</v>
      </c>
      <c r="AK531" s="83" t="n">
        <v>12.40753</v>
      </c>
      <c r="AO531" s="83" t="n">
        <v>4.043735</v>
      </c>
      <c r="AQ531" s="83" t="n">
        <v>24.69116</v>
      </c>
      <c r="AR531" s="83" t="n">
        <v>19.09489</v>
      </c>
      <c r="AS531" s="83" t="n">
        <v>36.37667</v>
      </c>
      <c r="AT531" s="83" t="n">
        <v>5.479477</v>
      </c>
      <c r="AZ531" s="83" t="n">
        <v>26.18668</v>
      </c>
      <c r="BA531" s="83" t="n">
        <v>0.0503257</v>
      </c>
      <c r="BB531" s="83" t="n">
        <v>28.88371</v>
      </c>
      <c r="BC531" s="83" t="n">
        <v>7.548603</v>
      </c>
      <c r="BD531" s="83" t="n">
        <v>20.24284</v>
      </c>
    </row>
    <row r="532">
      <c r="A532" s="83" t="inlineStr">
        <is>
          <t>1995-07</t>
        </is>
      </c>
      <c r="B532" s="22" t="n">
        <v>34881</v>
      </c>
      <c r="C532" s="22" t="n"/>
      <c r="D532" s="22" t="n"/>
      <c r="E532" s="22" t="n">
        <v>34394</v>
      </c>
      <c r="F532" s="83" t="inlineStr">
        <is>
          <t>1994-03</t>
        </is>
      </c>
      <c r="G532" s="83" t="n">
        <v>14.64781</v>
      </c>
      <c r="J532" s="83" t="n">
        <v>24.92435</v>
      </c>
      <c r="K532" s="83" t="n">
        <v>42.3858</v>
      </c>
      <c r="L532" s="83" t="n">
        <v>8.37176</v>
      </c>
      <c r="M532" s="83" t="n">
        <v>2.835952</v>
      </c>
      <c r="N532" s="83" t="n">
        <v>4.741372</v>
      </c>
      <c r="P532" s="83" t="n">
        <v>20.49574</v>
      </c>
      <c r="R532" s="83" t="n">
        <v>29.87989</v>
      </c>
      <c r="S532" s="83" t="n">
        <v>34.15069</v>
      </c>
      <c r="AA532" s="83" t="n">
        <v>22.32758</v>
      </c>
      <c r="AC532" s="83" t="n">
        <v>10.72482</v>
      </c>
      <c r="AD532" s="83" t="n">
        <v>3.459284</v>
      </c>
      <c r="AE532" s="83" t="n">
        <v>3.960797</v>
      </c>
      <c r="AG532" s="83" t="n">
        <v>9.502678</v>
      </c>
      <c r="AH532" s="83" t="n">
        <v>8.825664</v>
      </c>
      <c r="AJ532" s="83" t="n">
        <v>64.86752</v>
      </c>
      <c r="AK532" s="83" t="n">
        <v>12.63853</v>
      </c>
      <c r="AO532" s="83" t="n">
        <v>4.123775</v>
      </c>
      <c r="AQ532" s="83" t="n">
        <v>24.95533</v>
      </c>
      <c r="AR532" s="83" t="n">
        <v>19.2184</v>
      </c>
      <c r="AS532" s="83" t="n">
        <v>36.51466</v>
      </c>
      <c r="AT532" s="83" t="n">
        <v>5.623997</v>
      </c>
      <c r="AZ532" s="83" t="n">
        <v>26.31109</v>
      </c>
      <c r="BA532" s="83" t="n">
        <v>0.0532868</v>
      </c>
      <c r="BB532" s="83" t="n">
        <v>28.92028</v>
      </c>
      <c r="BC532" s="83" t="n">
        <v>7.690009</v>
      </c>
      <c r="BD532" s="83" t="n">
        <v>20.84425</v>
      </c>
    </row>
    <row r="533">
      <c r="A533" s="83" t="inlineStr">
        <is>
          <t>1995-08</t>
        </is>
      </c>
      <c r="B533" s="22" t="n">
        <v>34912</v>
      </c>
      <c r="C533" s="22" t="n"/>
      <c r="D533" s="22" t="n"/>
      <c r="E533" s="22" t="n">
        <v>34425</v>
      </c>
      <c r="F533" s="83" t="inlineStr">
        <is>
          <t>1994-04</t>
        </is>
      </c>
      <c r="G533" s="83" t="n">
        <v>14.7879</v>
      </c>
      <c r="J533" s="83" t="n">
        <v>25.14571</v>
      </c>
      <c r="K533" s="83" t="n">
        <v>42.43375</v>
      </c>
      <c r="L533" s="83" t="n">
        <v>8.460214000000001</v>
      </c>
      <c r="M533" s="83" t="n">
        <v>2.928112</v>
      </c>
      <c r="N533" s="83" t="n">
        <v>4.878918</v>
      </c>
      <c r="P533" s="83" t="n">
        <v>20.80084</v>
      </c>
      <c r="R533" s="83" t="n">
        <v>29.78154</v>
      </c>
      <c r="S533" s="83" t="n">
        <v>34.26828</v>
      </c>
      <c r="AA533" s="83" t="n">
        <v>22.36516</v>
      </c>
      <c r="AC533" s="83" t="n">
        <v>10.8917</v>
      </c>
      <c r="AD533" s="83" t="n">
        <v>3.476745</v>
      </c>
      <c r="AE533" s="83" t="n">
        <v>4.026421</v>
      </c>
      <c r="AG533" s="83" t="n">
        <v>9.546569999999999</v>
      </c>
      <c r="AH533" s="83" t="n">
        <v>9.016235999999999</v>
      </c>
      <c r="AJ533" s="83" t="n">
        <v>65.17019000000001</v>
      </c>
      <c r="AK533" s="83" t="n">
        <v>12.89873</v>
      </c>
      <c r="AO533" s="83" t="n">
        <v>4.072993</v>
      </c>
      <c r="AQ533" s="83" t="n">
        <v>25.19858</v>
      </c>
      <c r="AR533" s="83" t="n">
        <v>19.35921</v>
      </c>
      <c r="AS533" s="83" t="n">
        <v>36.92077</v>
      </c>
      <c r="AT533" s="83" t="n">
        <v>5.729115</v>
      </c>
      <c r="AZ533" s="83" t="n">
        <v>26.48783</v>
      </c>
      <c r="BA533" s="83" t="n">
        <v>0.06067128</v>
      </c>
      <c r="BB533" s="83" t="n">
        <v>28.93025</v>
      </c>
      <c r="BC533" s="83" t="n">
        <v>7.754941</v>
      </c>
      <c r="BD533" s="83" t="n">
        <v>21.06191</v>
      </c>
    </row>
    <row r="534">
      <c r="A534" s="83" t="inlineStr">
        <is>
          <t>1995-09</t>
        </is>
      </c>
      <c r="B534" s="22" t="n">
        <v>34943</v>
      </c>
      <c r="C534" s="22" t="n"/>
      <c r="D534" s="22" t="n"/>
      <c r="E534" s="22" t="n">
        <v>34455</v>
      </c>
      <c r="F534" s="83" t="inlineStr">
        <is>
          <t>1994-05</t>
        </is>
      </c>
      <c r="G534" s="83" t="n">
        <v>14.89998</v>
      </c>
      <c r="J534" s="83" t="n">
        <v>25.23597</v>
      </c>
      <c r="K534" s="83" t="n">
        <v>42.50515</v>
      </c>
      <c r="L534" s="83" t="n">
        <v>8.552633999999999</v>
      </c>
      <c r="M534" s="83" t="n">
        <v>3.023266</v>
      </c>
      <c r="N534" s="83" t="n">
        <v>5.057787</v>
      </c>
      <c r="P534" s="83" t="n">
        <v>21.24382</v>
      </c>
      <c r="R534" s="83" t="n">
        <v>29.62704</v>
      </c>
      <c r="S534" s="83" t="n">
        <v>34.29366</v>
      </c>
      <c r="AA534" s="83" t="n">
        <v>22.43818</v>
      </c>
      <c r="AC534" s="83" t="n">
        <v>11.04298</v>
      </c>
      <c r="AD534" s="83" t="n">
        <v>3.518213</v>
      </c>
      <c r="AE534" s="83" t="n">
        <v>4.093244</v>
      </c>
      <c r="AG534" s="83" t="n">
        <v>9.437055000000001</v>
      </c>
      <c r="AH534" s="83" t="n">
        <v>9.076665</v>
      </c>
      <c r="AJ534" s="83" t="n">
        <v>65.22745</v>
      </c>
      <c r="AK534" s="83" t="n">
        <v>13.19034</v>
      </c>
      <c r="AO534" s="83" t="n">
        <v>4.054078</v>
      </c>
      <c r="AQ534" s="83" t="n">
        <v>25.24043</v>
      </c>
      <c r="AR534" s="83" t="n">
        <v>19.52918</v>
      </c>
      <c r="AS534" s="83" t="n">
        <v>37.32877</v>
      </c>
      <c r="AT534" s="83" t="n">
        <v>5.853855</v>
      </c>
      <c r="AZ534" s="83" t="n">
        <v>26.57979</v>
      </c>
      <c r="BA534" s="83" t="n">
        <v>0.06939333</v>
      </c>
      <c r="BB534" s="83" t="n">
        <v>29.0092</v>
      </c>
      <c r="BC534" s="83" t="n">
        <v>7.866181</v>
      </c>
      <c r="BD534" s="83" t="n">
        <v>21.03008</v>
      </c>
    </row>
    <row r="535">
      <c r="A535" s="83" t="inlineStr">
        <is>
          <t>1995-10</t>
        </is>
      </c>
      <c r="B535" s="22" t="n">
        <v>34973</v>
      </c>
      <c r="C535" s="22" t="n"/>
      <c r="D535" s="22" t="n"/>
      <c r="E535" s="22" t="n">
        <v>34486</v>
      </c>
      <c r="F535" s="83" t="inlineStr">
        <is>
          <t>1994-06</t>
        </is>
      </c>
      <c r="G535" s="83" t="n">
        <v>14.98123</v>
      </c>
      <c r="J535" s="83" t="n">
        <v>25.43205</v>
      </c>
      <c r="K535" s="83" t="n">
        <v>42.57487</v>
      </c>
      <c r="L535" s="83" t="n">
        <v>8.653027</v>
      </c>
      <c r="M535" s="83" t="n">
        <v>3.083249</v>
      </c>
      <c r="N535" s="83" t="n">
        <v>5.203945</v>
      </c>
      <c r="P535" s="83" t="n">
        <v>21.53424</v>
      </c>
      <c r="R535" s="83" t="n">
        <v>29.34226</v>
      </c>
      <c r="S535" s="83" t="n">
        <v>34.35928</v>
      </c>
      <c r="AA535" s="83" t="n">
        <v>22.5228</v>
      </c>
      <c r="AC535" s="83" t="n">
        <v>11.18503</v>
      </c>
      <c r="AD535" s="83" t="n">
        <v>3.540255</v>
      </c>
      <c r="AE535" s="83" t="n">
        <v>4.142064</v>
      </c>
      <c r="AG535" s="83" t="n">
        <v>9.433172000000001</v>
      </c>
      <c r="AH535" s="83" t="n">
        <v>9.318080999999999</v>
      </c>
      <c r="AJ535" s="83" t="n">
        <v>65.26835</v>
      </c>
      <c r="AK535" s="83" t="n">
        <v>13.45282</v>
      </c>
      <c r="AO535" s="83" t="n">
        <v>4.137399</v>
      </c>
      <c r="AQ535" s="83" t="n">
        <v>25.4863</v>
      </c>
      <c r="AR535" s="83" t="n">
        <v>19.6571</v>
      </c>
      <c r="AS535" s="83" t="n">
        <v>37.53341</v>
      </c>
      <c r="AT535" s="83" t="n">
        <v>6.01997</v>
      </c>
      <c r="AZ535" s="83" t="n">
        <v>26.6215</v>
      </c>
      <c r="BA535" s="83" t="n">
        <v>0.07627742</v>
      </c>
      <c r="BB535" s="83" t="n">
        <v>28.91529</v>
      </c>
      <c r="BC535" s="83" t="n">
        <v>7.918225</v>
      </c>
      <c r="BD535" s="83" t="n">
        <v>21.17017</v>
      </c>
    </row>
    <row r="536">
      <c r="A536" s="83" t="inlineStr">
        <is>
          <t>1995-11</t>
        </is>
      </c>
      <c r="B536" s="22" t="n">
        <v>35004</v>
      </c>
      <c r="C536" s="22" t="n"/>
      <c r="D536" s="22" t="n"/>
      <c r="E536" s="22" t="n">
        <v>34516</v>
      </c>
      <c r="F536" s="83" t="inlineStr">
        <is>
          <t>1994-07</t>
        </is>
      </c>
      <c r="G536" s="83" t="n">
        <v>15.04287</v>
      </c>
      <c r="J536" s="83" t="n">
        <v>25.62828</v>
      </c>
      <c r="K536" s="83" t="n">
        <v>42.57529</v>
      </c>
      <c r="L536" s="83" t="n">
        <v>8.771359</v>
      </c>
      <c r="M536" s="83" t="n">
        <v>3.174273</v>
      </c>
      <c r="N536" s="83" t="n">
        <v>5.347446</v>
      </c>
      <c r="P536" s="83" t="n">
        <v>21.77333</v>
      </c>
      <c r="R536" s="83" t="n">
        <v>29.29763</v>
      </c>
      <c r="S536" s="83" t="n">
        <v>34.43635</v>
      </c>
      <c r="AA536" s="83" t="n">
        <v>22.52909</v>
      </c>
      <c r="AC536" s="83" t="n">
        <v>11.27498</v>
      </c>
      <c r="AD536" s="83" t="n">
        <v>3.572779</v>
      </c>
      <c r="AE536" s="83" t="n">
        <v>4.208702</v>
      </c>
      <c r="AG536" s="83" t="n">
        <v>9.449413</v>
      </c>
      <c r="AH536" s="83" t="n">
        <v>9.553063999999999</v>
      </c>
      <c r="AJ536" s="83" t="n">
        <v>65.59555</v>
      </c>
      <c r="AK536" s="83" t="n">
        <v>13.66862</v>
      </c>
      <c r="AO536" s="83" t="n">
        <v>4.22351</v>
      </c>
      <c r="AQ536" s="83" t="n">
        <v>25.60138</v>
      </c>
      <c r="AR536" s="83" t="n">
        <v>19.86225</v>
      </c>
      <c r="AS536" s="83" t="n">
        <v>37.69778</v>
      </c>
      <c r="AT536" s="83" t="n">
        <v>6.207737</v>
      </c>
      <c r="AZ536" s="83" t="n">
        <v>26.76819</v>
      </c>
      <c r="BA536" s="83" t="n">
        <v>0.08423426000000001</v>
      </c>
      <c r="BB536" s="83" t="n">
        <v>28.98759</v>
      </c>
      <c r="BC536" s="83" t="n">
        <v>7.954127</v>
      </c>
      <c r="BD536" s="83" t="n">
        <v>21.27758</v>
      </c>
    </row>
    <row r="537">
      <c r="A537" s="83" t="inlineStr">
        <is>
          <t>1995-12</t>
        </is>
      </c>
      <c r="B537" s="22" t="n">
        <v>35034</v>
      </c>
      <c r="C537" s="22" t="n"/>
      <c r="D537" s="22" t="n"/>
      <c r="E537" s="22" t="n">
        <v>34547</v>
      </c>
      <c r="F537" s="83" t="inlineStr">
        <is>
          <t>1994-08</t>
        </is>
      </c>
      <c r="G537" s="83" t="n">
        <v>15.14373</v>
      </c>
      <c r="I537" s="83" t="n">
        <v>2.731764</v>
      </c>
      <c r="J537" s="83" t="n">
        <v>25.81309</v>
      </c>
      <c r="K537" s="83" t="n">
        <v>42.52618</v>
      </c>
      <c r="L537" s="83" t="n">
        <v>8.935891</v>
      </c>
      <c r="M537" s="83" t="n">
        <v>3.272449</v>
      </c>
      <c r="N537" s="83" t="n">
        <v>5.527534</v>
      </c>
      <c r="P537" s="83" t="n">
        <v>22.00949</v>
      </c>
      <c r="R537" s="83" t="n">
        <v>29.14133</v>
      </c>
      <c r="S537" s="83" t="n">
        <v>34.32076</v>
      </c>
      <c r="AA537" s="83" t="n">
        <v>22.58616</v>
      </c>
      <c r="AC537" s="83" t="n">
        <v>11.39024</v>
      </c>
      <c r="AD537" s="83" t="n">
        <v>3.630134</v>
      </c>
      <c r="AE537" s="83" t="n">
        <v>4.264457</v>
      </c>
      <c r="AG537" s="83" t="n">
        <v>9.451738000000001</v>
      </c>
      <c r="AH537" s="83" t="n">
        <v>9.729811</v>
      </c>
      <c r="AJ537" s="83" t="n">
        <v>65.71007</v>
      </c>
      <c r="AK537" s="83" t="n">
        <v>13.88248</v>
      </c>
      <c r="AO537" s="83" t="n">
        <v>4.327377</v>
      </c>
      <c r="AQ537" s="83" t="n">
        <v>25.60661</v>
      </c>
      <c r="AR537" s="83" t="n">
        <v>19.994</v>
      </c>
      <c r="AS537" s="83" t="n">
        <v>38.01585</v>
      </c>
      <c r="AT537" s="83" t="n">
        <v>6.384131</v>
      </c>
      <c r="AZ537" s="83" t="n">
        <v>26.5773</v>
      </c>
      <c r="BA537" s="83" t="n">
        <v>0.08966684</v>
      </c>
      <c r="BB537" s="83" t="n">
        <v>28.96682</v>
      </c>
      <c r="BC537" s="83" t="n">
        <v>8.062306</v>
      </c>
      <c r="BD537" s="83" t="n">
        <v>21.37614</v>
      </c>
    </row>
    <row r="538">
      <c r="A538" s="83" t="inlineStr">
        <is>
          <t>1996-01</t>
        </is>
      </c>
      <c r="B538" s="22" t="n">
        <v>35065</v>
      </c>
      <c r="C538" s="22" t="n"/>
      <c r="D538" s="22" t="n"/>
      <c r="E538" s="22" t="n">
        <v>34578</v>
      </c>
      <c r="F538" s="83" t="inlineStr">
        <is>
          <t>1994-09</t>
        </is>
      </c>
      <c r="G538" s="83" t="n">
        <v>15.19977</v>
      </c>
      <c r="I538" s="83" t="n">
        <v>2.874224</v>
      </c>
      <c r="J538" s="83" t="n">
        <v>25.89425</v>
      </c>
      <c r="K538" s="83" t="n">
        <v>42.6335</v>
      </c>
      <c r="L538" s="83" t="n">
        <v>9.110007</v>
      </c>
      <c r="M538" s="83" t="n">
        <v>3.345148</v>
      </c>
      <c r="N538" s="83" t="n">
        <v>5.708652</v>
      </c>
      <c r="P538" s="83" t="n">
        <v>22.16497</v>
      </c>
      <c r="R538" s="83" t="n">
        <v>28.79664</v>
      </c>
      <c r="S538" s="83" t="n">
        <v>34.19673</v>
      </c>
      <c r="AA538" s="83" t="n">
        <v>22.70085</v>
      </c>
      <c r="AC538" s="83" t="n">
        <v>11.53687</v>
      </c>
      <c r="AD538" s="83" t="n">
        <v>3.699441</v>
      </c>
      <c r="AE538" s="83" t="n">
        <v>4.337437</v>
      </c>
      <c r="AG538" s="83" t="n">
        <v>9.486117</v>
      </c>
      <c r="AH538" s="83" t="n">
        <v>9.872097999999999</v>
      </c>
      <c r="AJ538" s="83" t="n">
        <v>65.98000999999999</v>
      </c>
      <c r="AK538" s="83" t="n">
        <v>14.13488</v>
      </c>
      <c r="AO538" s="83" t="n">
        <v>4.437713</v>
      </c>
      <c r="AQ538" s="83" t="n">
        <v>25.75047</v>
      </c>
      <c r="AR538" s="83" t="n">
        <v>20.13384</v>
      </c>
      <c r="AS538" s="83" t="n">
        <v>38.31871</v>
      </c>
      <c r="AT538" s="83" t="n">
        <v>6.552513</v>
      </c>
      <c r="AZ538" s="83" t="n">
        <v>26.41147</v>
      </c>
      <c r="BA538" s="83" t="n">
        <v>0.09437674</v>
      </c>
      <c r="BB538" s="83" t="n">
        <v>28.97014</v>
      </c>
      <c r="BC538" s="83" t="n">
        <v>8.108701999999999</v>
      </c>
      <c r="BD538" s="83" t="n">
        <v>21.47886</v>
      </c>
    </row>
    <row r="539">
      <c r="A539" s="83" t="inlineStr">
        <is>
          <t>1996-02</t>
        </is>
      </c>
      <c r="B539" s="22" t="n">
        <v>35096</v>
      </c>
      <c r="C539" s="22" t="n"/>
      <c r="D539" s="22" t="n"/>
      <c r="E539" s="22" t="n">
        <v>34608</v>
      </c>
      <c r="F539" s="83" t="inlineStr">
        <is>
          <t>1994-10</t>
        </is>
      </c>
      <c r="G539" s="83" t="n">
        <v>15.29783</v>
      </c>
      <c r="I539" s="83" t="n">
        <v>3.011426</v>
      </c>
      <c r="J539" s="83" t="n">
        <v>25.91845</v>
      </c>
      <c r="K539" s="83" t="n">
        <v>42.77293</v>
      </c>
      <c r="L539" s="83" t="n">
        <v>9.345655000000001</v>
      </c>
      <c r="M539" s="83" t="n">
        <v>3.424112</v>
      </c>
      <c r="N539" s="83" t="n">
        <v>5.874862</v>
      </c>
      <c r="P539" s="83" t="n">
        <v>22.38793</v>
      </c>
      <c r="R539" s="83" t="n">
        <v>28.59555</v>
      </c>
      <c r="S539" s="83" t="n">
        <v>34.25485</v>
      </c>
      <c r="AA539" s="83" t="n">
        <v>22.77085</v>
      </c>
      <c r="AC539" s="83" t="n">
        <v>11.66636</v>
      </c>
      <c r="AD539" s="83" t="n">
        <v>3.757281</v>
      </c>
      <c r="AE539" s="83" t="n">
        <v>4.435031</v>
      </c>
      <c r="AG539" s="83" t="n">
        <v>9.530014</v>
      </c>
      <c r="AH539" s="83" t="n">
        <v>10.0147</v>
      </c>
      <c r="AJ539" s="83" t="n">
        <v>66.10271</v>
      </c>
      <c r="AK539" s="83" t="n">
        <v>14.35621</v>
      </c>
      <c r="AO539" s="83" t="n">
        <v>4.515057</v>
      </c>
      <c r="AQ539" s="83" t="n">
        <v>25.78447</v>
      </c>
      <c r="AR539" s="83" t="n">
        <v>20.26332</v>
      </c>
      <c r="AS539" s="83" t="n">
        <v>38.63092</v>
      </c>
      <c r="AT539" s="83" t="n">
        <v>6.667527</v>
      </c>
      <c r="AZ539" s="83" t="n">
        <v>26.42907</v>
      </c>
      <c r="BA539" s="83" t="n">
        <v>0.09994664</v>
      </c>
      <c r="BB539" s="83" t="n">
        <v>28.95518</v>
      </c>
      <c r="BC539" s="83" t="n">
        <v>8.192432999999999</v>
      </c>
      <c r="BD539" s="83" t="n">
        <v>21.58343</v>
      </c>
    </row>
    <row r="540">
      <c r="A540" s="83" t="inlineStr">
        <is>
          <t>1996-03</t>
        </is>
      </c>
      <c r="B540" s="22" t="n">
        <v>35125</v>
      </c>
      <c r="C540" s="22" t="n"/>
      <c r="D540" s="22" t="n"/>
      <c r="E540" s="22" t="n">
        <v>34639</v>
      </c>
      <c r="F540" s="83" t="inlineStr">
        <is>
          <t>1994-11</t>
        </is>
      </c>
      <c r="G540" s="83" t="n">
        <v>15.49116</v>
      </c>
      <c r="I540" s="83" t="n">
        <v>3.132388</v>
      </c>
      <c r="J540" s="83" t="n">
        <v>25.97733</v>
      </c>
      <c r="K540" s="83" t="n">
        <v>42.91948</v>
      </c>
      <c r="L540" s="83" t="n">
        <v>9.522462000000001</v>
      </c>
      <c r="M540" s="83" t="n">
        <v>3.506343</v>
      </c>
      <c r="N540" s="83" t="n">
        <v>6.016412</v>
      </c>
      <c r="P540" s="83" t="n">
        <v>22.79864</v>
      </c>
      <c r="R540" s="83" t="n">
        <v>28.52394</v>
      </c>
      <c r="S540" s="83" t="n">
        <v>34.41824</v>
      </c>
      <c r="AA540" s="83" t="n">
        <v>22.872</v>
      </c>
      <c r="AC540" s="83" t="n">
        <v>11.86837</v>
      </c>
      <c r="AD540" s="83" t="n">
        <v>3.814572</v>
      </c>
      <c r="AE540" s="83" t="n">
        <v>4.49903</v>
      </c>
      <c r="AG540" s="83" t="n">
        <v>9.559862000000001</v>
      </c>
      <c r="AH540" s="83" t="n">
        <v>10.16016</v>
      </c>
      <c r="AJ540" s="83" t="n">
        <v>66.19269</v>
      </c>
      <c r="AK540" s="83" t="n">
        <v>14.59548</v>
      </c>
      <c r="AO540" s="83" t="n">
        <v>4.539572</v>
      </c>
      <c r="AQ540" s="83" t="n">
        <v>25.81063</v>
      </c>
      <c r="AR540" s="83" t="n">
        <v>20.38137</v>
      </c>
      <c r="AS540" s="83" t="n">
        <v>39.05559</v>
      </c>
      <c r="AT540" s="83" t="n">
        <v>6.815454</v>
      </c>
      <c r="AZ540" s="83" t="n">
        <v>26.35691</v>
      </c>
      <c r="BA540" s="83" t="n">
        <v>0.1047817</v>
      </c>
      <c r="BB540" s="83" t="n">
        <v>28.97928</v>
      </c>
      <c r="BC540" s="83" t="n">
        <v>8.306296</v>
      </c>
      <c r="BD540" s="83" t="n">
        <v>21.71699</v>
      </c>
    </row>
    <row r="541">
      <c r="A541" s="83" t="inlineStr">
        <is>
          <t>1996-04</t>
        </is>
      </c>
      <c r="B541" s="22" t="n">
        <v>35156</v>
      </c>
      <c r="C541" s="22" t="n"/>
      <c r="D541" s="22" t="n"/>
      <c r="E541" s="22" t="n">
        <v>34669</v>
      </c>
      <c r="F541" s="83" t="inlineStr">
        <is>
          <t>1994-12</t>
        </is>
      </c>
      <c r="G541" s="83" t="n">
        <v>15.65366</v>
      </c>
      <c r="I541" s="83" t="n">
        <v>3.262094</v>
      </c>
      <c r="J541" s="83" t="n">
        <v>26.0649</v>
      </c>
      <c r="K541" s="83" t="n">
        <v>43.1185</v>
      </c>
      <c r="L541" s="83" t="n">
        <v>9.614050000000001</v>
      </c>
      <c r="M541" s="83" t="n">
        <v>3.583316</v>
      </c>
      <c r="N541" s="83" t="n">
        <v>6.168618</v>
      </c>
      <c r="P541" s="83" t="n">
        <v>23.40736</v>
      </c>
      <c r="R541" s="83" t="n">
        <v>28.35513</v>
      </c>
      <c r="S541" s="83" t="n">
        <v>34.8726</v>
      </c>
      <c r="AA541" s="83" t="n">
        <v>23.01167</v>
      </c>
      <c r="AC541" s="83" t="n">
        <v>11.90056</v>
      </c>
      <c r="AD541" s="83" t="n">
        <v>3.893908</v>
      </c>
      <c r="AE541" s="83" t="n">
        <v>4.548928</v>
      </c>
      <c r="AG541" s="83" t="n">
        <v>9.590674999999999</v>
      </c>
      <c r="AH541" s="83" t="n">
        <v>10.202</v>
      </c>
      <c r="AJ541" s="83" t="n">
        <v>66.38083</v>
      </c>
      <c r="AK541" s="83" t="n">
        <v>14.89881</v>
      </c>
      <c r="AO541" s="83" t="n">
        <v>4.643118</v>
      </c>
      <c r="AQ541" s="83" t="n">
        <v>25.85771</v>
      </c>
      <c r="AR541" s="83" t="n">
        <v>20.50366</v>
      </c>
      <c r="AS541" s="83" t="n">
        <v>39.22496</v>
      </c>
      <c r="AT541" s="83" t="n">
        <v>7.102392</v>
      </c>
      <c r="AZ541" s="83" t="n">
        <v>26.15871</v>
      </c>
      <c r="BA541" s="83" t="n">
        <v>0.1085302</v>
      </c>
      <c r="BB541" s="83" t="n">
        <v>28.97263</v>
      </c>
      <c r="BC541" s="83" t="n">
        <v>8.439641</v>
      </c>
      <c r="BD541" s="83" t="n">
        <v>22.03489</v>
      </c>
    </row>
    <row r="542">
      <c r="A542" s="83" t="inlineStr">
        <is>
          <t>1996-05</t>
        </is>
      </c>
      <c r="B542" s="22" t="n">
        <v>35186</v>
      </c>
      <c r="C542" s="22" t="n"/>
      <c r="D542" s="22" t="n"/>
      <c r="E542" s="22" t="n">
        <v>34700</v>
      </c>
      <c r="F542" s="83" t="inlineStr">
        <is>
          <t>1995-01</t>
        </is>
      </c>
      <c r="G542" s="83" t="n">
        <v>15.7209</v>
      </c>
      <c r="I542" s="83" t="n">
        <v>3.400568</v>
      </c>
      <c r="J542" s="83" t="n">
        <v>26.13629</v>
      </c>
      <c r="K542" s="83" t="n">
        <v>43.10541</v>
      </c>
      <c r="L542" s="83" t="n">
        <v>9.748739</v>
      </c>
      <c r="M542" s="83" t="n">
        <v>3.678381</v>
      </c>
      <c r="N542" s="83" t="n">
        <v>6.317819</v>
      </c>
      <c r="P542" s="83" t="n">
        <v>23.84007</v>
      </c>
      <c r="R542" s="83" t="n">
        <v>28.15312</v>
      </c>
      <c r="S542" s="83" t="n">
        <v>35.04473</v>
      </c>
      <c r="AA542" s="83" t="n">
        <v>23.10771</v>
      </c>
      <c r="AC542" s="83" t="n">
        <v>11.92529</v>
      </c>
      <c r="AD542" s="83" t="n">
        <v>3.986418</v>
      </c>
      <c r="AE542" s="83" t="n">
        <v>4.585485</v>
      </c>
      <c r="AG542" s="83" t="n">
        <v>9.585978000000001</v>
      </c>
      <c r="AH542" s="83" t="n">
        <v>10.21282</v>
      </c>
      <c r="AJ542" s="83" t="n">
        <v>66.57715</v>
      </c>
      <c r="AK542" s="83" t="n">
        <v>15.01891</v>
      </c>
      <c r="AO542" s="83" t="n">
        <v>4.750486</v>
      </c>
      <c r="AQ542" s="83" t="n">
        <v>25.77662</v>
      </c>
      <c r="AR542" s="83" t="n">
        <v>20.66548</v>
      </c>
      <c r="AS542" s="83" t="n">
        <v>39.35686</v>
      </c>
      <c r="AT542" s="83" t="n">
        <v>7.296115</v>
      </c>
      <c r="AZ542" s="83" t="n">
        <v>26.10616</v>
      </c>
      <c r="BA542" s="83" t="n">
        <v>0.1140564</v>
      </c>
      <c r="BB542" s="83" t="n">
        <v>29.02249</v>
      </c>
      <c r="BC542" s="83" t="n">
        <v>8.473846</v>
      </c>
      <c r="BD542" s="83" t="n">
        <v>22.39903</v>
      </c>
    </row>
    <row r="543">
      <c r="A543" s="83" t="inlineStr">
        <is>
          <t>1996-06</t>
        </is>
      </c>
      <c r="B543" s="22" t="n">
        <v>35217</v>
      </c>
      <c r="C543" s="22" t="n"/>
      <c r="D543" s="22" t="n"/>
      <c r="E543" s="22" t="n">
        <v>34731</v>
      </c>
      <c r="F543" s="83" t="inlineStr">
        <is>
          <t>1995-02</t>
        </is>
      </c>
      <c r="G543" s="83" t="n">
        <v>15.75172</v>
      </c>
      <c r="I543" s="83" t="n">
        <v>3.530016</v>
      </c>
      <c r="J543" s="83" t="n">
        <v>26.13784</v>
      </c>
      <c r="K543" s="83" t="n">
        <v>42.9701</v>
      </c>
      <c r="L543" s="83" t="n">
        <v>9.897829</v>
      </c>
      <c r="M543" s="83" t="n">
        <v>3.775278</v>
      </c>
      <c r="N543" s="83" t="n">
        <v>6.464534</v>
      </c>
      <c r="P543" s="83" t="n">
        <v>24.07183</v>
      </c>
      <c r="R543" s="83" t="n">
        <v>28.16104</v>
      </c>
      <c r="S543" s="83" t="n">
        <v>34.90718</v>
      </c>
      <c r="AA543" s="83" t="n">
        <v>23.25348</v>
      </c>
      <c r="AC543" s="83" t="n">
        <v>12.09283</v>
      </c>
      <c r="AD543" s="83" t="n">
        <v>4.085904</v>
      </c>
      <c r="AE543" s="83" t="n">
        <v>4.628234</v>
      </c>
      <c r="AG543" s="83" t="n">
        <v>9.587081</v>
      </c>
      <c r="AH543" s="83" t="n">
        <v>10.36238</v>
      </c>
      <c r="AJ543" s="83" t="n">
        <v>66.87981000000001</v>
      </c>
      <c r="AK543" s="83" t="n">
        <v>15.09808</v>
      </c>
      <c r="AO543" s="83" t="n">
        <v>4.76458</v>
      </c>
      <c r="AQ543" s="83" t="n">
        <v>25.8891</v>
      </c>
      <c r="AR543" s="83" t="n">
        <v>20.75971</v>
      </c>
      <c r="AS543" s="83" t="n">
        <v>39.60699</v>
      </c>
      <c r="AT543" s="83" t="n">
        <v>7.433502</v>
      </c>
      <c r="AZ543" s="83" t="n">
        <v>26.24988</v>
      </c>
      <c r="BA543" s="83" t="n">
        <v>0.1227489</v>
      </c>
      <c r="BB543" s="83" t="n">
        <v>29.00172</v>
      </c>
      <c r="BC543" s="83" t="n">
        <v>8.436336000000001</v>
      </c>
      <c r="BD543" s="83" t="n">
        <v>22.74401</v>
      </c>
    </row>
    <row r="544">
      <c r="A544" s="83" t="inlineStr">
        <is>
          <t>1996-07</t>
        </is>
      </c>
      <c r="B544" s="22" t="n">
        <v>35247</v>
      </c>
      <c r="C544" s="22" t="n"/>
      <c r="D544" s="22" t="n"/>
      <c r="E544" s="22" t="n">
        <v>34759</v>
      </c>
      <c r="F544" s="83" t="inlineStr">
        <is>
          <t>1995-03</t>
        </is>
      </c>
      <c r="G544" s="83" t="n">
        <v>15.88061</v>
      </c>
      <c r="I544" s="83" t="n">
        <v>3.600063</v>
      </c>
      <c r="J544" s="83" t="n">
        <v>26.2922</v>
      </c>
      <c r="K544" s="83" t="n">
        <v>42.86706</v>
      </c>
      <c r="L544" s="83" t="n">
        <v>10.07043</v>
      </c>
      <c r="M544" s="83" t="n">
        <v>3.852797</v>
      </c>
      <c r="N544" s="83" t="n">
        <v>6.65705</v>
      </c>
      <c r="P544" s="83" t="n">
        <v>24.2009</v>
      </c>
      <c r="R544" s="83" t="n">
        <v>28.35784</v>
      </c>
      <c r="S544" s="83" t="n">
        <v>34.93977</v>
      </c>
      <c r="AA544" s="83" t="n">
        <v>23.53128</v>
      </c>
      <c r="AC544" s="83" t="n">
        <v>12.26583</v>
      </c>
      <c r="AD544" s="83" t="n">
        <v>4.17741</v>
      </c>
      <c r="AE544" s="83" t="n">
        <v>4.764046</v>
      </c>
      <c r="AG544" s="83" t="n">
        <v>9.615411</v>
      </c>
      <c r="AH544" s="83" t="n">
        <v>10.5807</v>
      </c>
      <c r="AJ544" s="83" t="n">
        <v>67.02705</v>
      </c>
      <c r="AK544" s="83" t="n">
        <v>15.32363</v>
      </c>
      <c r="AO544" s="83" t="n">
        <v>4.850297</v>
      </c>
      <c r="AQ544" s="83" t="n">
        <v>26.07742</v>
      </c>
      <c r="AR544" s="83" t="n">
        <v>20.89686</v>
      </c>
      <c r="AS544" s="83" t="n">
        <v>40.00695</v>
      </c>
      <c r="AT544" s="83" t="n">
        <v>7.674423</v>
      </c>
      <c r="AZ544" s="83" t="n">
        <v>26.23694</v>
      </c>
      <c r="BA544" s="83" t="n">
        <v>0.131757</v>
      </c>
      <c r="BB544" s="83" t="n">
        <v>29.01169</v>
      </c>
      <c r="BC544" s="83" t="n">
        <v>8.548607000000001</v>
      </c>
      <c r="BD544" s="83" t="n">
        <v>22.99413</v>
      </c>
    </row>
    <row r="545">
      <c r="A545" s="83" t="inlineStr">
        <is>
          <t>1996-08</t>
        </is>
      </c>
      <c r="B545" s="22" t="n">
        <v>35278</v>
      </c>
      <c r="C545" s="22" t="n"/>
      <c r="D545" s="22" t="n"/>
      <c r="E545" s="22" t="n">
        <v>34790</v>
      </c>
      <c r="F545" s="83" t="inlineStr">
        <is>
          <t>1995-04</t>
        </is>
      </c>
      <c r="G545" s="83" t="n">
        <v>16.01229</v>
      </c>
      <c r="I545" s="83" t="n">
        <v>3.644683</v>
      </c>
      <c r="J545" s="83" t="n">
        <v>26.43033</v>
      </c>
      <c r="K545" s="83" t="n">
        <v>42.78522</v>
      </c>
      <c r="L545" s="83" t="n">
        <v>10.24099</v>
      </c>
      <c r="M545" s="83" t="n">
        <v>3.93343</v>
      </c>
      <c r="N545" s="83" t="n">
        <v>6.856443</v>
      </c>
      <c r="P545" s="83" t="n">
        <v>24.37252</v>
      </c>
      <c r="R545" s="83" t="n">
        <v>28.48176</v>
      </c>
      <c r="S545" s="83" t="n">
        <v>34.99992</v>
      </c>
      <c r="AA545" s="83" t="n">
        <v>23.72336</v>
      </c>
      <c r="AC545" s="83" t="n">
        <v>12.41145</v>
      </c>
      <c r="AD545" s="83" t="n">
        <v>4.238122</v>
      </c>
      <c r="AE545" s="83" t="n">
        <v>4.822098</v>
      </c>
      <c r="AG545" s="83" t="n">
        <v>9.597218</v>
      </c>
      <c r="AH545" s="83" t="n">
        <v>10.79768</v>
      </c>
      <c r="AJ545" s="83" t="n">
        <v>67.10885</v>
      </c>
      <c r="AK545" s="83" t="n">
        <v>15.54006</v>
      </c>
      <c r="AO545" s="83" t="n">
        <v>4.895271</v>
      </c>
      <c r="AQ545" s="83" t="n">
        <v>26.28928</v>
      </c>
      <c r="AR545" s="83" t="n">
        <v>21.03815</v>
      </c>
      <c r="AS545" s="83" t="n">
        <v>40.59649</v>
      </c>
      <c r="AT545" s="83" t="n">
        <v>7.960721</v>
      </c>
      <c r="AZ545" s="83" t="n">
        <v>26.31792</v>
      </c>
      <c r="BA545" s="83" t="n">
        <v>0.1401493</v>
      </c>
      <c r="BB545" s="83" t="n">
        <v>29.079</v>
      </c>
      <c r="BC545" s="83" t="n">
        <v>8.783345000000001</v>
      </c>
      <c r="BD545" s="83" t="n">
        <v>23.11274</v>
      </c>
    </row>
    <row r="546">
      <c r="A546" s="83" t="inlineStr">
        <is>
          <t>1996-09</t>
        </is>
      </c>
      <c r="B546" s="22" t="n">
        <v>35309</v>
      </c>
      <c r="C546" s="22" t="n"/>
      <c r="D546" s="22" t="n"/>
      <c r="E546" s="22" t="n">
        <v>34820</v>
      </c>
      <c r="F546" s="83" t="inlineStr">
        <is>
          <t>1995-05</t>
        </is>
      </c>
      <c r="G546" s="83" t="n">
        <v>16.09915</v>
      </c>
      <c r="I546" s="83" t="n">
        <v>3.732823</v>
      </c>
      <c r="J546" s="83" t="n">
        <v>26.57368</v>
      </c>
      <c r="K546" s="83" t="n">
        <v>43.01034</v>
      </c>
      <c r="L546" s="83" t="n">
        <v>10.43724</v>
      </c>
      <c r="M546" s="83" t="n">
        <v>4.014471</v>
      </c>
      <c r="N546" s="83" t="n">
        <v>7.030957</v>
      </c>
      <c r="P546" s="83" t="n">
        <v>24.81843</v>
      </c>
      <c r="R546" s="83" t="n">
        <v>28.56358</v>
      </c>
      <c r="S546" s="83" t="n">
        <v>35.14946</v>
      </c>
      <c r="AA546" s="83" t="n">
        <v>23.82262</v>
      </c>
      <c r="AC546" s="83" t="n">
        <v>12.52541</v>
      </c>
      <c r="AD546" s="83" t="n">
        <v>4.291777</v>
      </c>
      <c r="AE546" s="83" t="n">
        <v>4.806061</v>
      </c>
      <c r="AG546" s="83" t="n">
        <v>9.601129999999999</v>
      </c>
      <c r="AH546" s="83" t="n">
        <v>11.02869</v>
      </c>
      <c r="AJ546" s="83" t="n">
        <v>67.20701</v>
      </c>
      <c r="AK546" s="83" t="n">
        <v>15.76341</v>
      </c>
      <c r="AO546" s="83" t="n">
        <v>4.910354</v>
      </c>
      <c r="AQ546" s="83" t="n">
        <v>26.50376</v>
      </c>
      <c r="AR546" s="83" t="n">
        <v>21.20884</v>
      </c>
      <c r="AS546" s="83" t="n">
        <v>41.17422</v>
      </c>
      <c r="AT546" s="83" t="n">
        <v>8.178577000000001</v>
      </c>
      <c r="AZ546" s="83" t="n">
        <v>26.34927</v>
      </c>
      <c r="BA546" s="83" t="n">
        <v>0.1481249</v>
      </c>
      <c r="BB546" s="83" t="n">
        <v>29.28676</v>
      </c>
      <c r="BC546" s="83" t="n">
        <v>9.045225</v>
      </c>
      <c r="BD546" s="83" t="n">
        <v>23.23631</v>
      </c>
    </row>
    <row r="547">
      <c r="A547" s="83" t="inlineStr">
        <is>
          <t>1996-10</t>
        </is>
      </c>
      <c r="B547" s="22" t="n">
        <v>35339</v>
      </c>
      <c r="C547" s="22" t="n"/>
      <c r="D547" s="22" t="n"/>
      <c r="E547" s="22" t="n">
        <v>34851</v>
      </c>
      <c r="F547" s="83" t="inlineStr">
        <is>
          <t>1995-06</t>
        </is>
      </c>
      <c r="G547" s="83" t="n">
        <v>16.14678</v>
      </c>
      <c r="I547" s="83" t="n">
        <v>3.823047</v>
      </c>
      <c r="J547" s="83" t="n">
        <v>26.72949</v>
      </c>
      <c r="K547" s="83" t="n">
        <v>43.28071</v>
      </c>
      <c r="L547" s="83" t="n">
        <v>10.65419</v>
      </c>
      <c r="M547" s="83" t="n">
        <v>4.090871</v>
      </c>
      <c r="N547" s="83" t="n">
        <v>7.197276</v>
      </c>
      <c r="P547" s="83" t="n">
        <v>25.09566</v>
      </c>
      <c r="R547" s="83" t="n">
        <v>28.71145</v>
      </c>
      <c r="S547" s="83" t="n">
        <v>35.33707</v>
      </c>
      <c r="AA547" s="83" t="n">
        <v>23.99669</v>
      </c>
      <c r="AC547" s="83" t="n">
        <v>12.70839</v>
      </c>
      <c r="AD547" s="83" t="n">
        <v>4.383917</v>
      </c>
      <c r="AE547" s="83" t="n">
        <v>4.858943</v>
      </c>
      <c r="AG547" s="83" t="n">
        <v>9.658422</v>
      </c>
      <c r="AH547" s="83" t="n">
        <v>11.21854</v>
      </c>
      <c r="AJ547" s="83" t="n">
        <v>67.32153</v>
      </c>
      <c r="AK547" s="83" t="n">
        <v>16.0016</v>
      </c>
      <c r="AO547" s="83" t="n">
        <v>4.988491</v>
      </c>
      <c r="AQ547" s="83" t="n">
        <v>26.59792</v>
      </c>
      <c r="AR547" s="83" t="n">
        <v>21.3961</v>
      </c>
      <c r="AS547" s="83" t="n">
        <v>41.74086</v>
      </c>
      <c r="AT547" s="83" t="n">
        <v>8.352657000000001</v>
      </c>
      <c r="AZ547" s="83" t="n">
        <v>26.43472</v>
      </c>
      <c r="BA547" s="83" t="n">
        <v>0.1557636</v>
      </c>
      <c r="BB547" s="83" t="n">
        <v>29.49202</v>
      </c>
      <c r="BC547" s="83" t="n">
        <v>9.2211</v>
      </c>
      <c r="BD547" s="83" t="n">
        <v>23.37521</v>
      </c>
    </row>
    <row r="548">
      <c r="A548" s="83" t="inlineStr">
        <is>
          <t>1996-11</t>
        </is>
      </c>
      <c r="B548" s="22" t="n">
        <v>35370</v>
      </c>
      <c r="C548" s="22" t="n"/>
      <c r="D548" s="22" t="n"/>
      <c r="E548" s="22" t="n">
        <v>34881</v>
      </c>
      <c r="F548" s="83" t="inlineStr">
        <is>
          <t>1995-07</t>
        </is>
      </c>
      <c r="G548" s="83" t="n">
        <v>16.20842</v>
      </c>
      <c r="I548" s="83" t="n">
        <v>3.966213</v>
      </c>
      <c r="J548" s="83" t="n">
        <v>26.9051</v>
      </c>
      <c r="K548" s="83" t="n">
        <v>43.41705</v>
      </c>
      <c r="L548" s="83" t="n">
        <v>10.76532</v>
      </c>
      <c r="M548" s="83" t="n">
        <v>4.18152</v>
      </c>
      <c r="N548" s="83" t="n">
        <v>7.330173</v>
      </c>
      <c r="P548" s="83" t="n">
        <v>25.56504</v>
      </c>
      <c r="R548" s="83" t="n">
        <v>28.76387</v>
      </c>
      <c r="S548" s="83" t="n">
        <v>35.41512</v>
      </c>
      <c r="AA548" s="83" t="n">
        <v>24.23396</v>
      </c>
      <c r="AC548" s="83" t="n">
        <v>12.91949</v>
      </c>
      <c r="AD548" s="83" t="n">
        <v>4.495667</v>
      </c>
      <c r="AE548" s="83" t="n">
        <v>4.904411</v>
      </c>
      <c r="AG548" s="83" t="n">
        <v>9.660066</v>
      </c>
      <c r="AH548" s="83" t="n">
        <v>11.43182</v>
      </c>
      <c r="AJ548" s="83" t="n">
        <v>67.37879</v>
      </c>
      <c r="AK548" s="83" t="n">
        <v>16.24304</v>
      </c>
      <c r="AO548" s="83" t="n">
        <v>5.032389</v>
      </c>
      <c r="AQ548" s="83" t="n">
        <v>26.66854</v>
      </c>
      <c r="AR548" s="83" t="n">
        <v>21.56635</v>
      </c>
      <c r="AS548" s="83" t="n">
        <v>42.2859</v>
      </c>
      <c r="AT548" s="83" t="n">
        <v>8.576559</v>
      </c>
      <c r="AV548" s="83" t="n">
        <v>0.4661649</v>
      </c>
      <c r="AZ548" s="83" t="n">
        <v>26.57784</v>
      </c>
      <c r="BA548" s="83" t="n">
        <v>0.1642164</v>
      </c>
      <c r="BB548" s="83" t="n">
        <v>29.64576</v>
      </c>
      <c r="BC548" s="83" t="n">
        <v>9.308574</v>
      </c>
      <c r="BD548" s="83" t="n">
        <v>23.45288</v>
      </c>
    </row>
    <row r="549">
      <c r="A549" s="83" t="inlineStr">
        <is>
          <t>1996-12</t>
        </is>
      </c>
      <c r="B549" s="22" t="n">
        <v>35400</v>
      </c>
      <c r="C549" s="22" t="n"/>
      <c r="D549" s="22" t="n"/>
      <c r="E549" s="22" t="n">
        <v>34912</v>
      </c>
      <c r="F549" s="83" t="inlineStr">
        <is>
          <t>1995-08</t>
        </is>
      </c>
      <c r="G549" s="83" t="n">
        <v>16.3401</v>
      </c>
      <c r="I549" s="83" t="n">
        <v>4.172592</v>
      </c>
      <c r="J549" s="83" t="n">
        <v>27.04142</v>
      </c>
      <c r="K549" s="83" t="n">
        <v>43.67855</v>
      </c>
      <c r="L549" s="83" t="n">
        <v>10.88548</v>
      </c>
      <c r="M549" s="83" t="n">
        <v>4.277171</v>
      </c>
      <c r="N549" s="83" t="n">
        <v>7.436007</v>
      </c>
      <c r="P549" s="83" t="n">
        <v>26.59181</v>
      </c>
      <c r="R549" s="83" t="n">
        <v>28.75043</v>
      </c>
      <c r="S549" s="83" t="n">
        <v>35.39522</v>
      </c>
      <c r="AA549" s="83" t="n">
        <v>24.52649</v>
      </c>
      <c r="AC549" s="83" t="n">
        <v>13.09751</v>
      </c>
      <c r="AD549" s="83" t="n">
        <v>4.601474</v>
      </c>
      <c r="AE549" s="83" t="n">
        <v>4.962574</v>
      </c>
      <c r="AG549" s="83" t="n">
        <v>9.686919</v>
      </c>
      <c r="AH549" s="83" t="n">
        <v>11.62739</v>
      </c>
      <c r="AJ549" s="83" t="n">
        <v>67.55875</v>
      </c>
      <c r="AK549" s="83" t="n">
        <v>16.48168</v>
      </c>
      <c r="AO549" s="83" t="n">
        <v>5.095764</v>
      </c>
      <c r="AQ549" s="83" t="n">
        <v>26.84379</v>
      </c>
      <c r="AR549" s="83" t="n">
        <v>21.76791</v>
      </c>
      <c r="AS549" s="83" t="n">
        <v>42.65257</v>
      </c>
      <c r="AT549" s="83" t="n">
        <v>8.815132999999999</v>
      </c>
      <c r="AV549" s="83" t="n">
        <v>0.4843619</v>
      </c>
      <c r="AZ549" s="83" t="n">
        <v>26.74956</v>
      </c>
      <c r="BA549" s="83" t="n">
        <v>0.1726184</v>
      </c>
      <c r="BB549" s="83" t="n">
        <v>29.82526</v>
      </c>
      <c r="BC549" s="83" t="n">
        <v>9.338862000000001</v>
      </c>
      <c r="BD549" s="83" t="n">
        <v>23.55938</v>
      </c>
    </row>
    <row r="550">
      <c r="A550" s="83" t="inlineStr">
        <is>
          <t>1997-01</t>
        </is>
      </c>
      <c r="B550" s="22" t="n">
        <v>35431</v>
      </c>
      <c r="C550" s="22" t="n"/>
      <c r="D550" s="22" t="n"/>
      <c r="E550" s="22" t="n">
        <v>34943</v>
      </c>
      <c r="F550" s="83" t="inlineStr">
        <is>
          <t>1995-09</t>
        </is>
      </c>
      <c r="G550" s="83" t="n">
        <v>16.50821</v>
      </c>
      <c r="I550" s="83" t="n">
        <v>4.321382</v>
      </c>
      <c r="J550" s="83" t="n">
        <v>27.16973</v>
      </c>
      <c r="K550" s="83" t="n">
        <v>43.91418</v>
      </c>
      <c r="L550" s="83" t="n">
        <v>11.11331</v>
      </c>
      <c r="M550" s="83" t="n">
        <v>4.363658</v>
      </c>
      <c r="N550" s="83" t="n">
        <v>7.639474</v>
      </c>
      <c r="P550" s="83" t="n">
        <v>27.18587</v>
      </c>
      <c r="R550" s="83" t="n">
        <v>28.82247</v>
      </c>
      <c r="S550" s="83" t="n">
        <v>35.51575</v>
      </c>
      <c r="AA550" s="83" t="n">
        <v>24.73658</v>
      </c>
      <c r="AC550" s="83" t="n">
        <v>13.3496</v>
      </c>
      <c r="AD550" s="83" t="n">
        <v>4.694549</v>
      </c>
      <c r="AE550" s="83" t="n">
        <v>5.037403</v>
      </c>
      <c r="AG550" s="83" t="n">
        <v>9.764265</v>
      </c>
      <c r="AH550" s="83" t="n">
        <v>11.83056</v>
      </c>
      <c r="AJ550" s="83" t="n">
        <v>67.80415000000001</v>
      </c>
      <c r="AK550" s="83" t="n">
        <v>16.75093</v>
      </c>
      <c r="AO550" s="83" t="n">
        <v>5.186029</v>
      </c>
      <c r="AQ550" s="83" t="n">
        <v>26.87779</v>
      </c>
      <c r="AR550" s="83" t="n">
        <v>21.94475</v>
      </c>
      <c r="AS550" s="83" t="n">
        <v>43.09883</v>
      </c>
      <c r="AT550" s="83" t="n">
        <v>9.037318000000001</v>
      </c>
      <c r="AV550" s="83" t="n">
        <v>0.5149488</v>
      </c>
      <c r="AZ550" s="83" t="n">
        <v>26.98697</v>
      </c>
      <c r="BA550" s="83" t="n">
        <v>0.1798101</v>
      </c>
      <c r="BB550" s="83" t="n">
        <v>29.93412</v>
      </c>
      <c r="BC550" s="83" t="n">
        <v>9.387548000000001</v>
      </c>
      <c r="BD550" s="83" t="n">
        <v>23.86822</v>
      </c>
    </row>
    <row r="551">
      <c r="A551" s="83" t="inlineStr">
        <is>
          <t>1997-02</t>
        </is>
      </c>
      <c r="B551" s="22" t="n">
        <v>35462</v>
      </c>
      <c r="C551" s="22" t="n"/>
      <c r="D551" s="22" t="n"/>
      <c r="E551" s="22" t="n">
        <v>34973</v>
      </c>
      <c r="F551" s="83" t="inlineStr">
        <is>
          <t>1995-10</t>
        </is>
      </c>
      <c r="G551" s="83" t="n">
        <v>16.68472</v>
      </c>
      <c r="I551" s="83" t="n">
        <v>4.439803</v>
      </c>
      <c r="J551" s="83" t="n">
        <v>27.15934</v>
      </c>
      <c r="K551" s="83" t="n">
        <v>44.09539</v>
      </c>
      <c r="L551" s="83" t="n">
        <v>11.24747</v>
      </c>
      <c r="M551" s="83" t="n">
        <v>4.451643</v>
      </c>
      <c r="N551" s="83" t="n">
        <v>7.910765</v>
      </c>
      <c r="P551" s="83" t="n">
        <v>27.51003</v>
      </c>
      <c r="R551" s="83" t="n">
        <v>28.95426</v>
      </c>
      <c r="S551" s="83" t="n">
        <v>35.65859</v>
      </c>
      <c r="AA551" s="83" t="n">
        <v>24.9387</v>
      </c>
      <c r="AC551" s="83" t="n">
        <v>13.5932</v>
      </c>
      <c r="AD551" s="83" t="n">
        <v>4.788361</v>
      </c>
      <c r="AE551" s="83" t="n">
        <v>5.1109</v>
      </c>
      <c r="AG551" s="83" t="n">
        <v>9.77097</v>
      </c>
      <c r="AH551" s="83" t="n">
        <v>12.04128</v>
      </c>
      <c r="AJ551" s="83" t="n">
        <v>67.88594999999999</v>
      </c>
      <c r="AK551" s="83" t="n">
        <v>17.05043</v>
      </c>
      <c r="AO551" s="83" t="n">
        <v>5.294719</v>
      </c>
      <c r="AQ551" s="83" t="n">
        <v>27.34598</v>
      </c>
      <c r="AR551" s="83" t="n">
        <v>22.10395</v>
      </c>
      <c r="AS551" s="83" t="n">
        <v>43.67135</v>
      </c>
      <c r="AT551" s="83" t="n">
        <v>9.24896</v>
      </c>
      <c r="AV551" s="83" t="n">
        <v>0.5366938</v>
      </c>
      <c r="AZ551" s="83" t="n">
        <v>27.17811</v>
      </c>
      <c r="BA551" s="83" t="n">
        <v>0.1863189</v>
      </c>
      <c r="BB551" s="83" t="n">
        <v>30.02803</v>
      </c>
      <c r="BC551" s="83" t="n">
        <v>9.426302</v>
      </c>
      <c r="BD551" s="83" t="n">
        <v>24.20768</v>
      </c>
    </row>
    <row r="552">
      <c r="A552" s="83" t="inlineStr">
        <is>
          <t>1997-03</t>
        </is>
      </c>
      <c r="B552" s="22" t="n">
        <v>35490</v>
      </c>
      <c r="C552" s="22" t="n"/>
      <c r="D552" s="22" t="n"/>
      <c r="E552" s="22" t="n">
        <v>35004</v>
      </c>
      <c r="F552" s="83" t="inlineStr">
        <is>
          <t>1995-11</t>
        </is>
      </c>
      <c r="G552" s="83" t="n">
        <v>16.83322</v>
      </c>
      <c r="I552" s="83" t="n">
        <v>4.601034</v>
      </c>
      <c r="J552" s="83" t="n">
        <v>27.38886</v>
      </c>
      <c r="K552" s="83" t="n">
        <v>44.25584</v>
      </c>
      <c r="L552" s="83" t="n">
        <v>11.39327</v>
      </c>
      <c r="M552" s="83" t="n">
        <v>4.541477</v>
      </c>
      <c r="N552" s="83" t="n">
        <v>8.012881999999999</v>
      </c>
      <c r="P552" s="83" t="n">
        <v>28.04542</v>
      </c>
      <c r="R552" s="83" t="n">
        <v>29.03315</v>
      </c>
      <c r="S552" s="83" t="n">
        <v>35.87891</v>
      </c>
      <c r="AA552" s="83" t="n">
        <v>25.13872</v>
      </c>
      <c r="AC552" s="83" t="n">
        <v>13.78581</v>
      </c>
      <c r="AD552" s="83" t="n">
        <v>4.893163</v>
      </c>
      <c r="AE552" s="83" t="n">
        <v>5.158834</v>
      </c>
      <c r="AG552" s="83" t="n">
        <v>9.727136</v>
      </c>
      <c r="AH552" s="83" t="n">
        <v>12.26816</v>
      </c>
      <c r="AJ552" s="83" t="n">
        <v>68.31131000000001</v>
      </c>
      <c r="AK552" s="83" t="n">
        <v>17.37582</v>
      </c>
      <c r="AO552" s="83" t="n">
        <v>5.448874</v>
      </c>
      <c r="AQ552" s="83" t="n">
        <v>27.92402</v>
      </c>
      <c r="AR552" s="83" t="n">
        <v>22.32019</v>
      </c>
      <c r="AS552" s="83" t="n">
        <v>44.07953</v>
      </c>
      <c r="AT552" s="83" t="n">
        <v>9.498862000000001</v>
      </c>
      <c r="AV552" s="83" t="n">
        <v>0.5475883</v>
      </c>
      <c r="AZ552" s="83" t="n">
        <v>27.28294</v>
      </c>
      <c r="BA552" s="83" t="n">
        <v>0.1980051</v>
      </c>
      <c r="BB552" s="83" t="n">
        <v>30.08204</v>
      </c>
      <c r="BC552" s="83" t="n">
        <v>9.440257000000001</v>
      </c>
      <c r="BD552" s="83" t="n">
        <v>24.56487</v>
      </c>
    </row>
    <row r="553">
      <c r="A553" s="83" t="inlineStr">
        <is>
          <t>1997-04</t>
        </is>
      </c>
      <c r="B553" s="22" t="n">
        <v>35521</v>
      </c>
      <c r="C553" s="22" t="n"/>
      <c r="D553" s="22" t="n"/>
      <c r="E553" s="22" t="n">
        <v>35034</v>
      </c>
      <c r="F553" s="83" t="inlineStr">
        <is>
          <t>1995-12</t>
        </is>
      </c>
      <c r="G553" s="83" t="n">
        <v>17.02374</v>
      </c>
      <c r="I553" s="83" t="n">
        <v>4.775141</v>
      </c>
      <c r="J553" s="83" t="n">
        <v>27.45669</v>
      </c>
      <c r="K553" s="83" t="n">
        <v>44.41164</v>
      </c>
      <c r="L553" s="83" t="n">
        <v>11.58544</v>
      </c>
      <c r="M553" s="83" t="n">
        <v>4.630622</v>
      </c>
      <c r="N553" s="83" t="n">
        <v>8.039967000000001</v>
      </c>
      <c r="P553" s="83" t="n">
        <v>28.83163</v>
      </c>
      <c r="R553" s="83" t="n">
        <v>29.11155</v>
      </c>
      <c r="S553" s="83" t="n">
        <v>36.59643</v>
      </c>
      <c r="AA553" s="83" t="n">
        <v>25.62246</v>
      </c>
      <c r="AC553" s="83" t="n">
        <v>14.04984</v>
      </c>
      <c r="AD553" s="83" t="n">
        <v>4.987531</v>
      </c>
      <c r="AE553" s="83" t="n">
        <v>5.206399</v>
      </c>
      <c r="AG553" s="83" t="n">
        <v>9.769175000000001</v>
      </c>
      <c r="AH553" s="83" t="n">
        <v>12.48645</v>
      </c>
      <c r="AJ553" s="83" t="n">
        <v>68.48309</v>
      </c>
      <c r="AK553" s="83" t="n">
        <v>17.62312</v>
      </c>
      <c r="AO553" s="83" t="n">
        <v>5.59952</v>
      </c>
      <c r="AQ553" s="83" t="n">
        <v>28.11232</v>
      </c>
      <c r="AR553" s="83" t="n">
        <v>22.56988</v>
      </c>
      <c r="AS553" s="83" t="n">
        <v>44.57845</v>
      </c>
      <c r="AT553" s="83" t="n">
        <v>9.720267</v>
      </c>
      <c r="AV553" s="83" t="n">
        <v>0.5427224</v>
      </c>
      <c r="AZ553" s="83" t="n">
        <v>27.32328</v>
      </c>
      <c r="BA553" s="83" t="n">
        <v>0.2145036</v>
      </c>
      <c r="BB553" s="83" t="n">
        <v>30.16182</v>
      </c>
      <c r="BC553" s="83" t="n">
        <v>9.638271</v>
      </c>
      <c r="BD553" s="83" t="n">
        <v>24.83197</v>
      </c>
    </row>
    <row r="554">
      <c r="A554" s="83" t="inlineStr">
        <is>
          <t>1997-05</t>
        </is>
      </c>
      <c r="B554" s="22" t="n">
        <v>35551</v>
      </c>
      <c r="C554" s="22" t="n"/>
      <c r="D554" s="22" t="n"/>
      <c r="E554" s="22" t="n">
        <v>35065</v>
      </c>
      <c r="F554" s="83" t="inlineStr">
        <is>
          <t>1996-01</t>
        </is>
      </c>
      <c r="G554" s="83" t="n">
        <v>17.17504</v>
      </c>
      <c r="I554" s="83" t="n">
        <v>4.901226</v>
      </c>
      <c r="J554" s="83" t="n">
        <v>27.61694</v>
      </c>
      <c r="K554" s="83" t="n">
        <v>44.81156</v>
      </c>
      <c r="L554" s="83" t="n">
        <v>11.74377</v>
      </c>
      <c r="M554" s="83" t="n">
        <v>4.738368</v>
      </c>
      <c r="N554" s="83" t="n">
        <v>8.139726</v>
      </c>
      <c r="P554" s="83" t="n">
        <v>29.2394</v>
      </c>
      <c r="R554" s="83" t="n">
        <v>29.41434</v>
      </c>
      <c r="S554" s="83" t="n">
        <v>36.98999</v>
      </c>
      <c r="AA554" s="83" t="n">
        <v>26.42799</v>
      </c>
      <c r="AC554" s="83" t="n">
        <v>14.33198</v>
      </c>
      <c r="AD554" s="83" t="n">
        <v>5.067066</v>
      </c>
      <c r="AE554" s="83" t="n">
        <v>5.27354</v>
      </c>
      <c r="AG554" s="83" t="n">
        <v>9.899778</v>
      </c>
      <c r="AH554" s="83" t="n">
        <v>12.67265</v>
      </c>
      <c r="AJ554" s="83" t="n">
        <v>68.61398</v>
      </c>
      <c r="AK554" s="83" t="n">
        <v>17.7853</v>
      </c>
      <c r="AO554" s="83" t="n">
        <v>5.742058</v>
      </c>
      <c r="AQ554" s="83" t="n">
        <v>28.48972</v>
      </c>
      <c r="AR554" s="83" t="n">
        <v>22.86373</v>
      </c>
      <c r="AS554" s="83" t="n">
        <v>44.96269</v>
      </c>
      <c r="AT554" s="83" t="n">
        <v>9.970124</v>
      </c>
      <c r="AV554" s="83" t="n">
        <v>0.5727406</v>
      </c>
      <c r="AZ554" s="83" t="n">
        <v>27.48259</v>
      </c>
      <c r="BA554" s="83" t="n">
        <v>0.2313573</v>
      </c>
      <c r="BB554" s="83" t="n">
        <v>30.31473</v>
      </c>
      <c r="BC554" s="83" t="n">
        <v>9.861188</v>
      </c>
      <c r="BD554" s="83" t="n">
        <v>24.92008</v>
      </c>
    </row>
    <row r="555">
      <c r="A555" s="83" t="inlineStr">
        <is>
          <t>1997-06</t>
        </is>
      </c>
      <c r="B555" s="22" t="n">
        <v>35582</v>
      </c>
      <c r="C555" s="22" t="n"/>
      <c r="D555" s="22" t="n"/>
      <c r="E555" s="22" t="n">
        <v>35096</v>
      </c>
      <c r="F555" s="83" t="inlineStr">
        <is>
          <t>1996-02</t>
        </is>
      </c>
      <c r="G555" s="83" t="n">
        <v>17.2647</v>
      </c>
      <c r="I555" s="83" t="n">
        <v>4.997753</v>
      </c>
      <c r="J555" s="83" t="n">
        <v>27.86973</v>
      </c>
      <c r="K555" s="83" t="n">
        <v>45.23521</v>
      </c>
      <c r="L555" s="83" t="n">
        <v>11.94461</v>
      </c>
      <c r="M555" s="83" t="n">
        <v>4.847794</v>
      </c>
      <c r="N555" s="83" t="n">
        <v>8.303293</v>
      </c>
      <c r="P555" s="83" t="n">
        <v>29.35234</v>
      </c>
      <c r="R555" s="83" t="n">
        <v>29.77568</v>
      </c>
      <c r="S555" s="83" t="n">
        <v>36.8917</v>
      </c>
      <c r="AA555" s="83" t="n">
        <v>26.92245</v>
      </c>
      <c r="AC555" s="83" t="n">
        <v>14.65207</v>
      </c>
      <c r="AD555" s="83" t="n">
        <v>5.178958</v>
      </c>
      <c r="AE555" s="83" t="n">
        <v>5.337564</v>
      </c>
      <c r="AG555" s="83" t="n">
        <v>9.973144</v>
      </c>
      <c r="AH555" s="83" t="n">
        <v>12.90934</v>
      </c>
      <c r="AJ555" s="83" t="n">
        <v>68.73667</v>
      </c>
      <c r="AK555" s="83" t="n">
        <v>18.06084</v>
      </c>
      <c r="AO555" s="83" t="n">
        <v>5.871922</v>
      </c>
      <c r="AQ555" s="83" t="n">
        <v>29.01365</v>
      </c>
      <c r="AR555" s="83" t="n">
        <v>23.07333</v>
      </c>
      <c r="AS555" s="83" t="n">
        <v>45.31557</v>
      </c>
      <c r="AT555" s="83" t="n">
        <v>10.26811</v>
      </c>
      <c r="AV555" s="83" t="n">
        <v>0.6122772</v>
      </c>
      <c r="AZ555" s="83" t="n">
        <v>27.82173</v>
      </c>
      <c r="BA555" s="83" t="n">
        <v>0.2465764</v>
      </c>
      <c r="BB555" s="83" t="n">
        <v>30.43024</v>
      </c>
      <c r="BC555" s="83" t="n">
        <v>10.03222</v>
      </c>
      <c r="BD555" s="83" t="n">
        <v>25.05894</v>
      </c>
    </row>
    <row r="556">
      <c r="A556" s="83" t="inlineStr">
        <is>
          <t>1997-07</t>
        </is>
      </c>
      <c r="B556" s="22" t="n">
        <v>35612</v>
      </c>
      <c r="C556" s="22" t="n"/>
      <c r="D556" s="22" t="n"/>
      <c r="E556" s="22" t="n">
        <v>35125</v>
      </c>
      <c r="F556" s="83" t="inlineStr">
        <is>
          <t>1996-03</t>
        </is>
      </c>
      <c r="G556" s="83" t="n">
        <v>17.37116</v>
      </c>
      <c r="I556" s="83" t="n">
        <v>5.113463</v>
      </c>
      <c r="J556" s="83" t="n">
        <v>27.91548</v>
      </c>
      <c r="K556" s="83" t="n">
        <v>45.62819</v>
      </c>
      <c r="L556" s="83" t="n">
        <v>12.15402</v>
      </c>
      <c r="M556" s="83" t="n">
        <v>4.938909</v>
      </c>
      <c r="N556" s="83" t="n">
        <v>8.498863999999999</v>
      </c>
      <c r="P556" s="83" t="n">
        <v>29.50636</v>
      </c>
      <c r="R556" s="83" t="n">
        <v>29.87844</v>
      </c>
      <c r="S556" s="83" t="n">
        <v>37.00742</v>
      </c>
      <c r="AA556" s="83" t="n">
        <v>27.12733</v>
      </c>
      <c r="AC556" s="83" t="n">
        <v>14.9353</v>
      </c>
      <c r="AD556" s="83" t="n">
        <v>5.332672</v>
      </c>
      <c r="AE556" s="83" t="n">
        <v>5.44497</v>
      </c>
      <c r="AG556" s="83" t="n">
        <v>10.02459</v>
      </c>
      <c r="AH556" s="83" t="n">
        <v>13.18844</v>
      </c>
      <c r="AJ556" s="83" t="n">
        <v>69.05569</v>
      </c>
      <c r="AK556" s="83" t="n">
        <v>18.40527</v>
      </c>
      <c r="AO556" s="83" t="n">
        <v>6.012116</v>
      </c>
      <c r="AQ556" s="83" t="n">
        <v>29.45537</v>
      </c>
      <c r="AR556" s="83" t="n">
        <v>23.30136</v>
      </c>
      <c r="AS556" s="83" t="n">
        <v>46.10658</v>
      </c>
      <c r="AT556" s="83" t="n">
        <v>10.51237</v>
      </c>
      <c r="AV556" s="83" t="n">
        <v>0.6243107</v>
      </c>
      <c r="AZ556" s="83" t="n">
        <v>28.34458</v>
      </c>
      <c r="BA556" s="83" t="n">
        <v>0.2598142</v>
      </c>
      <c r="BB556" s="83" t="n">
        <v>30.63966</v>
      </c>
      <c r="BC556" s="83" t="n">
        <v>10.25181</v>
      </c>
      <c r="BD556" s="83" t="n">
        <v>25.3563</v>
      </c>
    </row>
    <row r="557">
      <c r="A557" s="83" t="inlineStr">
        <is>
          <t>1997-08</t>
        </is>
      </c>
      <c r="B557" s="22" t="n">
        <v>35643</v>
      </c>
      <c r="C557" s="22" t="n"/>
      <c r="D557" s="22" t="n"/>
      <c r="E557" s="22" t="n">
        <v>35156</v>
      </c>
      <c r="F557" s="83" t="inlineStr">
        <is>
          <t>1996-04</t>
        </is>
      </c>
      <c r="G557" s="83" t="n">
        <v>17.46642</v>
      </c>
      <c r="I557" s="83" t="n">
        <v>5.229693</v>
      </c>
      <c r="J557" s="83" t="n">
        <v>27.99147</v>
      </c>
      <c r="K557" s="83" t="n">
        <v>45.99216</v>
      </c>
      <c r="L557" s="83" t="n">
        <v>12.33966</v>
      </c>
      <c r="M557" s="83" t="n">
        <v>5.044221</v>
      </c>
      <c r="N557" s="83" t="n">
        <v>8.668649</v>
      </c>
      <c r="P557" s="83" t="n">
        <v>29.64717</v>
      </c>
      <c r="R557" s="83" t="n">
        <v>30.31906</v>
      </c>
      <c r="S557" s="83" t="n">
        <v>37.1212</v>
      </c>
      <c r="AA557" s="83" t="n">
        <v>27.37819</v>
      </c>
      <c r="AC557" s="83" t="n">
        <v>15.16907</v>
      </c>
      <c r="AD557" s="83" t="n">
        <v>5.475049</v>
      </c>
      <c r="AE557" s="83" t="n">
        <v>5.532153</v>
      </c>
      <c r="AG557" s="83" t="n">
        <v>10.10721</v>
      </c>
      <c r="AH557" s="83" t="n">
        <v>13.47158</v>
      </c>
      <c r="AJ557" s="83" t="n">
        <v>69.08023</v>
      </c>
      <c r="AK557" s="83" t="n">
        <v>18.68413</v>
      </c>
      <c r="AO557" s="83" t="n">
        <v>6.190065</v>
      </c>
      <c r="AQ557" s="83" t="n">
        <v>29.57449</v>
      </c>
      <c r="AR557" s="83" t="n">
        <v>23.49886</v>
      </c>
      <c r="AS557" s="83" t="n">
        <v>46.79316</v>
      </c>
      <c r="AT557" s="83" t="n">
        <v>10.78925</v>
      </c>
      <c r="AV557" s="83" t="n">
        <v>0.6410842</v>
      </c>
      <c r="AZ557" s="83" t="n">
        <v>28.80081</v>
      </c>
      <c r="BA557" s="83" t="n">
        <v>0.2777974</v>
      </c>
      <c r="BB557" s="83" t="n">
        <v>30.72941</v>
      </c>
      <c r="BC557" s="83" t="n">
        <v>10.39616</v>
      </c>
      <c r="BD557" s="83" t="n">
        <v>25.68765</v>
      </c>
    </row>
    <row r="558">
      <c r="A558" s="83" t="inlineStr">
        <is>
          <t>1997-09</t>
        </is>
      </c>
      <c r="B558" s="22" t="n">
        <v>35674</v>
      </c>
      <c r="C558" s="22" t="n"/>
      <c r="D558" s="22" t="n"/>
      <c r="E558" s="22" t="n">
        <v>35186</v>
      </c>
      <c r="F558" s="83" t="inlineStr">
        <is>
          <t>1996-05</t>
        </is>
      </c>
      <c r="G558" s="83" t="n">
        <v>17.51966</v>
      </c>
      <c r="I558" s="83" t="n">
        <v>5.350815</v>
      </c>
      <c r="J558" s="83" t="n">
        <v>28.20182</v>
      </c>
      <c r="K558" s="83" t="n">
        <v>46.11616</v>
      </c>
      <c r="L558" s="83" t="n">
        <v>12.48433</v>
      </c>
      <c r="M558" s="83" t="n">
        <v>5.149949</v>
      </c>
      <c r="N558" s="83" t="n">
        <v>8.811945</v>
      </c>
      <c r="P558" s="83" t="n">
        <v>30.17669</v>
      </c>
      <c r="R558" s="83" t="n">
        <v>30.5466</v>
      </c>
      <c r="S558" s="83" t="n">
        <v>37.19242</v>
      </c>
      <c r="AA558" s="83" t="n">
        <v>27.53238</v>
      </c>
      <c r="AC558" s="83" t="n">
        <v>15.45139</v>
      </c>
      <c r="AD558" s="83" t="n">
        <v>5.58922</v>
      </c>
      <c r="AE558" s="83" t="n">
        <v>5.561161</v>
      </c>
      <c r="AG558" s="83" t="n">
        <v>10.17305</v>
      </c>
      <c r="AH558" s="83" t="n">
        <v>13.83053</v>
      </c>
      <c r="AJ558" s="83" t="n">
        <v>69.36653</v>
      </c>
      <c r="AK558" s="83" t="n">
        <v>18.91904</v>
      </c>
      <c r="AO558" s="83" t="n">
        <v>6.359149</v>
      </c>
      <c r="AQ558" s="83" t="n">
        <v>29.55785</v>
      </c>
      <c r="AR558" s="83" t="n">
        <v>23.71518</v>
      </c>
      <c r="AS558" s="83" t="n">
        <v>47.4837</v>
      </c>
      <c r="AT558" s="83" t="n">
        <v>11.04136</v>
      </c>
      <c r="AV558" s="83" t="n">
        <v>0.6571045</v>
      </c>
      <c r="AZ558" s="83" t="n">
        <v>29.15482</v>
      </c>
      <c r="BA558" s="83" t="n">
        <v>0.2990035</v>
      </c>
      <c r="BB558" s="83" t="n">
        <v>30.82747</v>
      </c>
      <c r="BC558" s="83" t="n">
        <v>10.5149</v>
      </c>
      <c r="BD558" s="83" t="n">
        <v>26.29074</v>
      </c>
    </row>
    <row r="559">
      <c r="A559" s="83" t="inlineStr">
        <is>
          <t>1997-10</t>
        </is>
      </c>
      <c r="B559" s="22" t="n">
        <v>35704</v>
      </c>
      <c r="C559" s="22" t="n"/>
      <c r="D559" s="22" t="n"/>
      <c r="E559" s="22" t="n">
        <v>35217</v>
      </c>
      <c r="F559" s="83" t="inlineStr">
        <is>
          <t>1996-06</t>
        </is>
      </c>
      <c r="G559" s="83" t="n">
        <v>17.61492</v>
      </c>
      <c r="I559" s="83" t="n">
        <v>5.445518</v>
      </c>
      <c r="J559" s="83" t="n">
        <v>28.2821</v>
      </c>
      <c r="K559" s="83" t="n">
        <v>46.31037</v>
      </c>
      <c r="L559" s="83" t="n">
        <v>12.66634</v>
      </c>
      <c r="M559" s="83" t="n">
        <v>5.237608</v>
      </c>
      <c r="N559" s="83" t="n">
        <v>8.965020000000001</v>
      </c>
      <c r="P559" s="83" t="n">
        <v>30.44512</v>
      </c>
      <c r="R559" s="83" t="n">
        <v>30.50965</v>
      </c>
      <c r="S559" s="83" t="n">
        <v>37.31187</v>
      </c>
      <c r="AA559" s="83" t="n">
        <v>27.78526</v>
      </c>
      <c r="AC559" s="83" t="n">
        <v>15.73596</v>
      </c>
      <c r="AD559" s="83" t="n">
        <v>5.691286</v>
      </c>
      <c r="AE559" s="83" t="n">
        <v>5.631154</v>
      </c>
      <c r="AG559" s="83" t="n">
        <v>10.18427</v>
      </c>
      <c r="AH559" s="83" t="n">
        <v>14.1878</v>
      </c>
      <c r="AJ559" s="83" t="n">
        <v>69.67738</v>
      </c>
      <c r="AK559" s="83" t="n">
        <v>19.12877</v>
      </c>
      <c r="AO559" s="83" t="n">
        <v>6.48078</v>
      </c>
      <c r="AQ559" s="83" t="n">
        <v>29.52497</v>
      </c>
      <c r="AR559" s="83" t="n">
        <v>23.91018</v>
      </c>
      <c r="AS559" s="83" t="n">
        <v>48.28898</v>
      </c>
      <c r="AT559" s="83" t="n">
        <v>11.21425</v>
      </c>
      <c r="AV559" s="83" t="n">
        <v>0.6689642</v>
      </c>
      <c r="AZ559" s="83" t="n">
        <v>29.31986</v>
      </c>
      <c r="BA559" s="83" t="n">
        <v>0.3173686</v>
      </c>
      <c r="BB559" s="83" t="n">
        <v>30.93467</v>
      </c>
      <c r="BC559" s="83" t="n">
        <v>10.79649</v>
      </c>
      <c r="BD559" s="83" t="n">
        <v>26.82611</v>
      </c>
    </row>
    <row r="560">
      <c r="A560" s="83" t="inlineStr">
        <is>
          <t>1997-11</t>
        </is>
      </c>
      <c r="B560" s="22" t="n">
        <v>35735</v>
      </c>
      <c r="C560" s="22" t="n"/>
      <c r="D560" s="22" t="n"/>
      <c r="E560" s="22" t="n">
        <v>35247</v>
      </c>
      <c r="F560" s="83" t="inlineStr">
        <is>
          <t>1996-07</t>
        </is>
      </c>
      <c r="G560" s="83" t="n">
        <v>17.80544</v>
      </c>
      <c r="I560" s="83" t="n">
        <v>5.533557</v>
      </c>
      <c r="J560" s="83" t="n">
        <v>28.29709</v>
      </c>
      <c r="K560" s="83" t="n">
        <v>46.59097</v>
      </c>
      <c r="L560" s="83" t="n">
        <v>12.92787</v>
      </c>
      <c r="M560" s="83" t="n">
        <v>5.333181</v>
      </c>
      <c r="N560" s="83" t="n">
        <v>9.167672</v>
      </c>
      <c r="P560" s="83" t="n">
        <v>30.52579</v>
      </c>
      <c r="R560" s="83" t="n">
        <v>30.51793</v>
      </c>
      <c r="S560" s="83" t="n">
        <v>37.34448</v>
      </c>
      <c r="AA560" s="83" t="n">
        <v>28.16896</v>
      </c>
      <c r="AC560" s="83" t="n">
        <v>15.98214</v>
      </c>
      <c r="AD560" s="83" t="n">
        <v>5.784675</v>
      </c>
      <c r="AE560" s="83" t="n">
        <v>5.713132</v>
      </c>
      <c r="AG560" s="83" t="n">
        <v>10.17818</v>
      </c>
      <c r="AH560" s="83" t="n">
        <v>14.4342</v>
      </c>
      <c r="AJ560" s="83" t="n">
        <v>69.81644</v>
      </c>
      <c r="AK560" s="83" t="n">
        <v>19.33988</v>
      </c>
      <c r="AO560" s="83" t="n">
        <v>6.608271</v>
      </c>
      <c r="AQ560" s="83" t="n">
        <v>29.6206</v>
      </c>
      <c r="AR560" s="83" t="n">
        <v>24.10201</v>
      </c>
      <c r="AS560" s="83" t="n">
        <v>48.62912</v>
      </c>
      <c r="AT560" s="83" t="n">
        <v>11.39647</v>
      </c>
      <c r="AV560" s="83" t="n">
        <v>0.6968648</v>
      </c>
      <c r="AZ560" s="83" t="n">
        <v>29.48055</v>
      </c>
      <c r="BA560" s="83" t="n">
        <v>0.3336817</v>
      </c>
      <c r="BB560" s="83" t="n">
        <v>31.05683</v>
      </c>
      <c r="BC560" s="83" t="n">
        <v>11.03579</v>
      </c>
      <c r="BD560" s="83" t="n">
        <v>26.85933</v>
      </c>
    </row>
    <row r="561">
      <c r="A561" s="83" t="inlineStr">
        <is>
          <t>1997-12</t>
        </is>
      </c>
      <c r="B561" s="22" t="n">
        <v>35765</v>
      </c>
      <c r="C561" s="22" t="n"/>
      <c r="D561" s="22" t="n"/>
      <c r="E561" s="22" t="n">
        <v>35278</v>
      </c>
      <c r="F561" s="83" t="inlineStr">
        <is>
          <t>1996-08</t>
        </is>
      </c>
      <c r="G561" s="83" t="n">
        <v>17.95114</v>
      </c>
      <c r="I561" s="83" t="n">
        <v>5.637239</v>
      </c>
      <c r="J561" s="83" t="n">
        <v>28.3827</v>
      </c>
      <c r="K561" s="83" t="n">
        <v>46.76915</v>
      </c>
      <c r="L561" s="83" t="n">
        <v>13.24098</v>
      </c>
      <c r="M561" s="83" t="n">
        <v>5.433381</v>
      </c>
      <c r="N561" s="83" t="n">
        <v>9.371166000000001</v>
      </c>
      <c r="P561" s="83" t="n">
        <v>30.6578</v>
      </c>
      <c r="R561" s="83" t="n">
        <v>30.89207</v>
      </c>
      <c r="S561" s="83" t="n">
        <v>37.30008</v>
      </c>
      <c r="AA561" s="83" t="n">
        <v>28.41325</v>
      </c>
      <c r="AC561" s="83" t="n">
        <v>16.2717</v>
      </c>
      <c r="AD561" s="83" t="n">
        <v>5.848485</v>
      </c>
      <c r="AE561" s="83" t="n">
        <v>5.774502</v>
      </c>
      <c r="AG561" s="83" t="n">
        <v>10.22822</v>
      </c>
      <c r="AH561" s="83" t="n">
        <v>14.75103</v>
      </c>
      <c r="AJ561" s="83" t="n">
        <v>69.96368</v>
      </c>
      <c r="AK561" s="83" t="n">
        <v>19.64149</v>
      </c>
      <c r="AO561" s="83" t="n">
        <v>6.746043</v>
      </c>
      <c r="AQ561" s="83" t="n">
        <v>29.611</v>
      </c>
      <c r="AR561" s="83" t="n">
        <v>24.29368</v>
      </c>
      <c r="AS561" s="83" t="n">
        <v>48.84361</v>
      </c>
      <c r="AT561" s="83" t="n">
        <v>11.57491</v>
      </c>
      <c r="AV561" s="83" t="n">
        <v>0.7359232999999999</v>
      </c>
      <c r="AZ561" s="83" t="n">
        <v>29.68313</v>
      </c>
      <c r="BA561" s="83" t="n">
        <v>0.3579074</v>
      </c>
      <c r="BB561" s="83" t="n">
        <v>31.11417</v>
      </c>
      <c r="BC561" s="83" t="n">
        <v>11.12465</v>
      </c>
      <c r="BD561" s="83" t="n">
        <v>26.84695</v>
      </c>
    </row>
    <row r="562">
      <c r="A562" s="83" t="inlineStr">
        <is>
          <t>1998-01</t>
        </is>
      </c>
      <c r="B562" s="22" t="n">
        <v>35796</v>
      </c>
      <c r="C562" s="22" t="n"/>
      <c r="D562" s="22" t="n"/>
      <c r="E562" s="22" t="n">
        <v>35309</v>
      </c>
      <c r="F562" s="83" t="inlineStr">
        <is>
          <t>1996-09</t>
        </is>
      </c>
      <c r="G562" s="83" t="n">
        <v>17.96795</v>
      </c>
      <c r="I562" s="83" t="n">
        <v>5.741098</v>
      </c>
      <c r="J562" s="83" t="n">
        <v>28.39598</v>
      </c>
      <c r="K562" s="83" t="n">
        <v>47.04311</v>
      </c>
      <c r="L562" s="83" t="n">
        <v>13.43531</v>
      </c>
      <c r="M562" s="83" t="n">
        <v>5.529379</v>
      </c>
      <c r="N562" s="83" t="n">
        <v>9.570679</v>
      </c>
      <c r="P562" s="83" t="n">
        <v>30.50086</v>
      </c>
      <c r="R562" s="83" t="n">
        <v>31.41209</v>
      </c>
      <c r="S562" s="83" t="n">
        <v>37.3969</v>
      </c>
      <c r="AA562" s="83" t="n">
        <v>28.66116</v>
      </c>
      <c r="AC562" s="83" t="n">
        <v>16.53506</v>
      </c>
      <c r="AD562" s="83" t="n">
        <v>5.923763</v>
      </c>
      <c r="AE562" s="83" t="n">
        <v>5.842963</v>
      </c>
      <c r="AG562" s="83" t="n">
        <v>10.28307</v>
      </c>
      <c r="AH562" s="83" t="n">
        <v>15.04625</v>
      </c>
      <c r="AJ562" s="83" t="n">
        <v>70.11909</v>
      </c>
      <c r="AK562" s="83" t="n">
        <v>19.89165</v>
      </c>
      <c r="AO562" s="83" t="n">
        <v>6.899707</v>
      </c>
      <c r="AQ562" s="83" t="n">
        <v>29.53881</v>
      </c>
      <c r="AR562" s="83" t="n">
        <v>24.50978</v>
      </c>
      <c r="AS562" s="83" t="n">
        <v>49.39907</v>
      </c>
      <c r="AT562" s="83" t="n">
        <v>11.78214</v>
      </c>
      <c r="AV562" s="83" t="n">
        <v>0.7547626</v>
      </c>
      <c r="AZ562" s="83" t="n">
        <v>29.86357</v>
      </c>
      <c r="BA562" s="83" t="n">
        <v>0.3877662</v>
      </c>
      <c r="BB562" s="83" t="n">
        <v>31.19228</v>
      </c>
      <c r="BC562" s="83" t="n">
        <v>11.20199</v>
      </c>
      <c r="BD562" s="83" t="n">
        <v>27.00853</v>
      </c>
    </row>
    <row r="563">
      <c r="A563" s="83" t="inlineStr">
        <is>
          <t>1998-02</t>
        </is>
      </c>
      <c r="B563" s="22" t="n">
        <v>35827</v>
      </c>
      <c r="C563" s="22" t="n"/>
      <c r="D563" s="22" t="n"/>
      <c r="E563" s="22" t="n">
        <v>35339</v>
      </c>
      <c r="F563" s="83" t="inlineStr">
        <is>
          <t>1996-10</t>
        </is>
      </c>
      <c r="G563" s="83" t="n">
        <v>18.12485</v>
      </c>
      <c r="I563" s="83" t="n">
        <v>5.836198</v>
      </c>
      <c r="J563" s="83" t="n">
        <v>28.63383</v>
      </c>
      <c r="K563" s="83" t="n">
        <v>47.30403</v>
      </c>
      <c r="L563" s="83" t="n">
        <v>13.55807</v>
      </c>
      <c r="M563" s="83" t="n">
        <v>5.612128</v>
      </c>
      <c r="N563" s="83" t="n">
        <v>9.749146</v>
      </c>
      <c r="P563" s="83" t="n">
        <v>30.43632</v>
      </c>
      <c r="R563" s="83" t="n">
        <v>31.68658</v>
      </c>
      <c r="S563" s="83" t="n">
        <v>37.46374</v>
      </c>
      <c r="AA563" s="83" t="n">
        <v>28.87113</v>
      </c>
      <c r="AC563" s="83" t="n">
        <v>16.77698</v>
      </c>
      <c r="AD563" s="83" t="n">
        <v>6.077827</v>
      </c>
      <c r="AE563" s="83" t="n">
        <v>5.897906</v>
      </c>
      <c r="AG563" s="83" t="n">
        <v>10.27889</v>
      </c>
      <c r="AH563" s="83" t="n">
        <v>15.27591</v>
      </c>
      <c r="AJ563" s="83" t="n">
        <v>70.38903999999999</v>
      </c>
      <c r="AK563" s="83" t="n">
        <v>20.06806</v>
      </c>
      <c r="AO563" s="83" t="n">
        <v>7.080871</v>
      </c>
      <c r="AQ563" s="83" t="n">
        <v>29.73864</v>
      </c>
      <c r="AR563" s="83" t="n">
        <v>24.76553</v>
      </c>
      <c r="AS563" s="83" t="n">
        <v>50.00566</v>
      </c>
      <c r="AT563" s="83" t="n">
        <v>12.01356</v>
      </c>
      <c r="AV563" s="83" t="n">
        <v>0.7660859</v>
      </c>
      <c r="AZ563" s="83" t="n">
        <v>29.99244</v>
      </c>
      <c r="BA563" s="83" t="n">
        <v>0.4158096</v>
      </c>
      <c r="BB563" s="83" t="n">
        <v>31.33688</v>
      </c>
      <c r="BC563" s="83" t="n">
        <v>11.31463</v>
      </c>
      <c r="BD563" s="83" t="n">
        <v>27.66727</v>
      </c>
    </row>
    <row r="564">
      <c r="A564" s="83" t="inlineStr">
        <is>
          <t>1998-03</t>
        </is>
      </c>
      <c r="B564" s="22" t="n">
        <v>35855</v>
      </c>
      <c r="C564" s="22" t="n"/>
      <c r="D564" s="22" t="n"/>
      <c r="E564" s="22" t="n">
        <v>35370</v>
      </c>
      <c r="F564" s="83" t="inlineStr">
        <is>
          <t>1996-11</t>
        </is>
      </c>
      <c r="G564" s="83" t="n">
        <v>18.40783</v>
      </c>
      <c r="I564" s="83" t="n">
        <v>5.956506</v>
      </c>
      <c r="J564" s="83" t="n">
        <v>28.72161</v>
      </c>
      <c r="K564" s="83" t="n">
        <v>47.55402</v>
      </c>
      <c r="L564" s="83" t="n">
        <v>13.70026</v>
      </c>
      <c r="M564" s="83" t="n">
        <v>5.692238</v>
      </c>
      <c r="N564" s="83" t="n">
        <v>9.853106</v>
      </c>
      <c r="P564" s="83" t="n">
        <v>30.84556</v>
      </c>
      <c r="R564" s="83" t="n">
        <v>32.00305</v>
      </c>
      <c r="S564" s="83" t="n">
        <v>37.57868</v>
      </c>
      <c r="AA564" s="83" t="n">
        <v>29.27368</v>
      </c>
      <c r="AC564" s="83" t="n">
        <v>17.05252</v>
      </c>
      <c r="AD564" s="83" t="n">
        <v>6.27933</v>
      </c>
      <c r="AE564" s="83" t="n">
        <v>5.962363</v>
      </c>
      <c r="AG564" s="83" t="n">
        <v>10.31674</v>
      </c>
      <c r="AH564" s="83" t="n">
        <v>15.508</v>
      </c>
      <c r="AJ564" s="83" t="n">
        <v>70.47083000000001</v>
      </c>
      <c r="AK564" s="83" t="n">
        <v>20.38077</v>
      </c>
      <c r="AO564" s="83" t="n">
        <v>7.204772</v>
      </c>
      <c r="AQ564" s="83" t="n">
        <v>29.89644</v>
      </c>
      <c r="AR564" s="83" t="n">
        <v>25.02016</v>
      </c>
      <c r="AS564" s="83" t="n">
        <v>50.44313</v>
      </c>
      <c r="AT564" s="83" t="n">
        <v>12.23526</v>
      </c>
      <c r="AV564" s="83" t="n">
        <v>0.7715630999999999</v>
      </c>
      <c r="AZ564" s="83" t="n">
        <v>30.18898</v>
      </c>
      <c r="BA564" s="83" t="n">
        <v>0.4461176</v>
      </c>
      <c r="BB564" s="83" t="n">
        <v>31.49561</v>
      </c>
      <c r="BC564" s="83" t="n">
        <v>11.34333</v>
      </c>
      <c r="BD564" s="83" t="n">
        <v>27.92607</v>
      </c>
    </row>
    <row r="565">
      <c r="A565" s="83" t="inlineStr">
        <is>
          <t>1998-04</t>
        </is>
      </c>
      <c r="B565" s="22" t="n">
        <v>35886</v>
      </c>
      <c r="C565" s="22" t="n"/>
      <c r="D565" s="22" t="n"/>
      <c r="E565" s="22" t="n">
        <v>35400</v>
      </c>
      <c r="F565" s="83" t="inlineStr">
        <is>
          <t>1996-12</t>
        </is>
      </c>
      <c r="G565" s="83" t="n">
        <v>18.56193</v>
      </c>
      <c r="I565" s="83" t="n">
        <v>6.11346</v>
      </c>
      <c r="J565" s="83" t="n">
        <v>28.8479</v>
      </c>
      <c r="K565" s="83" t="n">
        <v>47.65002</v>
      </c>
      <c r="L565" s="83" t="n">
        <v>13.79819</v>
      </c>
      <c r="M565" s="83" t="n">
        <v>5.784771</v>
      </c>
      <c r="N565" s="83" t="n">
        <v>10.16216</v>
      </c>
      <c r="P565" s="83" t="n">
        <v>31.36627</v>
      </c>
      <c r="R565" s="83" t="n">
        <v>32.13941</v>
      </c>
      <c r="S565" s="83" t="n">
        <v>38.1425</v>
      </c>
      <c r="AA565" s="83" t="n">
        <v>29.53921</v>
      </c>
      <c r="AC565" s="83" t="n">
        <v>17.27218</v>
      </c>
      <c r="AD565" s="83" t="n">
        <v>6.4574</v>
      </c>
      <c r="AE565" s="83" t="n">
        <v>6.050006</v>
      </c>
      <c r="AG565" s="83" t="n">
        <v>10.45908</v>
      </c>
      <c r="AH565" s="83" t="n">
        <v>15.74824</v>
      </c>
      <c r="AJ565" s="83" t="n">
        <v>70.50355999999999</v>
      </c>
      <c r="AK565" s="83" t="n">
        <v>20.66747</v>
      </c>
      <c r="AO565" s="83" t="n">
        <v>7.326551</v>
      </c>
      <c r="AQ565" s="83" t="n">
        <v>29.97258</v>
      </c>
      <c r="AR565" s="83" t="n">
        <v>25.28553</v>
      </c>
      <c r="AS565" s="83" t="n">
        <v>51.04574</v>
      </c>
      <c r="AT565" s="83" t="n">
        <v>12.51805</v>
      </c>
      <c r="AV565" s="83" t="n">
        <v>0.7536651</v>
      </c>
      <c r="AZ565" s="83" t="n">
        <v>30.45578</v>
      </c>
      <c r="BA565" s="83" t="n">
        <v>0.4823274</v>
      </c>
      <c r="BB565" s="83" t="n">
        <v>31.66513</v>
      </c>
      <c r="BC565" s="83" t="n">
        <v>11.37834</v>
      </c>
      <c r="BD565" s="83" t="n">
        <v>27.6258</v>
      </c>
    </row>
    <row r="566">
      <c r="A566" s="83" t="inlineStr">
        <is>
          <t>1998-05</t>
        </is>
      </c>
      <c r="B566" s="22" t="n">
        <v>35916</v>
      </c>
      <c r="C566" s="22" t="n"/>
      <c r="D566" s="22" t="n"/>
      <c r="E566" s="22" t="n">
        <v>35431</v>
      </c>
      <c r="F566" s="83" t="inlineStr">
        <is>
          <t>1997-01</t>
        </is>
      </c>
      <c r="G566" s="83" t="n">
        <v>18.6712</v>
      </c>
      <c r="I566" s="83" t="n">
        <v>6.282371</v>
      </c>
      <c r="J566" s="83" t="n">
        <v>28.90378</v>
      </c>
      <c r="K566" s="83" t="n">
        <v>47.94678</v>
      </c>
      <c r="L566" s="83" t="n">
        <v>14.00836</v>
      </c>
      <c r="M566" s="83" t="n">
        <v>5.889438</v>
      </c>
      <c r="N566" s="83" t="n">
        <v>10.4795</v>
      </c>
      <c r="P566" s="83" t="n">
        <v>31.33547</v>
      </c>
      <c r="R566" s="83" t="n">
        <v>32.44167</v>
      </c>
      <c r="S566" s="83" t="n">
        <v>38.39735</v>
      </c>
      <c r="AA566" s="83" t="n">
        <v>29.82654</v>
      </c>
      <c r="AC566" s="83" t="n">
        <v>17.44381</v>
      </c>
      <c r="AD566" s="83" t="n">
        <v>6.598531</v>
      </c>
      <c r="AE566" s="83" t="n">
        <v>6.157489</v>
      </c>
      <c r="AG566" s="83" t="n">
        <v>10.50854</v>
      </c>
      <c r="AH566" s="83" t="n">
        <v>16.07993</v>
      </c>
      <c r="AJ566" s="83" t="n">
        <v>70.64261999999999</v>
      </c>
      <c r="AK566" s="83" t="n">
        <v>20.89485</v>
      </c>
      <c r="AO566" s="83" t="n">
        <v>7.479947</v>
      </c>
      <c r="AQ566" s="83" t="n">
        <v>29.94015</v>
      </c>
      <c r="AR566" s="83" t="n">
        <v>25.53039</v>
      </c>
      <c r="AS566" s="83" t="n">
        <v>51.72221</v>
      </c>
      <c r="AT566" s="83" t="n">
        <v>12.78282</v>
      </c>
      <c r="AV566" s="83" t="n">
        <v>0.7640824000000001</v>
      </c>
      <c r="AZ566" s="83" t="n">
        <v>30.09051</v>
      </c>
      <c r="BA566" s="83" t="n">
        <v>0.5164651</v>
      </c>
      <c r="BB566" s="83" t="n">
        <v>31.78314</v>
      </c>
      <c r="BC566" s="83" t="n">
        <v>11.65893</v>
      </c>
      <c r="BD566" s="83" t="n">
        <v>27.73085</v>
      </c>
    </row>
    <row r="567">
      <c r="A567" s="83" t="inlineStr">
        <is>
          <t>1998-06</t>
        </is>
      </c>
      <c r="B567" s="22" t="n">
        <v>35947</v>
      </c>
      <c r="C567" s="22" t="n"/>
      <c r="D567" s="22" t="n"/>
      <c r="E567" s="22" t="n">
        <v>35462</v>
      </c>
      <c r="F567" s="83" t="inlineStr">
        <is>
          <t>1997-02</t>
        </is>
      </c>
      <c r="G567" s="83" t="n">
        <v>18.80008</v>
      </c>
      <c r="I567" s="83" t="n">
        <v>6.410391</v>
      </c>
      <c r="J567" s="83" t="n">
        <v>29.15843</v>
      </c>
      <c r="K567" s="83" t="n">
        <v>48.59116</v>
      </c>
      <c r="L567" s="83" t="n">
        <v>14.28699</v>
      </c>
      <c r="M567" s="83" t="n">
        <v>5.991261</v>
      </c>
      <c r="N567" s="83" t="n">
        <v>10.58291</v>
      </c>
      <c r="P567" s="83" t="n">
        <v>31.16679</v>
      </c>
      <c r="R567" s="83" t="n">
        <v>32.74386</v>
      </c>
      <c r="S567" s="83" t="n">
        <v>38.25387</v>
      </c>
      <c r="AA567" s="83" t="n">
        <v>30.31375</v>
      </c>
      <c r="AC567" s="83" t="n">
        <v>17.61122</v>
      </c>
      <c r="AD567" s="83" t="n">
        <v>6.718781</v>
      </c>
      <c r="AE567" s="83" t="n">
        <v>6.260836</v>
      </c>
      <c r="AG567" s="83" t="n">
        <v>10.57753</v>
      </c>
      <c r="AH567" s="83" t="n">
        <v>16.41746</v>
      </c>
      <c r="AJ567" s="83" t="n">
        <v>70.6917</v>
      </c>
      <c r="AK567" s="83" t="n">
        <v>21.18698</v>
      </c>
      <c r="AO567" s="83" t="n">
        <v>7.645288</v>
      </c>
      <c r="AQ567" s="83" t="n">
        <v>29.69232</v>
      </c>
      <c r="AR567" s="83" t="n">
        <v>25.72057</v>
      </c>
      <c r="AS567" s="83" t="n">
        <v>52.27209</v>
      </c>
      <c r="AT567" s="83" t="n">
        <v>12.98265</v>
      </c>
      <c r="AV567" s="83" t="n">
        <v>0.7933573</v>
      </c>
      <c r="AZ567" s="83" t="n">
        <v>29.95451</v>
      </c>
      <c r="BA567" s="83" t="n">
        <v>0.5456225</v>
      </c>
      <c r="BB567" s="83" t="n">
        <v>31.88037</v>
      </c>
      <c r="BC567" s="83" t="n">
        <v>11.86963</v>
      </c>
      <c r="BD567" s="83" t="n">
        <v>27.85063</v>
      </c>
    </row>
    <row r="568">
      <c r="A568" s="83" t="inlineStr">
        <is>
          <t>1998-07</t>
        </is>
      </c>
      <c r="B568" s="22" t="n">
        <v>35977</v>
      </c>
      <c r="C568" s="22" t="n"/>
      <c r="D568" s="22" t="n"/>
      <c r="E568" s="22" t="n">
        <v>35490</v>
      </c>
      <c r="F568" s="83" t="inlineStr">
        <is>
          <t>1997-03</t>
        </is>
      </c>
      <c r="G568" s="83" t="n">
        <v>18.91496</v>
      </c>
      <c r="I568" s="83" t="n">
        <v>6.501035</v>
      </c>
      <c r="J568" s="83" t="n">
        <v>29.41634</v>
      </c>
      <c r="K568" s="83" t="n">
        <v>48.65209</v>
      </c>
      <c r="L568" s="83" t="n">
        <v>14.49251</v>
      </c>
      <c r="M568" s="83" t="n">
        <v>6.080154</v>
      </c>
      <c r="N568" s="83" t="n">
        <v>10.71132</v>
      </c>
      <c r="P568" s="83" t="n">
        <v>31.20493</v>
      </c>
      <c r="R568" s="83" t="n">
        <v>32.87739</v>
      </c>
      <c r="S568" s="83" t="n">
        <v>38.34108</v>
      </c>
      <c r="AA568" s="83" t="n">
        <v>30.54671</v>
      </c>
      <c r="AC568" s="83" t="n">
        <v>17.76651</v>
      </c>
      <c r="AD568" s="83" t="n">
        <v>6.824524</v>
      </c>
      <c r="AE568" s="83" t="n">
        <v>6.354182</v>
      </c>
      <c r="AG568" s="83" t="n">
        <v>10.64474</v>
      </c>
      <c r="AH568" s="83" t="n">
        <v>16.65975</v>
      </c>
      <c r="AJ568" s="83" t="n">
        <v>70.91256</v>
      </c>
      <c r="AK568" s="83" t="n">
        <v>21.40636</v>
      </c>
      <c r="AO568" s="83" t="n">
        <v>7.843302</v>
      </c>
      <c r="AQ568" s="83" t="n">
        <v>29.59722</v>
      </c>
      <c r="AR568" s="83" t="n">
        <v>25.92969</v>
      </c>
      <c r="AS568" s="83" t="n">
        <v>52.82116</v>
      </c>
      <c r="AT568" s="83" t="n">
        <v>13.22568</v>
      </c>
      <c r="AV568" s="83" t="n">
        <v>0.806127</v>
      </c>
      <c r="AZ568" s="83" t="n">
        <v>30.3448</v>
      </c>
      <c r="BA568" s="83" t="n">
        <v>0.5767538</v>
      </c>
      <c r="BB568" s="83" t="n">
        <v>32.00419</v>
      </c>
      <c r="BC568" s="83" t="n">
        <v>12.01822</v>
      </c>
      <c r="BD568" s="83" t="n">
        <v>27.8828</v>
      </c>
    </row>
    <row r="569">
      <c r="A569" s="83" t="inlineStr">
        <is>
          <t>1998-08</t>
        </is>
      </c>
      <c r="B569" s="22" t="n">
        <v>36008</v>
      </c>
      <c r="C569" s="22" t="n"/>
      <c r="D569" s="22" t="n"/>
      <c r="E569" s="22" t="n">
        <v>35521</v>
      </c>
      <c r="F569" s="83" t="inlineStr">
        <is>
          <t>1997-04</t>
        </is>
      </c>
      <c r="G569" s="83" t="n">
        <v>19.02983</v>
      </c>
      <c r="I569" s="83" t="n">
        <v>6.601151</v>
      </c>
      <c r="J569" s="83" t="n">
        <v>29.38351</v>
      </c>
      <c r="K569" s="83" t="n">
        <v>48.60591</v>
      </c>
      <c r="L569" s="83" t="n">
        <v>14.73913</v>
      </c>
      <c r="M569" s="83" t="n">
        <v>6.176091</v>
      </c>
      <c r="N569" s="83" t="n">
        <v>10.91912</v>
      </c>
      <c r="P569" s="83" t="n">
        <v>31.31494</v>
      </c>
      <c r="R569" s="83" t="n">
        <v>32.83972</v>
      </c>
      <c r="S569" s="83" t="n">
        <v>38.42094</v>
      </c>
      <c r="AA569" s="83" t="n">
        <v>30.65005</v>
      </c>
      <c r="AC569" s="83" t="n">
        <v>17.9419</v>
      </c>
      <c r="AD569" s="83" t="n">
        <v>6.913844</v>
      </c>
      <c r="AE569" s="83" t="n">
        <v>6.42922</v>
      </c>
      <c r="AG569" s="83" t="n">
        <v>10.74691</v>
      </c>
      <c r="AH569" s="83" t="n">
        <v>16.85908</v>
      </c>
      <c r="AJ569" s="83" t="n">
        <v>71.33792</v>
      </c>
      <c r="AK569" s="83" t="n">
        <v>21.6094</v>
      </c>
      <c r="AO569" s="83" t="n">
        <v>8.059464999999999</v>
      </c>
      <c r="AQ569" s="83" t="n">
        <v>29.69263</v>
      </c>
      <c r="AR569" s="83" t="n">
        <v>26.13503</v>
      </c>
      <c r="AS569" s="83" t="n">
        <v>53.36908</v>
      </c>
      <c r="AT569" s="83" t="n">
        <v>13.53003</v>
      </c>
      <c r="AV569" s="83" t="n">
        <v>0.8238381</v>
      </c>
      <c r="AZ569" s="83" t="n">
        <v>30.32062</v>
      </c>
      <c r="BA569" s="83" t="n">
        <v>0.606689</v>
      </c>
      <c r="BB569" s="83" t="n">
        <v>32.13715</v>
      </c>
      <c r="BC569" s="83" t="n">
        <v>12.1566</v>
      </c>
      <c r="BD569" s="83" t="n">
        <v>28.16994</v>
      </c>
    </row>
    <row r="570">
      <c r="A570" s="83" t="inlineStr">
        <is>
          <t>1998-09</t>
        </is>
      </c>
      <c r="B570" s="22" t="n">
        <v>36039</v>
      </c>
      <c r="C570" s="22" t="n"/>
      <c r="D570" s="22" t="n"/>
      <c r="E570" s="22" t="n">
        <v>35551</v>
      </c>
      <c r="F570" s="83" t="inlineStr">
        <is>
          <t>1997-05</t>
        </is>
      </c>
      <c r="G570" s="83" t="n">
        <v>19.17833</v>
      </c>
      <c r="I570" s="83" t="n">
        <v>6.701097</v>
      </c>
      <c r="J570" s="83" t="n">
        <v>29.39566</v>
      </c>
      <c r="K570" s="83" t="n">
        <v>48.8822</v>
      </c>
      <c r="L570" s="83" t="n">
        <v>15.01555</v>
      </c>
      <c r="M570" s="83" t="n">
        <v>6.271111</v>
      </c>
      <c r="N570" s="83" t="n">
        <v>11.11711</v>
      </c>
      <c r="P570" s="83" t="n">
        <v>31.87966</v>
      </c>
      <c r="R570" s="83" t="n">
        <v>32.8327</v>
      </c>
      <c r="S570" s="83" t="n">
        <v>38.61497</v>
      </c>
      <c r="AA570" s="83" t="n">
        <v>30.79831</v>
      </c>
      <c r="AC570" s="83" t="n">
        <v>18.25899</v>
      </c>
      <c r="AD570" s="83" t="n">
        <v>6.994459</v>
      </c>
      <c r="AE570" s="83" t="n">
        <v>6.495253</v>
      </c>
      <c r="AG570" s="83" t="n">
        <v>10.86526</v>
      </c>
      <c r="AH570" s="83" t="n">
        <v>17.07006</v>
      </c>
      <c r="AJ570" s="83" t="n">
        <v>71.45244</v>
      </c>
      <c r="AK570" s="83" t="n">
        <v>21.91797</v>
      </c>
      <c r="AO570" s="83" t="n">
        <v>8.253190999999999</v>
      </c>
      <c r="AQ570" s="83" t="n">
        <v>29.81617</v>
      </c>
      <c r="AR570" s="83" t="n">
        <v>26.31369</v>
      </c>
      <c r="AS570" s="83" t="n">
        <v>54.07401</v>
      </c>
      <c r="AT570" s="83" t="n">
        <v>13.86675</v>
      </c>
      <c r="AV570" s="83" t="n">
        <v>0.8479068</v>
      </c>
      <c r="AZ570" s="83" t="n">
        <v>30.32071</v>
      </c>
      <c r="BA570" s="83" t="n">
        <v>0.6342878</v>
      </c>
      <c r="BB570" s="83" t="n">
        <v>32.23604</v>
      </c>
      <c r="BC570" s="83" t="n">
        <v>12.23977</v>
      </c>
      <c r="BD570" s="83" t="n">
        <v>28.37377</v>
      </c>
    </row>
    <row r="571">
      <c r="A571" s="83" t="inlineStr">
        <is>
          <t>1998-10</t>
        </is>
      </c>
      <c r="B571" s="22" t="n">
        <v>36069</v>
      </c>
      <c r="C571" s="22" t="n"/>
      <c r="D571" s="22" t="n"/>
      <c r="E571" s="22" t="n">
        <v>35582</v>
      </c>
      <c r="F571" s="83" t="inlineStr">
        <is>
          <t>1997-06</t>
        </is>
      </c>
      <c r="G571" s="83" t="n">
        <v>19.2932</v>
      </c>
      <c r="I571" s="83" t="n">
        <v>6.814373</v>
      </c>
      <c r="J571" s="83" t="n">
        <v>29.45434</v>
      </c>
      <c r="K571" s="83" t="n">
        <v>49.00355</v>
      </c>
      <c r="L571" s="83" t="n">
        <v>15.23941</v>
      </c>
      <c r="M571" s="83" t="n">
        <v>6.350216</v>
      </c>
      <c r="N571" s="83" t="n">
        <v>11.35559</v>
      </c>
      <c r="P571" s="83" t="n">
        <v>32.17155</v>
      </c>
      <c r="R571" s="83" t="n">
        <v>33.10973</v>
      </c>
      <c r="S571" s="83" t="n">
        <v>38.91141</v>
      </c>
      <c r="AA571" s="83" t="n">
        <v>31.35866</v>
      </c>
      <c r="AC571" s="83" t="n">
        <v>18.56129</v>
      </c>
      <c r="AD571" s="83" t="n">
        <v>7.104663</v>
      </c>
      <c r="AE571" s="83" t="n">
        <v>6.591904</v>
      </c>
      <c r="AG571" s="83" t="n">
        <v>10.84021</v>
      </c>
      <c r="AH571" s="83" t="n">
        <v>17.44647</v>
      </c>
      <c r="AJ571" s="83" t="n">
        <v>71.72238</v>
      </c>
      <c r="AK571" s="83" t="n">
        <v>22.21436</v>
      </c>
      <c r="AO571" s="83" t="n">
        <v>8.466509</v>
      </c>
      <c r="AQ571" s="83" t="n">
        <v>30.05842</v>
      </c>
      <c r="AR571" s="83" t="n">
        <v>26.56314</v>
      </c>
      <c r="AS571" s="83" t="n">
        <v>54.78514</v>
      </c>
      <c r="AT571" s="83" t="n">
        <v>14.18745</v>
      </c>
      <c r="AV571" s="83" t="n">
        <v>0.8650798</v>
      </c>
      <c r="AZ571" s="83" t="n">
        <v>30.60115</v>
      </c>
      <c r="BA571" s="83" t="n">
        <v>0.6678741</v>
      </c>
      <c r="BB571" s="83" t="n">
        <v>32.37482</v>
      </c>
      <c r="BC571" s="83" t="n">
        <v>12.39816</v>
      </c>
      <c r="BD571" s="83" t="n">
        <v>28.39077</v>
      </c>
    </row>
    <row r="572">
      <c r="A572" s="83" t="inlineStr">
        <is>
          <t>1998-11</t>
        </is>
      </c>
      <c r="B572" s="22" t="n">
        <v>36100</v>
      </c>
      <c r="C572" s="22" t="n"/>
      <c r="D572" s="22" t="n"/>
      <c r="E572" s="22" t="n">
        <v>35612</v>
      </c>
      <c r="F572" s="83" t="inlineStr">
        <is>
          <t>1997-07</t>
        </is>
      </c>
      <c r="G572" s="83" t="n">
        <v>19.36604</v>
      </c>
      <c r="I572" s="83" t="n">
        <v>6.925105</v>
      </c>
      <c r="J572" s="83" t="n">
        <v>29.4226</v>
      </c>
      <c r="K572" s="83" t="n">
        <v>49.00799</v>
      </c>
      <c r="L572" s="83" t="n">
        <v>15.44487</v>
      </c>
      <c r="M572" s="83" t="n">
        <v>6.417188</v>
      </c>
      <c r="N572" s="83" t="n">
        <v>11.65414</v>
      </c>
      <c r="P572" s="83" t="n">
        <v>32.39011</v>
      </c>
      <c r="R572" s="83" t="n">
        <v>33.48093</v>
      </c>
      <c r="S572" s="83" t="n">
        <v>39.03286</v>
      </c>
      <c r="AA572" s="83" t="n">
        <v>32.03393</v>
      </c>
      <c r="AC572" s="83" t="n">
        <v>18.89883</v>
      </c>
      <c r="AD572" s="83" t="n">
        <v>7.220211</v>
      </c>
      <c r="AE572" s="83" t="n">
        <v>6.673553</v>
      </c>
      <c r="AG572" s="83" t="n">
        <v>10.92542</v>
      </c>
      <c r="AH572" s="83" t="n">
        <v>17.7264</v>
      </c>
      <c r="AJ572" s="83" t="n">
        <v>71.96778</v>
      </c>
      <c r="AK572" s="83" t="n">
        <v>22.481</v>
      </c>
      <c r="AO572" s="83" t="n">
        <v>8.677898000000001</v>
      </c>
      <c r="AQ572" s="83" t="n">
        <v>30.35822</v>
      </c>
      <c r="AR572" s="83" t="n">
        <v>26.83459</v>
      </c>
      <c r="AS572" s="83" t="n">
        <v>55.43475</v>
      </c>
      <c r="AT572" s="83" t="n">
        <v>14.56986</v>
      </c>
      <c r="AV572" s="83" t="n">
        <v>0.8966795</v>
      </c>
      <c r="AZ572" s="83" t="n">
        <v>30.65915</v>
      </c>
      <c r="BA572" s="83" t="n">
        <v>0.7129062</v>
      </c>
      <c r="BB572" s="83" t="n">
        <v>32.52441</v>
      </c>
      <c r="BC572" s="83" t="n">
        <v>12.54763</v>
      </c>
      <c r="BD572" s="83" t="n">
        <v>28.59347</v>
      </c>
    </row>
    <row r="573">
      <c r="A573" s="83" t="inlineStr">
        <is>
          <t>1998-12</t>
        </is>
      </c>
      <c r="B573" s="22" t="n">
        <v>36130</v>
      </c>
      <c r="C573" s="22" t="n"/>
      <c r="D573" s="22" t="n"/>
      <c r="E573" s="22" t="n">
        <v>35643</v>
      </c>
      <c r="F573" s="83" t="inlineStr">
        <is>
          <t>1997-08</t>
        </is>
      </c>
      <c r="G573" s="83" t="n">
        <v>19.43329</v>
      </c>
      <c r="I573" s="83" t="n">
        <v>7.033722</v>
      </c>
      <c r="J573" s="83" t="n">
        <v>29.65926</v>
      </c>
      <c r="K573" s="83" t="n">
        <v>48.9846</v>
      </c>
      <c r="L573" s="83" t="n">
        <v>15.57421</v>
      </c>
      <c r="M573" s="83" t="n">
        <v>6.49408</v>
      </c>
      <c r="N573" s="83" t="n">
        <v>11.86852</v>
      </c>
      <c r="P573" s="83" t="n">
        <v>32.94163</v>
      </c>
      <c r="R573" s="83" t="n">
        <v>33.54644</v>
      </c>
      <c r="S573" s="83" t="n">
        <v>38.95157</v>
      </c>
      <c r="AA573" s="83" t="n">
        <v>32.3969</v>
      </c>
      <c r="AC573" s="83" t="n">
        <v>19.21565</v>
      </c>
      <c r="AD573" s="83" t="n">
        <v>7.380085</v>
      </c>
      <c r="AE573" s="83" t="n">
        <v>6.733028</v>
      </c>
      <c r="AG573" s="83" t="n">
        <v>11.01565</v>
      </c>
      <c r="AH573" s="83" t="n">
        <v>17.87726</v>
      </c>
      <c r="AJ573" s="83" t="n">
        <v>72.205</v>
      </c>
      <c r="AK573" s="83" t="n">
        <v>22.73847</v>
      </c>
      <c r="AO573" s="83" t="n">
        <v>8.869699000000001</v>
      </c>
      <c r="AQ573" s="83" t="n">
        <v>30.5852</v>
      </c>
      <c r="AR573" s="83" t="n">
        <v>27.14618</v>
      </c>
      <c r="AS573" s="83" t="n">
        <v>56.07962</v>
      </c>
      <c r="AT573" s="83" t="n">
        <v>14.87917</v>
      </c>
      <c r="AV573" s="83" t="n">
        <v>0.9482781</v>
      </c>
      <c r="AZ573" s="83" t="n">
        <v>30.73143</v>
      </c>
      <c r="BA573" s="83" t="n">
        <v>0.7659566</v>
      </c>
      <c r="BB573" s="83" t="n">
        <v>32.8028</v>
      </c>
      <c r="BC573" s="83" t="n">
        <v>12.70568</v>
      </c>
      <c r="BD573" s="83" t="n">
        <v>29.04001</v>
      </c>
    </row>
    <row r="574">
      <c r="A574" s="83" t="inlineStr">
        <is>
          <t>1999-01</t>
        </is>
      </c>
      <c r="B574" s="22" t="n">
        <v>36161</v>
      </c>
      <c r="C574" s="22" t="n"/>
      <c r="D574" s="22" t="n"/>
      <c r="E574" s="22" t="n">
        <v>35674</v>
      </c>
      <c r="F574" s="83" t="inlineStr">
        <is>
          <t>1997-09</t>
        </is>
      </c>
      <c r="G574" s="83" t="n">
        <v>19.46411</v>
      </c>
      <c r="I574" s="83" t="n">
        <v>7.150209</v>
      </c>
      <c r="J574" s="83" t="n">
        <v>29.80214</v>
      </c>
      <c r="K574" s="83" t="n">
        <v>49.01237</v>
      </c>
      <c r="L574" s="83" t="n">
        <v>15.8124</v>
      </c>
      <c r="M574" s="83" t="n">
        <v>6.587339</v>
      </c>
      <c r="N574" s="83" t="n">
        <v>12.10756</v>
      </c>
      <c r="P574" s="83" t="n">
        <v>32.95923</v>
      </c>
      <c r="R574" s="83" t="n">
        <v>33.32341</v>
      </c>
      <c r="S574" s="83" t="n">
        <v>38.949</v>
      </c>
      <c r="AA574" s="83" t="n">
        <v>31.63608</v>
      </c>
      <c r="AC574" s="83" t="n">
        <v>19.45397</v>
      </c>
      <c r="AD574" s="83" t="n">
        <v>7.535261</v>
      </c>
      <c r="AE574" s="83" t="n">
        <v>6.807507</v>
      </c>
      <c r="AG574" s="83" t="n">
        <v>11.09088</v>
      </c>
      <c r="AH574" s="83" t="n">
        <v>18.11724</v>
      </c>
      <c r="AJ574" s="83" t="n">
        <v>72.34406</v>
      </c>
      <c r="AK574" s="83" t="n">
        <v>23.02811</v>
      </c>
      <c r="AO574" s="83" t="n">
        <v>9.039892</v>
      </c>
      <c r="AQ574" s="83" t="n">
        <v>30.93669</v>
      </c>
      <c r="AR574" s="83" t="n">
        <v>27.31526</v>
      </c>
      <c r="AS574" s="83" t="n">
        <v>56.51514</v>
      </c>
      <c r="AT574" s="83" t="n">
        <v>15.12022</v>
      </c>
      <c r="AV574" s="83" t="n">
        <v>0.9761696</v>
      </c>
      <c r="AZ574" s="83" t="n">
        <v>30.76234</v>
      </c>
      <c r="BA574" s="83" t="n">
        <v>0.8213317</v>
      </c>
      <c r="BB574" s="83" t="n">
        <v>32.93327</v>
      </c>
      <c r="BC574" s="83" t="n">
        <v>13.03506</v>
      </c>
      <c r="BD574" s="83" t="n">
        <v>29.58066</v>
      </c>
    </row>
    <row r="575">
      <c r="A575" s="83" t="inlineStr">
        <is>
          <t>1999-02</t>
        </is>
      </c>
      <c r="B575" s="22" t="n">
        <v>36192</v>
      </c>
      <c r="C575" s="22" t="n"/>
      <c r="D575" s="22" t="n"/>
      <c r="E575" s="22" t="n">
        <v>35704</v>
      </c>
      <c r="F575" s="83" t="inlineStr">
        <is>
          <t>1997-10</t>
        </is>
      </c>
      <c r="G575" s="83" t="n">
        <v>19.54816</v>
      </c>
      <c r="I575" s="83" t="n">
        <v>7.269639</v>
      </c>
      <c r="J575" s="83" t="n">
        <v>30.00246</v>
      </c>
      <c r="K575" s="83" t="n">
        <v>49.15188</v>
      </c>
      <c r="L575" s="83" t="n">
        <v>16.13426</v>
      </c>
      <c r="M575" s="83" t="n">
        <v>6.707353</v>
      </c>
      <c r="N575" s="83" t="n">
        <v>12.41401</v>
      </c>
      <c r="P575" s="83" t="n">
        <v>32.86242</v>
      </c>
      <c r="R575" s="83" t="n">
        <v>33.88049</v>
      </c>
      <c r="S575" s="83" t="n">
        <v>39.06906</v>
      </c>
      <c r="AA575" s="83" t="n">
        <v>31.33507</v>
      </c>
      <c r="AC575" s="83" t="n">
        <v>19.87755</v>
      </c>
      <c r="AD575" s="83" t="n">
        <v>7.729321</v>
      </c>
      <c r="AE575" s="83" t="n">
        <v>6.900248</v>
      </c>
      <c r="AG575" s="83" t="n">
        <v>11.21893</v>
      </c>
      <c r="AH575" s="83" t="n">
        <v>18.34581</v>
      </c>
      <c r="AJ575" s="83" t="n">
        <v>72.55674</v>
      </c>
      <c r="AK575" s="83" t="n">
        <v>23.31734</v>
      </c>
      <c r="AO575" s="83" t="n">
        <v>9.197709</v>
      </c>
      <c r="AQ575" s="83" t="n">
        <v>31.14988</v>
      </c>
      <c r="AR575" s="83" t="n">
        <v>27.54548</v>
      </c>
      <c r="AS575" s="83" t="n">
        <v>56.77938</v>
      </c>
      <c r="AT575" s="83" t="n">
        <v>15.49076</v>
      </c>
      <c r="AV575" s="83" t="n">
        <v>0.9924404999999999</v>
      </c>
      <c r="AZ575" s="83" t="n">
        <v>30.71762</v>
      </c>
      <c r="BA575" s="83" t="n">
        <v>0.8797743</v>
      </c>
      <c r="BB575" s="83" t="n">
        <v>33.09199</v>
      </c>
      <c r="BC575" s="83" t="n">
        <v>13.35068</v>
      </c>
      <c r="BD575" s="83" t="n">
        <v>29.61273</v>
      </c>
    </row>
    <row r="576">
      <c r="A576" s="83" t="inlineStr">
        <is>
          <t>1999-03</t>
        </is>
      </c>
      <c r="B576" s="22" t="n">
        <v>36220</v>
      </c>
      <c r="C576" s="22" t="n"/>
      <c r="D576" s="22" t="n"/>
      <c r="E576" s="22" t="n">
        <v>35735</v>
      </c>
      <c r="F576" s="83" t="inlineStr">
        <is>
          <t>1997-11</t>
        </is>
      </c>
      <c r="G576" s="83" t="n">
        <v>19.67705</v>
      </c>
      <c r="I576" s="83" t="n">
        <v>7.337827</v>
      </c>
      <c r="J576" s="83" t="n">
        <v>30.10957</v>
      </c>
      <c r="K576" s="83" t="n">
        <v>49.13153</v>
      </c>
      <c r="L576" s="83" t="n">
        <v>16.33817</v>
      </c>
      <c r="M576" s="83" t="n">
        <v>6.820851</v>
      </c>
      <c r="N576" s="83" t="n">
        <v>12.72331</v>
      </c>
      <c r="P576" s="83" t="n">
        <v>33.10298</v>
      </c>
      <c r="R576" s="83" t="n">
        <v>34.43483</v>
      </c>
      <c r="S576" s="83" t="n">
        <v>39.30001</v>
      </c>
      <c r="AA576" s="83" t="n">
        <v>32.01254</v>
      </c>
      <c r="AC576" s="83" t="n">
        <v>20.14909</v>
      </c>
      <c r="AD576" s="83" t="n">
        <v>7.756963</v>
      </c>
      <c r="AE576" s="83" t="n">
        <v>7.008625</v>
      </c>
      <c r="AG576" s="83" t="n">
        <v>11.31841</v>
      </c>
      <c r="AH576" s="83" t="n">
        <v>18.63769</v>
      </c>
      <c r="AJ576" s="83" t="n">
        <v>72.7367</v>
      </c>
      <c r="AK576" s="83" t="n">
        <v>23.45551</v>
      </c>
      <c r="AO576" s="83" t="n">
        <v>9.389153</v>
      </c>
      <c r="AQ576" s="83" t="n">
        <v>31.17156</v>
      </c>
      <c r="AR576" s="83" t="n">
        <v>27.84447</v>
      </c>
      <c r="AS576" s="83" t="n">
        <v>57.19596</v>
      </c>
      <c r="AT576" s="83" t="n">
        <v>15.87218</v>
      </c>
      <c r="AV576" s="83" t="n">
        <v>1.007941</v>
      </c>
      <c r="AZ576" s="83" t="n">
        <v>30.77787</v>
      </c>
      <c r="BA576" s="83" t="n">
        <v>0.9361539</v>
      </c>
      <c r="BB576" s="83" t="n">
        <v>33.27897</v>
      </c>
      <c r="BC576" s="83" t="n">
        <v>13.42824</v>
      </c>
      <c r="BD576" s="83" t="n">
        <v>29.46295</v>
      </c>
    </row>
    <row r="577">
      <c r="A577" s="83" t="inlineStr">
        <is>
          <t>1999-04</t>
        </is>
      </c>
      <c r="B577" s="22" t="n">
        <v>36251</v>
      </c>
      <c r="C577" s="22" t="n"/>
      <c r="D577" s="22" t="n"/>
      <c r="E577" s="22" t="n">
        <v>35765</v>
      </c>
      <c r="F577" s="83" t="inlineStr">
        <is>
          <t>1997-12</t>
        </is>
      </c>
      <c r="G577" s="83" t="n">
        <v>19.78071</v>
      </c>
      <c r="I577" s="83" t="n">
        <v>7.361204</v>
      </c>
      <c r="J577" s="83" t="n">
        <v>30.46363</v>
      </c>
      <c r="K577" s="83" t="n">
        <v>49.10416</v>
      </c>
      <c r="L577" s="83" t="n">
        <v>16.56314</v>
      </c>
      <c r="M577" s="83" t="n">
        <v>6.896974</v>
      </c>
      <c r="N577" s="83" t="n">
        <v>13.03609</v>
      </c>
      <c r="P577" s="83" t="n">
        <v>33.87745</v>
      </c>
      <c r="R577" s="83" t="n">
        <v>34.49414</v>
      </c>
      <c r="S577" s="83" t="n">
        <v>39.86291</v>
      </c>
      <c r="AA577" s="83" t="n">
        <v>32.3857</v>
      </c>
      <c r="AC577" s="83" t="n">
        <v>20.4829</v>
      </c>
      <c r="AD577" s="83" t="n">
        <v>7.851746</v>
      </c>
      <c r="AE577" s="83" t="n">
        <v>7.115165</v>
      </c>
      <c r="AG577" s="83" t="n">
        <v>11.43372</v>
      </c>
      <c r="AH577" s="83" t="n">
        <v>18.95205</v>
      </c>
      <c r="AJ577" s="83" t="n">
        <v>73.1866</v>
      </c>
      <c r="AK577" s="83" t="n">
        <v>23.71634</v>
      </c>
      <c r="AO577" s="83" t="n">
        <v>9.591018999999999</v>
      </c>
      <c r="AQ577" s="83" t="n">
        <v>31.03409</v>
      </c>
      <c r="AR577" s="83" t="n">
        <v>28.11212</v>
      </c>
      <c r="AS577" s="83" t="n">
        <v>57.943</v>
      </c>
      <c r="AT577" s="83" t="n">
        <v>16.14701</v>
      </c>
      <c r="AV577" s="83" t="n">
        <v>0.9743901</v>
      </c>
      <c r="AZ577" s="83" t="n">
        <v>30.84664</v>
      </c>
      <c r="BA577" s="83" t="n">
        <v>0.9816454999999999</v>
      </c>
      <c r="BB577" s="83" t="n">
        <v>33.43022</v>
      </c>
      <c r="BC577" s="83" t="n">
        <v>13.42329</v>
      </c>
      <c r="BD577" s="83" t="n">
        <v>29.58231</v>
      </c>
    </row>
    <row r="578">
      <c r="A578" s="83" t="inlineStr">
        <is>
          <t>1999-05</t>
        </is>
      </c>
      <c r="B578" s="22" t="n">
        <v>36281</v>
      </c>
      <c r="C578" s="22" t="n"/>
      <c r="D578" s="22" t="n"/>
      <c r="E578" s="22" t="n">
        <v>35796</v>
      </c>
      <c r="F578" s="83" t="inlineStr">
        <is>
          <t>1998-01</t>
        </is>
      </c>
      <c r="G578" s="83" t="n">
        <v>19.88998</v>
      </c>
      <c r="I578" s="83" t="n">
        <v>7.387067</v>
      </c>
      <c r="J578" s="83" t="n">
        <v>30.39307</v>
      </c>
      <c r="K578" s="83" t="n">
        <v>49.1539</v>
      </c>
      <c r="L578" s="83" t="n">
        <v>16.57145</v>
      </c>
      <c r="M578" s="83" t="n">
        <v>6.920873</v>
      </c>
      <c r="N578" s="83" t="n">
        <v>13.23762</v>
      </c>
      <c r="P578" s="83" t="n">
        <v>33.85545</v>
      </c>
      <c r="R578" s="83" t="n">
        <v>34.67443</v>
      </c>
      <c r="S578" s="83" t="n">
        <v>40.20127</v>
      </c>
      <c r="AA578" s="83" t="n">
        <v>32.79834</v>
      </c>
      <c r="AC578" s="83" t="n">
        <v>20.5124</v>
      </c>
      <c r="AD578" s="83" t="n">
        <v>9.1999</v>
      </c>
      <c r="AE578" s="83" t="n">
        <v>7.197979</v>
      </c>
      <c r="AG578" s="83" t="n">
        <v>11.57543</v>
      </c>
      <c r="AH578" s="83" t="n">
        <v>19.16651</v>
      </c>
      <c r="AJ578" s="83" t="n">
        <v>73.60378</v>
      </c>
      <c r="AK578" s="83" t="n">
        <v>24.04098</v>
      </c>
      <c r="AO578" s="83" t="n">
        <v>9.818723</v>
      </c>
      <c r="AQ578" s="83" t="n">
        <v>31.14287</v>
      </c>
      <c r="AR578" s="83" t="n">
        <v>28.38799</v>
      </c>
      <c r="AS578" s="83" t="n">
        <v>58.8338</v>
      </c>
      <c r="AT578" s="83" t="n">
        <v>16.36671</v>
      </c>
      <c r="AV578" s="83" t="n">
        <v>0.9779279</v>
      </c>
      <c r="AZ578" s="83" t="n">
        <v>30.87088</v>
      </c>
      <c r="BA578" s="83" t="n">
        <v>1.032217</v>
      </c>
      <c r="BB578" s="83" t="n">
        <v>33.62384</v>
      </c>
      <c r="BC578" s="83" t="n">
        <v>13.67108</v>
      </c>
      <c r="BD578" s="83" t="n">
        <v>29.94646</v>
      </c>
    </row>
    <row r="579">
      <c r="A579" s="83" t="inlineStr">
        <is>
          <t>1999-06</t>
        </is>
      </c>
      <c r="B579" s="22" t="n">
        <v>36312</v>
      </c>
      <c r="C579" s="22" t="n"/>
      <c r="D579" s="22" t="n"/>
      <c r="E579" s="22" t="n">
        <v>35827</v>
      </c>
      <c r="F579" s="83" t="inlineStr">
        <is>
          <t>1998-02</t>
        </is>
      </c>
      <c r="G579" s="83" t="n">
        <v>19.98244</v>
      </c>
      <c r="I579" s="83" t="n">
        <v>7.451105</v>
      </c>
      <c r="J579" s="83" t="n">
        <v>30.32312</v>
      </c>
      <c r="K579" s="83" t="n">
        <v>49.23856</v>
      </c>
      <c r="L579" s="83" t="n">
        <v>16.51372</v>
      </c>
      <c r="M579" s="83" t="n">
        <v>6.944488</v>
      </c>
      <c r="N579" s="83" t="n">
        <v>13.3694</v>
      </c>
      <c r="P579" s="83" t="n">
        <v>33.08538</v>
      </c>
      <c r="R579" s="83" t="n">
        <v>34.63265</v>
      </c>
      <c r="S579" s="83" t="n">
        <v>40.19446</v>
      </c>
      <c r="AA579" s="83" t="n">
        <v>33.08442</v>
      </c>
      <c r="AC579" s="83" t="n">
        <v>20.42009</v>
      </c>
      <c r="AD579" s="83" t="n">
        <v>10.13579</v>
      </c>
      <c r="AE579" s="83" t="n">
        <v>7.301435</v>
      </c>
      <c r="AG579" s="83" t="n">
        <v>11.71373</v>
      </c>
      <c r="AH579" s="83" t="n">
        <v>19.40174</v>
      </c>
      <c r="AJ579" s="83" t="n">
        <v>73.9637</v>
      </c>
      <c r="AK579" s="83" t="n">
        <v>24.25415</v>
      </c>
      <c r="AO579" s="83" t="n">
        <v>10.04383</v>
      </c>
      <c r="AQ579" s="83" t="n">
        <v>31.54311</v>
      </c>
      <c r="AR579" s="83" t="n">
        <v>28.64504</v>
      </c>
      <c r="AS579" s="83" t="n">
        <v>59.66916</v>
      </c>
      <c r="AT579" s="83" t="n">
        <v>16.59349</v>
      </c>
      <c r="AV579" s="83" t="n">
        <v>0.9872590999999999</v>
      </c>
      <c r="AZ579" s="83" t="n">
        <v>30.91277</v>
      </c>
      <c r="BA579" s="83" t="n">
        <v>1.08533</v>
      </c>
      <c r="BB579" s="83" t="n">
        <v>33.89559</v>
      </c>
      <c r="BC579" s="83" t="n">
        <v>14.03724</v>
      </c>
      <c r="BD579" s="83" t="n">
        <v>30.11696</v>
      </c>
    </row>
    <row r="580">
      <c r="A580" s="83" t="inlineStr">
        <is>
          <t>1999-07</t>
        </is>
      </c>
      <c r="B580" s="22" t="n">
        <v>36342</v>
      </c>
      <c r="C580" s="22" t="n"/>
      <c r="D580" s="22" t="n"/>
      <c r="E580" s="22" t="n">
        <v>35855</v>
      </c>
      <c r="F580" s="83" t="inlineStr">
        <is>
          <t>1998-03</t>
        </is>
      </c>
      <c r="G580" s="83" t="n">
        <v>20.05529</v>
      </c>
      <c r="I580" s="83" t="n">
        <v>7.60801</v>
      </c>
      <c r="J580" s="83" t="n">
        <v>30.26952</v>
      </c>
      <c r="K580" s="83" t="n">
        <v>49.47493</v>
      </c>
      <c r="L580" s="83" t="n">
        <v>16.72823</v>
      </c>
      <c r="M580" s="83" t="n">
        <v>7.014352</v>
      </c>
      <c r="N580" s="83" t="n">
        <v>13.58192</v>
      </c>
      <c r="P580" s="83" t="n">
        <v>33.15432</v>
      </c>
      <c r="R580" s="83" t="n">
        <v>34.57023</v>
      </c>
      <c r="S580" s="83" t="n">
        <v>40.27737</v>
      </c>
      <c r="AA580" s="83" t="n">
        <v>33.26126</v>
      </c>
      <c r="AC580" s="83" t="n">
        <v>20.99388</v>
      </c>
      <c r="AD580" s="83" t="n">
        <v>10.21984</v>
      </c>
      <c r="AE580" s="83" t="n">
        <v>7.467092</v>
      </c>
      <c r="AG580" s="83" t="n">
        <v>11.86561</v>
      </c>
      <c r="AH580" s="83" t="n">
        <v>19.39985</v>
      </c>
      <c r="AJ580" s="83" t="n">
        <v>74.06187</v>
      </c>
      <c r="AK580" s="83" t="n">
        <v>24.55891</v>
      </c>
      <c r="AO580" s="83" t="n">
        <v>10.25363</v>
      </c>
      <c r="AQ580" s="83" t="n">
        <v>31.65472</v>
      </c>
      <c r="AR580" s="83" t="n">
        <v>28.86468</v>
      </c>
      <c r="AS580" s="83" t="n">
        <v>60.59551</v>
      </c>
      <c r="AT580" s="83" t="n">
        <v>16.7987</v>
      </c>
      <c r="AV580" s="83" t="n">
        <v>0.9615623</v>
      </c>
      <c r="AZ580" s="83" t="n">
        <v>30.70568</v>
      </c>
      <c r="BA580" s="83" t="n">
        <v>1.149293</v>
      </c>
      <c r="BB580" s="83" t="n">
        <v>34.1075</v>
      </c>
      <c r="BC580" s="83" t="n">
        <v>14.07536</v>
      </c>
      <c r="BD580" s="83" t="n">
        <v>30.05574</v>
      </c>
    </row>
    <row r="581">
      <c r="A581" s="83" t="inlineStr">
        <is>
          <t>1999-08</t>
        </is>
      </c>
      <c r="B581" s="22" t="n">
        <v>36373</v>
      </c>
      <c r="C581" s="22" t="n"/>
      <c r="D581" s="22" t="n"/>
      <c r="E581" s="22" t="n">
        <v>35886</v>
      </c>
      <c r="F581" s="83" t="inlineStr">
        <is>
          <t>1998-04</t>
        </is>
      </c>
      <c r="G581" s="83" t="n">
        <v>20.15895</v>
      </c>
      <c r="I581" s="83" t="n">
        <v>7.760133</v>
      </c>
      <c r="J581" s="83" t="n">
        <v>30.24915</v>
      </c>
      <c r="K581" s="83" t="n">
        <v>49.56324</v>
      </c>
      <c r="L581" s="83" t="n">
        <v>16.93982</v>
      </c>
      <c r="M581" s="83" t="n">
        <v>7.097529</v>
      </c>
      <c r="N581" s="83" t="n">
        <v>13.74391</v>
      </c>
      <c r="P581" s="83" t="n">
        <v>33.279</v>
      </c>
      <c r="R581" s="83" t="n">
        <v>34.77716</v>
      </c>
      <c r="S581" s="83" t="n">
        <v>40.49218</v>
      </c>
      <c r="AA581" s="83" t="n">
        <v>33.41057</v>
      </c>
      <c r="AC581" s="83" t="n">
        <v>21.5415</v>
      </c>
      <c r="AD581" s="83" t="n">
        <v>10.50697</v>
      </c>
      <c r="AE581" s="83" t="n">
        <v>7.595877</v>
      </c>
      <c r="AG581" s="83" t="n">
        <v>12.02549</v>
      </c>
      <c r="AH581" s="83" t="n">
        <v>19.55944</v>
      </c>
      <c r="AJ581" s="83" t="n">
        <v>74.23363999999999</v>
      </c>
      <c r="AK581" s="83" t="n">
        <v>24.83018</v>
      </c>
      <c r="AO581" s="83" t="n">
        <v>10.44661</v>
      </c>
      <c r="AQ581" s="83" t="n">
        <v>31.69126</v>
      </c>
      <c r="AR581" s="83" t="n">
        <v>29.11859</v>
      </c>
      <c r="AS581" s="83" t="n">
        <v>61.45626</v>
      </c>
      <c r="AT581" s="83" t="n">
        <v>17.05557</v>
      </c>
      <c r="AV581" s="83" t="n">
        <v>0.9701213</v>
      </c>
      <c r="AZ581" s="83" t="n">
        <v>30.61753</v>
      </c>
      <c r="BA581" s="83" t="n">
        <v>1.236946</v>
      </c>
      <c r="BB581" s="83" t="n">
        <v>34.3219</v>
      </c>
      <c r="BC581" s="83" t="n">
        <v>14.14124</v>
      </c>
      <c r="BD581" s="83" t="n">
        <v>30.11765</v>
      </c>
    </row>
    <row r="582">
      <c r="A582" s="83" t="inlineStr">
        <is>
          <t>1999-09</t>
        </is>
      </c>
      <c r="B582" s="22" t="n">
        <v>36404</v>
      </c>
      <c r="C582" s="22" t="n"/>
      <c r="D582" s="22" t="n"/>
      <c r="E582" s="22" t="n">
        <v>35916</v>
      </c>
      <c r="F582" s="83" t="inlineStr">
        <is>
          <t>1998-05</t>
        </is>
      </c>
      <c r="G582" s="83" t="n">
        <v>20.28504</v>
      </c>
      <c r="I582" s="83" t="n">
        <v>7.874351</v>
      </c>
      <c r="J582" s="83" t="n">
        <v>30.47009</v>
      </c>
      <c r="K582" s="83" t="n">
        <v>49.31932</v>
      </c>
      <c r="L582" s="83" t="n">
        <v>17.09086</v>
      </c>
      <c r="M582" s="83" t="n">
        <v>7.183857</v>
      </c>
      <c r="N582" s="83" t="n">
        <v>13.95141</v>
      </c>
      <c r="P582" s="83" t="n">
        <v>33.59143</v>
      </c>
      <c r="R582" s="83" t="n">
        <v>35.09192</v>
      </c>
      <c r="S582" s="83" t="n">
        <v>40.79273</v>
      </c>
      <c r="AA582" s="83" t="n">
        <v>33.69211</v>
      </c>
      <c r="AC582" s="83" t="n">
        <v>21.88139</v>
      </c>
      <c r="AD582" s="83" t="n">
        <v>10.94937</v>
      </c>
      <c r="AE582" s="83" t="n">
        <v>7.678203</v>
      </c>
      <c r="AG582" s="83" t="n">
        <v>12.19087</v>
      </c>
      <c r="AH582" s="83" t="n">
        <v>19.96221</v>
      </c>
      <c r="AJ582" s="83" t="n">
        <v>74.54449</v>
      </c>
      <c r="AK582" s="83" t="n">
        <v>24.96289</v>
      </c>
      <c r="AO582" s="83" t="n">
        <v>10.67014</v>
      </c>
      <c r="AQ582" s="83" t="n">
        <v>31.95716</v>
      </c>
      <c r="AR582" s="83" t="n">
        <v>29.41084</v>
      </c>
      <c r="AS582" s="83" t="n">
        <v>61.72843</v>
      </c>
      <c r="AT582" s="83" t="n">
        <v>17.44366</v>
      </c>
      <c r="AV582" s="83" t="n">
        <v>0.980861</v>
      </c>
      <c r="AZ582" s="83" t="n">
        <v>31.0512</v>
      </c>
      <c r="BA582" s="83" t="n">
        <v>1.326741</v>
      </c>
      <c r="BB582" s="83" t="n">
        <v>34.52051</v>
      </c>
      <c r="BC582" s="83" t="n">
        <v>14.20739</v>
      </c>
      <c r="BD582" s="83" t="n">
        <v>30.19068</v>
      </c>
    </row>
    <row r="583">
      <c r="A583" s="83" t="inlineStr">
        <is>
          <t>1999-10</t>
        </is>
      </c>
      <c r="B583" s="22" t="n">
        <v>36434</v>
      </c>
      <c r="C583" s="22" t="n"/>
      <c r="D583" s="22" t="n"/>
      <c r="E583" s="22" t="n">
        <v>35947</v>
      </c>
      <c r="F583" s="83" t="inlineStr">
        <is>
          <t>1998-06</t>
        </is>
      </c>
      <c r="G583" s="83" t="n">
        <v>20.42513</v>
      </c>
      <c r="I583" s="83" t="n">
        <v>7.993677</v>
      </c>
      <c r="J583" s="83" t="n">
        <v>30.71585</v>
      </c>
      <c r="K583" s="83" t="n">
        <v>49.27682</v>
      </c>
      <c r="L583" s="83" t="n">
        <v>17.20771</v>
      </c>
      <c r="M583" s="83" t="n">
        <v>7.236238</v>
      </c>
      <c r="N583" s="83" t="n">
        <v>14.15832</v>
      </c>
      <c r="P583" s="83" t="n">
        <v>34.16201</v>
      </c>
      <c r="R583" s="83" t="n">
        <v>35.10186</v>
      </c>
      <c r="S583" s="83" t="n">
        <v>41.02007</v>
      </c>
      <c r="AA583" s="83" t="n">
        <v>33.97687</v>
      </c>
      <c r="AC583" s="83" t="n">
        <v>22.18481</v>
      </c>
      <c r="AD583" s="83" t="n">
        <v>12.16559</v>
      </c>
      <c r="AE583" s="83" t="n">
        <v>7.781397</v>
      </c>
      <c r="AG583" s="83" t="n">
        <v>12.35153</v>
      </c>
      <c r="AH583" s="83" t="n">
        <v>20.18848</v>
      </c>
      <c r="AJ583" s="83" t="n">
        <v>74.60175</v>
      </c>
      <c r="AK583" s="83" t="n">
        <v>25.27601</v>
      </c>
      <c r="AO583" s="83" t="n">
        <v>10.90117</v>
      </c>
      <c r="AQ583" s="83" t="n">
        <v>32.0402</v>
      </c>
      <c r="AR583" s="83" t="n">
        <v>29.67048</v>
      </c>
      <c r="AS583" s="83" t="n">
        <v>61.8128</v>
      </c>
      <c r="AT583" s="83" t="n">
        <v>17.88143</v>
      </c>
      <c r="AV583" s="83" t="n">
        <v>0.9896983</v>
      </c>
      <c r="AZ583" s="83" t="n">
        <v>31.50948</v>
      </c>
      <c r="BA583" s="83" t="n">
        <v>1.417856</v>
      </c>
      <c r="BB583" s="83" t="n">
        <v>34.68505</v>
      </c>
      <c r="BC583" s="83" t="n">
        <v>14.32232</v>
      </c>
      <c r="BD583" s="83" t="n">
        <v>30.31744</v>
      </c>
    </row>
    <row r="584">
      <c r="A584" s="83" t="inlineStr">
        <is>
          <t>1999-11</t>
        </is>
      </c>
      <c r="B584" s="22" t="n">
        <v>36465</v>
      </c>
      <c r="C584" s="22" t="n"/>
      <c r="D584" s="22" t="n"/>
      <c r="E584" s="22" t="n">
        <v>35977</v>
      </c>
      <c r="F584" s="83" t="inlineStr">
        <is>
          <t>1998-07</t>
        </is>
      </c>
      <c r="G584" s="83" t="n">
        <v>20.65768</v>
      </c>
      <c r="I584" s="83" t="n">
        <v>8.110134</v>
      </c>
      <c r="J584" s="83" t="n">
        <v>30.71518</v>
      </c>
      <c r="K584" s="83" t="n">
        <v>49.51382</v>
      </c>
      <c r="L584" s="83" t="n">
        <v>17.26659</v>
      </c>
      <c r="M584" s="83" t="n">
        <v>7.387268</v>
      </c>
      <c r="N584" s="83" t="n">
        <v>14.23178</v>
      </c>
      <c r="P584" s="83" t="n">
        <v>34.46564</v>
      </c>
      <c r="R584" s="83" t="n">
        <v>35.29499</v>
      </c>
      <c r="S584" s="83" t="n">
        <v>41.08395</v>
      </c>
      <c r="AA584" s="83" t="n">
        <v>34.30387</v>
      </c>
      <c r="AC584" s="83" t="n">
        <v>22.52107</v>
      </c>
      <c r="AD584" s="83" t="n">
        <v>12.83269</v>
      </c>
      <c r="AE584" s="83" t="n">
        <v>7.901356</v>
      </c>
      <c r="AG584" s="83" t="n">
        <v>12.49437</v>
      </c>
      <c r="AH584" s="83" t="n">
        <v>20.54152</v>
      </c>
      <c r="AJ584" s="83" t="n">
        <v>74.96984999999999</v>
      </c>
      <c r="AK584" s="83" t="n">
        <v>25.68337</v>
      </c>
      <c r="AO584" s="83" t="n">
        <v>11.10265</v>
      </c>
      <c r="AQ584" s="83" t="n">
        <v>31.96642</v>
      </c>
      <c r="AR584" s="83" t="n">
        <v>29.95123</v>
      </c>
      <c r="AS584" s="83" t="n">
        <v>62.22884</v>
      </c>
      <c r="AT584" s="83" t="n">
        <v>18.25863</v>
      </c>
      <c r="AV584" s="83" t="n">
        <v>0.9913246999999999</v>
      </c>
      <c r="AZ584" s="83" t="n">
        <v>32.07583</v>
      </c>
      <c r="BA584" s="83" t="n">
        <v>1.511153</v>
      </c>
      <c r="BB584" s="83" t="n">
        <v>34.84877</v>
      </c>
      <c r="BC584" s="83" t="n">
        <v>14.52445</v>
      </c>
      <c r="BD584" s="83" t="n">
        <v>30.32456</v>
      </c>
    </row>
    <row r="585">
      <c r="A585" s="83" t="inlineStr">
        <is>
          <t>1999-12</t>
        </is>
      </c>
      <c r="B585" s="22" t="n">
        <v>36495</v>
      </c>
      <c r="C585" s="22" t="n"/>
      <c r="D585" s="22" t="n"/>
      <c r="E585" s="22" t="n">
        <v>36008</v>
      </c>
      <c r="F585" s="83" t="inlineStr">
        <is>
          <t>1998-08</t>
        </is>
      </c>
      <c r="G585" s="83" t="n">
        <v>20.87341</v>
      </c>
      <c r="I585" s="83" t="n">
        <v>8.196434</v>
      </c>
      <c r="J585" s="83" t="n">
        <v>30.74253</v>
      </c>
      <c r="K585" s="83" t="n">
        <v>49.6382</v>
      </c>
      <c r="L585" s="83" t="n">
        <v>17.35775</v>
      </c>
      <c r="M585" s="83" t="n">
        <v>7.561605</v>
      </c>
      <c r="N585" s="83" t="n">
        <v>14.36001</v>
      </c>
      <c r="P585" s="83" t="n">
        <v>34.85875</v>
      </c>
      <c r="R585" s="83" t="n">
        <v>35.48505</v>
      </c>
      <c r="S585" s="83" t="n">
        <v>40.99918</v>
      </c>
      <c r="AA585" s="83" t="n">
        <v>34.56421</v>
      </c>
      <c r="AC585" s="83" t="n">
        <v>22.89484</v>
      </c>
      <c r="AD585" s="83" t="n">
        <v>12.58121</v>
      </c>
      <c r="AE585" s="83" t="n">
        <v>8.079919</v>
      </c>
      <c r="AG585" s="83" t="n">
        <v>12.626</v>
      </c>
      <c r="AH585" s="83" t="n">
        <v>20.88403</v>
      </c>
      <c r="AJ585" s="83" t="n">
        <v>75.30522999999999</v>
      </c>
      <c r="AK585" s="83" t="n">
        <v>25.88301</v>
      </c>
      <c r="AO585" s="83" t="n">
        <v>11.2934</v>
      </c>
      <c r="AQ585" s="83" t="n">
        <v>32.04104</v>
      </c>
      <c r="AR585" s="83" t="n">
        <v>30.21177</v>
      </c>
      <c r="AS585" s="83" t="n">
        <v>62.75081</v>
      </c>
      <c r="AT585" s="83" t="n">
        <v>18.67018</v>
      </c>
      <c r="AV585" s="83" t="n">
        <v>0.9988477</v>
      </c>
      <c r="AZ585" s="83" t="n">
        <v>32.28146</v>
      </c>
      <c r="BA585" s="83" t="n">
        <v>1.569285</v>
      </c>
      <c r="BB585" s="83" t="n">
        <v>35.05652</v>
      </c>
      <c r="BC585" s="83" t="n">
        <v>14.65954</v>
      </c>
      <c r="BD585" s="83" t="n">
        <v>30.12686</v>
      </c>
    </row>
    <row r="586">
      <c r="A586" s="83" t="inlineStr">
        <is>
          <t>2000-01</t>
        </is>
      </c>
      <c r="B586" s="22" t="n">
        <v>36526</v>
      </c>
      <c r="C586" s="22" t="n"/>
      <c r="D586" s="22" t="n"/>
      <c r="E586" s="22" t="n">
        <v>36039</v>
      </c>
      <c r="F586" s="83" t="inlineStr">
        <is>
          <t>1998-09</t>
        </is>
      </c>
      <c r="G586" s="83" t="n">
        <v>21.01631</v>
      </c>
      <c r="I586" s="83" t="n">
        <v>8.091495999999999</v>
      </c>
      <c r="J586" s="83" t="n">
        <v>30.79283</v>
      </c>
      <c r="K586" s="83" t="n">
        <v>49.54644</v>
      </c>
      <c r="L586" s="83" t="n">
        <v>17.44327</v>
      </c>
      <c r="M586" s="83" t="n">
        <v>7.640779</v>
      </c>
      <c r="N586" s="83" t="n">
        <v>14.36398</v>
      </c>
      <c r="P586" s="83" t="n">
        <v>35.12571</v>
      </c>
      <c r="R586" s="83" t="n">
        <v>35.68389</v>
      </c>
      <c r="S586" s="83" t="n">
        <v>40.92289</v>
      </c>
      <c r="AA586" s="83" t="n">
        <v>34.71742</v>
      </c>
      <c r="AC586" s="83" t="n">
        <v>23.13205</v>
      </c>
      <c r="AD586" s="83" t="n">
        <v>12.57286</v>
      </c>
      <c r="AE586" s="83" t="n">
        <v>8.246589</v>
      </c>
      <c r="AG586" s="83" t="n">
        <v>12.78166</v>
      </c>
      <c r="AH586" s="83" t="n">
        <v>21.16863</v>
      </c>
      <c r="AJ586" s="83" t="n">
        <v>75.56699</v>
      </c>
      <c r="AK586" s="83" t="n">
        <v>26.08514</v>
      </c>
      <c r="AO586" s="83" t="n">
        <v>11.46706</v>
      </c>
      <c r="AQ586" s="83" t="n">
        <v>32.06657</v>
      </c>
      <c r="AR586" s="83" t="n">
        <v>30.55387</v>
      </c>
      <c r="AS586" s="83" t="n">
        <v>63.26051</v>
      </c>
      <c r="AT586" s="83" t="n">
        <v>19.01336</v>
      </c>
      <c r="AV586" s="83" t="n">
        <v>1.000605</v>
      </c>
      <c r="AZ586" s="83" t="n">
        <v>32.20287</v>
      </c>
      <c r="BA586" s="83" t="n">
        <v>1.706612</v>
      </c>
      <c r="BB586" s="83" t="n">
        <v>35.37979</v>
      </c>
      <c r="BC586" s="83" t="n">
        <v>14.85731</v>
      </c>
      <c r="BD586" s="83" t="n">
        <v>29.84823</v>
      </c>
    </row>
    <row r="587">
      <c r="A587" s="83" t="inlineStr">
        <is>
          <t>2000-02</t>
        </is>
      </c>
      <c r="B587" s="22" t="n">
        <v>36557</v>
      </c>
      <c r="C587" s="22" t="n"/>
      <c r="D587" s="22" t="n"/>
      <c r="E587" s="22" t="n">
        <v>36069</v>
      </c>
      <c r="F587" s="83" t="inlineStr">
        <is>
          <t>1998-10</t>
        </is>
      </c>
      <c r="G587" s="83" t="n">
        <v>21.12277</v>
      </c>
      <c r="I587" s="83" t="n">
        <v>7.957313</v>
      </c>
      <c r="J587" s="83" t="n">
        <v>31.04608</v>
      </c>
      <c r="K587" s="83" t="n">
        <v>49.48099</v>
      </c>
      <c r="L587" s="83" t="n">
        <v>17.5113</v>
      </c>
      <c r="M587" s="83" t="n">
        <v>7.760871</v>
      </c>
      <c r="N587" s="83" t="n">
        <v>14.25376</v>
      </c>
      <c r="P587" s="83" t="n">
        <v>34.94823</v>
      </c>
      <c r="R587" s="83" t="n">
        <v>36.02051</v>
      </c>
      <c r="S587" s="83" t="n">
        <v>41.04992</v>
      </c>
      <c r="AA587" s="83" t="n">
        <v>34.88266</v>
      </c>
      <c r="AC587" s="83" t="n">
        <v>23.27033</v>
      </c>
      <c r="AD587" s="83" t="n">
        <v>12.519</v>
      </c>
      <c r="AE587" s="83" t="n">
        <v>8.376474999999999</v>
      </c>
      <c r="AG587" s="83" t="n">
        <v>12.97385</v>
      </c>
      <c r="AH587" s="83" t="n">
        <v>21.59096</v>
      </c>
      <c r="AJ587" s="83" t="n">
        <v>75.69786999999999</v>
      </c>
      <c r="AK587" s="83" t="n">
        <v>26.33555</v>
      </c>
      <c r="AO587" s="83" t="n">
        <v>11.65709</v>
      </c>
      <c r="AQ587" s="83" t="n">
        <v>32.03026</v>
      </c>
      <c r="AR587" s="83" t="n">
        <v>30.83001</v>
      </c>
      <c r="AS587" s="83" t="n">
        <v>64.4375</v>
      </c>
      <c r="AT587" s="83" t="n">
        <v>19.11622</v>
      </c>
      <c r="AV587" s="83" t="n">
        <v>1.10588</v>
      </c>
      <c r="AZ587" s="83" t="n">
        <v>32.41929</v>
      </c>
      <c r="BA587" s="83" t="n">
        <v>1.77298</v>
      </c>
      <c r="BB587" s="83" t="n">
        <v>35.71302</v>
      </c>
      <c r="BC587" s="83" t="n">
        <v>14.90598</v>
      </c>
      <c r="BD587" s="83" t="n">
        <v>29.87235</v>
      </c>
    </row>
    <row r="588">
      <c r="A588" s="83" t="inlineStr">
        <is>
          <t>2000-03</t>
        </is>
      </c>
      <c r="B588" s="22" t="n">
        <v>36586</v>
      </c>
      <c r="C588" s="22" t="n"/>
      <c r="D588" s="22" t="n"/>
      <c r="E588" s="22" t="n">
        <v>36100</v>
      </c>
      <c r="F588" s="83" t="inlineStr">
        <is>
          <t>1998-11</t>
        </is>
      </c>
      <c r="G588" s="83" t="n">
        <v>21.19562</v>
      </c>
      <c r="I588" s="83" t="n">
        <v>8.025218000000001</v>
      </c>
      <c r="J588" s="83" t="n">
        <v>30.8896</v>
      </c>
      <c r="K588" s="83" t="n">
        <v>49.75825</v>
      </c>
      <c r="L588" s="83" t="n">
        <v>17.61495</v>
      </c>
      <c r="M588" s="83" t="n">
        <v>7.871076</v>
      </c>
      <c r="N588" s="83" t="n">
        <v>14.22639</v>
      </c>
      <c r="P588" s="83" t="n">
        <v>34.95849</v>
      </c>
      <c r="R588" s="83" t="n">
        <v>35.92303</v>
      </c>
      <c r="S588" s="83" t="n">
        <v>41.3429</v>
      </c>
      <c r="AA588" s="83" t="n">
        <v>34.95115</v>
      </c>
      <c r="AC588" s="83" t="n">
        <v>23.52872</v>
      </c>
      <c r="AD588" s="83" t="n">
        <v>12.54263</v>
      </c>
      <c r="AE588" s="83" t="n">
        <v>8.477225000000001</v>
      </c>
      <c r="AG588" s="83" t="n">
        <v>13.17164</v>
      </c>
      <c r="AH588" s="83" t="n">
        <v>21.93848</v>
      </c>
      <c r="AJ588" s="83" t="n">
        <v>76.17231</v>
      </c>
      <c r="AK588" s="83" t="n">
        <v>26.44159</v>
      </c>
      <c r="AO588" s="83" t="n">
        <v>11.88545</v>
      </c>
      <c r="AQ588" s="83" t="n">
        <v>32.04324</v>
      </c>
      <c r="AR588" s="83" t="n">
        <v>31.04033</v>
      </c>
      <c r="AS588" s="83" t="n">
        <v>65.86424</v>
      </c>
      <c r="AT588" s="83" t="n">
        <v>19.29577</v>
      </c>
      <c r="AV588" s="83" t="n">
        <v>1.206182</v>
      </c>
      <c r="AZ588" s="83" t="n">
        <v>32.5724</v>
      </c>
      <c r="BA588" s="83" t="n">
        <v>1.756922</v>
      </c>
      <c r="BB588" s="83" t="n">
        <v>36.0338</v>
      </c>
      <c r="BC588" s="83" t="n">
        <v>15.02374</v>
      </c>
      <c r="BD588" s="83" t="n">
        <v>30.2343</v>
      </c>
    </row>
    <row r="589">
      <c r="A589" s="83" t="inlineStr">
        <is>
          <t>2000-04</t>
        </is>
      </c>
      <c r="B589" s="22" t="n">
        <v>36617</v>
      </c>
      <c r="C589" s="22" t="n"/>
      <c r="D589" s="22" t="n"/>
      <c r="E589" s="22" t="n">
        <v>36130</v>
      </c>
      <c r="F589" s="83" t="inlineStr">
        <is>
          <t>1998-12</t>
        </is>
      </c>
      <c r="G589" s="83" t="n">
        <v>21.3189</v>
      </c>
      <c r="I589" s="83" t="n">
        <v>8.129832</v>
      </c>
      <c r="J589" s="83" t="n">
        <v>31.40303</v>
      </c>
      <c r="K589" s="83" t="n">
        <v>49.66499</v>
      </c>
      <c r="L589" s="83" t="n">
        <v>17.71566</v>
      </c>
      <c r="M589" s="83" t="n">
        <v>7.913418</v>
      </c>
      <c r="N589" s="83" t="n">
        <v>14.21041</v>
      </c>
      <c r="P589" s="83" t="n">
        <v>35.75057</v>
      </c>
      <c r="R589" s="83" t="n">
        <v>35.9018</v>
      </c>
      <c r="S589" s="83" t="n">
        <v>41.83035</v>
      </c>
      <c r="AA589" s="83" t="n">
        <v>35.10276</v>
      </c>
      <c r="AC589" s="83" t="n">
        <v>23.8379</v>
      </c>
      <c r="AD589" s="83" t="n">
        <v>12.93419</v>
      </c>
      <c r="AE589" s="83" t="n">
        <v>8.552349</v>
      </c>
      <c r="AG589" s="83" t="n">
        <v>13.36471</v>
      </c>
      <c r="AH589" s="83" t="n">
        <v>22.18513</v>
      </c>
      <c r="AJ589" s="83" t="n">
        <v>76.42589</v>
      </c>
      <c r="AK589" s="83" t="n">
        <v>26.79921</v>
      </c>
      <c r="AO589" s="83" t="n">
        <v>12.15017</v>
      </c>
      <c r="AQ589" s="83" t="n">
        <v>32.19729</v>
      </c>
      <c r="AR589" s="83" t="n">
        <v>31.33723</v>
      </c>
      <c r="AS589" s="83" t="n">
        <v>66.84820999999999</v>
      </c>
      <c r="AT589" s="83" t="n">
        <v>19.88132</v>
      </c>
      <c r="AV589" s="83" t="n">
        <v>1.202484</v>
      </c>
      <c r="AZ589" s="83" t="n">
        <v>32.1797</v>
      </c>
      <c r="BA589" s="83" t="n">
        <v>1.83922</v>
      </c>
      <c r="BB589" s="83" t="n">
        <v>36.27396</v>
      </c>
      <c r="BC589" s="83" t="n">
        <v>15.26544</v>
      </c>
      <c r="BD589" s="83" t="n">
        <v>30.17796</v>
      </c>
    </row>
    <row r="590">
      <c r="A590" s="83" t="inlineStr">
        <is>
          <t>2000-05</t>
        </is>
      </c>
      <c r="B590" s="22" t="n">
        <v>36647</v>
      </c>
      <c r="C590" s="22" t="n"/>
      <c r="D590" s="22" t="n"/>
      <c r="E590" s="22" t="n">
        <v>36161</v>
      </c>
      <c r="F590" s="83" t="inlineStr">
        <is>
          <t>1999-01</t>
        </is>
      </c>
      <c r="G590" s="83" t="n">
        <v>21.49822</v>
      </c>
      <c r="I590" s="83" t="n">
        <v>8.226063</v>
      </c>
      <c r="J590" s="83" t="n">
        <v>30.95815</v>
      </c>
      <c r="K590" s="83" t="n">
        <v>49.45854</v>
      </c>
      <c r="L590" s="83" t="n">
        <v>17.86307</v>
      </c>
      <c r="M590" s="83" t="n">
        <v>7.931219</v>
      </c>
      <c r="N590" s="83" t="n">
        <v>14.32236</v>
      </c>
      <c r="P590" s="83" t="n">
        <v>36.24635</v>
      </c>
      <c r="R590" s="83" t="n">
        <v>36.04954</v>
      </c>
      <c r="S590" s="83" t="n">
        <v>42.13577</v>
      </c>
      <c r="AA590" s="83" t="n">
        <v>35.12101</v>
      </c>
      <c r="AC590" s="83" t="n">
        <v>24.15303</v>
      </c>
      <c r="AD590" s="83" t="n">
        <v>13.39988</v>
      </c>
      <c r="AE590" s="83" t="n">
        <v>8.667878999999999</v>
      </c>
      <c r="AG590" s="83" t="n">
        <v>13.55872</v>
      </c>
      <c r="AH590" s="83" t="n">
        <v>22.52358</v>
      </c>
      <c r="AJ590" s="83" t="n">
        <v>76.61403</v>
      </c>
      <c r="AK590" s="83" t="n">
        <v>27.29881</v>
      </c>
      <c r="AO590" s="83" t="n">
        <v>12.39581</v>
      </c>
      <c r="AQ590" s="83" t="n">
        <v>32.56162</v>
      </c>
      <c r="AR590" s="83" t="n">
        <v>31.62987</v>
      </c>
      <c r="AS590" s="83" t="n">
        <v>67.80618</v>
      </c>
      <c r="AT590" s="83" t="n">
        <v>20.62853</v>
      </c>
      <c r="AV590" s="83" t="n">
        <v>1.308076</v>
      </c>
      <c r="AZ590" s="83" t="n">
        <v>34.83103</v>
      </c>
      <c r="BA590" s="83" t="n">
        <v>1.921589</v>
      </c>
      <c r="BB590" s="83" t="n">
        <v>36.50166</v>
      </c>
      <c r="BC590" s="83" t="n">
        <v>15.41798</v>
      </c>
      <c r="BD590" s="83" t="n">
        <v>30.2201</v>
      </c>
    </row>
    <row r="591">
      <c r="A591" s="83" t="inlineStr">
        <is>
          <t>2000-06</t>
        </is>
      </c>
      <c r="B591" s="22" t="n">
        <v>36678</v>
      </c>
      <c r="C591" s="22" t="n"/>
      <c r="D591" s="22" t="n"/>
      <c r="E591" s="22" t="n">
        <v>36192</v>
      </c>
      <c r="F591" s="83" t="inlineStr">
        <is>
          <t>1999-02</t>
        </is>
      </c>
      <c r="G591" s="83" t="n">
        <v>21.64951</v>
      </c>
      <c r="I591" s="83" t="n">
        <v>8.372356999999999</v>
      </c>
      <c r="J591" s="83" t="n">
        <v>30.97221</v>
      </c>
      <c r="K591" s="83" t="n">
        <v>49.80178</v>
      </c>
      <c r="L591" s="83" t="n">
        <v>18.01229</v>
      </c>
      <c r="M591" s="83" t="n">
        <v>8.053982</v>
      </c>
      <c r="N591" s="83" t="n">
        <v>14.56317</v>
      </c>
      <c r="P591" s="83" t="n">
        <v>36.33436</v>
      </c>
      <c r="R591" s="83" t="n">
        <v>36.00417</v>
      </c>
      <c r="S591" s="83" t="n">
        <v>42.02087</v>
      </c>
      <c r="AA591" s="83" t="n">
        <v>35.01503</v>
      </c>
      <c r="AC591" s="83" t="n">
        <v>24.53523</v>
      </c>
      <c r="AD591" s="83" t="n">
        <v>13.79843</v>
      </c>
      <c r="AE591" s="83" t="n">
        <v>8.793066</v>
      </c>
      <c r="AG591" s="83" t="n">
        <v>13.74295</v>
      </c>
      <c r="AH591" s="83" t="n">
        <v>22.79083</v>
      </c>
      <c r="AJ591" s="83" t="n">
        <v>76.79398999999999</v>
      </c>
      <c r="AK591" s="83" t="n">
        <v>27.50473</v>
      </c>
      <c r="AO591" s="83" t="n">
        <v>12.67777</v>
      </c>
      <c r="AQ591" s="83" t="n">
        <v>32.813</v>
      </c>
      <c r="AR591" s="83" t="n">
        <v>31.90558</v>
      </c>
      <c r="AS591" s="83" t="n">
        <v>68.62264999999999</v>
      </c>
      <c r="AT591" s="83" t="n">
        <v>21.26293</v>
      </c>
      <c r="AV591" s="83" t="n">
        <v>1.413123</v>
      </c>
      <c r="AZ591" s="83" t="n">
        <v>37.86425</v>
      </c>
      <c r="BA591" s="83" t="n">
        <v>2.024119</v>
      </c>
      <c r="BB591" s="83" t="n">
        <v>36.69113</v>
      </c>
      <c r="BC591" s="83" t="n">
        <v>15.20859</v>
      </c>
      <c r="BD591" s="83" t="n">
        <v>30.89733</v>
      </c>
    </row>
    <row r="592">
      <c r="A592" s="83" t="inlineStr">
        <is>
          <t>2000-07</t>
        </is>
      </c>
      <c r="B592" s="22" t="n">
        <v>36708</v>
      </c>
      <c r="C592" s="22" t="n"/>
      <c r="D592" s="22" t="n"/>
      <c r="E592" s="22" t="n">
        <v>36220</v>
      </c>
      <c r="F592" s="83" t="inlineStr">
        <is>
          <t>1999-03</t>
        </is>
      </c>
      <c r="G592" s="83" t="n">
        <v>21.82323</v>
      </c>
      <c r="I592" s="83" t="n">
        <v>8.528294000000001</v>
      </c>
      <c r="J592" s="83" t="n">
        <v>31.10155</v>
      </c>
      <c r="K592" s="83" t="n">
        <v>50.00064</v>
      </c>
      <c r="L592" s="83" t="n">
        <v>18.07036</v>
      </c>
      <c r="M592" s="83" t="n">
        <v>8.214312</v>
      </c>
      <c r="N592" s="83" t="n">
        <v>14.6542</v>
      </c>
      <c r="P592" s="83" t="n">
        <v>36.60132</v>
      </c>
      <c r="R592" s="83" t="n">
        <v>36.06924</v>
      </c>
      <c r="S592" s="83" t="n">
        <v>42.00204</v>
      </c>
      <c r="AA592" s="83" t="n">
        <v>35.01601</v>
      </c>
      <c r="AC592" s="83" t="n">
        <v>24.72241</v>
      </c>
      <c r="AD592" s="83" t="n">
        <v>13.98854</v>
      </c>
      <c r="AE592" s="83" t="n">
        <v>8.949646</v>
      </c>
      <c r="AG592" s="83" t="n">
        <v>13.91555</v>
      </c>
      <c r="AH592" s="83" t="n">
        <v>23.07537</v>
      </c>
      <c r="AJ592" s="83" t="n">
        <v>77.11301</v>
      </c>
      <c r="AK592" s="83" t="n">
        <v>27.66449</v>
      </c>
      <c r="AO592" s="83" t="n">
        <v>12.99342</v>
      </c>
      <c r="AQ592" s="83" t="n">
        <v>32.93926</v>
      </c>
      <c r="AR592" s="83" t="n">
        <v>32.11745</v>
      </c>
      <c r="AS592" s="83" t="n">
        <v>68.90804</v>
      </c>
      <c r="AT592" s="83" t="n">
        <v>21.69757</v>
      </c>
      <c r="AV592" s="83" t="n">
        <v>1.44406</v>
      </c>
      <c r="AZ592" s="83" t="n">
        <v>37.776</v>
      </c>
      <c r="BA592" s="83" t="n">
        <v>2.162853</v>
      </c>
      <c r="BB592" s="83" t="n">
        <v>36.74764</v>
      </c>
      <c r="BC592" s="83" t="n">
        <v>15.13043</v>
      </c>
      <c r="BD592" s="83" t="n">
        <v>31.05005</v>
      </c>
    </row>
    <row r="593">
      <c r="A593" s="83" t="inlineStr">
        <is>
          <t>2000-08</t>
        </is>
      </c>
      <c r="B593" s="22" t="n">
        <v>36739</v>
      </c>
      <c r="C593" s="22" t="n"/>
      <c r="D593" s="22" t="n"/>
      <c r="E593" s="22" t="n">
        <v>36251</v>
      </c>
      <c r="F593" s="83" t="inlineStr">
        <is>
          <t>1999-04</t>
        </is>
      </c>
      <c r="G593" s="83" t="n">
        <v>22.05297</v>
      </c>
      <c r="I593" s="83" t="n">
        <v>8.671156999999999</v>
      </c>
      <c r="J593" s="83" t="n">
        <v>31.35568</v>
      </c>
      <c r="K593" s="83" t="n">
        <v>49.97768</v>
      </c>
      <c r="L593" s="83" t="n">
        <v>18.15389</v>
      </c>
      <c r="M593" s="83" t="n">
        <v>8.263121</v>
      </c>
      <c r="N593" s="83" t="n">
        <v>14.71439</v>
      </c>
      <c r="P593" s="83" t="n">
        <v>36.80814</v>
      </c>
      <c r="R593" s="83" t="n">
        <v>36.30642</v>
      </c>
      <c r="S593" s="83" t="n">
        <v>42.23045</v>
      </c>
      <c r="AA593" s="83" t="n">
        <v>35.07244</v>
      </c>
      <c r="AC593" s="83" t="n">
        <v>24.73637</v>
      </c>
      <c r="AD593" s="83" t="n">
        <v>14.12927</v>
      </c>
      <c r="AE593" s="83" t="n">
        <v>9.056244</v>
      </c>
      <c r="AG593" s="83" t="n">
        <v>14.08532</v>
      </c>
      <c r="AH593" s="83" t="n">
        <v>23.49814</v>
      </c>
      <c r="AJ593" s="83" t="n">
        <v>77.20299</v>
      </c>
      <c r="AK593" s="83" t="n">
        <v>27.88473</v>
      </c>
      <c r="AO593" s="83" t="n">
        <v>13.18569</v>
      </c>
      <c r="AQ593" s="83" t="n">
        <v>33.18238</v>
      </c>
      <c r="AR593" s="83" t="n">
        <v>32.37196</v>
      </c>
      <c r="AS593" s="83" t="n">
        <v>68.77424999999999</v>
      </c>
      <c r="AT593" s="83" t="n">
        <v>21.89099</v>
      </c>
      <c r="AV593" s="83" t="n">
        <v>1.489843</v>
      </c>
      <c r="AZ593" s="83" t="n">
        <v>38.03074</v>
      </c>
      <c r="BA593" s="83" t="n">
        <v>2.301165</v>
      </c>
      <c r="BB593" s="83" t="n">
        <v>36.98531</v>
      </c>
      <c r="BC593" s="83" t="n">
        <v>15.30618</v>
      </c>
      <c r="BD593" s="83" t="n">
        <v>30.69409</v>
      </c>
    </row>
    <row r="594">
      <c r="A594" s="83" t="inlineStr">
        <is>
          <t>2000-09</t>
        </is>
      </c>
      <c r="B594" s="22" t="n">
        <v>36770</v>
      </c>
      <c r="C594" s="22" t="n"/>
      <c r="D594" s="22" t="n"/>
      <c r="E594" s="22" t="n">
        <v>36281</v>
      </c>
      <c r="F594" s="83" t="inlineStr">
        <is>
          <t>1999-05</t>
        </is>
      </c>
      <c r="G594" s="83" t="n">
        <v>22.29113</v>
      </c>
      <c r="I594" s="83" t="n">
        <v>8.798527</v>
      </c>
      <c r="J594" s="83" t="n">
        <v>31.49474</v>
      </c>
      <c r="K594" s="83" t="n">
        <v>50.00264</v>
      </c>
      <c r="L594" s="83" t="n">
        <v>18.48404</v>
      </c>
      <c r="M594" s="83" t="n">
        <v>8.333735000000001</v>
      </c>
      <c r="N594" s="83" t="n">
        <v>14.7984</v>
      </c>
      <c r="P594" s="83" t="n">
        <v>37.16018</v>
      </c>
      <c r="R594" s="83" t="n">
        <v>36.57549</v>
      </c>
      <c r="S594" s="83" t="n">
        <v>42.55935</v>
      </c>
      <c r="AA594" s="83" t="n">
        <v>35.16426</v>
      </c>
      <c r="AC594" s="83" t="n">
        <v>24.97696</v>
      </c>
      <c r="AD594" s="83" t="n">
        <v>14.31181</v>
      </c>
      <c r="AE594" s="83" t="n">
        <v>9.122043</v>
      </c>
      <c r="AG594" s="83" t="n">
        <v>14.26329</v>
      </c>
      <c r="AH594" s="83" t="n">
        <v>23.83499</v>
      </c>
      <c r="AJ594" s="83" t="n">
        <v>77.48111</v>
      </c>
      <c r="AK594" s="83" t="n">
        <v>28.00601</v>
      </c>
      <c r="AO594" s="83" t="n">
        <v>13.38374</v>
      </c>
      <c r="AQ594" s="83" t="n">
        <v>33.20445</v>
      </c>
      <c r="AR594" s="83" t="n">
        <v>32.64933</v>
      </c>
      <c r="AS594" s="83" t="n">
        <v>68.69853000000001</v>
      </c>
      <c r="AT594" s="83" t="n">
        <v>22.07282</v>
      </c>
      <c r="AV594" s="83" t="n">
        <v>1.557884</v>
      </c>
      <c r="AZ594" s="83" t="n">
        <v>39.18481</v>
      </c>
      <c r="BA594" s="83" t="n">
        <v>2.457563</v>
      </c>
      <c r="BB594" s="83" t="n">
        <v>37.18725</v>
      </c>
      <c r="BC594" s="83" t="n">
        <v>15.25159</v>
      </c>
      <c r="BD594" s="83" t="n">
        <v>30.27276</v>
      </c>
    </row>
    <row r="595">
      <c r="A595" s="83" t="inlineStr">
        <is>
          <t>2000-10</t>
        </is>
      </c>
      <c r="B595" s="22" t="n">
        <v>36800</v>
      </c>
      <c r="C595" s="22" t="n"/>
      <c r="D595" s="22" t="n"/>
      <c r="E595" s="22" t="n">
        <v>36312</v>
      </c>
      <c r="F595" s="83" t="inlineStr">
        <is>
          <t>1999-06</t>
        </is>
      </c>
      <c r="G595" s="83" t="n">
        <v>22.49846</v>
      </c>
      <c r="I595" s="83" t="n">
        <v>8.933215000000001</v>
      </c>
      <c r="J595" s="83" t="n">
        <v>31.70276</v>
      </c>
      <c r="K595" s="83" t="n">
        <v>50.03154</v>
      </c>
      <c r="L595" s="83" t="n">
        <v>18.89281</v>
      </c>
      <c r="M595" s="83" t="n">
        <v>8.436983</v>
      </c>
      <c r="N595" s="83" t="n">
        <v>14.83329</v>
      </c>
      <c r="P595" s="83" t="n">
        <v>37.32006</v>
      </c>
      <c r="R595" s="83" t="n">
        <v>36.65437</v>
      </c>
      <c r="S595" s="83" t="n">
        <v>42.84182</v>
      </c>
      <c r="AA595" s="83" t="n">
        <v>35.24501</v>
      </c>
      <c r="AC595" s="83" t="n">
        <v>25.17166</v>
      </c>
      <c r="AD595" s="83" t="n">
        <v>14.2508</v>
      </c>
      <c r="AE595" s="83" t="n">
        <v>9.221332</v>
      </c>
      <c r="AG595" s="83" t="n">
        <v>14.45124</v>
      </c>
      <c r="AH595" s="83" t="n">
        <v>24.06947</v>
      </c>
      <c r="AJ595" s="83" t="n">
        <v>77.77558999999999</v>
      </c>
      <c r="AK595" s="83" t="n">
        <v>28.17287</v>
      </c>
      <c r="AO595" s="83" t="n">
        <v>13.60325</v>
      </c>
      <c r="AQ595" s="83" t="n">
        <v>33.53511</v>
      </c>
      <c r="AR595" s="83" t="n">
        <v>32.91136</v>
      </c>
      <c r="AS595" s="83" t="n">
        <v>68.75587</v>
      </c>
      <c r="AT595" s="83" t="n">
        <v>22.32683</v>
      </c>
      <c r="AV595" s="83" t="n">
        <v>1.638034</v>
      </c>
      <c r="AZ595" s="83" t="n">
        <v>39.97429</v>
      </c>
      <c r="BA595" s="83" t="n">
        <v>2.598006</v>
      </c>
      <c r="BB595" s="83" t="n">
        <v>37.36841</v>
      </c>
      <c r="BC595" s="83" t="n">
        <v>15.4435</v>
      </c>
      <c r="BD595" s="83" t="n">
        <v>30.28488</v>
      </c>
    </row>
    <row r="596">
      <c r="A596" s="83" t="inlineStr">
        <is>
          <t>2000-11</t>
        </is>
      </c>
      <c r="B596" s="22" t="n">
        <v>36831</v>
      </c>
      <c r="C596" s="22" t="n"/>
      <c r="D596" s="22" t="n"/>
      <c r="E596" s="22" t="n">
        <v>36342</v>
      </c>
      <c r="F596" s="83" t="inlineStr">
        <is>
          <t>1999-07</t>
        </is>
      </c>
      <c r="G596" s="83" t="n">
        <v>22.65536</v>
      </c>
      <c r="I596" s="83" t="n">
        <v>9.085259000000001</v>
      </c>
      <c r="J596" s="83" t="n">
        <v>31.85014</v>
      </c>
      <c r="K596" s="83" t="n">
        <v>50.11339</v>
      </c>
      <c r="L596" s="83" t="n">
        <v>19.02491</v>
      </c>
      <c r="M596" s="83" t="n">
        <v>8.455183</v>
      </c>
      <c r="N596" s="83" t="n">
        <v>14.84363</v>
      </c>
      <c r="P596" s="83" t="n">
        <v>37.27899</v>
      </c>
      <c r="R596" s="83" t="n">
        <v>36.70057</v>
      </c>
      <c r="S596" s="83" t="n">
        <v>43.00114</v>
      </c>
      <c r="AA596" s="83" t="n">
        <v>35.3168</v>
      </c>
      <c r="AC596" s="83" t="n">
        <v>25.2946</v>
      </c>
      <c r="AD596" s="83" t="n">
        <v>14.20318</v>
      </c>
      <c r="AE596" s="83" t="n">
        <v>9.353161999999999</v>
      </c>
      <c r="AG596" s="83" t="n">
        <v>14.64447</v>
      </c>
      <c r="AH596" s="83" t="n">
        <v>24.41767</v>
      </c>
      <c r="AJ596" s="83" t="n">
        <v>77.91464999999999</v>
      </c>
      <c r="AK596" s="83" t="n">
        <v>28.29239</v>
      </c>
      <c r="AO596" s="83" t="n">
        <v>13.83837</v>
      </c>
      <c r="AQ596" s="83" t="n">
        <v>34.19626</v>
      </c>
      <c r="AR596" s="83" t="n">
        <v>33.15108</v>
      </c>
      <c r="AS596" s="83" t="n">
        <v>68.89046</v>
      </c>
      <c r="AT596" s="83" t="n">
        <v>22.48635</v>
      </c>
      <c r="AV596" s="83" t="n">
        <v>1.710348</v>
      </c>
      <c r="AZ596" s="83" t="n">
        <v>40.1792</v>
      </c>
      <c r="BA596" s="83" t="n">
        <v>2.701561</v>
      </c>
      <c r="BB596" s="83" t="n">
        <v>37.59445</v>
      </c>
      <c r="BC596" s="83" t="n">
        <v>15.72112</v>
      </c>
      <c r="BD596" s="83" t="n">
        <v>30.85591</v>
      </c>
    </row>
    <row r="597">
      <c r="A597" s="83" t="inlineStr">
        <is>
          <t>2000-12</t>
        </is>
      </c>
      <c r="B597" s="22" t="n">
        <v>36861</v>
      </c>
      <c r="C597" s="22" t="n"/>
      <c r="D597" s="22" t="n"/>
      <c r="E597" s="22" t="n">
        <v>36373</v>
      </c>
      <c r="F597" s="83" t="inlineStr">
        <is>
          <t>1999-08</t>
        </is>
      </c>
      <c r="G597" s="83" t="n">
        <v>22.78985</v>
      </c>
      <c r="I597" s="83" t="n">
        <v>9.215401</v>
      </c>
      <c r="J597" s="83" t="n">
        <v>32.02813</v>
      </c>
      <c r="K597" s="83" t="n">
        <v>50.16301</v>
      </c>
      <c r="L597" s="83" t="n">
        <v>19.01729</v>
      </c>
      <c r="M597" s="83" t="n">
        <v>8.513522999999999</v>
      </c>
      <c r="N597" s="83" t="n">
        <v>14.91102</v>
      </c>
      <c r="P597" s="83" t="n">
        <v>37.44327</v>
      </c>
      <c r="R597" s="83" t="n">
        <v>36.98897</v>
      </c>
      <c r="S597" s="83" t="n">
        <v>42.92964</v>
      </c>
      <c r="AA597" s="83" t="n">
        <v>35.4221</v>
      </c>
      <c r="AC597" s="83" t="n">
        <v>25.60997</v>
      </c>
      <c r="AD597" s="83" t="n">
        <v>14.50524</v>
      </c>
      <c r="AE597" s="83" t="n">
        <v>9.500515</v>
      </c>
      <c r="AG597" s="83" t="n">
        <v>14.83462</v>
      </c>
      <c r="AH597" s="83" t="n">
        <v>24.83895</v>
      </c>
      <c r="AJ597" s="83" t="n">
        <v>78.00463000000001</v>
      </c>
      <c r="AK597" s="83" t="n">
        <v>28.2859</v>
      </c>
      <c r="AO597" s="83" t="n">
        <v>14.11893</v>
      </c>
      <c r="AQ597" s="83" t="n">
        <v>34.53746</v>
      </c>
      <c r="AR597" s="83" t="n">
        <v>33.38649</v>
      </c>
      <c r="AS597" s="83" t="n">
        <v>69.18261</v>
      </c>
      <c r="AT597" s="83" t="n">
        <v>22.67171</v>
      </c>
      <c r="AV597" s="83" t="n">
        <v>1.779875</v>
      </c>
      <c r="AZ597" s="83" t="n">
        <v>40.64315</v>
      </c>
      <c r="BA597" s="83" t="n">
        <v>2.845474</v>
      </c>
      <c r="BB597" s="83" t="n">
        <v>37.73822</v>
      </c>
      <c r="BC597" s="83" t="n">
        <v>15.75097</v>
      </c>
      <c r="BD597" s="83" t="n">
        <v>31.23355</v>
      </c>
    </row>
    <row r="598">
      <c r="A598" s="83" t="inlineStr">
        <is>
          <t>2001-01</t>
        </is>
      </c>
      <c r="B598" s="22" t="n">
        <v>36892</v>
      </c>
      <c r="C598" s="22" t="n"/>
      <c r="D598" s="22" t="n"/>
      <c r="E598" s="22" t="n">
        <v>36404</v>
      </c>
      <c r="F598" s="83" t="inlineStr">
        <is>
          <t>1999-09</t>
        </is>
      </c>
      <c r="G598" s="83" t="n">
        <v>22.94394</v>
      </c>
      <c r="I598" s="83" t="n">
        <v>9.365049000000001</v>
      </c>
      <c r="J598" s="83" t="n">
        <v>32.0059</v>
      </c>
      <c r="K598" s="83" t="n">
        <v>50.18118</v>
      </c>
      <c r="L598" s="83" t="n">
        <v>19.17825</v>
      </c>
      <c r="M598" s="83" t="n">
        <v>8.703583</v>
      </c>
      <c r="N598" s="83" t="n">
        <v>14.99314</v>
      </c>
      <c r="P598" s="83" t="n">
        <v>37.72783</v>
      </c>
      <c r="R598" s="83" t="n">
        <v>36.85941</v>
      </c>
      <c r="S598" s="83" t="n">
        <v>42.92128</v>
      </c>
      <c r="AA598" s="83" t="n">
        <v>35.42453</v>
      </c>
      <c r="AC598" s="83" t="n">
        <v>25.90882</v>
      </c>
      <c r="AD598" s="83" t="n">
        <v>14.88413</v>
      </c>
      <c r="AE598" s="83" t="n">
        <v>9.623896999999999</v>
      </c>
      <c r="AG598" s="83" t="n">
        <v>15.01057</v>
      </c>
      <c r="AH598" s="83" t="n">
        <v>25.19901</v>
      </c>
      <c r="AJ598" s="83" t="n">
        <v>78.02099</v>
      </c>
      <c r="AK598" s="83" t="n">
        <v>28.31395</v>
      </c>
      <c r="AO598" s="83" t="n">
        <v>14.37713</v>
      </c>
      <c r="AQ598" s="83" t="n">
        <v>34.53555</v>
      </c>
      <c r="AR598" s="83" t="n">
        <v>33.59827</v>
      </c>
      <c r="AS598" s="83" t="n">
        <v>69.65644</v>
      </c>
      <c r="AT598" s="83" t="n">
        <v>23.05414</v>
      </c>
      <c r="AV598" s="83" t="n">
        <v>1.834026</v>
      </c>
      <c r="AZ598" s="83" t="n">
        <v>40.8618</v>
      </c>
      <c r="BA598" s="83" t="n">
        <v>3.007553</v>
      </c>
      <c r="BB598" s="83" t="n">
        <v>37.87118</v>
      </c>
      <c r="BC598" s="83" t="n">
        <v>15.99471</v>
      </c>
      <c r="BD598" s="83" t="n">
        <v>31.38915</v>
      </c>
    </row>
    <row r="599">
      <c r="A599" s="83" t="inlineStr">
        <is>
          <t>2001-02</t>
        </is>
      </c>
      <c r="B599" s="22" t="n">
        <v>36923</v>
      </c>
      <c r="C599" s="22" t="n"/>
      <c r="D599" s="22" t="n"/>
      <c r="E599" s="22" t="n">
        <v>36434</v>
      </c>
      <c r="F599" s="83" t="inlineStr">
        <is>
          <t>1999-10</t>
        </is>
      </c>
      <c r="G599" s="83" t="n">
        <v>23.12886</v>
      </c>
      <c r="I599" s="83" t="n">
        <v>9.544271</v>
      </c>
      <c r="J599" s="83" t="n">
        <v>32.4527</v>
      </c>
      <c r="K599" s="83" t="n">
        <v>50.07017</v>
      </c>
      <c r="L599" s="83" t="n">
        <v>19.38785</v>
      </c>
      <c r="M599" s="83" t="n">
        <v>8.776474</v>
      </c>
      <c r="N599" s="83" t="n">
        <v>15.02303</v>
      </c>
      <c r="P599" s="83" t="n">
        <v>37.95079</v>
      </c>
      <c r="R599" s="83" t="n">
        <v>36.57449</v>
      </c>
      <c r="S599" s="83" t="n">
        <v>43.09991</v>
      </c>
      <c r="AA599" s="83" t="n">
        <v>35.37786</v>
      </c>
      <c r="AC599" s="83" t="n">
        <v>26.12522</v>
      </c>
      <c r="AD599" s="83" t="n">
        <v>14.84825</v>
      </c>
      <c r="AE599" s="83" t="n">
        <v>9.752648000000001</v>
      </c>
      <c r="AG599" s="83" t="n">
        <v>15.17673</v>
      </c>
      <c r="AH599" s="83" t="n">
        <v>25.55581</v>
      </c>
      <c r="AJ599" s="83" t="n">
        <v>78.27457</v>
      </c>
      <c r="AK599" s="83" t="n">
        <v>28.46472</v>
      </c>
      <c r="AO599" s="83" t="n">
        <v>14.57652</v>
      </c>
      <c r="AQ599" s="83" t="n">
        <v>34.90571</v>
      </c>
      <c r="AR599" s="83" t="n">
        <v>33.87181</v>
      </c>
      <c r="AS599" s="83" t="n">
        <v>70.33071</v>
      </c>
      <c r="AT599" s="83" t="n">
        <v>23.45243</v>
      </c>
      <c r="AV599" s="83" t="n">
        <v>1.883655</v>
      </c>
      <c r="AZ599" s="83" t="n">
        <v>41.27076</v>
      </c>
      <c r="BA599" s="83" t="n">
        <v>3.180906</v>
      </c>
      <c r="BB599" s="83" t="n">
        <v>38.06813</v>
      </c>
      <c r="BC599" s="83" t="n">
        <v>16.30217</v>
      </c>
      <c r="BD599" s="83" t="n">
        <v>31.41692</v>
      </c>
    </row>
    <row r="600">
      <c r="A600" s="83" t="inlineStr">
        <is>
          <t>2001-03</t>
        </is>
      </c>
      <c r="B600" s="22" t="n">
        <v>36951</v>
      </c>
      <c r="C600" s="22" t="n"/>
      <c r="D600" s="22" t="n"/>
      <c r="E600" s="22" t="n">
        <v>36465</v>
      </c>
      <c r="F600" s="83" t="inlineStr">
        <is>
          <t>1999-11</t>
        </is>
      </c>
      <c r="G600" s="83" t="n">
        <v>23.31939</v>
      </c>
      <c r="I600" s="83" t="n">
        <v>9.695145</v>
      </c>
      <c r="J600" s="83" t="n">
        <v>32.6783</v>
      </c>
      <c r="K600" s="83" t="n">
        <v>49.91248</v>
      </c>
      <c r="L600" s="83" t="n">
        <v>19.57263</v>
      </c>
      <c r="M600" s="83" t="n">
        <v>8.795945</v>
      </c>
      <c r="N600" s="83" t="n">
        <v>15.07083</v>
      </c>
      <c r="P600" s="83" t="n">
        <v>38.17961</v>
      </c>
      <c r="R600" s="83" t="n">
        <v>37.1091</v>
      </c>
      <c r="S600" s="83" t="n">
        <v>43.4009</v>
      </c>
      <c r="AA600" s="83" t="n">
        <v>35.70214</v>
      </c>
      <c r="AC600" s="83" t="n">
        <v>26.39353</v>
      </c>
      <c r="AD600" s="83" t="n">
        <v>14.70467</v>
      </c>
      <c r="AE600" s="83" t="n">
        <v>9.855180000000001</v>
      </c>
      <c r="AG600" s="83" t="n">
        <v>15.34073</v>
      </c>
      <c r="AH600" s="83" t="n">
        <v>25.82645</v>
      </c>
      <c r="AJ600" s="83" t="n">
        <v>78.34001000000001</v>
      </c>
      <c r="AK600" s="83" t="n">
        <v>28.61735</v>
      </c>
      <c r="AO600" s="83" t="n">
        <v>14.77014</v>
      </c>
      <c r="AQ600" s="83" t="n">
        <v>35.30903</v>
      </c>
      <c r="AR600" s="83" t="n">
        <v>34.16451</v>
      </c>
      <c r="AS600" s="83" t="n">
        <v>70.81955000000001</v>
      </c>
      <c r="AT600" s="83" t="n">
        <v>23.88944</v>
      </c>
      <c r="AV600" s="83" t="n">
        <v>1.948516</v>
      </c>
      <c r="AZ600" s="83" t="n">
        <v>41.62099</v>
      </c>
      <c r="BA600" s="83" t="n">
        <v>3.397039</v>
      </c>
      <c r="BB600" s="83" t="n">
        <v>38.22602</v>
      </c>
      <c r="BC600" s="83" t="n">
        <v>16.51804</v>
      </c>
      <c r="BD600" s="83" t="n">
        <v>31.33285</v>
      </c>
    </row>
    <row r="601">
      <c r="A601" s="83" t="inlineStr">
        <is>
          <t>2001-04</t>
        </is>
      </c>
      <c r="B601" s="22" t="n">
        <v>36982</v>
      </c>
      <c r="C601" s="22" t="n"/>
      <c r="D601" s="22" t="n"/>
      <c r="E601" s="22" t="n">
        <v>36495</v>
      </c>
      <c r="F601" s="83" t="inlineStr">
        <is>
          <t>1999-12</t>
        </is>
      </c>
      <c r="G601" s="83" t="n">
        <v>23.41465</v>
      </c>
      <c r="I601" s="83" t="n">
        <v>9.969006</v>
      </c>
      <c r="J601" s="83" t="n">
        <v>32.89997</v>
      </c>
      <c r="K601" s="83" t="n">
        <v>49.83994</v>
      </c>
      <c r="L601" s="83" t="n">
        <v>19.77931</v>
      </c>
      <c r="M601" s="83" t="n">
        <v>8.952579</v>
      </c>
      <c r="N601" s="83" t="n">
        <v>15.12354</v>
      </c>
      <c r="P601" s="83" t="n">
        <v>38.74726</v>
      </c>
      <c r="R601" s="83" t="n">
        <v>37.40745</v>
      </c>
      <c r="S601" s="83" t="n">
        <v>44.0153</v>
      </c>
      <c r="AA601" s="83" t="n">
        <v>35.98988</v>
      </c>
      <c r="AC601" s="83" t="n">
        <v>26.85672</v>
      </c>
      <c r="AD601" s="83" t="n">
        <v>14.74371</v>
      </c>
      <c r="AE601" s="83" t="n">
        <v>10.04146</v>
      </c>
      <c r="AG601" s="83" t="n">
        <v>15.50191</v>
      </c>
      <c r="AH601" s="83" t="n">
        <v>26.13113</v>
      </c>
      <c r="AJ601" s="83" t="n">
        <v>78.60177</v>
      </c>
      <c r="AK601" s="83" t="n">
        <v>28.61973</v>
      </c>
      <c r="AO601" s="83" t="n">
        <v>14.90413</v>
      </c>
      <c r="AQ601" s="83" t="n">
        <v>35.53172</v>
      </c>
      <c r="AR601" s="83" t="n">
        <v>34.48875</v>
      </c>
      <c r="AS601" s="83" t="n">
        <v>70.89776999999999</v>
      </c>
      <c r="AT601" s="83" t="n">
        <v>24.29217</v>
      </c>
      <c r="AV601" s="83" t="n">
        <v>1.983633</v>
      </c>
      <c r="AZ601" s="83" t="n">
        <v>41.1742</v>
      </c>
      <c r="BA601" s="83" t="n">
        <v>3.633562</v>
      </c>
      <c r="BB601" s="83" t="n">
        <v>38.45456</v>
      </c>
      <c r="BC601" s="83" t="n">
        <v>16.83222</v>
      </c>
      <c r="BD601" s="83" t="n">
        <v>31.46424</v>
      </c>
    </row>
    <row r="602">
      <c r="A602" s="83" t="inlineStr">
        <is>
          <t>2001-05</t>
        </is>
      </c>
      <c r="B602" s="22" t="n">
        <v>37012</v>
      </c>
      <c r="C602" s="22" t="n"/>
      <c r="D602" s="22" t="n"/>
      <c r="E602" s="22" t="n">
        <v>36526</v>
      </c>
      <c r="F602" s="83" t="inlineStr">
        <is>
          <t>2000-01</t>
        </is>
      </c>
      <c r="G602" s="83" t="n">
        <v>23.44547</v>
      </c>
      <c r="I602" s="83" t="n">
        <v>10.24938</v>
      </c>
      <c r="J602" s="83" t="n">
        <v>33.02388</v>
      </c>
      <c r="K602" s="83" t="n">
        <v>49.70052</v>
      </c>
      <c r="L602" s="83" t="n">
        <v>19.88669</v>
      </c>
      <c r="M602" s="83" t="n">
        <v>9.088729000000001</v>
      </c>
      <c r="N602" s="83" t="n">
        <v>15.29268</v>
      </c>
      <c r="P602" s="83" t="n">
        <v>39.01423</v>
      </c>
      <c r="R602" s="83" t="n">
        <v>37.16794</v>
      </c>
      <c r="S602" s="83" t="n">
        <v>44.47797</v>
      </c>
      <c r="AA602" s="83" t="n">
        <v>35.92948</v>
      </c>
      <c r="AC602" s="83" t="n">
        <v>27.25684</v>
      </c>
      <c r="AD602" s="83" t="n">
        <v>14.80523</v>
      </c>
      <c r="AE602" s="83" t="n">
        <v>10.1776</v>
      </c>
      <c r="AG602" s="83" t="n">
        <v>15.6591</v>
      </c>
      <c r="AH602" s="83" t="n">
        <v>26.62013</v>
      </c>
      <c r="AJ602" s="83" t="n">
        <v>78.62631</v>
      </c>
      <c r="AK602" s="83" t="n">
        <v>28.72981</v>
      </c>
      <c r="AO602" s="83" t="n">
        <v>15.12249</v>
      </c>
      <c r="AQ602" s="83" t="n">
        <v>35.72271</v>
      </c>
      <c r="AR602" s="83" t="n">
        <v>34.76026</v>
      </c>
      <c r="AS602" s="83" t="n">
        <v>72.08253999999999</v>
      </c>
      <c r="AT602" s="83" t="n">
        <v>24.32207</v>
      </c>
      <c r="AV602" s="83" t="n">
        <v>2.097112</v>
      </c>
      <c r="AZ602" s="83" t="n">
        <v>41.58322</v>
      </c>
      <c r="BA602" s="83" t="n">
        <v>3.858876</v>
      </c>
      <c r="BB602" s="83" t="n">
        <v>38.68973</v>
      </c>
      <c r="BC602" s="83" t="n">
        <v>16.98082</v>
      </c>
      <c r="BD602" s="83" t="n">
        <v>31.50834</v>
      </c>
    </row>
    <row r="603">
      <c r="A603" s="83" t="inlineStr">
        <is>
          <t>2001-06</t>
        </is>
      </c>
      <c r="B603" s="22" t="n">
        <v>37043</v>
      </c>
      <c r="C603" s="22" t="n"/>
      <c r="D603" s="22" t="n"/>
      <c r="E603" s="22" t="n">
        <v>36557</v>
      </c>
      <c r="F603" s="83" t="inlineStr">
        <is>
          <t>2000-02</t>
        </is>
      </c>
      <c r="G603" s="83" t="n">
        <v>23.52112</v>
      </c>
      <c r="I603" s="83" t="n">
        <v>10.41877</v>
      </c>
      <c r="J603" s="83" t="n">
        <v>33.32624</v>
      </c>
      <c r="K603" s="83" t="n">
        <v>49.44541</v>
      </c>
      <c r="L603" s="83" t="n">
        <v>19.98463</v>
      </c>
      <c r="M603" s="83" t="n">
        <v>9.173444</v>
      </c>
      <c r="N603" s="83" t="n">
        <v>15.20976</v>
      </c>
      <c r="P603" s="83" t="n">
        <v>39.06703</v>
      </c>
      <c r="R603" s="83" t="n">
        <v>37.22279</v>
      </c>
      <c r="S603" s="83" t="n">
        <v>44.6172</v>
      </c>
      <c r="AA603" s="83" t="n">
        <v>36.16468</v>
      </c>
      <c r="AC603" s="83" t="n">
        <v>27.6404</v>
      </c>
      <c r="AD603" s="83" t="n">
        <v>14.98777</v>
      </c>
      <c r="AE603" s="83" t="n">
        <v>10.25099</v>
      </c>
      <c r="AG603" s="83" t="n">
        <v>15.81323</v>
      </c>
      <c r="AH603" s="83" t="n">
        <v>26.96834</v>
      </c>
      <c r="AJ603" s="83" t="n">
        <v>78.77355</v>
      </c>
      <c r="AK603" s="83" t="n">
        <v>28.92856</v>
      </c>
      <c r="AO603" s="83" t="n">
        <v>15.44941</v>
      </c>
      <c r="AQ603" s="83" t="n">
        <v>35.90107</v>
      </c>
      <c r="AR603" s="83" t="n">
        <v>34.97271</v>
      </c>
      <c r="AS603" s="83" t="n">
        <v>73.59171000000001</v>
      </c>
      <c r="AT603" s="83" t="n">
        <v>24.3294</v>
      </c>
      <c r="AV603" s="83" t="n">
        <v>2.219911</v>
      </c>
      <c r="AZ603" s="83" t="n">
        <v>42.87687</v>
      </c>
      <c r="BA603" s="83" t="n">
        <v>4.045871</v>
      </c>
      <c r="BB603" s="83" t="n">
        <v>38.80026</v>
      </c>
      <c r="BC603" s="83" t="n">
        <v>16.96754</v>
      </c>
      <c r="BD603" s="83" t="n">
        <v>31.50061</v>
      </c>
    </row>
    <row r="604">
      <c r="A604" s="83" t="inlineStr">
        <is>
          <t>2001-07</t>
        </is>
      </c>
      <c r="B604" s="22" t="n">
        <v>37073</v>
      </c>
      <c r="C604" s="22" t="n"/>
      <c r="D604" s="22" t="n"/>
      <c r="E604" s="22" t="n">
        <v>36586</v>
      </c>
      <c r="F604" s="83" t="inlineStr">
        <is>
          <t>2000-03</t>
        </is>
      </c>
      <c r="G604" s="83" t="n">
        <v>23.62478</v>
      </c>
      <c r="I604" s="83" t="n">
        <v>10.5752</v>
      </c>
      <c r="J604" s="83" t="n">
        <v>33.65058</v>
      </c>
      <c r="K604" s="83" t="n">
        <v>49.20711</v>
      </c>
      <c r="L604" s="83" t="n">
        <v>20.13134</v>
      </c>
      <c r="M604" s="83" t="n">
        <v>9.256809000000001</v>
      </c>
      <c r="N604" s="83" t="n">
        <v>15.03858</v>
      </c>
      <c r="P604" s="83" t="n">
        <v>39.33252</v>
      </c>
      <c r="R604" s="83" t="n">
        <v>37.55172</v>
      </c>
      <c r="S604" s="83" t="n">
        <v>44.8322</v>
      </c>
      <c r="AA604" s="83" t="n">
        <v>36.82928</v>
      </c>
      <c r="AC604" s="83" t="n">
        <v>28.24787</v>
      </c>
      <c r="AD604" s="83" t="n">
        <v>15.15074</v>
      </c>
      <c r="AE604" s="83" t="n">
        <v>10.35824</v>
      </c>
      <c r="AG604" s="83" t="n">
        <v>15.96292</v>
      </c>
      <c r="AH604" s="83" t="n">
        <v>27.43673</v>
      </c>
      <c r="AJ604" s="83" t="n">
        <v>78.83899</v>
      </c>
      <c r="AK604" s="83" t="n">
        <v>29.16991</v>
      </c>
      <c r="AO604" s="83" t="n">
        <v>15.66273</v>
      </c>
      <c r="AQ604" s="83" t="n">
        <v>36.33215</v>
      </c>
      <c r="AR604" s="83" t="n">
        <v>35.26143</v>
      </c>
      <c r="AS604" s="83" t="n">
        <v>73.98551999999999</v>
      </c>
      <c r="AT604" s="83" t="n">
        <v>24.66117</v>
      </c>
      <c r="AV604" s="83" t="n">
        <v>2.304609</v>
      </c>
      <c r="AZ604" s="83" t="n">
        <v>43.52835</v>
      </c>
      <c r="BA604" s="83" t="n">
        <v>4.182989</v>
      </c>
      <c r="BB604" s="83" t="n">
        <v>39.05621</v>
      </c>
      <c r="BC604" s="83" t="n">
        <v>16.88393</v>
      </c>
      <c r="BD604" s="83" t="n">
        <v>31.46038</v>
      </c>
    </row>
    <row r="605">
      <c r="A605" s="83" t="inlineStr">
        <is>
          <t>2001-08</t>
        </is>
      </c>
      <c r="B605" s="22" t="n">
        <v>37104</v>
      </c>
      <c r="C605" s="22" t="n"/>
      <c r="D605" s="22" t="n"/>
      <c r="E605" s="22" t="n">
        <v>36617</v>
      </c>
      <c r="F605" s="83" t="inlineStr">
        <is>
          <t>2000-04</t>
        </is>
      </c>
      <c r="G605" s="83" t="n">
        <v>23.78168</v>
      </c>
      <c r="I605" s="83" t="n">
        <v>10.71917</v>
      </c>
      <c r="J605" s="83" t="n">
        <v>33.81078</v>
      </c>
      <c r="K605" s="83" t="n">
        <v>49.06364</v>
      </c>
      <c r="L605" s="83" t="n">
        <v>20.28727</v>
      </c>
      <c r="M605" s="83" t="n">
        <v>9.347498999999999</v>
      </c>
      <c r="N605" s="83" t="n">
        <v>15.09527</v>
      </c>
      <c r="P605" s="83" t="n">
        <v>39.34132</v>
      </c>
      <c r="R605" s="83" t="n">
        <v>37.10207</v>
      </c>
      <c r="S605" s="83" t="n">
        <v>45.24625</v>
      </c>
      <c r="AA605" s="83" t="n">
        <v>37.2961</v>
      </c>
      <c r="AC605" s="83" t="n">
        <v>28.83706</v>
      </c>
      <c r="AD605" s="83" t="n">
        <v>15.32567</v>
      </c>
      <c r="AE605" s="83" t="n">
        <v>10.45477</v>
      </c>
      <c r="AG605" s="83" t="n">
        <v>16.10706</v>
      </c>
      <c r="AH605" s="83" t="n">
        <v>27.89109</v>
      </c>
      <c r="AJ605" s="83" t="n">
        <v>79.02713</v>
      </c>
      <c r="AK605" s="83" t="n">
        <v>29.34756</v>
      </c>
      <c r="AO605" s="83" t="n">
        <v>15.90492</v>
      </c>
      <c r="AQ605" s="83" t="n">
        <v>36.78896</v>
      </c>
      <c r="AR605" s="83" t="n">
        <v>35.62491</v>
      </c>
      <c r="AS605" s="83" t="n">
        <v>74.03278</v>
      </c>
      <c r="AT605" s="83" t="n">
        <v>25.1083</v>
      </c>
      <c r="AV605" s="83" t="n">
        <v>2.410746</v>
      </c>
      <c r="AZ605" s="83" t="n">
        <v>43.80904</v>
      </c>
      <c r="BA605" s="83" t="n">
        <v>4.311923</v>
      </c>
      <c r="BB605" s="83" t="n">
        <v>39.51992</v>
      </c>
      <c r="BC605" s="83" t="n">
        <v>16.86954</v>
      </c>
      <c r="BD605" s="83" t="n">
        <v>31.44389</v>
      </c>
    </row>
    <row r="606">
      <c r="A606" s="83" t="inlineStr">
        <is>
          <t>2001-09</t>
        </is>
      </c>
      <c r="B606" s="22" t="n">
        <v>37135</v>
      </c>
      <c r="C606" s="22" t="n"/>
      <c r="D606" s="22" t="n"/>
      <c r="E606" s="22" t="n">
        <v>36647</v>
      </c>
      <c r="F606" s="83" t="inlineStr">
        <is>
          <t>2000-05</t>
        </is>
      </c>
      <c r="G606" s="83" t="n">
        <v>23.98061</v>
      </c>
      <c r="I606" s="83" t="n">
        <v>10.89985</v>
      </c>
      <c r="J606" s="83" t="n">
        <v>33.69101</v>
      </c>
      <c r="K606" s="83" t="n">
        <v>49.09152</v>
      </c>
      <c r="L606" s="83" t="n">
        <v>20.48655</v>
      </c>
      <c r="M606" s="83" t="n">
        <v>9.437249</v>
      </c>
      <c r="N606" s="83" t="n">
        <v>15.13559</v>
      </c>
      <c r="P606" s="83" t="n">
        <v>39.54521</v>
      </c>
      <c r="R606" s="83" t="n">
        <v>37.20005</v>
      </c>
      <c r="S606" s="83" t="n">
        <v>45.48732</v>
      </c>
      <c r="AA606" s="83" t="n">
        <v>37.75796</v>
      </c>
      <c r="AC606" s="83" t="n">
        <v>29.26016</v>
      </c>
      <c r="AD606" s="83" t="n">
        <v>15.53429</v>
      </c>
      <c r="AE606" s="83" t="n">
        <v>10.57086</v>
      </c>
      <c r="AG606" s="83" t="n">
        <v>16.24347</v>
      </c>
      <c r="AH606" s="83" t="n">
        <v>28.13522</v>
      </c>
      <c r="AJ606" s="83" t="n">
        <v>79.04349999999999</v>
      </c>
      <c r="AK606" s="83" t="n">
        <v>29.46776</v>
      </c>
      <c r="AO606" s="83" t="n">
        <v>16.15365</v>
      </c>
      <c r="AQ606" s="83" t="n">
        <v>37.14052</v>
      </c>
      <c r="AR606" s="83" t="n">
        <v>35.72923</v>
      </c>
      <c r="AS606" s="83" t="n">
        <v>74.31332</v>
      </c>
      <c r="AT606" s="83" t="n">
        <v>25.4723</v>
      </c>
      <c r="AV606" s="83" t="n">
        <v>2.474025</v>
      </c>
      <c r="AZ606" s="83" t="n">
        <v>43.85705</v>
      </c>
      <c r="BA606" s="83" t="n">
        <v>4.472923</v>
      </c>
      <c r="BB606" s="83" t="n">
        <v>39.41604</v>
      </c>
      <c r="BC606" s="83" t="n">
        <v>16.79181</v>
      </c>
      <c r="BD606" s="83" t="n">
        <v>31.6638</v>
      </c>
    </row>
    <row r="607">
      <c r="A607" s="83" t="inlineStr">
        <is>
          <t>2001-10</t>
        </is>
      </c>
      <c r="B607" s="22" t="n">
        <v>37165</v>
      </c>
      <c r="C607" s="22" t="n"/>
      <c r="D607" s="22" t="n"/>
      <c r="E607" s="22" t="n">
        <v>36678</v>
      </c>
      <c r="F607" s="83" t="inlineStr">
        <is>
          <t>2000-06</t>
        </is>
      </c>
      <c r="G607" s="83" t="n">
        <v>24.14312</v>
      </c>
      <c r="I607" s="83" t="n">
        <v>11.23231</v>
      </c>
      <c r="J607" s="83" t="n">
        <v>33.74601</v>
      </c>
      <c r="K607" s="83" t="n">
        <v>48.93593</v>
      </c>
      <c r="L607" s="83" t="n">
        <v>20.71616</v>
      </c>
      <c r="M607" s="83" t="n">
        <v>9.532495000000001</v>
      </c>
      <c r="N607" s="83" t="n">
        <v>15.14665</v>
      </c>
      <c r="P607" s="83" t="n">
        <v>39.47187</v>
      </c>
      <c r="R607" s="83" t="n">
        <v>37.89515</v>
      </c>
      <c r="S607" s="83" t="n">
        <v>45.38879</v>
      </c>
      <c r="AA607" s="83" t="n">
        <v>38.32078</v>
      </c>
      <c r="AC607" s="83" t="n">
        <v>29.55659</v>
      </c>
      <c r="AD607" s="83" t="n">
        <v>15.67749</v>
      </c>
      <c r="AE607" s="83" t="n">
        <v>10.70087</v>
      </c>
      <c r="AG607" s="83" t="n">
        <v>16.37674</v>
      </c>
      <c r="AH607" s="83" t="n">
        <v>28.45018</v>
      </c>
      <c r="AJ607" s="83" t="n">
        <v>79.12529000000001</v>
      </c>
      <c r="AK607" s="83" t="n">
        <v>29.64621</v>
      </c>
      <c r="AO607" s="83" t="n">
        <v>16.37621</v>
      </c>
      <c r="AQ607" s="83" t="n">
        <v>37.46064</v>
      </c>
      <c r="AR607" s="83" t="n">
        <v>35.96111</v>
      </c>
      <c r="AS607" s="83" t="n">
        <v>74.88599000000001</v>
      </c>
      <c r="AT607" s="83" t="n">
        <v>26.30262</v>
      </c>
      <c r="AV607" s="83" t="n">
        <v>2.547308</v>
      </c>
      <c r="AZ607" s="83" t="n">
        <v>43.66156</v>
      </c>
      <c r="BA607" s="83" t="n">
        <v>4.62368</v>
      </c>
      <c r="BB607" s="83" t="n">
        <v>39.56396</v>
      </c>
      <c r="BC607" s="83" t="n">
        <v>16.78275</v>
      </c>
      <c r="BD607" s="83" t="n">
        <v>31.58727</v>
      </c>
    </row>
    <row r="608">
      <c r="A608" s="83" t="inlineStr">
        <is>
          <t>2001-11</t>
        </is>
      </c>
      <c r="B608" s="22" t="n">
        <v>37196</v>
      </c>
      <c r="C608" s="22" t="n"/>
      <c r="D608" s="22" t="n"/>
      <c r="E608" s="22" t="n">
        <v>36708</v>
      </c>
      <c r="F608" s="83" t="inlineStr">
        <is>
          <t>2000-07</t>
        </is>
      </c>
      <c r="G608" s="83" t="n">
        <v>24.29161</v>
      </c>
      <c r="I608" s="83" t="n">
        <v>11.48851</v>
      </c>
      <c r="J608" s="83" t="n">
        <v>34.24042</v>
      </c>
      <c r="K608" s="83" t="n">
        <v>48.79198</v>
      </c>
      <c r="L608" s="83" t="n">
        <v>20.93748</v>
      </c>
      <c r="M608" s="83" t="n">
        <v>9.590356999999999</v>
      </c>
      <c r="N608" s="83" t="n">
        <v>15.24416</v>
      </c>
      <c r="P608" s="83" t="n">
        <v>39.35452</v>
      </c>
      <c r="R608" s="83" t="n">
        <v>36.34673</v>
      </c>
      <c r="S608" s="83" t="n">
        <v>45.30563</v>
      </c>
      <c r="AA608" s="83" t="n">
        <v>38.4719</v>
      </c>
      <c r="AC608" s="83" t="n">
        <v>29.84271</v>
      </c>
      <c r="AD608" s="83" t="n">
        <v>15.74661</v>
      </c>
      <c r="AE608" s="83" t="n">
        <v>10.82681</v>
      </c>
      <c r="AG608" s="83" t="n">
        <v>16.5167</v>
      </c>
      <c r="AH608" s="83" t="n">
        <v>28.81733</v>
      </c>
      <c r="AJ608" s="83" t="n">
        <v>79.14165</v>
      </c>
      <c r="AK608" s="83" t="n">
        <v>29.86377</v>
      </c>
      <c r="AO608" s="83" t="n">
        <v>16.63985</v>
      </c>
      <c r="AQ608" s="83" t="n">
        <v>37.82044</v>
      </c>
      <c r="AR608" s="83" t="n">
        <v>36.15979</v>
      </c>
      <c r="AS608" s="83" t="n">
        <v>75.31493</v>
      </c>
      <c r="AT608" s="83" t="n">
        <v>26.60752</v>
      </c>
      <c r="AV608" s="83" t="n">
        <v>2.671422</v>
      </c>
      <c r="AZ608" s="83" t="n">
        <v>43.49865</v>
      </c>
      <c r="BA608" s="83" t="n">
        <v>4.796945</v>
      </c>
      <c r="BB608" s="83" t="n">
        <v>39.70939</v>
      </c>
      <c r="BC608" s="83" t="n">
        <v>16.86931</v>
      </c>
      <c r="BD608" s="83" t="n">
        <v>31.61743</v>
      </c>
    </row>
    <row r="609">
      <c r="A609" s="83" t="inlineStr">
        <is>
          <t>2001-12</t>
        </is>
      </c>
      <c r="B609" s="22" t="n">
        <v>37226</v>
      </c>
      <c r="C609" s="22" t="n"/>
      <c r="D609" s="22" t="n"/>
      <c r="E609" s="22" t="n">
        <v>36739</v>
      </c>
      <c r="F609" s="83" t="inlineStr">
        <is>
          <t>2000-08</t>
        </is>
      </c>
      <c r="G609" s="83" t="n">
        <v>24.46812</v>
      </c>
      <c r="I609" s="83" t="n">
        <v>11.55662</v>
      </c>
      <c r="J609" s="83" t="n">
        <v>34.71808</v>
      </c>
      <c r="K609" s="83" t="n">
        <v>49.00823</v>
      </c>
      <c r="L609" s="83" t="n">
        <v>21.15743</v>
      </c>
      <c r="M609" s="83" t="n">
        <v>9.658023999999999</v>
      </c>
      <c r="N609" s="83" t="n">
        <v>15.30837</v>
      </c>
      <c r="P609" s="83" t="n">
        <v>39.82097</v>
      </c>
      <c r="R609" s="83" t="n">
        <v>35.48494</v>
      </c>
      <c r="S609" s="83" t="n">
        <v>45.2725</v>
      </c>
      <c r="AA609" s="83" t="n">
        <v>38.62959</v>
      </c>
      <c r="AC609" s="83" t="n">
        <v>30.48001</v>
      </c>
      <c r="AD609" s="83" t="n">
        <v>15.82708</v>
      </c>
      <c r="AE609" s="83" t="n">
        <v>10.91949</v>
      </c>
      <c r="AG609" s="83" t="n">
        <v>16.66068</v>
      </c>
      <c r="AH609" s="83" t="n">
        <v>29.12802</v>
      </c>
      <c r="AJ609" s="83" t="n">
        <v>79.28072</v>
      </c>
      <c r="AK609" s="83" t="n">
        <v>30.03107</v>
      </c>
      <c r="AO609" s="83" t="n">
        <v>16.83659</v>
      </c>
      <c r="AQ609" s="83" t="n">
        <v>38.16745</v>
      </c>
      <c r="AR609" s="83" t="n">
        <v>36.37737</v>
      </c>
      <c r="AS609" s="83" t="n">
        <v>75.50381</v>
      </c>
      <c r="AT609" s="83" t="n">
        <v>26.25238</v>
      </c>
      <c r="AV609" s="83" t="n">
        <v>2.853307</v>
      </c>
      <c r="AZ609" s="83" t="n">
        <v>43.4716</v>
      </c>
      <c r="BA609" s="83" t="n">
        <v>4.900766</v>
      </c>
      <c r="BB609" s="83" t="n">
        <v>39.94374</v>
      </c>
      <c r="BC609" s="83" t="n">
        <v>16.96329</v>
      </c>
      <c r="BD609" s="83" t="n">
        <v>31.88256</v>
      </c>
    </row>
    <row r="610">
      <c r="A610" s="83" t="inlineStr">
        <is>
          <t>2002-01</t>
        </is>
      </c>
      <c r="B610" s="22" t="n">
        <v>37257</v>
      </c>
      <c r="C610" s="22" t="n"/>
      <c r="D610" s="22" t="n"/>
      <c r="E610" s="22" t="n">
        <v>36770</v>
      </c>
      <c r="F610" s="83" t="inlineStr">
        <is>
          <t>2000-09</t>
        </is>
      </c>
      <c r="G610" s="83" t="n">
        <v>24.60822</v>
      </c>
      <c r="I610" s="83" t="n">
        <v>11.64507</v>
      </c>
      <c r="J610" s="83" t="n">
        <v>34.87865</v>
      </c>
      <c r="K610" s="83" t="n">
        <v>49.01292</v>
      </c>
      <c r="L610" s="83" t="n">
        <v>21.32627</v>
      </c>
      <c r="M610" s="83" t="n">
        <v>9.836717999999999</v>
      </c>
      <c r="N610" s="83" t="n">
        <v>15.3531</v>
      </c>
      <c r="P610" s="83" t="n">
        <v>40.1598</v>
      </c>
      <c r="R610" s="83" t="n">
        <v>35.84048</v>
      </c>
      <c r="S610" s="83" t="n">
        <v>45.23717</v>
      </c>
      <c r="AA610" s="83" t="n">
        <v>38.77137</v>
      </c>
      <c r="AC610" s="83" t="n">
        <v>31.28325</v>
      </c>
      <c r="AD610" s="83" t="n">
        <v>15.87882</v>
      </c>
      <c r="AE610" s="83" t="n">
        <v>11.04442</v>
      </c>
      <c r="AG610" s="83" t="n">
        <v>16.81042</v>
      </c>
      <c r="AH610" s="83" t="n">
        <v>29.35763</v>
      </c>
      <c r="AJ610" s="83" t="n">
        <v>79.46066999999999</v>
      </c>
      <c r="AK610" s="83" t="n">
        <v>30.1693</v>
      </c>
      <c r="AO610" s="83" t="n">
        <v>17.04598</v>
      </c>
      <c r="AQ610" s="83" t="n">
        <v>38.81308</v>
      </c>
      <c r="AR610" s="83" t="n">
        <v>36.61946</v>
      </c>
      <c r="AS610" s="83" t="n">
        <v>75.64976</v>
      </c>
      <c r="AT610" s="83" t="n">
        <v>26.47404</v>
      </c>
      <c r="AV610" s="83" t="n">
        <v>2.97456</v>
      </c>
      <c r="AZ610" s="83" t="n">
        <v>43.46398</v>
      </c>
      <c r="BA610" s="83" t="n">
        <v>4.953609</v>
      </c>
      <c r="BB610" s="83" t="n">
        <v>40.23958</v>
      </c>
      <c r="BC610" s="83" t="n">
        <v>17.28932</v>
      </c>
      <c r="BD610" s="83" t="n">
        <v>32.12715</v>
      </c>
    </row>
    <row r="611">
      <c r="A611" s="83" t="inlineStr">
        <is>
          <t>2002-02</t>
        </is>
      </c>
      <c r="B611" s="22" t="n">
        <v>37288</v>
      </c>
      <c r="C611" s="22" t="n"/>
      <c r="D611" s="22" t="n"/>
      <c r="E611" s="22" t="n">
        <v>36800</v>
      </c>
      <c r="F611" s="83" t="inlineStr">
        <is>
          <t>2000-10</t>
        </is>
      </c>
      <c r="G611" s="83" t="n">
        <v>24.72029</v>
      </c>
      <c r="I611" s="83" t="n">
        <v>11.77426</v>
      </c>
      <c r="J611" s="83" t="n">
        <v>34.91581</v>
      </c>
      <c r="K611" s="83" t="n">
        <v>48.92141</v>
      </c>
      <c r="L611" s="83" t="n">
        <v>21.46337</v>
      </c>
      <c r="M611" s="83" t="n">
        <v>9.914134000000001</v>
      </c>
      <c r="N611" s="83" t="n">
        <v>15.53224</v>
      </c>
      <c r="P611" s="83" t="n">
        <v>40.22874</v>
      </c>
      <c r="R611" s="83" t="n">
        <v>35.57204</v>
      </c>
      <c r="S611" s="83" t="n">
        <v>45.26704</v>
      </c>
      <c r="AA611" s="83" t="n">
        <v>38.99096</v>
      </c>
      <c r="AC611" s="83" t="n">
        <v>31.7566</v>
      </c>
      <c r="AD611" s="83" t="n">
        <v>16.16256</v>
      </c>
      <c r="AE611" s="83" t="n">
        <v>11.21075</v>
      </c>
      <c r="AG611" s="83" t="n">
        <v>16.98198</v>
      </c>
      <c r="AH611" s="83" t="n">
        <v>29.6339</v>
      </c>
      <c r="AJ611" s="83" t="n">
        <v>79.62428</v>
      </c>
      <c r="AK611" s="83" t="n">
        <v>30.34956</v>
      </c>
      <c r="AO611" s="83" t="n">
        <v>17.30095</v>
      </c>
      <c r="AQ611" s="83" t="n">
        <v>38.98443</v>
      </c>
      <c r="AR611" s="83" t="n">
        <v>36.79558</v>
      </c>
      <c r="AS611" s="83" t="n">
        <v>75.9943</v>
      </c>
      <c r="AT611" s="83" t="n">
        <v>26.90085</v>
      </c>
      <c r="AV611" s="83" t="n">
        <v>3.089769</v>
      </c>
      <c r="AZ611" s="83" t="n">
        <v>43.27105</v>
      </c>
      <c r="BA611" s="83" t="n">
        <v>5.050842</v>
      </c>
      <c r="BB611" s="83" t="n">
        <v>40.37255</v>
      </c>
      <c r="BC611" s="83" t="n">
        <v>17.50104</v>
      </c>
      <c r="BD611" s="83" t="n">
        <v>32.2446</v>
      </c>
    </row>
    <row r="612">
      <c r="A612" s="83" t="inlineStr">
        <is>
          <t>2002-03</t>
        </is>
      </c>
      <c r="B612" s="22" t="n">
        <v>37316</v>
      </c>
      <c r="C612" s="22" t="n"/>
      <c r="D612" s="22" t="n"/>
      <c r="E612" s="22" t="n">
        <v>36831</v>
      </c>
      <c r="F612" s="83" t="inlineStr">
        <is>
          <t>2000-11</t>
        </is>
      </c>
      <c r="G612" s="83" t="n">
        <v>24.62502</v>
      </c>
      <c r="I612" s="83" t="n">
        <v>11.93291</v>
      </c>
      <c r="J612" s="83" t="n">
        <v>35.00835</v>
      </c>
      <c r="K612" s="83" t="n">
        <v>49.03458</v>
      </c>
      <c r="L612" s="83" t="n">
        <v>21.68741</v>
      </c>
      <c r="M612" s="83" t="n">
        <v>9.937536</v>
      </c>
      <c r="N612" s="83" t="n">
        <v>15.71453</v>
      </c>
      <c r="P612" s="83" t="n">
        <v>40.54998</v>
      </c>
      <c r="R612" s="83" t="n">
        <v>35.52816</v>
      </c>
      <c r="S612" s="83" t="n">
        <v>45.44405</v>
      </c>
      <c r="AA612" s="83" t="n">
        <v>39.43319</v>
      </c>
      <c r="AC612" s="83" t="n">
        <v>32.08625</v>
      </c>
      <c r="AD612" s="83" t="n">
        <v>16.52471</v>
      </c>
      <c r="AE612" s="83" t="n">
        <v>11.44868</v>
      </c>
      <c r="AG612" s="83" t="n">
        <v>17.17207</v>
      </c>
      <c r="AH612" s="83" t="n">
        <v>30.15674</v>
      </c>
      <c r="AJ612" s="83" t="n">
        <v>79.657</v>
      </c>
      <c r="AK612" s="83" t="n">
        <v>30.51486</v>
      </c>
      <c r="AO612" s="83" t="n">
        <v>17.45423</v>
      </c>
      <c r="AQ612" s="83" t="n">
        <v>39.06706</v>
      </c>
      <c r="AR612" s="83" t="n">
        <v>36.95524</v>
      </c>
      <c r="AS612" s="83" t="n">
        <v>76.2607</v>
      </c>
      <c r="AT612" s="83" t="n">
        <v>27.37924</v>
      </c>
      <c r="AV612" s="83" t="n">
        <v>3.199127</v>
      </c>
      <c r="AZ612" s="83" t="n">
        <v>43.38767</v>
      </c>
      <c r="BA612" s="83" t="n">
        <v>5.158082</v>
      </c>
      <c r="BB612" s="83" t="n">
        <v>40.4623</v>
      </c>
      <c r="BC612" s="83" t="n">
        <v>17.51664</v>
      </c>
      <c r="BD612" s="83" t="n">
        <v>32.16275</v>
      </c>
    </row>
    <row r="613">
      <c r="A613" s="83" t="inlineStr">
        <is>
          <t>2002-04</t>
        </is>
      </c>
      <c r="B613" s="22" t="n">
        <v>37347</v>
      </c>
      <c r="C613" s="22" t="n"/>
      <c r="D613" s="22" t="n"/>
      <c r="E613" s="22" t="n">
        <v>36861</v>
      </c>
      <c r="F613" s="83" t="inlineStr">
        <is>
          <t>2000-12</t>
        </is>
      </c>
      <c r="G613" s="83" t="n">
        <v>24.51575</v>
      </c>
      <c r="I613" s="83" t="n">
        <v>12.03767</v>
      </c>
      <c r="J613" s="83" t="n">
        <v>35.53879</v>
      </c>
      <c r="K613" s="83" t="n">
        <v>49.16519</v>
      </c>
      <c r="L613" s="83" t="n">
        <v>22.01447</v>
      </c>
      <c r="M613" s="83" t="n">
        <v>10.06958</v>
      </c>
      <c r="N613" s="83" t="n">
        <v>15.75013</v>
      </c>
      <c r="P613" s="83" t="n">
        <v>41.1235</v>
      </c>
      <c r="R613" s="83" t="n">
        <v>35.46302</v>
      </c>
      <c r="S613" s="83" t="n">
        <v>45.94219</v>
      </c>
      <c r="AA613" s="83" t="n">
        <v>39.83975</v>
      </c>
      <c r="AC613" s="83" t="n">
        <v>32.16941</v>
      </c>
      <c r="AD613" s="83" t="n">
        <v>16.79229</v>
      </c>
      <c r="AE613" s="83" t="n">
        <v>11.70729</v>
      </c>
      <c r="AG613" s="83" t="n">
        <v>17.35549</v>
      </c>
      <c r="AH613" s="83" t="n">
        <v>30.73425</v>
      </c>
      <c r="AJ613" s="83" t="n">
        <v>79.6161</v>
      </c>
      <c r="AK613" s="83" t="n">
        <v>30.72503</v>
      </c>
      <c r="AO613" s="83" t="n">
        <v>18.81943</v>
      </c>
      <c r="AQ613" s="83" t="n">
        <v>39.40491</v>
      </c>
      <c r="AR613" s="83" t="n">
        <v>37.40232</v>
      </c>
      <c r="AS613" s="83" t="n">
        <v>76.51814</v>
      </c>
      <c r="AT613" s="83" t="n">
        <v>27.5067</v>
      </c>
      <c r="AV613" s="83" t="n">
        <v>3.183748</v>
      </c>
      <c r="AZ613" s="83" t="n">
        <v>43.33724</v>
      </c>
      <c r="BA613" s="83" t="n">
        <v>5.268686</v>
      </c>
      <c r="BB613" s="83" t="n">
        <v>40.83376</v>
      </c>
      <c r="BC613" s="83" t="n">
        <v>17.77198</v>
      </c>
      <c r="BD613" s="83" t="n">
        <v>32.23411</v>
      </c>
    </row>
    <row r="614">
      <c r="A614" s="83" t="inlineStr">
        <is>
          <t>2002-05</t>
        </is>
      </c>
      <c r="B614" s="22" t="n">
        <v>37377</v>
      </c>
      <c r="C614" s="22" t="n"/>
      <c r="D614" s="22" t="n"/>
      <c r="E614" s="22" t="n">
        <v>36892</v>
      </c>
      <c r="F614" s="83" t="inlineStr">
        <is>
          <t>2001-01</t>
        </is>
      </c>
      <c r="G614" s="83" t="n">
        <v>24.70348</v>
      </c>
      <c r="I614" s="83" t="n">
        <v>12.14762</v>
      </c>
      <c r="J614" s="83" t="n">
        <v>35.59762</v>
      </c>
      <c r="K614" s="83" t="n">
        <v>49.42978</v>
      </c>
      <c r="L614" s="83" t="n">
        <v>22.31392</v>
      </c>
      <c r="M614" s="83" t="n">
        <v>10.25101</v>
      </c>
      <c r="N614" s="83" t="n">
        <v>15.7868</v>
      </c>
      <c r="P614" s="83" t="n">
        <v>41.72195</v>
      </c>
      <c r="R614" s="83" t="n">
        <v>35.88235</v>
      </c>
      <c r="S614" s="83" t="n">
        <v>46.85897</v>
      </c>
      <c r="AA614" s="83" t="n">
        <v>40.34381</v>
      </c>
      <c r="AC614" s="83" t="n">
        <v>32.30064</v>
      </c>
      <c r="AD614" s="83" t="n">
        <v>16.95088</v>
      </c>
      <c r="AE614" s="83" t="n">
        <v>11.84291</v>
      </c>
      <c r="AG614" s="83" t="n">
        <v>17.52728</v>
      </c>
      <c r="AH614" s="83" t="n">
        <v>31.11142</v>
      </c>
      <c r="AJ614" s="83" t="n">
        <v>79.75516</v>
      </c>
      <c r="AK614" s="83" t="n">
        <v>31.00089</v>
      </c>
      <c r="AO614" s="83" t="n">
        <v>20.08912</v>
      </c>
      <c r="AQ614" s="83" t="n">
        <v>39.65475</v>
      </c>
      <c r="AR614" s="83" t="n">
        <v>37.87357</v>
      </c>
      <c r="AS614" s="83" t="n">
        <v>76.62809</v>
      </c>
      <c r="AT614" s="83" t="n">
        <v>27.60328</v>
      </c>
      <c r="AV614" s="83" t="n">
        <v>3.332895</v>
      </c>
      <c r="AZ614" s="83" t="n">
        <v>43.14142</v>
      </c>
      <c r="BA614" s="83" t="n">
        <v>5.389837</v>
      </c>
      <c r="BB614" s="83" t="n">
        <v>41.25426</v>
      </c>
      <c r="BC614" s="83" t="n">
        <v>18.23247</v>
      </c>
      <c r="BD614" s="83" t="n">
        <v>32.42273</v>
      </c>
    </row>
    <row r="615">
      <c r="A615" s="83" t="inlineStr">
        <is>
          <t>2002-06</t>
        </is>
      </c>
      <c r="B615" s="22" t="n">
        <v>37408</v>
      </c>
      <c r="C615" s="22" t="n"/>
      <c r="D615" s="22" t="n"/>
      <c r="E615" s="22" t="n">
        <v>36923</v>
      </c>
      <c r="F615" s="83" t="inlineStr">
        <is>
          <t>2001-02</t>
        </is>
      </c>
      <c r="G615" s="83" t="n">
        <v>24.99206</v>
      </c>
      <c r="I615" s="83" t="n">
        <v>12.28403</v>
      </c>
      <c r="J615" s="83" t="n">
        <v>35.56929</v>
      </c>
      <c r="K615" s="83" t="n">
        <v>49.71889</v>
      </c>
      <c r="L615" s="83" t="n">
        <v>22.43443</v>
      </c>
      <c r="M615" s="83" t="n">
        <v>10.34532</v>
      </c>
      <c r="N615" s="83" t="n">
        <v>15.96878</v>
      </c>
      <c r="O615" s="83" t="n">
        <v>12.03437</v>
      </c>
      <c r="P615" s="83" t="n">
        <v>42.09893</v>
      </c>
      <c r="R615" s="83" t="n">
        <v>36.69334</v>
      </c>
      <c r="S615" s="83" t="n">
        <v>47.50601</v>
      </c>
      <c r="AA615" s="83" t="n">
        <v>40.51472</v>
      </c>
      <c r="AC615" s="83" t="n">
        <v>32.78321</v>
      </c>
      <c r="AD615" s="83" t="n">
        <v>17.17239</v>
      </c>
      <c r="AE615" s="83" t="n">
        <v>11.93126</v>
      </c>
      <c r="AG615" s="83" t="n">
        <v>17.70635</v>
      </c>
      <c r="AH615" s="83" t="n">
        <v>31.83021</v>
      </c>
      <c r="AJ615" s="83" t="n">
        <v>79.9024</v>
      </c>
      <c r="AK615" s="83" t="n">
        <v>31.19163</v>
      </c>
      <c r="AO615" s="83" t="n">
        <v>20.20574</v>
      </c>
      <c r="AQ615" s="83" t="n">
        <v>40.14575</v>
      </c>
      <c r="AR615" s="83" t="n">
        <v>38.21002</v>
      </c>
      <c r="AS615" s="83" t="n">
        <v>76.8252</v>
      </c>
      <c r="AT615" s="83" t="n">
        <v>27.94683</v>
      </c>
      <c r="AV615" s="83" t="n">
        <v>3.466518</v>
      </c>
      <c r="AZ615" s="83" t="n">
        <v>42.77682</v>
      </c>
      <c r="BA615" s="83" t="n">
        <v>5.858421</v>
      </c>
      <c r="BB615" s="83" t="n">
        <v>41.57254</v>
      </c>
      <c r="BC615" s="83" t="n">
        <v>18.50105</v>
      </c>
      <c r="BD615" s="83" t="n">
        <v>32.57542</v>
      </c>
    </row>
    <row r="616">
      <c r="A616" s="83" t="inlineStr">
        <is>
          <t>2002-07</t>
        </is>
      </c>
      <c r="B616" s="22" t="n">
        <v>37438</v>
      </c>
      <c r="C616" s="22" t="n"/>
      <c r="D616" s="22" t="n"/>
      <c r="E616" s="22" t="n">
        <v>36951</v>
      </c>
      <c r="F616" s="83" t="inlineStr">
        <is>
          <t>2001-03</t>
        </is>
      </c>
      <c r="G616" s="83" t="n">
        <v>25.27785</v>
      </c>
      <c r="I616" s="83" t="n">
        <v>12.39118</v>
      </c>
      <c r="J616" s="83" t="n">
        <v>35.73911</v>
      </c>
      <c r="K616" s="83" t="n">
        <v>49.73908</v>
      </c>
      <c r="L616" s="83" t="n">
        <v>22.51456</v>
      </c>
      <c r="M616" s="83" t="n">
        <v>10.40606</v>
      </c>
      <c r="N616" s="83" t="n">
        <v>16.05872</v>
      </c>
      <c r="O616" s="83" t="n">
        <v>12.41521</v>
      </c>
      <c r="P616" s="83" t="n">
        <v>42.22361</v>
      </c>
      <c r="R616" s="83" t="n">
        <v>37.14583</v>
      </c>
      <c r="S616" s="83" t="n">
        <v>47.80643</v>
      </c>
      <c r="AA616" s="83" t="n">
        <v>40.86245</v>
      </c>
      <c r="AC616" s="83" t="n">
        <v>33.27374</v>
      </c>
      <c r="AD616" s="83" t="n">
        <v>17.58519</v>
      </c>
      <c r="AE616" s="83" t="n">
        <v>12.06677</v>
      </c>
      <c r="AG616" s="83" t="n">
        <v>17.90319</v>
      </c>
      <c r="AH616" s="83" t="n">
        <v>32.40155</v>
      </c>
      <c r="AJ616" s="83" t="n">
        <v>79.96783000000001</v>
      </c>
      <c r="AK616" s="83" t="n">
        <v>31.35076</v>
      </c>
      <c r="AO616" s="83" t="n">
        <v>20.45307</v>
      </c>
      <c r="AQ616" s="83" t="n">
        <v>40.44921</v>
      </c>
      <c r="AR616" s="83" t="n">
        <v>38.70614</v>
      </c>
      <c r="AS616" s="83" t="n">
        <v>77.58262999999999</v>
      </c>
      <c r="AT616" s="83" t="n">
        <v>28.32005</v>
      </c>
      <c r="AV616" s="83" t="n">
        <v>3.519042</v>
      </c>
      <c r="AZ616" s="83" t="n">
        <v>42.64083</v>
      </c>
      <c r="BA616" s="83" t="n">
        <v>6.641609</v>
      </c>
      <c r="BB616" s="83" t="n">
        <v>42.05286</v>
      </c>
      <c r="BC616" s="83" t="n">
        <v>18.79444</v>
      </c>
      <c r="BD616" s="83" t="n">
        <v>32.93687</v>
      </c>
    </row>
    <row r="617">
      <c r="A617" s="83" t="inlineStr">
        <is>
          <t>2002-08</t>
        </is>
      </c>
      <c r="B617" s="22" t="n">
        <v>37469</v>
      </c>
      <c r="C617" s="22" t="n"/>
      <c r="D617" s="22" t="n"/>
      <c r="E617" s="22" t="n">
        <v>36982</v>
      </c>
      <c r="F617" s="83" t="inlineStr">
        <is>
          <t>2001-04</t>
        </is>
      </c>
      <c r="G617" s="83" t="n">
        <v>25.53281</v>
      </c>
      <c r="I617" s="83" t="n">
        <v>12.51655</v>
      </c>
      <c r="J617" s="83" t="n">
        <v>35.60424</v>
      </c>
      <c r="K617" s="83" t="n">
        <v>49.93486</v>
      </c>
      <c r="L617" s="83" t="n">
        <v>22.72969</v>
      </c>
      <c r="M617" s="83" t="n">
        <v>10.53976</v>
      </c>
      <c r="N617" s="83" t="n">
        <v>16.06217</v>
      </c>
      <c r="O617" s="83" t="n">
        <v>12.47037</v>
      </c>
      <c r="P617" s="83" t="n">
        <v>42.64311</v>
      </c>
      <c r="R617" s="83" t="n">
        <v>37.22532</v>
      </c>
      <c r="S617" s="83" t="n">
        <v>48.22163</v>
      </c>
      <c r="AA617" s="83" t="n">
        <v>41.38956</v>
      </c>
      <c r="AC617" s="83" t="n">
        <v>33.7018</v>
      </c>
      <c r="AD617" s="83" t="n">
        <v>18.05527</v>
      </c>
      <c r="AE617" s="83" t="n">
        <v>12.22381</v>
      </c>
      <c r="AG617" s="83" t="n">
        <v>18.10699</v>
      </c>
      <c r="AH617" s="83" t="n">
        <v>32.53864</v>
      </c>
      <c r="AJ617" s="83" t="n">
        <v>80.1069</v>
      </c>
      <c r="AK617" s="83" t="n">
        <v>31.63425</v>
      </c>
      <c r="AO617" s="83" t="n">
        <v>20.71972</v>
      </c>
      <c r="AQ617" s="83" t="n">
        <v>40.52355</v>
      </c>
      <c r="AR617" s="83" t="n">
        <v>39.18365</v>
      </c>
      <c r="AS617" s="83" t="n">
        <v>78.11436999999999</v>
      </c>
      <c r="AT617" s="83" t="n">
        <v>28.68064</v>
      </c>
      <c r="AV617" s="83" t="n">
        <v>3.64467</v>
      </c>
      <c r="AZ617" s="83" t="n">
        <v>43.09443</v>
      </c>
      <c r="BA617" s="83" t="n">
        <v>7.212993</v>
      </c>
      <c r="BB617" s="83" t="n">
        <v>42.58472</v>
      </c>
      <c r="BC617" s="83" t="n">
        <v>19.01258</v>
      </c>
      <c r="BD617" s="83" t="n">
        <v>33.28064</v>
      </c>
    </row>
    <row r="618">
      <c r="A618" s="83" t="inlineStr">
        <is>
          <t>2002-09</t>
        </is>
      </c>
      <c r="B618" s="22" t="n">
        <v>37500</v>
      </c>
      <c r="C618" s="22" t="n"/>
      <c r="D618" s="22" t="n"/>
      <c r="E618" s="22" t="n">
        <v>37012</v>
      </c>
      <c r="F618" s="83" t="inlineStr">
        <is>
          <t>2001-05</t>
        </is>
      </c>
      <c r="G618" s="83" t="n">
        <v>25.81579</v>
      </c>
      <c r="I618" s="83" t="n">
        <v>12.69376</v>
      </c>
      <c r="J618" s="83" t="n">
        <v>35.79391</v>
      </c>
      <c r="K618" s="83" t="n">
        <v>50.34973</v>
      </c>
      <c r="L618" s="83" t="n">
        <v>22.94073</v>
      </c>
      <c r="M618" s="83" t="n">
        <v>10.60825</v>
      </c>
      <c r="N618" s="83" t="n">
        <v>16.13927</v>
      </c>
      <c r="O618" s="83" t="n">
        <v>12.49998</v>
      </c>
      <c r="P618" s="83" t="n">
        <v>43.69921</v>
      </c>
      <c r="R618" s="83" t="n">
        <v>37.1704</v>
      </c>
      <c r="S618" s="83" t="n">
        <v>48.61637</v>
      </c>
      <c r="AA618" s="83" t="n">
        <v>41.45915</v>
      </c>
      <c r="AC618" s="83" t="n">
        <v>34.191</v>
      </c>
      <c r="AD618" s="83" t="n">
        <v>18.21255</v>
      </c>
      <c r="AE618" s="83" t="n">
        <v>12.41516</v>
      </c>
      <c r="AG618" s="83" t="n">
        <v>18.31321</v>
      </c>
      <c r="AH618" s="83" t="n">
        <v>32.8256</v>
      </c>
      <c r="AJ618" s="83" t="n">
        <v>80.26231</v>
      </c>
      <c r="AK618" s="83" t="n">
        <v>32.04032</v>
      </c>
      <c r="AO618" s="83" t="n">
        <v>21.00297</v>
      </c>
      <c r="AQ618" s="83" t="n">
        <v>40.86562</v>
      </c>
      <c r="AR618" s="83" t="n">
        <v>39.36173</v>
      </c>
      <c r="AS618" s="83" t="n">
        <v>78.49745</v>
      </c>
      <c r="AT618" s="83" t="n">
        <v>28.87013</v>
      </c>
      <c r="AV618" s="83" t="n">
        <v>3.721144</v>
      </c>
      <c r="AZ618" s="83" t="n">
        <v>43.39737</v>
      </c>
      <c r="BA618" s="83" t="n">
        <v>7.556115</v>
      </c>
      <c r="BB618" s="83" t="n">
        <v>42.55729</v>
      </c>
      <c r="BC618" s="83" t="n">
        <v>19.1279</v>
      </c>
      <c r="BD618" s="83" t="n">
        <v>33.48443</v>
      </c>
    </row>
    <row r="619">
      <c r="A619" s="83" t="inlineStr">
        <is>
          <t>2002-10</t>
        </is>
      </c>
      <c r="B619" s="22" t="n">
        <v>37530</v>
      </c>
      <c r="C619" s="22" t="n"/>
      <c r="D619" s="22" t="n"/>
      <c r="E619" s="22" t="n">
        <v>37043</v>
      </c>
      <c r="F619" s="83" t="inlineStr">
        <is>
          <t>2001-06</t>
        </is>
      </c>
      <c r="G619" s="83" t="n">
        <v>26.11558</v>
      </c>
      <c r="I619" s="83" t="n">
        <v>12.90087</v>
      </c>
      <c r="J619" s="83" t="n">
        <v>35.77985</v>
      </c>
      <c r="K619" s="83" t="n">
        <v>50.56481</v>
      </c>
      <c r="L619" s="83" t="n">
        <v>23.14607</v>
      </c>
      <c r="M619" s="83" t="n">
        <v>10.89423</v>
      </c>
      <c r="N619" s="83" t="n">
        <v>16.26719</v>
      </c>
      <c r="O619" s="83" t="n">
        <v>12.60939</v>
      </c>
      <c r="P619" s="83" t="n">
        <v>44.39595</v>
      </c>
      <c r="R619" s="83" t="n">
        <v>37.57505</v>
      </c>
      <c r="S619" s="83" t="n">
        <v>48.9962</v>
      </c>
      <c r="AA619" s="83" t="n">
        <v>41.56751</v>
      </c>
      <c r="AC619" s="83" t="n">
        <v>34.52109</v>
      </c>
      <c r="AD619" s="83" t="n">
        <v>18.19461</v>
      </c>
      <c r="AE619" s="83" t="n">
        <v>12.59801</v>
      </c>
      <c r="AG619" s="83" t="n">
        <v>18.52725</v>
      </c>
      <c r="AH619" s="83" t="n">
        <v>33.16478</v>
      </c>
      <c r="AJ619" s="83" t="n">
        <v>80.41773000000001</v>
      </c>
      <c r="AK619" s="83" t="n">
        <v>32.42965</v>
      </c>
      <c r="AO619" s="83" t="n">
        <v>21.23309</v>
      </c>
      <c r="AQ619" s="83" t="n">
        <v>41.18037</v>
      </c>
      <c r="AR619" s="83" t="n">
        <v>39.70031</v>
      </c>
      <c r="AS619" s="83" t="n">
        <v>78.8359</v>
      </c>
      <c r="AT619" s="83" t="n">
        <v>29.0166</v>
      </c>
      <c r="AV619" s="83" t="n">
        <v>3.799994</v>
      </c>
      <c r="AZ619" s="83" t="n">
        <v>44.47362</v>
      </c>
      <c r="BA619" s="83" t="n">
        <v>7.915514</v>
      </c>
      <c r="BB619" s="83" t="n">
        <v>42.89136</v>
      </c>
      <c r="BC619" s="83" t="n">
        <v>19.32523</v>
      </c>
      <c r="BD619" s="83" t="n">
        <v>33.70679</v>
      </c>
    </row>
    <row r="620">
      <c r="A620" s="83" t="inlineStr">
        <is>
          <t>2002-11</t>
        </is>
      </c>
      <c r="B620" s="22" t="n">
        <v>37561</v>
      </c>
      <c r="C620" s="22" t="n"/>
      <c r="D620" s="22" t="n"/>
      <c r="E620" s="22" t="n">
        <v>37073</v>
      </c>
      <c r="F620" s="83" t="inlineStr">
        <is>
          <t>2001-07</t>
        </is>
      </c>
      <c r="G620" s="83" t="n">
        <v>26.20524</v>
      </c>
      <c r="I620" s="83" t="n">
        <v>13.10984</v>
      </c>
      <c r="J620" s="83" t="n">
        <v>35.86008</v>
      </c>
      <c r="K620" s="83" t="n">
        <v>50.5257</v>
      </c>
      <c r="L620" s="83" t="n">
        <v>23.4532</v>
      </c>
      <c r="M620" s="83" t="n">
        <v>11.25603</v>
      </c>
      <c r="N620" s="83" t="n">
        <v>16.37467</v>
      </c>
      <c r="O620" s="83" t="n">
        <v>12.68925</v>
      </c>
      <c r="P620" s="83" t="n">
        <v>44.63211</v>
      </c>
      <c r="R620" s="83" t="n">
        <v>37.82822</v>
      </c>
      <c r="S620" s="83" t="n">
        <v>49.16439</v>
      </c>
      <c r="AA620" s="83" t="n">
        <v>41.95359</v>
      </c>
      <c r="AC620" s="83" t="n">
        <v>34.71293</v>
      </c>
      <c r="AD620" s="83" t="n">
        <v>18.00672</v>
      </c>
      <c r="AE620" s="83" t="n">
        <v>12.73767</v>
      </c>
      <c r="AG620" s="83" t="n">
        <v>18.74914</v>
      </c>
      <c r="AH620" s="83" t="n">
        <v>33.41966</v>
      </c>
      <c r="AJ620" s="83" t="n">
        <v>80.54044</v>
      </c>
      <c r="AK620" s="83" t="n">
        <v>32.76342</v>
      </c>
      <c r="AO620" s="83" t="n">
        <v>21.44032</v>
      </c>
      <c r="AQ620" s="83" t="n">
        <v>41.28309</v>
      </c>
      <c r="AR620" s="83" t="n">
        <v>39.97996</v>
      </c>
      <c r="AS620" s="83" t="n">
        <v>79.11442</v>
      </c>
      <c r="AT620" s="83" t="n">
        <v>29.33099</v>
      </c>
      <c r="AV620" s="83" t="n">
        <v>3.906139</v>
      </c>
      <c r="AZ620" s="83" t="n">
        <v>44.76649</v>
      </c>
      <c r="BA620" s="83" t="n">
        <v>8.193991</v>
      </c>
      <c r="BB620" s="83" t="n">
        <v>43.14067</v>
      </c>
      <c r="BC620" s="83" t="n">
        <v>19.64384</v>
      </c>
      <c r="BD620" s="83" t="n">
        <v>33.91681</v>
      </c>
    </row>
    <row r="621">
      <c r="A621" s="83" t="inlineStr">
        <is>
          <t>2002-12</t>
        </is>
      </c>
      <c r="B621" s="22" t="n">
        <v>37591</v>
      </c>
      <c r="C621" s="22" t="n"/>
      <c r="D621" s="22" t="n"/>
      <c r="E621" s="22" t="n">
        <v>37104</v>
      </c>
      <c r="F621" s="83" t="inlineStr">
        <is>
          <t>2001-08</t>
        </is>
      </c>
      <c r="G621" s="83" t="n">
        <v>26.36775</v>
      </c>
      <c r="I621" s="83" t="n">
        <v>13.28222</v>
      </c>
      <c r="J621" s="83" t="n">
        <v>36.05383</v>
      </c>
      <c r="K621" s="83" t="n">
        <v>50.47309</v>
      </c>
      <c r="L621" s="83" t="n">
        <v>23.76042</v>
      </c>
      <c r="M621" s="83" t="n">
        <v>11.37259</v>
      </c>
      <c r="N621" s="83" t="n">
        <v>16.5151</v>
      </c>
      <c r="O621" s="83" t="n">
        <v>12.82327</v>
      </c>
      <c r="P621" s="83" t="n">
        <v>45.12789</v>
      </c>
      <c r="R621" s="83" t="n">
        <v>38.18191</v>
      </c>
      <c r="S621" s="83" t="n">
        <v>49.14432</v>
      </c>
      <c r="AA621" s="83" t="n">
        <v>42.45184</v>
      </c>
      <c r="AC621" s="83" t="n">
        <v>35.27395</v>
      </c>
      <c r="AD621" s="83" t="n">
        <v>17.81947</v>
      </c>
      <c r="AE621" s="83" t="n">
        <v>12.86392</v>
      </c>
      <c r="AG621" s="83" t="n">
        <v>18.98635</v>
      </c>
      <c r="AH621" s="83" t="n">
        <v>33.71201</v>
      </c>
      <c r="AJ621" s="83" t="n">
        <v>80.6386</v>
      </c>
      <c r="AK621" s="83" t="n">
        <v>33.30824</v>
      </c>
      <c r="AO621" s="83" t="n">
        <v>21.78383</v>
      </c>
      <c r="AQ621" s="83" t="n">
        <v>41.58705</v>
      </c>
      <c r="AR621" s="83" t="n">
        <v>40.34296</v>
      </c>
      <c r="AS621" s="83" t="n">
        <v>79.71471</v>
      </c>
      <c r="AT621" s="83" t="n">
        <v>29.75009</v>
      </c>
      <c r="AV621" s="83" t="n">
        <v>4.075173</v>
      </c>
      <c r="AZ621" s="83" t="n">
        <v>44.34686</v>
      </c>
      <c r="BA621" s="83" t="n">
        <v>8.651270999999999</v>
      </c>
      <c r="BB621" s="83" t="n">
        <v>43.42238</v>
      </c>
      <c r="BC621" s="83" t="n">
        <v>20.15175</v>
      </c>
      <c r="BD621" s="83" t="n">
        <v>34.07694</v>
      </c>
    </row>
    <row r="622">
      <c r="A622" s="83" t="inlineStr">
        <is>
          <t>2003-01</t>
        </is>
      </c>
      <c r="B622" s="22" t="n">
        <v>37622</v>
      </c>
      <c r="C622" s="22" t="n"/>
      <c r="D622" s="22" t="n"/>
      <c r="E622" s="22" t="n">
        <v>37135</v>
      </c>
      <c r="F622" s="83" t="inlineStr">
        <is>
          <t>2001-09</t>
        </is>
      </c>
      <c r="G622" s="83" t="n">
        <v>26.7656</v>
      </c>
      <c r="I622" s="83" t="n">
        <v>13.3756</v>
      </c>
      <c r="J622" s="83" t="n">
        <v>36.64093</v>
      </c>
      <c r="K622" s="83" t="n">
        <v>50.58603</v>
      </c>
      <c r="L622" s="83" t="n">
        <v>23.98676</v>
      </c>
      <c r="M622" s="83" t="n">
        <v>11.46328</v>
      </c>
      <c r="N622" s="83" t="n">
        <v>16.65218</v>
      </c>
      <c r="O622" s="83" t="n">
        <v>13.32538</v>
      </c>
      <c r="P622" s="83" t="n">
        <v>45.18363</v>
      </c>
      <c r="R622" s="83" t="n">
        <v>38.84314</v>
      </c>
      <c r="S622" s="83" t="n">
        <v>49.39537</v>
      </c>
      <c r="AA622" s="83" t="n">
        <v>42.76671</v>
      </c>
      <c r="AC622" s="83" t="n">
        <v>35.87138</v>
      </c>
      <c r="AD622" s="83" t="n">
        <v>18.04942</v>
      </c>
      <c r="AE622" s="83" t="n">
        <v>12.97775</v>
      </c>
      <c r="AG622" s="83" t="n">
        <v>19.23208</v>
      </c>
      <c r="AH622" s="83" t="n">
        <v>34.23746</v>
      </c>
      <c r="AJ622" s="83" t="n">
        <v>80.81037999999999</v>
      </c>
      <c r="AK622" s="83" t="n">
        <v>33.68334</v>
      </c>
      <c r="AO622" s="83" t="n">
        <v>22.15535</v>
      </c>
      <c r="AQ622" s="83" t="n">
        <v>41.94164</v>
      </c>
      <c r="AR622" s="83" t="n">
        <v>41.07316</v>
      </c>
      <c r="AS622" s="83" t="n">
        <v>80.41482999999999</v>
      </c>
      <c r="AT622" s="83" t="n">
        <v>30.04326</v>
      </c>
      <c r="AV622" s="83" t="n">
        <v>4.19066</v>
      </c>
      <c r="AZ622" s="83" t="n">
        <v>45.01808</v>
      </c>
      <c r="BA622" s="83" t="n">
        <v>9.299973</v>
      </c>
      <c r="BB622" s="83" t="n">
        <v>44.34565</v>
      </c>
      <c r="BC622" s="83" t="n">
        <v>20.24841</v>
      </c>
      <c r="BD622" s="83" t="n">
        <v>34.46535</v>
      </c>
    </row>
    <row r="623">
      <c r="A623" s="83" t="inlineStr">
        <is>
          <t>2003-02</t>
        </is>
      </c>
      <c r="B623" s="22" t="n">
        <v>37653</v>
      </c>
      <c r="C623" s="22" t="n"/>
      <c r="D623" s="22" t="n"/>
      <c r="E623" s="22" t="n">
        <v>37165</v>
      </c>
      <c r="F623" s="83" t="inlineStr">
        <is>
          <t>2001-10</t>
        </is>
      </c>
      <c r="G623" s="83" t="n">
        <v>27.16066</v>
      </c>
      <c r="I623" s="83" t="n">
        <v>13.42283</v>
      </c>
      <c r="J623" s="83" t="n">
        <v>36.66957</v>
      </c>
      <c r="K623" s="83" t="n">
        <v>51.00224</v>
      </c>
      <c r="L623" s="83" t="n">
        <v>24.25337</v>
      </c>
      <c r="M623" s="83" t="n">
        <v>11.56228</v>
      </c>
      <c r="N623" s="83" t="n">
        <v>16.89548</v>
      </c>
      <c r="O623" s="83" t="n">
        <v>13.83919</v>
      </c>
      <c r="P623" s="83" t="n">
        <v>45.07508</v>
      </c>
      <c r="R623" s="83" t="n">
        <v>39.073</v>
      </c>
      <c r="S623" s="83" t="n">
        <v>49.76244</v>
      </c>
      <c r="AA623" s="83" t="n">
        <v>43.11422</v>
      </c>
      <c r="AC623" s="83" t="n">
        <v>36.38968</v>
      </c>
      <c r="AD623" s="83" t="n">
        <v>18.43945</v>
      </c>
      <c r="AE623" s="83" t="n">
        <v>13.08113</v>
      </c>
      <c r="AG623" s="83" t="n">
        <v>19.45749</v>
      </c>
      <c r="AH623" s="83" t="n">
        <v>34.58754</v>
      </c>
      <c r="AJ623" s="83" t="n">
        <v>80.89216999999999</v>
      </c>
      <c r="AK623" s="83" t="n">
        <v>33.71078</v>
      </c>
      <c r="AO623" s="83" t="n">
        <v>22.4266</v>
      </c>
      <c r="AQ623" s="83" t="n">
        <v>42.14647</v>
      </c>
      <c r="AR623" s="83" t="n">
        <v>41.24888</v>
      </c>
      <c r="AS623" s="83" t="n">
        <v>80.52399</v>
      </c>
      <c r="AT623" s="83" t="n">
        <v>30.26114</v>
      </c>
      <c r="AV623" s="83" t="n">
        <v>4.310132</v>
      </c>
      <c r="AZ623" s="83" t="n">
        <v>45.61308</v>
      </c>
      <c r="BA623" s="83" t="n">
        <v>9.709228</v>
      </c>
      <c r="BB623" s="83" t="n">
        <v>44.25091</v>
      </c>
      <c r="BC623" s="83" t="n">
        <v>20.14819</v>
      </c>
      <c r="BD623" s="83" t="n">
        <v>34.82935</v>
      </c>
    </row>
    <row r="624">
      <c r="A624" s="83" t="inlineStr">
        <is>
          <t>2003-03</t>
        </is>
      </c>
      <c r="B624" s="22" t="n">
        <v>37681</v>
      </c>
      <c r="C624" s="22" t="n"/>
      <c r="D624" s="22" t="n"/>
      <c r="E624" s="22" t="n">
        <v>37196</v>
      </c>
      <c r="F624" s="83" t="inlineStr">
        <is>
          <t>2001-11</t>
        </is>
      </c>
      <c r="G624" s="83" t="n">
        <v>27.52769</v>
      </c>
      <c r="I624" s="83" t="n">
        <v>13.44038</v>
      </c>
      <c r="J624" s="83" t="n">
        <v>36.85267</v>
      </c>
      <c r="K624" s="83" t="n">
        <v>51.56265</v>
      </c>
      <c r="L624" s="83" t="n">
        <v>24.46409</v>
      </c>
      <c r="M624" s="83" t="n">
        <v>11.69509</v>
      </c>
      <c r="N624" s="83" t="n">
        <v>17.07296</v>
      </c>
      <c r="O624" s="83" t="n">
        <v>14.12175</v>
      </c>
      <c r="P624" s="83" t="n">
        <v>45.54887</v>
      </c>
      <c r="R624" s="83" t="n">
        <v>39.37552</v>
      </c>
      <c r="S624" s="83" t="n">
        <v>50.14285</v>
      </c>
      <c r="AA624" s="83" t="n">
        <v>43.53108</v>
      </c>
      <c r="AC624" s="83" t="n">
        <v>36.70481</v>
      </c>
      <c r="AD624" s="83" t="n">
        <v>18.80783</v>
      </c>
      <c r="AE624" s="83" t="n">
        <v>13.23063</v>
      </c>
      <c r="AG624" s="83" t="n">
        <v>19.65967</v>
      </c>
      <c r="AH624" s="83" t="n">
        <v>34.71225</v>
      </c>
      <c r="AJ624" s="83" t="n">
        <v>81.03122999999999</v>
      </c>
      <c r="AK624" s="83" t="n">
        <v>33.87506</v>
      </c>
      <c r="AO624" s="83" t="n">
        <v>22.76315</v>
      </c>
      <c r="AQ624" s="83" t="n">
        <v>42.34332</v>
      </c>
      <c r="AR624" s="83" t="n">
        <v>41.54692</v>
      </c>
      <c r="AS624" s="83" t="n">
        <v>80.54441</v>
      </c>
      <c r="AT624" s="83" t="n">
        <v>30.09591</v>
      </c>
      <c r="AV624" s="83" t="n">
        <v>4.449825</v>
      </c>
      <c r="AZ624" s="83" t="n">
        <v>45.84876</v>
      </c>
      <c r="BA624" s="83" t="n">
        <v>9.810295</v>
      </c>
      <c r="BB624" s="83" t="n">
        <v>44.61323</v>
      </c>
      <c r="BC624" s="83" t="n">
        <v>20.35557</v>
      </c>
      <c r="BD624" s="83" t="n">
        <v>34.62373</v>
      </c>
    </row>
    <row r="625">
      <c r="A625" s="83" t="inlineStr">
        <is>
          <t>2003-04</t>
        </is>
      </c>
      <c r="B625" s="22" t="n">
        <v>37712</v>
      </c>
      <c r="C625" s="22" t="n"/>
      <c r="D625" s="22" t="n"/>
      <c r="E625" s="22" t="n">
        <v>37226</v>
      </c>
      <c r="F625" s="83" t="inlineStr">
        <is>
          <t>2001-12</t>
        </is>
      </c>
      <c r="G625" s="83" t="n">
        <v>27.81347</v>
      </c>
      <c r="I625" s="83" t="n">
        <v>13.51516</v>
      </c>
      <c r="J625" s="83" t="n">
        <v>37.06855</v>
      </c>
      <c r="K625" s="83" t="n">
        <v>51.86499</v>
      </c>
      <c r="L625" s="83" t="n">
        <v>24.50289</v>
      </c>
      <c r="M625" s="83" t="n">
        <v>11.86114</v>
      </c>
      <c r="N625" s="83" t="n">
        <v>17.09824</v>
      </c>
      <c r="O625" s="83" t="n">
        <v>14.40571</v>
      </c>
      <c r="P625" s="83" t="n">
        <v>46.36295</v>
      </c>
      <c r="R625" s="83" t="n">
        <v>38.89782</v>
      </c>
      <c r="S625" s="83" t="n">
        <v>50.88322</v>
      </c>
      <c r="AA625" s="83" t="n">
        <v>43.70367</v>
      </c>
      <c r="AC625" s="83" t="n">
        <v>37.14001</v>
      </c>
      <c r="AD625" s="83" t="n">
        <v>19.00093</v>
      </c>
      <c r="AE625" s="83" t="n">
        <v>13.40002</v>
      </c>
      <c r="AG625" s="83" t="n">
        <v>19.863</v>
      </c>
      <c r="AH625" s="83" t="n">
        <v>34.87486</v>
      </c>
      <c r="AJ625" s="83" t="n">
        <v>81.19484</v>
      </c>
      <c r="AK625" s="83" t="n">
        <v>34.34196</v>
      </c>
      <c r="AO625" s="83" t="n">
        <v>22.75622</v>
      </c>
      <c r="AQ625" s="83" t="n">
        <v>42.65719</v>
      </c>
      <c r="AR625" s="83" t="n">
        <v>41.79189</v>
      </c>
      <c r="AS625" s="83" t="n">
        <v>80.75888</v>
      </c>
      <c r="AT625" s="83" t="n">
        <v>29.9631</v>
      </c>
      <c r="AV625" s="83" t="n">
        <v>4.401947</v>
      </c>
      <c r="AZ625" s="83" t="n">
        <v>44.45295</v>
      </c>
      <c r="BA625" s="83" t="n">
        <v>9.840127000000001</v>
      </c>
      <c r="BB625" s="83" t="n">
        <v>45.0545</v>
      </c>
      <c r="BC625" s="83" t="n">
        <v>20.63359</v>
      </c>
      <c r="BD625" s="83" t="n">
        <v>34.44542</v>
      </c>
    </row>
    <row r="626">
      <c r="A626" s="83" t="inlineStr">
        <is>
          <t>2003-05</t>
        </is>
      </c>
      <c r="B626" s="22" t="n">
        <v>37742</v>
      </c>
      <c r="C626" s="22" t="n"/>
      <c r="D626" s="22" t="n"/>
      <c r="E626" s="22" t="n">
        <v>37257</v>
      </c>
      <c r="F626" s="83" t="inlineStr">
        <is>
          <t>2002-01</t>
        </is>
      </c>
      <c r="G626" s="83" t="n">
        <v>28.07684</v>
      </c>
      <c r="I626" s="83" t="n">
        <v>13.62537</v>
      </c>
      <c r="J626" s="83" t="n">
        <v>37.34414</v>
      </c>
      <c r="K626" s="83" t="n">
        <v>51.65888</v>
      </c>
      <c r="L626" s="83" t="n">
        <v>24.63652</v>
      </c>
      <c r="M626" s="83" t="n">
        <v>11.98398</v>
      </c>
      <c r="N626" s="83" t="n">
        <v>17.11007</v>
      </c>
      <c r="O626" s="83" t="n">
        <v>14.61095</v>
      </c>
      <c r="P626" s="83" t="n">
        <v>43.05083</v>
      </c>
      <c r="R626" s="83" t="n">
        <v>37.96696</v>
      </c>
      <c r="S626" s="83" t="n">
        <v>51.29074</v>
      </c>
      <c r="AA626" s="83" t="n">
        <v>43.44186</v>
      </c>
      <c r="AC626" s="83" t="n">
        <v>37.61158</v>
      </c>
      <c r="AD626" s="83" t="n">
        <v>19.16416</v>
      </c>
      <c r="AE626" s="83" t="n">
        <v>13.51709</v>
      </c>
      <c r="AG626" s="83" t="n">
        <v>20.07222</v>
      </c>
      <c r="AH626" s="83" t="n">
        <v>34.71232</v>
      </c>
      <c r="AJ626" s="83" t="n">
        <v>81.40752000000001</v>
      </c>
      <c r="AK626" s="83" t="n">
        <v>34.88559</v>
      </c>
      <c r="AO626" s="83" t="n">
        <v>22.5799</v>
      </c>
      <c r="AQ626" s="83" t="n">
        <v>43.27732</v>
      </c>
      <c r="AR626" s="83" t="n">
        <v>41.81142</v>
      </c>
      <c r="AS626" s="83" t="n">
        <v>81.00668</v>
      </c>
      <c r="AT626" s="83" t="n">
        <v>30.11077</v>
      </c>
      <c r="AV626" s="83" t="n">
        <v>4.545566</v>
      </c>
      <c r="AZ626" s="83" t="n">
        <v>43.03252</v>
      </c>
      <c r="BA626" s="83" t="n">
        <v>9.646126000000001</v>
      </c>
      <c r="BB626" s="83" t="n">
        <v>45.22403</v>
      </c>
      <c r="BC626" s="83" t="n">
        <v>21.43809</v>
      </c>
      <c r="BD626" s="83" t="n">
        <v>34.597</v>
      </c>
    </row>
    <row r="627">
      <c r="A627" s="83" t="inlineStr">
        <is>
          <t>2003-06</t>
        </is>
      </c>
      <c r="B627" s="22" t="n">
        <v>37773</v>
      </c>
      <c r="C627" s="22" t="n"/>
      <c r="D627" s="22" t="n"/>
      <c r="E627" s="22" t="n">
        <v>37288</v>
      </c>
      <c r="F627" s="83" t="inlineStr">
        <is>
          <t>2002-02</t>
        </is>
      </c>
      <c r="G627" s="83" t="n">
        <v>28.29258</v>
      </c>
      <c r="I627" s="83" t="n">
        <v>13.65496</v>
      </c>
      <c r="J627" s="83" t="n">
        <v>37.54259</v>
      </c>
      <c r="K627" s="83" t="n">
        <v>51.46964</v>
      </c>
      <c r="L627" s="83" t="n">
        <v>24.84077</v>
      </c>
      <c r="M627" s="83" t="n">
        <v>12.12253</v>
      </c>
      <c r="N627" s="83" t="n">
        <v>17.14953</v>
      </c>
      <c r="O627" s="83" t="n">
        <v>14.82286</v>
      </c>
      <c r="P627" s="83" t="n">
        <v>39.34455</v>
      </c>
      <c r="R627" s="83" t="n">
        <v>37.72788</v>
      </c>
      <c r="S627" s="83" t="n">
        <v>51.21761</v>
      </c>
      <c r="AA627" s="83" t="n">
        <v>43.2836</v>
      </c>
      <c r="AC627" s="83" t="n">
        <v>37.22809</v>
      </c>
      <c r="AD627" s="83" t="n">
        <v>19.25134</v>
      </c>
      <c r="AE627" s="83" t="n">
        <v>13.6293</v>
      </c>
      <c r="AG627" s="83" t="n">
        <v>20.27951</v>
      </c>
      <c r="AH627" s="83" t="n">
        <v>34.46246</v>
      </c>
      <c r="AJ627" s="83" t="n">
        <v>81.51385000000001</v>
      </c>
      <c r="AK627" s="83" t="n">
        <v>35.43342</v>
      </c>
      <c r="AO627" s="83" t="n">
        <v>22.69387</v>
      </c>
      <c r="AQ627" s="83" t="n">
        <v>43.64259</v>
      </c>
      <c r="AR627" s="83" t="n">
        <v>41.95351</v>
      </c>
      <c r="AS627" s="83" t="n">
        <v>81.16746999999999</v>
      </c>
      <c r="AT627" s="83" t="n">
        <v>30.14452</v>
      </c>
      <c r="AV627" s="83" t="n">
        <v>4.687017</v>
      </c>
      <c r="AZ627" s="83" t="n">
        <v>42.95807</v>
      </c>
      <c r="BA627" s="83" t="n">
        <v>9.743899000000001</v>
      </c>
      <c r="BB627" s="83" t="n">
        <v>45.46835</v>
      </c>
      <c r="BC627" s="83" t="n">
        <v>22.24947</v>
      </c>
      <c r="BD627" s="83" t="n">
        <v>34.79866</v>
      </c>
    </row>
    <row r="628">
      <c r="A628" s="83" t="inlineStr">
        <is>
          <t>2003-07</t>
        </is>
      </c>
      <c r="B628" s="22" t="n">
        <v>37803</v>
      </c>
      <c r="C628" s="22" t="n"/>
      <c r="D628" s="22" t="n"/>
      <c r="E628" s="22" t="n">
        <v>37316</v>
      </c>
      <c r="F628" s="83" t="inlineStr">
        <is>
          <t>2002-03</t>
        </is>
      </c>
      <c r="G628" s="83" t="n">
        <v>28.56436</v>
      </c>
      <c r="I628" s="83" t="n">
        <v>13.82331</v>
      </c>
      <c r="J628" s="83" t="n">
        <v>37.66599</v>
      </c>
      <c r="K628" s="83" t="n">
        <v>51.687</v>
      </c>
      <c r="L628" s="83" t="n">
        <v>24.93953</v>
      </c>
      <c r="M628" s="83" t="n">
        <v>12.29036</v>
      </c>
      <c r="N628" s="83" t="n">
        <v>17.27797</v>
      </c>
      <c r="O628" s="83" t="n">
        <v>15.02391</v>
      </c>
      <c r="P628" s="83" t="n">
        <v>39.22802</v>
      </c>
      <c r="R628" s="83" t="n">
        <v>37.69255</v>
      </c>
      <c r="S628" s="83" t="n">
        <v>51.39721</v>
      </c>
      <c r="AA628" s="83" t="n">
        <v>43.54881</v>
      </c>
      <c r="AC628" s="83" t="n">
        <v>36.79662</v>
      </c>
      <c r="AD628" s="83" t="n">
        <v>19.26406</v>
      </c>
      <c r="AE628" s="83" t="n">
        <v>13.76843</v>
      </c>
      <c r="AG628" s="83" t="n">
        <v>20.49522</v>
      </c>
      <c r="AH628" s="83" t="n">
        <v>34.60742</v>
      </c>
      <c r="AJ628" s="83" t="n">
        <v>81.67746</v>
      </c>
      <c r="AK628" s="83" t="n">
        <v>35.93269</v>
      </c>
      <c r="AO628" s="83" t="n">
        <v>22.89443</v>
      </c>
      <c r="AQ628" s="83" t="n">
        <v>43.66885</v>
      </c>
      <c r="AR628" s="83" t="n">
        <v>42.13647</v>
      </c>
      <c r="AS628" s="83" t="n">
        <v>81.25797</v>
      </c>
      <c r="AT628" s="83" t="n">
        <v>29.91855</v>
      </c>
      <c r="AV628" s="83" t="n">
        <v>4.655916</v>
      </c>
      <c r="AZ628" s="83" t="n">
        <v>43.35147</v>
      </c>
      <c r="BA628" s="83" t="n">
        <v>10.06746</v>
      </c>
      <c r="BB628" s="83" t="n">
        <v>45.56807</v>
      </c>
      <c r="BC628" s="83" t="n">
        <v>22.55109</v>
      </c>
      <c r="BD628" s="83" t="n">
        <v>35.49131</v>
      </c>
    </row>
    <row r="629">
      <c r="A629" s="83" t="inlineStr">
        <is>
          <t>2003-08</t>
        </is>
      </c>
      <c r="B629" s="22" t="n">
        <v>37834</v>
      </c>
      <c r="C629" s="22" t="n"/>
      <c r="D629" s="22" t="n"/>
      <c r="E629" s="22" t="n">
        <v>37347</v>
      </c>
      <c r="F629" s="83" t="inlineStr">
        <is>
          <t>2002-04</t>
        </is>
      </c>
      <c r="G629" s="83" t="n">
        <v>28.36543</v>
      </c>
      <c r="I629" s="83" t="n">
        <v>14.0436</v>
      </c>
      <c r="J629" s="83" t="n">
        <v>37.77217</v>
      </c>
      <c r="K629" s="83" t="n">
        <v>51.81912</v>
      </c>
      <c r="L629" s="83" t="n">
        <v>24.96644</v>
      </c>
      <c r="M629" s="83" t="n">
        <v>12.41944</v>
      </c>
      <c r="N629" s="83" t="n">
        <v>17.44406</v>
      </c>
      <c r="O629" s="83" t="n">
        <v>15.15069</v>
      </c>
      <c r="P629" s="83" t="n">
        <v>39.3511</v>
      </c>
      <c r="R629" s="83" t="n">
        <v>37.92851</v>
      </c>
      <c r="S629" s="83" t="n">
        <v>51.75271</v>
      </c>
      <c r="AA629" s="83" t="n">
        <v>43.66843</v>
      </c>
      <c r="AC629" s="83" t="n">
        <v>37.14596</v>
      </c>
      <c r="AD629" s="83" t="n">
        <v>19.22425</v>
      </c>
      <c r="AE629" s="83" t="n">
        <v>13.94097</v>
      </c>
      <c r="AG629" s="83" t="n">
        <v>20.7202</v>
      </c>
      <c r="AH629" s="83" t="n">
        <v>34.92268</v>
      </c>
      <c r="AJ629" s="83" t="n">
        <v>81.79198</v>
      </c>
      <c r="AK629" s="83" t="n">
        <v>36.25457</v>
      </c>
      <c r="AO629" s="83" t="n">
        <v>23.06218</v>
      </c>
      <c r="AQ629" s="83" t="n">
        <v>43.81077</v>
      </c>
      <c r="AR629" s="83" t="n">
        <v>42.22323</v>
      </c>
      <c r="AS629" s="83" t="n">
        <v>81.68604999999999</v>
      </c>
      <c r="AT629" s="83" t="n">
        <v>29.65802</v>
      </c>
      <c r="AV629" s="83" t="n">
        <v>4.768116</v>
      </c>
      <c r="AZ629" s="83" t="n">
        <v>44.17275</v>
      </c>
      <c r="BA629" s="83" t="n">
        <v>10.1795</v>
      </c>
      <c r="BB629" s="83" t="n">
        <v>45.5689</v>
      </c>
      <c r="BC629" s="83" t="n">
        <v>22.7908</v>
      </c>
      <c r="BD629" s="83" t="n">
        <v>35.93718</v>
      </c>
    </row>
    <row r="630">
      <c r="A630" s="83" t="inlineStr">
        <is>
          <t>2003-09</t>
        </is>
      </c>
      <c r="B630" s="22" t="n">
        <v>37865</v>
      </c>
      <c r="C630" s="22" t="n"/>
      <c r="D630" s="22" t="n"/>
      <c r="E630" s="22" t="n">
        <v>37377</v>
      </c>
      <c r="F630" s="83" t="inlineStr">
        <is>
          <t>2002-05</t>
        </is>
      </c>
      <c r="G630" s="83" t="n">
        <v>28.07684</v>
      </c>
      <c r="I630" s="83" t="n">
        <v>14.10855</v>
      </c>
      <c r="J630" s="83" t="n">
        <v>37.77383</v>
      </c>
      <c r="K630" s="83" t="n">
        <v>51.8063</v>
      </c>
      <c r="L630" s="83" t="n">
        <v>24.99984</v>
      </c>
      <c r="M630" s="83" t="n">
        <v>12.56541</v>
      </c>
      <c r="N630" s="83" t="n">
        <v>17.58697</v>
      </c>
      <c r="O630" s="83" t="n">
        <v>15.33903</v>
      </c>
      <c r="P630" s="83" t="n">
        <v>39.91948</v>
      </c>
      <c r="R630" s="83" t="n">
        <v>38.17521</v>
      </c>
      <c r="S630" s="83" t="n">
        <v>52.13582</v>
      </c>
      <c r="AA630" s="83" t="n">
        <v>43.86644</v>
      </c>
      <c r="AC630" s="83" t="n">
        <v>37.54813</v>
      </c>
      <c r="AD630" s="83" t="n">
        <v>19.1845</v>
      </c>
      <c r="AE630" s="83" t="n">
        <v>14.35914</v>
      </c>
      <c r="AG630" s="83" t="n">
        <v>20.94656</v>
      </c>
      <c r="AH630" s="83" t="n">
        <v>35.26123</v>
      </c>
      <c r="AJ630" s="83" t="n">
        <v>81.90649999999999</v>
      </c>
      <c r="AK630" s="83" t="n">
        <v>36.45675</v>
      </c>
      <c r="AO630" s="83" t="n">
        <v>23.16734</v>
      </c>
      <c r="AQ630" s="83" t="n">
        <v>43.89497</v>
      </c>
      <c r="AR630" s="83" t="n">
        <v>42.42711</v>
      </c>
      <c r="AS630" s="83" t="n">
        <v>82.0986</v>
      </c>
      <c r="AT630" s="83" t="n">
        <v>29.83765</v>
      </c>
      <c r="AV630" s="83" t="n">
        <v>4.88066</v>
      </c>
      <c r="AZ630" s="83" t="n">
        <v>44.46016</v>
      </c>
      <c r="BA630" s="83" t="n">
        <v>10.56251</v>
      </c>
      <c r="BB630" s="83" t="n">
        <v>45.78414</v>
      </c>
      <c r="BC630" s="83" t="n">
        <v>23.32313</v>
      </c>
      <c r="BD630" s="83" t="n">
        <v>35.85844</v>
      </c>
    </row>
    <row r="631">
      <c r="A631" s="83" t="inlineStr">
        <is>
          <t>2003-10</t>
        </is>
      </c>
      <c r="B631" s="22" t="n">
        <v>37895</v>
      </c>
      <c r="C631" s="22" t="n"/>
      <c r="D631" s="22" t="n"/>
      <c r="E631" s="22" t="n">
        <v>37408</v>
      </c>
      <c r="F631" s="83" t="inlineStr">
        <is>
          <t>2002-06</t>
        </is>
      </c>
      <c r="G631" s="83" t="n">
        <v>27.99559</v>
      </c>
      <c r="I631" s="83" t="n">
        <v>14.12953</v>
      </c>
      <c r="J631" s="83" t="n">
        <v>37.8843</v>
      </c>
      <c r="K631" s="83" t="n">
        <v>52.06571</v>
      </c>
      <c r="L631" s="83" t="n">
        <v>25.11459</v>
      </c>
      <c r="M631" s="83" t="n">
        <v>12.73287</v>
      </c>
      <c r="N631" s="83" t="n">
        <v>17.61712</v>
      </c>
      <c r="O631" s="83" t="n">
        <v>15.39455</v>
      </c>
      <c r="P631" s="83" t="n">
        <v>39.55446</v>
      </c>
      <c r="R631" s="83" t="n">
        <v>38.42575</v>
      </c>
      <c r="S631" s="83" t="n">
        <v>52.43296</v>
      </c>
      <c r="AA631" s="83" t="n">
        <v>43.99841</v>
      </c>
      <c r="AC631" s="83" t="n">
        <v>37.6489</v>
      </c>
      <c r="AD631" s="83" t="n">
        <v>19.24552</v>
      </c>
      <c r="AE631" s="83" t="n">
        <v>14.70696</v>
      </c>
      <c r="AG631" s="83" t="n">
        <v>21.18389</v>
      </c>
      <c r="AH631" s="83" t="n">
        <v>35.47168</v>
      </c>
      <c r="AJ631" s="83" t="n">
        <v>81.97194</v>
      </c>
      <c r="AK631" s="83" t="n">
        <v>36.66856</v>
      </c>
      <c r="AO631" s="83" t="n">
        <v>23.28827</v>
      </c>
      <c r="AQ631" s="83" t="n">
        <v>44.43647</v>
      </c>
      <c r="AR631" s="83" t="n">
        <v>42.64322</v>
      </c>
      <c r="AS631" s="83" t="n">
        <v>82.45679</v>
      </c>
      <c r="AT631" s="83" t="n">
        <v>30.00146</v>
      </c>
      <c r="AV631" s="83" t="n">
        <v>4.998621</v>
      </c>
      <c r="AZ631" s="83" t="n">
        <v>44.82401</v>
      </c>
      <c r="BA631" s="83" t="n">
        <v>11.05595</v>
      </c>
      <c r="BB631" s="83" t="n">
        <v>45.99106</v>
      </c>
      <c r="BC631" s="83" t="n">
        <v>23.51177</v>
      </c>
      <c r="BD631" s="83" t="n">
        <v>36.35333</v>
      </c>
    </row>
    <row r="632">
      <c r="A632" s="83" t="inlineStr">
        <is>
          <t>2003-11</t>
        </is>
      </c>
      <c r="B632" s="22" t="n">
        <v>37926</v>
      </c>
      <c r="C632" s="22" t="n"/>
      <c r="D632" s="22" t="n"/>
      <c r="E632" s="22" t="n">
        <v>37438</v>
      </c>
      <c r="F632" s="83" t="inlineStr">
        <is>
          <t>2002-07</t>
        </is>
      </c>
      <c r="G632" s="83" t="n">
        <v>28.08805</v>
      </c>
      <c r="I632" s="83" t="n">
        <v>14.15167</v>
      </c>
      <c r="J632" s="83" t="n">
        <v>38.33947</v>
      </c>
      <c r="K632" s="83" t="n">
        <v>52.6111</v>
      </c>
      <c r="L632" s="83" t="n">
        <v>25.25047</v>
      </c>
      <c r="M632" s="83" t="n">
        <v>12.8969</v>
      </c>
      <c r="N632" s="83" t="n">
        <v>17.72286</v>
      </c>
      <c r="O632" s="83" t="n">
        <v>15.51388</v>
      </c>
      <c r="P632" s="83" t="n">
        <v>39.25058</v>
      </c>
      <c r="R632" s="83" t="n">
        <v>38.91029</v>
      </c>
      <c r="S632" s="83" t="n">
        <v>52.49494</v>
      </c>
      <c r="AA632" s="83" t="n">
        <v>43.96695</v>
      </c>
      <c r="AC632" s="83" t="n">
        <v>37.86024</v>
      </c>
      <c r="AD632" s="83" t="n">
        <v>19.48095</v>
      </c>
      <c r="AE632" s="83" t="n">
        <v>14.81467</v>
      </c>
      <c r="AG632" s="83" t="n">
        <v>21.42385</v>
      </c>
      <c r="AH632" s="83" t="n">
        <v>35.26553</v>
      </c>
      <c r="AJ632" s="83" t="n">
        <v>82.08646</v>
      </c>
      <c r="AK632" s="83" t="n">
        <v>37.01486</v>
      </c>
      <c r="AO632" s="83" t="n">
        <v>23.44107</v>
      </c>
      <c r="AQ632" s="83" t="n">
        <v>44.86679</v>
      </c>
      <c r="AR632" s="83" t="n">
        <v>42.95538</v>
      </c>
      <c r="AS632" s="83" t="n">
        <v>82.77997000000001</v>
      </c>
      <c r="AT632" s="83" t="n">
        <v>30.06733</v>
      </c>
      <c r="AV632" s="83" t="n">
        <v>5.136999</v>
      </c>
      <c r="AZ632" s="83" t="n">
        <v>45.34597</v>
      </c>
      <c r="BA632" s="83" t="n">
        <v>11.63259</v>
      </c>
      <c r="BB632" s="83" t="n">
        <v>46.34508</v>
      </c>
      <c r="BC632" s="83" t="n">
        <v>23.44507</v>
      </c>
      <c r="BD632" s="83" t="n">
        <v>36.74871</v>
      </c>
    </row>
    <row r="633">
      <c r="A633" s="83" t="inlineStr">
        <is>
          <t>2003-12</t>
        </is>
      </c>
      <c r="B633" s="22" t="n">
        <v>37956</v>
      </c>
      <c r="C633" s="22" t="n"/>
      <c r="D633" s="22" t="n"/>
      <c r="E633" s="22" t="n">
        <v>37469</v>
      </c>
      <c r="F633" s="83" t="inlineStr">
        <is>
          <t>2002-08</t>
        </is>
      </c>
      <c r="G633" s="83" t="n">
        <v>28.56156</v>
      </c>
      <c r="I633" s="83" t="n">
        <v>14.24639</v>
      </c>
      <c r="J633" s="83" t="n">
        <v>38.61056</v>
      </c>
      <c r="K633" s="83" t="n">
        <v>52.87617</v>
      </c>
      <c r="L633" s="83" t="n">
        <v>25.37091</v>
      </c>
      <c r="M633" s="83" t="n">
        <v>13.08132</v>
      </c>
      <c r="N633" s="83" t="n">
        <v>17.8901</v>
      </c>
      <c r="O633" s="83" t="n">
        <v>15.91767</v>
      </c>
      <c r="P633" s="83" t="n">
        <v>39.98293</v>
      </c>
      <c r="R633" s="83" t="n">
        <v>39.31642</v>
      </c>
      <c r="S633" s="83" t="n">
        <v>52.52822</v>
      </c>
      <c r="AA633" s="83" t="n">
        <v>44.23838</v>
      </c>
      <c r="AC633" s="83" t="n">
        <v>38.4039</v>
      </c>
      <c r="AD633" s="83" t="n">
        <v>19.75083</v>
      </c>
      <c r="AE633" s="83" t="n">
        <v>14.97889</v>
      </c>
      <c r="AG633" s="83" t="n">
        <v>21.64597</v>
      </c>
      <c r="AH633" s="83" t="n">
        <v>35.24582</v>
      </c>
      <c r="AJ633" s="83" t="n">
        <v>82.19280000000001</v>
      </c>
      <c r="AK633" s="83" t="n">
        <v>37.43527</v>
      </c>
      <c r="AO633" s="83" t="n">
        <v>23.53311</v>
      </c>
      <c r="AQ633" s="83" t="n">
        <v>44.80066</v>
      </c>
      <c r="AR633" s="83" t="n">
        <v>43.25872</v>
      </c>
      <c r="AS633" s="83" t="n">
        <v>83.10699</v>
      </c>
      <c r="AT633" s="83" t="n">
        <v>30.10386</v>
      </c>
      <c r="AV633" s="83" t="n">
        <v>5.315539</v>
      </c>
      <c r="AZ633" s="83" t="n">
        <v>46.31201</v>
      </c>
      <c r="BA633" s="83" t="n">
        <v>11.87934</v>
      </c>
      <c r="BB633" s="83" t="n">
        <v>46.69826</v>
      </c>
      <c r="BC633" s="83" t="n">
        <v>23.7985</v>
      </c>
      <c r="BD633" s="83" t="n">
        <v>36.96954</v>
      </c>
    </row>
    <row r="634">
      <c r="A634" s="83" t="inlineStr">
        <is>
          <t>2004-01</t>
        </is>
      </c>
      <c r="B634" s="22" t="n">
        <v>37987</v>
      </c>
      <c r="C634" s="22" t="n"/>
      <c r="D634" s="22" t="n"/>
      <c r="E634" s="22" t="n">
        <v>37500</v>
      </c>
      <c r="F634" s="83" t="inlineStr">
        <is>
          <t>2002-09</t>
        </is>
      </c>
      <c r="G634" s="83" t="n">
        <v>28.83333</v>
      </c>
      <c r="I634" s="83" t="n">
        <v>14.42759</v>
      </c>
      <c r="J634" s="83" t="n">
        <v>38.90093</v>
      </c>
      <c r="K634" s="83" t="n">
        <v>53.00994</v>
      </c>
      <c r="L634" s="83" t="n">
        <v>25.52034</v>
      </c>
      <c r="M634" s="83" t="n">
        <v>13.29609</v>
      </c>
      <c r="N634" s="83" t="n">
        <v>18.06643</v>
      </c>
      <c r="O634" s="83" t="n">
        <v>16.32814</v>
      </c>
      <c r="P634" s="83" t="n">
        <v>40.28891</v>
      </c>
      <c r="R634" s="83" t="n">
        <v>39.81149</v>
      </c>
      <c r="S634" s="83" t="n">
        <v>52.81079</v>
      </c>
      <c r="AA634" s="83" t="n">
        <v>44.66748</v>
      </c>
      <c r="AC634" s="83" t="n">
        <v>38.7102</v>
      </c>
      <c r="AD634" s="83" t="n">
        <v>19.89743</v>
      </c>
      <c r="AE634" s="83" t="n">
        <v>15.12812</v>
      </c>
      <c r="AG634" s="83" t="n">
        <v>21.85909</v>
      </c>
      <c r="AH634" s="83" t="n">
        <v>35.64313</v>
      </c>
      <c r="AJ634" s="83" t="n">
        <v>82.27460000000001</v>
      </c>
      <c r="AK634" s="83" t="n">
        <v>37.92768</v>
      </c>
      <c r="AO634" s="83" t="n">
        <v>23.52755</v>
      </c>
      <c r="AQ634" s="83" t="n">
        <v>44.66327</v>
      </c>
      <c r="AR634" s="83" t="n">
        <v>43.44137</v>
      </c>
      <c r="AS634" s="83" t="n">
        <v>83.56022</v>
      </c>
      <c r="AT634" s="83" t="n">
        <v>29.9701</v>
      </c>
      <c r="AV634" s="83" t="n">
        <v>5.446287</v>
      </c>
      <c r="AZ634" s="83" t="n">
        <v>46.52808</v>
      </c>
      <c r="BA634" s="83" t="n">
        <v>11.87021</v>
      </c>
      <c r="BB634" s="83" t="n">
        <v>46.9002</v>
      </c>
      <c r="BC634" s="83" t="n">
        <v>23.92123</v>
      </c>
      <c r="BD634" s="83" t="n">
        <v>37.20802</v>
      </c>
    </row>
    <row r="635">
      <c r="A635" s="83" t="inlineStr">
        <is>
          <t>2004-02</t>
        </is>
      </c>
      <c r="B635" s="22" t="n">
        <v>38018</v>
      </c>
      <c r="C635" s="22" t="n"/>
      <c r="D635" s="22" t="n"/>
      <c r="E635" s="22" t="n">
        <v>37530</v>
      </c>
      <c r="F635" s="83" t="inlineStr">
        <is>
          <t>2002-10</t>
        </is>
      </c>
      <c r="G635" s="83" t="n">
        <v>29.00704</v>
      </c>
      <c r="I635" s="83" t="n">
        <v>14.61328</v>
      </c>
      <c r="J635" s="83" t="n">
        <v>38.91799</v>
      </c>
      <c r="K635" s="83" t="n">
        <v>53.17479</v>
      </c>
      <c r="L635" s="83" t="n">
        <v>25.64198</v>
      </c>
      <c r="M635" s="83" t="n">
        <v>13.50192</v>
      </c>
      <c r="N635" s="83" t="n">
        <v>18.22438</v>
      </c>
      <c r="O635" s="83" t="n">
        <v>16.69757</v>
      </c>
      <c r="P635" s="83" t="n">
        <v>40.7126</v>
      </c>
      <c r="R635" s="83" t="n">
        <v>40.35091</v>
      </c>
      <c r="S635" s="83" t="n">
        <v>53.12785</v>
      </c>
      <c r="AA635" s="83" t="n">
        <v>45.03913</v>
      </c>
      <c r="AC635" s="83" t="n">
        <v>39.11733</v>
      </c>
      <c r="AD635" s="83" t="n">
        <v>19.9039</v>
      </c>
      <c r="AE635" s="83" t="n">
        <v>15.26559</v>
      </c>
      <c r="AG635" s="83" t="n">
        <v>22.08961</v>
      </c>
      <c r="AH635" s="83" t="n">
        <v>35.90771</v>
      </c>
      <c r="AJ635" s="83" t="n">
        <v>82.38094</v>
      </c>
      <c r="AK635" s="83" t="n">
        <v>38.33908</v>
      </c>
      <c r="AO635" s="83" t="n">
        <v>23.57153</v>
      </c>
      <c r="AQ635" s="83" t="n">
        <v>45.10368</v>
      </c>
      <c r="AR635" s="83" t="n">
        <v>43.70641</v>
      </c>
      <c r="AS635" s="83" t="n">
        <v>84.00282</v>
      </c>
      <c r="AT635" s="83" t="n">
        <v>29.83474</v>
      </c>
      <c r="AV635" s="83" t="n">
        <v>5.58518</v>
      </c>
      <c r="AZ635" s="83" t="n">
        <v>46.15462</v>
      </c>
      <c r="BA635" s="83" t="n">
        <v>12.01448</v>
      </c>
      <c r="BB635" s="83" t="n">
        <v>47.27083</v>
      </c>
      <c r="BC635" s="83" t="n">
        <v>24.17066</v>
      </c>
      <c r="BD635" s="83" t="n">
        <v>37.31771</v>
      </c>
    </row>
    <row r="636">
      <c r="A636" s="83" t="inlineStr">
        <is>
          <t>2004-03</t>
        </is>
      </c>
      <c r="B636" s="22" t="n">
        <v>38047</v>
      </c>
      <c r="C636" s="22" t="n"/>
      <c r="D636" s="22" t="n"/>
      <c r="E636" s="22" t="n">
        <v>37561</v>
      </c>
      <c r="F636" s="83" t="inlineStr">
        <is>
          <t>2002-11</t>
        </is>
      </c>
      <c r="G636" s="83" t="n">
        <v>29.29563</v>
      </c>
      <c r="I636" s="83" t="n">
        <v>14.76997</v>
      </c>
      <c r="J636" s="83" t="n">
        <v>39.11195</v>
      </c>
      <c r="K636" s="83" t="n">
        <v>53.35261</v>
      </c>
      <c r="L636" s="83" t="n">
        <v>25.90485</v>
      </c>
      <c r="M636" s="83" t="n">
        <v>13.67663</v>
      </c>
      <c r="N636" s="83" t="n">
        <v>18.30331</v>
      </c>
      <c r="O636" s="83" t="n">
        <v>17.01267</v>
      </c>
      <c r="P636" s="83" t="n">
        <v>41.34471</v>
      </c>
      <c r="R636" s="83" t="n">
        <v>41.04187</v>
      </c>
      <c r="S636" s="83" t="n">
        <v>53.56095</v>
      </c>
      <c r="AA636" s="83" t="n">
        <v>45.33109</v>
      </c>
      <c r="AC636" s="83" t="n">
        <v>39.9603</v>
      </c>
      <c r="AD636" s="83" t="n">
        <v>19.9094</v>
      </c>
      <c r="AE636" s="83" t="n">
        <v>15.42774</v>
      </c>
      <c r="AG636" s="83" t="n">
        <v>22.36234</v>
      </c>
      <c r="AH636" s="83" t="n">
        <v>36.0265</v>
      </c>
      <c r="AJ636" s="83" t="n">
        <v>82.44638</v>
      </c>
      <c r="AK636" s="83" t="n">
        <v>38.5853</v>
      </c>
      <c r="AO636" s="83" t="n">
        <v>24.17541</v>
      </c>
      <c r="AQ636" s="83" t="n">
        <v>45.59497</v>
      </c>
      <c r="AR636" s="83" t="n">
        <v>44.05516</v>
      </c>
      <c r="AS636" s="83" t="n">
        <v>84.12770999999999</v>
      </c>
      <c r="AT636" s="83" t="n">
        <v>29.79882</v>
      </c>
      <c r="AV636" s="83" t="n">
        <v>5.732094</v>
      </c>
      <c r="AZ636" s="83" t="n">
        <v>46.08729</v>
      </c>
      <c r="BA636" s="83" t="n">
        <v>12.05636</v>
      </c>
      <c r="BB636" s="83" t="n">
        <v>47.68717</v>
      </c>
      <c r="BC636" s="83" t="n">
        <v>24.52938</v>
      </c>
      <c r="BD636" s="83" t="n">
        <v>37.81037</v>
      </c>
    </row>
    <row r="637">
      <c r="A637" s="83" t="inlineStr">
        <is>
          <t>2004-04</t>
        </is>
      </c>
      <c r="B637" s="22" t="n">
        <v>38078</v>
      </c>
      <c r="C637" s="22" t="n"/>
      <c r="D637" s="22" t="n"/>
      <c r="E637" s="22" t="n">
        <v>37591</v>
      </c>
      <c r="F637" s="83" t="inlineStr">
        <is>
          <t>2002-12</t>
        </is>
      </c>
      <c r="G637" s="83" t="n">
        <v>29.63745</v>
      </c>
      <c r="I637" s="83" t="n">
        <v>14.89646</v>
      </c>
      <c r="J637" s="83" t="n">
        <v>39.11542</v>
      </c>
      <c r="K637" s="83" t="n">
        <v>53.82495</v>
      </c>
      <c r="L637" s="83" t="n">
        <v>26.09511</v>
      </c>
      <c r="M637" s="83" t="n">
        <v>13.87623</v>
      </c>
      <c r="N637" s="83" t="n">
        <v>18.44079</v>
      </c>
      <c r="O637" s="83" t="n">
        <v>17.25659</v>
      </c>
      <c r="P637" s="83" t="n">
        <v>41.41206</v>
      </c>
      <c r="R637" s="83" t="n">
        <v>42.05749</v>
      </c>
      <c r="S637" s="83" t="n">
        <v>54.33384</v>
      </c>
      <c r="AA637" s="83" t="n">
        <v>45.44546</v>
      </c>
      <c r="AC637" s="83" t="n">
        <v>40.74615</v>
      </c>
      <c r="AD637" s="83" t="n">
        <v>19.93968</v>
      </c>
      <c r="AE637" s="83" t="n">
        <v>15.57108</v>
      </c>
      <c r="AG637" s="83" t="n">
        <v>22.68001</v>
      </c>
      <c r="AH637" s="83" t="n">
        <v>36.35795</v>
      </c>
      <c r="AJ637" s="83" t="n">
        <v>82.34822</v>
      </c>
      <c r="AK637" s="83" t="n">
        <v>38.89667</v>
      </c>
      <c r="AO637" s="83" t="n">
        <v>24.5085</v>
      </c>
      <c r="AQ637" s="83" t="n">
        <v>45.82195</v>
      </c>
      <c r="AR637" s="83" t="n">
        <v>44.24999</v>
      </c>
      <c r="AS637" s="83" t="n">
        <v>84.48291999999999</v>
      </c>
      <c r="AT637" s="83" t="n">
        <v>29.822</v>
      </c>
      <c r="AV637" s="83" t="n">
        <v>5.705218</v>
      </c>
      <c r="AZ637" s="83" t="n">
        <v>46.08027</v>
      </c>
      <c r="BA637" s="83" t="n">
        <v>12.24594</v>
      </c>
      <c r="BB637" s="83" t="n">
        <v>47.86418</v>
      </c>
      <c r="BC637" s="83" t="n">
        <v>24.56773</v>
      </c>
      <c r="BD637" s="83" t="n">
        <v>38.43751</v>
      </c>
    </row>
    <row r="638">
      <c r="A638" s="83" t="inlineStr">
        <is>
          <t>2004-05</t>
        </is>
      </c>
      <c r="B638" s="22" t="n">
        <v>38108</v>
      </c>
      <c r="C638" s="22" t="n"/>
      <c r="D638" s="22" t="n"/>
      <c r="E638" s="22" t="n">
        <v>37622</v>
      </c>
      <c r="F638" s="83" t="inlineStr">
        <is>
          <t>2003-01</t>
        </is>
      </c>
      <c r="G638" s="83" t="n">
        <v>29.95685</v>
      </c>
      <c r="I638" s="83" t="n">
        <v>15.0383</v>
      </c>
      <c r="J638" s="83" t="n">
        <v>39.23514</v>
      </c>
      <c r="K638" s="83" t="n">
        <v>54.22981</v>
      </c>
      <c r="L638" s="83" t="n">
        <v>26.2291</v>
      </c>
      <c r="M638" s="83" t="n">
        <v>14.17564</v>
      </c>
      <c r="N638" s="83" t="n">
        <v>18.64165</v>
      </c>
      <c r="O638" s="83" t="n">
        <v>17.63522</v>
      </c>
      <c r="P638" s="83" t="n">
        <v>41.43931</v>
      </c>
      <c r="R638" s="83" t="n">
        <v>43.41941</v>
      </c>
      <c r="S638" s="83" t="n">
        <v>54.76494</v>
      </c>
      <c r="AA638" s="83" t="n">
        <v>45.37081</v>
      </c>
      <c r="AC638" s="83" t="n">
        <v>41.51116</v>
      </c>
      <c r="AD638" s="83" t="n">
        <v>19.98559</v>
      </c>
      <c r="AE638" s="83" t="n">
        <v>15.69335</v>
      </c>
      <c r="AG638" s="83" t="n">
        <v>22.99959</v>
      </c>
      <c r="AH638" s="83" t="n">
        <v>36.82055</v>
      </c>
      <c r="AJ638" s="83" t="n">
        <v>82.3973</v>
      </c>
      <c r="AK638" s="83" t="n">
        <v>39.17318</v>
      </c>
      <c r="AO638" s="83" t="n">
        <v>24.50071</v>
      </c>
      <c r="AQ638" s="83" t="n">
        <v>46.23803</v>
      </c>
      <c r="AR638" s="83" t="n">
        <v>44.4854</v>
      </c>
      <c r="AS638" s="83" t="n">
        <v>85.17361</v>
      </c>
      <c r="AT638" s="83" t="n">
        <v>29.90573</v>
      </c>
      <c r="AV638" s="83" t="n">
        <v>6.015642</v>
      </c>
      <c r="AZ638" s="83" t="n">
        <v>46.36288</v>
      </c>
      <c r="BA638" s="83" t="n">
        <v>12.61259</v>
      </c>
      <c r="BB638" s="83" t="n">
        <v>48.13509</v>
      </c>
      <c r="BC638" s="83" t="n">
        <v>24.88339</v>
      </c>
      <c r="BD638" s="83" t="n">
        <v>38.67625</v>
      </c>
    </row>
    <row r="639">
      <c r="A639" s="83" t="inlineStr">
        <is>
          <t>2004-06</t>
        </is>
      </c>
      <c r="B639" s="22" t="n">
        <v>38139</v>
      </c>
      <c r="C639" s="22" t="n"/>
      <c r="D639" s="22" t="n"/>
      <c r="E639" s="22" t="n">
        <v>37653</v>
      </c>
      <c r="F639" s="83" t="inlineStr">
        <is>
          <t>2003-02</t>
        </is>
      </c>
      <c r="G639" s="83" t="n">
        <v>30.20901</v>
      </c>
      <c r="I639" s="83" t="n">
        <v>15.22538</v>
      </c>
      <c r="J639" s="83" t="n">
        <v>38.96493</v>
      </c>
      <c r="K639" s="83" t="n">
        <v>54.66755</v>
      </c>
      <c r="L639" s="83" t="n">
        <v>26.6062</v>
      </c>
      <c r="M639" s="83" t="n">
        <v>14.39742</v>
      </c>
      <c r="N639" s="83" t="n">
        <v>18.88776</v>
      </c>
      <c r="O639" s="83" t="n">
        <v>18.00898</v>
      </c>
      <c r="P639" s="83" t="n">
        <v>41.54031</v>
      </c>
      <c r="R639" s="83" t="n">
        <v>44.778</v>
      </c>
      <c r="S639" s="83" t="n">
        <v>54.94232</v>
      </c>
      <c r="AA639" s="83" t="n">
        <v>45.66001</v>
      </c>
      <c r="AC639" s="83" t="n">
        <v>41.9916</v>
      </c>
      <c r="AD639" s="83" t="n">
        <v>20.18415</v>
      </c>
      <c r="AE639" s="83" t="n">
        <v>15.80506</v>
      </c>
      <c r="AG639" s="83" t="n">
        <v>23.30667</v>
      </c>
      <c r="AH639" s="83" t="n">
        <v>37.22454</v>
      </c>
      <c r="AJ639" s="83" t="n">
        <v>82.45456</v>
      </c>
      <c r="AK639" s="83" t="n">
        <v>39.30263</v>
      </c>
      <c r="AO639" s="83" t="n">
        <v>24.64912</v>
      </c>
      <c r="AQ639" s="83" t="n">
        <v>46.29919</v>
      </c>
      <c r="AR639" s="83" t="n">
        <v>44.73151</v>
      </c>
      <c r="AS639" s="83" t="n">
        <v>85.66110999999999</v>
      </c>
      <c r="AT639" s="83" t="n">
        <v>30.04069</v>
      </c>
      <c r="AV639" s="83" t="n">
        <v>6.290739</v>
      </c>
      <c r="AZ639" s="83" t="n">
        <v>46.68241</v>
      </c>
      <c r="BA639" s="83" t="n">
        <v>12.84485</v>
      </c>
      <c r="BB639" s="83" t="n">
        <v>48.43592</v>
      </c>
      <c r="BC639" s="83" t="n">
        <v>25.30822</v>
      </c>
      <c r="BD639" s="83" t="n">
        <v>38.85704</v>
      </c>
    </row>
    <row r="640">
      <c r="A640" s="83" t="inlineStr">
        <is>
          <t>2004-07</t>
        </is>
      </c>
      <c r="B640" s="22" t="n">
        <v>38169</v>
      </c>
      <c r="C640" s="22" t="n"/>
      <c r="D640" s="22" t="n"/>
      <c r="E640" s="22" t="n">
        <v>37681</v>
      </c>
      <c r="F640" s="83" t="inlineStr">
        <is>
          <t>2003-03</t>
        </is>
      </c>
      <c r="G640" s="83" t="n">
        <v>30.48639</v>
      </c>
      <c r="I640" s="83" t="n">
        <v>15.40434</v>
      </c>
      <c r="J640" s="83" t="n">
        <v>39.51295</v>
      </c>
      <c r="K640" s="83" t="n">
        <v>55.48373</v>
      </c>
      <c r="L640" s="83" t="n">
        <v>26.9396</v>
      </c>
      <c r="M640" s="83" t="n">
        <v>14.5409</v>
      </c>
      <c r="N640" s="83" t="n">
        <v>19.11282</v>
      </c>
      <c r="O640" s="83" t="n">
        <v>18.27628</v>
      </c>
      <c r="P640" s="83" t="n">
        <v>41.47478</v>
      </c>
      <c r="R640" s="83" t="n">
        <v>44.75307</v>
      </c>
      <c r="S640" s="83" t="n">
        <v>55.33726</v>
      </c>
      <c r="AA640" s="83" t="n">
        <v>45.87745</v>
      </c>
      <c r="AC640" s="83" t="n">
        <v>42.06986</v>
      </c>
      <c r="AD640" s="83" t="n">
        <v>20.35237</v>
      </c>
      <c r="AE640" s="83" t="n">
        <v>15.84547</v>
      </c>
      <c r="AG640" s="83" t="n">
        <v>23.65201</v>
      </c>
      <c r="AH640" s="83" t="n">
        <v>37.34597</v>
      </c>
      <c r="AJ640" s="83" t="n">
        <v>82.45456</v>
      </c>
      <c r="AK640" s="83" t="n">
        <v>39.34498</v>
      </c>
      <c r="AO640" s="83" t="n">
        <v>24.51815</v>
      </c>
      <c r="AQ640" s="83" t="n">
        <v>46.15046</v>
      </c>
      <c r="AR640" s="83" t="n">
        <v>44.88429</v>
      </c>
      <c r="AS640" s="83" t="n">
        <v>86.15522</v>
      </c>
      <c r="AT640" s="83" t="n">
        <v>30.09305</v>
      </c>
      <c r="AV640" s="83" t="n">
        <v>6.34192</v>
      </c>
      <c r="AZ640" s="83" t="n">
        <v>47.05596</v>
      </c>
      <c r="BA640" s="83" t="n">
        <v>12.9497</v>
      </c>
      <c r="BB640" s="83" t="n">
        <v>48.60877</v>
      </c>
      <c r="BC640" s="83" t="n">
        <v>25.47596</v>
      </c>
      <c r="BD640" s="83" t="n">
        <v>38.94387</v>
      </c>
    </row>
    <row r="641">
      <c r="A641" s="83" t="inlineStr">
        <is>
          <t>2004-08</t>
        </is>
      </c>
      <c r="B641" s="22" t="n">
        <v>38200</v>
      </c>
      <c r="C641" s="22" t="n"/>
      <c r="D641" s="22" t="n"/>
      <c r="E641" s="22" t="n">
        <v>37712</v>
      </c>
      <c r="F641" s="83" t="inlineStr">
        <is>
          <t>2003-04</t>
        </is>
      </c>
      <c r="G641" s="83" t="n">
        <v>30.83662</v>
      </c>
      <c r="I641" s="83" t="n">
        <v>15.5704</v>
      </c>
      <c r="J641" s="83" t="n">
        <v>39.85553</v>
      </c>
      <c r="K641" s="83" t="n">
        <v>56.34685</v>
      </c>
      <c r="L641" s="83" t="n">
        <v>27.08218</v>
      </c>
      <c r="M641" s="83" t="n">
        <v>14.75948</v>
      </c>
      <c r="N641" s="83" t="n">
        <v>19.23285</v>
      </c>
      <c r="O641" s="83" t="n">
        <v>18.59514</v>
      </c>
      <c r="P641" s="83" t="n">
        <v>41.77652</v>
      </c>
      <c r="R641" s="83" t="n">
        <v>44.90879</v>
      </c>
      <c r="S641" s="83" t="n">
        <v>55.96</v>
      </c>
      <c r="AA641" s="83" t="n">
        <v>45.96625</v>
      </c>
      <c r="AC641" s="83" t="n">
        <v>42.32056</v>
      </c>
      <c r="AD641" s="83" t="n">
        <v>20.43512</v>
      </c>
      <c r="AE641" s="83" t="n">
        <v>15.96908</v>
      </c>
      <c r="AG641" s="83" t="n">
        <v>24.04226</v>
      </c>
      <c r="AH641" s="83" t="n">
        <v>37.20296</v>
      </c>
      <c r="AJ641" s="83" t="n">
        <v>82.49545999999999</v>
      </c>
      <c r="AK641" s="83" t="n">
        <v>39.41184</v>
      </c>
      <c r="AO641" s="83" t="n">
        <v>24.47899</v>
      </c>
      <c r="AQ641" s="83" t="n">
        <v>46.17019</v>
      </c>
      <c r="AR641" s="83" t="n">
        <v>45.06549</v>
      </c>
      <c r="AS641" s="83" t="n">
        <v>86.65845</v>
      </c>
      <c r="AT641" s="83" t="n">
        <v>30.09495</v>
      </c>
      <c r="AV641" s="83" t="n">
        <v>6.600636</v>
      </c>
      <c r="AZ641" s="83" t="n">
        <v>47.02227</v>
      </c>
      <c r="BA641" s="83" t="n">
        <v>12.86963</v>
      </c>
      <c r="BB641" s="83" t="n">
        <v>48.91791</v>
      </c>
      <c r="BC641" s="83" t="n">
        <v>25.95471</v>
      </c>
      <c r="BD641" s="83" t="n">
        <v>38.85934</v>
      </c>
    </row>
    <row r="642">
      <c r="A642" s="83" t="inlineStr">
        <is>
          <t>2004-09</t>
        </is>
      </c>
      <c r="B642" s="22" t="n">
        <v>38231</v>
      </c>
      <c r="C642" s="22" t="n"/>
      <c r="D642" s="22" t="n"/>
      <c r="E642" s="22" t="n">
        <v>37742</v>
      </c>
      <c r="F642" s="83" t="inlineStr">
        <is>
          <t>2003-05</t>
        </is>
      </c>
      <c r="G642" s="83" t="n">
        <v>31.29051</v>
      </c>
      <c r="I642" s="83" t="n">
        <v>15.76187</v>
      </c>
      <c r="J642" s="83" t="n">
        <v>40.31242</v>
      </c>
      <c r="K642" s="83" t="n">
        <v>56.70258</v>
      </c>
      <c r="L642" s="83" t="n">
        <v>27.1135</v>
      </c>
      <c r="M642" s="83" t="n">
        <v>15.02575</v>
      </c>
      <c r="N642" s="83" t="n">
        <v>19.43424</v>
      </c>
      <c r="O642" s="83" t="n">
        <v>18.93185</v>
      </c>
      <c r="P642" s="83" t="n">
        <v>42.11084</v>
      </c>
      <c r="R642" s="83" t="n">
        <v>46.08746</v>
      </c>
      <c r="S642" s="83" t="n">
        <v>56.57998</v>
      </c>
      <c r="AA642" s="83" t="n">
        <v>46.05993</v>
      </c>
      <c r="AC642" s="83" t="n">
        <v>42.86671</v>
      </c>
      <c r="AD642" s="83" t="n">
        <v>20.57021</v>
      </c>
      <c r="AE642" s="83" t="n">
        <v>16.21034</v>
      </c>
      <c r="AG642" s="83" t="n">
        <v>24.43196</v>
      </c>
      <c r="AH642" s="83" t="n">
        <v>37.22245</v>
      </c>
      <c r="AJ642" s="83" t="n">
        <v>82.66724000000001</v>
      </c>
      <c r="AK642" s="83" t="n">
        <v>39.50718</v>
      </c>
      <c r="AO642" s="83" t="n">
        <v>24.64578</v>
      </c>
      <c r="AQ642" s="83" t="n">
        <v>46.39353</v>
      </c>
      <c r="AR642" s="83" t="n">
        <v>45.37864</v>
      </c>
      <c r="AS642" s="83" t="n">
        <v>87.24518999999999</v>
      </c>
      <c r="AT642" s="83" t="n">
        <v>30.1843</v>
      </c>
      <c r="AV642" s="83" t="n">
        <v>6.749576</v>
      </c>
      <c r="AZ642" s="83" t="n">
        <v>46.99745</v>
      </c>
      <c r="BA642" s="83" t="n">
        <v>12.73953</v>
      </c>
      <c r="BB642" s="83" t="n">
        <v>49.41735</v>
      </c>
      <c r="BC642" s="83" t="n">
        <v>26.52759</v>
      </c>
      <c r="BD642" s="83" t="n">
        <v>38.89518</v>
      </c>
    </row>
    <row r="643">
      <c r="A643" s="83" t="inlineStr">
        <is>
          <t>2004-10</t>
        </is>
      </c>
      <c r="B643" s="22" t="n">
        <v>38261</v>
      </c>
      <c r="C643" s="22" t="n"/>
      <c r="D643" s="22" t="n"/>
      <c r="E643" s="22" t="n">
        <v>37773</v>
      </c>
      <c r="F643" s="83" t="inlineStr">
        <is>
          <t>2003-06</t>
        </is>
      </c>
      <c r="G643" s="83" t="n">
        <v>31.60711</v>
      </c>
      <c r="I643" s="83" t="n">
        <v>15.99581</v>
      </c>
      <c r="J643" s="83" t="n">
        <v>40.68896</v>
      </c>
      <c r="K643" s="83" t="n">
        <v>56.77898</v>
      </c>
      <c r="L643" s="83" t="n">
        <v>27.02415</v>
      </c>
      <c r="M643" s="83" t="n">
        <v>15.32131</v>
      </c>
      <c r="N643" s="83" t="n">
        <v>19.78614</v>
      </c>
      <c r="O643" s="83" t="n">
        <v>19.33514</v>
      </c>
      <c r="P643" s="83" t="n">
        <v>41.89084</v>
      </c>
      <c r="R643" s="83" t="n">
        <v>46.46999</v>
      </c>
      <c r="S643" s="83" t="n">
        <v>56.7838</v>
      </c>
      <c r="AA643" s="83" t="n">
        <v>46.30034</v>
      </c>
      <c r="AC643" s="83" t="n">
        <v>43.55024</v>
      </c>
      <c r="AD643" s="83" t="n">
        <v>20.6298</v>
      </c>
      <c r="AE643" s="83" t="n">
        <v>16.42286</v>
      </c>
      <c r="AG643" s="83" t="n">
        <v>24.79387</v>
      </c>
      <c r="AH643" s="83" t="n">
        <v>37.31554</v>
      </c>
      <c r="AJ643" s="83" t="n">
        <v>82.80629999999999</v>
      </c>
      <c r="AK643" s="83" t="n">
        <v>39.70007</v>
      </c>
      <c r="AO643" s="83" t="n">
        <v>24.55582</v>
      </c>
      <c r="AQ643" s="83" t="n">
        <v>46.4687</v>
      </c>
      <c r="AR643" s="83" t="n">
        <v>45.58254</v>
      </c>
      <c r="AS643" s="83" t="n">
        <v>88.00367</v>
      </c>
      <c r="AT643" s="83" t="n">
        <v>30.39019</v>
      </c>
      <c r="AV643" s="83" t="n">
        <v>6.870031</v>
      </c>
      <c r="AZ643" s="83" t="n">
        <v>46.92306</v>
      </c>
      <c r="BA643" s="83" t="n">
        <v>12.741</v>
      </c>
      <c r="BB643" s="83" t="n">
        <v>49.72234</v>
      </c>
      <c r="BC643" s="83" t="n">
        <v>26.84214</v>
      </c>
      <c r="BD643" s="83" t="n">
        <v>39.19223</v>
      </c>
    </row>
    <row r="644">
      <c r="A644" s="83" t="inlineStr">
        <is>
          <t>2004-11</t>
        </is>
      </c>
      <c r="B644" s="22" t="n">
        <v>38292</v>
      </c>
      <c r="C644" s="22" t="n"/>
      <c r="D644" s="22" t="n"/>
      <c r="E644" s="22" t="n">
        <v>37803</v>
      </c>
      <c r="F644" s="83" t="inlineStr">
        <is>
          <t>2003-07</t>
        </is>
      </c>
      <c r="G644" s="83" t="n">
        <v>31.44461</v>
      </c>
      <c r="I644" s="83" t="n">
        <v>16.30222</v>
      </c>
      <c r="J644" s="83" t="n">
        <v>41.06479</v>
      </c>
      <c r="K644" s="83" t="n">
        <v>56.98402</v>
      </c>
      <c r="L644" s="83" t="n">
        <v>26.88024</v>
      </c>
      <c r="M644" s="83" t="n">
        <v>15.57001</v>
      </c>
      <c r="N644" s="83" t="n">
        <v>20.02544</v>
      </c>
      <c r="O644" s="83" t="n">
        <v>19.69566</v>
      </c>
      <c r="P644" s="83" t="n">
        <v>42.33925</v>
      </c>
      <c r="R644" s="83" t="n">
        <v>46.59403</v>
      </c>
      <c r="S644" s="83" t="n">
        <v>56.81773</v>
      </c>
      <c r="AA644" s="83" t="n">
        <v>46.84468</v>
      </c>
      <c r="AC644" s="83" t="n">
        <v>44.10162</v>
      </c>
      <c r="AD644" s="83" t="n">
        <v>20.7093</v>
      </c>
      <c r="AE644" s="83" t="n">
        <v>16.60148</v>
      </c>
      <c r="AG644" s="83" t="n">
        <v>25.14957</v>
      </c>
      <c r="AH644" s="83" t="n">
        <v>37.49957</v>
      </c>
      <c r="AJ644" s="83" t="n">
        <v>82.90446</v>
      </c>
      <c r="AK644" s="83" t="n">
        <v>39.94252</v>
      </c>
      <c r="AO644" s="83" t="n">
        <v>24.71745</v>
      </c>
      <c r="AQ644" s="83" t="n">
        <v>46.58696</v>
      </c>
      <c r="AR644" s="83" t="n">
        <v>45.86994</v>
      </c>
      <c r="AS644" s="83" t="n">
        <v>88.70895</v>
      </c>
      <c r="AT644" s="83" t="n">
        <v>30.54515</v>
      </c>
      <c r="AV644" s="83" t="n">
        <v>7.15608</v>
      </c>
      <c r="AZ644" s="83" t="n">
        <v>46.69656</v>
      </c>
      <c r="BA644" s="83" t="n">
        <v>12.88372</v>
      </c>
      <c r="BB644" s="83" t="n">
        <v>50.11042</v>
      </c>
      <c r="BC644" s="83" t="n">
        <v>27.08926</v>
      </c>
      <c r="BD644" s="83" t="n">
        <v>39.58644</v>
      </c>
    </row>
    <row r="645">
      <c r="A645" s="83" t="inlineStr">
        <is>
          <t>2004-12</t>
        </is>
      </c>
      <c r="B645" s="22" t="n">
        <v>38322</v>
      </c>
      <c r="C645" s="22" t="n"/>
      <c r="D645" s="22" t="n"/>
      <c r="E645" s="22" t="n">
        <v>37834</v>
      </c>
      <c r="F645" s="83" t="inlineStr">
        <is>
          <t>2003-08</t>
        </is>
      </c>
      <c r="G645" s="83" t="n">
        <v>31.62392</v>
      </c>
      <c r="I645" s="83" t="n">
        <v>16.65354</v>
      </c>
      <c r="J645" s="83" t="n">
        <v>40.89936</v>
      </c>
      <c r="K645" s="83" t="n">
        <v>57.3092</v>
      </c>
      <c r="L645" s="83" t="n">
        <v>26.90771</v>
      </c>
      <c r="M645" s="83" t="n">
        <v>15.84684</v>
      </c>
      <c r="N645" s="83" t="n">
        <v>20.18749</v>
      </c>
      <c r="O645" s="83" t="n">
        <v>19.83903</v>
      </c>
      <c r="P645" s="83" t="n">
        <v>43.22275</v>
      </c>
      <c r="R645" s="83" t="n">
        <v>46.80818</v>
      </c>
      <c r="S645" s="83" t="n">
        <v>56.84973</v>
      </c>
      <c r="AA645" s="83" t="n">
        <v>47.13161</v>
      </c>
      <c r="AC645" s="83" t="n">
        <v>44.12336</v>
      </c>
      <c r="AD645" s="83" t="n">
        <v>20.88192</v>
      </c>
      <c r="AE645" s="83" t="n">
        <v>16.7388</v>
      </c>
      <c r="AG645" s="83" t="n">
        <v>25.53171</v>
      </c>
      <c r="AH645" s="83" t="n">
        <v>37.85791</v>
      </c>
      <c r="AJ645" s="83" t="n">
        <v>83.1335</v>
      </c>
      <c r="AK645" s="83" t="n">
        <v>40.11639</v>
      </c>
      <c r="AO645" s="83" t="n">
        <v>25.17798</v>
      </c>
      <c r="AQ645" s="83" t="n">
        <v>46.99208</v>
      </c>
      <c r="AR645" s="83" t="n">
        <v>46.21133</v>
      </c>
      <c r="AS645" s="83" t="n">
        <v>89.34896000000001</v>
      </c>
      <c r="AT645" s="83" t="n">
        <v>30.65388</v>
      </c>
      <c r="AV645" s="83" t="n">
        <v>7.48486</v>
      </c>
      <c r="AZ645" s="83" t="n">
        <v>46.54638</v>
      </c>
      <c r="BA645" s="83" t="n">
        <v>12.96383</v>
      </c>
      <c r="BB645" s="83" t="n">
        <v>50.59407</v>
      </c>
      <c r="BC645" s="83" t="n">
        <v>27.10007</v>
      </c>
      <c r="BD645" s="83" t="n">
        <v>39.7575</v>
      </c>
    </row>
    <row r="646">
      <c r="A646" s="83" t="inlineStr">
        <is>
          <t>2005-01</t>
        </is>
      </c>
      <c r="B646" s="22" t="n">
        <v>38353</v>
      </c>
      <c r="C646" s="22" t="n"/>
      <c r="D646" s="22" t="n"/>
      <c r="E646" s="22" t="n">
        <v>37865</v>
      </c>
      <c r="F646" s="83" t="inlineStr">
        <is>
          <t>2003-09</t>
        </is>
      </c>
      <c r="G646" s="83" t="n">
        <v>32.18148</v>
      </c>
      <c r="I646" s="83" t="n">
        <v>16.96867</v>
      </c>
      <c r="J646" s="83" t="n">
        <v>41.07316</v>
      </c>
      <c r="K646" s="83" t="n">
        <v>57.88093</v>
      </c>
      <c r="L646" s="83" t="n">
        <v>27.04711</v>
      </c>
      <c r="M646" s="83" t="n">
        <v>16.0943</v>
      </c>
      <c r="N646" s="83" t="n">
        <v>20.3233</v>
      </c>
      <c r="O646" s="83" t="n">
        <v>20.00916</v>
      </c>
      <c r="P646" s="83" t="n">
        <v>43.41062</v>
      </c>
      <c r="R646" s="83" t="n">
        <v>46.55619</v>
      </c>
      <c r="S646" s="83" t="n">
        <v>56.80082</v>
      </c>
      <c r="AA646" s="83" t="n">
        <v>47.42967</v>
      </c>
      <c r="AC646" s="83" t="n">
        <v>44.42935</v>
      </c>
      <c r="AD646" s="83" t="n">
        <v>21.01863</v>
      </c>
      <c r="AE646" s="83" t="n">
        <v>16.87585</v>
      </c>
      <c r="AG646" s="83" t="n">
        <v>25.94106</v>
      </c>
      <c r="AH646" s="83" t="n">
        <v>38.17586</v>
      </c>
      <c r="AJ646" s="83" t="n">
        <v>83.0108</v>
      </c>
      <c r="AK646" s="83" t="n">
        <v>40.29062</v>
      </c>
      <c r="AO646" s="83" t="n">
        <v>25.41706</v>
      </c>
      <c r="AQ646" s="83" t="n">
        <v>46.92962</v>
      </c>
      <c r="AR646" s="83" t="n">
        <v>46.22318</v>
      </c>
      <c r="AS646" s="83" t="n">
        <v>89.80315</v>
      </c>
      <c r="AT646" s="83" t="n">
        <v>30.86336</v>
      </c>
      <c r="AV646" s="83" t="n">
        <v>7.648009</v>
      </c>
      <c r="AZ646" s="83" t="n">
        <v>46.79406</v>
      </c>
      <c r="BA646" s="83" t="n">
        <v>13.10701</v>
      </c>
      <c r="BB646" s="83" t="n">
        <v>50.36056</v>
      </c>
      <c r="BC646" s="83" t="n">
        <v>27.23716</v>
      </c>
      <c r="BD646" s="83" t="n">
        <v>40.30029</v>
      </c>
    </row>
    <row r="647">
      <c r="A647" s="83" t="inlineStr">
        <is>
          <t>2005-02</t>
        </is>
      </c>
      <c r="B647" s="22" t="n">
        <v>38384</v>
      </c>
      <c r="C647" s="22" t="n"/>
      <c r="D647" s="22" t="n"/>
      <c r="E647" s="22" t="n">
        <v>37895</v>
      </c>
      <c r="F647" s="83" t="inlineStr">
        <is>
          <t>2003-10</t>
        </is>
      </c>
      <c r="G647" s="83" t="n">
        <v>32.50649</v>
      </c>
      <c r="I647" s="83" t="n">
        <v>17.24505</v>
      </c>
      <c r="J647" s="83" t="n">
        <v>41.27275</v>
      </c>
      <c r="K647" s="83" t="n">
        <v>58.31902</v>
      </c>
      <c r="L647" s="83" t="n">
        <v>27.03794</v>
      </c>
      <c r="M647" s="83" t="n">
        <v>16.30474</v>
      </c>
      <c r="N647" s="83" t="n">
        <v>20.32869</v>
      </c>
      <c r="O647" s="83" t="n">
        <v>20.17421</v>
      </c>
      <c r="P647" s="83" t="n">
        <v>43.43303</v>
      </c>
      <c r="R647" s="83" t="n">
        <v>47.45485</v>
      </c>
      <c r="S647" s="83" t="n">
        <v>56.99654</v>
      </c>
      <c r="AA647" s="83" t="n">
        <v>47.78901</v>
      </c>
      <c r="AC647" s="83" t="n">
        <v>45.196</v>
      </c>
      <c r="AD647" s="83" t="n">
        <v>21.1572</v>
      </c>
      <c r="AE647" s="83" t="n">
        <v>17.10302</v>
      </c>
      <c r="AG647" s="83" t="n">
        <v>26.35884</v>
      </c>
      <c r="AH647" s="83" t="n">
        <v>38.40533</v>
      </c>
      <c r="AJ647" s="83" t="n">
        <v>83.0517</v>
      </c>
      <c r="AK647" s="83" t="n">
        <v>40.4411</v>
      </c>
      <c r="AO647" s="83" t="n">
        <v>25.48916</v>
      </c>
      <c r="AQ647" s="83" t="n">
        <v>46.93705</v>
      </c>
      <c r="AR647" s="83" t="n">
        <v>46.3456</v>
      </c>
      <c r="AS647" s="83" t="n">
        <v>90.19627</v>
      </c>
      <c r="AT647" s="83" t="n">
        <v>31.17385</v>
      </c>
      <c r="AV647" s="83" t="n">
        <v>7.910292</v>
      </c>
      <c r="AZ647" s="83" t="n">
        <v>47.16284</v>
      </c>
      <c r="BA647" s="83" t="n">
        <v>13.56899</v>
      </c>
      <c r="BB647" s="83" t="n">
        <v>50.2841</v>
      </c>
      <c r="BC647" s="83" t="n">
        <v>27.59534</v>
      </c>
      <c r="BD647" s="83" t="n">
        <v>41.1644</v>
      </c>
    </row>
    <row r="648">
      <c r="A648" s="83" t="inlineStr">
        <is>
          <t>2005-03</t>
        </is>
      </c>
      <c r="B648" s="22" t="n">
        <v>38412</v>
      </c>
      <c r="C648" s="22" t="n"/>
      <c r="D648" s="22" t="n"/>
      <c r="E648" s="22" t="n">
        <v>37926</v>
      </c>
      <c r="F648" s="83" t="inlineStr">
        <is>
          <t>2003-11</t>
        </is>
      </c>
      <c r="G648" s="83" t="n">
        <v>32.76986</v>
      </c>
      <c r="I648" s="83" t="n">
        <v>17.59354</v>
      </c>
      <c r="J648" s="83" t="n">
        <v>41.68337</v>
      </c>
      <c r="K648" s="83" t="n">
        <v>58.23829</v>
      </c>
      <c r="L648" s="83" t="n">
        <v>26.89993</v>
      </c>
      <c r="M648" s="83" t="n">
        <v>16.50522</v>
      </c>
      <c r="N648" s="83" t="n">
        <v>20.38209</v>
      </c>
      <c r="O648" s="83" t="n">
        <v>20.48746</v>
      </c>
      <c r="P648" s="83" t="n">
        <v>43.70603</v>
      </c>
      <c r="R648" s="83" t="n">
        <v>48.99732</v>
      </c>
      <c r="S648" s="83" t="n">
        <v>57.47628</v>
      </c>
      <c r="AA648" s="83" t="n">
        <v>48.2095</v>
      </c>
      <c r="AC648" s="83" t="n">
        <v>45.81691</v>
      </c>
      <c r="AD648" s="83" t="n">
        <v>21.42838</v>
      </c>
      <c r="AE648" s="83" t="n">
        <v>17.32626</v>
      </c>
      <c r="AG648" s="83" t="n">
        <v>26.74733</v>
      </c>
      <c r="AH648" s="83" t="n">
        <v>38.61375</v>
      </c>
      <c r="AJ648" s="83" t="n">
        <v>83.08441999999999</v>
      </c>
      <c r="AK648" s="83" t="n">
        <v>40.47655</v>
      </c>
      <c r="AO648" s="83" t="n">
        <v>25.35578</v>
      </c>
      <c r="AQ648" s="83" t="n">
        <v>47.17633</v>
      </c>
      <c r="AR648" s="83" t="n">
        <v>46.51118</v>
      </c>
      <c r="AS648" s="83" t="n">
        <v>90.70366</v>
      </c>
      <c r="AT648" s="83" t="n">
        <v>31.47654</v>
      </c>
      <c r="AV648" s="83" t="n">
        <v>8.087740999999999</v>
      </c>
      <c r="AZ648" s="83" t="n">
        <v>47.45575</v>
      </c>
      <c r="BA648" s="83" t="n">
        <v>14.05024</v>
      </c>
      <c r="BB648" s="83" t="n">
        <v>50.32732</v>
      </c>
      <c r="BC648" s="83" t="n">
        <v>27.86004</v>
      </c>
      <c r="BD648" s="83" t="n">
        <v>41.87666</v>
      </c>
    </row>
    <row r="649">
      <c r="A649" s="83" t="inlineStr">
        <is>
          <t>2005-04</t>
        </is>
      </c>
      <c r="B649" s="22" t="n">
        <v>38443</v>
      </c>
      <c r="C649" s="22" t="n"/>
      <c r="D649" s="22" t="n"/>
      <c r="E649" s="22" t="n">
        <v>37956</v>
      </c>
      <c r="F649" s="83" t="inlineStr">
        <is>
          <t>2003-12</t>
        </is>
      </c>
      <c r="G649" s="83" t="n">
        <v>33.10047</v>
      </c>
      <c r="I649" s="83" t="n">
        <v>18.00484</v>
      </c>
      <c r="J649" s="83" t="n">
        <v>41.79007</v>
      </c>
      <c r="K649" s="83" t="n">
        <v>58.1003</v>
      </c>
      <c r="L649" s="83" t="n">
        <v>26.93054</v>
      </c>
      <c r="M649" s="83" t="n">
        <v>16.66751</v>
      </c>
      <c r="N649" s="83" t="n">
        <v>20.67949</v>
      </c>
      <c r="O649" s="83" t="n">
        <v>21.25356</v>
      </c>
      <c r="P649" s="83" t="n">
        <v>44.10286</v>
      </c>
      <c r="R649" s="83" t="n">
        <v>48.28476</v>
      </c>
      <c r="S649" s="83" t="n">
        <v>58.00396</v>
      </c>
      <c r="AA649" s="83" t="n">
        <v>48.84501</v>
      </c>
      <c r="AC649" s="83" t="n">
        <v>46.08216</v>
      </c>
      <c r="AD649" s="83" t="n">
        <v>21.55904</v>
      </c>
      <c r="AE649" s="83" t="n">
        <v>17.51785</v>
      </c>
      <c r="AG649" s="83" t="n">
        <v>27.09871</v>
      </c>
      <c r="AH649" s="83" t="n">
        <v>38.6646</v>
      </c>
      <c r="AJ649" s="83" t="n">
        <v>83.12532</v>
      </c>
      <c r="AK649" s="83" t="n">
        <v>40.57589</v>
      </c>
      <c r="AO649" s="83" t="n">
        <v>25.73104</v>
      </c>
      <c r="AQ649" s="83" t="n">
        <v>47.13068</v>
      </c>
      <c r="AR649" s="83" t="n">
        <v>46.64612</v>
      </c>
      <c r="AS649" s="83" t="n">
        <v>91.11848000000001</v>
      </c>
      <c r="AT649" s="83" t="n">
        <v>31.60649</v>
      </c>
      <c r="AV649" s="83" t="n">
        <v>7.919743</v>
      </c>
      <c r="AZ649" s="83" t="n">
        <v>47.75187</v>
      </c>
      <c r="BA649" s="83" t="n">
        <v>14.27344</v>
      </c>
      <c r="BB649" s="83" t="n">
        <v>50.31153</v>
      </c>
      <c r="BC649" s="83" t="n">
        <v>27.99366</v>
      </c>
      <c r="BD649" s="83" t="n">
        <v>42.42301</v>
      </c>
    </row>
    <row r="650">
      <c r="A650" s="83" t="inlineStr">
        <is>
          <t>2005-05</t>
        </is>
      </c>
      <c r="B650" s="22" t="n">
        <v>38473</v>
      </c>
      <c r="C650" s="22" t="n"/>
      <c r="D650" s="22" t="n"/>
      <c r="E650" s="22" t="n">
        <v>37987</v>
      </c>
      <c r="F650" s="83" t="inlineStr">
        <is>
          <t>2004-01</t>
        </is>
      </c>
      <c r="G650" s="83" t="n">
        <v>33.33022</v>
      </c>
      <c r="I650" s="83" t="n">
        <v>18.34694</v>
      </c>
      <c r="J650" s="83" t="n">
        <v>42.54859</v>
      </c>
      <c r="K650" s="83" t="n">
        <v>58.35253</v>
      </c>
      <c r="L650" s="83" t="n">
        <v>27.06888</v>
      </c>
      <c r="M650" s="83" t="n">
        <v>16.87099</v>
      </c>
      <c r="N650" s="83" t="n">
        <v>21.03142</v>
      </c>
      <c r="O650" s="83" t="n">
        <v>21.817</v>
      </c>
      <c r="P650" s="83" t="n">
        <v>44.23612</v>
      </c>
      <c r="R650" s="83" t="n">
        <v>49.14007</v>
      </c>
      <c r="S650" s="83" t="n">
        <v>58.25239</v>
      </c>
      <c r="AA650" s="83" t="n">
        <v>49.91888</v>
      </c>
      <c r="AC650" s="83" t="n">
        <v>46.69782</v>
      </c>
      <c r="AD650" s="83" t="n">
        <v>21.51542</v>
      </c>
      <c r="AE650" s="83" t="n">
        <v>17.76559</v>
      </c>
      <c r="AG650" s="83" t="n">
        <v>27.46705</v>
      </c>
      <c r="AH650" s="83" t="n">
        <v>38.81371</v>
      </c>
      <c r="AJ650" s="83" t="n">
        <v>83.23166000000001</v>
      </c>
      <c r="AK650" s="83" t="n">
        <v>40.95565</v>
      </c>
      <c r="AO650" s="83" t="n">
        <v>26.22403</v>
      </c>
      <c r="AQ650" s="83" t="n">
        <v>47.23695</v>
      </c>
      <c r="AR650" s="83" t="n">
        <v>46.91821</v>
      </c>
      <c r="AS650" s="83" t="n">
        <v>91.7316</v>
      </c>
      <c r="AT650" s="83" t="n">
        <v>31.6207</v>
      </c>
      <c r="AV650" s="83" t="n">
        <v>8.318012</v>
      </c>
      <c r="AZ650" s="83" t="n">
        <v>47.78617</v>
      </c>
      <c r="BA650" s="83" t="n">
        <v>14.53837</v>
      </c>
      <c r="BB650" s="83" t="n">
        <v>50.38216</v>
      </c>
      <c r="BC650" s="83" t="n">
        <v>28.16801</v>
      </c>
      <c r="BD650" s="83" t="n">
        <v>42.8866</v>
      </c>
    </row>
    <row r="651">
      <c r="A651" s="83" t="inlineStr">
        <is>
          <t>2005-06</t>
        </is>
      </c>
      <c r="B651" s="22" t="n">
        <v>38504</v>
      </c>
      <c r="C651" s="22" t="n"/>
      <c r="D651" s="22" t="n"/>
      <c r="E651" s="22" t="n">
        <v>38018</v>
      </c>
      <c r="F651" s="83" t="inlineStr">
        <is>
          <t>2004-02</t>
        </is>
      </c>
      <c r="G651" s="83" t="n">
        <v>33.59919</v>
      </c>
      <c r="I651" s="83" t="n">
        <v>18.58755</v>
      </c>
      <c r="J651" s="83" t="n">
        <v>42.75826</v>
      </c>
      <c r="K651" s="83" t="n">
        <v>58.67065</v>
      </c>
      <c r="L651" s="83" t="n">
        <v>27.16747</v>
      </c>
      <c r="M651" s="83" t="n">
        <v>17.11082</v>
      </c>
      <c r="N651" s="83" t="n">
        <v>21.27406</v>
      </c>
      <c r="O651" s="83" t="n">
        <v>21.78977</v>
      </c>
      <c r="P651" s="83" t="n">
        <v>44.22281</v>
      </c>
      <c r="R651" s="83" t="n">
        <v>51.41348</v>
      </c>
      <c r="S651" s="83" t="n">
        <v>58.33032</v>
      </c>
      <c r="AA651" s="83" t="n">
        <v>50.39611</v>
      </c>
      <c r="AC651" s="83" t="n">
        <v>47.23122</v>
      </c>
      <c r="AD651" s="83" t="n">
        <v>21.48142</v>
      </c>
      <c r="AE651" s="83" t="n">
        <v>18.03639</v>
      </c>
      <c r="AG651" s="83" t="n">
        <v>27.84657</v>
      </c>
      <c r="AH651" s="83" t="n">
        <v>38.97455</v>
      </c>
      <c r="AJ651" s="83" t="n">
        <v>83.3789</v>
      </c>
      <c r="AK651" s="83" t="n">
        <v>41.28659</v>
      </c>
      <c r="AO651" s="83" t="n">
        <v>26.27566</v>
      </c>
      <c r="AQ651" s="83" t="n">
        <v>47.41785</v>
      </c>
      <c r="AR651" s="83" t="n">
        <v>47.21873</v>
      </c>
      <c r="AS651" s="83" t="n">
        <v>92.4688</v>
      </c>
      <c r="AT651" s="83" t="n">
        <v>31.67077</v>
      </c>
      <c r="AV651" s="83" t="n">
        <v>8.796249</v>
      </c>
      <c r="AZ651" s="83" t="n">
        <v>47.80943</v>
      </c>
      <c r="BA651" s="83" t="n">
        <v>14.88588</v>
      </c>
      <c r="BB651" s="83" t="n">
        <v>50.70543</v>
      </c>
      <c r="BC651" s="83" t="n">
        <v>28.79644</v>
      </c>
      <c r="BD651" s="83" t="n">
        <v>43.29431</v>
      </c>
    </row>
    <row r="652">
      <c r="A652" s="83" t="inlineStr">
        <is>
          <t>2005-07</t>
        </is>
      </c>
      <c r="B652" s="22" t="n">
        <v>38534</v>
      </c>
      <c r="C652" s="22" t="n"/>
      <c r="D652" s="22" t="n"/>
      <c r="E652" s="22" t="n">
        <v>38047</v>
      </c>
      <c r="F652" s="83" t="inlineStr">
        <is>
          <t>2004-03</t>
        </is>
      </c>
      <c r="G652" s="83" t="n">
        <v>34.01946</v>
      </c>
      <c r="I652" s="83" t="n">
        <v>18.82639</v>
      </c>
      <c r="J652" s="83" t="n">
        <v>43.12152</v>
      </c>
      <c r="K652" s="83" t="n">
        <v>58.65459</v>
      </c>
      <c r="L652" s="83" t="n">
        <v>27.50583</v>
      </c>
      <c r="M652" s="83" t="n">
        <v>17.34709</v>
      </c>
      <c r="N652" s="83" t="n">
        <v>21.53016</v>
      </c>
      <c r="O652" s="83" t="n">
        <v>21.7931</v>
      </c>
      <c r="P652" s="83" t="n">
        <v>44.32655</v>
      </c>
      <c r="R652" s="83" t="n">
        <v>51.95177</v>
      </c>
      <c r="S652" s="83" t="n">
        <v>58.58255</v>
      </c>
      <c r="AA652" s="83" t="n">
        <v>50.4013</v>
      </c>
      <c r="AC652" s="83" t="n">
        <v>47.10404</v>
      </c>
      <c r="AD652" s="83" t="n">
        <v>21.5072</v>
      </c>
      <c r="AE652" s="83" t="n">
        <v>18.31292</v>
      </c>
      <c r="AG652" s="83" t="n">
        <v>28.19962</v>
      </c>
      <c r="AH652" s="83" t="n">
        <v>39.0841</v>
      </c>
      <c r="AJ652" s="83" t="n">
        <v>83.45252000000001</v>
      </c>
      <c r="AK652" s="83" t="n">
        <v>41.51675</v>
      </c>
      <c r="AO652" s="83" t="n">
        <v>26.36745</v>
      </c>
      <c r="AQ652" s="83" t="n">
        <v>47.74495</v>
      </c>
      <c r="AR652" s="83" t="n">
        <v>47.45515</v>
      </c>
      <c r="AS652" s="83" t="n">
        <v>92.54042</v>
      </c>
      <c r="AT652" s="83" t="n">
        <v>31.83132</v>
      </c>
      <c r="AV652" s="83" t="n">
        <v>8.899461000000001</v>
      </c>
      <c r="AZ652" s="83" t="n">
        <v>47.71036</v>
      </c>
      <c r="BA652" s="83" t="n">
        <v>15.10175</v>
      </c>
      <c r="BB652" s="83" t="n">
        <v>51.00294</v>
      </c>
      <c r="BC652" s="83" t="n">
        <v>29.21763</v>
      </c>
      <c r="BD652" s="83" t="n">
        <v>43.56604</v>
      </c>
    </row>
    <row r="653">
      <c r="A653" s="83" t="inlineStr">
        <is>
          <t>2005-08</t>
        </is>
      </c>
      <c r="B653" s="22" t="n">
        <v>38565</v>
      </c>
      <c r="C653" s="22" t="n"/>
      <c r="D653" s="22" t="n"/>
      <c r="E653" s="22" t="n">
        <v>38078</v>
      </c>
      <c r="F653" s="83" t="inlineStr">
        <is>
          <t>2004-04</t>
        </is>
      </c>
      <c r="G653" s="83" t="n">
        <v>34.36689</v>
      </c>
      <c r="I653" s="83" t="n">
        <v>19.10639</v>
      </c>
      <c r="J653" s="83" t="n">
        <v>43.49611</v>
      </c>
      <c r="K653" s="83" t="n">
        <v>58.57373</v>
      </c>
      <c r="L653" s="83" t="n">
        <v>27.78836</v>
      </c>
      <c r="M653" s="83" t="n">
        <v>17.57677</v>
      </c>
      <c r="N653" s="83" t="n">
        <v>21.70194</v>
      </c>
      <c r="O653" s="83" t="n">
        <v>22.22787</v>
      </c>
      <c r="P653" s="83" t="n">
        <v>44.8116</v>
      </c>
      <c r="R653" s="83" t="n">
        <v>52.45382</v>
      </c>
      <c r="S653" s="83" t="n">
        <v>58.97062</v>
      </c>
      <c r="AA653" s="83" t="n">
        <v>50.83995</v>
      </c>
      <c r="AC653" s="83" t="n">
        <v>47.33007</v>
      </c>
      <c r="AD653" s="83" t="n">
        <v>21.58955</v>
      </c>
      <c r="AE653" s="83" t="n">
        <v>18.57175</v>
      </c>
      <c r="AG653" s="83" t="n">
        <v>28.57566</v>
      </c>
      <c r="AH653" s="83" t="n">
        <v>39.45908</v>
      </c>
      <c r="AJ653" s="83" t="n">
        <v>83.47705999999999</v>
      </c>
      <c r="AK653" s="83" t="n">
        <v>41.81051</v>
      </c>
      <c r="AO653" s="83" t="n">
        <v>26.44096</v>
      </c>
      <c r="AQ653" s="83" t="n">
        <v>48.22031</v>
      </c>
      <c r="AR653" s="83" t="n">
        <v>47.76309</v>
      </c>
      <c r="AS653" s="83" t="n">
        <v>92.53149000000001</v>
      </c>
      <c r="AT653" s="83" t="n">
        <v>32.35956</v>
      </c>
      <c r="AV653" s="83" t="n">
        <v>9.189859999999999</v>
      </c>
      <c r="AZ653" s="83" t="n">
        <v>47.5995</v>
      </c>
      <c r="BA653" s="83" t="n">
        <v>15.48062</v>
      </c>
      <c r="BB653" s="83" t="n">
        <v>51.34365</v>
      </c>
      <c r="BC653" s="83" t="n">
        <v>29.36965</v>
      </c>
      <c r="BD653" s="83" t="n">
        <v>43.70331</v>
      </c>
    </row>
    <row r="654">
      <c r="A654" s="83" t="inlineStr">
        <is>
          <t>2005-09</t>
        </is>
      </c>
      <c r="B654" s="22" t="n">
        <v>38596</v>
      </c>
      <c r="C654" s="22" t="n"/>
      <c r="D654" s="22" t="n"/>
      <c r="E654" s="22" t="n">
        <v>38108</v>
      </c>
      <c r="F654" s="83" t="inlineStr">
        <is>
          <t>2004-05</t>
        </is>
      </c>
      <c r="G654" s="83" t="n">
        <v>34.535</v>
      </c>
      <c r="I654" s="83" t="n">
        <v>19.61511</v>
      </c>
      <c r="J654" s="83" t="n">
        <v>44.04671</v>
      </c>
      <c r="K654" s="83" t="n">
        <v>58.72566</v>
      </c>
      <c r="L654" s="83" t="n">
        <v>27.87139</v>
      </c>
      <c r="M654" s="83" t="n">
        <v>17.7709</v>
      </c>
      <c r="N654" s="83" t="n">
        <v>21.70428</v>
      </c>
      <c r="O654" s="83" t="n">
        <v>23.43035</v>
      </c>
      <c r="P654" s="83" t="n">
        <v>45.35804</v>
      </c>
      <c r="R654" s="83" t="n">
        <v>52.95974</v>
      </c>
      <c r="S654" s="83" t="n">
        <v>59.33781</v>
      </c>
      <c r="AA654" s="83" t="n">
        <v>51.00439</v>
      </c>
      <c r="AC654" s="83" t="n">
        <v>47.78855</v>
      </c>
      <c r="AD654" s="83" t="n">
        <v>21.84179</v>
      </c>
      <c r="AE654" s="83" t="n">
        <v>18.75677</v>
      </c>
      <c r="AG654" s="83" t="n">
        <v>28.97564</v>
      </c>
      <c r="AH654" s="83" t="n">
        <v>39.86755</v>
      </c>
      <c r="AJ654" s="83" t="n">
        <v>83.69792</v>
      </c>
      <c r="AK654" s="83" t="n">
        <v>42.03529</v>
      </c>
      <c r="AO654" s="83" t="n">
        <v>26.41368</v>
      </c>
      <c r="AQ654" s="83" t="n">
        <v>48.5811</v>
      </c>
      <c r="AR654" s="83" t="n">
        <v>48.21339</v>
      </c>
      <c r="AS654" s="83" t="n">
        <v>92.6925</v>
      </c>
      <c r="AT654" s="83" t="n">
        <v>32.51569</v>
      </c>
      <c r="AV654" s="83" t="n">
        <v>9.447452999999999</v>
      </c>
      <c r="AZ654" s="83" t="n">
        <v>47.63603</v>
      </c>
      <c r="BA654" s="83" t="n">
        <v>16.11405</v>
      </c>
      <c r="BB654" s="83" t="n">
        <v>51.98021</v>
      </c>
      <c r="BC654" s="83" t="n">
        <v>29.51685</v>
      </c>
      <c r="BD654" s="83" t="n">
        <v>44.29564</v>
      </c>
    </row>
    <row r="655">
      <c r="A655" s="83" t="inlineStr">
        <is>
          <t>2005-10</t>
        </is>
      </c>
      <c r="B655" s="22" t="n">
        <v>38626</v>
      </c>
      <c r="C655" s="22" t="n"/>
      <c r="D655" s="22" t="n"/>
      <c r="E655" s="22" t="n">
        <v>38139</v>
      </c>
      <c r="F655" s="83" t="inlineStr">
        <is>
          <t>2004-06</t>
        </is>
      </c>
      <c r="G655" s="83" t="n">
        <v>34.68069</v>
      </c>
      <c r="I655" s="83" t="n">
        <v>20.10039</v>
      </c>
      <c r="J655" s="83" t="n">
        <v>43.92104</v>
      </c>
      <c r="K655" s="83" t="n">
        <v>58.76662</v>
      </c>
      <c r="L655" s="83" t="n">
        <v>28.09697</v>
      </c>
      <c r="M655" s="83" t="n">
        <v>17.90881</v>
      </c>
      <c r="N655" s="83" t="n">
        <v>22.14478</v>
      </c>
      <c r="O655" s="83" t="n">
        <v>24.30374</v>
      </c>
      <c r="P655" s="83" t="n">
        <v>45.50792</v>
      </c>
      <c r="R655" s="83" t="n">
        <v>52.73102</v>
      </c>
      <c r="S655" s="83" t="n">
        <v>59.59441</v>
      </c>
      <c r="AA655" s="83" t="n">
        <v>51.33393</v>
      </c>
      <c r="AC655" s="83" t="n">
        <v>48.26015</v>
      </c>
      <c r="AD655" s="83" t="n">
        <v>22.27281</v>
      </c>
      <c r="AE655" s="83" t="n">
        <v>18.88158</v>
      </c>
      <c r="AG655" s="83" t="n">
        <v>29.34883</v>
      </c>
      <c r="AH655" s="83" t="n">
        <v>40.1722</v>
      </c>
      <c r="AJ655" s="83" t="n">
        <v>83.68974</v>
      </c>
      <c r="AK655" s="83" t="n">
        <v>42.20491</v>
      </c>
      <c r="AO655" s="83" t="n">
        <v>26.67652</v>
      </c>
      <c r="AQ655" s="83" t="n">
        <v>48.82048</v>
      </c>
      <c r="AR655" s="83" t="n">
        <v>48.31355</v>
      </c>
      <c r="AS655" s="83" t="n">
        <v>92.90208</v>
      </c>
      <c r="AT655" s="83" t="n">
        <v>32.52868</v>
      </c>
      <c r="AV655" s="83" t="n">
        <v>9.536733</v>
      </c>
      <c r="AZ655" s="83" t="n">
        <v>47.32349</v>
      </c>
      <c r="BA655" s="83" t="n">
        <v>16.34474</v>
      </c>
      <c r="BB655" s="83" t="n">
        <v>51.99933</v>
      </c>
      <c r="BC655" s="83" t="n">
        <v>29.69201</v>
      </c>
      <c r="BD655" s="83" t="n">
        <v>44.48297</v>
      </c>
    </row>
    <row r="656">
      <c r="A656" s="83" t="inlineStr">
        <is>
          <t>2005-11</t>
        </is>
      </c>
      <c r="B656" s="22" t="n">
        <v>38657</v>
      </c>
      <c r="C656" s="22" t="n"/>
      <c r="D656" s="22" t="n"/>
      <c r="E656" s="22" t="n">
        <v>38169</v>
      </c>
      <c r="F656" s="83" t="inlineStr">
        <is>
          <t>2004-07</t>
        </is>
      </c>
      <c r="G656" s="83" t="n">
        <v>35.0141</v>
      </c>
      <c r="I656" s="83" t="n">
        <v>20.30591</v>
      </c>
      <c r="J656" s="83" t="n">
        <v>44.18815</v>
      </c>
      <c r="K656" s="83" t="n">
        <v>58.59505</v>
      </c>
      <c r="L656" s="83" t="n">
        <v>28.38592</v>
      </c>
      <c r="M656" s="83" t="n">
        <v>18.04361</v>
      </c>
      <c r="N656" s="83" t="n">
        <v>22.60496</v>
      </c>
      <c r="O656" s="83" t="n">
        <v>24.54294</v>
      </c>
      <c r="P656" s="83" t="n">
        <v>45.77584</v>
      </c>
      <c r="R656" s="83" t="n">
        <v>52.73014</v>
      </c>
      <c r="S656" s="83" t="n">
        <v>59.87025</v>
      </c>
      <c r="AA656" s="83" t="n">
        <v>51.74963</v>
      </c>
      <c r="AC656" s="83" t="n">
        <v>48.93417</v>
      </c>
      <c r="AD656" s="83" t="n">
        <v>22.48646</v>
      </c>
      <c r="AE656" s="83" t="n">
        <v>18.9977</v>
      </c>
      <c r="AG656" s="83" t="n">
        <v>29.70762</v>
      </c>
      <c r="AH656" s="83" t="n">
        <v>40.46872</v>
      </c>
      <c r="AJ656" s="83" t="n">
        <v>83.85334</v>
      </c>
      <c r="AK656" s="83" t="n">
        <v>42.46965</v>
      </c>
      <c r="AO656" s="83" t="n">
        <v>26.86992</v>
      </c>
      <c r="AQ656" s="83" t="n">
        <v>48.97151</v>
      </c>
      <c r="AR656" s="83" t="n">
        <v>48.47544</v>
      </c>
      <c r="AS656" s="83" t="n">
        <v>93.43043</v>
      </c>
      <c r="AT656" s="83" t="n">
        <v>32.83386</v>
      </c>
      <c r="AV656" s="83" t="n">
        <v>9.751438</v>
      </c>
      <c r="AZ656" s="83" t="n">
        <v>47.42359</v>
      </c>
      <c r="BA656" s="83" t="n">
        <v>16.2727</v>
      </c>
      <c r="BB656" s="83" t="n">
        <v>52.11318</v>
      </c>
      <c r="BC656" s="83" t="n">
        <v>29.98459</v>
      </c>
      <c r="BD656" s="83" t="n">
        <v>44.15567</v>
      </c>
    </row>
    <row r="657">
      <c r="A657" s="83" t="inlineStr">
        <is>
          <t>2005-12</t>
        </is>
      </c>
      <c r="B657" s="22" t="n">
        <v>38687</v>
      </c>
      <c r="C657" s="22" t="n"/>
      <c r="D657" s="22" t="n"/>
      <c r="E657" s="22" t="n">
        <v>38200</v>
      </c>
      <c r="F657" s="83" t="inlineStr">
        <is>
          <t>2004-08</t>
        </is>
      </c>
      <c r="G657" s="83" t="n">
        <v>35.30549</v>
      </c>
      <c r="I657" s="83" t="n">
        <v>20.5185</v>
      </c>
      <c r="J657" s="83" t="n">
        <v>44.56568</v>
      </c>
      <c r="K657" s="83" t="n">
        <v>58.66933</v>
      </c>
      <c r="L657" s="83" t="n">
        <v>28.68393</v>
      </c>
      <c r="M657" s="83" t="n">
        <v>18.17476</v>
      </c>
      <c r="N657" s="83" t="n">
        <v>22.73686</v>
      </c>
      <c r="O657" s="83" t="n">
        <v>25.02773</v>
      </c>
      <c r="P657" s="83" t="n">
        <v>46.17813</v>
      </c>
      <c r="R657" s="83" t="n">
        <v>53.28978</v>
      </c>
      <c r="S657" s="83" t="n">
        <v>59.92379</v>
      </c>
      <c r="AA657" s="83" t="n">
        <v>52.08087</v>
      </c>
      <c r="AC657" s="83" t="n">
        <v>49.5841</v>
      </c>
      <c r="AD657" s="83" t="n">
        <v>22.61005</v>
      </c>
      <c r="AE657" s="83" t="n">
        <v>19.14314</v>
      </c>
      <c r="AG657" s="83" t="n">
        <v>30.0749</v>
      </c>
      <c r="AH657" s="83" t="n">
        <v>40.82633</v>
      </c>
      <c r="AJ657" s="83" t="n">
        <v>84.05785</v>
      </c>
      <c r="AK657" s="83" t="n">
        <v>42.699</v>
      </c>
      <c r="AO657" s="83" t="n">
        <v>26.8519</v>
      </c>
      <c r="AQ657" s="83" t="n">
        <v>49.02152</v>
      </c>
      <c r="AR657" s="83" t="n">
        <v>48.71236</v>
      </c>
      <c r="AS657" s="83" t="n">
        <v>94.0915</v>
      </c>
      <c r="AT657" s="83" t="n">
        <v>33.0296</v>
      </c>
      <c r="AV657" s="83" t="n">
        <v>10.06012</v>
      </c>
      <c r="AZ657" s="83" t="n">
        <v>47.90796</v>
      </c>
      <c r="BA657" s="83" t="n">
        <v>16.54558</v>
      </c>
      <c r="BB657" s="83" t="n">
        <v>52.33007</v>
      </c>
      <c r="BC657" s="83" t="n">
        <v>30.53362</v>
      </c>
      <c r="BD657" s="83" t="n">
        <v>44.10348</v>
      </c>
    </row>
    <row r="658">
      <c r="A658" s="83" t="inlineStr">
        <is>
          <t>2006-01</t>
        </is>
      </c>
      <c r="B658" s="22" t="n">
        <v>38718</v>
      </c>
      <c r="C658" s="22" t="n"/>
      <c r="D658" s="22" t="n"/>
      <c r="E658" s="22" t="n">
        <v>38231</v>
      </c>
      <c r="F658" s="83" t="inlineStr">
        <is>
          <t>2004-09</t>
        </is>
      </c>
      <c r="G658" s="83" t="n">
        <v>35.40635</v>
      </c>
      <c r="I658" s="83" t="n">
        <v>20.72842</v>
      </c>
      <c r="J658" s="83" t="n">
        <v>44.77949</v>
      </c>
      <c r="K658" s="83" t="n">
        <v>58.75826</v>
      </c>
      <c r="L658" s="83" t="n">
        <v>29.03675</v>
      </c>
      <c r="M658" s="83" t="n">
        <v>18.34886</v>
      </c>
      <c r="N658" s="83" t="n">
        <v>23.0986</v>
      </c>
      <c r="O658" s="83" t="n">
        <v>25.3879</v>
      </c>
      <c r="P658" s="83" t="n">
        <v>46.40273</v>
      </c>
      <c r="R658" s="83" t="n">
        <v>53.2958</v>
      </c>
      <c r="S658" s="83" t="n">
        <v>59.99165</v>
      </c>
      <c r="AA658" s="83" t="n">
        <v>52.34302</v>
      </c>
      <c r="AC658" s="83" t="n">
        <v>50.01949</v>
      </c>
      <c r="AD658" s="83" t="n">
        <v>22.74046</v>
      </c>
      <c r="AE658" s="83" t="n">
        <v>19.27585</v>
      </c>
      <c r="AG658" s="83" t="n">
        <v>30.43938</v>
      </c>
      <c r="AH658" s="83" t="n">
        <v>41.10601</v>
      </c>
      <c r="AJ658" s="83" t="n">
        <v>83.92695999999999</v>
      </c>
      <c r="AK658" s="83" t="n">
        <v>42.84297</v>
      </c>
      <c r="AO658" s="83" t="n">
        <v>26.92208</v>
      </c>
      <c r="AQ658" s="83" t="n">
        <v>49.16752</v>
      </c>
      <c r="AR658" s="83" t="n">
        <v>48.93975</v>
      </c>
      <c r="AS658" s="83" t="n">
        <v>94.74718</v>
      </c>
      <c r="AT658" s="83" t="n">
        <v>33.24492</v>
      </c>
      <c r="AV658" s="83" t="n">
        <v>10.13234</v>
      </c>
      <c r="AZ658" s="83" t="n">
        <v>48.42654</v>
      </c>
      <c r="BA658" s="83" t="n">
        <v>16.8805</v>
      </c>
      <c r="BB658" s="83" t="n">
        <v>52.6176</v>
      </c>
      <c r="BC658" s="83" t="n">
        <v>31.29763</v>
      </c>
      <c r="BD658" s="83" t="n">
        <v>43.88992</v>
      </c>
    </row>
    <row r="659">
      <c r="A659" s="83" t="inlineStr">
        <is>
          <t>2006-02</t>
        </is>
      </c>
      <c r="B659" s="22" t="n">
        <v>38749</v>
      </c>
      <c r="C659" s="22" t="n"/>
      <c r="D659" s="22" t="n"/>
      <c r="E659" s="22" t="n">
        <v>38261</v>
      </c>
      <c r="F659" s="83" t="inlineStr">
        <is>
          <t>2004-10</t>
        </is>
      </c>
      <c r="G659" s="83" t="n">
        <v>35.54084</v>
      </c>
      <c r="I659" s="83" t="n">
        <v>20.94284</v>
      </c>
      <c r="J659" s="83" t="n">
        <v>45.22706</v>
      </c>
      <c r="K659" s="83" t="n">
        <v>58.69308</v>
      </c>
      <c r="L659" s="83" t="n">
        <v>29.4129</v>
      </c>
      <c r="M659" s="83" t="n">
        <v>18.57358</v>
      </c>
      <c r="N659" s="83" t="n">
        <v>23.42534</v>
      </c>
      <c r="O659" s="83" t="n">
        <v>25.75056</v>
      </c>
      <c r="P659" s="83" t="n">
        <v>46.63136</v>
      </c>
      <c r="R659" s="83" t="n">
        <v>53.30204</v>
      </c>
      <c r="S659" s="83" t="n">
        <v>60.41855</v>
      </c>
      <c r="AA659" s="83" t="n">
        <v>52.56202</v>
      </c>
      <c r="AC659" s="83" t="n">
        <v>50.35606</v>
      </c>
      <c r="AD659" s="83" t="n">
        <v>22.79824</v>
      </c>
      <c r="AE659" s="83" t="n">
        <v>19.43704</v>
      </c>
      <c r="AG659" s="83" t="n">
        <v>30.81153</v>
      </c>
      <c r="AH659" s="83" t="n">
        <v>41.46703</v>
      </c>
      <c r="AJ659" s="83" t="n">
        <v>83.94332</v>
      </c>
      <c r="AK659" s="83" t="n">
        <v>43.05806</v>
      </c>
      <c r="AO659" s="83" t="n">
        <v>27.21833</v>
      </c>
      <c r="AQ659" s="83" t="n">
        <v>49.40528</v>
      </c>
      <c r="AR659" s="83" t="n">
        <v>49.19199</v>
      </c>
      <c r="AS659" s="83" t="n">
        <v>94.9932</v>
      </c>
      <c r="AT659" s="83" t="n">
        <v>34.12419</v>
      </c>
      <c r="AV659" s="83" t="n">
        <v>10.32397</v>
      </c>
      <c r="AZ659" s="83" t="n">
        <v>48.99923</v>
      </c>
      <c r="BA659" s="83" t="n">
        <v>17.07384</v>
      </c>
      <c r="BB659" s="83" t="n">
        <v>52.85195</v>
      </c>
      <c r="BC659" s="83" t="n">
        <v>31.8433</v>
      </c>
      <c r="BD659" s="83" t="n">
        <v>43.979</v>
      </c>
    </row>
    <row r="660">
      <c r="A660" s="83" t="inlineStr">
        <is>
          <t>2006-03</t>
        </is>
      </c>
      <c r="B660" s="22" t="n">
        <v>38777</v>
      </c>
      <c r="C660" s="22" t="n"/>
      <c r="D660" s="22" t="n"/>
      <c r="E660" s="22" t="n">
        <v>38292</v>
      </c>
      <c r="F660" s="83" t="inlineStr">
        <is>
          <t>2004-11</t>
        </is>
      </c>
      <c r="G660" s="83" t="n">
        <v>35.86865</v>
      </c>
      <c r="I660" s="83" t="n">
        <v>21.17999</v>
      </c>
      <c r="J660" s="83" t="n">
        <v>45.52979</v>
      </c>
      <c r="K660" s="83" t="n">
        <v>58.96086</v>
      </c>
      <c r="L660" s="83" t="n">
        <v>29.67653</v>
      </c>
      <c r="M660" s="83" t="n">
        <v>18.81177</v>
      </c>
      <c r="N660" s="83" t="n">
        <v>23.55964</v>
      </c>
      <c r="O660" s="83" t="n">
        <v>26.16002</v>
      </c>
      <c r="P660" s="83" t="n">
        <v>46.74953</v>
      </c>
      <c r="R660" s="83" t="n">
        <v>53.7118</v>
      </c>
      <c r="S660" s="83" t="n">
        <v>60.85714</v>
      </c>
      <c r="AA660" s="83" t="n">
        <v>53.11333</v>
      </c>
      <c r="AC660" s="83" t="n">
        <v>50.91452</v>
      </c>
      <c r="AD660" s="83" t="n">
        <v>22.85875</v>
      </c>
      <c r="AE660" s="83" t="n">
        <v>19.62199</v>
      </c>
      <c r="AG660" s="83" t="n">
        <v>31.2238</v>
      </c>
      <c r="AH660" s="83" t="n">
        <v>41.89224</v>
      </c>
      <c r="AJ660" s="83" t="n">
        <v>83.94332</v>
      </c>
      <c r="AK660" s="83" t="n">
        <v>43.28647</v>
      </c>
      <c r="AO660" s="83" t="n">
        <v>27.53703</v>
      </c>
      <c r="AQ660" s="83" t="n">
        <v>50.34652</v>
      </c>
      <c r="AR660" s="83" t="n">
        <v>49.46946</v>
      </c>
      <c r="AS660" s="83" t="n">
        <v>95.25021</v>
      </c>
      <c r="AT660" s="83" t="n">
        <v>34.41983</v>
      </c>
      <c r="AV660" s="83" t="n">
        <v>10.60609</v>
      </c>
      <c r="AZ660" s="83" t="n">
        <v>49.32876</v>
      </c>
      <c r="BA660" s="83" t="n">
        <v>17.3736</v>
      </c>
      <c r="BB660" s="83" t="n">
        <v>53.07217</v>
      </c>
      <c r="BC660" s="83" t="n">
        <v>32.04681</v>
      </c>
      <c r="BD660" s="83" t="n">
        <v>44.25934</v>
      </c>
    </row>
    <row r="661">
      <c r="A661" s="83" t="inlineStr">
        <is>
          <t>2006-04</t>
        </is>
      </c>
      <c r="B661" s="22" t="n">
        <v>38808</v>
      </c>
      <c r="C661" s="22" t="n"/>
      <c r="D661" s="22" t="n"/>
      <c r="E661" s="22" t="n">
        <v>38322</v>
      </c>
      <c r="F661" s="83" t="inlineStr">
        <is>
          <t>2004-12</t>
        </is>
      </c>
      <c r="G661" s="83" t="n">
        <v>36.16004</v>
      </c>
      <c r="I661" s="83" t="n">
        <v>21.35336</v>
      </c>
      <c r="J661" s="83" t="n">
        <v>46.14388</v>
      </c>
      <c r="K661" s="83" t="n">
        <v>59.17719</v>
      </c>
      <c r="L661" s="83" t="n">
        <v>29.8119</v>
      </c>
      <c r="M661" s="83" t="n">
        <v>19.07006</v>
      </c>
      <c r="N661" s="83" t="n">
        <v>24.03148</v>
      </c>
      <c r="O661" s="83" t="n">
        <v>26.54002</v>
      </c>
      <c r="P661" s="83" t="n">
        <v>46.48536</v>
      </c>
      <c r="R661" s="83" t="n">
        <v>51.11067</v>
      </c>
      <c r="S661" s="83" t="n">
        <v>61.48022</v>
      </c>
      <c r="AA661" s="83" t="n">
        <v>53.57364</v>
      </c>
      <c r="AC661" s="83" t="n">
        <v>51.4062</v>
      </c>
      <c r="AD661" s="83" t="n">
        <v>23.06057</v>
      </c>
      <c r="AE661" s="83" t="n">
        <v>19.82857</v>
      </c>
      <c r="AG661" s="83" t="n">
        <v>31.68365</v>
      </c>
      <c r="AH661" s="83" t="n">
        <v>42.28473</v>
      </c>
      <c r="AJ661" s="83" t="n">
        <v>83.9515</v>
      </c>
      <c r="AK661" s="83" t="n">
        <v>43.55986</v>
      </c>
      <c r="AO661" s="83" t="n">
        <v>27.68275</v>
      </c>
      <c r="AQ661" s="83" t="n">
        <v>50.88748</v>
      </c>
      <c r="AR661" s="83" t="n">
        <v>49.65078</v>
      </c>
      <c r="AS661" s="83" t="n">
        <v>95.88209999999999</v>
      </c>
      <c r="AT661" s="83" t="n">
        <v>34.24634</v>
      </c>
      <c r="AV661" s="83" t="n">
        <v>10.5487</v>
      </c>
      <c r="AZ661" s="83" t="n">
        <v>49.59037</v>
      </c>
      <c r="BA661" s="83" t="n">
        <v>17.58027</v>
      </c>
      <c r="BB661" s="83" t="n">
        <v>53.22674</v>
      </c>
      <c r="BC661" s="83" t="n">
        <v>31.9263</v>
      </c>
      <c r="BD661" s="83" t="n">
        <v>44.45438</v>
      </c>
    </row>
    <row r="662">
      <c r="A662" s="83" t="inlineStr">
        <is>
          <t>2006-05</t>
        </is>
      </c>
      <c r="B662" s="22" t="n">
        <v>38838</v>
      </c>
      <c r="C662" s="22" t="n"/>
      <c r="D662" s="22" t="n"/>
      <c r="E662" s="22" t="n">
        <v>38353</v>
      </c>
      <c r="F662" s="83" t="inlineStr">
        <is>
          <t>2005-01</t>
        </is>
      </c>
      <c r="G662" s="83" t="n">
        <v>36.39259</v>
      </c>
      <c r="I662" s="83" t="n">
        <v>21.53674</v>
      </c>
      <c r="J662" s="83" t="n">
        <v>46.54591</v>
      </c>
      <c r="K662" s="83" t="n">
        <v>59.57639</v>
      </c>
      <c r="L662" s="83" t="n">
        <v>29.90033</v>
      </c>
      <c r="M662" s="83" t="n">
        <v>19.32659</v>
      </c>
      <c r="N662" s="83" t="n">
        <v>24.65541</v>
      </c>
      <c r="O662" s="83" t="n">
        <v>27.01509</v>
      </c>
      <c r="P662" s="83" t="n">
        <v>46.21528</v>
      </c>
      <c r="R662" s="83" t="n">
        <v>48.13997</v>
      </c>
      <c r="S662" s="83" t="n">
        <v>62.00829</v>
      </c>
      <c r="AA662" s="83" t="n">
        <v>54.07392</v>
      </c>
      <c r="AC662" s="83" t="n">
        <v>51.75978</v>
      </c>
      <c r="AD662" s="83" t="n">
        <v>23.27019</v>
      </c>
      <c r="AE662" s="83" t="n">
        <v>20.25499</v>
      </c>
      <c r="AG662" s="83" t="n">
        <v>32.17133</v>
      </c>
      <c r="AH662" s="83" t="n">
        <v>42.7617</v>
      </c>
      <c r="AJ662" s="83" t="n">
        <v>83.98421999999999</v>
      </c>
      <c r="AK662" s="83" t="n">
        <v>43.91417</v>
      </c>
      <c r="AO662" s="83" t="n">
        <v>27.86948</v>
      </c>
      <c r="AQ662" s="83" t="n">
        <v>50.67405</v>
      </c>
      <c r="AR662" s="83" t="n">
        <v>49.77364</v>
      </c>
      <c r="AS662" s="83" t="n">
        <v>96.44047</v>
      </c>
      <c r="AT662" s="83" t="n">
        <v>34.80701</v>
      </c>
      <c r="AV662" s="83" t="n">
        <v>11.10364</v>
      </c>
      <c r="AZ662" s="83" t="n">
        <v>49.6881</v>
      </c>
      <c r="BA662" s="83" t="n">
        <v>17.55759</v>
      </c>
      <c r="BB662" s="83" t="n">
        <v>53.27826</v>
      </c>
      <c r="BC662" s="83" t="n">
        <v>31.95139</v>
      </c>
      <c r="BD662" s="83" t="n">
        <v>44.7117</v>
      </c>
    </row>
    <row r="663">
      <c r="A663" s="83" t="inlineStr">
        <is>
          <t>2006-06</t>
        </is>
      </c>
      <c r="B663" s="22" t="n">
        <v>38869</v>
      </c>
      <c r="C663" s="22" t="n"/>
      <c r="D663" s="22" t="n"/>
      <c r="E663" s="22" t="n">
        <v>38384</v>
      </c>
      <c r="F663" s="83" t="inlineStr">
        <is>
          <t>2005-02</t>
        </is>
      </c>
      <c r="G663" s="83" t="n">
        <v>36.63354</v>
      </c>
      <c r="I663" s="83" t="n">
        <v>21.79595</v>
      </c>
      <c r="J663" s="83" t="n">
        <v>47.2272</v>
      </c>
      <c r="K663" s="83" t="n">
        <v>59.9386</v>
      </c>
      <c r="L663" s="83" t="n">
        <v>30.01602</v>
      </c>
      <c r="M663" s="83" t="n">
        <v>19.56876</v>
      </c>
      <c r="N663" s="83" t="n">
        <v>24.9119</v>
      </c>
      <c r="O663" s="83" t="n">
        <v>27.73072</v>
      </c>
      <c r="P663" s="83" t="n">
        <v>46.43981</v>
      </c>
      <c r="R663" s="83" t="n">
        <v>48.1693</v>
      </c>
      <c r="S663" s="83" t="n">
        <v>62.15746</v>
      </c>
      <c r="AA663" s="83" t="n">
        <v>54.45282</v>
      </c>
      <c r="AC663" s="83" t="n">
        <v>52.31306</v>
      </c>
      <c r="AD663" s="83" t="n">
        <v>23.4021</v>
      </c>
      <c r="AE663" s="83" t="n">
        <v>20.53226</v>
      </c>
      <c r="AG663" s="83" t="n">
        <v>32.66627</v>
      </c>
      <c r="AH663" s="83" t="n">
        <v>43.19162</v>
      </c>
      <c r="AJ663" s="83" t="n">
        <v>83.9924</v>
      </c>
      <c r="AK663" s="83" t="n">
        <v>44.02629</v>
      </c>
      <c r="AO663" s="83" t="n">
        <v>28.01537</v>
      </c>
      <c r="AQ663" s="83" t="n">
        <v>51.15657</v>
      </c>
      <c r="AR663" s="83" t="n">
        <v>49.94256</v>
      </c>
      <c r="AS663" s="83" t="n">
        <v>97.01759</v>
      </c>
      <c r="AT663" s="83" t="n">
        <v>35.11959</v>
      </c>
      <c r="AV663" s="83" t="n">
        <v>11.66813</v>
      </c>
      <c r="AZ663" s="83" t="n">
        <v>50.08786</v>
      </c>
      <c r="BA663" s="83" t="n">
        <v>17.60101</v>
      </c>
      <c r="BB663" s="83" t="n">
        <v>53.34807</v>
      </c>
      <c r="BC663" s="83" t="n">
        <v>32.46835</v>
      </c>
      <c r="BD663" s="83" t="n">
        <v>45.16766</v>
      </c>
    </row>
    <row r="664">
      <c r="A664" s="83" t="inlineStr">
        <is>
          <t>2006-07</t>
        </is>
      </c>
      <c r="B664" s="22" t="n">
        <v>38899</v>
      </c>
      <c r="C664" s="22" t="n"/>
      <c r="D664" s="22" t="n"/>
      <c r="E664" s="22" t="n">
        <v>38412</v>
      </c>
      <c r="F664" s="83" t="inlineStr">
        <is>
          <t>2005-03</t>
        </is>
      </c>
      <c r="G664" s="83" t="n">
        <v>36.81005</v>
      </c>
      <c r="I664" s="83" t="n">
        <v>22.16344</v>
      </c>
      <c r="J664" s="83" t="n">
        <v>47.5886</v>
      </c>
      <c r="K664" s="83" t="n">
        <v>59.86598</v>
      </c>
      <c r="L664" s="83" t="n">
        <v>30.22366</v>
      </c>
      <c r="M664" s="83" t="n">
        <v>19.81379</v>
      </c>
      <c r="N664" s="83" t="n">
        <v>25.21748</v>
      </c>
      <c r="O664" s="83" t="n">
        <v>28.39267</v>
      </c>
      <c r="P664" s="83" t="n">
        <v>46.68879</v>
      </c>
      <c r="R664" s="83" t="n">
        <v>48.04032</v>
      </c>
      <c r="S664" s="83" t="n">
        <v>62.37503</v>
      </c>
      <c r="AA664" s="83" t="n">
        <v>54.77409</v>
      </c>
      <c r="AC664" s="83" t="n">
        <v>53.19699</v>
      </c>
      <c r="AD664" s="83" t="n">
        <v>23.67588</v>
      </c>
      <c r="AE664" s="83" t="n">
        <v>20.56539</v>
      </c>
      <c r="AG664" s="83" t="n">
        <v>33.13094</v>
      </c>
      <c r="AH664" s="83" t="n">
        <v>43.385</v>
      </c>
      <c r="AJ664" s="83" t="n">
        <v>84.15600999999999</v>
      </c>
      <c r="AK664" s="83" t="n">
        <v>44.26499</v>
      </c>
      <c r="AO664" s="83" t="n">
        <v>28.11267</v>
      </c>
      <c r="AQ664" s="83" t="n">
        <v>52.03962</v>
      </c>
      <c r="AR664" s="83" t="n">
        <v>50.1297</v>
      </c>
      <c r="AS664" s="83" t="n">
        <v>97.92335</v>
      </c>
      <c r="AT664" s="83" t="n">
        <v>35.67332</v>
      </c>
      <c r="AV664" s="83" t="n">
        <v>11.67032</v>
      </c>
      <c r="AZ664" s="83" t="n">
        <v>50.5237</v>
      </c>
      <c r="BA664" s="83" t="n">
        <v>17.97128</v>
      </c>
      <c r="BB664" s="83" t="n">
        <v>53.42286</v>
      </c>
      <c r="BC664" s="83" t="n">
        <v>32.85425</v>
      </c>
      <c r="BD664" s="83" t="n">
        <v>45.66505</v>
      </c>
    </row>
    <row r="665">
      <c r="A665" s="83" t="inlineStr">
        <is>
          <t>2006-08</t>
        </is>
      </c>
      <c r="B665" s="22" t="n">
        <v>38930</v>
      </c>
      <c r="C665" s="22" t="n"/>
      <c r="D665" s="22" t="n"/>
      <c r="E665" s="22" t="n">
        <v>38443</v>
      </c>
      <c r="F665" s="83" t="inlineStr">
        <is>
          <t>2005-04</t>
        </is>
      </c>
      <c r="G665" s="83" t="n">
        <v>37.02579</v>
      </c>
      <c r="I665" s="83" t="n">
        <v>22.54015</v>
      </c>
      <c r="J665" s="83" t="n">
        <v>48.04522</v>
      </c>
      <c r="K665" s="83" t="n">
        <v>59.89607</v>
      </c>
      <c r="L665" s="83" t="n">
        <v>30.59807</v>
      </c>
      <c r="M665" s="83" t="n">
        <v>20.07225</v>
      </c>
      <c r="N665" s="83" t="n">
        <v>25.55684</v>
      </c>
      <c r="O665" s="83" t="n">
        <v>28.95113</v>
      </c>
      <c r="P665" s="83" t="n">
        <v>47.15639</v>
      </c>
      <c r="R665" s="83" t="n">
        <v>48.85154</v>
      </c>
      <c r="S665" s="83" t="n">
        <v>62.91019</v>
      </c>
      <c r="AA665" s="83" t="n">
        <v>55.30825</v>
      </c>
      <c r="AC665" s="83" t="n">
        <v>54.32666</v>
      </c>
      <c r="AD665" s="83" t="n">
        <v>24.12606</v>
      </c>
      <c r="AE665" s="83" t="n">
        <v>20.8876</v>
      </c>
      <c r="AG665" s="83" t="n">
        <v>33.56136</v>
      </c>
      <c r="AH665" s="83" t="n">
        <v>43.68371</v>
      </c>
      <c r="AJ665" s="83" t="n">
        <v>83.97604</v>
      </c>
      <c r="AK665" s="83" t="n">
        <v>44.63338</v>
      </c>
      <c r="AO665" s="83" t="n">
        <v>28.24663</v>
      </c>
      <c r="AQ665" s="83" t="n">
        <v>52.60456</v>
      </c>
      <c r="AR665" s="83" t="n">
        <v>50.36737</v>
      </c>
      <c r="AS665" s="83" t="n">
        <v>98.71526</v>
      </c>
      <c r="AT665" s="83" t="n">
        <v>36.41202</v>
      </c>
      <c r="AV665" s="83" t="n">
        <v>12.03684</v>
      </c>
      <c r="AZ665" s="83" t="n">
        <v>50.49871</v>
      </c>
      <c r="BA665" s="83" t="n">
        <v>18.56349</v>
      </c>
      <c r="BB665" s="83" t="n">
        <v>53.5392</v>
      </c>
      <c r="BC665" s="83" t="n">
        <v>33.36558</v>
      </c>
      <c r="BD665" s="83" t="n">
        <v>46.04211</v>
      </c>
    </row>
    <row r="666">
      <c r="A666" s="83" t="inlineStr">
        <is>
          <t>2006-09</t>
        </is>
      </c>
      <c r="B666" s="22" t="n">
        <v>38961</v>
      </c>
      <c r="C666" s="22" t="n"/>
      <c r="D666" s="22" t="n"/>
      <c r="E666" s="22" t="n">
        <v>38473</v>
      </c>
      <c r="F666" s="83" t="inlineStr">
        <is>
          <t>2005-05</t>
        </is>
      </c>
      <c r="G666" s="83" t="n">
        <v>37.35921</v>
      </c>
      <c r="I666" s="83" t="n">
        <v>22.76894</v>
      </c>
      <c r="J666" s="83" t="n">
        <v>48.31843</v>
      </c>
      <c r="K666" s="83" t="n">
        <v>60.16837</v>
      </c>
      <c r="L666" s="83" t="n">
        <v>31.06196</v>
      </c>
      <c r="M666" s="83" t="n">
        <v>20.32652</v>
      </c>
      <c r="N666" s="83" t="n">
        <v>25.89038</v>
      </c>
      <c r="O666" s="83" t="n">
        <v>29.52874</v>
      </c>
      <c r="P666" s="83" t="n">
        <v>48.07209</v>
      </c>
      <c r="R666" s="83" t="n">
        <v>49.72163</v>
      </c>
      <c r="S666" s="83" t="n">
        <v>63.56118</v>
      </c>
      <c r="AA666" s="83" t="n">
        <v>55.97937</v>
      </c>
      <c r="AC666" s="83" t="n">
        <v>55.22638</v>
      </c>
      <c r="AD666" s="83" t="n">
        <v>24.40152</v>
      </c>
      <c r="AE666" s="83" t="n">
        <v>21.25314</v>
      </c>
      <c r="AG666" s="83" t="n">
        <v>34.08271</v>
      </c>
      <c r="AH666" s="83" t="n">
        <v>44.35447</v>
      </c>
      <c r="AJ666" s="83" t="n">
        <v>83.97604</v>
      </c>
      <c r="AK666" s="83" t="n">
        <v>44.9665</v>
      </c>
      <c r="AO666" s="83" t="n">
        <v>28.36508</v>
      </c>
      <c r="AQ666" s="83" t="n">
        <v>52.87588</v>
      </c>
      <c r="AR666" s="83" t="n">
        <v>50.6347</v>
      </c>
      <c r="AS666" s="83" t="n">
        <v>99.24621999999999</v>
      </c>
      <c r="AT666" s="83" t="n">
        <v>36.96402</v>
      </c>
      <c r="AV666" s="83" t="n">
        <v>12.3082</v>
      </c>
      <c r="AZ666" s="83" t="n">
        <v>50.85361</v>
      </c>
      <c r="BA666" s="83" t="n">
        <v>19.01084</v>
      </c>
      <c r="BB666" s="83" t="n">
        <v>53.68297</v>
      </c>
      <c r="BC666" s="83" t="n">
        <v>34.07306</v>
      </c>
      <c r="BD666" s="83" t="n">
        <v>46.37922</v>
      </c>
    </row>
    <row r="667">
      <c r="A667" s="83" t="inlineStr">
        <is>
          <t>2006-10</t>
        </is>
      </c>
      <c r="B667" s="22" t="n">
        <v>38991</v>
      </c>
      <c r="C667" s="22" t="n"/>
      <c r="D667" s="22" t="n"/>
      <c r="E667" s="22" t="n">
        <v>38504</v>
      </c>
      <c r="F667" s="83" t="inlineStr">
        <is>
          <t>2005-06</t>
        </is>
      </c>
      <c r="G667" s="83" t="n">
        <v>37.74306</v>
      </c>
      <c r="I667" s="83" t="n">
        <v>22.99641</v>
      </c>
      <c r="J667" s="83" t="n">
        <v>48.67874</v>
      </c>
      <c r="K667" s="83" t="n">
        <v>60.85471</v>
      </c>
      <c r="L667" s="83" t="n">
        <v>31.48763</v>
      </c>
      <c r="M667" s="83" t="n">
        <v>20.61558</v>
      </c>
      <c r="N667" s="83" t="n">
        <v>26.27601</v>
      </c>
      <c r="O667" s="83" t="n">
        <v>30.02909</v>
      </c>
      <c r="P667" s="83" t="n">
        <v>48.51795</v>
      </c>
      <c r="R667" s="83" t="n">
        <v>51.22858</v>
      </c>
      <c r="S667" s="83" t="n">
        <v>64.14462</v>
      </c>
      <c r="AA667" s="83" t="n">
        <v>56.65095</v>
      </c>
      <c r="AC667" s="83" t="n">
        <v>55.60317</v>
      </c>
      <c r="AD667" s="83" t="n">
        <v>24.61522</v>
      </c>
      <c r="AE667" s="83" t="n">
        <v>21.45936</v>
      </c>
      <c r="AG667" s="83" t="n">
        <v>34.71707</v>
      </c>
      <c r="AH667" s="83" t="n">
        <v>44.98383</v>
      </c>
      <c r="AJ667" s="83" t="n">
        <v>83.9515</v>
      </c>
      <c r="AK667" s="83" t="n">
        <v>45.38777</v>
      </c>
      <c r="AO667" s="83" t="n">
        <v>28.54842</v>
      </c>
      <c r="AQ667" s="83" t="n">
        <v>53.32688</v>
      </c>
      <c r="AR667" s="83" t="n">
        <v>50.96342</v>
      </c>
      <c r="AS667" s="83" t="n">
        <v>99.56359</v>
      </c>
      <c r="AT667" s="83" t="n">
        <v>37.22631</v>
      </c>
      <c r="AV667" s="83" t="n">
        <v>12.42289</v>
      </c>
      <c r="AZ667" s="83" t="n">
        <v>52.07392</v>
      </c>
      <c r="BA667" s="83" t="n">
        <v>19.37633</v>
      </c>
      <c r="BB667" s="83" t="n">
        <v>53.95222</v>
      </c>
      <c r="BC667" s="83" t="n">
        <v>34.58591</v>
      </c>
      <c r="BD667" s="83" t="n">
        <v>46.82032</v>
      </c>
    </row>
    <row r="668">
      <c r="A668" s="83" t="inlineStr">
        <is>
          <t>2006-11</t>
        </is>
      </c>
      <c r="B668" s="22" t="n">
        <v>39022</v>
      </c>
      <c r="C668" s="22" t="n"/>
      <c r="D668" s="22" t="n"/>
      <c r="E668" s="22" t="n">
        <v>38534</v>
      </c>
      <c r="F668" s="83" t="inlineStr">
        <is>
          <t>2005-07</t>
        </is>
      </c>
      <c r="G668" s="83" t="n">
        <v>37.97841</v>
      </c>
      <c r="I668" s="83" t="n">
        <v>23.34116</v>
      </c>
      <c r="J668" s="83" t="n">
        <v>49.06056</v>
      </c>
      <c r="K668" s="83" t="n">
        <v>61.80108</v>
      </c>
      <c r="L668" s="83" t="n">
        <v>31.83428</v>
      </c>
      <c r="M668" s="83" t="n">
        <v>20.91055</v>
      </c>
      <c r="N668" s="83" t="n">
        <v>26.47105</v>
      </c>
      <c r="O668" s="83" t="n">
        <v>30.68605</v>
      </c>
      <c r="P668" s="83" t="n">
        <v>48.81116</v>
      </c>
      <c r="R668" s="83" t="n">
        <v>52.99106</v>
      </c>
      <c r="S668" s="83" t="n">
        <v>64.72659</v>
      </c>
      <c r="AA668" s="83" t="n">
        <v>57.28856</v>
      </c>
      <c r="AC668" s="83" t="n">
        <v>55.93948</v>
      </c>
      <c r="AD668" s="83" t="n">
        <v>25.0488</v>
      </c>
      <c r="AE668" s="83" t="n">
        <v>21.68746</v>
      </c>
      <c r="AG668" s="83" t="n">
        <v>35.31264</v>
      </c>
      <c r="AH668" s="83" t="n">
        <v>45.35611</v>
      </c>
      <c r="AJ668" s="83" t="n">
        <v>84.1151</v>
      </c>
      <c r="AK668" s="83" t="n">
        <v>45.67387</v>
      </c>
      <c r="AO668" s="83" t="n">
        <v>29.01718</v>
      </c>
      <c r="AQ668" s="83" t="n">
        <v>53.85254</v>
      </c>
      <c r="AR668" s="83" t="n">
        <v>51.32642</v>
      </c>
      <c r="AS668" s="83" t="n">
        <v>100.2054</v>
      </c>
      <c r="AT668" s="83" t="n">
        <v>37.25824</v>
      </c>
      <c r="AV668" s="83" t="n">
        <v>12.87609</v>
      </c>
      <c r="AZ668" s="83" t="n">
        <v>52.96393</v>
      </c>
      <c r="BA668" s="83" t="n">
        <v>19.78846</v>
      </c>
      <c r="BB668" s="83" t="n">
        <v>54.21482</v>
      </c>
      <c r="BC668" s="83" t="n">
        <v>35.50751</v>
      </c>
      <c r="BD668" s="83" t="n">
        <v>47.26359</v>
      </c>
    </row>
    <row r="669">
      <c r="A669" s="83" t="inlineStr">
        <is>
          <t>2006-12</t>
        </is>
      </c>
      <c r="B669" s="22" t="n">
        <v>39052</v>
      </c>
      <c r="C669" s="22" t="n"/>
      <c r="D669" s="22" t="n"/>
      <c r="E669" s="22" t="n">
        <v>38565</v>
      </c>
      <c r="F669" s="83" t="inlineStr">
        <is>
          <t>2005-08</t>
        </is>
      </c>
      <c r="G669" s="83" t="n">
        <v>38.09608</v>
      </c>
      <c r="I669" s="83" t="n">
        <v>23.71024</v>
      </c>
      <c r="J669" s="83" t="n">
        <v>49.10693</v>
      </c>
      <c r="K669" s="83" t="n">
        <v>62.08539</v>
      </c>
      <c r="L669" s="83" t="n">
        <v>32.0363</v>
      </c>
      <c r="M669" s="83" t="n">
        <v>21.21715</v>
      </c>
      <c r="N669" s="83" t="n">
        <v>26.6322</v>
      </c>
      <c r="O669" s="83" t="n">
        <v>31.30873</v>
      </c>
      <c r="P669" s="83" t="n">
        <v>49.08056</v>
      </c>
      <c r="R669" s="83" t="n">
        <v>53.33559</v>
      </c>
      <c r="S669" s="83" t="n">
        <v>64.87824000000001</v>
      </c>
      <c r="AA669" s="83" t="n">
        <v>57.45996</v>
      </c>
      <c r="AC669" s="83" t="n">
        <v>56.34976</v>
      </c>
      <c r="AD669" s="83" t="n">
        <v>25.55486</v>
      </c>
      <c r="AE669" s="83" t="n">
        <v>21.91241</v>
      </c>
      <c r="AG669" s="83" t="n">
        <v>35.83746</v>
      </c>
      <c r="AH669" s="83" t="n">
        <v>45.52623</v>
      </c>
      <c r="AJ669" s="83" t="n">
        <v>84.24598</v>
      </c>
      <c r="AK669" s="83" t="n">
        <v>45.89344</v>
      </c>
      <c r="AO669" s="83" t="n">
        <v>29.46974</v>
      </c>
      <c r="AQ669" s="83" t="n">
        <v>54.27048</v>
      </c>
      <c r="AR669" s="83" t="n">
        <v>51.61732</v>
      </c>
      <c r="AS669" s="83" t="n">
        <v>101.1173</v>
      </c>
      <c r="AT669" s="83" t="n">
        <v>37.54126</v>
      </c>
      <c r="AV669" s="83" t="n">
        <v>13.4052</v>
      </c>
      <c r="AZ669" s="83" t="n">
        <v>53.25996</v>
      </c>
      <c r="BA669" s="83" t="n">
        <v>20.28823</v>
      </c>
      <c r="BB669" s="83" t="n">
        <v>54.48656</v>
      </c>
      <c r="BC669" s="83" t="n">
        <v>36.42164</v>
      </c>
      <c r="BD669" s="83" t="n">
        <v>47.7089</v>
      </c>
    </row>
    <row r="670">
      <c r="A670" s="83" t="inlineStr">
        <is>
          <t>2007-01</t>
        </is>
      </c>
      <c r="B670" s="22" t="n">
        <v>39083</v>
      </c>
      <c r="C670" s="22" t="n"/>
      <c r="D670" s="22" t="n"/>
      <c r="E670" s="22" t="n">
        <v>38596</v>
      </c>
      <c r="F670" s="83" t="inlineStr">
        <is>
          <t>2005-09</t>
        </is>
      </c>
      <c r="G670" s="83" t="n">
        <v>38.42109</v>
      </c>
      <c r="I670" s="83" t="n">
        <v>24.09814</v>
      </c>
      <c r="J670" s="83" t="n">
        <v>49.23317</v>
      </c>
      <c r="K670" s="83" t="n">
        <v>61.98912</v>
      </c>
      <c r="L670" s="83" t="n">
        <v>32.18632</v>
      </c>
      <c r="M670" s="83" t="n">
        <v>21.59169</v>
      </c>
      <c r="N670" s="83" t="n">
        <v>27.08802</v>
      </c>
      <c r="O670" s="83" t="n">
        <v>31.81721</v>
      </c>
      <c r="P670" s="83" t="n">
        <v>49.10284</v>
      </c>
      <c r="R670" s="83" t="n">
        <v>53.76122</v>
      </c>
      <c r="S670" s="83" t="n">
        <v>65.04797000000001</v>
      </c>
      <c r="AA670" s="83" t="n">
        <v>57.92126</v>
      </c>
      <c r="AC670" s="83" t="n">
        <v>56.9923</v>
      </c>
      <c r="AD670" s="83" t="n">
        <v>26.18155</v>
      </c>
      <c r="AE670" s="83" t="n">
        <v>22.41583</v>
      </c>
      <c r="AG670" s="83" t="n">
        <v>36.41407</v>
      </c>
      <c r="AH670" s="83" t="n">
        <v>45.49139</v>
      </c>
      <c r="AJ670" s="83" t="n">
        <v>84.32778</v>
      </c>
      <c r="AK670" s="83" t="n">
        <v>46.01572</v>
      </c>
      <c r="AO670" s="83" t="n">
        <v>29.90033</v>
      </c>
      <c r="AQ670" s="83" t="n">
        <v>54.92255</v>
      </c>
      <c r="AR670" s="83" t="n">
        <v>51.93371</v>
      </c>
      <c r="AS670" s="83" t="n">
        <v>101.8806</v>
      </c>
      <c r="AT670" s="83" t="n">
        <v>38.0673</v>
      </c>
      <c r="AV670" s="83" t="n">
        <v>13.7419</v>
      </c>
      <c r="AZ670" s="83" t="n">
        <v>53.30558</v>
      </c>
      <c r="BA670" s="83" t="n">
        <v>20.74949</v>
      </c>
      <c r="BB670" s="83" t="n">
        <v>54.76994</v>
      </c>
      <c r="BC670" s="83" t="n">
        <v>36.95603</v>
      </c>
      <c r="BD670" s="83" t="n">
        <v>48.60467</v>
      </c>
    </row>
    <row r="671">
      <c r="A671" s="83" t="inlineStr">
        <is>
          <t>2007-02</t>
        </is>
      </c>
      <c r="B671" s="22" t="n">
        <v>39114</v>
      </c>
      <c r="C671" s="22" t="n"/>
      <c r="D671" s="22" t="n"/>
      <c r="E671" s="22" t="n">
        <v>38626</v>
      </c>
      <c r="F671" s="83" t="inlineStr">
        <is>
          <t>2005-10</t>
        </is>
      </c>
      <c r="G671" s="83" t="n">
        <v>38.61722</v>
      </c>
      <c r="I671" s="83" t="n">
        <v>24.39398</v>
      </c>
      <c r="J671" s="83" t="n">
        <v>49.46316</v>
      </c>
      <c r="K671" s="83" t="n">
        <v>62.10108</v>
      </c>
      <c r="L671" s="83" t="n">
        <v>32.45716</v>
      </c>
      <c r="M671" s="83" t="n">
        <v>21.93075</v>
      </c>
      <c r="N671" s="83" t="n">
        <v>27.66702</v>
      </c>
      <c r="O671" s="83" t="n">
        <v>32.44831</v>
      </c>
      <c r="P671" s="83" t="n">
        <v>49.49739</v>
      </c>
      <c r="R671" s="83" t="n">
        <v>54.01084</v>
      </c>
      <c r="S671" s="83" t="n">
        <v>65.51672000000001</v>
      </c>
      <c r="AA671" s="83" t="n">
        <v>58.85264</v>
      </c>
      <c r="AC671" s="83" t="n">
        <v>57.60852</v>
      </c>
      <c r="AD671" s="83" t="n">
        <v>26.61066</v>
      </c>
      <c r="AE671" s="83" t="n">
        <v>22.83817</v>
      </c>
      <c r="AG671" s="83" t="n">
        <v>37.10153</v>
      </c>
      <c r="AH671" s="83" t="n">
        <v>45.56298</v>
      </c>
      <c r="AJ671" s="83" t="n">
        <v>84.28688</v>
      </c>
      <c r="AK671" s="83" t="n">
        <v>46.12407</v>
      </c>
      <c r="AO671" s="83" t="n">
        <v>30.44931</v>
      </c>
      <c r="AQ671" s="83" t="n">
        <v>55.40439</v>
      </c>
      <c r="AR671" s="83" t="n">
        <v>52.27625</v>
      </c>
      <c r="AS671" s="83" t="n">
        <v>102.4152</v>
      </c>
      <c r="AT671" s="83" t="n">
        <v>38.6686</v>
      </c>
      <c r="AV671" s="83" t="n">
        <v>14.29279</v>
      </c>
      <c r="AZ671" s="83" t="n">
        <v>54.3091</v>
      </c>
      <c r="BA671" s="83" t="n">
        <v>21.01513</v>
      </c>
      <c r="BB671" s="83" t="n">
        <v>55.05249</v>
      </c>
      <c r="BC671" s="83" t="n">
        <v>37.21805</v>
      </c>
      <c r="BD671" s="83" t="n">
        <v>49.03799</v>
      </c>
    </row>
    <row r="672">
      <c r="A672" s="83" t="inlineStr">
        <is>
          <t>2007-03</t>
        </is>
      </c>
      <c r="B672" s="22" t="n">
        <v>39142</v>
      </c>
      <c r="C672" s="22" t="n"/>
      <c r="D672" s="22" t="n"/>
      <c r="E672" s="22" t="n">
        <v>38657</v>
      </c>
      <c r="F672" s="83" t="inlineStr">
        <is>
          <t>2005-11</t>
        </is>
      </c>
      <c r="G672" s="83" t="n">
        <v>38.67886</v>
      </c>
      <c r="I672" s="83" t="n">
        <v>24.66349</v>
      </c>
      <c r="J672" s="83" t="n">
        <v>49.49852</v>
      </c>
      <c r="K672" s="83" t="n">
        <v>62.38663</v>
      </c>
      <c r="L672" s="83" t="n">
        <v>32.85228</v>
      </c>
      <c r="M672" s="83" t="n">
        <v>22.24324</v>
      </c>
      <c r="N672" s="83" t="n">
        <v>28.19863</v>
      </c>
      <c r="O672" s="83" t="n">
        <v>33.22751</v>
      </c>
      <c r="P672" s="83" t="n">
        <v>50.38005</v>
      </c>
      <c r="R672" s="83" t="n">
        <v>54.43851</v>
      </c>
      <c r="S672" s="83" t="n">
        <v>65.87475000000001</v>
      </c>
      <c r="AA672" s="83" t="n">
        <v>59.21538</v>
      </c>
      <c r="AC672" s="83" t="n">
        <v>58.19017</v>
      </c>
      <c r="AD672" s="83" t="n">
        <v>26.69896</v>
      </c>
      <c r="AE672" s="83" t="n">
        <v>23.00184</v>
      </c>
      <c r="AG672" s="83" t="n">
        <v>37.81456</v>
      </c>
      <c r="AH672" s="83" t="n">
        <v>45.90802</v>
      </c>
      <c r="AJ672" s="83" t="n">
        <v>84.32778</v>
      </c>
      <c r="AK672" s="83" t="n">
        <v>46.35249</v>
      </c>
      <c r="AO672" s="83" t="n">
        <v>30.82542</v>
      </c>
      <c r="AQ672" s="83" t="n">
        <v>55.85548</v>
      </c>
      <c r="AR672" s="83" t="n">
        <v>52.4915</v>
      </c>
      <c r="AS672" s="83" t="n">
        <v>102.5972</v>
      </c>
      <c r="AT672" s="83" t="n">
        <v>39.0327</v>
      </c>
      <c r="AV672" s="83" t="n">
        <v>14.65999</v>
      </c>
      <c r="AZ672" s="83" t="n">
        <v>54.96763</v>
      </c>
      <c r="BA672" s="83" t="n">
        <v>21.32644</v>
      </c>
      <c r="BB672" s="83" t="n">
        <v>55.18961</v>
      </c>
      <c r="BC672" s="83" t="n">
        <v>37.34858</v>
      </c>
      <c r="BD672" s="83" t="n">
        <v>48.85994</v>
      </c>
    </row>
    <row r="673">
      <c r="A673" s="83" t="inlineStr">
        <is>
          <t>2007-04</t>
        </is>
      </c>
      <c r="B673" s="22" t="n">
        <v>39173</v>
      </c>
      <c r="C673" s="22" t="n"/>
      <c r="D673" s="22" t="n"/>
      <c r="E673" s="22" t="n">
        <v>38687</v>
      </c>
      <c r="F673" s="83" t="inlineStr">
        <is>
          <t>2005-12</t>
        </is>
      </c>
      <c r="G673" s="83" t="n">
        <v>39.00947</v>
      </c>
      <c r="I673" s="83" t="n">
        <v>25.03541</v>
      </c>
      <c r="J673" s="83" t="n">
        <v>49.65355</v>
      </c>
      <c r="K673" s="83" t="n">
        <v>62.35939</v>
      </c>
      <c r="L673" s="83" t="n">
        <v>33.40684</v>
      </c>
      <c r="M673" s="83" t="n">
        <v>22.54896</v>
      </c>
      <c r="N673" s="83" t="n">
        <v>28.45293</v>
      </c>
      <c r="O673" s="83" t="n">
        <v>33.95279</v>
      </c>
      <c r="P673" s="83" t="n">
        <v>51.03147</v>
      </c>
      <c r="R673" s="83" t="n">
        <v>54.92216</v>
      </c>
      <c r="S673" s="83" t="n">
        <v>66.63905</v>
      </c>
      <c r="AA673" s="83" t="n">
        <v>59.91914</v>
      </c>
      <c r="AC673" s="83" t="n">
        <v>58.91944</v>
      </c>
      <c r="AD673" s="83" t="n">
        <v>26.84931</v>
      </c>
      <c r="AE673" s="83" t="n">
        <v>23.29244</v>
      </c>
      <c r="AG673" s="83" t="n">
        <v>38.46975</v>
      </c>
      <c r="AH673" s="83" t="n">
        <v>46.02401</v>
      </c>
      <c r="AJ673" s="83" t="n">
        <v>84.25417</v>
      </c>
      <c r="AK673" s="83" t="n">
        <v>46.62929</v>
      </c>
      <c r="AO673" s="83" t="n">
        <v>31.13875</v>
      </c>
      <c r="AQ673" s="83" t="n">
        <v>56.37477</v>
      </c>
      <c r="AR673" s="83" t="n">
        <v>52.773</v>
      </c>
      <c r="AS673" s="83" t="n">
        <v>102.8777</v>
      </c>
      <c r="AT673" s="83" t="n">
        <v>39.10976</v>
      </c>
      <c r="AV673" s="83" t="n">
        <v>14.38128</v>
      </c>
      <c r="AZ673" s="83" t="n">
        <v>55.21341</v>
      </c>
      <c r="BA673" s="83" t="n">
        <v>21.79631</v>
      </c>
      <c r="BB673" s="83" t="n">
        <v>55.41232</v>
      </c>
      <c r="BC673" s="83" t="n">
        <v>38.00687</v>
      </c>
      <c r="BD673" s="83" t="n">
        <v>49.01691</v>
      </c>
    </row>
    <row r="674">
      <c r="A674" s="83" t="inlineStr">
        <is>
          <t>2007-05</t>
        </is>
      </c>
      <c r="B674" s="22" t="n">
        <v>39203</v>
      </c>
      <c r="C674" s="22" t="n"/>
      <c r="D674" s="22" t="n"/>
      <c r="E674" s="22" t="n">
        <v>38718</v>
      </c>
      <c r="F674" s="83" t="inlineStr">
        <is>
          <t>2006-01</t>
        </is>
      </c>
      <c r="G674" s="83" t="n">
        <v>39.45216</v>
      </c>
      <c r="I674" s="83" t="n">
        <v>25.48129</v>
      </c>
      <c r="J674" s="83" t="n">
        <v>49.9126</v>
      </c>
      <c r="K674" s="83" t="n">
        <v>61.89564</v>
      </c>
      <c r="L674" s="83" t="n">
        <v>33.73067</v>
      </c>
      <c r="M674" s="83" t="n">
        <v>22.8051</v>
      </c>
      <c r="N674" s="83" t="n">
        <v>28.56639</v>
      </c>
      <c r="O674" s="83" t="n">
        <v>34.36242</v>
      </c>
      <c r="P674" s="83" t="n">
        <v>51.51576</v>
      </c>
      <c r="R674" s="83" t="n">
        <v>57.20307</v>
      </c>
      <c r="S674" s="83" t="n">
        <v>67.20077000000001</v>
      </c>
      <c r="AA674" s="83" t="n">
        <v>60.39522</v>
      </c>
      <c r="AC674" s="83" t="n">
        <v>59.79154</v>
      </c>
      <c r="AD674" s="83" t="n">
        <v>27.19197</v>
      </c>
      <c r="AE674" s="83" t="n">
        <v>23.46516</v>
      </c>
      <c r="AG674" s="83" t="n">
        <v>39.08581</v>
      </c>
      <c r="AH674" s="83" t="n">
        <v>45.77392</v>
      </c>
      <c r="AJ674" s="83" t="n">
        <v>84.17236</v>
      </c>
      <c r="AK674" s="83" t="n">
        <v>46.95143</v>
      </c>
      <c r="AO674" s="83" t="n">
        <v>31.4246</v>
      </c>
      <c r="AQ674" s="83" t="n">
        <v>56.484</v>
      </c>
      <c r="AR674" s="83" t="n">
        <v>53.08806</v>
      </c>
      <c r="AS674" s="83" t="n">
        <v>103.4486</v>
      </c>
      <c r="AT674" s="83" t="n">
        <v>39.11385</v>
      </c>
      <c r="AV674" s="83" t="n">
        <v>15.08643</v>
      </c>
      <c r="AZ674" s="83" t="n">
        <v>56.2474</v>
      </c>
      <c r="BA674" s="83" t="n">
        <v>22.00918</v>
      </c>
      <c r="BB674" s="83" t="n">
        <v>55.7655</v>
      </c>
      <c r="BC674" s="83" t="n">
        <v>38.7174</v>
      </c>
      <c r="BD674" s="83" t="n">
        <v>49.34933</v>
      </c>
    </row>
    <row r="675">
      <c r="A675" s="83" t="inlineStr">
        <is>
          <t>2007-06</t>
        </is>
      </c>
      <c r="B675" s="22" t="n">
        <v>39234</v>
      </c>
      <c r="C675" s="22" t="n"/>
      <c r="D675" s="22" t="n"/>
      <c r="E675" s="22" t="n">
        <v>38749</v>
      </c>
      <c r="F675" s="83" t="inlineStr">
        <is>
          <t>2006-02</t>
        </is>
      </c>
      <c r="G675" s="83" t="n">
        <v>39.76876</v>
      </c>
      <c r="I675" s="83" t="n">
        <v>26.00219</v>
      </c>
      <c r="J675" s="83" t="n">
        <v>50.54343</v>
      </c>
      <c r="K675" s="83" t="n">
        <v>61.78007</v>
      </c>
      <c r="L675" s="83" t="n">
        <v>33.89923</v>
      </c>
      <c r="M675" s="83" t="n">
        <v>23.01066</v>
      </c>
      <c r="N675" s="83" t="n">
        <v>28.87201</v>
      </c>
      <c r="O675" s="83" t="n">
        <v>34.69527</v>
      </c>
      <c r="P675" s="83" t="n">
        <v>52.03088</v>
      </c>
      <c r="R675" s="83" t="n">
        <v>57.46348</v>
      </c>
      <c r="S675" s="83" t="n">
        <v>67.30382</v>
      </c>
      <c r="AA675" s="83" t="n">
        <v>60.79495</v>
      </c>
      <c r="AC675" s="83" t="n">
        <v>60.89338</v>
      </c>
      <c r="AD675" s="83" t="n">
        <v>27.56912</v>
      </c>
      <c r="AE675" s="83" t="n">
        <v>23.62107</v>
      </c>
      <c r="AG675" s="83" t="n">
        <v>39.6841</v>
      </c>
      <c r="AH675" s="83" t="n">
        <v>45.87243</v>
      </c>
      <c r="AJ675" s="83" t="n">
        <v>84.09056</v>
      </c>
      <c r="AK675" s="83" t="n">
        <v>47.19278</v>
      </c>
      <c r="AO675" s="83" t="n">
        <v>31.93121</v>
      </c>
      <c r="AQ675" s="83" t="n">
        <v>56.78859</v>
      </c>
      <c r="AR675" s="83" t="n">
        <v>53.35781</v>
      </c>
      <c r="AS675" s="83" t="n">
        <v>104.1872</v>
      </c>
      <c r="AT675" s="83" t="n">
        <v>39.38215</v>
      </c>
      <c r="AV675" s="83" t="n">
        <v>15.85897</v>
      </c>
      <c r="AZ675" s="83" t="n">
        <v>56.631</v>
      </c>
      <c r="BA675" s="83" t="n">
        <v>22.30262</v>
      </c>
      <c r="BB675" s="83" t="n">
        <v>55.96744</v>
      </c>
      <c r="BC675" s="83" t="n">
        <v>39.3684</v>
      </c>
      <c r="BD675" s="83" t="n">
        <v>49.58443</v>
      </c>
    </row>
    <row r="676">
      <c r="A676" s="83" t="inlineStr">
        <is>
          <t>2007-07</t>
        </is>
      </c>
      <c r="B676" s="22" t="n">
        <v>39264</v>
      </c>
      <c r="C676" s="22" t="n"/>
      <c r="D676" s="22" t="n"/>
      <c r="E676" s="22" t="n">
        <v>38777</v>
      </c>
      <c r="F676" s="83" t="inlineStr">
        <is>
          <t>2006-03</t>
        </is>
      </c>
      <c r="G676" s="83" t="n">
        <v>40.147</v>
      </c>
      <c r="I676" s="83" t="n">
        <v>26.40434</v>
      </c>
      <c r="J676" s="83" t="n">
        <v>51.14703</v>
      </c>
      <c r="K676" s="83" t="n">
        <v>61.995</v>
      </c>
      <c r="L676" s="83" t="n">
        <v>34.2463</v>
      </c>
      <c r="M676" s="83" t="n">
        <v>23.24656</v>
      </c>
      <c r="N676" s="83" t="n">
        <v>28.87106</v>
      </c>
      <c r="O676" s="83" t="n">
        <v>35.53976</v>
      </c>
      <c r="P676" s="83" t="n">
        <v>52.26886</v>
      </c>
      <c r="R676" s="83" t="n">
        <v>56.268</v>
      </c>
      <c r="S676" s="83" t="n">
        <v>67.73878000000001</v>
      </c>
      <c r="AA676" s="83" t="n">
        <v>62.09473</v>
      </c>
      <c r="AC676" s="83" t="n">
        <v>62.84426</v>
      </c>
      <c r="AD676" s="83" t="n">
        <v>27.86011</v>
      </c>
      <c r="AE676" s="83" t="n">
        <v>24.33838</v>
      </c>
      <c r="AG676" s="83" t="n">
        <v>40.24675</v>
      </c>
      <c r="AH676" s="83" t="n">
        <v>46.69785</v>
      </c>
      <c r="AJ676" s="83" t="n">
        <v>84.06601999999999</v>
      </c>
      <c r="AK676" s="83" t="n">
        <v>47.41386</v>
      </c>
      <c r="AO676" s="83" t="n">
        <v>32.95387</v>
      </c>
      <c r="AQ676" s="83" t="n">
        <v>57.41615</v>
      </c>
      <c r="AR676" s="83" t="n">
        <v>53.74704</v>
      </c>
      <c r="AS676" s="83" t="n">
        <v>104.8296</v>
      </c>
      <c r="AT676" s="83" t="n">
        <v>39.84482</v>
      </c>
      <c r="AV676" s="83" t="n">
        <v>15.72222</v>
      </c>
      <c r="AZ676" s="83" t="n">
        <v>57.35555</v>
      </c>
      <c r="BA676" s="83" t="n">
        <v>22.95119</v>
      </c>
      <c r="BB676" s="83" t="n">
        <v>56.08794</v>
      </c>
      <c r="BC676" s="83" t="n">
        <v>40.96968</v>
      </c>
      <c r="BD676" s="83" t="n">
        <v>49.84689</v>
      </c>
    </row>
    <row r="677">
      <c r="A677" s="83" t="inlineStr">
        <is>
          <t>2007-08</t>
        </is>
      </c>
      <c r="B677" s="22" t="n">
        <v>39295</v>
      </c>
      <c r="C677" s="22" t="n"/>
      <c r="D677" s="22" t="n"/>
      <c r="E677" s="22" t="n">
        <v>38808</v>
      </c>
      <c r="F677" s="83" t="inlineStr">
        <is>
          <t>2006-04</t>
        </is>
      </c>
      <c r="G677" s="83" t="n">
        <v>40.87267</v>
      </c>
      <c r="I677" s="83" t="n">
        <v>26.72375</v>
      </c>
      <c r="J677" s="83" t="n">
        <v>51.09885</v>
      </c>
      <c r="K677" s="83" t="n">
        <v>62.29742</v>
      </c>
      <c r="L677" s="83" t="n">
        <v>34.52607</v>
      </c>
      <c r="M677" s="83" t="n">
        <v>23.55835</v>
      </c>
      <c r="N677" s="83" t="n">
        <v>29.34925</v>
      </c>
      <c r="O677" s="83" t="n">
        <v>36.28589</v>
      </c>
      <c r="P677" s="83" t="n">
        <v>53.00813</v>
      </c>
      <c r="R677" s="83" t="n">
        <v>56.88713</v>
      </c>
      <c r="S677" s="83" t="n">
        <v>68.62699000000001</v>
      </c>
      <c r="AA677" s="83" t="n">
        <v>62.96248</v>
      </c>
      <c r="AC677" s="83" t="n">
        <v>63.93887</v>
      </c>
      <c r="AD677" s="83" t="n">
        <v>27.95644</v>
      </c>
      <c r="AE677" s="83" t="n">
        <v>25.00314</v>
      </c>
      <c r="AG677" s="83" t="n">
        <v>40.80737</v>
      </c>
      <c r="AH677" s="83" t="n">
        <v>47.28976</v>
      </c>
      <c r="AJ677" s="83" t="n">
        <v>84.06601999999999</v>
      </c>
      <c r="AK677" s="83" t="n">
        <v>47.83747</v>
      </c>
      <c r="AO677" s="83" t="n">
        <v>34.09891</v>
      </c>
      <c r="AQ677" s="83" t="n">
        <v>58.02592</v>
      </c>
      <c r="AR677" s="83" t="n">
        <v>54.19272</v>
      </c>
      <c r="AS677" s="83" t="n">
        <v>105.3012</v>
      </c>
      <c r="AT677" s="83" t="n">
        <v>40.2368</v>
      </c>
      <c r="AV677" s="83" t="n">
        <v>16.14274</v>
      </c>
      <c r="AZ677" s="83" t="n">
        <v>58.52439</v>
      </c>
      <c r="BA677" s="83" t="n">
        <v>23.47533</v>
      </c>
      <c r="BB677" s="83" t="n">
        <v>56.39625</v>
      </c>
      <c r="BC677" s="83" t="n">
        <v>41.95339</v>
      </c>
      <c r="BD677" s="83" t="n">
        <v>50.35183</v>
      </c>
    </row>
    <row r="678">
      <c r="A678" s="83" t="inlineStr">
        <is>
          <t>2007-09</t>
        </is>
      </c>
      <c r="B678" s="22" t="n">
        <v>39326</v>
      </c>
      <c r="C678" s="22" t="n"/>
      <c r="D678" s="22" t="n"/>
      <c r="E678" s="22" t="n">
        <v>38838</v>
      </c>
      <c r="F678" s="83" t="inlineStr">
        <is>
          <t>2006-05</t>
        </is>
      </c>
      <c r="G678" s="83" t="n">
        <v>41.391</v>
      </c>
      <c r="I678" s="83" t="n">
        <v>27.12502</v>
      </c>
      <c r="J678" s="83" t="n">
        <v>51.48289</v>
      </c>
      <c r="K678" s="83" t="n">
        <v>62.3433</v>
      </c>
      <c r="L678" s="83" t="n">
        <v>34.74778</v>
      </c>
      <c r="M678" s="83" t="n">
        <v>23.87524</v>
      </c>
      <c r="N678" s="83" t="n">
        <v>30.12034</v>
      </c>
      <c r="O678" s="83" t="n">
        <v>36.59206</v>
      </c>
      <c r="P678" s="83" t="n">
        <v>53.80474</v>
      </c>
      <c r="R678" s="83" t="n">
        <v>57.15881</v>
      </c>
      <c r="S678" s="83" t="n">
        <v>69.3781</v>
      </c>
      <c r="AA678" s="83" t="n">
        <v>62.98257</v>
      </c>
      <c r="AC678" s="83" t="n">
        <v>63.54609</v>
      </c>
      <c r="AD678" s="83" t="n">
        <v>28.43944</v>
      </c>
      <c r="AE678" s="83" t="n">
        <v>25.23626</v>
      </c>
      <c r="AG678" s="83" t="n">
        <v>41.33091</v>
      </c>
      <c r="AH678" s="83" t="n">
        <v>47.55182</v>
      </c>
      <c r="AJ678" s="83" t="n">
        <v>83.90242000000001</v>
      </c>
      <c r="AK678" s="83" t="n">
        <v>48.35872</v>
      </c>
      <c r="AO678" s="83" t="n">
        <v>34.68013</v>
      </c>
      <c r="AQ678" s="83" t="n">
        <v>58.56925</v>
      </c>
      <c r="AR678" s="83" t="n">
        <v>54.47443</v>
      </c>
      <c r="AS678" s="83" t="n">
        <v>105.9554</v>
      </c>
      <c r="AT678" s="83" t="n">
        <v>40.86657</v>
      </c>
      <c r="AV678" s="83" t="n">
        <v>16.55025</v>
      </c>
      <c r="AZ678" s="83" t="n">
        <v>59.33286</v>
      </c>
      <c r="BA678" s="83" t="n">
        <v>24.80253</v>
      </c>
      <c r="BB678" s="83" t="n">
        <v>56.45109</v>
      </c>
      <c r="BC678" s="83" t="n">
        <v>42.36129</v>
      </c>
      <c r="BD678" s="83" t="n">
        <v>50.90573</v>
      </c>
    </row>
    <row r="679">
      <c r="A679" s="83" t="inlineStr">
        <is>
          <t>2007-10</t>
        </is>
      </c>
      <c r="B679" s="22" t="n">
        <v>39356</v>
      </c>
      <c r="C679" s="22" t="n"/>
      <c r="D679" s="22" t="n"/>
      <c r="E679" s="22" t="n">
        <v>38869</v>
      </c>
      <c r="F679" s="83" t="inlineStr">
        <is>
          <t>2006-06</t>
        </is>
      </c>
      <c r="G679" s="83" t="n">
        <v>41.64597</v>
      </c>
      <c r="I679" s="83" t="n">
        <v>27.47001</v>
      </c>
      <c r="J679" s="83" t="n">
        <v>51.82842</v>
      </c>
      <c r="K679" s="83" t="n">
        <v>62.19675</v>
      </c>
      <c r="L679" s="83" t="n">
        <v>34.99657</v>
      </c>
      <c r="M679" s="83" t="n">
        <v>24.16905</v>
      </c>
      <c r="N679" s="83" t="n">
        <v>30.58465</v>
      </c>
      <c r="O679" s="83" t="n">
        <v>37.03169</v>
      </c>
      <c r="P679" s="83" t="n">
        <v>54.12254</v>
      </c>
      <c r="R679" s="83" t="n">
        <v>57.8941</v>
      </c>
      <c r="S679" s="83" t="n">
        <v>69.69190999999999</v>
      </c>
      <c r="AA679" s="83" t="n">
        <v>63.34734</v>
      </c>
      <c r="AC679" s="83" t="n">
        <v>64.64361</v>
      </c>
      <c r="AD679" s="83" t="n">
        <v>28.94695</v>
      </c>
      <c r="AE679" s="83" t="n">
        <v>25.46471</v>
      </c>
      <c r="AG679" s="83" t="n">
        <v>41.79917</v>
      </c>
      <c r="AH679" s="83" t="n">
        <v>47.80096</v>
      </c>
      <c r="AJ679" s="83" t="n">
        <v>83.76336000000001</v>
      </c>
      <c r="AK679" s="83" t="n">
        <v>48.7938</v>
      </c>
      <c r="AO679" s="83" t="n">
        <v>34.99825</v>
      </c>
      <c r="AQ679" s="83" t="n">
        <v>59.51934</v>
      </c>
      <c r="AR679" s="83" t="n">
        <v>54.87127</v>
      </c>
      <c r="AS679" s="83" t="n">
        <v>107.2659</v>
      </c>
      <c r="AT679" s="83" t="n">
        <v>41.54684</v>
      </c>
      <c r="AV679" s="83" t="n">
        <v>16.8702</v>
      </c>
      <c r="AZ679" s="83" t="n">
        <v>60.55233</v>
      </c>
      <c r="BA679" s="83" t="n">
        <v>25.97089</v>
      </c>
      <c r="BB679" s="83" t="n">
        <v>56.76688</v>
      </c>
      <c r="BC679" s="83" t="n">
        <v>43.06607</v>
      </c>
      <c r="BD679" s="83" t="n">
        <v>51.4488</v>
      </c>
    </row>
    <row r="680">
      <c r="A680" s="83" t="inlineStr">
        <is>
          <t>2007-11</t>
        </is>
      </c>
      <c r="B680" s="22" t="n">
        <v>39387</v>
      </c>
      <c r="C680" s="22" t="n"/>
      <c r="D680" s="22" t="n"/>
      <c r="E680" s="22" t="n">
        <v>38899</v>
      </c>
      <c r="F680" s="83" t="inlineStr">
        <is>
          <t>2006-07</t>
        </is>
      </c>
      <c r="G680" s="83" t="n">
        <v>42.0074</v>
      </c>
      <c r="I680" s="83" t="n">
        <v>27.66851</v>
      </c>
      <c r="J680" s="83" t="n">
        <v>52.1741</v>
      </c>
      <c r="K680" s="83" t="n">
        <v>62.58682</v>
      </c>
      <c r="L680" s="83" t="n">
        <v>35.15538</v>
      </c>
      <c r="M680" s="83" t="n">
        <v>24.42949</v>
      </c>
      <c r="N680" s="83" t="n">
        <v>31.31</v>
      </c>
      <c r="O680" s="83" t="n">
        <v>37.6278</v>
      </c>
      <c r="P680" s="83" t="n">
        <v>54.62064</v>
      </c>
      <c r="R680" s="83" t="n">
        <v>58.16055</v>
      </c>
      <c r="S680" s="83" t="n">
        <v>69.90904</v>
      </c>
      <c r="AA680" s="83" t="n">
        <v>64.09335</v>
      </c>
      <c r="AC680" s="83" t="n">
        <v>65.93983</v>
      </c>
      <c r="AD680" s="83" t="n">
        <v>28.99599</v>
      </c>
      <c r="AE680" s="83" t="n">
        <v>25.83794</v>
      </c>
      <c r="AG680" s="83" t="n">
        <v>42.30915</v>
      </c>
      <c r="AH680" s="83" t="n">
        <v>48.18839</v>
      </c>
      <c r="AJ680" s="83" t="n">
        <v>83.59157999999999</v>
      </c>
      <c r="AK680" s="83" t="n">
        <v>49.21496</v>
      </c>
      <c r="AO680" s="83" t="n">
        <v>34.98788</v>
      </c>
      <c r="AQ680" s="83" t="n">
        <v>60.23525</v>
      </c>
      <c r="AR680" s="83" t="n">
        <v>55.14351</v>
      </c>
      <c r="AS680" s="83" t="n">
        <v>108.6376</v>
      </c>
      <c r="AT680" s="83" t="n">
        <v>42.04191</v>
      </c>
      <c r="AV680" s="83" t="n">
        <v>17.71459</v>
      </c>
      <c r="AZ680" s="83" t="n">
        <v>61.83969</v>
      </c>
      <c r="BA680" s="83" t="n">
        <v>25.64908</v>
      </c>
      <c r="BB680" s="83" t="n">
        <v>57.11175</v>
      </c>
      <c r="BC680" s="83" t="n">
        <v>43.53555</v>
      </c>
      <c r="BD680" s="83" t="n">
        <v>52.07419</v>
      </c>
    </row>
    <row r="681">
      <c r="A681" s="83" t="inlineStr">
        <is>
          <t>2007-12</t>
        </is>
      </c>
      <c r="B681" s="22" t="n">
        <v>39417</v>
      </c>
      <c r="C681" s="22" t="n"/>
      <c r="D681" s="22" t="n"/>
      <c r="E681" s="22" t="n">
        <v>38930</v>
      </c>
      <c r="F681" s="83" t="inlineStr">
        <is>
          <t>2006-08</t>
        </is>
      </c>
      <c r="G681" s="83" t="n">
        <v>42.42767</v>
      </c>
      <c r="I681" s="83" t="n">
        <v>27.86411</v>
      </c>
      <c r="J681" s="83" t="n">
        <v>52.56512</v>
      </c>
      <c r="K681" s="83" t="n">
        <v>63.09074</v>
      </c>
      <c r="L681" s="83" t="n">
        <v>35.47283</v>
      </c>
      <c r="M681" s="83" t="n">
        <v>24.73848</v>
      </c>
      <c r="N681" s="83" t="n">
        <v>31.92574</v>
      </c>
      <c r="O681" s="83" t="n">
        <v>38.4178</v>
      </c>
      <c r="P681" s="83" t="n">
        <v>55.3434</v>
      </c>
      <c r="R681" s="83" t="n">
        <v>58.29176</v>
      </c>
      <c r="S681" s="83" t="n">
        <v>70.06609</v>
      </c>
      <c r="AA681" s="83" t="n">
        <v>64.67167999999999</v>
      </c>
      <c r="AC681" s="83" t="n">
        <v>66.09157</v>
      </c>
      <c r="AD681" s="83" t="n">
        <v>29.22624</v>
      </c>
      <c r="AE681" s="83" t="n">
        <v>26.39097</v>
      </c>
      <c r="AG681" s="83" t="n">
        <v>42.84776</v>
      </c>
      <c r="AH681" s="83" t="n">
        <v>48.84156</v>
      </c>
      <c r="AJ681" s="83" t="n">
        <v>83.64066</v>
      </c>
      <c r="AK681" s="83" t="n">
        <v>49.74785</v>
      </c>
      <c r="AO681" s="83" t="n">
        <v>34.77387</v>
      </c>
      <c r="AQ681" s="83" t="n">
        <v>60.5854</v>
      </c>
      <c r="AR681" s="83" t="n">
        <v>55.35653</v>
      </c>
      <c r="AS681" s="83" t="n">
        <v>109.3595</v>
      </c>
      <c r="AT681" s="83" t="n">
        <v>42.4836</v>
      </c>
      <c r="AV681" s="83" t="n">
        <v>18.49716</v>
      </c>
      <c r="AZ681" s="83" t="n">
        <v>62.5967</v>
      </c>
      <c r="BA681" s="83" t="n">
        <v>25.31731</v>
      </c>
      <c r="BB681" s="83" t="n">
        <v>57.36771</v>
      </c>
      <c r="BC681" s="83" t="n">
        <v>44.13416</v>
      </c>
      <c r="BD681" s="83" t="n">
        <v>52.71755</v>
      </c>
    </row>
    <row r="682">
      <c r="A682" s="83" t="inlineStr">
        <is>
          <t>2008-01</t>
        </is>
      </c>
      <c r="B682" s="22" t="n">
        <v>39448</v>
      </c>
      <c r="C682" s="22" t="n"/>
      <c r="D682" s="22" t="n"/>
      <c r="E682" s="22" t="n">
        <v>38961</v>
      </c>
      <c r="F682" s="83" t="inlineStr">
        <is>
          <t>2006-09</t>
        </is>
      </c>
      <c r="G682" s="83" t="n">
        <v>42.83113</v>
      </c>
      <c r="I682" s="83" t="n">
        <v>28.1286</v>
      </c>
      <c r="J682" s="83" t="n">
        <v>53.17843</v>
      </c>
      <c r="K682" s="83" t="n">
        <v>63.14852</v>
      </c>
      <c r="L682" s="83" t="n">
        <v>36.16491</v>
      </c>
      <c r="M682" s="83" t="n">
        <v>25.05982</v>
      </c>
      <c r="N682" s="83" t="n">
        <v>32.07669</v>
      </c>
      <c r="O682" s="83" t="n">
        <v>39.43539</v>
      </c>
      <c r="P682" s="83" t="n">
        <v>55.63648</v>
      </c>
      <c r="R682" s="83" t="n">
        <v>59.13096</v>
      </c>
      <c r="S682" s="83" t="n">
        <v>70.66681</v>
      </c>
      <c r="AA682" s="83" t="n">
        <v>65.55105</v>
      </c>
      <c r="AC682" s="83" t="n">
        <v>66.29922000000001</v>
      </c>
      <c r="AD682" s="83" t="n">
        <v>29.57489</v>
      </c>
      <c r="AE682" s="83" t="n">
        <v>26.89985</v>
      </c>
      <c r="AG682" s="83" t="n">
        <v>43.38371</v>
      </c>
      <c r="AH682" s="83" t="n">
        <v>49.4216</v>
      </c>
      <c r="AJ682" s="83" t="n">
        <v>83.76336000000001</v>
      </c>
      <c r="AK682" s="83" t="n">
        <v>50.1917</v>
      </c>
      <c r="AO682" s="83" t="n">
        <v>35.02473</v>
      </c>
      <c r="AQ682" s="83" t="n">
        <v>61.32104</v>
      </c>
      <c r="AR682" s="83" t="n">
        <v>55.70098</v>
      </c>
      <c r="AS682" s="83" t="n">
        <v>109.9776</v>
      </c>
      <c r="AT682" s="83" t="n">
        <v>43.12127</v>
      </c>
      <c r="AV682" s="83" t="n">
        <v>18.83364</v>
      </c>
      <c r="AZ682" s="83" t="n">
        <v>63.12055</v>
      </c>
      <c r="BA682" s="83" t="n">
        <v>25.60769</v>
      </c>
      <c r="BB682" s="83" t="n">
        <v>57.59374</v>
      </c>
      <c r="BC682" s="83" t="n">
        <v>44.68154</v>
      </c>
      <c r="BD682" s="83" t="n">
        <v>53.09537</v>
      </c>
    </row>
    <row r="683">
      <c r="A683" s="83" t="inlineStr">
        <is>
          <t>2008-02</t>
        </is>
      </c>
      <c r="B683" s="22" t="n">
        <v>39479</v>
      </c>
      <c r="C683" s="22" t="n"/>
      <c r="D683" s="22" t="n"/>
      <c r="E683" s="22" t="n">
        <v>38991</v>
      </c>
      <c r="F683" s="83" t="inlineStr">
        <is>
          <t>2006-10</t>
        </is>
      </c>
      <c r="G683" s="83" t="n">
        <v>43.2598</v>
      </c>
      <c r="I683" s="83" t="n">
        <v>28.50843</v>
      </c>
      <c r="J683" s="83" t="n">
        <v>53.51119</v>
      </c>
      <c r="K683" s="83" t="n">
        <v>63.35387</v>
      </c>
      <c r="L683" s="83" t="n">
        <v>36.53931</v>
      </c>
      <c r="M683" s="83" t="n">
        <v>25.39048</v>
      </c>
      <c r="N683" s="83" t="n">
        <v>32.26503</v>
      </c>
      <c r="O683" s="83" t="n">
        <v>40.38107</v>
      </c>
      <c r="P683" s="83" t="n">
        <v>56.0471</v>
      </c>
      <c r="R683" s="83" t="n">
        <v>60.1908</v>
      </c>
      <c r="S683" s="83" t="n">
        <v>71.26898</v>
      </c>
      <c r="AA683" s="83" t="n">
        <v>66.58246</v>
      </c>
      <c r="AC683" s="83" t="n">
        <v>66.35254</v>
      </c>
      <c r="AD683" s="83" t="n">
        <v>30.05068</v>
      </c>
      <c r="AE683" s="83" t="n">
        <v>27.16799</v>
      </c>
      <c r="AG683" s="83" t="n">
        <v>44.0172</v>
      </c>
      <c r="AH683" s="83" t="n">
        <v>49.88865</v>
      </c>
      <c r="AJ683" s="83" t="n">
        <v>83.71428</v>
      </c>
      <c r="AK683" s="83" t="n">
        <v>50.54417</v>
      </c>
      <c r="AO683" s="83" t="n">
        <v>35.02005</v>
      </c>
      <c r="AQ683" s="83" t="n">
        <v>61.93491</v>
      </c>
      <c r="AR683" s="83" t="n">
        <v>56.07665</v>
      </c>
      <c r="AS683" s="83" t="n">
        <v>110.9206</v>
      </c>
      <c r="AT683" s="83" t="n">
        <v>43.80297</v>
      </c>
      <c r="AV683" s="83" t="n">
        <v>19.59855</v>
      </c>
      <c r="AZ683" s="83" t="n">
        <v>63.23695</v>
      </c>
      <c r="BA683" s="83" t="n">
        <v>25.93095</v>
      </c>
      <c r="BB683" s="83" t="n">
        <v>58.00094</v>
      </c>
      <c r="BC683" s="83" t="n">
        <v>45.44887</v>
      </c>
      <c r="BD683" s="83" t="n">
        <v>53.25428</v>
      </c>
    </row>
    <row r="684">
      <c r="A684" s="83" t="inlineStr">
        <is>
          <t>2008-03</t>
        </is>
      </c>
      <c r="B684" s="22" t="n">
        <v>39508</v>
      </c>
      <c r="C684" s="22" t="n"/>
      <c r="D684" s="22" t="n"/>
      <c r="E684" s="22" t="n">
        <v>39022</v>
      </c>
      <c r="F684" s="83" t="inlineStr">
        <is>
          <t>2006-11</t>
        </is>
      </c>
      <c r="G684" s="83" t="n">
        <v>43.66046</v>
      </c>
      <c r="I684" s="83" t="n">
        <v>28.99385</v>
      </c>
      <c r="J684" s="83" t="n">
        <v>53.93261</v>
      </c>
      <c r="K684" s="83" t="n">
        <v>63.44649</v>
      </c>
      <c r="L684" s="83" t="n">
        <v>36.63592</v>
      </c>
      <c r="M684" s="83" t="n">
        <v>25.75198</v>
      </c>
      <c r="N684" s="83" t="n">
        <v>32.84153</v>
      </c>
      <c r="O684" s="83" t="n">
        <v>41.33162</v>
      </c>
      <c r="P684" s="83" t="n">
        <v>56.87092</v>
      </c>
      <c r="R684" s="83" t="n">
        <v>60.92974</v>
      </c>
      <c r="S684" s="83" t="n">
        <v>71.66408</v>
      </c>
      <c r="AA684" s="83" t="n">
        <v>67.16222</v>
      </c>
      <c r="AC684" s="83" t="n">
        <v>66.58273</v>
      </c>
      <c r="AD684" s="83" t="n">
        <v>30.50355</v>
      </c>
      <c r="AE684" s="83" t="n">
        <v>27.4556</v>
      </c>
      <c r="AG684" s="83" t="n">
        <v>44.85639</v>
      </c>
      <c r="AH684" s="83" t="n">
        <v>50.32433</v>
      </c>
      <c r="AJ684" s="83" t="n">
        <v>83.77972</v>
      </c>
      <c r="AK684" s="83" t="n">
        <v>51.05559</v>
      </c>
      <c r="AO684" s="83" t="n">
        <v>35.20051</v>
      </c>
      <c r="AQ684" s="83" t="n">
        <v>62.53189</v>
      </c>
      <c r="AR684" s="83" t="n">
        <v>56.38651</v>
      </c>
      <c r="AS684" s="83" t="n">
        <v>112.1428</v>
      </c>
      <c r="AT684" s="83" t="n">
        <v>44.4305</v>
      </c>
      <c r="AV684" s="83" t="n">
        <v>20.25907</v>
      </c>
      <c r="AZ684" s="83" t="n">
        <v>63.32087</v>
      </c>
      <c r="BA684" s="83" t="n">
        <v>26.16482</v>
      </c>
      <c r="BB684" s="83" t="n">
        <v>58.29014</v>
      </c>
      <c r="BC684" s="83" t="n">
        <v>46.46239</v>
      </c>
      <c r="BD684" s="83" t="n">
        <v>54.01063</v>
      </c>
    </row>
    <row r="685">
      <c r="A685" s="83" t="inlineStr">
        <is>
          <t>2008-04</t>
        </is>
      </c>
      <c r="B685" s="22" t="n">
        <v>39539</v>
      </c>
      <c r="C685" s="22" t="n"/>
      <c r="D685" s="22" t="n"/>
      <c r="E685" s="22" t="n">
        <v>39052</v>
      </c>
      <c r="F685" s="83" t="inlineStr">
        <is>
          <t>2006-12</t>
        </is>
      </c>
      <c r="G685" s="83" t="n">
        <v>44.07232</v>
      </c>
      <c r="I685" s="83" t="n">
        <v>29.38512</v>
      </c>
      <c r="J685" s="83" t="n">
        <v>54.53502</v>
      </c>
      <c r="K685" s="83" t="n">
        <v>63.49689</v>
      </c>
      <c r="L685" s="83" t="n">
        <v>37.06504</v>
      </c>
      <c r="M685" s="83" t="n">
        <v>26.11119</v>
      </c>
      <c r="N685" s="83" t="n">
        <v>33.23326</v>
      </c>
      <c r="O685" s="83" t="n">
        <v>42.01093</v>
      </c>
      <c r="P685" s="83" t="n">
        <v>57.66341</v>
      </c>
      <c r="R685" s="83" t="n">
        <v>61.26351</v>
      </c>
      <c r="S685" s="83" t="n">
        <v>72.76393</v>
      </c>
      <c r="AA685" s="83" t="n">
        <v>67.85536</v>
      </c>
      <c r="AC685" s="83" t="n">
        <v>67.15464</v>
      </c>
      <c r="AD685" s="83" t="n">
        <v>30.81024</v>
      </c>
      <c r="AE685" s="83" t="n">
        <v>27.88753</v>
      </c>
      <c r="AG685" s="83" t="n">
        <v>45.8675</v>
      </c>
      <c r="AH685" s="83" t="n">
        <v>51.03526</v>
      </c>
      <c r="AJ685" s="83" t="n">
        <v>83.80426</v>
      </c>
      <c r="AK685" s="83" t="n">
        <v>51.51584</v>
      </c>
      <c r="AO685" s="83" t="n">
        <v>35.96661</v>
      </c>
      <c r="AQ685" s="83" t="n">
        <v>63.53942</v>
      </c>
      <c r="AR685" s="83" t="n">
        <v>56.83804</v>
      </c>
      <c r="AS685" s="83" t="n">
        <v>113.2091</v>
      </c>
      <c r="AT685" s="83" t="n">
        <v>45.07062</v>
      </c>
      <c r="AV685" s="83" t="n">
        <v>19.97931</v>
      </c>
      <c r="AZ685" s="83" t="n">
        <v>63.89422</v>
      </c>
      <c r="BA685" s="83" t="n">
        <v>26.64478</v>
      </c>
      <c r="BB685" s="83" t="n">
        <v>58.64914</v>
      </c>
      <c r="BC685" s="83" t="n">
        <v>47.08674</v>
      </c>
      <c r="BD685" s="83" t="n">
        <v>54.55961</v>
      </c>
    </row>
    <row r="686">
      <c r="A686" s="83" t="inlineStr">
        <is>
          <t>2008-05</t>
        </is>
      </c>
      <c r="B686" s="22" t="n">
        <v>39569</v>
      </c>
      <c r="C686" s="22" t="n"/>
      <c r="D686" s="22" t="n"/>
      <c r="E686" s="22" t="n">
        <v>39083</v>
      </c>
      <c r="F686" s="83" t="inlineStr">
        <is>
          <t>2007-01</t>
        </is>
      </c>
      <c r="G686" s="83" t="n">
        <v>44.52061</v>
      </c>
      <c r="I686" s="83" t="n">
        <v>29.81321</v>
      </c>
      <c r="J686" s="83" t="n">
        <v>54.89435</v>
      </c>
      <c r="K686" s="83" t="n">
        <v>63.76263</v>
      </c>
      <c r="L686" s="83" t="n">
        <v>37.64894</v>
      </c>
      <c r="M686" s="83" t="n">
        <v>26.43659</v>
      </c>
      <c r="N686" s="83" t="n">
        <v>33.28036</v>
      </c>
      <c r="O686" s="83" t="n">
        <v>42.50452</v>
      </c>
      <c r="P686" s="83" t="n">
        <v>58.57141</v>
      </c>
      <c r="R686" s="83" t="n">
        <v>61.66805</v>
      </c>
      <c r="S686" s="83" t="n">
        <v>73.68704</v>
      </c>
      <c r="AA686" s="83" t="n">
        <v>68.50405000000001</v>
      </c>
      <c r="AC686" s="83" t="n">
        <v>67.6507</v>
      </c>
      <c r="AD686" s="83" t="n">
        <v>31.17442</v>
      </c>
      <c r="AE686" s="83" t="n">
        <v>28.2892</v>
      </c>
      <c r="AG686" s="83" t="n">
        <v>47.02999</v>
      </c>
      <c r="AH686" s="83" t="n">
        <v>51.7294</v>
      </c>
      <c r="AJ686" s="83" t="n">
        <v>83.8288</v>
      </c>
      <c r="AK686" s="83" t="n">
        <v>51.7408</v>
      </c>
      <c r="AO686" s="83" t="n">
        <v>36.14719</v>
      </c>
      <c r="AQ686" s="83" t="n">
        <v>64.40199</v>
      </c>
      <c r="AR686" s="83" t="n">
        <v>57.21997</v>
      </c>
      <c r="AS686" s="83" t="n">
        <v>114.1861</v>
      </c>
      <c r="AT686" s="83" t="n">
        <v>45.93355</v>
      </c>
      <c r="AV686" s="83" t="n">
        <v>21.08495</v>
      </c>
      <c r="AZ686" s="83" t="n">
        <v>65.05459999999999</v>
      </c>
      <c r="BA686" s="83" t="n">
        <v>27.17323</v>
      </c>
      <c r="BB686" s="83" t="n">
        <v>58.96492</v>
      </c>
      <c r="BC686" s="83" t="n">
        <v>47.41708</v>
      </c>
      <c r="BD686" s="83" t="n">
        <v>54.86212</v>
      </c>
    </row>
    <row r="687">
      <c r="A687" s="83" t="inlineStr">
        <is>
          <t>2008-06</t>
        </is>
      </c>
      <c r="B687" s="22" t="n">
        <v>39600</v>
      </c>
      <c r="C687" s="22" t="n"/>
      <c r="D687" s="22" t="n"/>
      <c r="E687" s="22" t="n">
        <v>39114</v>
      </c>
      <c r="F687" s="83" t="inlineStr">
        <is>
          <t>2007-02</t>
        </is>
      </c>
      <c r="G687" s="83" t="n">
        <v>45.16222</v>
      </c>
      <c r="I687" s="83" t="n">
        <v>30.29605</v>
      </c>
      <c r="J687" s="83" t="n">
        <v>55.23326</v>
      </c>
      <c r="K687" s="83" t="n">
        <v>63.91803</v>
      </c>
      <c r="L687" s="83" t="n">
        <v>38.18285</v>
      </c>
      <c r="M687" s="83" t="n">
        <v>26.87182</v>
      </c>
      <c r="N687" s="83" t="n">
        <v>33.75066</v>
      </c>
      <c r="O687" s="83" t="n">
        <v>43.26563</v>
      </c>
      <c r="P687" s="83" t="n">
        <v>59.30701</v>
      </c>
      <c r="R687" s="83" t="n">
        <v>62.37133</v>
      </c>
      <c r="S687" s="83" t="n">
        <v>73.94446000000001</v>
      </c>
      <c r="AA687" s="83" t="n">
        <v>69.00194999999999</v>
      </c>
      <c r="AC687" s="83" t="n">
        <v>67.99538</v>
      </c>
      <c r="AD687" s="83" t="n">
        <v>31.5383</v>
      </c>
      <c r="AE687" s="83" t="n">
        <v>28.77255</v>
      </c>
      <c r="AG687" s="83" t="n">
        <v>48.37229</v>
      </c>
      <c r="AH687" s="83" t="n">
        <v>52.20829</v>
      </c>
      <c r="AJ687" s="83" t="n">
        <v>83.81244</v>
      </c>
      <c r="AK687" s="83" t="n">
        <v>52.03909</v>
      </c>
      <c r="AO687" s="83" t="n">
        <v>36.06145</v>
      </c>
      <c r="AQ687" s="83" t="n">
        <v>65.21198</v>
      </c>
      <c r="AR687" s="83" t="n">
        <v>57.44868</v>
      </c>
      <c r="AS687" s="83" t="n">
        <v>114.9958</v>
      </c>
      <c r="AT687" s="83" t="n">
        <v>46.63795</v>
      </c>
      <c r="AV687" s="83" t="n">
        <v>22.26294</v>
      </c>
      <c r="AZ687" s="83" t="n">
        <v>66.16</v>
      </c>
      <c r="BA687" s="83" t="n">
        <v>27.58206</v>
      </c>
      <c r="BB687" s="83" t="n">
        <v>59.09623</v>
      </c>
      <c r="BC687" s="83" t="n">
        <v>48.35196</v>
      </c>
      <c r="BD687" s="83" t="n">
        <v>55.56318</v>
      </c>
    </row>
    <row r="688">
      <c r="A688" s="83" t="inlineStr">
        <is>
          <t>2008-07</t>
        </is>
      </c>
      <c r="B688" s="22" t="n">
        <v>39630</v>
      </c>
      <c r="C688" s="22" t="n"/>
      <c r="D688" s="22" t="n"/>
      <c r="E688" s="22" t="n">
        <v>39142</v>
      </c>
      <c r="F688" s="83" t="inlineStr">
        <is>
          <t>2007-03</t>
        </is>
      </c>
      <c r="G688" s="83" t="n">
        <v>45.94673</v>
      </c>
      <c r="I688" s="83" t="n">
        <v>30.54947</v>
      </c>
      <c r="J688" s="83" t="n">
        <v>55.92814</v>
      </c>
      <c r="K688" s="83" t="n">
        <v>63.79586</v>
      </c>
      <c r="L688" s="83" t="n">
        <v>38.67466</v>
      </c>
      <c r="M688" s="83" t="n">
        <v>27.28619</v>
      </c>
      <c r="N688" s="83" t="n">
        <v>35.00224</v>
      </c>
      <c r="O688" s="83" t="n">
        <v>44.30909</v>
      </c>
      <c r="P688" s="83" t="n">
        <v>59.77803</v>
      </c>
      <c r="R688" s="83" t="n">
        <v>63.36587</v>
      </c>
      <c r="S688" s="83" t="n">
        <v>74.83857999999999</v>
      </c>
      <c r="AA688" s="83" t="n">
        <v>69.84031</v>
      </c>
      <c r="AC688" s="83" t="n">
        <v>68.32219000000001</v>
      </c>
      <c r="AD688" s="83" t="n">
        <v>31.92796</v>
      </c>
      <c r="AE688" s="83" t="n">
        <v>29.65061</v>
      </c>
      <c r="AG688" s="83" t="n">
        <v>49.96592</v>
      </c>
      <c r="AH688" s="83" t="n">
        <v>52.52686</v>
      </c>
      <c r="AJ688" s="83" t="n">
        <v>83.86971</v>
      </c>
      <c r="AK688" s="83" t="n">
        <v>52.37684</v>
      </c>
      <c r="AO688" s="83" t="n">
        <v>36.56516</v>
      </c>
      <c r="AQ688" s="83" t="n">
        <v>66.67928000000001</v>
      </c>
      <c r="AR688" s="83" t="n">
        <v>57.82818</v>
      </c>
      <c r="AS688" s="83" t="n">
        <v>115.9797</v>
      </c>
      <c r="AT688" s="83" t="n">
        <v>46.97087</v>
      </c>
      <c r="AV688" s="83" t="n">
        <v>22.25819</v>
      </c>
      <c r="AZ688" s="83" t="n">
        <v>66.90176</v>
      </c>
      <c r="BA688" s="83" t="n">
        <v>27.86996</v>
      </c>
      <c r="BB688" s="83" t="n">
        <v>59.37711</v>
      </c>
      <c r="BC688" s="83" t="n">
        <v>49.80399</v>
      </c>
      <c r="BD688" s="83" t="n">
        <v>56.12113</v>
      </c>
    </row>
    <row r="689">
      <c r="A689" s="83" t="inlineStr">
        <is>
          <t>2008-08</t>
        </is>
      </c>
      <c r="B689" s="22" t="n">
        <v>39661</v>
      </c>
      <c r="C689" s="22" t="n"/>
      <c r="D689" s="22" t="n"/>
      <c r="E689" s="22" t="n">
        <v>39173</v>
      </c>
      <c r="F689" s="83" t="inlineStr">
        <is>
          <t>2007-04</t>
        </is>
      </c>
      <c r="G689" s="83" t="n">
        <v>46.64438</v>
      </c>
      <c r="I689" s="83" t="n">
        <v>31.03602</v>
      </c>
      <c r="J689" s="83" t="n">
        <v>56.26189</v>
      </c>
      <c r="K689" s="83" t="n">
        <v>63.68486</v>
      </c>
      <c r="L689" s="83" t="n">
        <v>39.03443</v>
      </c>
      <c r="M689" s="83" t="n">
        <v>27.57543</v>
      </c>
      <c r="N689" s="83" t="n">
        <v>35.91614</v>
      </c>
      <c r="O689" s="83" t="n">
        <v>44.94453</v>
      </c>
      <c r="P689" s="83" t="n">
        <v>60.85343</v>
      </c>
      <c r="R689" s="83" t="n">
        <v>63.76192</v>
      </c>
      <c r="S689" s="83" t="n">
        <v>75.87625</v>
      </c>
      <c r="AA689" s="83" t="n">
        <v>70.67076</v>
      </c>
      <c r="AC689" s="83" t="n">
        <v>68.58163</v>
      </c>
      <c r="AD689" s="83" t="n">
        <v>32.26581</v>
      </c>
      <c r="AE689" s="83" t="n">
        <v>30.16648</v>
      </c>
      <c r="AG689" s="83" t="n">
        <v>51.80834</v>
      </c>
      <c r="AH689" s="83" t="n">
        <v>52.84549</v>
      </c>
      <c r="AJ689" s="83" t="n">
        <v>83.91879</v>
      </c>
      <c r="AK689" s="83" t="n">
        <v>52.77962</v>
      </c>
      <c r="AO689" s="83" t="n">
        <v>36.67766</v>
      </c>
      <c r="AQ689" s="83" t="n">
        <v>67.27422</v>
      </c>
      <c r="AR689" s="83" t="n">
        <v>58.30146</v>
      </c>
      <c r="AS689" s="83" t="n">
        <v>117.247</v>
      </c>
      <c r="AT689" s="83" t="n">
        <v>47.43393</v>
      </c>
      <c r="AV689" s="83" t="n">
        <v>23.40075</v>
      </c>
      <c r="AZ689" s="83" t="n">
        <v>67.52734</v>
      </c>
      <c r="BA689" s="83" t="n">
        <v>28.21742</v>
      </c>
      <c r="BB689" s="83" t="n">
        <v>59.97794</v>
      </c>
      <c r="BC689" s="83" t="n">
        <v>50.81475</v>
      </c>
      <c r="BD689" s="83" t="n">
        <v>56.93914</v>
      </c>
    </row>
    <row r="690">
      <c r="A690" s="83" t="inlineStr">
        <is>
          <t>2008-09</t>
        </is>
      </c>
      <c r="B690" s="22" t="n">
        <v>39692</v>
      </c>
      <c r="C690" s="22" t="n"/>
      <c r="D690" s="22" t="n"/>
      <c r="E690" s="22" t="n">
        <v>39203</v>
      </c>
      <c r="F690" s="83" t="inlineStr">
        <is>
          <t>2007-05</t>
        </is>
      </c>
      <c r="G690" s="83" t="n">
        <v>47.22715</v>
      </c>
      <c r="I690" s="83" t="n">
        <v>31.62911</v>
      </c>
      <c r="J690" s="83" t="n">
        <v>56.75015</v>
      </c>
      <c r="K690" s="83" t="n">
        <v>63.74327</v>
      </c>
      <c r="L690" s="83" t="n">
        <v>39.42802</v>
      </c>
      <c r="M690" s="83" t="n">
        <v>27.89254</v>
      </c>
      <c r="N690" s="83" t="n">
        <v>36.43916</v>
      </c>
      <c r="O690" s="83" t="n">
        <v>45.13071</v>
      </c>
      <c r="P690" s="83" t="n">
        <v>62.24747</v>
      </c>
      <c r="R690" s="83" t="n">
        <v>63.84542</v>
      </c>
      <c r="S690" s="83" t="n">
        <v>76.59356</v>
      </c>
      <c r="AA690" s="83" t="n">
        <v>71.79752000000001</v>
      </c>
      <c r="AC690" s="83" t="n">
        <v>68.94047</v>
      </c>
      <c r="AD690" s="83" t="n">
        <v>32.47444</v>
      </c>
      <c r="AE690" s="83" t="n">
        <v>30.2391</v>
      </c>
      <c r="AG690" s="83" t="n">
        <v>53.67901</v>
      </c>
      <c r="AH690" s="83" t="n">
        <v>53.19137</v>
      </c>
      <c r="AJ690" s="83" t="n">
        <v>83.93514</v>
      </c>
      <c r="AK690" s="83" t="n">
        <v>53.35363</v>
      </c>
      <c r="AO690" s="83" t="n">
        <v>36.80132</v>
      </c>
      <c r="AQ690" s="83" t="n">
        <v>67.85336</v>
      </c>
      <c r="AR690" s="83" t="n">
        <v>58.58654</v>
      </c>
      <c r="AS690" s="83" t="n">
        <v>117.9687</v>
      </c>
      <c r="AT690" s="83" t="n">
        <v>47.78672</v>
      </c>
      <c r="AV690" s="83" t="n">
        <v>24.50895</v>
      </c>
      <c r="AZ690" s="83" t="n">
        <v>68.17231</v>
      </c>
      <c r="BA690" s="83" t="n">
        <v>28.75617</v>
      </c>
      <c r="BB690" s="83" t="n">
        <v>60.09095</v>
      </c>
      <c r="BC690" s="83" t="n">
        <v>51.80145</v>
      </c>
      <c r="BD690" s="83" t="n">
        <v>57.64344</v>
      </c>
    </row>
    <row r="691">
      <c r="A691" s="83" t="inlineStr">
        <is>
          <t>2008-10</t>
        </is>
      </c>
      <c r="B691" s="22" t="n">
        <v>39722</v>
      </c>
      <c r="C691" s="22" t="n"/>
      <c r="D691" s="22" t="n"/>
      <c r="E691" s="22" t="n">
        <v>39234</v>
      </c>
      <c r="F691" s="83" t="inlineStr">
        <is>
          <t>2007-06</t>
        </is>
      </c>
      <c r="G691" s="83" t="n">
        <v>48.0817</v>
      </c>
      <c r="I691" s="83" t="n">
        <v>32.08001</v>
      </c>
      <c r="J691" s="83" t="n">
        <v>57.09614</v>
      </c>
      <c r="K691" s="83" t="n">
        <v>63.79593</v>
      </c>
      <c r="L691" s="83" t="n">
        <v>39.95502</v>
      </c>
      <c r="M691" s="83" t="n">
        <v>28.22035</v>
      </c>
      <c r="N691" s="83" t="n">
        <v>36.5073</v>
      </c>
      <c r="O691" s="83" t="n">
        <v>45.97916</v>
      </c>
      <c r="P691" s="83" t="n">
        <v>62.69596</v>
      </c>
      <c r="R691" s="83" t="n">
        <v>64.89478</v>
      </c>
      <c r="S691" s="83" t="n">
        <v>77.3759</v>
      </c>
      <c r="AA691" s="83" t="n">
        <v>72.83745</v>
      </c>
      <c r="AC691" s="83" t="n">
        <v>69.86812</v>
      </c>
      <c r="AD691" s="83" t="n">
        <v>32.99313</v>
      </c>
      <c r="AE691" s="83" t="n">
        <v>30.80192</v>
      </c>
      <c r="AG691" s="83" t="n">
        <v>55.58387</v>
      </c>
      <c r="AH691" s="83" t="n">
        <v>53.67646</v>
      </c>
      <c r="AJ691" s="83" t="n">
        <v>84.00058</v>
      </c>
      <c r="AK691" s="83" t="n">
        <v>53.80017</v>
      </c>
      <c r="AO691" s="83" t="n">
        <v>37.25092</v>
      </c>
      <c r="AQ691" s="83" t="n">
        <v>69.26748000000001</v>
      </c>
      <c r="AR691" s="83" t="n">
        <v>58.99444</v>
      </c>
      <c r="AS691" s="83" t="n">
        <v>118.4835</v>
      </c>
      <c r="AT691" s="83" t="n">
        <v>47.96987</v>
      </c>
      <c r="AV691" s="83" t="n">
        <v>25.32121</v>
      </c>
      <c r="AZ691" s="83" t="n">
        <v>68.99571</v>
      </c>
      <c r="BA691" s="83" t="n">
        <v>29.29412</v>
      </c>
      <c r="BB691" s="83" t="n">
        <v>60.36685</v>
      </c>
      <c r="BC691" s="83" t="n">
        <v>52.86995</v>
      </c>
      <c r="BD691" s="83" t="n">
        <v>57.96732</v>
      </c>
    </row>
    <row r="692">
      <c r="A692" s="83" t="inlineStr">
        <is>
          <t>2008-11</t>
        </is>
      </c>
      <c r="B692" s="22" t="n">
        <v>39753</v>
      </c>
      <c r="C692" s="22" t="n"/>
      <c r="D692" s="22" t="n"/>
      <c r="E692" s="22" t="n">
        <v>39264</v>
      </c>
      <c r="F692" s="83" t="inlineStr">
        <is>
          <t>2007-07</t>
        </is>
      </c>
      <c r="G692" s="83" t="n">
        <v>49.02871</v>
      </c>
      <c r="I692" s="83" t="n">
        <v>32.11861</v>
      </c>
      <c r="J692" s="83" t="n">
        <v>57.72806</v>
      </c>
      <c r="K692" s="83" t="n">
        <v>63.77201</v>
      </c>
      <c r="L692" s="83" t="n">
        <v>40.54895</v>
      </c>
      <c r="M692" s="83" t="n">
        <v>28.70885</v>
      </c>
      <c r="N692" s="83" t="n">
        <v>36.73118</v>
      </c>
      <c r="O692" s="83" t="n">
        <v>46.75602</v>
      </c>
      <c r="P692" s="83" t="n">
        <v>63.09424</v>
      </c>
      <c r="R692" s="83" t="n">
        <v>66.21314</v>
      </c>
      <c r="S692" s="83" t="n">
        <v>77.99592</v>
      </c>
      <c r="AA692" s="83" t="n">
        <v>73.67422000000001</v>
      </c>
      <c r="AC692" s="83" t="n">
        <v>70.82602</v>
      </c>
      <c r="AD692" s="83" t="n">
        <v>33.82523</v>
      </c>
      <c r="AE692" s="83" t="n">
        <v>31.54329</v>
      </c>
      <c r="AG692" s="83" t="n">
        <v>57.63438</v>
      </c>
      <c r="AH692" s="83" t="n">
        <v>54.65708</v>
      </c>
      <c r="AJ692" s="83" t="n">
        <v>83.9924</v>
      </c>
      <c r="AK692" s="83" t="n">
        <v>54.1781</v>
      </c>
      <c r="AO692" s="83" t="n">
        <v>37.35649</v>
      </c>
      <c r="AQ692" s="83" t="n">
        <v>70.15107999999999</v>
      </c>
      <c r="AR692" s="83" t="n">
        <v>59.35427</v>
      </c>
      <c r="AS692" s="83" t="n">
        <v>119.0472</v>
      </c>
      <c r="AT692" s="83" t="n">
        <v>48.46305</v>
      </c>
      <c r="AV692" s="83" t="n">
        <v>26.2644</v>
      </c>
      <c r="AZ692" s="83" t="n">
        <v>69.62703999999999</v>
      </c>
      <c r="BA692" s="83" t="n">
        <v>29.79032</v>
      </c>
      <c r="BB692" s="83" t="n">
        <v>60.61865</v>
      </c>
      <c r="BC692" s="83" t="n">
        <v>53.78811</v>
      </c>
      <c r="BD692" s="83" t="n">
        <v>58.31068</v>
      </c>
    </row>
    <row r="693">
      <c r="A693" s="83" t="inlineStr">
        <is>
          <t>2008-12</t>
        </is>
      </c>
      <c r="B693" s="22" t="n">
        <v>39783</v>
      </c>
      <c r="C693" s="22" t="n"/>
      <c r="D693" s="22" t="n"/>
      <c r="E693" s="22" t="n">
        <v>39295</v>
      </c>
      <c r="F693" s="83" t="inlineStr">
        <is>
          <t>2007-08</t>
        </is>
      </c>
      <c r="G693" s="83" t="n">
        <v>49.85244</v>
      </c>
      <c r="I693" s="83" t="n">
        <v>31.97478</v>
      </c>
      <c r="J693" s="83" t="n">
        <v>58.7952</v>
      </c>
      <c r="K693" s="83" t="n">
        <v>63.60555</v>
      </c>
      <c r="L693" s="83" t="n">
        <v>41.01163</v>
      </c>
      <c r="M693" s="83" t="n">
        <v>29.2167</v>
      </c>
      <c r="N693" s="83" t="n">
        <v>37.05768</v>
      </c>
      <c r="O693" s="83" t="n">
        <v>47.48323</v>
      </c>
      <c r="P693" s="83" t="n">
        <v>63.85078</v>
      </c>
      <c r="R693" s="83" t="n">
        <v>67.42412</v>
      </c>
      <c r="S693" s="83" t="n">
        <v>78.28655999999999</v>
      </c>
      <c r="AA693" s="83" t="n">
        <v>74.38779</v>
      </c>
      <c r="AC693" s="83" t="n">
        <v>71.76617</v>
      </c>
      <c r="AD693" s="83" t="n">
        <v>34.36432</v>
      </c>
      <c r="AE693" s="83" t="n">
        <v>32.06529</v>
      </c>
      <c r="AG693" s="83" t="n">
        <v>59.66856</v>
      </c>
      <c r="AH693" s="83" t="n">
        <v>54.99132</v>
      </c>
      <c r="AJ693" s="83" t="n">
        <v>83.87788</v>
      </c>
      <c r="AK693" s="83" t="n">
        <v>54.60852</v>
      </c>
      <c r="AO693" s="83" t="n">
        <v>38.26392</v>
      </c>
      <c r="AQ693" s="83" t="n">
        <v>70.95419</v>
      </c>
      <c r="AR693" s="83" t="n">
        <v>59.95628</v>
      </c>
      <c r="AS693" s="83" t="n">
        <v>119.9195</v>
      </c>
      <c r="AT693" s="83" t="n">
        <v>49.24147</v>
      </c>
      <c r="AV693" s="83" t="n">
        <v>26.74291</v>
      </c>
      <c r="AZ693" s="83" t="n">
        <v>70.86176</v>
      </c>
      <c r="BA693" s="83" t="n">
        <v>30.18801</v>
      </c>
      <c r="BB693" s="83" t="n">
        <v>61.25355</v>
      </c>
      <c r="BC693" s="83" t="n">
        <v>55.00612</v>
      </c>
      <c r="BD693" s="83" t="n">
        <v>58.54468</v>
      </c>
    </row>
    <row r="694">
      <c r="A694" s="83" t="inlineStr">
        <is>
          <t>2009-01</t>
        </is>
      </c>
      <c r="B694" s="22" t="n">
        <v>39814</v>
      </c>
      <c r="C694" s="22" t="n"/>
      <c r="D694" s="22" t="n"/>
      <c r="E694" s="22" t="n">
        <v>39326</v>
      </c>
      <c r="F694" s="83" t="inlineStr">
        <is>
          <t>2007-09</t>
        </is>
      </c>
      <c r="G694" s="83" t="n">
        <v>50.76583</v>
      </c>
      <c r="I694" s="83" t="n">
        <v>32.40228</v>
      </c>
      <c r="J694" s="83" t="n">
        <v>59.88525</v>
      </c>
      <c r="K694" s="83" t="n">
        <v>63.85312</v>
      </c>
      <c r="L694" s="83" t="n">
        <v>41.26574</v>
      </c>
      <c r="M694" s="83" t="n">
        <v>29.65757</v>
      </c>
      <c r="N694" s="83" t="n">
        <v>37.62594</v>
      </c>
      <c r="O694" s="83" t="n">
        <v>48.5725</v>
      </c>
      <c r="P694" s="83" t="n">
        <v>63.97276</v>
      </c>
      <c r="R694" s="83" t="n">
        <v>68.35054</v>
      </c>
      <c r="S694" s="83" t="n">
        <v>78.74498</v>
      </c>
      <c r="AA694" s="83" t="n">
        <v>74.88289</v>
      </c>
      <c r="AC694" s="83" t="n">
        <v>72.73639</v>
      </c>
      <c r="AD694" s="83" t="n">
        <v>34.66786</v>
      </c>
      <c r="AE694" s="83" t="n">
        <v>32.65668</v>
      </c>
      <c r="AG694" s="83" t="n">
        <v>61.7862</v>
      </c>
      <c r="AH694" s="83" t="n">
        <v>55.01742</v>
      </c>
      <c r="AJ694" s="83" t="n">
        <v>83.96786</v>
      </c>
      <c r="AK694" s="83" t="n">
        <v>55.33115</v>
      </c>
      <c r="AO694" s="83" t="n">
        <v>39.2056</v>
      </c>
      <c r="AQ694" s="83" t="n">
        <v>71.82214999999999</v>
      </c>
      <c r="AR694" s="83" t="n">
        <v>60.31775</v>
      </c>
      <c r="AS694" s="83" t="n">
        <v>120.9993</v>
      </c>
      <c r="AT694" s="83" t="n">
        <v>49.73889</v>
      </c>
      <c r="AV694" s="83" t="n">
        <v>27.16187</v>
      </c>
      <c r="AZ694" s="83" t="n">
        <v>72.91373</v>
      </c>
      <c r="BA694" s="83" t="n">
        <v>30.19838</v>
      </c>
      <c r="BB694" s="83" t="n">
        <v>61.40563</v>
      </c>
      <c r="BC694" s="83" t="n">
        <v>55.89518</v>
      </c>
      <c r="BD694" s="83" t="n">
        <v>59.132</v>
      </c>
    </row>
    <row r="695">
      <c r="A695" s="83" t="inlineStr">
        <is>
          <t>2009-02</t>
        </is>
      </c>
      <c r="B695" s="22" t="n">
        <v>39845</v>
      </c>
      <c r="C695" s="22" t="n"/>
      <c r="D695" s="22" t="n"/>
      <c r="E695" s="22" t="n">
        <v>39356</v>
      </c>
      <c r="F695" s="83" t="inlineStr">
        <is>
          <t>2007-10</t>
        </is>
      </c>
      <c r="G695" s="83" t="n">
        <v>51.86974</v>
      </c>
      <c r="I695" s="83" t="n">
        <v>33.05077</v>
      </c>
      <c r="J695" s="83" t="n">
        <v>59.93198</v>
      </c>
      <c r="K695" s="83" t="n">
        <v>64.20243000000001</v>
      </c>
      <c r="L695" s="83" t="n">
        <v>41.62795</v>
      </c>
      <c r="M695" s="83" t="n">
        <v>30.12945</v>
      </c>
      <c r="N695" s="83" t="n">
        <v>38.68802</v>
      </c>
      <c r="O695" s="83" t="n">
        <v>49.40294</v>
      </c>
      <c r="P695" s="83" t="n">
        <v>64.39105000000001</v>
      </c>
      <c r="R695" s="83" t="n">
        <v>68.83432000000001</v>
      </c>
      <c r="S695" s="83" t="n">
        <v>79.67031</v>
      </c>
      <c r="AA695" s="83" t="n">
        <v>74.95572</v>
      </c>
      <c r="AC695" s="83" t="n">
        <v>73.88423</v>
      </c>
      <c r="AD695" s="83" t="n">
        <v>34.96779</v>
      </c>
      <c r="AE695" s="83" t="n">
        <v>33.28186</v>
      </c>
      <c r="AG695" s="83" t="n">
        <v>64.06158000000001</v>
      </c>
      <c r="AH695" s="83" t="n">
        <v>55.23437</v>
      </c>
      <c r="AJ695" s="83" t="n">
        <v>84.1969</v>
      </c>
      <c r="AK695" s="83" t="n">
        <v>55.92478</v>
      </c>
      <c r="AO695" s="83" t="n">
        <v>39.36834</v>
      </c>
      <c r="AQ695" s="83" t="n">
        <v>72.58450000000001</v>
      </c>
      <c r="AR695" s="83" t="n">
        <v>60.5467</v>
      </c>
      <c r="AS695" s="83" t="n">
        <v>122.1496</v>
      </c>
      <c r="AT695" s="83" t="n">
        <v>50.05168</v>
      </c>
      <c r="AV695" s="83" t="n">
        <v>28.15908</v>
      </c>
      <c r="AZ695" s="83" t="n">
        <v>74.87245</v>
      </c>
      <c r="BA695" s="83" t="n">
        <v>30.14376</v>
      </c>
      <c r="BB695" s="83" t="n">
        <v>61.51865</v>
      </c>
      <c r="BC695" s="83" t="n">
        <v>56.37413</v>
      </c>
      <c r="BD695" s="83" t="n">
        <v>59.86744</v>
      </c>
    </row>
    <row r="696">
      <c r="A696" s="83" t="inlineStr">
        <is>
          <t>2009-03</t>
        </is>
      </c>
      <c r="B696" s="22" t="n">
        <v>39873</v>
      </c>
      <c r="C696" s="22" t="n"/>
      <c r="D696" s="22" t="n"/>
      <c r="E696" s="22" t="n">
        <v>39387</v>
      </c>
      <c r="F696" s="83" t="inlineStr">
        <is>
          <t>2007-11</t>
        </is>
      </c>
      <c r="G696" s="83" t="n">
        <v>53.26223</v>
      </c>
      <c r="I696" s="83" t="n">
        <v>33.80826</v>
      </c>
      <c r="J696" s="83" t="n">
        <v>60.72529</v>
      </c>
      <c r="K696" s="83" t="n">
        <v>64.42367</v>
      </c>
      <c r="L696" s="83" t="n">
        <v>42.27697</v>
      </c>
      <c r="M696" s="83" t="n">
        <v>30.57164</v>
      </c>
      <c r="N696" s="83" t="n">
        <v>39.21164</v>
      </c>
      <c r="O696" s="83" t="n">
        <v>50.0669</v>
      </c>
      <c r="P696" s="83" t="n">
        <v>65.69898000000001</v>
      </c>
      <c r="R696" s="83" t="n">
        <v>69.55422</v>
      </c>
      <c r="S696" s="83" t="n">
        <v>80.6054</v>
      </c>
      <c r="AA696" s="83" t="n">
        <v>75.22763</v>
      </c>
      <c r="AC696" s="83" t="n">
        <v>74.44974999999999</v>
      </c>
      <c r="AD696" s="83" t="n">
        <v>35.35355</v>
      </c>
      <c r="AE696" s="83" t="n">
        <v>33.84077</v>
      </c>
      <c r="AG696" s="83" t="n">
        <v>66.1571</v>
      </c>
      <c r="AH696" s="83" t="n">
        <v>54.91092</v>
      </c>
      <c r="AJ696" s="83" t="n">
        <v>84.29506000000001</v>
      </c>
      <c r="AK696" s="83" t="n">
        <v>56.38583</v>
      </c>
      <c r="AO696" s="83" t="n">
        <v>39.87521</v>
      </c>
      <c r="AQ696" s="83" t="n">
        <v>72.82599</v>
      </c>
      <c r="AR696" s="83" t="n">
        <v>60.90486</v>
      </c>
      <c r="AS696" s="83" t="n">
        <v>123.1004</v>
      </c>
      <c r="AT696" s="83" t="n">
        <v>50.55756</v>
      </c>
      <c r="AV696" s="83" t="n">
        <v>28.78284</v>
      </c>
      <c r="AZ696" s="83" t="n">
        <v>76.27435</v>
      </c>
      <c r="BA696" s="83" t="n">
        <v>30.36072</v>
      </c>
      <c r="BB696" s="83" t="n">
        <v>61.7264</v>
      </c>
      <c r="BC696" s="83" t="n">
        <v>57.29534</v>
      </c>
      <c r="BD696" s="83" t="n">
        <v>60.21325</v>
      </c>
    </row>
    <row r="697">
      <c r="A697" s="83" t="inlineStr">
        <is>
          <t>2009-04</t>
        </is>
      </c>
      <c r="B697" s="22" t="n">
        <v>39904</v>
      </c>
      <c r="C697" s="22" t="n"/>
      <c r="D697" s="22" t="n"/>
      <c r="E697" s="22" t="n">
        <v>39417</v>
      </c>
      <c r="F697" s="83" t="inlineStr">
        <is>
          <t>2007-12</t>
        </is>
      </c>
      <c r="G697" s="83" t="n">
        <v>54.19803</v>
      </c>
      <c r="I697" s="83" t="n">
        <v>34.40837</v>
      </c>
      <c r="J697" s="83" t="n">
        <v>61.19318</v>
      </c>
      <c r="K697" s="83" t="n">
        <v>64.83496</v>
      </c>
      <c r="L697" s="83" t="n">
        <v>42.95092</v>
      </c>
      <c r="M697" s="83" t="n">
        <v>30.78556</v>
      </c>
      <c r="N697" s="83" t="n">
        <v>39.40509</v>
      </c>
      <c r="O697" s="83" t="n">
        <v>50.6063</v>
      </c>
      <c r="P697" s="83" t="n">
        <v>67.01763</v>
      </c>
      <c r="R697" s="83" t="n">
        <v>71.0359</v>
      </c>
      <c r="S697" s="83" t="n">
        <v>81.50771</v>
      </c>
      <c r="AA697" s="83" t="n">
        <v>76.37967999999999</v>
      </c>
      <c r="AC697" s="83" t="n">
        <v>74.56712</v>
      </c>
      <c r="AD697" s="83" t="n">
        <v>36.25617</v>
      </c>
      <c r="AE697" s="83" t="n">
        <v>34.40535</v>
      </c>
      <c r="AG697" s="83" t="n">
        <v>68.10549</v>
      </c>
      <c r="AH697" s="83" t="n">
        <v>54.98573</v>
      </c>
      <c r="AJ697" s="83" t="n">
        <v>84.40141</v>
      </c>
      <c r="AK697" s="83" t="n">
        <v>57.17385</v>
      </c>
      <c r="AO697" s="83" t="n">
        <v>40.27956</v>
      </c>
      <c r="AQ697" s="83" t="n">
        <v>73.80409</v>
      </c>
      <c r="AR697" s="83" t="n">
        <v>61.31174</v>
      </c>
      <c r="AS697" s="83" t="n">
        <v>123.2865</v>
      </c>
      <c r="AT697" s="83" t="n">
        <v>51.10683</v>
      </c>
      <c r="AV697" s="83" t="n">
        <v>28.32732</v>
      </c>
      <c r="AZ697" s="83" t="n">
        <v>76.52672</v>
      </c>
      <c r="BA697" s="83" t="n">
        <v>30.78401</v>
      </c>
      <c r="BB697" s="83" t="n">
        <v>61.97737</v>
      </c>
      <c r="BC697" s="83" t="n">
        <v>58.35704</v>
      </c>
      <c r="BD697" s="83" t="n">
        <v>60.70097</v>
      </c>
    </row>
    <row r="698">
      <c r="A698" s="83" t="inlineStr">
        <is>
          <t>2009-05</t>
        </is>
      </c>
      <c r="B698" s="22" t="n">
        <v>39934</v>
      </c>
      <c r="C698" s="22" t="n"/>
      <c r="D698" s="22" t="n"/>
      <c r="E698" s="22" t="n">
        <v>39448</v>
      </c>
      <c r="F698" s="83" t="inlineStr">
        <is>
          <t>2008-01</t>
        </is>
      </c>
      <c r="G698" s="83" t="n">
        <v>54.80602</v>
      </c>
      <c r="I698" s="83" t="n">
        <v>34.76044</v>
      </c>
      <c r="J698" s="83" t="n">
        <v>61.87938</v>
      </c>
      <c r="K698" s="83" t="n">
        <v>64.96939</v>
      </c>
      <c r="L698" s="83" t="n">
        <v>43.46892</v>
      </c>
      <c r="M698" s="83" t="n">
        <v>31.19441</v>
      </c>
      <c r="N698" s="83" t="n">
        <v>39.67368</v>
      </c>
      <c r="O698" s="83" t="n">
        <v>52.47565</v>
      </c>
      <c r="P698" s="83" t="n">
        <v>67.82338</v>
      </c>
      <c r="R698" s="83" t="n">
        <v>72.26685000000001</v>
      </c>
      <c r="S698" s="83" t="n">
        <v>82.41399</v>
      </c>
      <c r="AA698" s="83" t="n">
        <v>78.34461</v>
      </c>
      <c r="AC698" s="83" t="n">
        <v>75.07669</v>
      </c>
      <c r="AD698" s="83" t="n">
        <v>36.76052</v>
      </c>
      <c r="AE698" s="83" t="n">
        <v>34.97416</v>
      </c>
      <c r="AG698" s="83" t="n">
        <v>70.05381</v>
      </c>
      <c r="AH698" s="83" t="n">
        <v>55.34694</v>
      </c>
      <c r="AJ698" s="83" t="n">
        <v>84.45865999999999</v>
      </c>
      <c r="AK698" s="83" t="n">
        <v>57.90243</v>
      </c>
      <c r="AO698" s="83" t="n">
        <v>40.80426</v>
      </c>
      <c r="AQ698" s="83" t="n">
        <v>72.66973</v>
      </c>
      <c r="AR698" s="83" t="n">
        <v>61.78341</v>
      </c>
      <c r="AS698" s="83" t="n">
        <v>123.5086</v>
      </c>
      <c r="AT698" s="83" t="n">
        <v>51.88093</v>
      </c>
      <c r="AV698" s="83" t="n">
        <v>29.82514</v>
      </c>
      <c r="AZ698" s="83" t="n">
        <v>75.6069</v>
      </c>
      <c r="BA698" s="83" t="n">
        <v>31.3584</v>
      </c>
      <c r="BB698" s="83" t="n">
        <v>62.25825</v>
      </c>
      <c r="BC698" s="83" t="n">
        <v>59.05143</v>
      </c>
      <c r="BD698" s="83" t="n">
        <v>61.48307</v>
      </c>
    </row>
    <row r="699">
      <c r="A699" s="83" t="inlineStr">
        <is>
          <t>2009-06</t>
        </is>
      </c>
      <c r="B699" s="22" t="n">
        <v>39965</v>
      </c>
      <c r="C699" s="22" t="n"/>
      <c r="D699" s="22" t="n"/>
      <c r="E699" s="22" t="n">
        <v>39479</v>
      </c>
      <c r="F699" s="83" t="inlineStr">
        <is>
          <t>2008-02</t>
        </is>
      </c>
      <c r="G699" s="83" t="n">
        <v>55.37199</v>
      </c>
      <c r="I699" s="83" t="n">
        <v>35.18402</v>
      </c>
      <c r="J699" s="83" t="n">
        <v>61.9578</v>
      </c>
      <c r="K699" s="83" t="n">
        <v>64.90051</v>
      </c>
      <c r="L699" s="83" t="n">
        <v>43.89572</v>
      </c>
      <c r="M699" s="83" t="n">
        <v>31.74262</v>
      </c>
      <c r="N699" s="83" t="n">
        <v>40.01821</v>
      </c>
      <c r="O699" s="83" t="n">
        <v>54.65532</v>
      </c>
      <c r="P699" s="83" t="n">
        <v>68.17534000000001</v>
      </c>
      <c r="R699" s="83" t="n">
        <v>74.40993</v>
      </c>
      <c r="S699" s="83" t="n">
        <v>82.95396</v>
      </c>
      <c r="AA699" s="83" t="n">
        <v>79.94494</v>
      </c>
      <c r="AC699" s="83" t="n">
        <v>76.73627</v>
      </c>
      <c r="AD699" s="83" t="n">
        <v>36.86916</v>
      </c>
      <c r="AE699" s="83" t="n">
        <v>35.61239</v>
      </c>
      <c r="AG699" s="83" t="n">
        <v>71.93932</v>
      </c>
      <c r="AH699" s="83" t="n">
        <v>55.61774</v>
      </c>
      <c r="AJ699" s="83" t="n">
        <v>84.5241</v>
      </c>
      <c r="AK699" s="83" t="n">
        <v>58.47639</v>
      </c>
      <c r="AO699" s="83" t="n">
        <v>41.46519</v>
      </c>
      <c r="AQ699" s="83" t="n">
        <v>70.71384999999999</v>
      </c>
      <c r="AR699" s="83" t="n">
        <v>62.40972</v>
      </c>
      <c r="AS699" s="83" t="n">
        <v>124.1704</v>
      </c>
      <c r="AT699" s="83" t="n">
        <v>52.71478</v>
      </c>
      <c r="AV699" s="83" t="n">
        <v>31.41817</v>
      </c>
      <c r="AZ699" s="83" t="n">
        <v>75.2496</v>
      </c>
      <c r="BA699" s="83" t="n">
        <v>31.98899</v>
      </c>
      <c r="BB699" s="83" t="n">
        <v>62.96212</v>
      </c>
      <c r="BC699" s="83" t="n">
        <v>59.61623</v>
      </c>
      <c r="BD699" s="83" t="n">
        <v>61.65698</v>
      </c>
    </row>
    <row r="700">
      <c r="A700" s="83" t="inlineStr">
        <is>
          <t>2009-07</t>
        </is>
      </c>
      <c r="B700" s="22" t="n">
        <v>39995</v>
      </c>
      <c r="C700" s="22" t="n"/>
      <c r="D700" s="22" t="n"/>
      <c r="E700" s="22" t="n">
        <v>39508</v>
      </c>
      <c r="F700" s="83" t="inlineStr">
        <is>
          <t>2008-03</t>
        </is>
      </c>
      <c r="G700" s="83" t="n">
        <v>55.85109</v>
      </c>
      <c r="I700" s="83" t="n">
        <v>35.56773</v>
      </c>
      <c r="J700" s="83" t="n">
        <v>62.95381</v>
      </c>
      <c r="K700" s="83" t="n">
        <v>65.15141</v>
      </c>
      <c r="L700" s="83" t="n">
        <v>44.26728</v>
      </c>
      <c r="M700" s="83" t="n">
        <v>31.83541</v>
      </c>
      <c r="N700" s="83" t="n">
        <v>40.22941</v>
      </c>
      <c r="O700" s="83" t="n">
        <v>55.51954</v>
      </c>
      <c r="P700" s="83" t="n">
        <v>68.43114</v>
      </c>
      <c r="R700" s="83" t="n">
        <v>75.56547</v>
      </c>
      <c r="S700" s="83" t="n">
        <v>83.38482999999999</v>
      </c>
      <c r="AA700" s="83" t="n">
        <v>80.88705</v>
      </c>
      <c r="AC700" s="83" t="n">
        <v>78.11915</v>
      </c>
      <c r="AD700" s="83" t="n">
        <v>37.09291</v>
      </c>
      <c r="AE700" s="83" t="n">
        <v>36.30758</v>
      </c>
      <c r="AG700" s="83" t="n">
        <v>73.63397999999999</v>
      </c>
      <c r="AH700" s="83" t="n">
        <v>56.00849</v>
      </c>
      <c r="AJ700" s="83" t="n">
        <v>84.51591999999999</v>
      </c>
      <c r="AK700" s="83" t="n">
        <v>59.30584</v>
      </c>
      <c r="AO700" s="83" t="n">
        <v>41.62394</v>
      </c>
      <c r="AQ700" s="83" t="n">
        <v>71.06209</v>
      </c>
      <c r="AR700" s="83" t="n">
        <v>62.96068</v>
      </c>
      <c r="AS700" s="83" t="n">
        <v>124.8982</v>
      </c>
      <c r="AT700" s="83" t="n">
        <v>53.27646</v>
      </c>
      <c r="AV700" s="83" t="n">
        <v>31.43699</v>
      </c>
      <c r="AZ700" s="83" t="n">
        <v>76.11665000000001</v>
      </c>
      <c r="BA700" s="83" t="n">
        <v>33.13153</v>
      </c>
      <c r="BB700" s="83" t="n">
        <v>63.5106</v>
      </c>
      <c r="BC700" s="83" t="n">
        <v>60.48509</v>
      </c>
      <c r="BD700" s="83" t="n">
        <v>62.06397</v>
      </c>
    </row>
    <row r="701">
      <c r="A701" s="83" t="inlineStr">
        <is>
          <t>2009-08</t>
        </is>
      </c>
      <c r="B701" s="22" t="n">
        <v>40026</v>
      </c>
      <c r="C701" s="22" t="n"/>
      <c r="D701" s="22" t="n"/>
      <c r="E701" s="22" t="n">
        <v>39539</v>
      </c>
      <c r="F701" s="83" t="inlineStr">
        <is>
          <t>2008-04</t>
        </is>
      </c>
      <c r="G701" s="83" t="n">
        <v>56.43106</v>
      </c>
      <c r="I701" s="83" t="n">
        <v>36.27118</v>
      </c>
      <c r="J701" s="83" t="n">
        <v>63.48312</v>
      </c>
      <c r="K701" s="83" t="n">
        <v>65.77785</v>
      </c>
      <c r="L701" s="83" t="n">
        <v>44.82008</v>
      </c>
      <c r="M701" s="83" t="n">
        <v>32.07791</v>
      </c>
      <c r="N701" s="83" t="n">
        <v>40.93081</v>
      </c>
      <c r="O701" s="83" t="n">
        <v>56.56812</v>
      </c>
      <c r="P701" s="83" t="n">
        <v>69.00036</v>
      </c>
      <c r="R701" s="83" t="n">
        <v>75.25105000000001</v>
      </c>
      <c r="S701" s="83" t="n">
        <v>84.16901</v>
      </c>
      <c r="AA701" s="83" t="n">
        <v>81.68571</v>
      </c>
      <c r="AC701" s="83" t="n">
        <v>78.17489999999999</v>
      </c>
      <c r="AD701" s="83" t="n">
        <v>37.38252</v>
      </c>
      <c r="AE701" s="83" t="n">
        <v>36.73304</v>
      </c>
      <c r="AG701" s="83" t="n">
        <v>75.22147</v>
      </c>
      <c r="AH701" s="83" t="n">
        <v>56.3</v>
      </c>
      <c r="AJ701" s="83" t="n">
        <v>84.33596</v>
      </c>
      <c r="AK701" s="83" t="n">
        <v>59.96529</v>
      </c>
      <c r="AO701" s="83" t="n">
        <v>42.04082</v>
      </c>
      <c r="AQ701" s="83" t="n">
        <v>71.38760000000001</v>
      </c>
      <c r="AR701" s="83" t="n">
        <v>63.40919</v>
      </c>
      <c r="AS701" s="83" t="n">
        <v>125.7686</v>
      </c>
      <c r="AT701" s="83" t="n">
        <v>54.21083</v>
      </c>
      <c r="AV701" s="83" t="n">
        <v>32.13888</v>
      </c>
      <c r="AZ701" s="83" t="n">
        <v>77.6349</v>
      </c>
      <c r="BA701" s="83" t="n">
        <v>34.12496</v>
      </c>
      <c r="BB701" s="83" t="n">
        <v>63.86544</v>
      </c>
      <c r="BC701" s="83" t="n">
        <v>61.63878</v>
      </c>
      <c r="BD701" s="83" t="n">
        <v>62.62004</v>
      </c>
    </row>
    <row r="702">
      <c r="A702" s="83" t="inlineStr">
        <is>
          <t>2009-09</t>
        </is>
      </c>
      <c r="B702" s="22" t="n">
        <v>40057</v>
      </c>
      <c r="C702" s="22" t="n"/>
      <c r="D702" s="22" t="n"/>
      <c r="E702" s="22" t="n">
        <v>39569</v>
      </c>
      <c r="F702" s="83" t="inlineStr">
        <is>
          <t>2008-05</t>
        </is>
      </c>
      <c r="G702" s="83" t="n">
        <v>56.84853</v>
      </c>
      <c r="I702" s="83" t="n">
        <v>37.16027</v>
      </c>
      <c r="J702" s="83" t="n">
        <v>64.28837</v>
      </c>
      <c r="K702" s="83" t="n">
        <v>65.86243</v>
      </c>
      <c r="L702" s="83" t="n">
        <v>45.60155</v>
      </c>
      <c r="M702" s="83" t="n">
        <v>32.69492</v>
      </c>
      <c r="N702" s="83" t="n">
        <v>41.40051</v>
      </c>
      <c r="O702" s="83" t="n">
        <v>57.84844</v>
      </c>
      <c r="P702" s="83" t="n">
        <v>69.97266</v>
      </c>
      <c r="R702" s="83" t="n">
        <v>76.00723000000001</v>
      </c>
      <c r="S702" s="83" t="n">
        <v>85.03422999999999</v>
      </c>
      <c r="AA702" s="83" t="n">
        <v>81.95632000000001</v>
      </c>
      <c r="AC702" s="83" t="n">
        <v>77.54361</v>
      </c>
      <c r="AD702" s="83" t="n">
        <v>38.00879</v>
      </c>
      <c r="AE702" s="83" t="n">
        <v>37.1142</v>
      </c>
      <c r="AG702" s="83" t="n">
        <v>77.15434999999999</v>
      </c>
      <c r="AH702" s="83" t="n">
        <v>56.48254</v>
      </c>
      <c r="AJ702" s="83" t="n">
        <v>84.49139</v>
      </c>
      <c r="AK702" s="83" t="n">
        <v>59.99627</v>
      </c>
      <c r="AO702" s="83" t="n">
        <v>42.74259</v>
      </c>
      <c r="AQ702" s="83" t="n">
        <v>71.42364999999999</v>
      </c>
      <c r="AR702" s="83" t="n">
        <v>63.67787</v>
      </c>
      <c r="AS702" s="83" t="n">
        <v>127.4284</v>
      </c>
      <c r="AT702" s="83" t="n">
        <v>55.02856</v>
      </c>
      <c r="AV702" s="83" t="n">
        <v>32.36335</v>
      </c>
      <c r="AZ702" s="83" t="n">
        <v>78.36812999999999</v>
      </c>
      <c r="BA702" s="83" t="n">
        <v>34.10747</v>
      </c>
      <c r="BB702" s="83" t="n">
        <v>63.96433</v>
      </c>
      <c r="BC702" s="83" t="n">
        <v>62.70821</v>
      </c>
      <c r="BD702" s="83" t="n">
        <v>62.87851</v>
      </c>
    </row>
    <row r="703">
      <c r="A703" s="83" t="inlineStr">
        <is>
          <t>2009-10</t>
        </is>
      </c>
      <c r="B703" s="22" t="n">
        <v>40087</v>
      </c>
      <c r="C703" s="22" t="n"/>
      <c r="D703" s="22" t="n"/>
      <c r="E703" s="22" t="n">
        <v>39600</v>
      </c>
      <c r="F703" s="83" t="inlineStr">
        <is>
          <t>2008-06</t>
        </is>
      </c>
      <c r="G703" s="83" t="n">
        <v>57.49015</v>
      </c>
      <c r="I703" s="83" t="n">
        <v>37.70818</v>
      </c>
      <c r="J703" s="83" t="n">
        <v>65.00481000000001</v>
      </c>
      <c r="K703" s="83" t="n">
        <v>65.3366</v>
      </c>
      <c r="L703" s="83" t="n">
        <v>46.42059</v>
      </c>
      <c r="M703" s="83" t="n">
        <v>33.1325</v>
      </c>
      <c r="N703" s="83" t="n">
        <v>41.49889</v>
      </c>
      <c r="O703" s="83" t="n">
        <v>58.44315</v>
      </c>
      <c r="P703" s="83" t="n">
        <v>70.13713</v>
      </c>
      <c r="R703" s="83" t="n">
        <v>76.09008</v>
      </c>
      <c r="S703" s="83" t="n">
        <v>85.52795</v>
      </c>
      <c r="AA703" s="83" t="n">
        <v>82.27979999999999</v>
      </c>
      <c r="AC703" s="83" t="n">
        <v>76.36042</v>
      </c>
      <c r="AD703" s="83" t="n">
        <v>38.71209</v>
      </c>
      <c r="AE703" s="83" t="n">
        <v>37.70275</v>
      </c>
      <c r="AG703" s="83" t="n">
        <v>79.34676</v>
      </c>
      <c r="AH703" s="83" t="n">
        <v>56.92803</v>
      </c>
      <c r="AJ703" s="83" t="n">
        <v>84.70406</v>
      </c>
      <c r="AK703" s="83" t="n">
        <v>60.09268</v>
      </c>
      <c r="AO703" s="83" t="n">
        <v>43.06432</v>
      </c>
      <c r="AQ703" s="83" t="n">
        <v>71.43337</v>
      </c>
      <c r="AR703" s="83" t="n">
        <v>63.88198</v>
      </c>
      <c r="AS703" s="83" t="n">
        <v>128.893</v>
      </c>
      <c r="AT703" s="83" t="n">
        <v>55.58471</v>
      </c>
      <c r="AV703" s="83" t="n">
        <v>32.56598</v>
      </c>
      <c r="AZ703" s="83" t="n">
        <v>77.32256</v>
      </c>
      <c r="BA703" s="83" t="n">
        <v>34.16924</v>
      </c>
      <c r="BB703" s="83" t="n">
        <v>64.10975999999999</v>
      </c>
      <c r="BC703" s="83" t="n">
        <v>63.61203</v>
      </c>
      <c r="BD703" s="83" t="n">
        <v>63.65556</v>
      </c>
    </row>
    <row r="704">
      <c r="A704" s="83" t="inlineStr">
        <is>
          <t>2009-11</t>
        </is>
      </c>
      <c r="B704" s="22" t="n">
        <v>40118</v>
      </c>
      <c r="C704" s="22" t="n"/>
      <c r="D704" s="22" t="n"/>
      <c r="E704" s="22" t="n">
        <v>39630</v>
      </c>
      <c r="F704" s="83" t="inlineStr">
        <is>
          <t>2008-07</t>
        </is>
      </c>
      <c r="G704" s="83" t="n">
        <v>58.63048</v>
      </c>
      <c r="I704" s="83" t="n">
        <v>38.33638</v>
      </c>
      <c r="J704" s="83" t="n">
        <v>65.18491</v>
      </c>
      <c r="K704" s="83" t="n">
        <v>64.90881</v>
      </c>
      <c r="L704" s="83" t="n">
        <v>47.14602</v>
      </c>
      <c r="M704" s="83" t="n">
        <v>33.48122</v>
      </c>
      <c r="N704" s="83" t="n">
        <v>41.96177</v>
      </c>
      <c r="O704" s="83" t="n">
        <v>59.16756</v>
      </c>
      <c r="P704" s="83" t="n">
        <v>70.63339999999999</v>
      </c>
      <c r="R704" s="83" t="n">
        <v>76.08338999999999</v>
      </c>
      <c r="S704" s="83" t="n">
        <v>85.7555</v>
      </c>
      <c r="AA704" s="83" t="n">
        <v>82.54355</v>
      </c>
      <c r="AC704" s="83" t="n">
        <v>77.29581</v>
      </c>
      <c r="AD704" s="83" t="n">
        <v>39.12234</v>
      </c>
      <c r="AE704" s="83" t="n">
        <v>38.07385</v>
      </c>
      <c r="AG704" s="83" t="n">
        <v>81.38454</v>
      </c>
      <c r="AH704" s="83" t="n">
        <v>57.63057</v>
      </c>
      <c r="AJ704" s="83" t="n">
        <v>84.63043999999999</v>
      </c>
      <c r="AK704" s="83" t="n">
        <v>60.57026</v>
      </c>
      <c r="AO704" s="83" t="n">
        <v>43.57814</v>
      </c>
      <c r="AQ704" s="83" t="n">
        <v>71.63021999999999</v>
      </c>
      <c r="AR704" s="83" t="n">
        <v>64.24744</v>
      </c>
      <c r="AS704" s="83" t="n">
        <v>129.8598</v>
      </c>
      <c r="AT704" s="83" t="n">
        <v>56.54437</v>
      </c>
      <c r="AV704" s="83" t="n">
        <v>33.78038</v>
      </c>
      <c r="AZ704" s="83" t="n">
        <v>77.42921</v>
      </c>
      <c r="BA704" s="83" t="n">
        <v>34.64274</v>
      </c>
      <c r="BB704" s="83" t="n">
        <v>64.49535</v>
      </c>
      <c r="BC704" s="83" t="n">
        <v>64.28708</v>
      </c>
      <c r="BD704" s="83" t="n">
        <v>64.20903</v>
      </c>
    </row>
    <row r="705">
      <c r="A705" s="83" t="inlineStr">
        <is>
          <t>2009-12</t>
        </is>
      </c>
      <c r="B705" s="22" t="n">
        <v>40148</v>
      </c>
      <c r="C705" s="22" t="n"/>
      <c r="D705" s="22" t="n"/>
      <c r="E705" s="22" t="n">
        <v>39661</v>
      </c>
      <c r="F705" s="83" t="inlineStr">
        <is>
          <t>2008-08</t>
        </is>
      </c>
      <c r="G705" s="83" t="n">
        <v>59.57749</v>
      </c>
      <c r="I705" s="83" t="n">
        <v>39.11838</v>
      </c>
      <c r="J705" s="83" t="n">
        <v>65.57284</v>
      </c>
      <c r="K705" s="83" t="n">
        <v>64.89881</v>
      </c>
      <c r="L705" s="83" t="n">
        <v>47.96604</v>
      </c>
      <c r="M705" s="83" t="n">
        <v>33.90731</v>
      </c>
      <c r="N705" s="83" t="n">
        <v>42.71848</v>
      </c>
      <c r="O705" s="83" t="n">
        <v>59.95597</v>
      </c>
      <c r="P705" s="83" t="n">
        <v>71.88742999999999</v>
      </c>
      <c r="R705" s="83" t="n">
        <v>76.34856000000001</v>
      </c>
      <c r="S705" s="83" t="n">
        <v>86.01993</v>
      </c>
      <c r="AA705" s="83" t="n">
        <v>83.18098999999999</v>
      </c>
      <c r="AC705" s="83" t="n">
        <v>78.29087</v>
      </c>
      <c r="AD705" s="83" t="n">
        <v>39.02028</v>
      </c>
      <c r="AE705" s="83" t="n">
        <v>38.6682</v>
      </c>
      <c r="AG705" s="83" t="n">
        <v>83.35777</v>
      </c>
      <c r="AH705" s="83" t="n">
        <v>58.26452</v>
      </c>
      <c r="AJ705" s="83" t="n">
        <v>84.72042</v>
      </c>
      <c r="AK705" s="83" t="n">
        <v>61.01454</v>
      </c>
      <c r="AO705" s="83" t="n">
        <v>44.08302</v>
      </c>
      <c r="AQ705" s="83" t="n">
        <v>72.06294</v>
      </c>
      <c r="AR705" s="83" t="n">
        <v>64.54977</v>
      </c>
      <c r="AS705" s="83" t="n">
        <v>130.8133</v>
      </c>
      <c r="AT705" s="83" t="n">
        <v>57.54346</v>
      </c>
      <c r="AV705" s="83" t="n">
        <v>34.5262</v>
      </c>
      <c r="AZ705" s="83" t="n">
        <v>78.19653</v>
      </c>
      <c r="BA705" s="83" t="n">
        <v>34.80141</v>
      </c>
      <c r="BB705" s="83" t="n">
        <v>64.62</v>
      </c>
      <c r="BC705" s="83" t="n">
        <v>64.58768999999999</v>
      </c>
      <c r="BD705" s="83" t="n">
        <v>64.68434999999999</v>
      </c>
    </row>
    <row r="706">
      <c r="A706" s="83" t="inlineStr">
        <is>
          <t>2010-01</t>
        </is>
      </c>
      <c r="B706" s="22" t="n">
        <v>40179</v>
      </c>
      <c r="C706" s="22" t="n"/>
      <c r="D706" s="22" t="n"/>
      <c r="E706" s="22" t="n">
        <v>39692</v>
      </c>
      <c r="F706" s="83" t="inlineStr">
        <is>
          <t>2008-09</t>
        </is>
      </c>
      <c r="G706" s="83" t="n">
        <v>60.47967</v>
      </c>
      <c r="I706" s="83" t="n">
        <v>39.64909</v>
      </c>
      <c r="J706" s="83" t="n">
        <v>65.98618999999999</v>
      </c>
      <c r="K706" s="83" t="n">
        <v>65.06104000000001</v>
      </c>
      <c r="L706" s="83" t="n">
        <v>48.94841</v>
      </c>
      <c r="M706" s="83" t="n">
        <v>34.2948</v>
      </c>
      <c r="N706" s="83" t="n">
        <v>43.73521</v>
      </c>
      <c r="O706" s="83" t="n">
        <v>60.23797</v>
      </c>
      <c r="P706" s="83" t="n">
        <v>72.44374999999999</v>
      </c>
      <c r="R706" s="83" t="n">
        <v>76.35550000000001</v>
      </c>
      <c r="S706" s="83" t="n">
        <v>86.44452</v>
      </c>
      <c r="AA706" s="83" t="n">
        <v>83.61496</v>
      </c>
      <c r="AC706" s="83" t="n">
        <v>78.33847</v>
      </c>
      <c r="AD706" s="83" t="n">
        <v>39.88288</v>
      </c>
      <c r="AE706" s="83" t="n">
        <v>39.34351</v>
      </c>
      <c r="AG706" s="83" t="n">
        <v>85.1036</v>
      </c>
      <c r="AH706" s="83" t="n">
        <v>58.74342</v>
      </c>
      <c r="AJ706" s="83" t="n">
        <v>84.74496000000001</v>
      </c>
      <c r="AK706" s="83" t="n">
        <v>61.39409</v>
      </c>
      <c r="AO706" s="83" t="n">
        <v>44.23081</v>
      </c>
      <c r="AQ706" s="83" t="n">
        <v>72.54066</v>
      </c>
      <c r="AR706" s="83" t="n">
        <v>65.02542</v>
      </c>
      <c r="AS706" s="83" t="n">
        <v>132.5417</v>
      </c>
      <c r="AT706" s="83" t="n">
        <v>58.25437</v>
      </c>
      <c r="AV706" s="83" t="n">
        <v>34.96066</v>
      </c>
      <c r="AZ706" s="83" t="n">
        <v>77.58879</v>
      </c>
      <c r="BA706" s="83" t="n">
        <v>35.52542</v>
      </c>
      <c r="BB706" s="83" t="n">
        <v>65.20089</v>
      </c>
      <c r="BC706" s="83" t="n">
        <v>65.02370000000001</v>
      </c>
      <c r="BD706" s="83" t="n">
        <v>65.16446999999999</v>
      </c>
    </row>
    <row r="707">
      <c r="A707" s="83" t="inlineStr">
        <is>
          <t>2010-02</t>
        </is>
      </c>
      <c r="B707" s="22" t="n">
        <v>40210</v>
      </c>
      <c r="C707" s="22" t="n"/>
      <c r="D707" s="22" t="n"/>
      <c r="E707" s="22" t="n">
        <v>39722</v>
      </c>
      <c r="F707" s="83" t="inlineStr">
        <is>
          <t>2008-10</t>
        </is>
      </c>
      <c r="G707" s="83" t="n">
        <v>61.41827</v>
      </c>
      <c r="I707" s="83" t="n">
        <v>39.98919</v>
      </c>
      <c r="J707" s="83" t="n">
        <v>66.43382</v>
      </c>
      <c r="K707" s="83" t="n">
        <v>65.25466</v>
      </c>
      <c r="L707" s="83" t="n">
        <v>49.96867</v>
      </c>
      <c r="M707" s="83" t="n">
        <v>34.72466</v>
      </c>
      <c r="N707" s="83" t="n">
        <v>44.48665</v>
      </c>
      <c r="O707" s="83" t="n">
        <v>60.53001</v>
      </c>
      <c r="P707" s="83" t="n">
        <v>73.06119</v>
      </c>
      <c r="R707" s="83" t="n">
        <v>78.05504999999999</v>
      </c>
      <c r="S707" s="83" t="n">
        <v>87.35617000000001</v>
      </c>
      <c r="AA707" s="83" t="n">
        <v>85.23215999999999</v>
      </c>
      <c r="AC707" s="83" t="n">
        <v>79.19490999999999</v>
      </c>
      <c r="AD707" s="83" t="n">
        <v>41.23006</v>
      </c>
      <c r="AE707" s="83" t="n">
        <v>39.96434</v>
      </c>
      <c r="AG707" s="83" t="n">
        <v>86.43982</v>
      </c>
      <c r="AH707" s="83" t="n">
        <v>59.62511</v>
      </c>
      <c r="AJ707" s="83" t="n">
        <v>84.6468</v>
      </c>
      <c r="AK707" s="83" t="n">
        <v>61.7024</v>
      </c>
      <c r="AO707" s="83" t="n">
        <v>44.43873</v>
      </c>
      <c r="AQ707" s="83" t="n">
        <v>72.88709</v>
      </c>
      <c r="AR707" s="83" t="n">
        <v>65.78032</v>
      </c>
      <c r="AS707" s="83" t="n">
        <v>133.8674</v>
      </c>
      <c r="AT707" s="83" t="n">
        <v>58.75585</v>
      </c>
      <c r="AV707" s="83" t="n">
        <v>35.73093</v>
      </c>
      <c r="AZ707" s="83" t="n">
        <v>76.96893</v>
      </c>
      <c r="BA707" s="83" t="n">
        <v>37.01697</v>
      </c>
      <c r="BB707" s="83" t="n">
        <v>66.09922</v>
      </c>
      <c r="BC707" s="83" t="n">
        <v>65.77712</v>
      </c>
      <c r="BD707" s="83" t="n">
        <v>65.6572</v>
      </c>
    </row>
    <row r="708">
      <c r="A708" s="83" t="inlineStr">
        <is>
          <t>2010-03</t>
        </is>
      </c>
      <c r="B708" s="22" t="n">
        <v>40238</v>
      </c>
      <c r="C708" s="22" t="n"/>
      <c r="D708" s="22" t="n"/>
      <c r="E708" s="22" t="n">
        <v>39753</v>
      </c>
      <c r="F708" s="83" t="inlineStr">
        <is>
          <t>2008-11</t>
        </is>
      </c>
      <c r="G708" s="83" t="n">
        <v>62.54179</v>
      </c>
      <c r="I708" s="83" t="n">
        <v>40.45795</v>
      </c>
      <c r="J708" s="83" t="n">
        <v>66.81258</v>
      </c>
      <c r="K708" s="83" t="n">
        <v>65.65764</v>
      </c>
      <c r="L708" s="83" t="n">
        <v>50.70549</v>
      </c>
      <c r="M708" s="83" t="n">
        <v>35.16728</v>
      </c>
      <c r="N708" s="83" t="n">
        <v>44.91517</v>
      </c>
      <c r="O708" s="83" t="n">
        <v>60.8586</v>
      </c>
      <c r="P708" s="83" t="n">
        <v>74.20063</v>
      </c>
      <c r="R708" s="83" t="n">
        <v>80.1621</v>
      </c>
      <c r="S708" s="83" t="n">
        <v>88.15111</v>
      </c>
      <c r="AA708" s="83" t="n">
        <v>88.03027</v>
      </c>
      <c r="AC708" s="83" t="n">
        <v>79.82326999999999</v>
      </c>
      <c r="AD708" s="83" t="n">
        <v>41.94718</v>
      </c>
      <c r="AE708" s="83" t="n">
        <v>40.56256</v>
      </c>
      <c r="AG708" s="83" t="n">
        <v>87.78527</v>
      </c>
      <c r="AH708" s="83" t="n">
        <v>60.86394</v>
      </c>
      <c r="AJ708" s="83" t="n">
        <v>84.83495000000001</v>
      </c>
      <c r="AK708" s="83" t="n">
        <v>61.68712</v>
      </c>
      <c r="AO708" s="83" t="n">
        <v>44.74079</v>
      </c>
      <c r="AQ708" s="83" t="n">
        <v>73.17501</v>
      </c>
      <c r="AR708" s="83" t="n">
        <v>66.39895</v>
      </c>
      <c r="AS708" s="83" t="n">
        <v>133.1754</v>
      </c>
      <c r="AT708" s="83" t="n">
        <v>59.516</v>
      </c>
      <c r="AV708" s="83" t="n">
        <v>35.16283</v>
      </c>
      <c r="AZ708" s="83" t="n">
        <v>76.75702</v>
      </c>
      <c r="BA708" s="83" t="n">
        <v>38.01305</v>
      </c>
      <c r="BB708" s="83" t="n">
        <v>66.51971</v>
      </c>
      <c r="BC708" s="83" t="n">
        <v>66.78907</v>
      </c>
      <c r="BD708" s="83" t="n">
        <v>66.32666</v>
      </c>
    </row>
    <row r="709">
      <c r="A709" s="83" t="inlineStr">
        <is>
          <t>2010-04</t>
        </is>
      </c>
      <c r="B709" s="22" t="n">
        <v>40269</v>
      </c>
      <c r="C709" s="22" t="n"/>
      <c r="D709" s="22" t="n"/>
      <c r="E709" s="22" t="n">
        <v>39783</v>
      </c>
      <c r="F709" s="83" t="inlineStr">
        <is>
          <t>2008-12</t>
        </is>
      </c>
      <c r="G709" s="83" t="n">
        <v>63.3235</v>
      </c>
      <c r="I709" s="83" t="n">
        <v>40.84689</v>
      </c>
      <c r="J709" s="83" t="n">
        <v>66.87726000000001</v>
      </c>
      <c r="K709" s="83" t="n">
        <v>66.13540999999999</v>
      </c>
      <c r="L709" s="83" t="n">
        <v>51.00905</v>
      </c>
      <c r="M709" s="83" t="n">
        <v>35.84981</v>
      </c>
      <c r="N709" s="83" t="n">
        <v>45.76857</v>
      </c>
      <c r="O709" s="83" t="n">
        <v>61.6545</v>
      </c>
      <c r="P709" s="83" t="n">
        <v>76.01403999999999</v>
      </c>
      <c r="R709" s="83" t="n">
        <v>78.92831</v>
      </c>
      <c r="S709" s="83" t="n">
        <v>88.61053</v>
      </c>
      <c r="AA709" s="83" t="n">
        <v>89.89230000000001</v>
      </c>
      <c r="AC709" s="83" t="n">
        <v>80.35459</v>
      </c>
      <c r="AD709" s="83" t="n">
        <v>42.31047</v>
      </c>
      <c r="AE709" s="83" t="n">
        <v>41.13558</v>
      </c>
      <c r="AG709" s="83" t="n">
        <v>89.18861</v>
      </c>
      <c r="AH709" s="83" t="n">
        <v>61.81121</v>
      </c>
      <c r="AJ709" s="83" t="n">
        <v>85.04761999999999</v>
      </c>
      <c r="AK709" s="83" t="n">
        <v>62.04603</v>
      </c>
      <c r="AO709" s="83" t="n">
        <v>45.57988</v>
      </c>
      <c r="AQ709" s="83" t="n">
        <v>73.43273000000001</v>
      </c>
      <c r="AR709" s="83" t="n">
        <v>67.41777</v>
      </c>
      <c r="AS709" s="83" t="n">
        <v>133.1031</v>
      </c>
      <c r="AT709" s="83" t="n">
        <v>60.38609</v>
      </c>
      <c r="AV709" s="83" t="n">
        <v>33.24617</v>
      </c>
      <c r="AZ709" s="83" t="n">
        <v>77.92988</v>
      </c>
      <c r="BA709" s="83" t="n">
        <v>38.51681</v>
      </c>
      <c r="BB709" s="83" t="n">
        <v>67.98563</v>
      </c>
      <c r="BC709" s="83" t="n">
        <v>67.21013000000001</v>
      </c>
      <c r="BD709" s="83" t="n">
        <v>66.49405</v>
      </c>
    </row>
    <row r="710">
      <c r="A710" s="83" t="inlineStr">
        <is>
          <t>2010-05</t>
        </is>
      </c>
      <c r="B710" s="22" t="n">
        <v>40299</v>
      </c>
      <c r="C710" s="22" t="n"/>
      <c r="D710" s="22" t="n"/>
      <c r="E710" s="22" t="n">
        <v>39814</v>
      </c>
      <c r="F710" s="83" t="inlineStr">
        <is>
          <t>2009-01</t>
        </is>
      </c>
      <c r="G710" s="83" t="n">
        <v>63.76058</v>
      </c>
      <c r="I710" s="83" t="n">
        <v>41.17428</v>
      </c>
      <c r="J710" s="83" t="n">
        <v>66.68929</v>
      </c>
      <c r="K710" s="83" t="n">
        <v>66.68916</v>
      </c>
      <c r="L710" s="83" t="n">
        <v>51.08314</v>
      </c>
      <c r="M710" s="83" t="n">
        <v>36.93256</v>
      </c>
      <c r="N710" s="83" t="n">
        <v>46.64316</v>
      </c>
      <c r="O710" s="83" t="n">
        <v>62.82634</v>
      </c>
      <c r="P710" s="83" t="n">
        <v>77.45556000000001</v>
      </c>
      <c r="R710" s="83" t="n">
        <v>78.80119000000001</v>
      </c>
      <c r="S710" s="83" t="n">
        <v>88.76407</v>
      </c>
      <c r="AA710" s="83" t="n">
        <v>91.39529</v>
      </c>
      <c r="AC710" s="83" t="n">
        <v>81.90575</v>
      </c>
      <c r="AD710" s="83" t="n">
        <v>42.64483</v>
      </c>
      <c r="AE710" s="83" t="n">
        <v>41.97978</v>
      </c>
      <c r="AG710" s="83" t="n">
        <v>90.44477000000001</v>
      </c>
      <c r="AH710" s="83" t="n">
        <v>62.94055</v>
      </c>
      <c r="AJ710" s="83" t="n">
        <v>85.26351</v>
      </c>
      <c r="AK710" s="83" t="n">
        <v>62.90812</v>
      </c>
      <c r="AO710" s="83" t="n">
        <v>46.61365</v>
      </c>
      <c r="AQ710" s="83" t="n">
        <v>73.70043</v>
      </c>
      <c r="AR710" s="83" t="n">
        <v>68.06959999999999</v>
      </c>
      <c r="AT710" s="83" t="n">
        <v>61.16327</v>
      </c>
      <c r="AV710" s="83" t="n">
        <v>34.10499</v>
      </c>
      <c r="AZ710" s="83" t="n">
        <v>79.14561999999999</v>
      </c>
      <c r="BA710" s="83" t="n">
        <v>39.1078</v>
      </c>
      <c r="BB710" s="83" t="n">
        <v>68.66208</v>
      </c>
      <c r="BC710" s="83" t="n">
        <v>67.21889</v>
      </c>
      <c r="BD710" s="83" t="n">
        <v>65.95818</v>
      </c>
    </row>
    <row r="711">
      <c r="A711" s="83" t="inlineStr">
        <is>
          <t>2010-06</t>
        </is>
      </c>
      <c r="B711" s="22" t="n">
        <v>40330</v>
      </c>
      <c r="C711" s="22" t="n"/>
      <c r="D711" s="22" t="n"/>
      <c r="E711" s="22" t="n">
        <v>39845</v>
      </c>
      <c r="F711" s="83" t="inlineStr">
        <is>
          <t>2009-02</t>
        </is>
      </c>
      <c r="G711" s="83" t="n">
        <v>64.68237000000001</v>
      </c>
      <c r="I711" s="83" t="n">
        <v>41.64017</v>
      </c>
      <c r="J711" s="83" t="n">
        <v>66.24384000000001</v>
      </c>
      <c r="K711" s="83" t="n">
        <v>67.28407</v>
      </c>
      <c r="L711" s="83" t="n">
        <v>51.13172</v>
      </c>
      <c r="M711" s="83" t="n">
        <v>37.97604</v>
      </c>
      <c r="N711" s="83" t="n">
        <v>47.23162</v>
      </c>
      <c r="O711" s="83" t="n">
        <v>63.57494</v>
      </c>
      <c r="P711" s="83" t="n">
        <v>77.84271</v>
      </c>
      <c r="R711" s="83" t="n">
        <v>80.5073</v>
      </c>
      <c r="S711" s="83" t="n">
        <v>88.71982</v>
      </c>
      <c r="AA711" s="83" t="n">
        <v>92.2272</v>
      </c>
      <c r="AC711" s="83" t="n">
        <v>83.60845</v>
      </c>
      <c r="AD711" s="83" t="n">
        <v>43.4848</v>
      </c>
      <c r="AE711" s="83" t="n">
        <v>42.79417</v>
      </c>
      <c r="AG711" s="83" t="n">
        <v>91.63162</v>
      </c>
      <c r="AH711" s="83" t="n">
        <v>64.46615</v>
      </c>
      <c r="AJ711" s="83" t="n">
        <v>85.52857</v>
      </c>
      <c r="AK711" s="83" t="n">
        <v>63.47322</v>
      </c>
      <c r="AO711" s="83" t="n">
        <v>47.35182</v>
      </c>
      <c r="AQ711" s="83" t="n">
        <v>73.81196</v>
      </c>
      <c r="AR711" s="83" t="n">
        <v>68.49504</v>
      </c>
      <c r="AT711" s="83" t="n">
        <v>62.03027</v>
      </c>
      <c r="AV711" s="83" t="n">
        <v>35.63834</v>
      </c>
      <c r="AZ711" s="83" t="n">
        <v>79.52621000000001</v>
      </c>
      <c r="BA711" s="83" t="n">
        <v>39.9133</v>
      </c>
      <c r="BB711" s="83" t="n">
        <v>68.90474</v>
      </c>
      <c r="BC711" s="83" t="n">
        <v>67.69996999999999</v>
      </c>
      <c r="BD711" s="83" t="n">
        <v>65.92345</v>
      </c>
    </row>
    <row r="712">
      <c r="A712" s="83" t="inlineStr">
        <is>
          <t>2010-07</t>
        </is>
      </c>
      <c r="B712" s="22" t="n">
        <v>40360</v>
      </c>
      <c r="C712" s="22" t="n"/>
      <c r="D712" s="22" t="n"/>
      <c r="E712" s="22" t="n">
        <v>39873</v>
      </c>
      <c r="F712" s="83" t="inlineStr">
        <is>
          <t>2009-03</t>
        </is>
      </c>
      <c r="G712" s="83" t="n">
        <v>64.60392</v>
      </c>
      <c r="I712" s="83" t="n">
        <v>41.92271</v>
      </c>
      <c r="J712" s="83" t="n">
        <v>66.31652</v>
      </c>
      <c r="K712" s="83" t="n">
        <v>67.79197000000001</v>
      </c>
      <c r="L712" s="83" t="n">
        <v>51.19895</v>
      </c>
      <c r="M712" s="83" t="n">
        <v>39.08728</v>
      </c>
      <c r="N712" s="83" t="n">
        <v>47.63451</v>
      </c>
      <c r="O712" s="83" t="n">
        <v>64.24084000000001</v>
      </c>
      <c r="P712" s="83" t="n">
        <v>77.60903</v>
      </c>
      <c r="R712" s="83" t="n">
        <v>80.21089000000001</v>
      </c>
      <c r="S712" s="83" t="n">
        <v>88.75162</v>
      </c>
      <c r="AA712" s="83" t="n">
        <v>92.21751</v>
      </c>
      <c r="AC712" s="83" t="n">
        <v>84.55446000000001</v>
      </c>
      <c r="AD712" s="83" t="n">
        <v>44.22987</v>
      </c>
      <c r="AE712" s="83" t="n">
        <v>43.48389</v>
      </c>
      <c r="AG712" s="83" t="n">
        <v>92.79858</v>
      </c>
      <c r="AH712" s="83" t="n">
        <v>65.33920999999999</v>
      </c>
      <c r="AJ712" s="83" t="n">
        <v>85.62985</v>
      </c>
      <c r="AK712" s="83" t="n">
        <v>63.75685</v>
      </c>
      <c r="AO712" s="83" t="n">
        <v>47.61078</v>
      </c>
      <c r="AQ712" s="83" t="n">
        <v>74.07075</v>
      </c>
      <c r="AR712" s="83" t="n">
        <v>68.87591999999999</v>
      </c>
      <c r="AT712" s="83" t="n">
        <v>62.67338</v>
      </c>
      <c r="AV712" s="83" t="n">
        <v>35.25073</v>
      </c>
      <c r="AZ712" s="83" t="n">
        <v>79.50556</v>
      </c>
      <c r="BA712" s="83" t="n">
        <v>40.34041</v>
      </c>
      <c r="BB712" s="83" t="n">
        <v>69.45321</v>
      </c>
      <c r="BC712" s="83" t="n">
        <v>67.77309</v>
      </c>
      <c r="BD712" s="83" t="n">
        <v>66.08954</v>
      </c>
    </row>
    <row r="713">
      <c r="A713" s="83" t="inlineStr">
        <is>
          <t>2010-08</t>
        </is>
      </c>
      <c r="B713" s="22" t="n">
        <v>40391</v>
      </c>
      <c r="C713" s="22" t="n"/>
      <c r="D713" s="22" t="n"/>
      <c r="E713" s="22" t="n">
        <v>39904</v>
      </c>
      <c r="F713" s="83" t="inlineStr">
        <is>
          <t>2009-04</t>
        </is>
      </c>
      <c r="G713" s="83" t="n">
        <v>64.53667</v>
      </c>
      <c r="I713" s="83" t="n">
        <v>42.43177</v>
      </c>
      <c r="J713" s="83" t="n">
        <v>66.5265</v>
      </c>
      <c r="K713" s="83" t="n">
        <v>68.23269000000001</v>
      </c>
      <c r="L713" s="83" t="n">
        <v>51.20411</v>
      </c>
      <c r="M713" s="83" t="n">
        <v>40.23365</v>
      </c>
      <c r="N713" s="83" t="n">
        <v>47.64648</v>
      </c>
      <c r="O713" s="83" t="n">
        <v>64.94674999999999</v>
      </c>
      <c r="P713" s="83" t="n">
        <v>77.53395</v>
      </c>
      <c r="R713" s="83" t="n">
        <v>80.40585</v>
      </c>
      <c r="S713" s="83" t="n">
        <v>89.10889</v>
      </c>
      <c r="AA713" s="83" t="n">
        <v>91.5779</v>
      </c>
      <c r="AC713" s="83" t="n">
        <v>85.31792</v>
      </c>
      <c r="AD713" s="83" t="n">
        <v>44.60753</v>
      </c>
      <c r="AE713" s="83" t="n">
        <v>44.24037</v>
      </c>
      <c r="AG713" s="83" t="n">
        <v>93.752</v>
      </c>
      <c r="AH713" s="83" t="n">
        <v>65.47681</v>
      </c>
      <c r="AJ713" s="83" t="n">
        <v>85.75909</v>
      </c>
      <c r="AK713" s="83" t="n">
        <v>64.13160999999999</v>
      </c>
      <c r="AO713" s="83" t="n">
        <v>47.66989</v>
      </c>
      <c r="AQ713" s="83" t="n">
        <v>74.1596</v>
      </c>
      <c r="AR713" s="83" t="n">
        <v>68.90257</v>
      </c>
      <c r="AT713" s="83" t="n">
        <v>62.88032</v>
      </c>
      <c r="AV713" s="83" t="n">
        <v>35.32672</v>
      </c>
      <c r="AZ713" s="83" t="n">
        <v>79.37859</v>
      </c>
      <c r="BA713" s="83" t="n">
        <v>40.22566</v>
      </c>
      <c r="BB713" s="83" t="n">
        <v>69.47897</v>
      </c>
      <c r="BC713" s="83" t="n">
        <v>67.66348000000001</v>
      </c>
      <c r="BD713" s="83" t="n">
        <v>65.85120000000001</v>
      </c>
    </row>
    <row r="714">
      <c r="A714" s="83" t="inlineStr">
        <is>
          <t>2010-09</t>
        </is>
      </c>
      <c r="B714" s="22" t="n">
        <v>40422</v>
      </c>
      <c r="C714" s="22" t="n"/>
      <c r="D714" s="22" t="n"/>
      <c r="E714" s="22" t="n">
        <v>39934</v>
      </c>
      <c r="F714" s="83" t="inlineStr">
        <is>
          <t>2009-05</t>
        </is>
      </c>
      <c r="G714" s="83" t="n">
        <v>65.25394</v>
      </c>
      <c r="I714" s="83" t="n">
        <v>43.22496</v>
      </c>
      <c r="J714" s="83" t="n">
        <v>66.37608</v>
      </c>
      <c r="K714" s="83" t="n">
        <v>68.39740999999999</v>
      </c>
      <c r="L714" s="83" t="n">
        <v>51.23625</v>
      </c>
      <c r="M714" s="83" t="n">
        <v>41.08248</v>
      </c>
      <c r="N714" s="83" t="n">
        <v>47.91509</v>
      </c>
      <c r="O714" s="83" t="n">
        <v>65.60393999999999</v>
      </c>
      <c r="P714" s="83" t="n">
        <v>78.22072</v>
      </c>
      <c r="R714" s="83" t="n">
        <v>81.45643</v>
      </c>
      <c r="S714" s="83" t="n">
        <v>89.37362</v>
      </c>
      <c r="AA714" s="83" t="n">
        <v>90.73495</v>
      </c>
      <c r="AC714" s="83" t="n">
        <v>85.65533000000001</v>
      </c>
      <c r="AD714" s="83" t="n">
        <v>44.85312</v>
      </c>
      <c r="AE714" s="83" t="n">
        <v>44.97268</v>
      </c>
      <c r="AG714" s="83" t="n">
        <v>94.21514000000001</v>
      </c>
      <c r="AH714" s="83" t="n">
        <v>65.61904</v>
      </c>
      <c r="AJ714" s="83" t="n">
        <v>85.97064</v>
      </c>
      <c r="AK714" s="83" t="n">
        <v>64.56570000000001</v>
      </c>
      <c r="AO714" s="83" t="n">
        <v>47.48226</v>
      </c>
      <c r="AQ714" s="83" t="n">
        <v>74.43719</v>
      </c>
      <c r="AR714" s="83" t="n">
        <v>69.15364</v>
      </c>
      <c r="AT714" s="83" t="n">
        <v>62.97614</v>
      </c>
      <c r="AV714" s="83" t="n">
        <v>35.33039</v>
      </c>
      <c r="AZ714" s="83" t="n">
        <v>79.76007</v>
      </c>
      <c r="BA714" s="83" t="n">
        <v>40.30639</v>
      </c>
      <c r="BB714" s="83" t="n">
        <v>69.95681</v>
      </c>
      <c r="BC714" s="83" t="n">
        <v>68.00103</v>
      </c>
      <c r="BD714" s="83" t="n">
        <v>65.79028</v>
      </c>
    </row>
    <row r="715">
      <c r="A715" s="83" t="inlineStr">
        <is>
          <t>2010-10</t>
        </is>
      </c>
      <c r="B715" s="22" t="n">
        <v>40452</v>
      </c>
      <c r="C715" s="22" t="n"/>
      <c r="D715" s="22" t="n"/>
      <c r="E715" s="22" t="n">
        <v>39965</v>
      </c>
      <c r="F715" s="83" t="inlineStr">
        <is>
          <t>2009-06</t>
        </is>
      </c>
      <c r="G715" s="83" t="n">
        <v>65.74706</v>
      </c>
      <c r="I715" s="83" t="n">
        <v>43.78817</v>
      </c>
      <c r="J715" s="83" t="n">
        <v>66.48531</v>
      </c>
      <c r="K715" s="83" t="n">
        <v>68.65804</v>
      </c>
      <c r="L715" s="83" t="n">
        <v>51.31799</v>
      </c>
      <c r="M715" s="83" t="n">
        <v>42.03027</v>
      </c>
      <c r="N715" s="83" t="n">
        <v>48.45489</v>
      </c>
      <c r="O715" s="83" t="n">
        <v>66.51456</v>
      </c>
      <c r="P715" s="83" t="n">
        <v>77.75484</v>
      </c>
      <c r="R715" s="83" t="n">
        <v>81.89323</v>
      </c>
      <c r="S715" s="83" t="n">
        <v>89.21964</v>
      </c>
      <c r="AA715" s="83" t="n">
        <v>90.34258</v>
      </c>
      <c r="AC715" s="83" t="n">
        <v>85.82495</v>
      </c>
      <c r="AD715" s="83" t="n">
        <v>45.15514</v>
      </c>
      <c r="AE715" s="83" t="n">
        <v>45.54815</v>
      </c>
      <c r="AG715" s="83" t="n">
        <v>94.27115999999999</v>
      </c>
      <c r="AH715" s="83" t="n">
        <v>65.61206</v>
      </c>
      <c r="AJ715" s="83" t="n">
        <v>86.07977</v>
      </c>
      <c r="AK715" s="83" t="n">
        <v>64.8914</v>
      </c>
      <c r="AO715" s="83" t="n">
        <v>47.57645</v>
      </c>
      <c r="AQ715" s="83" t="n">
        <v>74.72784</v>
      </c>
      <c r="AR715" s="83" t="n">
        <v>69.26403999999999</v>
      </c>
      <c r="AT715" s="83" t="n">
        <v>63.576</v>
      </c>
      <c r="AV715" s="83" t="n">
        <v>35.34473</v>
      </c>
      <c r="AZ715" s="83" t="n">
        <v>79.14709999999999</v>
      </c>
      <c r="BA715" s="83" t="n">
        <v>40.56779</v>
      </c>
      <c r="BB715" s="83" t="n">
        <v>70.03658</v>
      </c>
      <c r="BC715" s="83" t="n">
        <v>68.16116</v>
      </c>
      <c r="BD715" s="83" t="n">
        <v>65.79253</v>
      </c>
    </row>
    <row r="716">
      <c r="A716" s="83" t="inlineStr">
        <is>
          <t>2010-11</t>
        </is>
      </c>
      <c r="B716" s="22" t="n">
        <v>40483</v>
      </c>
      <c r="C716" s="22" t="n"/>
      <c r="D716" s="22" t="n"/>
      <c r="E716" s="22" t="n">
        <v>39995</v>
      </c>
      <c r="F716" s="83" t="inlineStr">
        <is>
          <t>2009-07</t>
        </is>
      </c>
      <c r="G716" s="83" t="n">
        <v>66.11689</v>
      </c>
      <c r="I716" s="83" t="n">
        <v>44.35392</v>
      </c>
      <c r="J716" s="83" t="n">
        <v>66.78483</v>
      </c>
      <c r="K716" s="83" t="n">
        <v>69.28448</v>
      </c>
      <c r="L716" s="83" t="n">
        <v>51.47581</v>
      </c>
      <c r="M716" s="83" t="n">
        <v>42.97792</v>
      </c>
      <c r="N716" s="83" t="n">
        <v>48.91239</v>
      </c>
      <c r="O716" s="83" t="n">
        <v>67.26076</v>
      </c>
      <c r="P716" s="83" t="n">
        <v>76.72939</v>
      </c>
      <c r="R716" s="83" t="n">
        <v>81.77426</v>
      </c>
      <c r="S716" s="83" t="n">
        <v>89.02157</v>
      </c>
      <c r="AA716" s="83" t="n">
        <v>90.48275</v>
      </c>
      <c r="AC716" s="83" t="n">
        <v>85.60142</v>
      </c>
      <c r="AD716" s="83" t="n">
        <v>45.43368</v>
      </c>
      <c r="AE716" s="83" t="n">
        <v>46.12276</v>
      </c>
      <c r="AG716" s="83" t="n">
        <v>94.22166</v>
      </c>
      <c r="AH716" s="83" t="n">
        <v>65.40205</v>
      </c>
      <c r="AJ716" s="83" t="n">
        <v>86.24323</v>
      </c>
      <c r="AK716" s="83" t="n">
        <v>65.42187</v>
      </c>
      <c r="AO716" s="83" t="n">
        <v>48.11725</v>
      </c>
      <c r="AQ716" s="83" t="n">
        <v>74.65429</v>
      </c>
      <c r="AR716" s="83" t="n">
        <v>69.41328</v>
      </c>
      <c r="AT716" s="83" t="n">
        <v>64.00772000000001</v>
      </c>
      <c r="AV716" s="83" t="n">
        <v>36.15626</v>
      </c>
      <c r="AZ716" s="83" t="n">
        <v>78.33105</v>
      </c>
      <c r="BA716" s="83" t="n">
        <v>40.85394</v>
      </c>
      <c r="BB716" s="83" t="n">
        <v>70.07565</v>
      </c>
      <c r="BC716" s="83" t="n">
        <v>68.10053000000001</v>
      </c>
      <c r="BD716" s="83" t="n">
        <v>65.94128000000001</v>
      </c>
    </row>
    <row r="717">
      <c r="A717" s="83" t="inlineStr">
        <is>
          <t>2010-12</t>
        </is>
      </c>
      <c r="B717" s="22" t="n">
        <v>40513</v>
      </c>
      <c r="C717" s="22" t="n"/>
      <c r="D717" s="22" t="n"/>
      <c r="E717" s="22" t="n">
        <v>40026</v>
      </c>
      <c r="F717" s="83" t="inlineStr">
        <is>
          <t>2009-08</t>
        </is>
      </c>
      <c r="G717" s="83" t="n">
        <v>66.29340000000001</v>
      </c>
      <c r="I717" s="83" t="n">
        <v>45.00281</v>
      </c>
      <c r="J717" s="83" t="n">
        <v>66.80964</v>
      </c>
      <c r="K717" s="83" t="n">
        <v>69.68899999999999</v>
      </c>
      <c r="L717" s="83" t="n">
        <v>51.65451</v>
      </c>
      <c r="M717" s="83" t="n">
        <v>43.59607</v>
      </c>
      <c r="N717" s="83" t="n">
        <v>49.17412</v>
      </c>
      <c r="O717" s="83" t="n">
        <v>68.0929</v>
      </c>
      <c r="P717" s="83" t="n">
        <v>76.41887</v>
      </c>
      <c r="R717" s="83" t="n">
        <v>81.95395000000001</v>
      </c>
      <c r="S717" s="83" t="n">
        <v>88.65609000000001</v>
      </c>
      <c r="AA717" s="83" t="n">
        <v>91.20789000000001</v>
      </c>
      <c r="AC717" s="83" t="n">
        <v>85.61515</v>
      </c>
      <c r="AD717" s="83" t="n">
        <v>45.82232</v>
      </c>
      <c r="AE717" s="83" t="n">
        <v>46.66395</v>
      </c>
      <c r="AG717" s="83" t="n">
        <v>94.1589</v>
      </c>
      <c r="AH717" s="83" t="n">
        <v>65.30209000000001</v>
      </c>
      <c r="AJ717" s="83" t="n">
        <v>86.42588000000001</v>
      </c>
      <c r="AK717" s="83" t="n">
        <v>65.90922</v>
      </c>
      <c r="AO717" s="83" t="n">
        <v>48.19072</v>
      </c>
      <c r="AQ717" s="83" t="n">
        <v>74.49926000000001</v>
      </c>
      <c r="AR717" s="83" t="n">
        <v>69.53088</v>
      </c>
      <c r="AT717" s="83" t="n">
        <v>63.58854</v>
      </c>
      <c r="AV717" s="83" t="n">
        <v>37.17452</v>
      </c>
      <c r="AZ717" s="83" t="n">
        <v>78.29253</v>
      </c>
      <c r="BA717" s="83" t="n">
        <v>41.25157</v>
      </c>
      <c r="BB717" s="83" t="n">
        <v>70.07315</v>
      </c>
      <c r="BC717" s="83" t="n">
        <v>68.15347</v>
      </c>
      <c r="BD717" s="83" t="n">
        <v>66.15622999999999</v>
      </c>
    </row>
    <row r="718">
      <c r="A718" s="83" t="inlineStr">
        <is>
          <t>2011-01</t>
        </is>
      </c>
      <c r="B718" s="22" t="n">
        <v>40544</v>
      </c>
      <c r="C718" s="22" t="n"/>
      <c r="D718" s="22" t="n"/>
      <c r="E718" s="22" t="n">
        <v>40057</v>
      </c>
      <c r="F718" s="83" t="inlineStr">
        <is>
          <t>2009-09</t>
        </is>
      </c>
      <c r="G718" s="83" t="n">
        <v>66.39987000000001</v>
      </c>
      <c r="I718" s="83" t="n">
        <v>45.62051</v>
      </c>
      <c r="J718" s="83" t="n">
        <v>67.08497</v>
      </c>
      <c r="K718" s="83" t="n">
        <v>69.89215</v>
      </c>
      <c r="L718" s="83" t="n">
        <v>51.74001</v>
      </c>
      <c r="M718" s="83" t="n">
        <v>44.21711</v>
      </c>
      <c r="N718" s="83" t="n">
        <v>49.14059</v>
      </c>
      <c r="O718" s="83" t="n">
        <v>68.76481</v>
      </c>
      <c r="P718" s="83" t="n">
        <v>75.79257</v>
      </c>
      <c r="R718" s="83" t="n">
        <v>82.87061</v>
      </c>
      <c r="S718" s="83" t="n">
        <v>88.45491</v>
      </c>
      <c r="AA718" s="83" t="n">
        <v>92.12173</v>
      </c>
      <c r="AC718" s="83" t="n">
        <v>85.658</v>
      </c>
      <c r="AD718" s="83" t="n">
        <v>46.28368</v>
      </c>
      <c r="AE718" s="83" t="n">
        <v>47.14355</v>
      </c>
      <c r="AG718" s="83" t="n">
        <v>94.09206</v>
      </c>
      <c r="AH718" s="83" t="n">
        <v>65.52856</v>
      </c>
      <c r="AJ718" s="83" t="n">
        <v>86.52460000000001</v>
      </c>
      <c r="AK718" s="83" t="n">
        <v>66.28055000000001</v>
      </c>
      <c r="AO718" s="83" t="n">
        <v>48.26933</v>
      </c>
      <c r="AQ718" s="83" t="n">
        <v>74.29213</v>
      </c>
      <c r="AR718" s="83" t="n">
        <v>69.68062</v>
      </c>
      <c r="AT718" s="83" t="n">
        <v>63.69664</v>
      </c>
      <c r="AV718" s="83" t="n">
        <v>37.6422</v>
      </c>
      <c r="AZ718" s="83" t="n">
        <v>78.05629</v>
      </c>
      <c r="BA718" s="83" t="n">
        <v>41.86341</v>
      </c>
      <c r="BB718" s="83" t="n">
        <v>70.06734</v>
      </c>
      <c r="BC718" s="83" t="n">
        <v>68.06863</v>
      </c>
      <c r="BD718" s="83" t="n">
        <v>66.29626</v>
      </c>
    </row>
    <row r="719">
      <c r="A719" s="83" t="inlineStr">
        <is>
          <t>2011-02</t>
        </is>
      </c>
      <c r="B719" s="22" t="n">
        <v>40575</v>
      </c>
      <c r="C719" s="22" t="n"/>
      <c r="D719" s="22" t="n"/>
      <c r="E719" s="22" t="n">
        <v>40087</v>
      </c>
      <c r="F719" s="83" t="inlineStr">
        <is>
          <t>2009-10</t>
        </is>
      </c>
      <c r="G719" s="83" t="n">
        <v>66.35223999999999</v>
      </c>
      <c r="I719" s="83" t="n">
        <v>46.27009</v>
      </c>
      <c r="J719" s="83" t="n">
        <v>67.23405</v>
      </c>
      <c r="K719" s="83" t="n">
        <v>70.17894</v>
      </c>
      <c r="L719" s="83" t="n">
        <v>51.55008</v>
      </c>
      <c r="M719" s="83" t="n">
        <v>44.94162</v>
      </c>
      <c r="N719" s="83" t="n">
        <v>49.27979</v>
      </c>
      <c r="O719" s="83" t="n">
        <v>69.27023</v>
      </c>
      <c r="P719" s="83" t="n">
        <v>75.66386</v>
      </c>
      <c r="R719" s="83" t="n">
        <v>83.05549999999999</v>
      </c>
      <c r="S719" s="83" t="n">
        <v>88.37059000000001</v>
      </c>
      <c r="AA719" s="83" t="n">
        <v>93.12755</v>
      </c>
      <c r="AC719" s="83" t="n">
        <v>85.1832</v>
      </c>
      <c r="AD719" s="83" t="n">
        <v>46.46881</v>
      </c>
      <c r="AE719" s="83" t="n">
        <v>47.68745</v>
      </c>
      <c r="AG719" s="83" t="n">
        <v>93.96486</v>
      </c>
      <c r="AH719" s="83" t="n">
        <v>65.67218</v>
      </c>
      <c r="AJ719" s="83" t="n">
        <v>86.67303</v>
      </c>
      <c r="AK719" s="83" t="n">
        <v>66.87399000000001</v>
      </c>
      <c r="AO719" s="83" t="n">
        <v>48.9075</v>
      </c>
      <c r="AQ719" s="83" t="n">
        <v>74.21602</v>
      </c>
      <c r="AR719" s="83" t="n">
        <v>70.0077</v>
      </c>
      <c r="AT719" s="83" t="n">
        <v>65.07482</v>
      </c>
      <c r="AV719" s="83" t="n">
        <v>38.29427</v>
      </c>
      <c r="AZ719" s="83" t="n">
        <v>77.88074</v>
      </c>
      <c r="BA719" s="83" t="n">
        <v>42.50012</v>
      </c>
      <c r="BB719" s="83" t="n">
        <v>70.29004999999999</v>
      </c>
      <c r="BC719" s="83" t="n">
        <v>67.87849</v>
      </c>
      <c r="BD719" s="83" t="n">
        <v>66.29543</v>
      </c>
    </row>
    <row r="720">
      <c r="A720" s="83" t="inlineStr">
        <is>
          <t>2011-03</t>
        </is>
      </c>
      <c r="B720" s="22" t="n">
        <v>40603</v>
      </c>
      <c r="C720" s="22" t="n"/>
      <c r="D720" s="22" t="n"/>
      <c r="E720" s="22" t="n">
        <v>40118</v>
      </c>
      <c r="F720" s="83" t="inlineStr">
        <is>
          <t>2009-11</t>
        </is>
      </c>
      <c r="G720" s="83" t="n">
        <v>66.2822</v>
      </c>
      <c r="I720" s="83" t="n">
        <v>46.85192</v>
      </c>
      <c r="J720" s="83" t="n">
        <v>67.33879</v>
      </c>
      <c r="K720" s="83" t="n">
        <v>70.70405</v>
      </c>
      <c r="L720" s="83" t="n">
        <v>51.24996</v>
      </c>
      <c r="M720" s="83" t="n">
        <v>45.59056</v>
      </c>
      <c r="N720" s="83" t="n">
        <v>49.6044</v>
      </c>
      <c r="O720" s="83" t="n">
        <v>69.04583</v>
      </c>
      <c r="P720" s="83" t="n">
        <v>76.28717</v>
      </c>
      <c r="R720" s="83" t="n">
        <v>82.636</v>
      </c>
      <c r="S720" s="83" t="n">
        <v>88.19508</v>
      </c>
      <c r="AA720" s="83" t="n">
        <v>93.68865</v>
      </c>
      <c r="AC720" s="83" t="n">
        <v>84.78635</v>
      </c>
      <c r="AD720" s="83" t="n">
        <v>46.85012</v>
      </c>
      <c r="AE720" s="83" t="n">
        <v>48.27664</v>
      </c>
      <c r="AG720" s="83" t="n">
        <v>93.62202000000001</v>
      </c>
      <c r="AH720" s="83" t="n">
        <v>65.98506999999999</v>
      </c>
      <c r="AJ720" s="83" t="n">
        <v>86.84863</v>
      </c>
      <c r="AK720" s="83" t="n">
        <v>67.29646</v>
      </c>
      <c r="AO720" s="83" t="n">
        <v>49.59504</v>
      </c>
      <c r="AQ720" s="83" t="n">
        <v>73.85373</v>
      </c>
      <c r="AR720" s="83" t="n">
        <v>70.32722</v>
      </c>
      <c r="AT720" s="83" t="n">
        <v>65.3856</v>
      </c>
      <c r="AV720" s="83" t="n">
        <v>38.7243</v>
      </c>
      <c r="AZ720" s="83" t="n">
        <v>78.27843</v>
      </c>
      <c r="BA720" s="83" t="n">
        <v>43.24037</v>
      </c>
      <c r="BB720" s="83" t="n">
        <v>70.54018000000001</v>
      </c>
      <c r="BC720" s="83" t="n">
        <v>67.69408</v>
      </c>
      <c r="BD720" s="83" t="n">
        <v>66.41313</v>
      </c>
    </row>
    <row r="721">
      <c r="A721" s="83" t="inlineStr">
        <is>
          <t>2011-04</t>
        </is>
      </c>
      <c r="B721" s="22" t="n">
        <v>40634</v>
      </c>
      <c r="C721" s="22" t="n"/>
      <c r="D721" s="22" t="n"/>
      <c r="E721" s="22" t="n">
        <v>40148</v>
      </c>
      <c r="F721" s="83" t="inlineStr">
        <is>
          <t>2009-12</t>
        </is>
      </c>
      <c r="G721" s="83" t="n">
        <v>66.13930999999999</v>
      </c>
      <c r="I721" s="83" t="n">
        <v>47.29042</v>
      </c>
      <c r="J721" s="83" t="n">
        <v>67.57633</v>
      </c>
      <c r="K721" s="83" t="n">
        <v>70.84141</v>
      </c>
      <c r="L721" s="83" t="n">
        <v>51.38731</v>
      </c>
      <c r="M721" s="83" t="n">
        <v>46.08965</v>
      </c>
      <c r="N721" s="83" t="n">
        <v>49.68458</v>
      </c>
      <c r="O721" s="83" t="n">
        <v>68.15701</v>
      </c>
      <c r="P721" s="83" t="n">
        <v>77.10876</v>
      </c>
      <c r="R721" s="83" t="n">
        <v>81.84174</v>
      </c>
      <c r="S721" s="83" t="n">
        <v>88.29002</v>
      </c>
      <c r="AA721" s="83" t="n">
        <v>93.35805999999999</v>
      </c>
      <c r="AC721" s="83" t="n">
        <v>84.39561</v>
      </c>
      <c r="AD721" s="83" t="n">
        <v>47.47655</v>
      </c>
      <c r="AE721" s="83" t="n">
        <v>48.75244</v>
      </c>
      <c r="AG721" s="83" t="n">
        <v>93.08241</v>
      </c>
      <c r="AH721" s="83" t="n">
        <v>66.06408999999999</v>
      </c>
      <c r="AJ721" s="83" t="n">
        <v>86.95071</v>
      </c>
      <c r="AK721" s="83" t="n">
        <v>67.82437</v>
      </c>
      <c r="AO721" s="83" t="n">
        <v>49.65327</v>
      </c>
      <c r="AQ721" s="83" t="n">
        <v>74.02309</v>
      </c>
      <c r="AR721" s="83" t="n">
        <v>70.37065</v>
      </c>
      <c r="AT721" s="83" t="n">
        <v>65.12603</v>
      </c>
      <c r="AV721" s="83" t="n">
        <v>38.16398</v>
      </c>
      <c r="AZ721" s="83" t="n">
        <v>78.44956999999999</v>
      </c>
      <c r="BA721" s="83" t="n">
        <v>43.78679</v>
      </c>
      <c r="BB721" s="83" t="n">
        <v>70.49863000000001</v>
      </c>
      <c r="BC721" s="83" t="n">
        <v>67.80784</v>
      </c>
      <c r="BD721" s="83" t="n">
        <v>66.86190000000001</v>
      </c>
    </row>
    <row r="722">
      <c r="A722" s="83" t="inlineStr">
        <is>
          <t>2011-05</t>
        </is>
      </c>
      <c r="B722" s="22" t="n">
        <v>40664</v>
      </c>
      <c r="C722" s="22" t="n"/>
      <c r="D722" s="22" t="n"/>
      <c r="E722" s="22" t="n">
        <v>40179</v>
      </c>
      <c r="F722" s="83" t="inlineStr">
        <is>
          <t>2010-01</t>
        </is>
      </c>
      <c r="G722" s="83" t="n">
        <v>66.15891999999999</v>
      </c>
      <c r="I722" s="83" t="n">
        <v>49.11358</v>
      </c>
      <c r="J722" s="83" t="n">
        <v>67.71353000000001</v>
      </c>
      <c r="K722" s="83" t="n">
        <v>70.85724999999999</v>
      </c>
      <c r="L722" s="83" t="n">
        <v>51.8529</v>
      </c>
      <c r="M722" s="83" t="n">
        <v>46.83223</v>
      </c>
      <c r="N722" s="83" t="n">
        <v>50.14887</v>
      </c>
      <c r="O722" s="83" t="n">
        <v>67.49702000000001</v>
      </c>
      <c r="P722" s="83" t="n">
        <v>77.19212</v>
      </c>
      <c r="R722" s="83" t="n">
        <v>80.95308</v>
      </c>
      <c r="S722" s="83" t="n">
        <v>88.22002000000001</v>
      </c>
      <c r="AA722" s="83" t="n">
        <v>96.97933</v>
      </c>
      <c r="AC722" s="83" t="n">
        <v>84.46762</v>
      </c>
      <c r="AD722" s="83" t="n">
        <v>47.6473</v>
      </c>
      <c r="AE722" s="83" t="n">
        <v>49.36239</v>
      </c>
      <c r="AG722" s="83" t="n">
        <v>92.45927</v>
      </c>
      <c r="AH722" s="83" t="n">
        <v>66.14682000000001</v>
      </c>
      <c r="AJ722" s="83" t="n">
        <v>87.12202000000001</v>
      </c>
      <c r="AK722" s="83" t="n">
        <v>68.45245</v>
      </c>
      <c r="AO722" s="83" t="n">
        <v>49.38572</v>
      </c>
      <c r="AQ722" s="83" t="n">
        <v>74.41394</v>
      </c>
      <c r="AR722" s="83" t="n">
        <v>70.49156000000001</v>
      </c>
      <c r="AT722" s="83" t="n">
        <v>65.47638999999999</v>
      </c>
      <c r="AV722" s="83" t="n">
        <v>39.90469</v>
      </c>
      <c r="AZ722" s="83" t="n">
        <v>78.7852</v>
      </c>
      <c r="BA722" s="83" t="n">
        <v>44.12033</v>
      </c>
      <c r="BB722" s="83" t="n">
        <v>70.18534</v>
      </c>
      <c r="BC722" s="83" t="n">
        <v>67.86501</v>
      </c>
      <c r="BD722" s="83" t="n">
        <v>66.83981</v>
      </c>
    </row>
    <row r="723">
      <c r="A723" s="83" t="inlineStr">
        <is>
          <t>2011-06</t>
        </is>
      </c>
      <c r="B723" s="22" t="n">
        <v>40695</v>
      </c>
      <c r="C723" s="22" t="n"/>
      <c r="D723" s="22" t="n"/>
      <c r="E723" s="22" t="n">
        <v>40210</v>
      </c>
      <c r="F723" s="83" t="inlineStr">
        <is>
          <t>2010-02</t>
        </is>
      </c>
      <c r="G723" s="83" t="n">
        <v>66.64923</v>
      </c>
      <c r="I723" s="83" t="n">
        <v>50.93201</v>
      </c>
      <c r="J723" s="83" t="n">
        <v>68.34099999999999</v>
      </c>
      <c r="K723" s="83" t="n">
        <v>71.23675</v>
      </c>
      <c r="L723" s="83" t="n">
        <v>52.4431</v>
      </c>
      <c r="M723" s="83" t="n">
        <v>47.81712</v>
      </c>
      <c r="N723" s="83" t="n">
        <v>50.72218</v>
      </c>
      <c r="O723" s="83" t="n">
        <v>67.11234</v>
      </c>
      <c r="P723" s="83" t="n">
        <v>76.53442</v>
      </c>
      <c r="R723" s="83" t="n">
        <v>80.45186</v>
      </c>
      <c r="S723" s="83" t="n">
        <v>87.84820999999999</v>
      </c>
      <c r="AA723" s="83" t="n">
        <v>101.4331</v>
      </c>
      <c r="AC723" s="83" t="n">
        <v>85.24715</v>
      </c>
      <c r="AD723" s="83" t="n">
        <v>47.71336</v>
      </c>
      <c r="AE723" s="83" t="n">
        <v>50.14887</v>
      </c>
      <c r="AG723" s="83" t="n">
        <v>91.81712</v>
      </c>
      <c r="AH723" s="83" t="n">
        <v>66.14671</v>
      </c>
      <c r="AJ723" s="83" t="n">
        <v>87.24796000000001</v>
      </c>
      <c r="AK723" s="83" t="n">
        <v>69.11706</v>
      </c>
      <c r="AO723" s="83" t="n">
        <v>49.43088</v>
      </c>
      <c r="AQ723" s="83" t="n">
        <v>74.4307</v>
      </c>
      <c r="AR723" s="83" t="n">
        <v>71.07069</v>
      </c>
      <c r="AT723" s="83" t="n">
        <v>65.59350000000001</v>
      </c>
      <c r="AV723" s="83" t="n">
        <v>41.93021</v>
      </c>
      <c r="AZ723" s="83" t="n">
        <v>79.35886000000001</v>
      </c>
      <c r="BA723" s="83" t="n">
        <v>44.81744</v>
      </c>
      <c r="BB723" s="83" t="n">
        <v>70.59753000000001</v>
      </c>
      <c r="BC723" s="83" t="n">
        <v>67.92361</v>
      </c>
      <c r="BD723" s="83" t="n">
        <v>66.64353</v>
      </c>
    </row>
    <row r="724">
      <c r="A724" s="83" t="inlineStr">
        <is>
          <t>2011-07</t>
        </is>
      </c>
      <c r="B724" s="22" t="n">
        <v>40725</v>
      </c>
      <c r="C724" s="22" t="n"/>
      <c r="D724" s="22" t="n"/>
      <c r="E724" s="22" t="n">
        <v>40238</v>
      </c>
      <c r="F724" s="83" t="inlineStr">
        <is>
          <t>2010-03</t>
        </is>
      </c>
      <c r="G724" s="83" t="n">
        <v>67.39452</v>
      </c>
      <c r="I724" s="83" t="n">
        <v>51.37119</v>
      </c>
      <c r="J724" s="83" t="n">
        <v>68.37036999999999</v>
      </c>
      <c r="K724" s="83" t="n">
        <v>71.66941</v>
      </c>
      <c r="L724" s="83" t="n">
        <v>53.30129</v>
      </c>
      <c r="M724" s="83" t="n">
        <v>48.45417</v>
      </c>
      <c r="N724" s="83" t="n">
        <v>50.83008</v>
      </c>
      <c r="O724" s="83" t="n">
        <v>66.73358</v>
      </c>
      <c r="P724" s="83" t="n">
        <v>76.56847</v>
      </c>
      <c r="R724" s="83" t="n">
        <v>80.41434</v>
      </c>
      <c r="S724" s="83" t="n">
        <v>87.78700000000001</v>
      </c>
      <c r="AA724" s="83" t="n">
        <v>101.7574</v>
      </c>
      <c r="AC724" s="83" t="n">
        <v>85.84978</v>
      </c>
      <c r="AD724" s="83" t="n">
        <v>48.39354</v>
      </c>
      <c r="AE724" s="83" t="n">
        <v>50.89152</v>
      </c>
      <c r="AG724" s="83" t="n">
        <v>91.13728</v>
      </c>
      <c r="AH724" s="83" t="n">
        <v>65.92692</v>
      </c>
      <c r="AJ724" s="83" t="n">
        <v>87.30970000000001</v>
      </c>
      <c r="AK724" s="83" t="n">
        <v>69.75961</v>
      </c>
      <c r="AO724" s="83" t="n">
        <v>49.87571</v>
      </c>
      <c r="AQ724" s="83" t="n">
        <v>74.63142000000001</v>
      </c>
      <c r="AR724" s="83" t="n">
        <v>71.24328</v>
      </c>
      <c r="AT724" s="83" t="n">
        <v>66.0201</v>
      </c>
      <c r="AV724" s="83" t="n">
        <v>42.04135</v>
      </c>
      <c r="AZ724" s="83" t="n">
        <v>79.60847</v>
      </c>
      <c r="BA724" s="83" t="n">
        <v>45.36288</v>
      </c>
      <c r="BB724" s="83" t="n">
        <v>70.57343</v>
      </c>
      <c r="BC724" s="83" t="n">
        <v>68.44683000000001</v>
      </c>
      <c r="BD724" s="83" t="n">
        <v>66.82040000000001</v>
      </c>
    </row>
    <row r="725">
      <c r="A725" s="83" t="inlineStr">
        <is>
          <t>2011-08</t>
        </is>
      </c>
      <c r="B725" s="22" t="n">
        <v>40756</v>
      </c>
      <c r="C725" s="22" t="n"/>
      <c r="D725" s="22" t="n"/>
      <c r="E725" s="22" t="n">
        <v>40269</v>
      </c>
      <c r="F725" s="83" t="inlineStr">
        <is>
          <t>2010-04</t>
        </is>
      </c>
      <c r="G725" s="83" t="n">
        <v>67.97729</v>
      </c>
      <c r="I725" s="83" t="n">
        <v>51.88195</v>
      </c>
      <c r="J725" s="83" t="n">
        <v>69.22054</v>
      </c>
      <c r="K725" s="83" t="n">
        <v>72.08877</v>
      </c>
      <c r="L725" s="83" t="n">
        <v>54.01538</v>
      </c>
      <c r="M725" s="83" t="n">
        <v>49.05105</v>
      </c>
      <c r="N725" s="83" t="n">
        <v>51.11439</v>
      </c>
      <c r="O725" s="83" t="n">
        <v>66.24728</v>
      </c>
      <c r="P725" s="83" t="n">
        <v>77.35645</v>
      </c>
      <c r="R725" s="83" t="n">
        <v>81.21259000000001</v>
      </c>
      <c r="S725" s="83" t="n">
        <v>88.24196999999999</v>
      </c>
      <c r="AA725" s="83" t="n">
        <v>100.8651</v>
      </c>
      <c r="AC725" s="83" t="n">
        <v>86.68333</v>
      </c>
      <c r="AD725" s="83" t="n">
        <v>49.18651</v>
      </c>
      <c r="AE725" s="83" t="n">
        <v>51.37198</v>
      </c>
      <c r="AG725" s="83" t="n">
        <v>90.35993000000001</v>
      </c>
      <c r="AH725" s="83" t="n">
        <v>66.26774</v>
      </c>
      <c r="AJ725" s="83" t="n">
        <v>87.58446000000001</v>
      </c>
      <c r="AK725" s="83" t="n">
        <v>70.22359</v>
      </c>
      <c r="AO725" s="83" t="n">
        <v>50.45894</v>
      </c>
      <c r="AQ725" s="83" t="n">
        <v>74.79087</v>
      </c>
      <c r="AR725" s="83" t="n">
        <v>71.54991</v>
      </c>
      <c r="AT725" s="83" t="n">
        <v>66.53712</v>
      </c>
      <c r="AV725" s="83" t="n">
        <v>42.77515</v>
      </c>
      <c r="AZ725" s="83" t="n">
        <v>79.58385</v>
      </c>
      <c r="BA725" s="83" t="n">
        <v>45.6802</v>
      </c>
      <c r="BB725" s="83" t="n">
        <v>70.82605</v>
      </c>
      <c r="BC725" s="83" t="n">
        <v>68.92953</v>
      </c>
      <c r="BD725" s="83" t="n">
        <v>67.18333</v>
      </c>
    </row>
    <row r="726">
      <c r="A726" s="83" t="inlineStr">
        <is>
          <t>2011-09</t>
        </is>
      </c>
      <c r="B726" s="22" t="n">
        <v>40787</v>
      </c>
      <c r="C726" s="22" t="n"/>
      <c r="D726" s="22" t="n"/>
      <c r="E726" s="22" t="n">
        <v>40299</v>
      </c>
      <c r="F726" s="83" t="inlineStr">
        <is>
          <t>2010-05</t>
        </is>
      </c>
      <c r="G726" s="83" t="n">
        <v>68.3135</v>
      </c>
      <c r="I726" s="83" t="n">
        <v>52.47933</v>
      </c>
      <c r="J726" s="83" t="n">
        <v>70.02849000000001</v>
      </c>
      <c r="K726" s="83" t="n">
        <v>72.83868</v>
      </c>
      <c r="L726" s="83" t="n">
        <v>54.41483</v>
      </c>
      <c r="M726" s="83" t="n">
        <v>49.77767</v>
      </c>
      <c r="N726" s="83" t="n">
        <v>51.49509</v>
      </c>
      <c r="O726" s="83" t="n">
        <v>66.62745</v>
      </c>
      <c r="P726" s="83" t="n">
        <v>78.68528000000001</v>
      </c>
      <c r="R726" s="83" t="n">
        <v>82.16173999999999</v>
      </c>
      <c r="S726" s="83" t="n">
        <v>88.77916</v>
      </c>
      <c r="AA726" s="83" t="n">
        <v>100.2414</v>
      </c>
      <c r="AC726" s="83" t="n">
        <v>87.63596</v>
      </c>
      <c r="AD726" s="83" t="n">
        <v>49.70914</v>
      </c>
      <c r="AE726" s="83" t="n">
        <v>51.81095</v>
      </c>
      <c r="AG726" s="83" t="n">
        <v>89.54711</v>
      </c>
      <c r="AH726" s="83" t="n">
        <v>66.536</v>
      </c>
      <c r="AJ726" s="83" t="n">
        <v>87.95377999999999</v>
      </c>
      <c r="AK726" s="83" t="n">
        <v>70.55412</v>
      </c>
      <c r="AO726" s="83" t="n">
        <v>51.11324</v>
      </c>
      <c r="AQ726" s="83" t="n">
        <v>74.84692</v>
      </c>
      <c r="AR726" s="83" t="n">
        <v>71.98981999999999</v>
      </c>
      <c r="AT726" s="83" t="n">
        <v>67.3522</v>
      </c>
      <c r="AV726" s="83" t="n">
        <v>43.51025</v>
      </c>
      <c r="AZ726" s="83" t="n">
        <v>79.66764999999999</v>
      </c>
      <c r="BA726" s="83" t="n">
        <v>46.18777</v>
      </c>
      <c r="BB726" s="83" t="n">
        <v>71.28062</v>
      </c>
      <c r="BC726" s="83" t="n">
        <v>69.21753</v>
      </c>
      <c r="BD726" s="83" t="n">
        <v>67.53506</v>
      </c>
    </row>
    <row r="727">
      <c r="A727" s="83" t="inlineStr">
        <is>
          <t>2011-10</t>
        </is>
      </c>
      <c r="B727" s="22" t="n">
        <v>40817</v>
      </c>
      <c r="C727" s="22" t="n"/>
      <c r="D727" s="22" t="n"/>
      <c r="E727" s="22" t="n">
        <v>40330</v>
      </c>
      <c r="F727" s="83" t="inlineStr">
        <is>
          <t>2010-06</t>
        </is>
      </c>
      <c r="G727" s="83" t="n">
        <v>68.72817000000001</v>
      </c>
      <c r="I727" s="83" t="n">
        <v>53.15186</v>
      </c>
      <c r="J727" s="83" t="n">
        <v>70.57273000000001</v>
      </c>
      <c r="K727" s="83" t="n">
        <v>73.77126</v>
      </c>
      <c r="L727" s="83" t="n">
        <v>54.66339</v>
      </c>
      <c r="M727" s="83" t="n">
        <v>50.26099</v>
      </c>
      <c r="N727" s="83" t="n">
        <v>52.04843</v>
      </c>
      <c r="O727" s="83" t="n">
        <v>67.71572</v>
      </c>
      <c r="P727" s="83" t="n">
        <v>79.29201999999999</v>
      </c>
      <c r="R727" s="83" t="n">
        <v>82.90407999999999</v>
      </c>
      <c r="S727" s="83" t="n">
        <v>88.10314</v>
      </c>
      <c r="AA727" s="83" t="n">
        <v>100.2081</v>
      </c>
      <c r="AC727" s="83" t="n">
        <v>88.33656000000001</v>
      </c>
      <c r="AD727" s="83" t="n">
        <v>50.56684</v>
      </c>
      <c r="AE727" s="83" t="n">
        <v>52.44637</v>
      </c>
      <c r="AG727" s="83" t="n">
        <v>88.76714</v>
      </c>
      <c r="AH727" s="83" t="n">
        <v>67.04034</v>
      </c>
      <c r="AJ727" s="83" t="n">
        <v>87.92392</v>
      </c>
      <c r="AK727" s="83" t="n">
        <v>70.6468</v>
      </c>
      <c r="AO727" s="83" t="n">
        <v>51.70588</v>
      </c>
      <c r="AQ727" s="83" t="n">
        <v>75.36398</v>
      </c>
      <c r="AR727" s="83" t="n">
        <v>72.27670000000001</v>
      </c>
      <c r="AT727" s="83" t="n">
        <v>68.29809</v>
      </c>
      <c r="AV727" s="83" t="n">
        <v>44.13717</v>
      </c>
      <c r="AZ727" s="83" t="n">
        <v>79.74033</v>
      </c>
      <c r="BA727" s="83" t="n">
        <v>47.08384</v>
      </c>
      <c r="BB727" s="83" t="n">
        <v>71.43935</v>
      </c>
      <c r="BC727" s="83" t="n">
        <v>69.63797</v>
      </c>
      <c r="BD727" s="83" t="n">
        <v>67.4653</v>
      </c>
    </row>
    <row r="728">
      <c r="A728" s="83" t="inlineStr">
        <is>
          <t>2011-11</t>
        </is>
      </c>
      <c r="B728" s="22" t="n">
        <v>40848</v>
      </c>
      <c r="C728" s="22" t="n"/>
      <c r="D728" s="22" t="n"/>
      <c r="E728" s="22" t="n">
        <v>40360</v>
      </c>
      <c r="F728" s="83" t="inlineStr">
        <is>
          <t>2010-07</t>
        </is>
      </c>
      <c r="G728" s="83" t="n">
        <v>69.31655000000001</v>
      </c>
      <c r="I728" s="83" t="n">
        <v>53.85883</v>
      </c>
      <c r="J728" s="83" t="n">
        <v>71.09408000000001</v>
      </c>
      <c r="K728" s="83" t="n">
        <v>74.08566999999999</v>
      </c>
      <c r="L728" s="83" t="n">
        <v>54.59764</v>
      </c>
      <c r="M728" s="83" t="n">
        <v>50.77944</v>
      </c>
      <c r="N728" s="83" t="n">
        <v>52.55469</v>
      </c>
      <c r="O728" s="83" t="n">
        <v>67.77415999999999</v>
      </c>
      <c r="P728" s="83" t="n">
        <v>79.03061</v>
      </c>
      <c r="R728" s="83" t="n">
        <v>84.56697</v>
      </c>
      <c r="S728" s="83" t="n">
        <v>87.23396</v>
      </c>
      <c r="AA728" s="83" t="n">
        <v>100.094</v>
      </c>
      <c r="AC728" s="83" t="n">
        <v>88.73096</v>
      </c>
      <c r="AD728" s="83" t="n">
        <v>51.29067</v>
      </c>
      <c r="AE728" s="83" t="n">
        <v>53.21127</v>
      </c>
      <c r="AG728" s="83" t="n">
        <v>88.01714</v>
      </c>
      <c r="AH728" s="83" t="n">
        <v>67.23177</v>
      </c>
      <c r="AJ728" s="83" t="n">
        <v>88.02627</v>
      </c>
      <c r="AK728" s="83" t="n">
        <v>70.76399000000001</v>
      </c>
      <c r="AO728" s="83" t="n">
        <v>52.33278</v>
      </c>
      <c r="AQ728" s="83" t="n">
        <v>76.28076</v>
      </c>
      <c r="AR728" s="83" t="n">
        <v>72.50346</v>
      </c>
      <c r="AT728" s="83" t="n">
        <v>68.80833</v>
      </c>
      <c r="AV728" s="83" t="n">
        <v>45.12416</v>
      </c>
      <c r="AZ728" s="83" t="n">
        <v>80.36462</v>
      </c>
      <c r="BA728" s="83" t="n">
        <v>47.81548</v>
      </c>
      <c r="BB728" s="83" t="n">
        <v>71.51912</v>
      </c>
      <c r="BC728" s="83" t="n">
        <v>70.31717999999999</v>
      </c>
      <c r="BD728" s="83" t="n">
        <v>67.50626</v>
      </c>
    </row>
    <row r="729">
      <c r="A729" s="83" t="inlineStr">
        <is>
          <t>2011-12</t>
        </is>
      </c>
      <c r="B729" s="22" t="n">
        <v>40878</v>
      </c>
      <c r="C729" s="22" t="n"/>
      <c r="D729" s="22" t="n"/>
      <c r="E729" s="22" t="n">
        <v>40391</v>
      </c>
      <c r="F729" s="83" t="inlineStr">
        <is>
          <t>2010-08</t>
        </is>
      </c>
      <c r="G729" s="83" t="n">
        <v>69.91894000000001</v>
      </c>
      <c r="I729" s="83" t="n">
        <v>54.66223</v>
      </c>
      <c r="J729" s="83" t="n">
        <v>71.63884</v>
      </c>
      <c r="K729" s="83" t="n">
        <v>74.10814999999999</v>
      </c>
      <c r="L729" s="83" t="n">
        <v>54.43827</v>
      </c>
      <c r="M729" s="83" t="n">
        <v>51.70747</v>
      </c>
      <c r="N729" s="83" t="n">
        <v>52.83048</v>
      </c>
      <c r="O729" s="83" t="n">
        <v>67.25066</v>
      </c>
      <c r="P729" s="83" t="n">
        <v>78.68764</v>
      </c>
      <c r="R729" s="83" t="n">
        <v>87.09063</v>
      </c>
      <c r="S729" s="83" t="n">
        <v>87.21083</v>
      </c>
      <c r="AA729" s="83" t="n">
        <v>99.84726999999999</v>
      </c>
      <c r="AC729" s="83" t="n">
        <v>88.84202000000001</v>
      </c>
      <c r="AD729" s="83" t="n">
        <v>51.54491</v>
      </c>
      <c r="AE729" s="83" t="n">
        <v>53.93836</v>
      </c>
      <c r="AG729" s="83" t="n">
        <v>87.30452</v>
      </c>
      <c r="AH729" s="83" t="n">
        <v>66.91304</v>
      </c>
      <c r="AJ729" s="83" t="n">
        <v>88.23672999999999</v>
      </c>
      <c r="AK729" s="83" t="n">
        <v>70.95397</v>
      </c>
      <c r="AO729" s="83" t="n">
        <v>53.3356</v>
      </c>
      <c r="AQ729" s="83" t="n">
        <v>76.93026999999999</v>
      </c>
      <c r="AR729" s="83" t="n">
        <v>72.88726</v>
      </c>
      <c r="AT729" s="83" t="n">
        <v>69.08750999999999</v>
      </c>
      <c r="AV729" s="83" t="n">
        <v>46.19777</v>
      </c>
      <c r="AZ729" s="83" t="n">
        <v>80.58204000000001</v>
      </c>
      <c r="BA729" s="83" t="n">
        <v>48.1311</v>
      </c>
      <c r="BB729" s="83" t="n">
        <v>71.93713</v>
      </c>
      <c r="BC729" s="83" t="n">
        <v>70.89865</v>
      </c>
      <c r="BD729" s="83" t="n">
        <v>68.00821000000001</v>
      </c>
    </row>
    <row r="730">
      <c r="A730" s="83" t="inlineStr">
        <is>
          <t>2012-01</t>
        </is>
      </c>
      <c r="B730" s="22" t="n">
        <v>40909</v>
      </c>
      <c r="C730" s="22" t="n"/>
      <c r="D730" s="22" t="n"/>
      <c r="E730" s="22" t="n">
        <v>40422</v>
      </c>
      <c r="F730" s="83" t="inlineStr">
        <is>
          <t>2010-09</t>
        </is>
      </c>
      <c r="G730" s="83" t="n">
        <v>70.43165999999999</v>
      </c>
      <c r="I730" s="83" t="n">
        <v>55.5124</v>
      </c>
      <c r="J730" s="83" t="n">
        <v>71.49760000000001</v>
      </c>
      <c r="K730" s="83" t="n">
        <v>74.33835000000001</v>
      </c>
      <c r="L730" s="83" t="n">
        <v>54.88056</v>
      </c>
      <c r="M730" s="83" t="n">
        <v>52.64408</v>
      </c>
      <c r="N730" s="83" t="n">
        <v>53.27463</v>
      </c>
      <c r="O730" s="83" t="n">
        <v>66.88717</v>
      </c>
      <c r="P730" s="83" t="n">
        <v>78.45686000000001</v>
      </c>
      <c r="R730" s="83" t="n">
        <v>86.90334</v>
      </c>
      <c r="S730" s="83" t="n">
        <v>87.23569000000001</v>
      </c>
      <c r="AA730" s="83" t="n">
        <v>99.6923</v>
      </c>
      <c r="AC730" s="83" t="n">
        <v>88.30540000000001</v>
      </c>
      <c r="AD730" s="83" t="n">
        <v>52.02149</v>
      </c>
      <c r="AE730" s="83" t="n">
        <v>54.45184</v>
      </c>
      <c r="AG730" s="83" t="n">
        <v>86.63753</v>
      </c>
      <c r="AH730" s="83" t="n">
        <v>66.94565</v>
      </c>
      <c r="AJ730" s="83" t="n">
        <v>88.37684</v>
      </c>
      <c r="AK730" s="83" t="n">
        <v>71.25697</v>
      </c>
      <c r="AO730" s="83" t="n">
        <v>54.14809</v>
      </c>
      <c r="AQ730" s="83" t="n">
        <v>77.23699999999999</v>
      </c>
      <c r="AR730" s="83" t="n">
        <v>73.14545</v>
      </c>
      <c r="AT730" s="83" t="n">
        <v>69.51988</v>
      </c>
      <c r="AV730" s="83" t="n">
        <v>46.80795</v>
      </c>
      <c r="AZ730" s="83" t="n">
        <v>80.40182</v>
      </c>
      <c r="BA730" s="83" t="n">
        <v>48.58194</v>
      </c>
      <c r="BB730" s="83" t="n">
        <v>72.1964</v>
      </c>
      <c r="BC730" s="83" t="n">
        <v>71.22466</v>
      </c>
      <c r="BD730" s="83" t="n">
        <v>68.49283</v>
      </c>
    </row>
    <row r="731">
      <c r="A731" s="83" t="inlineStr">
        <is>
          <t>2012-02</t>
        </is>
      </c>
      <c r="B731" s="22" t="n">
        <v>40940</v>
      </c>
      <c r="C731" s="22" t="n"/>
      <c r="D731" s="22" t="n"/>
      <c r="E731" s="22" t="n">
        <v>40452</v>
      </c>
      <c r="F731" s="83" t="inlineStr">
        <is>
          <t>2010-10</t>
        </is>
      </c>
      <c r="G731" s="83" t="n">
        <v>71.01443</v>
      </c>
      <c r="I731" s="83" t="n">
        <v>56.62296</v>
      </c>
      <c r="J731" s="83" t="n">
        <v>71.97387000000001</v>
      </c>
      <c r="K731" s="83" t="n">
        <v>74.63078</v>
      </c>
      <c r="L731" s="83" t="n">
        <v>55.76621</v>
      </c>
      <c r="M731" s="83" t="n">
        <v>53.51728</v>
      </c>
      <c r="N731" s="83" t="n">
        <v>53.73988</v>
      </c>
      <c r="O731" s="83" t="n">
        <v>66.49933</v>
      </c>
      <c r="P731" s="83" t="n">
        <v>78.42764</v>
      </c>
      <c r="R731" s="83" t="n">
        <v>85.87415</v>
      </c>
      <c r="S731" s="83" t="n">
        <v>87.26261</v>
      </c>
      <c r="AA731" s="83" t="n">
        <v>99.88437999999999</v>
      </c>
      <c r="AC731" s="83" t="n">
        <v>87.66099</v>
      </c>
      <c r="AD731" s="83" t="n">
        <v>52.78292</v>
      </c>
      <c r="AE731" s="83" t="n">
        <v>55.49382</v>
      </c>
      <c r="AG731" s="83" t="n">
        <v>86.01361</v>
      </c>
      <c r="AH731" s="83" t="n">
        <v>67.19504999999999</v>
      </c>
      <c r="AJ731" s="83" t="n">
        <v>88.52056</v>
      </c>
      <c r="AK731" s="83" t="n">
        <v>71.71471</v>
      </c>
      <c r="AO731" s="83" t="n">
        <v>55.03181</v>
      </c>
      <c r="AQ731" s="83" t="n">
        <v>77.60080000000001</v>
      </c>
      <c r="AR731" s="83" t="n">
        <v>73.56043</v>
      </c>
      <c r="AT731" s="83" t="n">
        <v>69.97942999999999</v>
      </c>
      <c r="AV731" s="83" t="n">
        <v>47.77947</v>
      </c>
      <c r="AZ731" s="83" t="n">
        <v>80.93497000000001</v>
      </c>
      <c r="BA731" s="83" t="n">
        <v>49.26577</v>
      </c>
      <c r="BB731" s="83" t="n">
        <v>72.6036</v>
      </c>
      <c r="BC731" s="83" t="n">
        <v>71.67282</v>
      </c>
      <c r="BD731" s="83" t="n">
        <v>69.07841000000001</v>
      </c>
    </row>
    <row r="732">
      <c r="A732" s="83" t="inlineStr">
        <is>
          <t>2012-03</t>
        </is>
      </c>
      <c r="B732" s="22" t="n">
        <v>40969</v>
      </c>
      <c r="C732" s="22" t="n"/>
      <c r="D732" s="22" t="n"/>
      <c r="E732" s="22" t="n">
        <v>40483</v>
      </c>
      <c r="F732" s="83" t="inlineStr">
        <is>
          <t>2010-11</t>
        </is>
      </c>
      <c r="G732" s="83" t="n">
        <v>71.95304</v>
      </c>
      <c r="I732" s="83" t="n">
        <v>57.50182</v>
      </c>
      <c r="J732" s="83" t="n">
        <v>72.13536999999999</v>
      </c>
      <c r="K732" s="83" t="n">
        <v>74.9854</v>
      </c>
      <c r="L732" s="83" t="n">
        <v>56.60527</v>
      </c>
      <c r="M732" s="83" t="n">
        <v>54.4231</v>
      </c>
      <c r="N732" s="83" t="n">
        <v>54.18153</v>
      </c>
      <c r="O732" s="83" t="n">
        <v>67.34312</v>
      </c>
      <c r="P732" s="83" t="n">
        <v>78.4434</v>
      </c>
      <c r="R732" s="83" t="n">
        <v>86.3404</v>
      </c>
      <c r="S732" s="83" t="n">
        <v>87.36653</v>
      </c>
      <c r="AA732" s="83" t="n">
        <v>99.5371</v>
      </c>
      <c r="AC732" s="83" t="n">
        <v>87.78888999999999</v>
      </c>
      <c r="AD732" s="83" t="n">
        <v>53.52609</v>
      </c>
      <c r="AE732" s="83" t="n">
        <v>56.39669</v>
      </c>
      <c r="AG732" s="83" t="n">
        <v>85.44056999999999</v>
      </c>
      <c r="AH732" s="83" t="n">
        <v>67.46716000000001</v>
      </c>
      <c r="AJ732" s="83" t="n">
        <v>88.56162</v>
      </c>
      <c r="AK732" s="83" t="n">
        <v>71.69823</v>
      </c>
      <c r="AO732" s="83" t="n">
        <v>55.50502</v>
      </c>
      <c r="AQ732" s="83" t="n">
        <v>78.33382</v>
      </c>
      <c r="AR732" s="83" t="n">
        <v>73.80871999999999</v>
      </c>
      <c r="AT732" s="83" t="n">
        <v>70.36121</v>
      </c>
      <c r="AV732" s="83" t="n">
        <v>48.52423</v>
      </c>
      <c r="AZ732" s="83" t="n">
        <v>81.12514</v>
      </c>
      <c r="BA732" s="83" t="n">
        <v>49.95992</v>
      </c>
      <c r="BB732" s="83" t="n">
        <v>72.77562</v>
      </c>
      <c r="BC732" s="83" t="n">
        <v>72.15703999999999</v>
      </c>
      <c r="BD732" s="83" t="n">
        <v>69.59977000000001</v>
      </c>
    </row>
    <row r="733">
      <c r="A733" s="83" t="inlineStr">
        <is>
          <t>2012-04</t>
        </is>
      </c>
      <c r="B733" s="22" t="n">
        <v>41000</v>
      </c>
      <c r="C733" s="22" t="n"/>
      <c r="D733" s="22" t="n"/>
      <c r="E733" s="22" t="n">
        <v>40513</v>
      </c>
      <c r="F733" s="83" t="inlineStr">
        <is>
          <t>2010-12</t>
        </is>
      </c>
      <c r="G733" s="83" t="n">
        <v>72.74876</v>
      </c>
      <c r="I733" s="83" t="n">
        <v>57.86961</v>
      </c>
      <c r="J733" s="83" t="n">
        <v>72.4734</v>
      </c>
      <c r="K733" s="83" t="n">
        <v>75.43483999999999</v>
      </c>
      <c r="L733" s="83" t="n">
        <v>57.43983</v>
      </c>
      <c r="M733" s="83" t="n">
        <v>55.05651</v>
      </c>
      <c r="N733" s="83" t="n">
        <v>54.88058</v>
      </c>
      <c r="O733" s="83" t="n">
        <v>68.26316</v>
      </c>
      <c r="P733" s="83" t="n">
        <v>78.93680999999999</v>
      </c>
      <c r="R733" s="83" t="n">
        <v>87.16083999999999</v>
      </c>
      <c r="S733" s="83" t="n">
        <v>87.6657</v>
      </c>
      <c r="AA733" s="83" t="n">
        <v>98.59267</v>
      </c>
      <c r="AC733" s="83" t="n">
        <v>87.24401</v>
      </c>
      <c r="AD733" s="83" t="n">
        <v>54.47383</v>
      </c>
      <c r="AE733" s="83" t="n">
        <v>57.2337</v>
      </c>
      <c r="AG733" s="83" t="n">
        <v>84.94898000000001</v>
      </c>
      <c r="AH733" s="83" t="n">
        <v>67.69396</v>
      </c>
      <c r="AJ733" s="83" t="n">
        <v>88.52222</v>
      </c>
      <c r="AK733" s="83" t="n">
        <v>71.71084</v>
      </c>
      <c r="AO733" s="83" t="n">
        <v>55.57988</v>
      </c>
      <c r="AQ733" s="83" t="n">
        <v>79.02903999999999</v>
      </c>
      <c r="AR733" s="83" t="n">
        <v>74.03867</v>
      </c>
      <c r="AT733" s="83" t="n">
        <v>70.84219</v>
      </c>
      <c r="AV733" s="83" t="n">
        <v>47.7918</v>
      </c>
      <c r="AZ733" s="83" t="n">
        <v>80.81652</v>
      </c>
      <c r="BA733" s="83" t="n">
        <v>51.14685</v>
      </c>
      <c r="BB733" s="83" t="n">
        <v>73.04071999999999</v>
      </c>
      <c r="BC733" s="83" t="n">
        <v>72.42977999999999</v>
      </c>
      <c r="BD733" s="83" t="n">
        <v>70.06686000000001</v>
      </c>
    </row>
    <row r="734">
      <c r="A734" s="83" t="inlineStr">
        <is>
          <t>2012-05</t>
        </is>
      </c>
      <c r="B734" s="22" t="n">
        <v>41030</v>
      </c>
      <c r="C734" s="22" t="n"/>
      <c r="D734" s="22" t="n"/>
      <c r="E734" s="22" t="n">
        <v>40544</v>
      </c>
      <c r="F734" s="83" t="inlineStr">
        <is>
          <t>2011-01</t>
        </is>
      </c>
      <c r="G734" s="83" t="n">
        <v>73.22786000000001</v>
      </c>
      <c r="I734" s="83" t="n">
        <v>58.44491</v>
      </c>
      <c r="J734" s="83" t="n">
        <v>73.03579000000001</v>
      </c>
      <c r="K734" s="83" t="n">
        <v>75.78989</v>
      </c>
      <c r="L734" s="83" t="n">
        <v>58.39902</v>
      </c>
      <c r="M734" s="83" t="n">
        <v>55.45617</v>
      </c>
      <c r="N734" s="83" t="n">
        <v>55.55912</v>
      </c>
      <c r="O734" s="83" t="n">
        <v>68.72602000000001</v>
      </c>
      <c r="P734" s="83" t="n">
        <v>79.09666</v>
      </c>
      <c r="R734" s="83" t="n">
        <v>81.30682</v>
      </c>
      <c r="S734" s="83" t="n">
        <v>87.85007</v>
      </c>
      <c r="AA734" s="83" t="n">
        <v>98.11718999999999</v>
      </c>
      <c r="AC734" s="83" t="n">
        <v>87.01676</v>
      </c>
      <c r="AD734" s="83" t="n">
        <v>55.49007</v>
      </c>
      <c r="AE734" s="83" t="n">
        <v>57.98042</v>
      </c>
      <c r="AG734" s="83" t="n">
        <v>84.60115</v>
      </c>
      <c r="AH734" s="83" t="n">
        <v>67.69942</v>
      </c>
      <c r="AJ734" s="83" t="n">
        <v>88.69604</v>
      </c>
      <c r="AK734" s="83" t="n">
        <v>72.20598</v>
      </c>
      <c r="AO734" s="83" t="n">
        <v>56.11072</v>
      </c>
      <c r="AQ734" s="83" t="n">
        <v>79.75375</v>
      </c>
      <c r="AR734" s="83" t="n">
        <v>74.32223999999999</v>
      </c>
      <c r="AT734" s="83" t="n">
        <v>70.97681</v>
      </c>
      <c r="AV734" s="83" t="n">
        <v>49.70212</v>
      </c>
      <c r="AZ734" s="83" t="n">
        <v>80.35261</v>
      </c>
      <c r="BA734" s="83" t="n">
        <v>52.38754</v>
      </c>
      <c r="BB734" s="83" t="n">
        <v>73.34487</v>
      </c>
      <c r="BC734" s="83" t="n">
        <v>72.86533</v>
      </c>
      <c r="BD734" s="83" t="n">
        <v>70.79733</v>
      </c>
    </row>
    <row r="735">
      <c r="A735" s="83" t="inlineStr">
        <is>
          <t>2012-06</t>
        </is>
      </c>
      <c r="B735" s="22" t="n">
        <v>41061</v>
      </c>
      <c r="C735" s="22" t="n"/>
      <c r="D735" s="22" t="n"/>
      <c r="E735" s="22" t="n">
        <v>40575</v>
      </c>
      <c r="F735" s="83" t="inlineStr">
        <is>
          <t>2011-02</t>
        </is>
      </c>
      <c r="G735" s="83" t="n">
        <v>73.86948</v>
      </c>
      <c r="I735" s="83" t="n">
        <v>59.5407</v>
      </c>
      <c r="J735" s="83" t="n">
        <v>73.47359</v>
      </c>
      <c r="K735" s="83" t="n">
        <v>76.29544</v>
      </c>
      <c r="L735" s="83" t="n">
        <v>59.35181</v>
      </c>
      <c r="M735" s="83" t="n">
        <v>55.77715</v>
      </c>
      <c r="N735" s="83" t="n">
        <v>56.08653</v>
      </c>
      <c r="O735" s="83" t="n">
        <v>68.98701</v>
      </c>
      <c r="P735" s="83" t="n">
        <v>78.79711</v>
      </c>
      <c r="R735" s="83" t="n">
        <v>75.29831</v>
      </c>
      <c r="S735" s="83" t="n">
        <v>87.74575</v>
      </c>
      <c r="AA735" s="83" t="n">
        <v>98.27015</v>
      </c>
      <c r="AC735" s="83" t="n">
        <v>87.52851</v>
      </c>
      <c r="AD735" s="83" t="n">
        <v>56.01678</v>
      </c>
      <c r="AE735" s="83" t="n">
        <v>58.48793</v>
      </c>
      <c r="AG735" s="83" t="n">
        <v>84.43562</v>
      </c>
      <c r="AH735" s="83" t="n">
        <v>68.00036</v>
      </c>
      <c r="AJ735" s="83" t="n">
        <v>88.85655</v>
      </c>
      <c r="AK735" s="83" t="n">
        <v>72.49979</v>
      </c>
      <c r="AO735" s="83" t="n">
        <v>56.76329</v>
      </c>
      <c r="AQ735" s="83" t="n">
        <v>80.33506</v>
      </c>
      <c r="AR735" s="83" t="n">
        <v>74.68602</v>
      </c>
      <c r="AT735" s="83" t="n">
        <v>71.13297</v>
      </c>
      <c r="AV735" s="83" t="n">
        <v>51.7711</v>
      </c>
      <c r="AZ735" s="83" t="n">
        <v>80.00396000000001</v>
      </c>
      <c r="BA735" s="83" t="n">
        <v>53.4123</v>
      </c>
      <c r="BB735" s="83" t="n">
        <v>73.72298000000001</v>
      </c>
      <c r="BC735" s="83" t="n">
        <v>73.29535</v>
      </c>
      <c r="BD735" s="83" t="n">
        <v>71.34256000000001</v>
      </c>
    </row>
    <row r="736">
      <c r="A736" s="83" t="inlineStr">
        <is>
          <t>2012-07</t>
        </is>
      </c>
      <c r="B736" s="22" t="n">
        <v>41091</v>
      </c>
      <c r="C736" s="22" t="n"/>
      <c r="D736" s="22" t="n"/>
      <c r="E736" s="22" t="n">
        <v>40603</v>
      </c>
      <c r="F736" s="83" t="inlineStr">
        <is>
          <t>2011-03</t>
        </is>
      </c>
      <c r="G736" s="83" t="n">
        <v>74.49147000000001</v>
      </c>
      <c r="I736" s="83" t="n">
        <v>60.4278</v>
      </c>
      <c r="J736" s="83" t="n">
        <v>74.1172</v>
      </c>
      <c r="K736" s="83" t="n">
        <v>76.76052</v>
      </c>
      <c r="L736" s="83" t="n">
        <v>60.04799</v>
      </c>
      <c r="M736" s="83" t="n">
        <v>56.31684</v>
      </c>
      <c r="N736" s="83" t="n">
        <v>56.8927</v>
      </c>
      <c r="O736" s="83" t="n">
        <v>69.0921</v>
      </c>
      <c r="P736" s="83" t="n">
        <v>78.64122</v>
      </c>
      <c r="R736" s="83" t="n">
        <v>76.02874</v>
      </c>
      <c r="S736" s="83" t="n">
        <v>87.83842</v>
      </c>
      <c r="AA736" s="83" t="n">
        <v>98.80054</v>
      </c>
      <c r="AC736" s="83" t="n">
        <v>87.46158</v>
      </c>
      <c r="AD736" s="83" t="n">
        <v>56.44234</v>
      </c>
      <c r="AE736" s="83" t="n">
        <v>59.30288</v>
      </c>
      <c r="AG736" s="83" t="n">
        <v>84.49773</v>
      </c>
      <c r="AH736" s="83" t="n">
        <v>68.41401999999999</v>
      </c>
      <c r="AJ736" s="83" t="n">
        <v>89.05833</v>
      </c>
      <c r="AK736" s="83" t="n">
        <v>72.80551</v>
      </c>
      <c r="AO736" s="83" t="n">
        <v>57.43894</v>
      </c>
      <c r="AQ736" s="83" t="n">
        <v>80.56824</v>
      </c>
      <c r="AR736" s="83" t="n">
        <v>75.15215000000001</v>
      </c>
      <c r="AT736" s="83" t="n">
        <v>72.53009</v>
      </c>
      <c r="AV736" s="83" t="n">
        <v>51.65826</v>
      </c>
      <c r="AZ736" s="83" t="n">
        <v>80.57453</v>
      </c>
      <c r="BA736" s="83" t="n">
        <v>54.48426</v>
      </c>
      <c r="BB736" s="83" t="n">
        <v>74.09113000000001</v>
      </c>
      <c r="BC736" s="83" t="n">
        <v>73.38496000000001</v>
      </c>
      <c r="BD736" s="83" t="n">
        <v>71.77231999999999</v>
      </c>
    </row>
    <row r="737">
      <c r="A737" s="83" t="inlineStr">
        <is>
          <t>2012-08</t>
        </is>
      </c>
      <c r="B737" s="22" t="n">
        <v>41122</v>
      </c>
      <c r="C737" s="22" t="n"/>
      <c r="D737" s="22" t="n"/>
      <c r="E737" s="22" t="n">
        <v>40634</v>
      </c>
      <c r="F737" s="83" t="inlineStr">
        <is>
          <t>2011-04</t>
        </is>
      </c>
      <c r="G737" s="83" t="n">
        <v>74.98179</v>
      </c>
      <c r="I737" s="83" t="n">
        <v>61.11057</v>
      </c>
      <c r="J737" s="83" t="n">
        <v>74.65183</v>
      </c>
      <c r="K737" s="83" t="n">
        <v>77.1019</v>
      </c>
      <c r="L737" s="83" t="n">
        <v>60.68446</v>
      </c>
      <c r="M737" s="83" t="n">
        <v>56.89611</v>
      </c>
      <c r="N737" s="83" t="n">
        <v>57.31344</v>
      </c>
      <c r="O737" s="83" t="n">
        <v>69.85954</v>
      </c>
      <c r="P737" s="83" t="n">
        <v>78.88831999999999</v>
      </c>
      <c r="R737" s="83" t="n">
        <v>75.61649</v>
      </c>
      <c r="S737" s="83" t="n">
        <v>88.27631</v>
      </c>
      <c r="AA737" s="83" t="n">
        <v>99.01714</v>
      </c>
      <c r="AC737" s="83" t="n">
        <v>87.44773000000001</v>
      </c>
      <c r="AD737" s="83" t="n">
        <v>56.77438</v>
      </c>
      <c r="AE737" s="83" t="n">
        <v>60.11048</v>
      </c>
      <c r="AG737" s="83" t="n">
        <v>84.7855</v>
      </c>
      <c r="AH737" s="83" t="n">
        <v>68.59537</v>
      </c>
      <c r="AJ737" s="83" t="n">
        <v>89.42379</v>
      </c>
      <c r="AK737" s="83" t="n">
        <v>73.10723</v>
      </c>
      <c r="AO737" s="83" t="n">
        <v>58.31168</v>
      </c>
      <c r="AQ737" s="83" t="n">
        <v>81.10872000000001</v>
      </c>
      <c r="AR737" s="83" t="n">
        <v>75.67097</v>
      </c>
      <c r="AT737" s="83" t="n">
        <v>73.42412</v>
      </c>
      <c r="AV737" s="83" t="n">
        <v>52.41533</v>
      </c>
      <c r="AZ737" s="83" t="n">
        <v>80.99875</v>
      </c>
      <c r="BA737" s="83" t="n">
        <v>55.41262</v>
      </c>
      <c r="BB737" s="83" t="n">
        <v>74.60802</v>
      </c>
      <c r="BC737" s="83" t="n">
        <v>73.36503999999999</v>
      </c>
      <c r="BD737" s="83" t="n">
        <v>72.40072000000001</v>
      </c>
    </row>
    <row r="738">
      <c r="A738" s="83" t="inlineStr">
        <is>
          <t>2012-09</t>
        </is>
      </c>
      <c r="B738" s="22" t="n">
        <v>41153</v>
      </c>
      <c r="C738" s="22" t="n"/>
      <c r="D738" s="22" t="n"/>
      <c r="E738" s="22" t="n">
        <v>40664</v>
      </c>
      <c r="F738" s="83" t="inlineStr">
        <is>
          <t>2011-05</t>
        </is>
      </c>
      <c r="G738" s="83" t="n">
        <v>75.37965</v>
      </c>
      <c r="I738" s="83" t="n">
        <v>61.97477</v>
      </c>
      <c r="J738" s="83" t="n">
        <v>74.84362</v>
      </c>
      <c r="K738" s="83" t="n">
        <v>77.58337</v>
      </c>
      <c r="L738" s="83" t="n">
        <v>61.3779</v>
      </c>
      <c r="M738" s="83" t="n">
        <v>57.37191</v>
      </c>
      <c r="N738" s="83" t="n">
        <v>58.03363</v>
      </c>
      <c r="O738" s="83" t="n">
        <v>69.64718999999999</v>
      </c>
      <c r="P738" s="83" t="n">
        <v>79.5575</v>
      </c>
      <c r="R738" s="83" t="n">
        <v>75.28675</v>
      </c>
      <c r="S738" s="83" t="n">
        <v>88.5741</v>
      </c>
      <c r="AA738" s="83" t="n">
        <v>99.05092999999999</v>
      </c>
      <c r="AC738" s="83" t="n">
        <v>87.8537</v>
      </c>
      <c r="AD738" s="83" t="n">
        <v>57.20158</v>
      </c>
      <c r="AE738" s="83" t="n">
        <v>60.80894</v>
      </c>
      <c r="AG738" s="83" t="n">
        <v>85.16862</v>
      </c>
      <c r="AH738" s="83" t="n">
        <v>69.29419</v>
      </c>
      <c r="AJ738" s="83" t="n">
        <v>89.83651999999999</v>
      </c>
      <c r="AK738" s="83" t="n">
        <v>73.31016</v>
      </c>
      <c r="AO738" s="83" t="n">
        <v>59.36428</v>
      </c>
      <c r="AQ738" s="83" t="n">
        <v>81.90961</v>
      </c>
      <c r="AR738" s="83" t="n">
        <v>76.12408000000001</v>
      </c>
      <c r="AT738" s="83" t="n">
        <v>73.23405</v>
      </c>
      <c r="AV738" s="83" t="n">
        <v>52.74984</v>
      </c>
      <c r="AZ738" s="83" t="n">
        <v>80.87933</v>
      </c>
      <c r="BA738" s="83" t="n">
        <v>56.44921</v>
      </c>
      <c r="BB738" s="83" t="n">
        <v>75.03433</v>
      </c>
      <c r="BC738" s="83" t="n">
        <v>73.57944000000001</v>
      </c>
      <c r="BD738" s="83" t="n">
        <v>72.86893000000001</v>
      </c>
    </row>
    <row r="739">
      <c r="A739" s="83" t="inlineStr">
        <is>
          <t>2012-10</t>
        </is>
      </c>
      <c r="B739" s="22" t="n">
        <v>41183</v>
      </c>
      <c r="C739" s="22" t="n"/>
      <c r="D739" s="22" t="n"/>
      <c r="E739" s="22" t="n">
        <v>40695</v>
      </c>
      <c r="F739" s="83" t="inlineStr">
        <is>
          <t>2011-06</t>
        </is>
      </c>
      <c r="G739" s="83" t="n">
        <v>75.40486</v>
      </c>
      <c r="I739" s="83" t="n">
        <v>62.63065</v>
      </c>
      <c r="J739" s="83" t="n">
        <v>75.23924</v>
      </c>
      <c r="K739" s="83" t="n">
        <v>77.88132</v>
      </c>
      <c r="L739" s="83" t="n">
        <v>62.24108</v>
      </c>
      <c r="M739" s="83" t="n">
        <v>58.01869</v>
      </c>
      <c r="N739" s="83" t="n">
        <v>59.27311</v>
      </c>
      <c r="O739" s="83" t="n">
        <v>68.59155</v>
      </c>
      <c r="P739" s="83" t="n">
        <v>79.34805</v>
      </c>
      <c r="R739" s="83" t="n">
        <v>75.7316</v>
      </c>
      <c r="S739" s="83" t="n">
        <v>88.63486</v>
      </c>
      <c r="AA739" s="83" t="n">
        <v>98.97846</v>
      </c>
      <c r="AC739" s="83" t="n">
        <v>88.01828</v>
      </c>
      <c r="AD739" s="83" t="n">
        <v>57.7276</v>
      </c>
      <c r="AE739" s="83" t="n">
        <v>61.4224</v>
      </c>
      <c r="AG739" s="83" t="n">
        <v>85.61903</v>
      </c>
      <c r="AH739" s="83" t="n">
        <v>69.96137</v>
      </c>
      <c r="AJ739" s="83" t="n">
        <v>89.89958</v>
      </c>
      <c r="AK739" s="83" t="n">
        <v>73.9051</v>
      </c>
      <c r="AO739" s="83" t="n">
        <v>60.27434</v>
      </c>
      <c r="AQ739" s="83" t="n">
        <v>81.92824</v>
      </c>
      <c r="AR739" s="83" t="n">
        <v>76.64184</v>
      </c>
      <c r="AT739" s="83" t="n">
        <v>73.48196</v>
      </c>
      <c r="AV739" s="83" t="n">
        <v>52.99195</v>
      </c>
      <c r="AZ739" s="83" t="n">
        <v>81.7954</v>
      </c>
      <c r="BA739" s="83" t="n">
        <v>57.24609</v>
      </c>
      <c r="BB739" s="83" t="n">
        <v>75.73405</v>
      </c>
      <c r="BC739" s="83" t="n">
        <v>74.02800000000001</v>
      </c>
      <c r="BD739" s="83" t="n">
        <v>73.33646</v>
      </c>
    </row>
    <row r="740">
      <c r="A740" s="83" t="inlineStr">
        <is>
          <t>2012-11</t>
        </is>
      </c>
      <c r="B740" s="22" t="n">
        <v>41214</v>
      </c>
      <c r="C740" s="22" t="n"/>
      <c r="D740" s="22" t="n"/>
      <c r="E740" s="22" t="n">
        <v>40725</v>
      </c>
      <c r="F740" s="83" t="inlineStr">
        <is>
          <t>2011-07</t>
        </is>
      </c>
      <c r="G740" s="83" t="n">
        <v>75.53934</v>
      </c>
      <c r="I740" s="83" t="n">
        <v>63.46682</v>
      </c>
      <c r="J740" s="83" t="n">
        <v>75.43388</v>
      </c>
      <c r="K740" s="83" t="n">
        <v>78.14323</v>
      </c>
      <c r="L740" s="83" t="n">
        <v>63.31322</v>
      </c>
      <c r="M740" s="83" t="n">
        <v>58.55558</v>
      </c>
      <c r="N740" s="83" t="n">
        <v>59.77582</v>
      </c>
      <c r="O740" s="83" t="n">
        <v>68.56647</v>
      </c>
      <c r="P740" s="83" t="n">
        <v>79.31386000000001</v>
      </c>
      <c r="R740" s="83" t="n">
        <v>76.34726999999999</v>
      </c>
      <c r="S740" s="83" t="n">
        <v>88.70021</v>
      </c>
      <c r="AA740" s="83" t="n">
        <v>98.63442999999999</v>
      </c>
      <c r="AC740" s="83" t="n">
        <v>88.70477</v>
      </c>
      <c r="AD740" s="83" t="n">
        <v>58.60151</v>
      </c>
      <c r="AE740" s="83" t="n">
        <v>62.20903</v>
      </c>
      <c r="AG740" s="83" t="n">
        <v>86.24661</v>
      </c>
      <c r="AH740" s="83" t="n">
        <v>70.72091</v>
      </c>
      <c r="AJ740" s="83" t="n">
        <v>90.11855</v>
      </c>
      <c r="AK740" s="83" t="n">
        <v>74.51775000000001</v>
      </c>
      <c r="AO740" s="83" t="n">
        <v>61.06907</v>
      </c>
      <c r="AQ740" s="83" t="n">
        <v>81.94293999999999</v>
      </c>
      <c r="AR740" s="83" t="n">
        <v>77.58501</v>
      </c>
      <c r="AT740" s="83" t="n">
        <v>73.92207000000001</v>
      </c>
      <c r="AV740" s="83" t="n">
        <v>53.86195</v>
      </c>
      <c r="AZ740" s="83" t="n">
        <v>82.35326000000001</v>
      </c>
      <c r="BA740" s="83" t="n">
        <v>57.99232</v>
      </c>
      <c r="BB740" s="83" t="n">
        <v>77.29636000000001</v>
      </c>
      <c r="BC740" s="83" t="n">
        <v>74.42435999999999</v>
      </c>
      <c r="BD740" s="83" t="n">
        <v>73.71680000000001</v>
      </c>
    </row>
    <row r="741">
      <c r="A741" s="83" t="inlineStr">
        <is>
          <t>2012-12</t>
        </is>
      </c>
      <c r="B741" s="22" t="n">
        <v>41244</v>
      </c>
      <c r="C741" s="22" t="n"/>
      <c r="D741" s="22" t="n"/>
      <c r="E741" s="22" t="n">
        <v>40756</v>
      </c>
      <c r="F741" s="83" t="inlineStr">
        <is>
          <t>2011-08</t>
        </is>
      </c>
      <c r="G741" s="83" t="n">
        <v>76.37428</v>
      </c>
      <c r="I741" s="83" t="n">
        <v>64.48179</v>
      </c>
      <c r="J741" s="83" t="n">
        <v>76.3175</v>
      </c>
      <c r="K741" s="83" t="n">
        <v>79.10896</v>
      </c>
      <c r="L741" s="83" t="n">
        <v>64.47302999999999</v>
      </c>
      <c r="M741" s="83" t="n">
        <v>59.06928</v>
      </c>
      <c r="N741" s="83" t="n">
        <v>60.91628</v>
      </c>
      <c r="O741" s="83" t="n">
        <v>69.05566</v>
      </c>
      <c r="P741" s="83" t="n">
        <v>79.57523999999999</v>
      </c>
      <c r="R741" s="83" t="n">
        <v>76.93174</v>
      </c>
      <c r="S741" s="83" t="n">
        <v>88.89708</v>
      </c>
      <c r="AA741" s="83" t="n">
        <v>98.56865999999999</v>
      </c>
      <c r="AC741" s="83" t="n">
        <v>89.48139</v>
      </c>
      <c r="AD741" s="83" t="n">
        <v>59.96376</v>
      </c>
      <c r="AE741" s="83" t="n">
        <v>63.00852</v>
      </c>
      <c r="AG741" s="83" t="n">
        <v>87.04745</v>
      </c>
      <c r="AH741" s="83" t="n">
        <v>71.89381</v>
      </c>
      <c r="AJ741" s="83" t="n">
        <v>90.18895999999999</v>
      </c>
      <c r="AK741" s="83" t="n">
        <v>74.99496000000001</v>
      </c>
      <c r="AO741" s="83" t="n">
        <v>62.41095</v>
      </c>
      <c r="AQ741" s="83" t="n">
        <v>82.44652000000001</v>
      </c>
      <c r="AR741" s="83" t="n">
        <v>78.76662</v>
      </c>
      <c r="AT741" s="83" t="n">
        <v>74.76437</v>
      </c>
      <c r="AV741" s="83" t="n">
        <v>54.84026</v>
      </c>
      <c r="AZ741" s="83" t="n">
        <v>83.02489</v>
      </c>
      <c r="BA741" s="83" t="n">
        <v>59.05373</v>
      </c>
      <c r="BB741" s="83" t="n">
        <v>79.07225</v>
      </c>
      <c r="BC741" s="83" t="n">
        <v>75.00812999999999</v>
      </c>
      <c r="BD741" s="83" t="n">
        <v>73.5637</v>
      </c>
    </row>
    <row r="742">
      <c r="A742" s="83" t="inlineStr">
        <is>
          <t>2013-01</t>
        </is>
      </c>
      <c r="B742" s="22" t="n">
        <v>41275</v>
      </c>
      <c r="C742" s="22" t="n"/>
      <c r="D742" s="22" t="n"/>
      <c r="E742" s="22" t="n">
        <v>40787</v>
      </c>
      <c r="F742" s="83" t="inlineStr">
        <is>
          <t>2011-09</t>
        </is>
      </c>
      <c r="G742" s="83" t="n">
        <v>77.24563999999999</v>
      </c>
      <c r="I742" s="83" t="n">
        <v>65.2611</v>
      </c>
      <c r="J742" s="83" t="n">
        <v>77.23936999999999</v>
      </c>
      <c r="K742" s="83" t="n">
        <v>80.05459999999999</v>
      </c>
      <c r="L742" s="83" t="n">
        <v>65.79044</v>
      </c>
      <c r="M742" s="83" t="n">
        <v>59.62149</v>
      </c>
      <c r="N742" s="83" t="n">
        <v>62.12552</v>
      </c>
      <c r="O742" s="83" t="n">
        <v>69.36189</v>
      </c>
      <c r="P742" s="83" t="n">
        <v>79.90622999999999</v>
      </c>
      <c r="R742" s="83" t="n">
        <v>79.09152</v>
      </c>
      <c r="S742" s="83" t="n">
        <v>89.18056</v>
      </c>
      <c r="AA742" s="83" t="n">
        <v>98.6588</v>
      </c>
      <c r="AC742" s="83" t="n">
        <v>90.89677</v>
      </c>
      <c r="AD742" s="83" t="n">
        <v>60.70778</v>
      </c>
      <c r="AE742" s="83" t="n">
        <v>63.65287</v>
      </c>
      <c r="AG742" s="83" t="n">
        <v>87.82154</v>
      </c>
      <c r="AH742" s="83" t="n">
        <v>73.13936</v>
      </c>
      <c r="AJ742" s="83" t="n">
        <v>90.38104</v>
      </c>
      <c r="AK742" s="83" t="n">
        <v>75.57281999999999</v>
      </c>
      <c r="AO742" s="83" t="n">
        <v>63.49236</v>
      </c>
      <c r="AQ742" s="83" t="n">
        <v>83.23323000000001</v>
      </c>
      <c r="AR742" s="83" t="n">
        <v>79.21387</v>
      </c>
      <c r="AT742" s="83" t="n">
        <v>76.12429</v>
      </c>
      <c r="AV742" s="83" t="n">
        <v>55.55756</v>
      </c>
      <c r="AZ742" s="83" t="n">
        <v>84.50314</v>
      </c>
      <c r="BA742" s="83" t="n">
        <v>59.57923</v>
      </c>
      <c r="BB742" s="83" t="n">
        <v>79.27668</v>
      </c>
      <c r="BC742" s="83" t="n">
        <v>75.7218</v>
      </c>
      <c r="BD742" s="83" t="n">
        <v>73.47382</v>
      </c>
    </row>
    <row r="743">
      <c r="A743" s="83" t="inlineStr">
        <is>
          <t>2013-02</t>
        </is>
      </c>
      <c r="B743" s="22" t="n">
        <v>41306</v>
      </c>
      <c r="C743" s="22" t="n"/>
      <c r="D743" s="22" t="n"/>
      <c r="E743" s="22" t="n">
        <v>40817</v>
      </c>
      <c r="F743" s="83" t="inlineStr">
        <is>
          <t>2011-10</t>
        </is>
      </c>
      <c r="G743" s="83" t="n">
        <v>77.72475</v>
      </c>
      <c r="I743" s="83" t="n">
        <v>65.94104</v>
      </c>
      <c r="J743" s="83" t="n">
        <v>77.17057</v>
      </c>
      <c r="K743" s="83" t="n">
        <v>80.43319</v>
      </c>
      <c r="L743" s="83" t="n">
        <v>67.34866</v>
      </c>
      <c r="M743" s="83" t="n">
        <v>61.43496</v>
      </c>
      <c r="N743" s="83" t="n">
        <v>62.60497</v>
      </c>
      <c r="O743" s="83" t="n">
        <v>70.03715</v>
      </c>
      <c r="P743" s="83" t="n">
        <v>80.45395000000001</v>
      </c>
      <c r="R743" s="83" t="n">
        <v>79.44762</v>
      </c>
      <c r="S743" s="83" t="n">
        <v>89.13708</v>
      </c>
      <c r="AA743" s="83" t="n">
        <v>98.06319000000001</v>
      </c>
      <c r="AC743" s="83" t="n">
        <v>92.35226</v>
      </c>
      <c r="AD743" s="83" t="n">
        <v>61.28997</v>
      </c>
      <c r="AE743" s="83" t="n">
        <v>64.26879</v>
      </c>
      <c r="AG743" s="83" t="n">
        <v>88.46034</v>
      </c>
      <c r="AH743" s="83" t="n">
        <v>73.85062000000001</v>
      </c>
      <c r="AJ743" s="83" t="n">
        <v>90.57961</v>
      </c>
      <c r="AK743" s="83" t="n">
        <v>75.98859</v>
      </c>
      <c r="AO743" s="83" t="n">
        <v>64.12192</v>
      </c>
      <c r="AQ743" s="83" t="n">
        <v>84.11108</v>
      </c>
      <c r="AR743" s="83" t="n">
        <v>79.49816</v>
      </c>
      <c r="AT743" s="83" t="n">
        <v>77.10892</v>
      </c>
      <c r="AV743" s="83" t="n">
        <v>57.12065</v>
      </c>
      <c r="AZ743" s="83" t="n">
        <v>85.23772</v>
      </c>
      <c r="BA743" s="83" t="n">
        <v>59.39506</v>
      </c>
      <c r="BB743" s="83" t="n">
        <v>79.53928000000001</v>
      </c>
      <c r="BC743" s="83" t="n">
        <v>76.58538</v>
      </c>
      <c r="BD743" s="83" t="n">
        <v>74.19101999999999</v>
      </c>
    </row>
    <row r="744">
      <c r="A744" s="83" t="inlineStr">
        <is>
          <t>2013-03</t>
        </is>
      </c>
      <c r="B744" s="22" t="n">
        <v>41334</v>
      </c>
      <c r="C744" s="22" t="n"/>
      <c r="D744" s="22" t="n"/>
      <c r="E744" s="22" t="n">
        <v>40848</v>
      </c>
      <c r="F744" s="83" t="inlineStr">
        <is>
          <t>2011-11</t>
        </is>
      </c>
      <c r="G744" s="83" t="n">
        <v>78.06937000000001</v>
      </c>
      <c r="I744" s="83" t="n">
        <v>66.53712</v>
      </c>
      <c r="J744" s="83" t="n">
        <v>77.59999999999999</v>
      </c>
      <c r="K744" s="83" t="n">
        <v>80.61975</v>
      </c>
      <c r="L744" s="83" t="n">
        <v>68.59104000000001</v>
      </c>
      <c r="M744" s="83" t="n">
        <v>63.38752</v>
      </c>
      <c r="N744" s="83" t="n">
        <v>63.65816</v>
      </c>
      <c r="O744" s="83" t="n">
        <v>70.82272</v>
      </c>
      <c r="P744" s="83" t="n">
        <v>80.84435000000001</v>
      </c>
      <c r="R744" s="83" t="n">
        <v>79.29254</v>
      </c>
      <c r="S744" s="83" t="n">
        <v>89.05397000000001</v>
      </c>
      <c r="AA744" s="83" t="n">
        <v>97.30239</v>
      </c>
      <c r="AC744" s="83" t="n">
        <v>92.57554</v>
      </c>
      <c r="AD744" s="83" t="n">
        <v>62.23756</v>
      </c>
      <c r="AE744" s="83" t="n">
        <v>64.91753</v>
      </c>
      <c r="AG744" s="83" t="n">
        <v>89.09663999999999</v>
      </c>
      <c r="AH744" s="83" t="n">
        <v>74.15358999999999</v>
      </c>
      <c r="AJ744" s="83" t="n">
        <v>90.75270999999999</v>
      </c>
      <c r="AK744" s="83" t="n">
        <v>76.11438</v>
      </c>
      <c r="AO744" s="83" t="n">
        <v>64.89573</v>
      </c>
      <c r="AQ744" s="83" t="n">
        <v>84.40918000000001</v>
      </c>
      <c r="AR744" s="83" t="n">
        <v>79.81413999999999</v>
      </c>
      <c r="AT744" s="83" t="n">
        <v>78.11331</v>
      </c>
      <c r="AV744" s="83" t="n">
        <v>58.72868</v>
      </c>
      <c r="AZ744" s="83" t="n">
        <v>85.40746</v>
      </c>
      <c r="BA744" s="83" t="n">
        <v>59.53266</v>
      </c>
      <c r="BB744" s="83" t="n">
        <v>79.88</v>
      </c>
      <c r="BC744" s="83" t="n">
        <v>77.28355999999999</v>
      </c>
      <c r="BD744" s="83" t="n">
        <v>75.15755</v>
      </c>
    </row>
    <row r="745">
      <c r="A745" s="83" t="inlineStr">
        <is>
          <t>2013-04</t>
        </is>
      </c>
      <c r="B745" s="22" t="n">
        <v>41365</v>
      </c>
      <c r="C745" s="22" t="n"/>
      <c r="D745" s="22" t="n"/>
      <c r="E745" s="22" t="n">
        <v>40878</v>
      </c>
      <c r="F745" s="83" t="inlineStr">
        <is>
          <t>2011-12</t>
        </is>
      </c>
      <c r="G745" s="83" t="n">
        <v>78.52046</v>
      </c>
      <c r="I745" s="83" t="n">
        <v>67.29454</v>
      </c>
      <c r="J745" s="83" t="n">
        <v>78.05905</v>
      </c>
      <c r="K745" s="83" t="n">
        <v>80.89208000000001</v>
      </c>
      <c r="L745" s="83" t="n">
        <v>69.53398</v>
      </c>
      <c r="M745" s="83" t="n">
        <v>64.24319</v>
      </c>
      <c r="N745" s="83" t="n">
        <v>64.89961</v>
      </c>
      <c r="O745" s="83" t="n">
        <v>71.43407999999999</v>
      </c>
      <c r="P745" s="83" t="n">
        <v>81.92083</v>
      </c>
      <c r="R745" s="83" t="n">
        <v>81.76866</v>
      </c>
      <c r="S745" s="83" t="n">
        <v>89.51669</v>
      </c>
      <c r="AA745" s="83" t="n">
        <v>96.45135000000001</v>
      </c>
      <c r="AC745" s="83" t="n">
        <v>92.21449</v>
      </c>
      <c r="AD745" s="83" t="n">
        <v>63.49059</v>
      </c>
      <c r="AE745" s="83" t="n">
        <v>66.11778</v>
      </c>
      <c r="AG745" s="83" t="n">
        <v>89.76569000000001</v>
      </c>
      <c r="AH745" s="83" t="n">
        <v>75.06892000000001</v>
      </c>
      <c r="AJ745" s="83" t="n">
        <v>90.8215</v>
      </c>
      <c r="AK745" s="83" t="n">
        <v>76.37112999999999</v>
      </c>
      <c r="AO745" s="83" t="n">
        <v>65.93689999999999</v>
      </c>
      <c r="AQ745" s="83" t="n">
        <v>84.41723</v>
      </c>
      <c r="AR745" s="83" t="n">
        <v>80.15416</v>
      </c>
      <c r="AT745" s="83" t="n">
        <v>79.38422</v>
      </c>
      <c r="AV745" s="83" t="n">
        <v>57.46039</v>
      </c>
      <c r="AZ745" s="83" t="n">
        <v>85.87872</v>
      </c>
      <c r="BA745" s="83" t="n">
        <v>59.89473</v>
      </c>
      <c r="BB745" s="83" t="n">
        <v>80.20244</v>
      </c>
      <c r="BC745" s="83" t="n">
        <v>77.96608999999999</v>
      </c>
      <c r="BD745" s="83" t="n">
        <v>75.62839</v>
      </c>
    </row>
    <row r="746">
      <c r="A746" s="83" t="inlineStr">
        <is>
          <t>2013-05</t>
        </is>
      </c>
      <c r="B746" s="22" t="n">
        <v>41395</v>
      </c>
      <c r="C746" s="22" t="n"/>
      <c r="D746" s="22" t="n"/>
      <c r="E746" s="22" t="n">
        <v>40909</v>
      </c>
      <c r="F746" s="83" t="inlineStr">
        <is>
          <t>2012-01</t>
        </is>
      </c>
      <c r="G746" s="83" t="n">
        <v>79.09763</v>
      </c>
      <c r="I746" s="83" t="n">
        <v>68.71456000000001</v>
      </c>
      <c r="J746" s="83" t="n">
        <v>78.76433</v>
      </c>
      <c r="K746" s="83" t="n">
        <v>81.32082</v>
      </c>
      <c r="L746" s="83" t="n">
        <v>70.5219</v>
      </c>
      <c r="M746" s="83" t="n">
        <v>64.82116000000001</v>
      </c>
      <c r="N746" s="83" t="n">
        <v>65.65322</v>
      </c>
      <c r="O746" s="83" t="n">
        <v>71.90761999999999</v>
      </c>
      <c r="P746" s="83" t="n">
        <v>82.56328000000001</v>
      </c>
      <c r="R746" s="83" t="n">
        <v>84.16491000000001</v>
      </c>
      <c r="S746" s="83" t="n">
        <v>89.73795</v>
      </c>
      <c r="AA746" s="83" t="n">
        <v>96.28986</v>
      </c>
      <c r="AC746" s="83" t="n">
        <v>90.48475999999999</v>
      </c>
      <c r="AD746" s="83" t="n">
        <v>64.91365999999999</v>
      </c>
      <c r="AE746" s="83" t="n">
        <v>66.79622999999999</v>
      </c>
      <c r="AG746" s="83" t="n">
        <v>90.31177</v>
      </c>
      <c r="AH746" s="83" t="n">
        <v>75.98599</v>
      </c>
      <c r="AJ746" s="83" t="n">
        <v>90.98779</v>
      </c>
      <c r="AK746" s="83" t="n">
        <v>76.96673</v>
      </c>
      <c r="AO746" s="83" t="n">
        <v>67.23895</v>
      </c>
      <c r="AQ746" s="83" t="n">
        <v>84.64346</v>
      </c>
      <c r="AR746" s="83" t="n">
        <v>80.7114</v>
      </c>
      <c r="AT746" s="83" t="n">
        <v>80.27134</v>
      </c>
      <c r="AV746" s="83" t="n">
        <v>59.1042</v>
      </c>
      <c r="AZ746" s="83" t="n">
        <v>87.25421</v>
      </c>
      <c r="BA746" s="83" t="n">
        <v>59.84365</v>
      </c>
      <c r="BB746" s="83" t="n">
        <v>80.86060000000001</v>
      </c>
      <c r="BC746" s="83" t="n">
        <v>78.31601999999999</v>
      </c>
      <c r="BD746" s="83" t="n">
        <v>75.87799</v>
      </c>
    </row>
    <row r="747">
      <c r="A747" s="83" t="inlineStr">
        <is>
          <t>2013-06</t>
        </is>
      </c>
      <c r="B747" s="22" t="n">
        <v>41426</v>
      </c>
      <c r="C747" s="22" t="n"/>
      <c r="D747" s="22" t="n"/>
      <c r="E747" s="22" t="n">
        <v>40940</v>
      </c>
      <c r="F747" s="83" t="inlineStr">
        <is>
          <t>2012-02</t>
        </is>
      </c>
      <c r="G747" s="83" t="n">
        <v>79.58795000000001</v>
      </c>
      <c r="I747" s="83" t="n">
        <v>70.0731</v>
      </c>
      <c r="J747" s="83" t="n">
        <v>78.92345</v>
      </c>
      <c r="K747" s="83" t="n">
        <v>81.52385</v>
      </c>
      <c r="L747" s="83" t="n">
        <v>71.19262999999999</v>
      </c>
      <c r="M747" s="83" t="n">
        <v>65.41077</v>
      </c>
      <c r="N747" s="83" t="n">
        <v>66.27585999999999</v>
      </c>
      <c r="O747" s="83" t="n">
        <v>72.40846000000001</v>
      </c>
      <c r="P747" s="83" t="n">
        <v>82.83096</v>
      </c>
      <c r="R747" s="83" t="n">
        <v>86.09287</v>
      </c>
      <c r="S747" s="83" t="n">
        <v>89.59878</v>
      </c>
      <c r="AA747" s="83" t="n">
        <v>96.25864</v>
      </c>
      <c r="AC747" s="83" t="n">
        <v>88.77193</v>
      </c>
      <c r="AD747" s="83" t="n">
        <v>65.89452</v>
      </c>
      <c r="AE747" s="83" t="n">
        <v>66.89743</v>
      </c>
      <c r="AG747" s="83" t="n">
        <v>90.6636</v>
      </c>
      <c r="AH747" s="83" t="n">
        <v>76.53555</v>
      </c>
      <c r="AJ747" s="83" t="n">
        <v>91.11139</v>
      </c>
      <c r="AK747" s="83" t="n">
        <v>78.08686</v>
      </c>
      <c r="AO747" s="83" t="n">
        <v>68.11811</v>
      </c>
      <c r="AQ747" s="83" t="n">
        <v>85.24329</v>
      </c>
      <c r="AR747" s="83" t="n">
        <v>81.05003000000001</v>
      </c>
      <c r="AT747" s="83" t="n">
        <v>80.51809</v>
      </c>
      <c r="AV747" s="83" t="n">
        <v>61.81572</v>
      </c>
      <c r="AZ747" s="83" t="n">
        <v>88.35012999999999</v>
      </c>
      <c r="BA747" s="83" t="n">
        <v>59.86065</v>
      </c>
      <c r="BB747" s="83" t="n">
        <v>81.21628</v>
      </c>
      <c r="BC747" s="83" t="n">
        <v>77.98766999999999</v>
      </c>
      <c r="BD747" s="83" t="n">
        <v>76.2486</v>
      </c>
    </row>
    <row r="748">
      <c r="A748" s="83" t="inlineStr">
        <is>
          <t>2013-07</t>
        </is>
      </c>
      <c r="B748" s="22" t="n">
        <v>41456</v>
      </c>
      <c r="C748" s="22" t="n"/>
      <c r="D748" s="22" t="n"/>
      <c r="E748" s="22" t="n">
        <v>40969</v>
      </c>
      <c r="F748" s="83" t="inlineStr">
        <is>
          <t>2012-03</t>
        </is>
      </c>
      <c r="G748" s="83" t="n">
        <v>80.06144999999999</v>
      </c>
      <c r="I748" s="83" t="n">
        <v>71.13179</v>
      </c>
      <c r="J748" s="83" t="n">
        <v>79.48527</v>
      </c>
      <c r="K748" s="83" t="n">
        <v>81.74936</v>
      </c>
      <c r="L748" s="83" t="n">
        <v>71.87145</v>
      </c>
      <c r="M748" s="83" t="n">
        <v>66.48533999999999</v>
      </c>
      <c r="N748" s="83" t="n">
        <v>66.94547</v>
      </c>
      <c r="O748" s="83" t="n">
        <v>73.105</v>
      </c>
      <c r="P748" s="83" t="n">
        <v>83.13419</v>
      </c>
      <c r="R748" s="83" t="n">
        <v>87.40134</v>
      </c>
      <c r="S748" s="83" t="n">
        <v>90.12022</v>
      </c>
      <c r="AA748" s="83" t="n">
        <v>95.75538</v>
      </c>
      <c r="AC748" s="83" t="n">
        <v>88.35525</v>
      </c>
      <c r="AD748" s="83" t="n">
        <v>66.83452</v>
      </c>
      <c r="AE748" s="83" t="n">
        <v>67.42928000000001</v>
      </c>
      <c r="AG748" s="83" t="n">
        <v>90.82443000000001</v>
      </c>
      <c r="AH748" s="83" t="n">
        <v>77.01244</v>
      </c>
      <c r="AJ748" s="83" t="n">
        <v>91.34921</v>
      </c>
      <c r="AK748" s="83" t="n">
        <v>78.85629</v>
      </c>
      <c r="AO748" s="83" t="n">
        <v>69.25505</v>
      </c>
      <c r="AQ748" s="83" t="n">
        <v>85.86399</v>
      </c>
      <c r="AR748" s="83" t="n">
        <v>81.45843000000001</v>
      </c>
      <c r="AT748" s="83" t="n">
        <v>80.39945</v>
      </c>
      <c r="AV748" s="83" t="n">
        <v>61.39294</v>
      </c>
      <c r="AZ748" s="83" t="n">
        <v>88.59372999999999</v>
      </c>
      <c r="BA748" s="83" t="n">
        <v>60.38867</v>
      </c>
      <c r="BB748" s="83" t="n">
        <v>81.58775</v>
      </c>
      <c r="BC748" s="83" t="n">
        <v>78.02681</v>
      </c>
      <c r="BD748" s="83" t="n">
        <v>76.81478</v>
      </c>
    </row>
    <row r="749">
      <c r="A749" s="83" t="inlineStr">
        <is>
          <t>2013-08</t>
        </is>
      </c>
      <c r="B749" s="22" t="n">
        <v>41487</v>
      </c>
      <c r="C749" s="22" t="n"/>
      <c r="D749" s="22" t="n"/>
      <c r="E749" s="22" t="n">
        <v>41000</v>
      </c>
      <c r="F749" s="83" t="inlineStr">
        <is>
          <t>2012-04</t>
        </is>
      </c>
      <c r="G749" s="83" t="n">
        <v>80.48453000000001</v>
      </c>
      <c r="I749" s="83" t="n">
        <v>72.23718</v>
      </c>
      <c r="J749" s="83" t="n">
        <v>79.92704999999999</v>
      </c>
      <c r="K749" s="83" t="n">
        <v>82.0864</v>
      </c>
      <c r="L749" s="83" t="n">
        <v>72.85785</v>
      </c>
      <c r="M749" s="83" t="n">
        <v>67.08028</v>
      </c>
      <c r="N749" s="83" t="n">
        <v>67.66934000000001</v>
      </c>
      <c r="O749" s="83" t="n">
        <v>73.66714</v>
      </c>
      <c r="P749" s="83" t="n">
        <v>83.37272</v>
      </c>
      <c r="R749" s="83" t="n">
        <v>88.92050999999999</v>
      </c>
      <c r="S749" s="83" t="n">
        <v>90.60513</v>
      </c>
      <c r="AA749" s="83" t="n">
        <v>96.11391999999999</v>
      </c>
      <c r="AC749" s="83" t="n">
        <v>87.72055</v>
      </c>
      <c r="AD749" s="83" t="n">
        <v>67.8466</v>
      </c>
      <c r="AE749" s="83" t="n">
        <v>68.09089</v>
      </c>
      <c r="AG749" s="83" t="n">
        <v>88.87139999999999</v>
      </c>
      <c r="AH749" s="83" t="n">
        <v>77.37654999999999</v>
      </c>
      <c r="AJ749" s="83" t="n">
        <v>91.48099999999999</v>
      </c>
      <c r="AK749" s="83" t="n">
        <v>79.04340000000001</v>
      </c>
      <c r="AO749" s="83" t="n">
        <v>70.31932</v>
      </c>
      <c r="AQ749" s="83" t="n">
        <v>86.13030999999999</v>
      </c>
      <c r="AR749" s="83" t="n">
        <v>81.93097</v>
      </c>
      <c r="AT749" s="83" t="n">
        <v>80.51199</v>
      </c>
      <c r="AV749" s="83" t="n">
        <v>62.16257</v>
      </c>
      <c r="AZ749" s="83" t="n">
        <v>88.72282</v>
      </c>
      <c r="BA749" s="83" t="n">
        <v>61.15369</v>
      </c>
      <c r="BB749" s="83" t="n">
        <v>82.03899</v>
      </c>
      <c r="BC749" s="83" t="n">
        <v>78.04566</v>
      </c>
      <c r="BD749" s="83" t="n">
        <v>77.51759</v>
      </c>
    </row>
    <row r="750">
      <c r="A750" s="83" t="inlineStr">
        <is>
          <t>2013-09</t>
        </is>
      </c>
      <c r="B750" s="22" t="n">
        <v>41518</v>
      </c>
      <c r="C750" s="22" t="n"/>
      <c r="D750" s="22" t="n"/>
      <c r="E750" s="22" t="n">
        <v>41030</v>
      </c>
      <c r="F750" s="83" t="inlineStr">
        <is>
          <t>2012-05</t>
        </is>
      </c>
      <c r="G750" s="83" t="n">
        <v>81.15415</v>
      </c>
      <c r="I750" s="83" t="n">
        <v>73.23044</v>
      </c>
      <c r="J750" s="83" t="n">
        <v>80.36031</v>
      </c>
      <c r="K750" s="83" t="n">
        <v>82.47020999999999</v>
      </c>
      <c r="L750" s="83" t="n">
        <v>73.78752</v>
      </c>
      <c r="M750" s="83" t="n">
        <v>67.52428999999999</v>
      </c>
      <c r="N750" s="83" t="n">
        <v>68.54301</v>
      </c>
      <c r="O750" s="83" t="n">
        <v>74.03765</v>
      </c>
      <c r="P750" s="83" t="n">
        <v>84.00615999999999</v>
      </c>
      <c r="R750" s="83" t="n">
        <v>89.34407</v>
      </c>
      <c r="S750" s="83" t="n">
        <v>90.79661</v>
      </c>
      <c r="AA750" s="83" t="n">
        <v>96.54686</v>
      </c>
      <c r="AC750" s="83" t="n">
        <v>87.64536</v>
      </c>
      <c r="AD750" s="83" t="n">
        <v>68.89955999999999</v>
      </c>
      <c r="AE750" s="83" t="n">
        <v>68.91785</v>
      </c>
      <c r="AG750" s="83" t="n">
        <v>86.73504</v>
      </c>
      <c r="AH750" s="83" t="n">
        <v>77.79913000000001</v>
      </c>
      <c r="AJ750" s="83" t="n">
        <v>91.53436000000001</v>
      </c>
      <c r="AK750" s="83" t="n">
        <v>79.50264</v>
      </c>
      <c r="AO750" s="83" t="n">
        <v>71.10778999999999</v>
      </c>
      <c r="AQ750" s="83" t="n">
        <v>85.73829000000001</v>
      </c>
      <c r="AR750" s="83" t="n">
        <v>82.26061</v>
      </c>
      <c r="AT750" s="83" t="n">
        <v>81.05106000000001</v>
      </c>
      <c r="AV750" s="83" t="n">
        <v>62.87664</v>
      </c>
      <c r="AZ750" s="83" t="n">
        <v>88.26324</v>
      </c>
      <c r="BA750" s="83" t="n">
        <v>61.8203</v>
      </c>
      <c r="BB750" s="83" t="n">
        <v>82.30242</v>
      </c>
      <c r="BC750" s="83" t="n">
        <v>78.23859</v>
      </c>
      <c r="BD750" s="83" t="n">
        <v>78.06555</v>
      </c>
    </row>
    <row r="751">
      <c r="A751" s="83" t="inlineStr">
        <is>
          <t>2013-10</t>
        </is>
      </c>
      <c r="B751" s="22" t="n">
        <v>41548</v>
      </c>
      <c r="C751" s="22" t="n"/>
      <c r="D751" s="22" t="n"/>
      <c r="E751" s="22" t="n">
        <v>41061</v>
      </c>
      <c r="F751" s="83" t="inlineStr">
        <is>
          <t>2012-06</t>
        </is>
      </c>
      <c r="G751" s="83" t="n">
        <v>81.88822999999999</v>
      </c>
      <c r="I751" s="83" t="n">
        <v>73.97526999999999</v>
      </c>
      <c r="J751" s="83" t="n">
        <v>80.71245999999999</v>
      </c>
      <c r="K751" s="83" t="n">
        <v>83.65176</v>
      </c>
      <c r="L751" s="83" t="n">
        <v>74.40709</v>
      </c>
      <c r="M751" s="83" t="n">
        <v>68.55728000000001</v>
      </c>
      <c r="N751" s="83" t="n">
        <v>69.03016</v>
      </c>
      <c r="O751" s="83" t="n">
        <v>74.4418</v>
      </c>
      <c r="P751" s="83" t="n">
        <v>84.24619</v>
      </c>
      <c r="R751" s="83" t="n">
        <v>89.5087</v>
      </c>
      <c r="S751" s="83" t="n">
        <v>91.14915000000001</v>
      </c>
      <c r="AA751" s="83" t="n">
        <v>96.56005</v>
      </c>
      <c r="AC751" s="83" t="n">
        <v>88.14896</v>
      </c>
      <c r="AD751" s="83" t="n">
        <v>69.80886</v>
      </c>
      <c r="AE751" s="83" t="n">
        <v>70.32758</v>
      </c>
      <c r="AG751" s="83" t="n">
        <v>86.40366</v>
      </c>
      <c r="AH751" s="83" t="n">
        <v>78.54662999999999</v>
      </c>
      <c r="AJ751" s="83" t="n">
        <v>91.65026</v>
      </c>
      <c r="AK751" s="83" t="n">
        <v>80.06842</v>
      </c>
      <c r="AO751" s="83" t="n">
        <v>72.50288</v>
      </c>
      <c r="AQ751" s="83" t="n">
        <v>85.98293</v>
      </c>
      <c r="AR751" s="83" t="n">
        <v>82.78694</v>
      </c>
      <c r="AT751" s="83" t="n">
        <v>81.63194</v>
      </c>
      <c r="AV751" s="83" t="n">
        <v>63.48284</v>
      </c>
      <c r="AZ751" s="83" t="n">
        <v>87.53909</v>
      </c>
      <c r="BA751" s="83" t="n">
        <v>62.51052</v>
      </c>
      <c r="BB751" s="83" t="n">
        <v>82.88247</v>
      </c>
      <c r="BC751" s="83" t="n">
        <v>78.96225</v>
      </c>
      <c r="BD751" s="83" t="n">
        <v>78.53787</v>
      </c>
    </row>
    <row r="752">
      <c r="A752" s="83" t="inlineStr">
        <is>
          <t>2013-11</t>
        </is>
      </c>
      <c r="B752" s="22" t="n">
        <v>41579</v>
      </c>
      <c r="C752" s="22" t="n"/>
      <c r="D752" s="22" t="n"/>
      <c r="E752" s="22" t="n">
        <v>41091</v>
      </c>
      <c r="F752" s="83" t="inlineStr">
        <is>
          <t>2012-07</t>
        </is>
      </c>
      <c r="G752" s="83" t="n">
        <v>82.30289</v>
      </c>
      <c r="I752" s="83" t="n">
        <v>74.72275</v>
      </c>
      <c r="J752" s="83" t="n">
        <v>81.13894000000001</v>
      </c>
      <c r="K752" s="83" t="n">
        <v>85.17650999999999</v>
      </c>
      <c r="L752" s="83" t="n">
        <v>74.86924999999999</v>
      </c>
      <c r="M752" s="83" t="n">
        <v>69.49875</v>
      </c>
      <c r="N752" s="83" t="n">
        <v>69.10374</v>
      </c>
      <c r="O752" s="83" t="n">
        <v>74.86073</v>
      </c>
      <c r="P752" s="83" t="n">
        <v>84.402</v>
      </c>
      <c r="R752" s="83" t="n">
        <v>89.12922</v>
      </c>
      <c r="S752" s="83" t="n">
        <v>91.45948</v>
      </c>
      <c r="AA752" s="83" t="n">
        <v>96.70111</v>
      </c>
      <c r="AC752" s="83" t="n">
        <v>87.87935</v>
      </c>
      <c r="AD752" s="83" t="n">
        <v>70.31336</v>
      </c>
      <c r="AE752" s="83" t="n">
        <v>71.29208</v>
      </c>
      <c r="AG752" s="83" t="n">
        <v>85.98086000000001</v>
      </c>
      <c r="AH752" s="83" t="n">
        <v>79.42752</v>
      </c>
      <c r="AJ752" s="83" t="n">
        <v>91.88831</v>
      </c>
      <c r="AK752" s="83" t="n">
        <v>80.48993</v>
      </c>
      <c r="AO752" s="83" t="n">
        <v>73.88387</v>
      </c>
      <c r="AQ752" s="83" t="n">
        <v>86.76743999999999</v>
      </c>
      <c r="AR752" s="83" t="n">
        <v>83.33384</v>
      </c>
      <c r="AT752" s="83" t="n">
        <v>82.02043</v>
      </c>
      <c r="AV752" s="83" t="n">
        <v>64.55473000000001</v>
      </c>
      <c r="AZ752" s="83" t="n">
        <v>87.2321</v>
      </c>
      <c r="BA752" s="83" t="n">
        <v>62.95073</v>
      </c>
      <c r="BB752" s="83" t="n">
        <v>83.49078</v>
      </c>
      <c r="BC752" s="83" t="n">
        <v>79.98359000000001</v>
      </c>
      <c r="BD752" s="83" t="n">
        <v>79.46033</v>
      </c>
    </row>
    <row r="753">
      <c r="A753" s="83" t="inlineStr">
        <is>
          <t>2013-12</t>
        </is>
      </c>
      <c r="B753" s="22" t="n">
        <v>41609</v>
      </c>
      <c r="C753" s="22" t="n"/>
      <c r="D753" s="22" t="n"/>
      <c r="E753" s="22" t="n">
        <v>41122</v>
      </c>
      <c r="F753" s="83" t="inlineStr">
        <is>
          <t>2012-08</t>
        </is>
      </c>
      <c r="G753" s="83" t="n">
        <v>82.79321</v>
      </c>
      <c r="I753" s="83" t="n">
        <v>75.66347</v>
      </c>
      <c r="J753" s="83" t="n">
        <v>81.26053</v>
      </c>
      <c r="K753" s="83" t="n">
        <v>86.08814</v>
      </c>
      <c r="L753" s="83" t="n">
        <v>75.02143</v>
      </c>
      <c r="M753" s="83" t="n">
        <v>70.10145</v>
      </c>
      <c r="N753" s="83" t="n">
        <v>69.98135000000001</v>
      </c>
      <c r="O753" s="83" t="n">
        <v>75.39249</v>
      </c>
      <c r="P753" s="83" t="n">
        <v>84.52585000000001</v>
      </c>
      <c r="R753" s="83" t="n">
        <v>88.96509</v>
      </c>
      <c r="S753" s="83" t="n">
        <v>91.48078</v>
      </c>
      <c r="AA753" s="83" t="n">
        <v>96.86789</v>
      </c>
      <c r="AC753" s="83" t="n">
        <v>87.83728000000001</v>
      </c>
      <c r="AD753" s="83" t="n">
        <v>71.00194999999999</v>
      </c>
      <c r="AE753" s="83" t="n">
        <v>71.69177999999999</v>
      </c>
      <c r="AG753" s="83" t="n">
        <v>85.45679</v>
      </c>
      <c r="AH753" s="83" t="n">
        <v>80.17666</v>
      </c>
      <c r="AJ753" s="83" t="n">
        <v>92.0843</v>
      </c>
      <c r="AK753" s="83" t="n">
        <v>80.71666999999999</v>
      </c>
      <c r="AO753" s="83" t="n">
        <v>74.63194</v>
      </c>
      <c r="AQ753" s="83" t="n">
        <v>87.10258</v>
      </c>
      <c r="AR753" s="83" t="n">
        <v>83.79951</v>
      </c>
      <c r="AT753" s="83" t="n">
        <v>82.52744</v>
      </c>
      <c r="AV753" s="83" t="n">
        <v>65.27005</v>
      </c>
      <c r="AZ753" s="83" t="n">
        <v>87.51266</v>
      </c>
      <c r="BA753" s="83" t="n">
        <v>63.36629</v>
      </c>
      <c r="BB753" s="83" t="n">
        <v>84.08163</v>
      </c>
      <c r="BC753" s="83" t="n">
        <v>80.87685</v>
      </c>
      <c r="BD753" s="83" t="n">
        <v>79.9567</v>
      </c>
    </row>
    <row r="754">
      <c r="A754" s="83" t="inlineStr">
        <is>
          <t>2014-01</t>
        </is>
      </c>
      <c r="B754" s="22" t="n">
        <v>41640</v>
      </c>
      <c r="C754" s="22" t="n"/>
      <c r="D754" s="22" t="n"/>
      <c r="E754" s="22" t="n">
        <v>41153</v>
      </c>
      <c r="F754" s="83" t="inlineStr">
        <is>
          <t>2012-09</t>
        </is>
      </c>
      <c r="G754" s="83" t="n">
        <v>83.2499</v>
      </c>
      <c r="I754" s="83" t="n">
        <v>76.32504</v>
      </c>
      <c r="J754" s="83" t="n">
        <v>81.27236000000001</v>
      </c>
      <c r="K754" s="83" t="n">
        <v>86.83638999999999</v>
      </c>
      <c r="L754" s="83" t="n">
        <v>75.12732</v>
      </c>
      <c r="M754" s="83" t="n">
        <v>71.00095</v>
      </c>
      <c r="N754" s="83" t="n">
        <v>71.63311</v>
      </c>
      <c r="O754" s="83" t="n">
        <v>76.64977</v>
      </c>
      <c r="P754" s="83" t="n">
        <v>84.28344</v>
      </c>
      <c r="R754" s="83" t="n">
        <v>90.06131999999999</v>
      </c>
      <c r="S754" s="83" t="n">
        <v>91.42384</v>
      </c>
      <c r="AA754" s="83" t="n">
        <v>96.94435</v>
      </c>
      <c r="AC754" s="83" t="n">
        <v>88.20502</v>
      </c>
      <c r="AD754" s="83" t="n">
        <v>71.67303</v>
      </c>
      <c r="AE754" s="83" t="n">
        <v>72.33672</v>
      </c>
      <c r="AG754" s="83" t="n">
        <v>85.01085</v>
      </c>
      <c r="AH754" s="83" t="n">
        <v>80.49339999999999</v>
      </c>
      <c r="AJ754" s="83" t="n">
        <v>92.26694999999999</v>
      </c>
      <c r="AK754" s="83" t="n">
        <v>81.07974</v>
      </c>
      <c r="AO754" s="83" t="n">
        <v>75.41701</v>
      </c>
      <c r="AQ754" s="83" t="n">
        <v>87.63763</v>
      </c>
      <c r="AR754" s="83" t="n">
        <v>84.31236</v>
      </c>
      <c r="AT754" s="83" t="n">
        <v>82.72402</v>
      </c>
      <c r="AV754" s="83" t="n">
        <v>65.50058</v>
      </c>
      <c r="AZ754" s="83" t="n">
        <v>88.43702999999999</v>
      </c>
      <c r="BA754" s="83" t="n">
        <v>64.1832</v>
      </c>
      <c r="BB754" s="83" t="n">
        <v>84.76555999999999</v>
      </c>
      <c r="BC754" s="83" t="n">
        <v>81.33127</v>
      </c>
      <c r="BD754" s="83" t="n">
        <v>79.97619</v>
      </c>
    </row>
    <row r="755">
      <c r="A755" s="83" t="inlineStr">
        <is>
          <t>2014-02</t>
        </is>
      </c>
      <c r="B755" s="22" t="n">
        <v>41671</v>
      </c>
      <c r="C755" s="22" t="n"/>
      <c r="D755" s="22" t="n"/>
      <c r="E755" s="22" t="n">
        <v>41183</v>
      </c>
      <c r="F755" s="83" t="inlineStr">
        <is>
          <t>2012-10</t>
        </is>
      </c>
      <c r="G755" s="83" t="n">
        <v>83.60293</v>
      </c>
      <c r="I755" s="83" t="n">
        <v>77.17089</v>
      </c>
      <c r="J755" s="83" t="n">
        <v>81.79619</v>
      </c>
      <c r="K755" s="83" t="n">
        <v>87.50557000000001</v>
      </c>
      <c r="L755" s="83" t="n">
        <v>75.50842</v>
      </c>
      <c r="M755" s="83" t="n">
        <v>71.9157</v>
      </c>
      <c r="N755" s="83" t="n">
        <v>72.84372999999999</v>
      </c>
      <c r="O755" s="83" t="n">
        <v>77.37618000000001</v>
      </c>
      <c r="P755" s="83" t="n">
        <v>84.62454</v>
      </c>
      <c r="R755" s="83" t="n">
        <v>88.23862</v>
      </c>
      <c r="S755" s="83" t="n">
        <v>91.7403</v>
      </c>
      <c r="AA755" s="83" t="n">
        <v>97.22631</v>
      </c>
      <c r="AC755" s="83" t="n">
        <v>88.82182</v>
      </c>
      <c r="AD755" s="83" t="n">
        <v>72.45862</v>
      </c>
      <c r="AE755" s="83" t="n">
        <v>72.80526</v>
      </c>
      <c r="AG755" s="83" t="n">
        <v>84.74043</v>
      </c>
      <c r="AH755" s="83" t="n">
        <v>80.4716</v>
      </c>
      <c r="AJ755" s="83" t="n">
        <v>92.36005</v>
      </c>
      <c r="AK755" s="83" t="n">
        <v>81.58524</v>
      </c>
      <c r="AO755" s="83" t="n">
        <v>76.16461</v>
      </c>
      <c r="AQ755" s="83" t="n">
        <v>87.97114000000001</v>
      </c>
      <c r="AR755" s="83" t="n">
        <v>84.7563</v>
      </c>
      <c r="AT755" s="83" t="n">
        <v>83.04114</v>
      </c>
      <c r="AV755" s="83" t="n">
        <v>66.17779</v>
      </c>
      <c r="AZ755" s="83" t="n">
        <v>88.61036</v>
      </c>
      <c r="BA755" s="83" t="n">
        <v>65.1343</v>
      </c>
      <c r="BB755" s="83" t="n">
        <v>85.27332</v>
      </c>
      <c r="BC755" s="83" t="n">
        <v>81.548</v>
      </c>
      <c r="BD755" s="83" t="n">
        <v>80.31755</v>
      </c>
    </row>
    <row r="756">
      <c r="A756" s="83" t="inlineStr">
        <is>
          <t>2014-03</t>
        </is>
      </c>
      <c r="B756" s="22" t="n">
        <v>41699</v>
      </c>
      <c r="C756" s="22" t="n"/>
      <c r="D756" s="22" t="n"/>
      <c r="E756" s="22" t="n">
        <v>41214</v>
      </c>
      <c r="F756" s="83" t="inlineStr">
        <is>
          <t>2012-11</t>
        </is>
      </c>
      <c r="G756" s="83" t="n">
        <v>83.92794000000001</v>
      </c>
      <c r="I756" s="83" t="n">
        <v>78.17036</v>
      </c>
      <c r="J756" s="83" t="n">
        <v>82.05895</v>
      </c>
      <c r="K756" s="83" t="n">
        <v>87.96550999999999</v>
      </c>
      <c r="L756" s="83" t="n">
        <v>75.92278</v>
      </c>
      <c r="M756" s="83" t="n">
        <v>72.58514</v>
      </c>
      <c r="N756" s="83" t="n">
        <v>73.39276</v>
      </c>
      <c r="O756" s="83" t="n">
        <v>77.55235</v>
      </c>
      <c r="P756" s="83" t="n">
        <v>85.26009000000001</v>
      </c>
      <c r="R756" s="83" t="n">
        <v>84.88836999999999</v>
      </c>
      <c r="S756" s="83" t="n">
        <v>92.01973</v>
      </c>
      <c r="AA756" s="83" t="n">
        <v>97.08759000000001</v>
      </c>
      <c r="AC756" s="83" t="n">
        <v>88.83918</v>
      </c>
      <c r="AD756" s="83" t="n">
        <v>73.42202</v>
      </c>
      <c r="AE756" s="83" t="n">
        <v>73.48820000000001</v>
      </c>
      <c r="AG756" s="83" t="n">
        <v>84.57143000000001</v>
      </c>
      <c r="AH756" s="83" t="n">
        <v>80.53146</v>
      </c>
      <c r="AJ756" s="83" t="n">
        <v>92.39689</v>
      </c>
      <c r="AK756" s="83" t="n">
        <v>82.10081</v>
      </c>
      <c r="AO756" s="83" t="n">
        <v>76.85172</v>
      </c>
      <c r="AQ756" s="83" t="n">
        <v>88.40260000000001</v>
      </c>
      <c r="AR756" s="83" t="n">
        <v>85.11451</v>
      </c>
      <c r="AT756" s="83" t="n">
        <v>83.37549</v>
      </c>
      <c r="AV756" s="83" t="n">
        <v>66.68761000000001</v>
      </c>
      <c r="AZ756" s="83" t="n">
        <v>88.18549</v>
      </c>
      <c r="BA756" s="83" t="n">
        <v>65.77866</v>
      </c>
      <c r="BB756" s="83" t="n">
        <v>85.76029</v>
      </c>
      <c r="BC756" s="83" t="n">
        <v>81.96606</v>
      </c>
      <c r="BD756" s="83" t="n">
        <v>80.93376000000001</v>
      </c>
    </row>
    <row r="757">
      <c r="A757" s="83" t="inlineStr">
        <is>
          <t>2014-04</t>
        </is>
      </c>
      <c r="B757" s="22" t="n">
        <v>41730</v>
      </c>
      <c r="C757" s="22" t="n"/>
      <c r="D757" s="22" t="n"/>
      <c r="E757" s="22" t="n">
        <v>41244</v>
      </c>
      <c r="F757" s="83" t="inlineStr">
        <is>
          <t>2012-12</t>
        </is>
      </c>
      <c r="G757" s="83" t="n">
        <v>84.29218</v>
      </c>
      <c r="I757" s="83" t="n">
        <v>78.49213</v>
      </c>
      <c r="J757" s="83" t="n">
        <v>82.42165</v>
      </c>
      <c r="K757" s="83" t="n">
        <v>88.68129</v>
      </c>
      <c r="L757" s="83" t="n">
        <v>76.28474</v>
      </c>
      <c r="M757" s="83" t="n">
        <v>73.51533999999999</v>
      </c>
      <c r="N757" s="83" t="n">
        <v>74.65823</v>
      </c>
      <c r="O757" s="83" t="n">
        <v>78.27812</v>
      </c>
      <c r="P757" s="83" t="n">
        <v>85.96889</v>
      </c>
      <c r="R757" s="83" t="n">
        <v>84.08908</v>
      </c>
      <c r="S757" s="83" t="n">
        <v>92.27063</v>
      </c>
      <c r="AA757" s="83" t="n">
        <v>97.62595</v>
      </c>
      <c r="AC757" s="83" t="n">
        <v>88.56676</v>
      </c>
      <c r="AD757" s="83" t="n">
        <v>73.95171000000001</v>
      </c>
      <c r="AE757" s="83" t="n">
        <v>74.17709000000001</v>
      </c>
      <c r="AG757" s="83" t="n">
        <v>84.50312</v>
      </c>
      <c r="AH757" s="83" t="n">
        <v>80.54035</v>
      </c>
      <c r="AJ757" s="83" t="n">
        <v>92.77562</v>
      </c>
      <c r="AK757" s="83" t="n">
        <v>82.55526</v>
      </c>
      <c r="AO757" s="83" t="n">
        <v>77.70562</v>
      </c>
      <c r="AQ757" s="83" t="n">
        <v>88.50623</v>
      </c>
      <c r="AR757" s="83" t="n">
        <v>85.83772</v>
      </c>
      <c r="AT757" s="83" t="n">
        <v>83.41615</v>
      </c>
      <c r="AV757" s="83" t="n">
        <v>64.97565</v>
      </c>
      <c r="AZ757" s="83" t="n">
        <v>88.6028</v>
      </c>
      <c r="BA757" s="83" t="n">
        <v>66.17831</v>
      </c>
      <c r="BB757" s="83" t="n">
        <v>86.80571</v>
      </c>
      <c r="BC757" s="83" t="n">
        <v>82.64661</v>
      </c>
      <c r="BD757" s="83" t="n">
        <v>81.97331</v>
      </c>
    </row>
    <row r="758">
      <c r="A758" s="83" t="inlineStr">
        <is>
          <t>2014-05</t>
        </is>
      </c>
      <c r="B758" s="22" t="n">
        <v>41760</v>
      </c>
      <c r="C758" s="22" t="n"/>
      <c r="D758" s="22" t="n"/>
      <c r="E758" s="22" t="n">
        <v>41275</v>
      </c>
      <c r="F758" s="83" t="inlineStr">
        <is>
          <t>2013-01</t>
        </is>
      </c>
      <c r="G758" s="83" t="n">
        <v>84.81891</v>
      </c>
      <c r="I758" s="83" t="n">
        <v>79.04226</v>
      </c>
      <c r="J758" s="83" t="n">
        <v>82.79349000000001</v>
      </c>
      <c r="K758" s="83" t="n">
        <v>89.15607</v>
      </c>
      <c r="L758" s="83" t="n">
        <v>76.69441</v>
      </c>
      <c r="M758" s="83" t="n">
        <v>74.64398</v>
      </c>
      <c r="N758" s="83" t="n">
        <v>75.81990999999999</v>
      </c>
      <c r="O758" s="83" t="n">
        <v>78.93889</v>
      </c>
      <c r="P758" s="83" t="n">
        <v>86.49627</v>
      </c>
      <c r="R758" s="83" t="n">
        <v>80.80392999999999</v>
      </c>
      <c r="S758" s="83" t="n">
        <v>92.21375</v>
      </c>
      <c r="AA758" s="83" t="n">
        <v>98.97781000000001</v>
      </c>
      <c r="AC758" s="83" t="n">
        <v>89.26303</v>
      </c>
      <c r="AD758" s="83" t="n">
        <v>74.59144999999999</v>
      </c>
      <c r="AE758" s="83" t="n">
        <v>74.86604</v>
      </c>
      <c r="AG758" s="83" t="n">
        <v>84.52992999999999</v>
      </c>
      <c r="AH758" s="83" t="n">
        <v>80.55868</v>
      </c>
      <c r="AJ758" s="83" t="n">
        <v>93.01846</v>
      </c>
      <c r="AK758" s="83" t="n">
        <v>83.07156999999999</v>
      </c>
      <c r="AO758" s="83" t="n">
        <v>78.7556</v>
      </c>
      <c r="AQ758" s="83" t="n">
        <v>88.53660000000001</v>
      </c>
      <c r="AR758" s="83" t="n">
        <v>86.23784999999999</v>
      </c>
      <c r="AT758" s="83" t="n">
        <v>83.88326000000001</v>
      </c>
      <c r="AV758" s="83" t="n">
        <v>66.85439</v>
      </c>
      <c r="AZ758" s="83" t="n">
        <v>89.10365</v>
      </c>
      <c r="BA758" s="83" t="n">
        <v>66.96716000000001</v>
      </c>
      <c r="BB758" s="83" t="n">
        <v>87.01761999999999</v>
      </c>
      <c r="BC758" s="83" t="n">
        <v>83.25739</v>
      </c>
      <c r="BD758" s="83" t="n">
        <v>82.80458</v>
      </c>
    </row>
    <row r="759">
      <c r="A759" s="83" t="inlineStr">
        <is>
          <t>2014-06</t>
        </is>
      </c>
      <c r="B759" s="22" t="n">
        <v>41791</v>
      </c>
      <c r="C759" s="22" t="n"/>
      <c r="D759" s="22" t="n"/>
      <c r="E759" s="22" t="n">
        <v>41306</v>
      </c>
      <c r="F759" s="83" t="inlineStr">
        <is>
          <t>2013-02</t>
        </is>
      </c>
      <c r="G759" s="83" t="n">
        <v>85.18875</v>
      </c>
      <c r="I759" s="83" t="n">
        <v>79.9045</v>
      </c>
      <c r="J759" s="83" t="n">
        <v>83.55201</v>
      </c>
      <c r="K759" s="83" t="n">
        <v>89.32658000000001</v>
      </c>
      <c r="L759" s="83" t="n">
        <v>77.32964</v>
      </c>
      <c r="M759" s="83" t="n">
        <v>75.58743</v>
      </c>
      <c r="N759" s="83" t="n">
        <v>76.29169</v>
      </c>
      <c r="O759" s="83" t="n">
        <v>78.84513</v>
      </c>
      <c r="P759" s="83" t="n">
        <v>86.72216</v>
      </c>
      <c r="R759" s="83" t="n">
        <v>76.57006</v>
      </c>
      <c r="S759" s="83" t="n">
        <v>91.96128</v>
      </c>
      <c r="AA759" s="83" t="n">
        <v>99.73572</v>
      </c>
      <c r="AC759" s="83" t="n">
        <v>90.44401000000001</v>
      </c>
      <c r="AD759" s="83" t="n">
        <v>75.65025</v>
      </c>
      <c r="AE759" s="83" t="n">
        <v>75.50530999999999</v>
      </c>
      <c r="AG759" s="83" t="n">
        <v>84.60297</v>
      </c>
      <c r="AH759" s="83" t="n">
        <v>80.69258000000001</v>
      </c>
      <c r="AJ759" s="83" t="n">
        <v>93.31528</v>
      </c>
      <c r="AK759" s="83" t="n">
        <v>83.65388</v>
      </c>
      <c r="AO759" s="83" t="n">
        <v>79.49027</v>
      </c>
      <c r="AQ759" s="83" t="n">
        <v>88.91455000000001</v>
      </c>
      <c r="AR759" s="83" t="n">
        <v>86.48998</v>
      </c>
      <c r="AT759" s="83" t="n">
        <v>84.59865000000001</v>
      </c>
      <c r="AV759" s="83" t="n">
        <v>69.89341</v>
      </c>
      <c r="AZ759" s="83" t="n">
        <v>89.14943</v>
      </c>
      <c r="BA759" s="83" t="n">
        <v>67.82664</v>
      </c>
      <c r="BB759" s="83" t="n">
        <v>86.99269</v>
      </c>
      <c r="BC759" s="83" t="n">
        <v>83.84638</v>
      </c>
      <c r="BD759" s="83" t="n">
        <v>83.39748</v>
      </c>
    </row>
    <row r="760">
      <c r="A760" s="83" t="inlineStr">
        <is>
          <t>2014-07</t>
        </is>
      </c>
      <c r="B760" s="22" t="n">
        <v>41821</v>
      </c>
      <c r="C760" s="22" t="n"/>
      <c r="D760" s="22" t="n"/>
      <c r="E760" s="22" t="n">
        <v>41334</v>
      </c>
      <c r="F760" s="83" t="inlineStr">
        <is>
          <t>2013-03</t>
        </is>
      </c>
      <c r="G760" s="83" t="n">
        <v>85.5838</v>
      </c>
      <c r="I760" s="83" t="n">
        <v>80.45747</v>
      </c>
      <c r="J760" s="83" t="n">
        <v>83.89873</v>
      </c>
      <c r="K760" s="83" t="n">
        <v>89.75252999999999</v>
      </c>
      <c r="L760" s="83" t="n">
        <v>78.25158</v>
      </c>
      <c r="M760" s="83" t="n">
        <v>76.81238999999999</v>
      </c>
      <c r="N760" s="83" t="n">
        <v>77.56339</v>
      </c>
      <c r="O760" s="83" t="n">
        <v>79.02409</v>
      </c>
      <c r="P760" s="83" t="n">
        <v>87.02673</v>
      </c>
      <c r="R760" s="83" t="n">
        <v>75.79485</v>
      </c>
      <c r="S760" s="83" t="n">
        <v>92.22490999999999</v>
      </c>
      <c r="AA760" s="83" t="n">
        <v>99.96608999999999</v>
      </c>
      <c r="AC760" s="83" t="n">
        <v>92.16562999999999</v>
      </c>
      <c r="AD760" s="83" t="n">
        <v>76.57335</v>
      </c>
      <c r="AE760" s="83" t="n">
        <v>76.46850000000001</v>
      </c>
      <c r="AG760" s="83" t="n">
        <v>84.74718</v>
      </c>
      <c r="AH760" s="83" t="n">
        <v>81.4293</v>
      </c>
      <c r="AJ760" s="83" t="n">
        <v>93.63892</v>
      </c>
      <c r="AK760" s="83" t="n">
        <v>84.17162</v>
      </c>
      <c r="AO760" s="83" t="n">
        <v>80.50002000000001</v>
      </c>
      <c r="AQ760" s="83" t="n">
        <v>89.16238</v>
      </c>
      <c r="AR760" s="83" t="n">
        <v>87.04443000000001</v>
      </c>
      <c r="AT760" s="83" t="n">
        <v>85.35046</v>
      </c>
      <c r="AV760" s="83" t="n">
        <v>70.13726</v>
      </c>
      <c r="AZ760" s="83" t="n">
        <v>89.34601000000001</v>
      </c>
      <c r="BA760" s="83" t="n">
        <v>68.66079999999999</v>
      </c>
      <c r="BB760" s="83" t="n">
        <v>87.58687</v>
      </c>
      <c r="BC760" s="83" t="n">
        <v>84.27158</v>
      </c>
      <c r="BD760" s="83" t="n">
        <v>84.03014</v>
      </c>
    </row>
    <row r="761">
      <c r="A761" s="83" t="inlineStr">
        <is>
          <t>2014-08</t>
        </is>
      </c>
      <c r="B761" s="22" t="n">
        <v>41852</v>
      </c>
      <c r="C761" s="22" t="n"/>
      <c r="D761" s="22" t="n"/>
      <c r="E761" s="22" t="n">
        <v>41365</v>
      </c>
      <c r="F761" s="83" t="inlineStr">
        <is>
          <t>2013-04</t>
        </is>
      </c>
      <c r="G761" s="83" t="n">
        <v>86.22821999999999</v>
      </c>
      <c r="I761" s="83" t="n">
        <v>81.18037</v>
      </c>
      <c r="J761" s="83" t="n">
        <v>84.50842</v>
      </c>
      <c r="K761" s="83" t="n">
        <v>90.34921</v>
      </c>
      <c r="L761" s="83" t="n">
        <v>79.28793</v>
      </c>
      <c r="M761" s="83" t="n">
        <v>77.81362</v>
      </c>
      <c r="N761" s="83" t="n">
        <v>78.73676</v>
      </c>
      <c r="O761" s="83" t="n">
        <v>79.85469000000001</v>
      </c>
      <c r="P761" s="83" t="n">
        <v>87.29488000000001</v>
      </c>
      <c r="R761" s="83" t="n">
        <v>74.7774</v>
      </c>
      <c r="S761" s="83" t="n">
        <v>92.68789</v>
      </c>
      <c r="AA761" s="83" t="n">
        <v>100.1697</v>
      </c>
      <c r="AC761" s="83" t="n">
        <v>93.01155</v>
      </c>
      <c r="AD761" s="83" t="n">
        <v>77.55507</v>
      </c>
      <c r="AE761" s="83" t="n">
        <v>77.27903999999999</v>
      </c>
      <c r="AG761" s="83" t="n">
        <v>84.97607000000001</v>
      </c>
      <c r="AH761" s="83" t="n">
        <v>82.59081999999999</v>
      </c>
      <c r="AJ761" s="83" t="n">
        <v>93.84923000000001</v>
      </c>
      <c r="AK761" s="83" t="n">
        <v>84.54729</v>
      </c>
      <c r="AO761" s="83" t="n">
        <v>81.53625</v>
      </c>
      <c r="AQ761" s="83" t="n">
        <v>89.54102</v>
      </c>
      <c r="AR761" s="83" t="n">
        <v>87.46883</v>
      </c>
      <c r="AT761" s="83" t="n">
        <v>86.14792</v>
      </c>
      <c r="AV761" s="83" t="n">
        <v>71.84508</v>
      </c>
      <c r="AZ761" s="83" t="n">
        <v>89.46212</v>
      </c>
      <c r="BA761" s="83" t="n">
        <v>69.63083</v>
      </c>
      <c r="BB761" s="83" t="n">
        <v>87.88105</v>
      </c>
      <c r="BC761" s="83" t="n">
        <v>84.91334999999999</v>
      </c>
      <c r="BD761" s="83" t="n">
        <v>84.39964000000001</v>
      </c>
    </row>
    <row r="762">
      <c r="A762" s="83" t="inlineStr">
        <is>
          <t>2014-09</t>
        </is>
      </c>
      <c r="B762" s="22" t="n">
        <v>41883</v>
      </c>
      <c r="C762" s="22" t="n"/>
      <c r="D762" s="22" t="n"/>
      <c r="E762" s="22" t="n">
        <v>41395</v>
      </c>
      <c r="F762" s="83" t="inlineStr">
        <is>
          <t>2013-05</t>
        </is>
      </c>
      <c r="G762" s="83" t="n">
        <v>87.00712</v>
      </c>
      <c r="I762" s="83" t="n">
        <v>82.07146</v>
      </c>
      <c r="J762" s="83" t="n">
        <v>85.05571999999999</v>
      </c>
      <c r="K762" s="83" t="n">
        <v>90.76282999999999</v>
      </c>
      <c r="L762" s="83" t="n">
        <v>80.26953</v>
      </c>
      <c r="M762" s="83" t="n">
        <v>78.28904</v>
      </c>
      <c r="N762" s="83" t="n">
        <v>79.60379</v>
      </c>
      <c r="O762" s="83" t="n">
        <v>80.64661</v>
      </c>
      <c r="P762" s="83" t="n">
        <v>87.51375</v>
      </c>
      <c r="R762" s="83" t="n">
        <v>73.7961</v>
      </c>
      <c r="S762" s="83" t="n">
        <v>92.9295</v>
      </c>
      <c r="AA762" s="83" t="n">
        <v>100.6309</v>
      </c>
      <c r="AC762" s="83" t="n">
        <v>92.57471</v>
      </c>
      <c r="AD762" s="83" t="n">
        <v>78.809</v>
      </c>
      <c r="AE762" s="83" t="n">
        <v>78.24915</v>
      </c>
      <c r="AG762" s="83" t="n">
        <v>85.24466</v>
      </c>
      <c r="AH762" s="83" t="n">
        <v>83.53326</v>
      </c>
      <c r="AJ762" s="83" t="n">
        <v>94.11982999999999</v>
      </c>
      <c r="AK762" s="83" t="n">
        <v>84.77185</v>
      </c>
      <c r="AO762" s="83" t="n">
        <v>81.94837</v>
      </c>
      <c r="AQ762" s="83" t="n">
        <v>90.07943</v>
      </c>
      <c r="AR762" s="83" t="n">
        <v>87.87394999999999</v>
      </c>
      <c r="AT762" s="83" t="n">
        <v>86.69123</v>
      </c>
      <c r="AV762" s="83" t="n">
        <v>73.16728000000001</v>
      </c>
      <c r="AZ762" s="83" t="n">
        <v>89.72333999999999</v>
      </c>
      <c r="BA762" s="83" t="n">
        <v>70.86833</v>
      </c>
      <c r="BB762" s="83" t="n">
        <v>88.18188000000001</v>
      </c>
      <c r="BC762" s="83" t="n">
        <v>85.64944</v>
      </c>
      <c r="BD762" s="83" t="n">
        <v>85.0979</v>
      </c>
    </row>
    <row r="763">
      <c r="A763" s="83" t="inlineStr">
        <is>
          <t>2014-10</t>
        </is>
      </c>
      <c r="B763" s="22" t="n">
        <v>41913</v>
      </c>
      <c r="C763" s="22" t="n"/>
      <c r="D763" s="22" t="n"/>
      <c r="E763" s="22" t="n">
        <v>41426</v>
      </c>
      <c r="F763" s="83" t="inlineStr">
        <is>
          <t>2013-06</t>
        </is>
      </c>
      <c r="G763" s="83" t="n">
        <v>87.47501</v>
      </c>
      <c r="I763" s="83" t="n">
        <v>82.77863000000001</v>
      </c>
      <c r="J763" s="83" t="n">
        <v>85.59164</v>
      </c>
      <c r="K763" s="83" t="n">
        <v>92.48027999999999</v>
      </c>
      <c r="L763" s="83" t="n">
        <v>81.26159</v>
      </c>
      <c r="M763" s="83" t="n">
        <v>78.77515</v>
      </c>
      <c r="N763" s="83" t="n">
        <v>80.81552000000001</v>
      </c>
      <c r="O763" s="83" t="n">
        <v>81.76658</v>
      </c>
      <c r="P763" s="83" t="n">
        <v>87.48614000000001</v>
      </c>
      <c r="R763" s="83" t="n">
        <v>73.85035000000001</v>
      </c>
      <c r="S763" s="83" t="n">
        <v>92.90138</v>
      </c>
      <c r="AA763" s="83" t="n">
        <v>101.1767</v>
      </c>
      <c r="AC763" s="83" t="n">
        <v>92.28367</v>
      </c>
      <c r="AD763" s="83" t="n">
        <v>78.87822</v>
      </c>
      <c r="AE763" s="83" t="n">
        <v>79.79736</v>
      </c>
      <c r="AG763" s="83" t="n">
        <v>85.53988</v>
      </c>
      <c r="AH763" s="83" t="n">
        <v>84.0933</v>
      </c>
      <c r="AJ763" s="83" t="n">
        <v>94.465</v>
      </c>
      <c r="AK763" s="83" t="n">
        <v>85.06950000000001</v>
      </c>
      <c r="AO763" s="83" t="n">
        <v>82.00363</v>
      </c>
      <c r="AQ763" s="83" t="n">
        <v>90.53559</v>
      </c>
      <c r="AR763" s="83" t="n">
        <v>88.34956</v>
      </c>
      <c r="AT763" s="83" t="n">
        <v>87.16758</v>
      </c>
      <c r="AV763" s="83" t="n">
        <v>73.79989999999999</v>
      </c>
      <c r="AZ763" s="83" t="n">
        <v>90.3785</v>
      </c>
      <c r="BA763" s="83" t="n">
        <v>72.17899</v>
      </c>
      <c r="BB763" s="83" t="n">
        <v>88.63561</v>
      </c>
      <c r="BC763" s="83" t="n">
        <v>86.13354</v>
      </c>
      <c r="BD763" s="83" t="n">
        <v>85.65028</v>
      </c>
    </row>
    <row r="764">
      <c r="A764" s="83" t="inlineStr">
        <is>
          <t>2014-11</t>
        </is>
      </c>
      <c r="B764" s="22" t="n">
        <v>41944</v>
      </c>
      <c r="C764" s="22" t="n"/>
      <c r="D764" s="22" t="n"/>
      <c r="E764" s="22" t="n">
        <v>41456</v>
      </c>
      <c r="F764" s="83" t="inlineStr">
        <is>
          <t>2013-07</t>
        </is>
      </c>
      <c r="G764" s="83" t="n">
        <v>87.6151</v>
      </c>
      <c r="I764" s="83" t="n">
        <v>83.34008</v>
      </c>
      <c r="J764" s="83" t="n">
        <v>85.54191</v>
      </c>
      <c r="K764" s="83" t="n">
        <v>94.55524</v>
      </c>
      <c r="L764" s="83" t="n">
        <v>82.21691</v>
      </c>
      <c r="M764" s="83" t="n">
        <v>79.37891</v>
      </c>
      <c r="N764" s="83" t="n">
        <v>81.94011999999999</v>
      </c>
      <c r="O764" s="83" t="n">
        <v>82.65045000000001</v>
      </c>
      <c r="P764" s="83" t="n">
        <v>88.12766000000001</v>
      </c>
      <c r="R764" s="83" t="n">
        <v>74.053</v>
      </c>
      <c r="S764" s="83" t="n">
        <v>92.82501999999999</v>
      </c>
      <c r="AA764" s="83" t="n">
        <v>101.5278</v>
      </c>
      <c r="AC764" s="83" t="n">
        <v>91.8449</v>
      </c>
      <c r="AD764" s="83" t="n">
        <v>79.54201</v>
      </c>
      <c r="AE764" s="83" t="n">
        <v>80.4289</v>
      </c>
      <c r="AG764" s="83" t="n">
        <v>85.92254</v>
      </c>
      <c r="AH764" s="83" t="n">
        <v>84.37827</v>
      </c>
      <c r="AJ764" s="83" t="n">
        <v>94.67386999999999</v>
      </c>
      <c r="AK764" s="83" t="n">
        <v>85.58819</v>
      </c>
      <c r="AO764" s="83" t="n">
        <v>82.01170999999999</v>
      </c>
      <c r="AQ764" s="83" t="n">
        <v>90.96917999999999</v>
      </c>
      <c r="AR764" s="83" t="n">
        <v>88.76483</v>
      </c>
      <c r="AT764" s="83" t="n">
        <v>87.53129</v>
      </c>
      <c r="AV764" s="83" t="n">
        <v>75.1615</v>
      </c>
      <c r="AZ764" s="83" t="n">
        <v>90.55286</v>
      </c>
      <c r="BA764" s="83" t="n">
        <v>73.48547000000001</v>
      </c>
      <c r="BB764" s="83" t="n">
        <v>89.10098000000001</v>
      </c>
      <c r="BC764" s="83" t="n">
        <v>86.37602</v>
      </c>
      <c r="BD764" s="83" t="n">
        <v>86.14455</v>
      </c>
    </row>
    <row r="765">
      <c r="A765" s="83" t="inlineStr">
        <is>
          <t>2014-12</t>
        </is>
      </c>
      <c r="B765" s="22" t="n">
        <v>41974</v>
      </c>
      <c r="C765" s="22" t="n"/>
      <c r="D765" s="22" t="n"/>
      <c r="E765" s="22" t="n">
        <v>41487</v>
      </c>
      <c r="F765" s="83" t="inlineStr">
        <is>
          <t>2013-08</t>
        </is>
      </c>
      <c r="G765" s="83" t="n">
        <v>87.77481</v>
      </c>
      <c r="I765" s="83" t="n">
        <v>83.66907</v>
      </c>
      <c r="J765" s="83" t="n">
        <v>86.45112</v>
      </c>
      <c r="K765" s="83" t="n">
        <v>95.17549</v>
      </c>
      <c r="L765" s="83" t="n">
        <v>83.21844</v>
      </c>
      <c r="M765" s="83" t="n">
        <v>80.2504</v>
      </c>
      <c r="N765" s="83" t="n">
        <v>82.78213</v>
      </c>
      <c r="O765" s="83" t="n">
        <v>82.93084</v>
      </c>
      <c r="P765" s="83" t="n">
        <v>88.57378</v>
      </c>
      <c r="R765" s="83" t="n">
        <v>73.55525</v>
      </c>
      <c r="S765" s="83" t="n">
        <v>92.9926</v>
      </c>
      <c r="AA765" s="83" t="n">
        <v>101.8516</v>
      </c>
      <c r="AC765" s="83" t="n">
        <v>91.52231</v>
      </c>
      <c r="AD765" s="83" t="n">
        <v>80.85387</v>
      </c>
      <c r="AE765" s="83" t="n">
        <v>80.67558</v>
      </c>
      <c r="AG765" s="83" t="n">
        <v>86.41982</v>
      </c>
      <c r="AH765" s="83" t="n">
        <v>84.85549</v>
      </c>
      <c r="AJ765" s="83" t="n">
        <v>94.90021</v>
      </c>
      <c r="AK765" s="83" t="n">
        <v>86.11642000000001</v>
      </c>
      <c r="AO765" s="83" t="n">
        <v>82.7675</v>
      </c>
      <c r="AQ765" s="83" t="n">
        <v>92.02674</v>
      </c>
      <c r="AR765" s="83" t="n">
        <v>89.28497</v>
      </c>
      <c r="AT765" s="83" t="n">
        <v>87.72041</v>
      </c>
      <c r="AV765" s="83" t="n">
        <v>76.76627000000001</v>
      </c>
      <c r="AZ765" s="83" t="n">
        <v>90.44996</v>
      </c>
      <c r="BA765" s="83" t="n">
        <v>75.06107</v>
      </c>
      <c r="BB765" s="83" t="n">
        <v>89.58713</v>
      </c>
      <c r="BC765" s="83" t="n">
        <v>86.61262000000001</v>
      </c>
      <c r="BD765" s="83" t="n">
        <v>87.089</v>
      </c>
    </row>
    <row r="766">
      <c r="A766" s="83" t="inlineStr">
        <is>
          <t>2015-01</t>
        </is>
      </c>
      <c r="B766" s="22" t="n">
        <v>42005</v>
      </c>
      <c r="C766" s="22" t="n"/>
      <c r="D766" s="22" t="n"/>
      <c r="E766" s="22" t="n">
        <v>41518</v>
      </c>
      <c r="F766" s="83" t="inlineStr">
        <is>
          <t>2013-09</t>
        </is>
      </c>
      <c r="G766" s="83" t="n">
        <v>88.12504</v>
      </c>
      <c r="I766" s="83" t="n">
        <v>83.94596</v>
      </c>
      <c r="J766" s="83" t="n">
        <v>87.22396000000001</v>
      </c>
      <c r="K766" s="83" t="n">
        <v>95.43082</v>
      </c>
      <c r="L766" s="83" t="n">
        <v>84.0967</v>
      </c>
      <c r="M766" s="83" t="n">
        <v>81.22604</v>
      </c>
      <c r="N766" s="83" t="n">
        <v>83.47248999999999</v>
      </c>
      <c r="O766" s="83" t="n">
        <v>83.54313999999999</v>
      </c>
      <c r="P766" s="83" t="n">
        <v>88.36441000000001</v>
      </c>
      <c r="R766" s="83" t="n">
        <v>77.86044</v>
      </c>
      <c r="S766" s="83" t="n">
        <v>93.0193</v>
      </c>
      <c r="AA766" s="83" t="n">
        <v>101.5615</v>
      </c>
      <c r="AC766" s="83" t="n">
        <v>91.43996</v>
      </c>
      <c r="AD766" s="83" t="n">
        <v>81.60601</v>
      </c>
      <c r="AE766" s="83" t="n">
        <v>81.55840999999999</v>
      </c>
      <c r="AG766" s="83" t="n">
        <v>86.92628000000001</v>
      </c>
      <c r="AH766" s="83" t="n">
        <v>85.57011</v>
      </c>
      <c r="AJ766" s="83" t="n">
        <v>95.15243</v>
      </c>
      <c r="AK766" s="83" t="n">
        <v>86.53216</v>
      </c>
      <c r="AO766" s="83" t="n">
        <v>83.76900999999999</v>
      </c>
      <c r="AQ766" s="83" t="n">
        <v>92.12748999999999</v>
      </c>
      <c r="AR766" s="83" t="n">
        <v>89.76245</v>
      </c>
      <c r="AT766" s="83" t="n">
        <v>87.77283</v>
      </c>
      <c r="AV766" s="83" t="n">
        <v>77.49724999999999</v>
      </c>
      <c r="AZ766" s="83" t="n">
        <v>90.36704</v>
      </c>
      <c r="BA766" s="83" t="n">
        <v>76.37061</v>
      </c>
      <c r="BB766" s="83" t="n">
        <v>90.02092</v>
      </c>
      <c r="BC766" s="83" t="n">
        <v>86.9868</v>
      </c>
      <c r="BD766" s="83" t="n">
        <v>87.83314</v>
      </c>
    </row>
    <row r="767">
      <c r="A767" s="83" t="inlineStr">
        <is>
          <t>2015-02</t>
        </is>
      </c>
      <c r="B767" s="22" t="n">
        <v>42036</v>
      </c>
      <c r="C767" s="22" t="n"/>
      <c r="D767" s="22" t="n"/>
      <c r="E767" s="22" t="n">
        <v>41548</v>
      </c>
      <c r="F767" s="83" t="inlineStr">
        <is>
          <t>2013-10</t>
        </is>
      </c>
      <c r="G767" s="83" t="n">
        <v>88.76385000000001</v>
      </c>
      <c r="I767" s="83" t="n">
        <v>84.55782000000001</v>
      </c>
      <c r="J767" s="83" t="n">
        <v>88.03165</v>
      </c>
      <c r="K767" s="83" t="n">
        <v>95.53333000000001</v>
      </c>
      <c r="L767" s="83" t="n">
        <v>84.39360000000001</v>
      </c>
      <c r="M767" s="83" t="n">
        <v>82.10634</v>
      </c>
      <c r="N767" s="83" t="n">
        <v>84.33882</v>
      </c>
      <c r="O767" s="83" t="n">
        <v>84.45554</v>
      </c>
      <c r="P767" s="83" t="n">
        <v>88.59641999999999</v>
      </c>
      <c r="R767" s="83" t="n">
        <v>82.66768999999999</v>
      </c>
      <c r="S767" s="83" t="n">
        <v>92.90276</v>
      </c>
      <c r="AA767" s="83" t="n">
        <v>101.1757</v>
      </c>
      <c r="AC767" s="83" t="n">
        <v>91.66325999999999</v>
      </c>
      <c r="AD767" s="83" t="n">
        <v>82.41486</v>
      </c>
      <c r="AE767" s="83" t="n">
        <v>82.46393</v>
      </c>
      <c r="AG767" s="83" t="n">
        <v>87.39869</v>
      </c>
      <c r="AH767" s="83" t="n">
        <v>86.15391</v>
      </c>
      <c r="AJ767" s="83" t="n">
        <v>95.41334000000001</v>
      </c>
      <c r="AK767" s="83" t="n">
        <v>86.90201</v>
      </c>
      <c r="AO767" s="83" t="n">
        <v>84.73560000000001</v>
      </c>
      <c r="AQ767" s="83" t="n">
        <v>91.76971</v>
      </c>
      <c r="AR767" s="83" t="n">
        <v>90.45368000000001</v>
      </c>
      <c r="AT767" s="83" t="n">
        <v>87.96783000000001</v>
      </c>
      <c r="AV767" s="83" t="n">
        <v>77.95406</v>
      </c>
      <c r="AZ767" s="83" t="n">
        <v>90.55736</v>
      </c>
      <c r="BA767" s="83" t="n">
        <v>77.3801</v>
      </c>
      <c r="BB767" s="83" t="n">
        <v>90.95665</v>
      </c>
      <c r="BC767" s="83" t="n">
        <v>87.19208999999999</v>
      </c>
      <c r="BD767" s="83" t="n">
        <v>88.28783</v>
      </c>
    </row>
    <row r="768">
      <c r="A768" s="83" t="inlineStr">
        <is>
          <t>2015-03</t>
        </is>
      </c>
      <c r="B768" s="22" t="n">
        <v>42064</v>
      </c>
      <c r="C768" s="22" t="n"/>
      <c r="D768" s="22" t="n"/>
      <c r="E768" s="22" t="n">
        <v>41579</v>
      </c>
      <c r="F768" s="83" t="inlineStr">
        <is>
          <t>2013-11</t>
        </is>
      </c>
      <c r="G768" s="83" t="n">
        <v>89.36623</v>
      </c>
      <c r="I768" s="83" t="n">
        <v>85.05544999999999</v>
      </c>
      <c r="J768" s="83" t="n">
        <v>89.04751</v>
      </c>
      <c r="K768" s="83" t="n">
        <v>95.82980999999999</v>
      </c>
      <c r="L768" s="83" t="n">
        <v>84.63324</v>
      </c>
      <c r="M768" s="83" t="n">
        <v>82.83911000000001</v>
      </c>
      <c r="N768" s="83" t="n">
        <v>85.37379</v>
      </c>
      <c r="O768" s="83" t="n">
        <v>84.6387</v>
      </c>
      <c r="P768" s="83" t="n">
        <v>89.44503</v>
      </c>
      <c r="R768" s="83" t="n">
        <v>82.59157999999999</v>
      </c>
      <c r="S768" s="83" t="n">
        <v>93.09811000000001</v>
      </c>
      <c r="AA768" s="83" t="n">
        <v>101.2208</v>
      </c>
      <c r="AC768" s="83" t="n">
        <v>92.0005</v>
      </c>
      <c r="AD768" s="83" t="n">
        <v>82.90501</v>
      </c>
      <c r="AE768" s="83" t="n">
        <v>83.69793</v>
      </c>
      <c r="AG768" s="83" t="n">
        <v>87.86087999999999</v>
      </c>
      <c r="AH768" s="83" t="n">
        <v>86.65613</v>
      </c>
      <c r="AJ768" s="83" t="n">
        <v>95.57051</v>
      </c>
      <c r="AK768" s="83" t="n">
        <v>87.34517</v>
      </c>
      <c r="AO768" s="83" t="n">
        <v>85.88629</v>
      </c>
      <c r="AQ768" s="83" t="n">
        <v>92.37908</v>
      </c>
      <c r="AR768" s="83" t="n">
        <v>90.76778</v>
      </c>
      <c r="AT768" s="83" t="n">
        <v>88.1614</v>
      </c>
      <c r="AV768" s="83" t="n">
        <v>77.73412</v>
      </c>
      <c r="AZ768" s="83" t="n">
        <v>91.33378</v>
      </c>
      <c r="BA768" s="83" t="n">
        <v>78.54979</v>
      </c>
      <c r="BB768" s="83" t="n">
        <v>91.02146999999999</v>
      </c>
      <c r="BC768" s="83" t="n">
        <v>87.41492</v>
      </c>
      <c r="BD768" s="83" t="n">
        <v>88.60605</v>
      </c>
    </row>
    <row r="769">
      <c r="A769" s="83" t="inlineStr">
        <is>
          <t>2015-04</t>
        </is>
      </c>
      <c r="B769" s="22" t="n">
        <v>42095</v>
      </c>
      <c r="C769" s="22" t="n"/>
      <c r="D769" s="22" t="n"/>
      <c r="E769" s="22" t="n">
        <v>41609</v>
      </c>
      <c r="F769" s="83" t="inlineStr">
        <is>
          <t>2013-12</t>
        </is>
      </c>
      <c r="G769" s="83" t="n">
        <v>90.03587</v>
      </c>
      <c r="I769" s="83" t="n">
        <v>85.55074</v>
      </c>
      <c r="J769" s="83" t="n">
        <v>89.82375999999999</v>
      </c>
      <c r="K769" s="83" t="n">
        <v>96.06032999999999</v>
      </c>
      <c r="L769" s="83" t="n">
        <v>85.12181</v>
      </c>
      <c r="M769" s="83" t="n">
        <v>83.73379</v>
      </c>
      <c r="N769" s="83" t="n">
        <v>85.91459999999999</v>
      </c>
      <c r="O769" s="83" t="n">
        <v>85.27171</v>
      </c>
      <c r="P769" s="83" t="n">
        <v>90.47642999999999</v>
      </c>
      <c r="R769" s="83" t="n">
        <v>82.65706</v>
      </c>
      <c r="S769" s="83" t="n">
        <v>93.06037999999999</v>
      </c>
      <c r="AA769" s="83" t="n">
        <v>100.6244</v>
      </c>
      <c r="AC769" s="83" t="n">
        <v>92.79881</v>
      </c>
      <c r="AD769" s="83" t="n">
        <v>83.56205</v>
      </c>
      <c r="AE769" s="83" t="n">
        <v>84.97423999999999</v>
      </c>
      <c r="AG769" s="83" t="n">
        <v>88.25217000000001</v>
      </c>
      <c r="AH769" s="83" t="n">
        <v>87.22792</v>
      </c>
      <c r="AJ769" s="83" t="n">
        <v>95.88966000000001</v>
      </c>
      <c r="AK769" s="83" t="n">
        <v>87.97889000000001</v>
      </c>
      <c r="AO769" s="83" t="n">
        <v>86.61466</v>
      </c>
      <c r="AQ769" s="83" t="n">
        <v>93.53426</v>
      </c>
      <c r="AR769" s="83" t="n">
        <v>91.26376</v>
      </c>
      <c r="AT769" s="83" t="n">
        <v>88.4218</v>
      </c>
      <c r="AV769" s="83" t="n">
        <v>75.78319999999999</v>
      </c>
      <c r="AZ769" s="83" t="n">
        <v>91.93442</v>
      </c>
      <c r="BA769" s="83" t="n">
        <v>79.92269</v>
      </c>
      <c r="BB769" s="83" t="n">
        <v>91.5367</v>
      </c>
      <c r="BC769" s="83" t="n">
        <v>87.87084</v>
      </c>
      <c r="BD769" s="83" t="n">
        <v>88.91001</v>
      </c>
    </row>
    <row r="770">
      <c r="A770" s="83" t="inlineStr">
        <is>
          <t>2015-05</t>
        </is>
      </c>
      <c r="B770" s="22" t="n">
        <v>42125</v>
      </c>
      <c r="C770" s="22" t="n"/>
      <c r="D770" s="22" t="n"/>
      <c r="E770" s="22" t="n">
        <v>41640</v>
      </c>
      <c r="F770" s="83" t="inlineStr">
        <is>
          <t>2014-01</t>
        </is>
      </c>
      <c r="G770" s="83" t="n">
        <v>90.65786</v>
      </c>
      <c r="I770" s="83" t="n">
        <v>86.22359</v>
      </c>
      <c r="J770" s="83" t="n">
        <v>91.0067</v>
      </c>
      <c r="K770" s="83" t="n">
        <v>96.42923999999999</v>
      </c>
      <c r="L770" s="83" t="n">
        <v>85.41201</v>
      </c>
      <c r="M770" s="83" t="n">
        <v>84.70180999999999</v>
      </c>
      <c r="N770" s="83" t="n">
        <v>86.67462999999999</v>
      </c>
      <c r="O770" s="83" t="n">
        <v>86.62048</v>
      </c>
      <c r="P770" s="83" t="n">
        <v>90.74261</v>
      </c>
      <c r="R770" s="83" t="n">
        <v>81.28873</v>
      </c>
      <c r="S770" s="83" t="n">
        <v>92.90446</v>
      </c>
      <c r="AA770" s="83" t="n">
        <v>100.6976</v>
      </c>
      <c r="AC770" s="83" t="n">
        <v>93.45744999999999</v>
      </c>
      <c r="AD770" s="83" t="n">
        <v>83.96827</v>
      </c>
      <c r="AE770" s="83" t="n">
        <v>85.74196999999999</v>
      </c>
      <c r="AG770" s="83" t="n">
        <v>88.58984</v>
      </c>
      <c r="AH770" s="83" t="n">
        <v>87.86033999999999</v>
      </c>
      <c r="AJ770" s="83" t="n">
        <v>96.20341000000001</v>
      </c>
      <c r="AK770" s="83" t="n">
        <v>88.64314</v>
      </c>
      <c r="AO770" s="83" t="n">
        <v>86.47068</v>
      </c>
      <c r="AQ770" s="83" t="n">
        <v>94.42267</v>
      </c>
      <c r="AR770" s="83" t="n">
        <v>91.72499000000001</v>
      </c>
      <c r="AT770" s="83" t="n">
        <v>88.78416</v>
      </c>
      <c r="AV770" s="83" t="n">
        <v>77.90222</v>
      </c>
      <c r="AZ770" s="83" t="n">
        <v>91.77261</v>
      </c>
      <c r="BA770" s="83" t="n">
        <v>81.72488</v>
      </c>
      <c r="BB770" s="83" t="n">
        <v>91.95719</v>
      </c>
      <c r="BC770" s="83" t="n">
        <v>88.57174000000001</v>
      </c>
      <c r="BD770" s="83" t="n">
        <v>89.52772</v>
      </c>
    </row>
    <row r="771">
      <c r="A771" s="83" t="inlineStr">
        <is>
          <t>2015-06</t>
        </is>
      </c>
      <c r="B771" s="22" t="n">
        <v>42156</v>
      </c>
      <c r="C771" s="22" t="n"/>
      <c r="D771" s="22" t="n"/>
      <c r="E771" s="22" t="n">
        <v>41671</v>
      </c>
      <c r="F771" s="83" t="inlineStr">
        <is>
          <t>2014-02</t>
        </is>
      </c>
      <c r="G771" s="83" t="n">
        <v>91.16499</v>
      </c>
      <c r="I771" s="83" t="n">
        <v>86.81353</v>
      </c>
      <c r="J771" s="83" t="n">
        <v>90.68711999999999</v>
      </c>
      <c r="K771" s="83" t="n">
        <v>97.05571</v>
      </c>
      <c r="L771" s="83" t="n">
        <v>86.35628</v>
      </c>
      <c r="M771" s="83" t="n">
        <v>85.60117</v>
      </c>
      <c r="N771" s="83" t="n">
        <v>88.01900000000001</v>
      </c>
      <c r="O771" s="83" t="n">
        <v>89.51452</v>
      </c>
      <c r="P771" s="83" t="n">
        <v>91.01698</v>
      </c>
      <c r="R771" s="83" t="n">
        <v>80.71889</v>
      </c>
      <c r="S771" s="83" t="n">
        <v>92.97651999999999</v>
      </c>
      <c r="AA771" s="83" t="n">
        <v>101.8283</v>
      </c>
      <c r="AC771" s="83" t="n">
        <v>93.78514</v>
      </c>
      <c r="AD771" s="83" t="n">
        <v>84.23650000000001</v>
      </c>
      <c r="AE771" s="83" t="n">
        <v>86.46075</v>
      </c>
      <c r="AG771" s="83" t="n">
        <v>88.95541</v>
      </c>
      <c r="AH771" s="83" t="n">
        <v>88.50366</v>
      </c>
      <c r="AJ771" s="83" t="n">
        <v>96.26797999999999</v>
      </c>
      <c r="AK771" s="83" t="n">
        <v>89.11211</v>
      </c>
      <c r="AO771" s="83" t="n">
        <v>87.24011</v>
      </c>
      <c r="AQ771" s="83" t="n">
        <v>94.71656</v>
      </c>
      <c r="AR771" s="83" t="n">
        <v>92.30206</v>
      </c>
      <c r="AT771" s="83" t="n">
        <v>89.10265</v>
      </c>
      <c r="AV771" s="83" t="n">
        <v>81.53242</v>
      </c>
      <c r="AZ771" s="83" t="n">
        <v>91.89433</v>
      </c>
      <c r="BA771" s="83" t="n">
        <v>82.76344</v>
      </c>
      <c r="BB771" s="83" t="n">
        <v>92.64776999999999</v>
      </c>
      <c r="BC771" s="83" t="n">
        <v>89.1525</v>
      </c>
      <c r="BD771" s="83" t="n">
        <v>90.47889000000001</v>
      </c>
    </row>
    <row r="772">
      <c r="A772" s="83" t="inlineStr">
        <is>
          <t>2015-07</t>
        </is>
      </c>
      <c r="B772" s="22" t="n">
        <v>42186</v>
      </c>
      <c r="C772" s="22" t="n"/>
      <c r="D772" s="22" t="n"/>
      <c r="E772" s="22" t="n">
        <v>41699</v>
      </c>
      <c r="F772" s="83" t="inlineStr">
        <is>
          <t>2014-03</t>
        </is>
      </c>
      <c r="G772" s="83" t="n">
        <v>91.57125000000001</v>
      </c>
      <c r="I772" s="83" t="n">
        <v>87.16458</v>
      </c>
      <c r="J772" s="83" t="n">
        <v>91.13696</v>
      </c>
      <c r="K772" s="83" t="n">
        <v>97.67095999999999</v>
      </c>
      <c r="L772" s="83" t="n">
        <v>87.61958</v>
      </c>
      <c r="M772" s="83" t="n">
        <v>86.62496</v>
      </c>
      <c r="N772" s="83" t="n">
        <v>88.86264</v>
      </c>
      <c r="O772" s="83" t="n">
        <v>91.77843</v>
      </c>
      <c r="P772" s="83" t="n">
        <v>91.57401</v>
      </c>
      <c r="R772" s="83" t="n">
        <v>81.36911000000001</v>
      </c>
      <c r="S772" s="83" t="n">
        <v>93.10048999999999</v>
      </c>
      <c r="AA772" s="83" t="n">
        <v>101.311</v>
      </c>
      <c r="AC772" s="83" t="n">
        <v>94.08562000000001</v>
      </c>
      <c r="AD772" s="83" t="n">
        <v>84.51299</v>
      </c>
      <c r="AE772" s="83" t="n">
        <v>86.9819</v>
      </c>
      <c r="AG772" s="83" t="n">
        <v>89.31674</v>
      </c>
      <c r="AH772" s="83" t="n">
        <v>89.40797000000001</v>
      </c>
      <c r="AJ772" s="83" t="n">
        <v>96.33376</v>
      </c>
      <c r="AK772" s="83" t="n">
        <v>89.50266000000001</v>
      </c>
      <c r="AO772" s="83" t="n">
        <v>88.34956</v>
      </c>
      <c r="AQ772" s="83" t="n">
        <v>95.01837</v>
      </c>
      <c r="AR772" s="83" t="n">
        <v>92.63024</v>
      </c>
      <c r="AT772" s="83" t="n">
        <v>89.83784</v>
      </c>
      <c r="AV772" s="83" t="n">
        <v>82.45354</v>
      </c>
      <c r="AZ772" s="83" t="n">
        <v>92.26564999999999</v>
      </c>
      <c r="BA772" s="83" t="n">
        <v>82.78653</v>
      </c>
      <c r="BB772" s="83" t="n">
        <v>92.99348000000001</v>
      </c>
      <c r="BC772" s="83" t="n">
        <v>90.10007</v>
      </c>
      <c r="BD772" s="83" t="n">
        <v>90.5099</v>
      </c>
    </row>
    <row r="773">
      <c r="A773" s="83" t="inlineStr">
        <is>
          <t>2015-08</t>
        </is>
      </c>
      <c r="B773" s="22" t="n">
        <v>42217</v>
      </c>
      <c r="C773" s="22" t="n"/>
      <c r="D773" s="22" t="n"/>
      <c r="E773" s="22" t="n">
        <v>41730</v>
      </c>
      <c r="F773" s="83" t="inlineStr">
        <is>
          <t>2014-04</t>
        </is>
      </c>
      <c r="G773" s="83" t="n">
        <v>92.05034999999999</v>
      </c>
      <c r="I773" s="83" t="n">
        <v>87.76488000000001</v>
      </c>
      <c r="J773" s="83" t="n">
        <v>91.5864</v>
      </c>
      <c r="K773" s="83" t="n">
        <v>98.00699</v>
      </c>
      <c r="L773" s="83" t="n">
        <v>88.20435000000001</v>
      </c>
      <c r="M773" s="83" t="n">
        <v>87.81058</v>
      </c>
      <c r="N773" s="83" t="n">
        <v>89.36530999999999</v>
      </c>
      <c r="O773" s="83" t="n">
        <v>92.37145</v>
      </c>
      <c r="P773" s="83" t="n">
        <v>92.03448</v>
      </c>
      <c r="R773" s="83" t="n">
        <v>81.71879</v>
      </c>
      <c r="S773" s="83" t="n">
        <v>93.26804</v>
      </c>
      <c r="AA773" s="83" t="n">
        <v>100.2861</v>
      </c>
      <c r="AC773" s="83" t="n">
        <v>94.7812</v>
      </c>
      <c r="AD773" s="83" t="n">
        <v>85.63209999999999</v>
      </c>
      <c r="AE773" s="83" t="n">
        <v>87.79392</v>
      </c>
      <c r="AG773" s="83" t="n">
        <v>89.7916</v>
      </c>
      <c r="AH773" s="83" t="n">
        <v>90.19764000000001</v>
      </c>
      <c r="AJ773" s="83" t="n">
        <v>96.49309</v>
      </c>
      <c r="AK773" s="83" t="n">
        <v>89.97865</v>
      </c>
      <c r="AO773" s="83" t="n">
        <v>88.94489</v>
      </c>
      <c r="AQ773" s="83" t="n">
        <v>95.48180000000001</v>
      </c>
      <c r="AR773" s="83" t="n">
        <v>92.96836</v>
      </c>
      <c r="AT773" s="83" t="n">
        <v>90.71773</v>
      </c>
      <c r="AV773" s="83" t="n">
        <v>83.10362000000001</v>
      </c>
      <c r="AZ773" s="83" t="n">
        <v>92.61757</v>
      </c>
      <c r="BA773" s="83" t="n">
        <v>83.10655</v>
      </c>
      <c r="BB773" s="83" t="n">
        <v>93.46051</v>
      </c>
      <c r="BC773" s="83" t="n">
        <v>91.07053000000001</v>
      </c>
      <c r="BD773" s="83" t="n">
        <v>90.48524999999999</v>
      </c>
    </row>
    <row r="774">
      <c r="A774" s="83" t="inlineStr">
        <is>
          <t>2015-09</t>
        </is>
      </c>
      <c r="B774" s="22" t="n">
        <v>42248</v>
      </c>
      <c r="C774" s="22" t="n"/>
      <c r="D774" s="22" t="n"/>
      <c r="E774" s="22" t="n">
        <v>41760</v>
      </c>
      <c r="F774" s="83" t="inlineStr">
        <is>
          <t>2014-05</t>
        </is>
      </c>
      <c r="G774" s="83" t="n">
        <v>92.7396</v>
      </c>
      <c r="I774" s="83" t="n">
        <v>88.74508</v>
      </c>
      <c r="J774" s="83" t="n">
        <v>91.94298999999999</v>
      </c>
      <c r="K774" s="83" t="n">
        <v>98.08826000000001</v>
      </c>
      <c r="L774" s="83" t="n">
        <v>88.69627</v>
      </c>
      <c r="M774" s="83" t="n">
        <v>88.80240000000001</v>
      </c>
      <c r="N774" s="83" t="n">
        <v>89.89915999999999</v>
      </c>
      <c r="O774" s="83" t="n">
        <v>93.31026</v>
      </c>
      <c r="P774" s="83" t="n">
        <v>92.61409</v>
      </c>
      <c r="R774" s="83" t="n">
        <v>82.45905999999999</v>
      </c>
      <c r="S774" s="83" t="n">
        <v>93.70287</v>
      </c>
      <c r="AA774" s="83" t="n">
        <v>100.1232</v>
      </c>
      <c r="AC774" s="83" t="n">
        <v>95.31207000000001</v>
      </c>
      <c r="AD774" s="83" t="n">
        <v>87.20689</v>
      </c>
      <c r="AE774" s="83" t="n">
        <v>88.67983</v>
      </c>
      <c r="AG774" s="83" t="n">
        <v>90.50658</v>
      </c>
      <c r="AH774" s="83" t="n">
        <v>90.84147</v>
      </c>
      <c r="AJ774" s="83" t="n">
        <v>96.5985</v>
      </c>
      <c r="AK774" s="83" t="n">
        <v>90.44122</v>
      </c>
      <c r="AO774" s="83" t="n">
        <v>89.95129</v>
      </c>
      <c r="AQ774" s="83" t="n">
        <v>95.96885</v>
      </c>
      <c r="AR774" s="83" t="n">
        <v>93.41244</v>
      </c>
      <c r="AT774" s="83" t="n">
        <v>91.31384</v>
      </c>
      <c r="AV774" s="83" t="n">
        <v>83.05483</v>
      </c>
      <c r="AZ774" s="83" t="n">
        <v>93.25601</v>
      </c>
      <c r="BA774" s="83" t="n">
        <v>83.08673</v>
      </c>
      <c r="BB774" s="83" t="n">
        <v>94.02809000000001</v>
      </c>
      <c r="BC774" s="83" t="n">
        <v>91.71035999999999</v>
      </c>
      <c r="BD774" s="83" t="n">
        <v>91.16985</v>
      </c>
    </row>
    <row r="775">
      <c r="A775" s="83" t="inlineStr">
        <is>
          <t>2015-10</t>
        </is>
      </c>
      <c r="B775" s="22" t="n">
        <v>42278</v>
      </c>
      <c r="C775" s="22" t="n"/>
      <c r="D775" s="22" t="n"/>
      <c r="E775" s="22" t="n">
        <v>41791</v>
      </c>
      <c r="F775" s="83" t="inlineStr">
        <is>
          <t>2014-06</t>
        </is>
      </c>
      <c r="G775" s="83" t="n">
        <v>93.30835999999999</v>
      </c>
      <c r="I775" s="83" t="n">
        <v>89.59762000000001</v>
      </c>
      <c r="J775" s="83" t="n">
        <v>92.43746</v>
      </c>
      <c r="K775" s="83" t="n">
        <v>98.06846</v>
      </c>
      <c r="L775" s="83" t="n">
        <v>89.26031999999999</v>
      </c>
      <c r="M775" s="83" t="n">
        <v>89.93048</v>
      </c>
      <c r="N775" s="83" t="n">
        <v>90.42318</v>
      </c>
      <c r="O775" s="83" t="n">
        <v>93.38697999999999</v>
      </c>
      <c r="P775" s="83" t="n">
        <v>92.52894999999999</v>
      </c>
      <c r="R775" s="83" t="n">
        <v>83.02521</v>
      </c>
      <c r="S775" s="83" t="n">
        <v>94.11113</v>
      </c>
      <c r="AA775" s="83" t="n">
        <v>99.85361</v>
      </c>
      <c r="AC775" s="83" t="n">
        <v>95.13916999999999</v>
      </c>
      <c r="AD775" s="83" t="n">
        <v>88.18221</v>
      </c>
      <c r="AE775" s="83" t="n">
        <v>89.3116</v>
      </c>
      <c r="AG775" s="83" t="n">
        <v>91.22573</v>
      </c>
      <c r="AH775" s="83" t="n">
        <v>91.70723</v>
      </c>
      <c r="AJ775" s="83" t="n">
        <v>96.82079</v>
      </c>
      <c r="AK775" s="83" t="n">
        <v>91.08213000000001</v>
      </c>
      <c r="AO775" s="83" t="n">
        <v>91.32165000000001</v>
      </c>
      <c r="AQ775" s="83" t="n">
        <v>96.6824</v>
      </c>
      <c r="AR775" s="83" t="n">
        <v>93.84533999999999</v>
      </c>
      <c r="AT775" s="83" t="n">
        <v>91.75373</v>
      </c>
      <c r="AV775" s="83" t="n">
        <v>83.30916999999999</v>
      </c>
      <c r="AZ775" s="83" t="n">
        <v>93.95329</v>
      </c>
      <c r="BA775" s="83" t="n">
        <v>83.65872</v>
      </c>
      <c r="BB775" s="83" t="n">
        <v>94.46272</v>
      </c>
      <c r="BC775" s="83" t="n">
        <v>92.30083</v>
      </c>
      <c r="BD775" s="83" t="n">
        <v>91.68024</v>
      </c>
    </row>
    <row r="776">
      <c r="A776" s="83" t="inlineStr">
        <is>
          <t>2015-11</t>
        </is>
      </c>
      <c r="B776" s="22" t="n">
        <v>42309</v>
      </c>
      <c r="C776" s="22" t="n"/>
      <c r="D776" s="22" t="n"/>
      <c r="E776" s="22" t="n">
        <v>41821</v>
      </c>
      <c r="F776" s="83" t="inlineStr">
        <is>
          <t>2014-07</t>
        </is>
      </c>
      <c r="G776" s="83" t="n">
        <v>93.86032</v>
      </c>
      <c r="I776" s="83" t="n">
        <v>90.70577</v>
      </c>
      <c r="J776" s="83" t="n">
        <v>93.1981</v>
      </c>
      <c r="K776" s="83" t="n">
        <v>98.09275</v>
      </c>
      <c r="L776" s="83" t="n">
        <v>89.76618999999999</v>
      </c>
      <c r="M776" s="83" t="n">
        <v>90.57265</v>
      </c>
      <c r="N776" s="83" t="n">
        <v>91.18337</v>
      </c>
      <c r="O776" s="83" t="n">
        <v>93.87313</v>
      </c>
      <c r="P776" s="83" t="n">
        <v>92.55727</v>
      </c>
      <c r="R776" s="83" t="n">
        <v>83.90461999999999</v>
      </c>
      <c r="S776" s="83" t="n">
        <v>94.33298000000001</v>
      </c>
      <c r="AA776" s="83" t="n">
        <v>99.62272</v>
      </c>
      <c r="AC776" s="83" t="n">
        <v>95.6155</v>
      </c>
      <c r="AD776" s="83" t="n">
        <v>89.13126</v>
      </c>
      <c r="AE776" s="83" t="n">
        <v>90.13514000000001</v>
      </c>
      <c r="AG776" s="83" t="n">
        <v>91.77403</v>
      </c>
      <c r="AH776" s="83" t="n">
        <v>91.93407000000001</v>
      </c>
      <c r="AJ776" s="83" t="n">
        <v>97.0093</v>
      </c>
      <c r="AK776" s="83" t="n">
        <v>91.76528</v>
      </c>
      <c r="AO776" s="83" t="n">
        <v>92.69573</v>
      </c>
      <c r="AQ776" s="83" t="n">
        <v>97.02791999999999</v>
      </c>
      <c r="AR776" s="83" t="n">
        <v>94.38567</v>
      </c>
      <c r="AT776" s="83" t="n">
        <v>92.41628</v>
      </c>
      <c r="AV776" s="83" t="n">
        <v>83.18353</v>
      </c>
      <c r="AZ776" s="83" t="n">
        <v>94.44925000000001</v>
      </c>
      <c r="BA776" s="83" t="n">
        <v>85.24516</v>
      </c>
      <c r="BB776" s="83" t="n">
        <v>94.97213000000001</v>
      </c>
      <c r="BC776" s="83" t="n">
        <v>92.3349</v>
      </c>
      <c r="BD776" s="83" t="n">
        <v>92.01904</v>
      </c>
    </row>
    <row r="777">
      <c r="A777" s="83" t="inlineStr">
        <is>
          <t>2015-12</t>
        </is>
      </c>
      <c r="B777" s="22" t="n">
        <v>42339</v>
      </c>
      <c r="C777" s="22" t="n"/>
      <c r="D777" s="22" t="n"/>
      <c r="E777" s="22" t="n">
        <v>41852</v>
      </c>
      <c r="F777" s="83" t="inlineStr">
        <is>
          <t>2014-08</t>
        </is>
      </c>
      <c r="G777" s="83" t="n">
        <v>94.55237</v>
      </c>
      <c r="I777" s="83" t="n">
        <v>92.33466</v>
      </c>
      <c r="J777" s="83" t="n">
        <v>93.89552</v>
      </c>
      <c r="K777" s="83" t="n">
        <v>98.3747</v>
      </c>
      <c r="L777" s="83" t="n">
        <v>90.42003</v>
      </c>
      <c r="M777" s="83" t="n">
        <v>90.67023</v>
      </c>
      <c r="N777" s="83" t="n">
        <v>91.82380999999999</v>
      </c>
      <c r="O777" s="83" t="n">
        <v>95.43309000000001</v>
      </c>
      <c r="P777" s="83" t="n">
        <v>92.95208</v>
      </c>
      <c r="R777" s="83" t="n">
        <v>85.68725999999999</v>
      </c>
      <c r="S777" s="83" t="n">
        <v>94.71647</v>
      </c>
      <c r="AA777" s="83" t="n">
        <v>99.85045</v>
      </c>
      <c r="AC777" s="83" t="n">
        <v>96.47447</v>
      </c>
      <c r="AD777" s="83" t="n">
        <v>89.81149000000001</v>
      </c>
      <c r="AE777" s="83" t="n">
        <v>91.09347</v>
      </c>
      <c r="AG777" s="83" t="n">
        <v>92.29244</v>
      </c>
      <c r="AH777" s="83" t="n">
        <v>92.78932</v>
      </c>
      <c r="AJ777" s="83" t="n">
        <v>97.24056</v>
      </c>
      <c r="AK777" s="83" t="n">
        <v>92.27410999999999</v>
      </c>
      <c r="AO777" s="83" t="n">
        <v>93.50086</v>
      </c>
      <c r="AQ777" s="83" t="n">
        <v>97.71818</v>
      </c>
      <c r="AR777" s="83" t="n">
        <v>94.81057</v>
      </c>
      <c r="AT777" s="83" t="n">
        <v>93.61959</v>
      </c>
      <c r="AV777" s="83" t="n">
        <v>83.51085999999999</v>
      </c>
      <c r="AZ777" s="83" t="n">
        <v>94.50387000000001</v>
      </c>
      <c r="BA777" s="83" t="n">
        <v>86.23788999999999</v>
      </c>
      <c r="BB777" s="83" t="n">
        <v>95.21478999999999</v>
      </c>
      <c r="BC777" s="83" t="n">
        <v>92.28682999999999</v>
      </c>
      <c r="BD777" s="83" t="n">
        <v>92.56708999999999</v>
      </c>
    </row>
    <row r="778">
      <c r="A778" s="83" t="inlineStr">
        <is>
          <t>2016-01</t>
        </is>
      </c>
      <c r="B778" s="22" t="n">
        <v>42370</v>
      </c>
      <c r="C778" s="22" t="n"/>
      <c r="D778" s="22" t="n"/>
      <c r="E778" s="22" t="n">
        <v>41883</v>
      </c>
      <c r="F778" s="83" t="inlineStr">
        <is>
          <t>2014-09</t>
        </is>
      </c>
      <c r="G778" s="83" t="n">
        <v>95.26121999999999</v>
      </c>
      <c r="I778" s="83" t="n">
        <v>93.66454</v>
      </c>
      <c r="J778" s="83" t="n">
        <v>94.61201</v>
      </c>
      <c r="K778" s="83" t="n">
        <v>98.59558</v>
      </c>
      <c r="L778" s="83" t="n">
        <v>91.11212</v>
      </c>
      <c r="M778" s="83" t="n">
        <v>91.09446</v>
      </c>
      <c r="N778" s="83" t="n">
        <v>92.12461</v>
      </c>
      <c r="O778" s="83" t="n">
        <v>96.33249000000001</v>
      </c>
      <c r="P778" s="83" t="n">
        <v>93.00534</v>
      </c>
      <c r="R778" s="83" t="n">
        <v>87.39391000000001</v>
      </c>
      <c r="S778" s="83" t="n">
        <v>94.99536999999999</v>
      </c>
      <c r="AA778" s="83" t="n">
        <v>100.0724</v>
      </c>
      <c r="AC778" s="83" t="n">
        <v>96.77276000000001</v>
      </c>
      <c r="AD778" s="83" t="n">
        <v>90.96783000000001</v>
      </c>
      <c r="AE778" s="83" t="n">
        <v>91.92004</v>
      </c>
      <c r="AG778" s="83" t="n">
        <v>92.96449</v>
      </c>
      <c r="AH778" s="83" t="n">
        <v>94.11221999999999</v>
      </c>
      <c r="AJ778" s="83" t="n">
        <v>97.54858</v>
      </c>
      <c r="AK778" s="83" t="n">
        <v>93.03722</v>
      </c>
      <c r="AO778" s="83" t="n">
        <v>93.52128</v>
      </c>
      <c r="AQ778" s="83" t="n">
        <v>98.24347</v>
      </c>
      <c r="AR778" s="83" t="n">
        <v>95.21455</v>
      </c>
      <c r="AT778" s="83" t="n">
        <v>94.53576</v>
      </c>
      <c r="AV778" s="83" t="n">
        <v>84.31654</v>
      </c>
      <c r="AZ778" s="83" t="n">
        <v>94.89185000000001</v>
      </c>
      <c r="BA778" s="83" t="n">
        <v>87.46462</v>
      </c>
      <c r="BB778" s="83" t="n">
        <v>95.50066</v>
      </c>
      <c r="BC778" s="83" t="n">
        <v>93.15295</v>
      </c>
      <c r="BD778" s="83" t="n">
        <v>93.52110999999999</v>
      </c>
    </row>
    <row r="779">
      <c r="A779" s="83" t="inlineStr">
        <is>
          <t>2016-02</t>
        </is>
      </c>
      <c r="B779" s="22" t="n">
        <v>42401</v>
      </c>
      <c r="C779" s="22" t="n"/>
      <c r="D779" s="22" t="n"/>
      <c r="E779" s="22" t="n">
        <v>41913</v>
      </c>
      <c r="F779" s="83" t="inlineStr">
        <is>
          <t>2014-10</t>
        </is>
      </c>
      <c r="G779" s="83" t="n">
        <v>95.78236</v>
      </c>
      <c r="I779" s="83" t="n">
        <v>94.56451</v>
      </c>
      <c r="J779" s="83" t="n">
        <v>95.13512</v>
      </c>
      <c r="K779" s="83" t="n">
        <v>98.76485</v>
      </c>
      <c r="L779" s="83" t="n">
        <v>91.53785999999999</v>
      </c>
      <c r="M779" s="83" t="n">
        <v>91.76791</v>
      </c>
      <c r="N779" s="83" t="n">
        <v>92.74665</v>
      </c>
      <c r="O779" s="83" t="n">
        <v>96.51622999999999</v>
      </c>
      <c r="P779" s="83" t="n">
        <v>93.48757000000001</v>
      </c>
      <c r="R779" s="83" t="n">
        <v>89.22127999999999</v>
      </c>
      <c r="S779" s="83" t="n">
        <v>95.15971</v>
      </c>
      <c r="AA779" s="83" t="n">
        <v>99.7238</v>
      </c>
      <c r="AC779" s="83" t="n">
        <v>96.72254</v>
      </c>
      <c r="AD779" s="83" t="n">
        <v>92.44129</v>
      </c>
      <c r="AE779" s="83" t="n">
        <v>92.89429</v>
      </c>
      <c r="AG779" s="83" t="n">
        <v>93.79935</v>
      </c>
      <c r="AH779" s="83" t="n">
        <v>94.61805</v>
      </c>
      <c r="AJ779" s="83" t="n">
        <v>97.87739000000001</v>
      </c>
      <c r="AK779" s="83" t="n">
        <v>93.91540999999999</v>
      </c>
      <c r="AO779" s="83" t="n">
        <v>94.3237</v>
      </c>
      <c r="AQ779" s="83" t="n">
        <v>97.84849</v>
      </c>
      <c r="AR779" s="83" t="n">
        <v>95.67230000000001</v>
      </c>
      <c r="AT779" s="83" t="n">
        <v>94.79667999999999</v>
      </c>
      <c r="AV779" s="83" t="n">
        <v>85.47172999999999</v>
      </c>
      <c r="AZ779" s="83" t="n">
        <v>95.29895999999999</v>
      </c>
      <c r="BA779" s="83" t="n">
        <v>88.27893</v>
      </c>
      <c r="BB779" s="83" t="n">
        <v>95.99429000000001</v>
      </c>
      <c r="BC779" s="83" t="n">
        <v>94.0677</v>
      </c>
      <c r="BD779" s="83" t="n">
        <v>94.10825</v>
      </c>
    </row>
    <row r="780">
      <c r="A780" s="83" t="inlineStr">
        <is>
          <t>2016-03</t>
        </is>
      </c>
      <c r="B780" s="22" t="n">
        <v>42430</v>
      </c>
      <c r="C780" s="22" t="n"/>
      <c r="D780" s="22" t="n"/>
      <c r="E780" s="22" t="n">
        <v>41944</v>
      </c>
      <c r="F780" s="83" t="inlineStr">
        <is>
          <t>2014-11</t>
        </is>
      </c>
      <c r="G780" s="83" t="n">
        <v>96.07935000000001</v>
      </c>
      <c r="I780" s="83" t="n">
        <v>95.53429</v>
      </c>
      <c r="J780" s="83" t="n">
        <v>95.43169</v>
      </c>
      <c r="K780" s="83" t="n">
        <v>99.12509</v>
      </c>
      <c r="L780" s="83" t="n">
        <v>92.36227</v>
      </c>
      <c r="M780" s="83" t="n">
        <v>92.59141</v>
      </c>
      <c r="N780" s="83" t="n">
        <v>93.48111</v>
      </c>
      <c r="O780" s="83" t="n">
        <v>97.21362999999999</v>
      </c>
      <c r="P780" s="83" t="n">
        <v>94.46511</v>
      </c>
      <c r="R780" s="83" t="n">
        <v>91.31644</v>
      </c>
      <c r="S780" s="83" t="n">
        <v>95.72165</v>
      </c>
      <c r="AA780" s="83" t="n">
        <v>99.57805</v>
      </c>
      <c r="AC780" s="83" t="n">
        <v>96.72889000000001</v>
      </c>
      <c r="AD780" s="83" t="n">
        <v>93.38131</v>
      </c>
      <c r="AE780" s="83" t="n">
        <v>93.98775999999999</v>
      </c>
      <c r="AG780" s="83" t="n">
        <v>94.69482000000001</v>
      </c>
      <c r="AH780" s="83" t="n">
        <v>96.09021</v>
      </c>
      <c r="AJ780" s="83" t="n">
        <v>98.295</v>
      </c>
      <c r="AK780" s="83" t="n">
        <v>94.75158999999999</v>
      </c>
      <c r="AO780" s="83" t="n">
        <v>96.11221999999999</v>
      </c>
      <c r="AQ780" s="83" t="n">
        <v>98.4602</v>
      </c>
      <c r="AR780" s="83" t="n">
        <v>96.12679</v>
      </c>
      <c r="AT780" s="83" t="n">
        <v>95.20764</v>
      </c>
      <c r="AV780" s="83" t="n">
        <v>86.59058</v>
      </c>
      <c r="AZ780" s="83" t="n">
        <v>95.42379</v>
      </c>
      <c r="BA780" s="83" t="n">
        <v>88.52528</v>
      </c>
      <c r="BB780" s="83" t="n">
        <v>96.32004999999999</v>
      </c>
      <c r="BC780" s="83" t="n">
        <v>94.50611000000001</v>
      </c>
      <c r="BD780" s="83" t="n">
        <v>94.47538</v>
      </c>
    </row>
    <row r="781">
      <c r="A781" s="83" t="inlineStr">
        <is>
          <t>2016-04</t>
        </is>
      </c>
      <c r="B781" s="22" t="n">
        <v>42461</v>
      </c>
      <c r="C781" s="22" t="n"/>
      <c r="D781" s="22" t="n"/>
      <c r="E781" s="22" t="n">
        <v>41974</v>
      </c>
      <c r="F781" s="83" t="inlineStr">
        <is>
          <t>2014-12</t>
        </is>
      </c>
      <c r="G781" s="83" t="n">
        <v>96.59488</v>
      </c>
      <c r="I781" s="83" t="n">
        <v>96.31953</v>
      </c>
      <c r="J781" s="83" t="n">
        <v>95.72888</v>
      </c>
      <c r="K781" s="83" t="n">
        <v>99.31113000000001</v>
      </c>
      <c r="L781" s="83" t="n">
        <v>93.93527</v>
      </c>
      <c r="M781" s="83" t="n">
        <v>93.30079000000001</v>
      </c>
      <c r="N781" s="83" t="n">
        <v>93.98993</v>
      </c>
      <c r="O781" s="83" t="n">
        <v>97.97855</v>
      </c>
      <c r="P781" s="83" t="n">
        <v>95.91947999999999</v>
      </c>
      <c r="R781" s="83" t="n">
        <v>92.51806000000001</v>
      </c>
      <c r="S781" s="83" t="n">
        <v>96.7831</v>
      </c>
      <c r="AA781" s="83" t="n">
        <v>99.71323</v>
      </c>
      <c r="AC781" s="83" t="n">
        <v>97.44543</v>
      </c>
      <c r="AD781" s="83" t="n">
        <v>93.97318</v>
      </c>
      <c r="AE781" s="83" t="n">
        <v>94.74309</v>
      </c>
      <c r="AG781" s="83" t="n">
        <v>95.63424000000001</v>
      </c>
      <c r="AH781" s="83" t="n">
        <v>97.69517999999999</v>
      </c>
      <c r="AJ781" s="83" t="n">
        <v>98.63459</v>
      </c>
      <c r="AK781" s="83" t="n">
        <v>95.39052</v>
      </c>
      <c r="AO781" s="83" t="n">
        <v>96.75355999999999</v>
      </c>
      <c r="AQ781" s="83" t="n">
        <v>99.82098000000001</v>
      </c>
      <c r="AR781" s="83" t="n">
        <v>96.73702</v>
      </c>
      <c r="AT781" s="83" t="n">
        <v>95.75127999999999</v>
      </c>
      <c r="AV781" s="83" t="n">
        <v>88.78259</v>
      </c>
      <c r="AZ781" s="83" t="n">
        <v>95.86845</v>
      </c>
      <c r="BA781" s="83" t="n">
        <v>89.59627999999999</v>
      </c>
      <c r="BB781" s="83" t="n">
        <v>96.96325</v>
      </c>
      <c r="BC781" s="83" t="n">
        <v>94.64333000000001</v>
      </c>
      <c r="BD781" s="83" t="n">
        <v>94.93192000000001</v>
      </c>
    </row>
    <row r="782">
      <c r="A782" s="83" t="inlineStr">
        <is>
          <t>2016-05</t>
        </is>
      </c>
      <c r="B782" s="22" t="n">
        <v>42491</v>
      </c>
      <c r="C782" s="22" t="n"/>
      <c r="D782" s="22" t="n"/>
      <c r="E782" s="22" t="n">
        <v>42005</v>
      </c>
      <c r="F782" s="83" t="inlineStr">
        <is>
          <t>2015-01</t>
        </is>
      </c>
      <c r="G782" s="83" t="n">
        <v>97.10760000000001</v>
      </c>
      <c r="I782" s="83" t="n">
        <v>96.93709</v>
      </c>
      <c r="J782" s="83" t="n">
        <v>96.45493999999999</v>
      </c>
      <c r="K782" s="83" t="n">
        <v>99.39546</v>
      </c>
      <c r="L782" s="83" t="n">
        <v>95.00203999999999</v>
      </c>
      <c r="M782" s="83" t="n">
        <v>93.89987000000001</v>
      </c>
      <c r="N782" s="83" t="n">
        <v>94.76366</v>
      </c>
      <c r="O782" s="83" t="n">
        <v>98.19880000000001</v>
      </c>
      <c r="P782" s="83" t="n">
        <v>96.71068</v>
      </c>
      <c r="R782" s="83" t="n">
        <v>94.68442</v>
      </c>
      <c r="S782" s="83" t="n">
        <v>97.72409</v>
      </c>
      <c r="AA782" s="83" t="n">
        <v>99.56715</v>
      </c>
      <c r="AC782" s="83" t="n">
        <v>98.44867000000001</v>
      </c>
      <c r="AD782" s="83" t="n">
        <v>95.1938</v>
      </c>
      <c r="AE782" s="83" t="n">
        <v>95.43456</v>
      </c>
      <c r="AG782" s="83" t="n">
        <v>96.66092999999999</v>
      </c>
      <c r="AH782" s="83" t="n">
        <v>98.41764999999999</v>
      </c>
      <c r="AJ782" s="83" t="n">
        <v>98.84491</v>
      </c>
      <c r="AK782" s="83" t="n">
        <v>95.94813000000001</v>
      </c>
      <c r="AO782" s="83" t="n">
        <v>97.46809</v>
      </c>
      <c r="AQ782" s="83" t="n">
        <v>100.6729</v>
      </c>
      <c r="AR782" s="83" t="n">
        <v>97.26533999999999</v>
      </c>
      <c r="AT782" s="83" t="n">
        <v>96.21702000000001</v>
      </c>
      <c r="AV782" s="83" t="n">
        <v>94.51241</v>
      </c>
      <c r="AZ782" s="83" t="n">
        <v>95.83710000000001</v>
      </c>
      <c r="BA782" s="83" t="n">
        <v>90.92272</v>
      </c>
      <c r="BB782" s="83" t="n">
        <v>97.49593</v>
      </c>
      <c r="BC782" s="83" t="n">
        <v>95.02699</v>
      </c>
      <c r="BD782" s="83" t="n">
        <v>95.51945000000001</v>
      </c>
    </row>
    <row r="783">
      <c r="A783" s="83" t="inlineStr">
        <is>
          <t>2016-06</t>
        </is>
      </c>
      <c r="B783" s="22" t="n">
        <v>42522</v>
      </c>
      <c r="C783" s="22" t="n"/>
      <c r="D783" s="22" t="n"/>
      <c r="E783" s="22" t="n">
        <v>42036</v>
      </c>
      <c r="F783" s="83" t="inlineStr">
        <is>
          <t>2015-02</t>
        </is>
      </c>
      <c r="G783" s="83" t="n">
        <v>97.80244999999999</v>
      </c>
      <c r="I783" s="83" t="n">
        <v>97.32259000000001</v>
      </c>
      <c r="J783" s="83" t="n">
        <v>96.96832000000001</v>
      </c>
      <c r="K783" s="83" t="n">
        <v>99.57056</v>
      </c>
      <c r="L783" s="83" t="n">
        <v>95.61826000000001</v>
      </c>
      <c r="M783" s="83" t="n">
        <v>94.81914999999999</v>
      </c>
      <c r="N783" s="83" t="n">
        <v>95.81198999999999</v>
      </c>
      <c r="O783" s="83" t="n">
        <v>98.25275000000001</v>
      </c>
      <c r="P783" s="83" t="n">
        <v>97.13379999999999</v>
      </c>
      <c r="R783" s="83" t="n">
        <v>97.184</v>
      </c>
      <c r="S783" s="83" t="n">
        <v>98.14461</v>
      </c>
      <c r="AA783" s="83" t="n">
        <v>99.23537</v>
      </c>
      <c r="AC783" s="83" t="n">
        <v>98.87691</v>
      </c>
      <c r="AD783" s="83" t="n">
        <v>97.14249</v>
      </c>
      <c r="AE783" s="83" t="n">
        <v>96.15666</v>
      </c>
      <c r="AG783" s="83" t="n">
        <v>97.73345999999999</v>
      </c>
      <c r="AH783" s="83" t="n">
        <v>99.06274000000001</v>
      </c>
      <c r="AJ783" s="83" t="n">
        <v>99.04488000000001</v>
      </c>
      <c r="AK783" s="83" t="n">
        <v>97.21465000000001</v>
      </c>
      <c r="AO783" s="83" t="n">
        <v>98.56570000000001</v>
      </c>
      <c r="AQ783" s="83" t="n">
        <v>100.6039</v>
      </c>
      <c r="AR783" s="83" t="n">
        <v>98.0214</v>
      </c>
      <c r="AT783" s="83" t="n">
        <v>96.776</v>
      </c>
      <c r="AV783" s="83" t="n">
        <v>97.41647</v>
      </c>
      <c r="AZ783" s="83" t="n">
        <v>96.3152</v>
      </c>
      <c r="BA783" s="83" t="n">
        <v>92.75123000000001</v>
      </c>
      <c r="BB783" s="83" t="n">
        <v>98.49648000000001</v>
      </c>
      <c r="BC783" s="83" t="n">
        <v>96.03233</v>
      </c>
      <c r="BD783" s="83" t="n">
        <v>96.40597</v>
      </c>
    </row>
    <row r="784">
      <c r="A784" s="83" t="inlineStr">
        <is>
          <t>2016-07</t>
        </is>
      </c>
      <c r="B784" s="22" t="n">
        <v>42552</v>
      </c>
      <c r="C784" s="22" t="n"/>
      <c r="D784" s="22" t="n"/>
      <c r="E784" s="22" t="n">
        <v>42064</v>
      </c>
      <c r="F784" s="83" t="inlineStr">
        <is>
          <t>2015-03</t>
        </is>
      </c>
      <c r="G784" s="83" t="n">
        <v>98.45808</v>
      </c>
      <c r="I784" s="83" t="n">
        <v>97.65115</v>
      </c>
      <c r="J784" s="83" t="n">
        <v>97.59869</v>
      </c>
      <c r="K784" s="83" t="n">
        <v>99.83371</v>
      </c>
      <c r="L784" s="83" t="n">
        <v>96.23169</v>
      </c>
      <c r="M784" s="83" t="n">
        <v>95.74342</v>
      </c>
      <c r="N784" s="83" t="n">
        <v>96.67505</v>
      </c>
      <c r="O784" s="83" t="n">
        <v>98.04225</v>
      </c>
      <c r="P784" s="83" t="n">
        <v>97.72351999999999</v>
      </c>
      <c r="R784" s="83" t="n">
        <v>96.83761</v>
      </c>
      <c r="S784" s="83" t="n">
        <v>98.45126999999999</v>
      </c>
      <c r="AA784" s="83" t="n">
        <v>99.60816</v>
      </c>
      <c r="AC784" s="83" t="n">
        <v>98.79228999999999</v>
      </c>
      <c r="AD784" s="83" t="n">
        <v>98.16839</v>
      </c>
      <c r="AE784" s="83" t="n">
        <v>97.02437999999999</v>
      </c>
      <c r="AG784" s="83" t="n">
        <v>98.74702000000001</v>
      </c>
      <c r="AH784" s="83" t="n">
        <v>99.37191</v>
      </c>
      <c r="AJ784" s="83" t="n">
        <v>99.27109</v>
      </c>
      <c r="AK784" s="83" t="n">
        <v>98.58053</v>
      </c>
      <c r="AO784" s="83" t="n">
        <v>98.36929000000001</v>
      </c>
      <c r="AQ784" s="83" t="n">
        <v>101.1244</v>
      </c>
      <c r="AR784" s="83" t="n">
        <v>98.41137999999999</v>
      </c>
      <c r="AT784" s="83" t="n">
        <v>97.69101999999999</v>
      </c>
      <c r="AV784" s="83" t="n">
        <v>96.21393999999999</v>
      </c>
      <c r="AZ784" s="83" t="n">
        <v>97.48978</v>
      </c>
      <c r="BA784" s="83" t="n">
        <v>94.89382999999999</v>
      </c>
      <c r="BB784" s="83" t="n">
        <v>98.63692</v>
      </c>
      <c r="BC784" s="83" t="n">
        <v>96.88034</v>
      </c>
      <c r="BD784" s="83" t="n">
        <v>97.35513</v>
      </c>
    </row>
    <row r="785">
      <c r="A785" s="83" t="inlineStr">
        <is>
          <t>2016-08</t>
        </is>
      </c>
      <c r="B785" s="22" t="n">
        <v>42583</v>
      </c>
      <c r="C785" s="22" t="n"/>
      <c r="D785" s="22" t="n"/>
      <c r="E785" s="22" t="n">
        <v>42095</v>
      </c>
      <c r="F785" s="83" t="inlineStr">
        <is>
          <t>2015-04</t>
        </is>
      </c>
      <c r="G785" s="83" t="n">
        <v>98.85593</v>
      </c>
      <c r="I785" s="83" t="n">
        <v>98.23350000000001</v>
      </c>
      <c r="J785" s="83" t="n">
        <v>97.80878</v>
      </c>
      <c r="K785" s="83" t="n">
        <v>99.78578</v>
      </c>
      <c r="L785" s="83" t="n">
        <v>96.78754000000001</v>
      </c>
      <c r="M785" s="83" t="n">
        <v>96.57549</v>
      </c>
      <c r="N785" s="83" t="n">
        <v>97.21733</v>
      </c>
      <c r="O785" s="83" t="n">
        <v>98.02995</v>
      </c>
      <c r="P785" s="83" t="n">
        <v>98.28342000000001</v>
      </c>
      <c r="R785" s="83" t="n">
        <v>97.60646</v>
      </c>
      <c r="S785" s="83" t="n">
        <v>99.13290000000001</v>
      </c>
      <c r="AA785" s="83" t="n">
        <v>100.1562</v>
      </c>
      <c r="AC785" s="83" t="n">
        <v>98.74775</v>
      </c>
      <c r="AD785" s="83" t="n">
        <v>98.78548000000001</v>
      </c>
      <c r="AE785" s="83" t="n">
        <v>97.81892999999999</v>
      </c>
      <c r="AG785" s="83" t="n">
        <v>99.59853</v>
      </c>
      <c r="AH785" s="83" t="n">
        <v>99.55625999999999</v>
      </c>
      <c r="AJ785" s="83" t="n">
        <v>99.43508</v>
      </c>
      <c r="AK785" s="83" t="n">
        <v>99.43044</v>
      </c>
      <c r="AO785" s="83" t="n">
        <v>98.74409</v>
      </c>
      <c r="AQ785" s="83" t="n">
        <v>99.81018</v>
      </c>
      <c r="AR785" s="83" t="n">
        <v>98.89657</v>
      </c>
      <c r="AT785" s="83" t="n">
        <v>97.88842</v>
      </c>
      <c r="AV785" s="83" t="n">
        <v>95.78325</v>
      </c>
      <c r="AZ785" s="83" t="n">
        <v>98.28146</v>
      </c>
      <c r="BA785" s="83" t="n">
        <v>97.05005</v>
      </c>
      <c r="BB785" s="83" t="n">
        <v>99.02916</v>
      </c>
      <c r="BC785" s="83" t="n">
        <v>98.01309999999999</v>
      </c>
      <c r="BD785" s="83" t="n">
        <v>98.06644</v>
      </c>
    </row>
    <row r="786">
      <c r="A786" s="83" t="inlineStr">
        <is>
          <t>2016-09</t>
        </is>
      </c>
      <c r="B786" s="22" t="n">
        <v>42614</v>
      </c>
      <c r="C786" s="22" t="n"/>
      <c r="D786" s="22" t="n"/>
      <c r="E786" s="22" t="n">
        <v>42125</v>
      </c>
      <c r="F786" s="83" t="inlineStr">
        <is>
          <t>2015-05</t>
        </is>
      </c>
      <c r="G786" s="83" t="n">
        <v>99.25939</v>
      </c>
      <c r="I786" s="83" t="n">
        <v>99.16379999999999</v>
      </c>
      <c r="J786" s="83" t="n">
        <v>98.12407</v>
      </c>
      <c r="K786" s="83" t="n">
        <v>99.57191</v>
      </c>
      <c r="L786" s="83" t="n">
        <v>97.69611</v>
      </c>
      <c r="M786" s="83" t="n">
        <v>97.94714</v>
      </c>
      <c r="N786" s="83" t="n">
        <v>98.29402</v>
      </c>
      <c r="O786" s="83" t="n">
        <v>98.81605999999999</v>
      </c>
      <c r="P786" s="83" t="n">
        <v>99.13039999999999</v>
      </c>
      <c r="R786" s="83" t="n">
        <v>99.97147</v>
      </c>
      <c r="S786" s="83" t="n">
        <v>99.78095</v>
      </c>
      <c r="AA786" s="83" t="n">
        <v>100.1247</v>
      </c>
      <c r="AC786" s="83" t="n">
        <v>99.43895000000001</v>
      </c>
      <c r="AD786" s="83" t="n">
        <v>99.2358</v>
      </c>
      <c r="AE786" s="83" t="n">
        <v>98.57868000000001</v>
      </c>
      <c r="AG786" s="83" t="n">
        <v>100.3195</v>
      </c>
      <c r="AH786" s="83" t="n">
        <v>99.5416</v>
      </c>
      <c r="AJ786" s="83" t="n">
        <v>99.75975</v>
      </c>
      <c r="AK786" s="83" t="n">
        <v>100.1588</v>
      </c>
      <c r="AO786" s="83" t="n">
        <v>100.1697</v>
      </c>
      <c r="AQ786" s="83" t="n">
        <v>98.52934999999999</v>
      </c>
      <c r="AR786" s="83" t="n">
        <v>99.33511</v>
      </c>
      <c r="AT786" s="83" t="n">
        <v>97.9697</v>
      </c>
      <c r="AV786" s="83" t="n">
        <v>95.6778</v>
      </c>
      <c r="AZ786" s="83" t="n">
        <v>99.36775</v>
      </c>
      <c r="BA786" s="83" t="n">
        <v>98.60757</v>
      </c>
      <c r="BB786" s="83" t="n">
        <v>99.3009</v>
      </c>
      <c r="BC786" s="83" t="n">
        <v>99.23164</v>
      </c>
      <c r="BD786" s="83" t="n">
        <v>98.56144</v>
      </c>
    </row>
    <row r="787">
      <c r="A787" s="83" t="inlineStr">
        <is>
          <t>2016-10</t>
        </is>
      </c>
      <c r="B787" s="22" t="n">
        <v>42644</v>
      </c>
      <c r="C787" s="22" t="n"/>
      <c r="D787" s="22" t="n"/>
      <c r="E787" s="22" t="n">
        <v>42156</v>
      </c>
      <c r="F787" s="83" t="inlineStr">
        <is>
          <t>2015-06</t>
        </is>
      </c>
      <c r="G787" s="83" t="n">
        <v>99.59</v>
      </c>
      <c r="I787" s="83" t="n">
        <v>99.94745</v>
      </c>
      <c r="J787" s="83" t="n">
        <v>98.62913</v>
      </c>
      <c r="K787" s="83" t="n">
        <v>99.8074</v>
      </c>
      <c r="L787" s="83" t="n">
        <v>98.49930999999999</v>
      </c>
      <c r="M787" s="83" t="n">
        <v>99.41924</v>
      </c>
      <c r="N787" s="83" t="n">
        <v>99.52213</v>
      </c>
      <c r="O787" s="83" t="n">
        <v>100.7656</v>
      </c>
      <c r="P787" s="83" t="n">
        <v>99.26694000000001</v>
      </c>
      <c r="R787" s="83" t="n">
        <v>100.1371</v>
      </c>
      <c r="S787" s="83" t="n">
        <v>99.95408</v>
      </c>
      <c r="AA787" s="83" t="n">
        <v>99.71247</v>
      </c>
      <c r="AC787" s="83" t="n">
        <v>99.40276</v>
      </c>
      <c r="AD787" s="83" t="n">
        <v>99.48523</v>
      </c>
      <c r="AE787" s="83" t="n">
        <v>99.84487</v>
      </c>
      <c r="AG787" s="83" t="n">
        <v>100.9733</v>
      </c>
      <c r="AH787" s="83" t="n">
        <v>99.21517</v>
      </c>
      <c r="AJ787" s="83" t="n">
        <v>99.87739999999999</v>
      </c>
      <c r="AK787" s="83" t="n">
        <v>100.8933</v>
      </c>
      <c r="AO787" s="83" t="n">
        <v>100.5627</v>
      </c>
      <c r="AQ787" s="83" t="n">
        <v>99.21294</v>
      </c>
      <c r="AR787" s="83" t="n">
        <v>99.69131</v>
      </c>
      <c r="AT787" s="83" t="n">
        <v>98.96714</v>
      </c>
      <c r="AV787" s="83" t="n">
        <v>96.77952000000001</v>
      </c>
      <c r="AZ787" s="83" t="n">
        <v>100.1168</v>
      </c>
      <c r="BA787" s="83" t="n">
        <v>99.5128</v>
      </c>
      <c r="BB787" s="83" t="n">
        <v>99.67735999999999</v>
      </c>
      <c r="BC787" s="83" t="n">
        <v>100.1425</v>
      </c>
      <c r="BD787" s="83" t="n">
        <v>99.60728</v>
      </c>
    </row>
    <row r="788">
      <c r="A788" s="83" t="inlineStr">
        <is>
          <t>2016-11</t>
        </is>
      </c>
      <c r="B788" s="22" t="n">
        <v>42675</v>
      </c>
      <c r="C788" s="22" t="n"/>
      <c r="D788" s="22" t="n"/>
      <c r="E788" s="22" t="n">
        <v>42186</v>
      </c>
      <c r="F788" s="83" t="inlineStr">
        <is>
          <t>2015-07</t>
        </is>
      </c>
      <c r="G788" s="83" t="n">
        <v>100.254</v>
      </c>
      <c r="I788" s="83" t="n">
        <v>100.4726</v>
      </c>
      <c r="J788" s="83" t="n">
        <v>100.6713</v>
      </c>
      <c r="K788" s="83" t="n">
        <v>99.9718</v>
      </c>
      <c r="L788" s="83" t="n">
        <v>99.82304000000001</v>
      </c>
      <c r="M788" s="83" t="n">
        <v>101.2888</v>
      </c>
      <c r="N788" s="83" t="n">
        <v>100.2627</v>
      </c>
      <c r="O788" s="83" t="n">
        <v>102.1236</v>
      </c>
      <c r="P788" s="83" t="n">
        <v>99.69419000000001</v>
      </c>
      <c r="R788" s="83" t="n">
        <v>101.2812</v>
      </c>
      <c r="S788" s="83" t="n">
        <v>100.309</v>
      </c>
      <c r="AA788" s="83" t="n">
        <v>99.78158999999999</v>
      </c>
      <c r="AC788" s="83" t="n">
        <v>99.02103</v>
      </c>
      <c r="AD788" s="83" t="n">
        <v>100.1818</v>
      </c>
      <c r="AE788" s="83" t="n">
        <v>100.6861</v>
      </c>
      <c r="AG788" s="83" t="n">
        <v>101.4503</v>
      </c>
      <c r="AH788" s="83" t="n">
        <v>99.0776</v>
      </c>
      <c r="AJ788" s="83" t="n">
        <v>100.1243</v>
      </c>
      <c r="AK788" s="83" t="n">
        <v>101.6247</v>
      </c>
      <c r="AO788" s="83" t="n">
        <v>100.6583</v>
      </c>
      <c r="AQ788" s="83" t="n">
        <v>99.46155</v>
      </c>
      <c r="AR788" s="83" t="n">
        <v>100.2226</v>
      </c>
      <c r="AT788" s="83" t="n">
        <v>100.0967</v>
      </c>
      <c r="AV788" s="83" t="n">
        <v>98.54646</v>
      </c>
      <c r="AZ788" s="83" t="n">
        <v>100.5607</v>
      </c>
      <c r="BA788" s="83" t="n">
        <v>101.0185</v>
      </c>
      <c r="BB788" s="83" t="n">
        <v>100.1095</v>
      </c>
      <c r="BC788" s="83" t="n">
        <v>101.1488</v>
      </c>
      <c r="BD788" s="83" t="n">
        <v>100.7188</v>
      </c>
    </row>
    <row r="789">
      <c r="A789" s="83" t="inlineStr">
        <is>
          <t>2016-12</t>
        </is>
      </c>
      <c r="B789" s="22" t="n">
        <v>42705</v>
      </c>
      <c r="C789" s="22" t="n"/>
      <c r="D789" s="22" t="n"/>
      <c r="E789" s="22" t="n">
        <v>42217</v>
      </c>
      <c r="F789" s="83" t="inlineStr">
        <is>
          <t>2015-08</t>
        </is>
      </c>
      <c r="G789" s="83" t="n">
        <v>100.764</v>
      </c>
      <c r="I789" s="83" t="n">
        <v>100.5366</v>
      </c>
      <c r="J789" s="83" t="n">
        <v>101.7996</v>
      </c>
      <c r="K789" s="83" t="n">
        <v>99.94559</v>
      </c>
      <c r="L789" s="83" t="n">
        <v>101.8054</v>
      </c>
      <c r="M789" s="83" t="n">
        <v>102.6123</v>
      </c>
      <c r="N789" s="83" t="n">
        <v>101.4322</v>
      </c>
      <c r="O789" s="83" t="n">
        <v>101.1634</v>
      </c>
      <c r="P789" s="83" t="n">
        <v>100.4667</v>
      </c>
      <c r="R789" s="83" t="n">
        <v>101.6547</v>
      </c>
      <c r="S789" s="83" t="n">
        <v>100.6511</v>
      </c>
      <c r="AA789" s="83" t="n">
        <v>100.277</v>
      </c>
      <c r="AC789" s="83" t="n">
        <v>99.53952</v>
      </c>
      <c r="AD789" s="83" t="n">
        <v>101.1357</v>
      </c>
      <c r="AE789" s="83" t="n">
        <v>101.3252</v>
      </c>
      <c r="AG789" s="83" t="n">
        <v>101.6116</v>
      </c>
      <c r="AH789" s="83" t="n">
        <v>99.47562000000001</v>
      </c>
      <c r="AJ789" s="83" t="n">
        <v>100.4721</v>
      </c>
      <c r="AK789" s="83" t="n">
        <v>102.1083</v>
      </c>
      <c r="AO789" s="83" t="n">
        <v>101.3523</v>
      </c>
      <c r="AQ789" s="83" t="n">
        <v>99.66967</v>
      </c>
      <c r="AR789" s="83" t="n">
        <v>100.8173</v>
      </c>
      <c r="AT789" s="83" t="n">
        <v>101.0039</v>
      </c>
      <c r="AV789" s="83" t="n">
        <v>101.749</v>
      </c>
      <c r="AZ789" s="83" t="n">
        <v>101.2271</v>
      </c>
      <c r="BA789" s="83" t="n">
        <v>103.0695</v>
      </c>
      <c r="BB789" s="83" t="n">
        <v>100.5333</v>
      </c>
      <c r="BC789" s="83" t="n">
        <v>101.7364</v>
      </c>
      <c r="BD789" s="83" t="n">
        <v>101.3967</v>
      </c>
    </row>
    <row r="790">
      <c r="A790" s="83" t="inlineStr">
        <is>
          <t>2017-01</t>
        </is>
      </c>
      <c r="B790" s="22" t="n">
        <v>42736</v>
      </c>
      <c r="C790" s="22" t="n"/>
      <c r="D790" s="22" t="n"/>
      <c r="E790" s="22" t="n">
        <v>42248</v>
      </c>
      <c r="F790" s="83" t="inlineStr">
        <is>
          <t>2015-09</t>
        </is>
      </c>
      <c r="G790" s="83" t="n">
        <v>101.2094</v>
      </c>
      <c r="I790" s="83" t="n">
        <v>100.7946</v>
      </c>
      <c r="J790" s="83" t="n">
        <v>102.5078</v>
      </c>
      <c r="K790" s="83" t="n">
        <v>99.93598</v>
      </c>
      <c r="L790" s="83" t="n">
        <v>102.9774</v>
      </c>
      <c r="M790" s="83" t="n">
        <v>103.0397</v>
      </c>
      <c r="N790" s="83" t="n">
        <v>102.7493</v>
      </c>
      <c r="O790" s="83" t="n">
        <v>100.3559</v>
      </c>
      <c r="P790" s="83" t="n">
        <v>101.1667</v>
      </c>
      <c r="R790" s="83" t="n">
        <v>101.4876</v>
      </c>
      <c r="S790" s="83" t="n">
        <v>100.6182</v>
      </c>
      <c r="AA790" s="83" t="n">
        <v>100.2484</v>
      </c>
      <c r="AC790" s="83" t="n">
        <v>100.2856</v>
      </c>
      <c r="AD790" s="83" t="n">
        <v>102.5197</v>
      </c>
      <c r="AE790" s="83" t="n">
        <v>102.1573</v>
      </c>
      <c r="AG790" s="83" t="n">
        <v>101.4107</v>
      </c>
      <c r="AH790" s="83" t="n">
        <v>100.4311</v>
      </c>
      <c r="AJ790" s="83" t="n">
        <v>100.5208</v>
      </c>
      <c r="AK790" s="83" t="n">
        <v>102.4857</v>
      </c>
      <c r="AO790" s="83" t="n">
        <v>101.3167</v>
      </c>
      <c r="AQ790" s="83" t="n">
        <v>99.7038</v>
      </c>
      <c r="AR790" s="83" t="n">
        <v>101.281</v>
      </c>
      <c r="AT790" s="83" t="n">
        <v>101.9448</v>
      </c>
      <c r="AV790" s="83" t="n">
        <v>104.7215</v>
      </c>
      <c r="AZ790" s="83" t="n">
        <v>101.4928</v>
      </c>
      <c r="BA790" s="83" t="n">
        <v>105.408</v>
      </c>
      <c r="BB790" s="83" t="n">
        <v>100.9945</v>
      </c>
      <c r="BC790" s="83" t="n">
        <v>101.8069</v>
      </c>
      <c r="BD790" s="83" t="n">
        <v>102.1661</v>
      </c>
    </row>
    <row r="791">
      <c r="A791" s="83" t="inlineStr">
        <is>
          <t>2017-02</t>
        </is>
      </c>
      <c r="B791" s="22" t="n">
        <v>42767</v>
      </c>
      <c r="C791" s="22" t="n"/>
      <c r="D791" s="22" t="n"/>
      <c r="E791" s="22" t="n">
        <v>42278</v>
      </c>
      <c r="F791" s="83" t="inlineStr">
        <is>
          <t>2015-10</t>
        </is>
      </c>
      <c r="G791" s="83" t="n">
        <v>101.725</v>
      </c>
      <c r="I791" s="83" t="n">
        <v>101.7761</v>
      </c>
      <c r="J791" s="83" t="n">
        <v>102.332</v>
      </c>
      <c r="K791" s="83" t="n">
        <v>100.1404</v>
      </c>
      <c r="L791" s="83" t="n">
        <v>103.9624</v>
      </c>
      <c r="M791" s="83" t="n">
        <v>103.8956</v>
      </c>
      <c r="N791" s="83" t="n">
        <v>103.8098</v>
      </c>
      <c r="O791" s="83" t="n">
        <v>100.7973</v>
      </c>
      <c r="P791" s="83" t="n">
        <v>102.2316</v>
      </c>
      <c r="R791" s="83" t="n">
        <v>102.5333</v>
      </c>
      <c r="S791" s="83" t="n">
        <v>101.103</v>
      </c>
      <c r="AA791" s="83" t="n">
        <v>100.2689</v>
      </c>
      <c r="AC791" s="83" t="n">
        <v>101.1078</v>
      </c>
      <c r="AD791" s="83" t="n">
        <v>102.9776</v>
      </c>
      <c r="AE791" s="83" t="n">
        <v>102.7561</v>
      </c>
      <c r="AG791" s="83" t="n">
        <v>100.9895</v>
      </c>
      <c r="AH791" s="83" t="n">
        <v>101.5383</v>
      </c>
      <c r="AJ791" s="83" t="n">
        <v>100.7015</v>
      </c>
      <c r="AK791" s="83" t="n">
        <v>102.8468</v>
      </c>
      <c r="AO791" s="83" t="n">
        <v>101.1859</v>
      </c>
      <c r="AQ791" s="83" t="n">
        <v>100.1547</v>
      </c>
      <c r="AR791" s="83" t="n">
        <v>101.5754</v>
      </c>
      <c r="AT791" s="83" t="n">
        <v>102.9968</v>
      </c>
      <c r="AV791" s="83" t="n">
        <v>105.3665</v>
      </c>
      <c r="AZ791" s="83" t="n">
        <v>102.3619</v>
      </c>
      <c r="BA791" s="83" t="n">
        <v>106.1984</v>
      </c>
      <c r="BB791" s="83" t="n">
        <v>101.2596</v>
      </c>
      <c r="BC791" s="83" t="n">
        <v>102.6019</v>
      </c>
      <c r="BD791" s="83" t="n">
        <v>102.5672</v>
      </c>
    </row>
    <row r="792">
      <c r="A792" s="83" t="inlineStr">
        <is>
          <t>2017-03</t>
        </is>
      </c>
      <c r="B792" s="22" t="n">
        <v>42795</v>
      </c>
      <c r="C792" s="22" t="n"/>
      <c r="D792" s="22" t="n"/>
      <c r="E792" s="22" t="n">
        <v>42309</v>
      </c>
      <c r="F792" s="83" t="inlineStr">
        <is>
          <t>2015-11</t>
        </is>
      </c>
      <c r="G792" s="83" t="n">
        <v>102.2461</v>
      </c>
      <c r="I792" s="83" t="n">
        <v>102.7135</v>
      </c>
      <c r="J792" s="83" t="n">
        <v>103.1068</v>
      </c>
      <c r="K792" s="83" t="n">
        <v>100.863</v>
      </c>
      <c r="L792" s="83" t="n">
        <v>105.3868</v>
      </c>
      <c r="M792" s="83" t="n">
        <v>104.9367</v>
      </c>
      <c r="N792" s="83" t="n">
        <v>104.4826</v>
      </c>
      <c r="O792" s="83" t="n">
        <v>101.4895</v>
      </c>
      <c r="P792" s="83" t="n">
        <v>103.5442</v>
      </c>
      <c r="R792" s="83" t="n">
        <v>102.9909</v>
      </c>
      <c r="S792" s="83" t="n">
        <v>101.9152</v>
      </c>
      <c r="AA792" s="83" t="n">
        <v>100.3102</v>
      </c>
      <c r="AC792" s="83" t="n">
        <v>102.4743</v>
      </c>
      <c r="AD792" s="83" t="n">
        <v>102.5325</v>
      </c>
      <c r="AE792" s="83" t="n">
        <v>103.5811</v>
      </c>
      <c r="AG792" s="83" t="n">
        <v>100.5141</v>
      </c>
      <c r="AH792" s="83" t="n">
        <v>102.102</v>
      </c>
      <c r="AJ792" s="83" t="n">
        <v>100.8658</v>
      </c>
      <c r="AK792" s="83" t="n">
        <v>103.3182</v>
      </c>
      <c r="AO792" s="83" t="n">
        <v>100.7858</v>
      </c>
      <c r="AQ792" s="83" t="n">
        <v>100.4422</v>
      </c>
      <c r="AR792" s="83" t="n">
        <v>102.0447</v>
      </c>
      <c r="AT792" s="83" t="n">
        <v>103.9069</v>
      </c>
      <c r="AV792" s="83" t="n">
        <v>105.8497</v>
      </c>
      <c r="AZ792" s="83" t="n">
        <v>103.2849</v>
      </c>
      <c r="BA792" s="83" t="n">
        <v>105.4862</v>
      </c>
      <c r="BB792" s="83" t="n">
        <v>102.0009</v>
      </c>
      <c r="BC792" s="83" t="n">
        <v>103.4956</v>
      </c>
      <c r="BD792" s="83" t="n">
        <v>103.3274</v>
      </c>
    </row>
    <row r="793">
      <c r="A793" s="83" t="inlineStr">
        <is>
          <t>2017-04</t>
        </is>
      </c>
      <c r="B793" s="22" t="n">
        <v>42826</v>
      </c>
      <c r="C793" s="22" t="n"/>
      <c r="D793" s="22" t="n"/>
      <c r="E793" s="22" t="n">
        <v>42339</v>
      </c>
      <c r="F793" s="83" t="inlineStr">
        <is>
          <t>2015-12</t>
        </is>
      </c>
      <c r="G793" s="83" t="n">
        <v>102.728</v>
      </c>
      <c r="I793" s="83" t="n">
        <v>104.4511</v>
      </c>
      <c r="J793" s="83" t="n">
        <v>103.9985</v>
      </c>
      <c r="K793" s="83" t="n">
        <v>101.1784</v>
      </c>
      <c r="L793" s="83" t="n">
        <v>106.2101</v>
      </c>
      <c r="M793" s="83" t="n">
        <v>105.8226</v>
      </c>
      <c r="N793" s="83" t="n">
        <v>104.9792</v>
      </c>
      <c r="O793" s="83" t="n">
        <v>101.9648</v>
      </c>
      <c r="P793" s="83" t="n">
        <v>104.6478</v>
      </c>
      <c r="R793" s="83" t="n">
        <v>103.6312</v>
      </c>
      <c r="S793" s="83" t="n">
        <v>102.2157</v>
      </c>
      <c r="AA793" s="83" t="n">
        <v>100.71</v>
      </c>
      <c r="AC793" s="83" t="n">
        <v>103.8644</v>
      </c>
      <c r="AD793" s="83" t="n">
        <v>102.6416</v>
      </c>
      <c r="AE793" s="83" t="n">
        <v>104.636</v>
      </c>
      <c r="AG793" s="83" t="n">
        <v>99.99091</v>
      </c>
      <c r="AH793" s="83" t="n">
        <v>102.21</v>
      </c>
      <c r="AJ793" s="83" t="n">
        <v>101.0825</v>
      </c>
      <c r="AK793" s="83" t="n">
        <v>103.9216</v>
      </c>
      <c r="AO793" s="83" t="n">
        <v>100.8215</v>
      </c>
      <c r="AQ793" s="83" t="n">
        <v>100.6144</v>
      </c>
      <c r="AR793" s="83" t="n">
        <v>102.4379</v>
      </c>
      <c r="AT793" s="83" t="n">
        <v>104.5416</v>
      </c>
      <c r="AV793" s="83" t="n">
        <v>107.3834</v>
      </c>
      <c r="AZ793" s="83" t="n">
        <v>103.6645</v>
      </c>
      <c r="BA793" s="83" t="n">
        <v>105.0813</v>
      </c>
      <c r="BB793" s="83" t="n">
        <v>102.4654</v>
      </c>
      <c r="BC793" s="83" t="n">
        <v>103.8835</v>
      </c>
      <c r="BD793" s="83" t="n">
        <v>104.3082</v>
      </c>
    </row>
    <row r="794">
      <c r="A794" s="83" t="inlineStr">
        <is>
          <t>2017-05</t>
        </is>
      </c>
      <c r="B794" s="22" t="n">
        <v>42856</v>
      </c>
      <c r="C794" s="22" t="n"/>
      <c r="D794" s="22" t="n"/>
      <c r="E794" s="22" t="n">
        <v>42370</v>
      </c>
      <c r="F794" s="83" t="inlineStr">
        <is>
          <t>2016-01</t>
        </is>
      </c>
      <c r="G794" s="83" t="n">
        <v>103.1259</v>
      </c>
      <c r="I794" s="83" t="n">
        <v>105.6399</v>
      </c>
      <c r="J794" s="83" t="n">
        <v>104.9908</v>
      </c>
      <c r="K794" s="83" t="n">
        <v>101.003</v>
      </c>
      <c r="L794" s="83" t="n">
        <v>106.4915</v>
      </c>
      <c r="M794" s="83" t="n">
        <v>106.7303</v>
      </c>
      <c r="N794" s="83" t="n">
        <v>105.8082</v>
      </c>
      <c r="O794" s="83" t="n">
        <v>101.7316</v>
      </c>
      <c r="P794" s="83" t="n">
        <v>105.2835</v>
      </c>
      <c r="R794" s="83" t="n">
        <v>101.5668</v>
      </c>
      <c r="S794" s="83" t="n">
        <v>102.5261</v>
      </c>
      <c r="AA794" s="83" t="n">
        <v>101.6015</v>
      </c>
      <c r="AC794" s="83" t="n">
        <v>104.0854</v>
      </c>
      <c r="AD794" s="83" t="n">
        <v>103.3395</v>
      </c>
      <c r="AE794" s="83" t="n">
        <v>105.6285</v>
      </c>
      <c r="AG794" s="83" t="n">
        <v>99.40437</v>
      </c>
      <c r="AH794" s="83" t="n">
        <v>102.5798</v>
      </c>
      <c r="AJ794" s="83" t="n">
        <v>101.3419</v>
      </c>
      <c r="AK794" s="83" t="n">
        <v>104.5882</v>
      </c>
      <c r="AO794" s="83" t="n">
        <v>102.0751</v>
      </c>
      <c r="AQ794" s="83" t="n">
        <v>100.8831</v>
      </c>
      <c r="AR794" s="83" t="n">
        <v>103.2452</v>
      </c>
      <c r="AT794" s="83" t="n">
        <v>105.4562</v>
      </c>
      <c r="AV794" s="83" t="n">
        <v>109.6157</v>
      </c>
      <c r="AZ794" s="83" t="n">
        <v>104.5156</v>
      </c>
      <c r="BA794" s="83" t="n">
        <v>105.6236</v>
      </c>
      <c r="BB794" s="83" t="n">
        <v>103.5283</v>
      </c>
      <c r="BC794" s="83" t="n">
        <v>103.8933</v>
      </c>
      <c r="BD794" s="83" t="n">
        <v>104.8233</v>
      </c>
    </row>
    <row r="795">
      <c r="A795" s="83" t="inlineStr">
        <is>
          <t>2017-06</t>
        </is>
      </c>
      <c r="B795" s="22" t="n">
        <v>42887</v>
      </c>
      <c r="C795" s="22" t="n"/>
      <c r="D795" s="22" t="n"/>
      <c r="E795" s="22" t="n">
        <v>42401</v>
      </c>
      <c r="F795" s="83" t="inlineStr">
        <is>
          <t>2016-02</t>
        </is>
      </c>
      <c r="G795" s="83" t="n">
        <v>103.5882</v>
      </c>
      <c r="I795" s="83" t="n">
        <v>106.2466</v>
      </c>
      <c r="J795" s="83" t="n">
        <v>105.579</v>
      </c>
      <c r="K795" s="83" t="n">
        <v>101.1289</v>
      </c>
      <c r="L795" s="83" t="n">
        <v>107.0367</v>
      </c>
      <c r="M795" s="83" t="n">
        <v>107.6444</v>
      </c>
      <c r="N795" s="83" t="n">
        <v>106.7278</v>
      </c>
      <c r="O795" s="83" t="n">
        <v>101.3751</v>
      </c>
      <c r="P795" s="83" t="n">
        <v>105.9415</v>
      </c>
      <c r="R795" s="83" t="n">
        <v>99.39754000000001</v>
      </c>
      <c r="S795" s="83" t="n">
        <v>103.0043</v>
      </c>
      <c r="AA795" s="83" t="n">
        <v>102.4762</v>
      </c>
      <c r="AC795" s="83" t="n">
        <v>103.4775</v>
      </c>
      <c r="AD795" s="83" t="n">
        <v>104.4958</v>
      </c>
      <c r="AE795" s="83" t="n">
        <v>106.6381</v>
      </c>
      <c r="AG795" s="83" t="n">
        <v>98.75668</v>
      </c>
      <c r="AH795" s="83" t="n">
        <v>103.1788</v>
      </c>
      <c r="AJ795" s="83" t="n">
        <v>101.54</v>
      </c>
      <c r="AK795" s="83" t="n">
        <v>105.8999</v>
      </c>
      <c r="AO795" s="83" t="n">
        <v>102.6425</v>
      </c>
      <c r="AQ795" s="83" t="n">
        <v>101.4163</v>
      </c>
      <c r="AR795" s="83" t="n">
        <v>103.8325</v>
      </c>
      <c r="AT795" s="83" t="n">
        <v>106.5334</v>
      </c>
      <c r="AV795" s="83" t="n">
        <v>111.5479</v>
      </c>
      <c r="AZ795" s="83" t="n">
        <v>105.3663</v>
      </c>
      <c r="BA795" s="83" t="n">
        <v>106.7955</v>
      </c>
      <c r="BB795" s="83" t="n">
        <v>104.1624</v>
      </c>
      <c r="BC795" s="83" t="n">
        <v>104.0944</v>
      </c>
      <c r="BD795" s="83" t="n">
        <v>105.6437</v>
      </c>
    </row>
    <row r="796">
      <c r="A796" s="83" t="inlineStr">
        <is>
          <t>2017-07</t>
        </is>
      </c>
      <c r="B796" s="22" t="n">
        <v>42917</v>
      </c>
      <c r="C796" s="22" t="n"/>
      <c r="D796" s="22" t="n"/>
      <c r="E796" s="22" t="n">
        <v>42430</v>
      </c>
      <c r="F796" s="83" t="inlineStr">
        <is>
          <t>2016-03</t>
        </is>
      </c>
      <c r="G796" s="83" t="n">
        <v>104.0757</v>
      </c>
      <c r="I796" s="83" t="n">
        <v>107.6048</v>
      </c>
      <c r="J796" s="83" t="n">
        <v>105.0585</v>
      </c>
      <c r="K796" s="83" t="n">
        <v>101.4918</v>
      </c>
      <c r="L796" s="83" t="n">
        <v>107.5934</v>
      </c>
      <c r="M796" s="83" t="n">
        <v>108.5233</v>
      </c>
      <c r="N796" s="83" t="n">
        <v>107.7545</v>
      </c>
      <c r="O796" s="83" t="n">
        <v>102.4328</v>
      </c>
      <c r="P796" s="83" t="n">
        <v>106.4184</v>
      </c>
      <c r="R796" s="83" t="n">
        <v>99.33789</v>
      </c>
      <c r="S796" s="83" t="n">
        <v>103.2904</v>
      </c>
      <c r="AA796" s="83" t="n">
        <v>103.1397</v>
      </c>
      <c r="AC796" s="83" t="n">
        <v>103.3159</v>
      </c>
      <c r="AD796" s="83" t="n">
        <v>105.3177</v>
      </c>
      <c r="AE796" s="83" t="n">
        <v>107.2807</v>
      </c>
      <c r="AG796" s="83" t="n">
        <v>98.05580999999999</v>
      </c>
      <c r="AH796" s="83" t="n">
        <v>103.3215</v>
      </c>
      <c r="AJ796" s="83" t="n">
        <v>101.78</v>
      </c>
      <c r="AK796" s="83" t="n">
        <v>106.8244</v>
      </c>
      <c r="AO796" s="83" t="n">
        <v>102.8263</v>
      </c>
      <c r="AQ796" s="83" t="n">
        <v>101.9165</v>
      </c>
      <c r="AR796" s="83" t="n">
        <v>104.3185</v>
      </c>
      <c r="AT796" s="83" t="n">
        <v>107.019</v>
      </c>
      <c r="AV796" s="83" t="n">
        <v>111.9137</v>
      </c>
      <c r="AZ796" s="83" t="n">
        <v>106.0192</v>
      </c>
      <c r="BA796" s="83" t="n">
        <v>107.8456</v>
      </c>
      <c r="BB796" s="83" t="n">
        <v>104.6909</v>
      </c>
      <c r="BC796" s="83" t="n">
        <v>105.069</v>
      </c>
      <c r="BD796" s="83" t="n">
        <v>106.571</v>
      </c>
    </row>
    <row r="797">
      <c r="A797" s="83" t="inlineStr">
        <is>
          <t>2017-08</t>
        </is>
      </c>
      <c r="B797" s="22" t="n">
        <v>42948</v>
      </c>
      <c r="C797" s="22" t="n"/>
      <c r="D797" s="22" t="n"/>
      <c r="E797" s="22" t="n">
        <v>42461</v>
      </c>
      <c r="F797" s="83" t="inlineStr">
        <is>
          <t>2016-04</t>
        </is>
      </c>
      <c r="G797" s="83" t="n">
        <v>104.5408</v>
      </c>
      <c r="I797" s="83" t="n">
        <v>108.7242</v>
      </c>
      <c r="J797" s="83" t="n">
        <v>105.861</v>
      </c>
      <c r="K797" s="83" t="n">
        <v>101.8302</v>
      </c>
      <c r="L797" s="83" t="n">
        <v>107.9816</v>
      </c>
      <c r="M797" s="83" t="n">
        <v>109.4211</v>
      </c>
      <c r="N797" s="83" t="n">
        <v>108.7542</v>
      </c>
      <c r="O797" s="83" t="n">
        <v>102.7851</v>
      </c>
      <c r="P797" s="83" t="n">
        <v>106.9884</v>
      </c>
      <c r="R797" s="83" t="n">
        <v>100.125</v>
      </c>
      <c r="S797" s="83" t="n">
        <v>103.8903</v>
      </c>
      <c r="AA797" s="83" t="n">
        <v>103.2446</v>
      </c>
      <c r="AC797" s="83" t="n">
        <v>103.2794</v>
      </c>
      <c r="AD797" s="83" t="n">
        <v>105.9277</v>
      </c>
      <c r="AE797" s="83" t="n">
        <v>108.4104</v>
      </c>
      <c r="AG797" s="83" t="n">
        <v>97.29808</v>
      </c>
      <c r="AH797" s="83" t="n">
        <v>103.7684</v>
      </c>
      <c r="AJ797" s="83" t="n">
        <v>102.1553</v>
      </c>
      <c r="AK797" s="83" t="n">
        <v>107.2851</v>
      </c>
      <c r="AO797" s="83" t="n">
        <v>103.2707</v>
      </c>
      <c r="AQ797" s="83" t="n">
        <v>102.4327</v>
      </c>
      <c r="AR797" s="83" t="n">
        <v>104.9379</v>
      </c>
      <c r="AT797" s="83" t="n">
        <v>107.9957</v>
      </c>
      <c r="AV797" s="83" t="n">
        <v>111.3922</v>
      </c>
      <c r="AZ797" s="83" t="n">
        <v>106.7122</v>
      </c>
      <c r="BA797" s="83" t="n">
        <v>108.5829</v>
      </c>
      <c r="BB797" s="83" t="n">
        <v>105.433</v>
      </c>
      <c r="BC797" s="83" t="n">
        <v>105.7873</v>
      </c>
      <c r="BD797" s="83" t="n">
        <v>107.4952</v>
      </c>
    </row>
    <row r="798">
      <c r="A798" s="83" t="inlineStr">
        <is>
          <t>2017-09</t>
        </is>
      </c>
      <c r="B798" s="22" t="n">
        <v>42979</v>
      </c>
      <c r="C798" s="22" t="n"/>
      <c r="D798" s="22" t="n"/>
      <c r="E798" s="22" t="n">
        <v>42491</v>
      </c>
      <c r="F798" s="83" t="inlineStr">
        <is>
          <t>2016-05</t>
        </is>
      </c>
      <c r="G798" s="83" t="n">
        <v>104.9274</v>
      </c>
      <c r="I798" s="83" t="n">
        <v>109.4343</v>
      </c>
      <c r="J798" s="83" t="n">
        <v>107.4119</v>
      </c>
      <c r="K798" s="83" t="n">
        <v>101.8831</v>
      </c>
      <c r="L798" s="83" t="n">
        <v>108.7839</v>
      </c>
      <c r="M798" s="83" t="n">
        <v>110.2642</v>
      </c>
      <c r="N798" s="83" t="n">
        <v>109.4839</v>
      </c>
      <c r="O798" s="83" t="n">
        <v>102.156</v>
      </c>
      <c r="P798" s="83" t="n">
        <v>108.0234</v>
      </c>
      <c r="R798" s="83" t="n">
        <v>101.3857</v>
      </c>
      <c r="S798" s="83" t="n">
        <v>104.5536</v>
      </c>
      <c r="AA798" s="83" t="n">
        <v>103.4035</v>
      </c>
      <c r="AC798" s="83" t="n">
        <v>103.3675</v>
      </c>
      <c r="AD798" s="83" t="n">
        <v>106.5111</v>
      </c>
      <c r="AE798" s="83" t="n">
        <v>109.3104</v>
      </c>
      <c r="AG798" s="83" t="n">
        <v>96.46853</v>
      </c>
      <c r="AH798" s="83" t="n">
        <v>104.8127</v>
      </c>
      <c r="AJ798" s="83" t="n">
        <v>102.5132</v>
      </c>
      <c r="AK798" s="83" t="n">
        <v>107.9578</v>
      </c>
      <c r="AO798" s="83" t="n">
        <v>103.6686</v>
      </c>
      <c r="AQ798" s="83" t="n">
        <v>102.7665</v>
      </c>
      <c r="AR798" s="83" t="n">
        <v>105.5238</v>
      </c>
      <c r="AT798" s="83" t="n">
        <v>109.3193</v>
      </c>
      <c r="AV798" s="83" t="n">
        <v>111.9792</v>
      </c>
      <c r="AZ798" s="83" t="n">
        <v>107.2761</v>
      </c>
      <c r="BA798" s="83" t="n">
        <v>109.8012</v>
      </c>
      <c r="BB798" s="83" t="n">
        <v>106.0047</v>
      </c>
      <c r="BC798" s="83" t="n">
        <v>105.941</v>
      </c>
      <c r="BD798" s="83" t="n">
        <v>108.2645</v>
      </c>
    </row>
    <row r="799">
      <c r="A799" s="83" t="inlineStr">
        <is>
          <t>2017-10</t>
        </is>
      </c>
      <c r="B799" s="22" t="n">
        <v>43009</v>
      </c>
      <c r="C799" s="22" t="n"/>
      <c r="D799" s="22" t="n"/>
      <c r="E799" s="22" t="n">
        <v>42522</v>
      </c>
      <c r="F799" s="83" t="inlineStr">
        <is>
          <t>2016-06</t>
        </is>
      </c>
      <c r="G799" s="83" t="n">
        <v>105.3757</v>
      </c>
      <c r="I799" s="83" t="n">
        <v>110.1798</v>
      </c>
      <c r="J799" s="83" t="n">
        <v>108.2476</v>
      </c>
      <c r="K799" s="83" t="n">
        <v>102.0678</v>
      </c>
      <c r="L799" s="83" t="n">
        <v>109.7694</v>
      </c>
      <c r="M799" s="83" t="n">
        <v>111.3419</v>
      </c>
      <c r="N799" s="83" t="n">
        <v>109.9579</v>
      </c>
      <c r="O799" s="83" t="n">
        <v>102.5709</v>
      </c>
      <c r="P799" s="83" t="n">
        <v>108.4391</v>
      </c>
      <c r="R799" s="83" t="n">
        <v>101.5321</v>
      </c>
      <c r="S799" s="83" t="n">
        <v>104.8455</v>
      </c>
      <c r="AA799" s="83" t="n">
        <v>105.408</v>
      </c>
      <c r="AC799" s="83" t="n">
        <v>103.9226</v>
      </c>
      <c r="AD799" s="83" t="n">
        <v>107.4927</v>
      </c>
      <c r="AE799" s="83" t="n">
        <v>109.3151</v>
      </c>
      <c r="AG799" s="83" t="n">
        <v>95.72318</v>
      </c>
      <c r="AH799" s="83" t="n">
        <v>105.5962</v>
      </c>
      <c r="AJ799" s="83" t="n">
        <v>102.7394</v>
      </c>
      <c r="AK799" s="83" t="n">
        <v>108.6904</v>
      </c>
      <c r="AO799" s="83" t="n">
        <v>104.1071</v>
      </c>
      <c r="AQ799" s="83" t="n">
        <v>103.1657</v>
      </c>
      <c r="AR799" s="83" t="n">
        <v>106.2036</v>
      </c>
      <c r="AT799" s="83" t="n">
        <v>110.3683</v>
      </c>
      <c r="AV799" s="83" t="n">
        <v>112.1842</v>
      </c>
      <c r="AZ799" s="83" t="n">
        <v>107.2596</v>
      </c>
      <c r="BA799" s="83" t="n">
        <v>111.4886</v>
      </c>
      <c r="BB799" s="83" t="n">
        <v>106.5665</v>
      </c>
      <c r="BC799" s="83" t="n">
        <v>106.1618</v>
      </c>
      <c r="BD799" s="83" t="n">
        <v>108.7921</v>
      </c>
    </row>
    <row r="800">
      <c r="A800" s="83" t="inlineStr">
        <is>
          <t>2017-11</t>
        </is>
      </c>
      <c r="B800" s="22" t="n">
        <v>43040</v>
      </c>
      <c r="C800" s="22" t="n"/>
      <c r="D800" s="22" t="n"/>
      <c r="E800" s="22" t="n">
        <v>42552</v>
      </c>
      <c r="F800" s="83" t="inlineStr">
        <is>
          <t>2016-07</t>
        </is>
      </c>
      <c r="G800" s="83" t="n">
        <v>106.1042</v>
      </c>
      <c r="I800" s="83" t="n">
        <v>111.1833</v>
      </c>
      <c r="J800" s="83" t="n">
        <v>109.6005</v>
      </c>
      <c r="K800" s="83" t="n">
        <v>102.4401</v>
      </c>
      <c r="L800" s="83" t="n">
        <v>110.6949</v>
      </c>
      <c r="M800" s="83" t="n">
        <v>112.5014</v>
      </c>
      <c r="N800" s="83" t="n">
        <v>110.5654</v>
      </c>
      <c r="O800" s="83" t="n">
        <v>103.5001</v>
      </c>
      <c r="P800" s="83" t="n">
        <v>108.7743</v>
      </c>
      <c r="R800" s="83" t="n">
        <v>101.3673</v>
      </c>
      <c r="S800" s="83" t="n">
        <v>105.3881</v>
      </c>
      <c r="AA800" s="83" t="n">
        <v>107.7635</v>
      </c>
      <c r="AC800" s="83" t="n">
        <v>104.2315</v>
      </c>
      <c r="AD800" s="83" t="n">
        <v>108.5878</v>
      </c>
      <c r="AE800" s="83" t="n">
        <v>110.2634</v>
      </c>
      <c r="AG800" s="83" t="n">
        <v>95.27303000000001</v>
      </c>
      <c r="AH800" s="83" t="n">
        <v>106.3809</v>
      </c>
      <c r="AJ800" s="83" t="n">
        <v>103.0076</v>
      </c>
      <c r="AK800" s="83" t="n">
        <v>109.6517</v>
      </c>
      <c r="AO800" s="83" t="n">
        <v>104.6474</v>
      </c>
      <c r="AQ800" s="83" t="n">
        <v>103.9729</v>
      </c>
      <c r="AR800" s="83" t="n">
        <v>106.9055</v>
      </c>
      <c r="AT800" s="83" t="n">
        <v>111.1972</v>
      </c>
      <c r="AV800" s="83" t="n">
        <v>111.8858</v>
      </c>
      <c r="AZ800" s="83" t="n">
        <v>108.161</v>
      </c>
      <c r="BA800" s="83" t="n">
        <v>112.7543</v>
      </c>
      <c r="BB800" s="83" t="n">
        <v>107.0543</v>
      </c>
      <c r="BC800" s="83" t="n">
        <v>106.4057</v>
      </c>
      <c r="BD800" s="83" t="n">
        <v>109.4333</v>
      </c>
    </row>
    <row r="801">
      <c r="A801" s="83" t="inlineStr">
        <is>
          <t>2017-12</t>
        </is>
      </c>
      <c r="B801" s="22" t="n">
        <v>43070</v>
      </c>
      <c r="C801" s="22" t="n"/>
      <c r="D801" s="22" t="n"/>
      <c r="E801" s="22" t="n">
        <v>42583</v>
      </c>
      <c r="F801" s="83" t="inlineStr">
        <is>
          <t>2016-08</t>
        </is>
      </c>
      <c r="G801" s="83" t="n">
        <v>106.8495</v>
      </c>
      <c r="I801" s="83" t="n">
        <v>112.2031</v>
      </c>
      <c r="J801" s="83" t="n">
        <v>110.0335</v>
      </c>
      <c r="K801" s="83" t="n">
        <v>102.6681</v>
      </c>
      <c r="L801" s="83" t="n">
        <v>111.8022</v>
      </c>
      <c r="M801" s="83" t="n">
        <v>113.6486</v>
      </c>
      <c r="N801" s="83" t="n">
        <v>111.3103</v>
      </c>
      <c r="O801" s="83" t="n">
        <v>104.314</v>
      </c>
      <c r="P801" s="83" t="n">
        <v>109.5771</v>
      </c>
      <c r="R801" s="83" t="n">
        <v>100.8535</v>
      </c>
      <c r="S801" s="83" t="n">
        <v>105.774</v>
      </c>
      <c r="AA801" s="83" t="n">
        <v>108.7431</v>
      </c>
      <c r="AC801" s="83" t="n">
        <v>104.2451</v>
      </c>
      <c r="AD801" s="83" t="n">
        <v>109.1512</v>
      </c>
      <c r="AE801" s="83" t="n">
        <v>111.6638</v>
      </c>
      <c r="AG801" s="83" t="n">
        <v>95.12656</v>
      </c>
      <c r="AH801" s="83" t="n">
        <v>106.8371</v>
      </c>
      <c r="AJ801" s="83" t="n">
        <v>103.2486</v>
      </c>
      <c r="AK801" s="83" t="n">
        <v>110.3708</v>
      </c>
      <c r="AO801" s="83" t="n">
        <v>104.9644</v>
      </c>
      <c r="AQ801" s="83" t="n">
        <v>104.7256</v>
      </c>
      <c r="AR801" s="83" t="n">
        <v>107.5433</v>
      </c>
      <c r="AT801" s="83" t="n">
        <v>111.5546</v>
      </c>
      <c r="AV801" s="83" t="n">
        <v>111.8096</v>
      </c>
      <c r="AZ801" s="83" t="n">
        <v>109.6453</v>
      </c>
      <c r="BA801" s="83" t="n">
        <v>113.4886</v>
      </c>
      <c r="BB801" s="83" t="n">
        <v>107.7806</v>
      </c>
      <c r="BC801" s="83" t="n">
        <v>106.8796</v>
      </c>
      <c r="BD801" s="83" t="n">
        <v>109.9494</v>
      </c>
    </row>
    <row r="802">
      <c r="A802" s="83" t="inlineStr">
        <is>
          <t>2018-01</t>
        </is>
      </c>
      <c r="B802" s="22" t="n">
        <v>43101</v>
      </c>
      <c r="C802" s="22" t="n"/>
      <c r="D802" s="22" t="n"/>
      <c r="E802" s="22" t="n">
        <v>42614</v>
      </c>
      <c r="F802" s="83" t="inlineStr">
        <is>
          <t>2016-09</t>
        </is>
      </c>
      <c r="G802" s="83" t="n">
        <v>107.1969</v>
      </c>
      <c r="I802" s="83" t="n">
        <v>113.2471</v>
      </c>
      <c r="J802" s="83" t="n">
        <v>110.7548</v>
      </c>
      <c r="K802" s="83" t="n">
        <v>102.8135</v>
      </c>
      <c r="L802" s="83" t="n">
        <v>112.7641</v>
      </c>
      <c r="M802" s="83" t="n">
        <v>114.7331</v>
      </c>
      <c r="N802" s="83" t="n">
        <v>111.8796</v>
      </c>
      <c r="O802" s="83" t="n">
        <v>104.8117</v>
      </c>
      <c r="P802" s="83" t="n">
        <v>110.0626</v>
      </c>
      <c r="R802" s="83" t="n">
        <v>100.2302</v>
      </c>
      <c r="S802" s="83" t="n">
        <v>105.7385</v>
      </c>
      <c r="AA802" s="83" t="n">
        <v>109.5196</v>
      </c>
      <c r="AC802" s="83" t="n">
        <v>104.5374</v>
      </c>
      <c r="AD802" s="83" t="n">
        <v>109.0556</v>
      </c>
      <c r="AE802" s="83" t="n">
        <v>112.9333</v>
      </c>
      <c r="AG802" s="83" t="n">
        <v>95.29783999999999</v>
      </c>
      <c r="AH802" s="83" t="n">
        <v>106.7906</v>
      </c>
      <c r="AJ802" s="83" t="n">
        <v>103.4743</v>
      </c>
      <c r="AK802" s="83" t="n">
        <v>110.7815</v>
      </c>
      <c r="AO802" s="83" t="n">
        <v>106.4222</v>
      </c>
      <c r="AQ802" s="83" t="n">
        <v>105.677</v>
      </c>
      <c r="AR802" s="83" t="n">
        <v>108.1046</v>
      </c>
      <c r="AT802" s="83" t="n">
        <v>111.9094</v>
      </c>
      <c r="AV802" s="83" t="n">
        <v>111.3782</v>
      </c>
      <c r="AZ802" s="83" t="n">
        <v>110.2269</v>
      </c>
      <c r="BA802" s="83" t="n">
        <v>114.335</v>
      </c>
      <c r="BB802" s="83" t="n">
        <v>108.2875</v>
      </c>
      <c r="BC802" s="83" t="n">
        <v>107.4494</v>
      </c>
      <c r="BD802" s="83" t="n">
        <v>110.0643</v>
      </c>
    </row>
    <row r="803">
      <c r="A803" s="83" t="inlineStr">
        <is>
          <t>2018-02</t>
        </is>
      </c>
      <c r="B803" s="22" t="n">
        <v>43132</v>
      </c>
      <c r="C803" s="22" t="n"/>
      <c r="D803" s="22" t="n"/>
      <c r="E803" s="22" t="n">
        <v>42644</v>
      </c>
      <c r="F803" s="83" t="inlineStr">
        <is>
          <t>2016-10</t>
        </is>
      </c>
      <c r="G803" s="83" t="n">
        <v>107.648</v>
      </c>
      <c r="I803" s="83" t="n">
        <v>114.0469</v>
      </c>
      <c r="J803" s="83" t="n">
        <v>111.5642</v>
      </c>
      <c r="K803" s="83" t="n">
        <v>103.0622</v>
      </c>
      <c r="L803" s="83" t="n">
        <v>113.5922</v>
      </c>
      <c r="M803" s="83" t="n">
        <v>115.7832</v>
      </c>
      <c r="N803" s="83" t="n">
        <v>112.0154</v>
      </c>
      <c r="O803" s="83" t="n">
        <v>105.0057</v>
      </c>
      <c r="P803" s="83" t="n">
        <v>110.6374</v>
      </c>
      <c r="R803" s="83" t="n">
        <v>99.68088</v>
      </c>
      <c r="S803" s="83" t="n">
        <v>105.9027</v>
      </c>
      <c r="AA803" s="83" t="n">
        <v>110.5632</v>
      </c>
      <c r="AC803" s="83" t="n">
        <v>105.1534</v>
      </c>
      <c r="AD803" s="83" t="n">
        <v>109.4764</v>
      </c>
      <c r="AE803" s="83" t="n">
        <v>113.9786</v>
      </c>
      <c r="AG803" s="83" t="n">
        <v>95.74462</v>
      </c>
      <c r="AH803" s="83" t="n">
        <v>107.1774</v>
      </c>
      <c r="AJ803" s="83" t="n">
        <v>103.7618</v>
      </c>
      <c r="AK803" s="83" t="n">
        <v>111.2151</v>
      </c>
      <c r="AO803" s="83" t="n">
        <v>107.4048</v>
      </c>
      <c r="AQ803" s="83" t="n">
        <v>106.1911</v>
      </c>
      <c r="AR803" s="83" t="n">
        <v>108.7368</v>
      </c>
      <c r="AT803" s="83" t="n">
        <v>112.3453</v>
      </c>
      <c r="AV803" s="83" t="n">
        <v>111.1182</v>
      </c>
      <c r="AZ803" s="83" t="n">
        <v>110.8456</v>
      </c>
      <c r="BA803" s="83" t="n">
        <v>116.0833</v>
      </c>
      <c r="BB803" s="83" t="n">
        <v>108.8576</v>
      </c>
      <c r="BC803" s="83" t="n">
        <v>108.8939</v>
      </c>
      <c r="BD803" s="83" t="n">
        <v>110.7789</v>
      </c>
    </row>
    <row r="804">
      <c r="A804" s="83" t="inlineStr">
        <is>
          <t>2018-03</t>
        </is>
      </c>
      <c r="B804" s="22" t="n">
        <v>43160</v>
      </c>
      <c r="E804" s="22" t="n">
        <v>42675</v>
      </c>
      <c r="F804" s="83" t="inlineStr">
        <is>
          <t>2016-11</t>
        </is>
      </c>
      <c r="G804" s="83" t="n">
        <v>108.4409</v>
      </c>
      <c r="I804" s="83" t="n">
        <v>114.7641</v>
      </c>
      <c r="J804" s="83" t="n">
        <v>111.9082</v>
      </c>
      <c r="K804" s="83" t="n">
        <v>103.2142</v>
      </c>
      <c r="L804" s="83" t="n">
        <v>114.3704</v>
      </c>
      <c r="M804" s="83" t="n">
        <v>116.8109</v>
      </c>
      <c r="N804" s="83" t="n">
        <v>112.4445</v>
      </c>
      <c r="O804" s="83" t="n">
        <v>104.8443</v>
      </c>
      <c r="P804" s="83" t="n">
        <v>111.9626</v>
      </c>
      <c r="R804" s="83" t="n">
        <v>99.73757000000001</v>
      </c>
      <c r="S804" s="83" t="n">
        <v>106.5019</v>
      </c>
      <c r="AA804" s="83" t="n">
        <v>111.08</v>
      </c>
      <c r="AC804" s="83" t="n">
        <v>106.0009</v>
      </c>
      <c r="AD804" s="83" t="n">
        <v>111.1805</v>
      </c>
      <c r="AE804" s="83" t="n">
        <v>114.4473</v>
      </c>
      <c r="AG804" s="83" t="n">
        <v>96.19054</v>
      </c>
      <c r="AH804" s="83" t="n">
        <v>107.6775</v>
      </c>
      <c r="AJ804" s="83" t="n">
        <v>104.1218</v>
      </c>
      <c r="AK804" s="83" t="n">
        <v>111.4933</v>
      </c>
      <c r="AO804" s="83" t="n">
        <v>107.4286</v>
      </c>
      <c r="AQ804" s="83" t="n">
        <v>106.4989</v>
      </c>
      <c r="AR804" s="83" t="n">
        <v>109.3779</v>
      </c>
      <c r="AT804" s="83" t="n">
        <v>113.4661</v>
      </c>
      <c r="AV804" s="83" t="n">
        <v>111.25</v>
      </c>
      <c r="AZ804" s="83" t="n">
        <v>111.9196</v>
      </c>
      <c r="BA804" s="83" t="n">
        <v>119.124</v>
      </c>
      <c r="BB804" s="83" t="n">
        <v>109.4418</v>
      </c>
      <c r="BC804" s="83" t="n">
        <v>109.57</v>
      </c>
      <c r="BD804" s="83" t="n">
        <v>111.6204</v>
      </c>
    </row>
    <row r="805">
      <c r="A805" s="83" t="inlineStr">
        <is>
          <t>2018-04</t>
        </is>
      </c>
      <c r="B805" s="22" t="n">
        <v>43191</v>
      </c>
      <c r="E805" s="22" t="n">
        <v>42705</v>
      </c>
      <c r="F805" s="83" t="inlineStr">
        <is>
          <t>2016-12</t>
        </is>
      </c>
      <c r="G805" s="83" t="n">
        <v>109.3851</v>
      </c>
      <c r="I805" s="83" t="n">
        <v>116.0733</v>
      </c>
      <c r="J805" s="83" t="n">
        <v>112.5724</v>
      </c>
      <c r="K805" s="83" t="n">
        <v>103.6201</v>
      </c>
      <c r="L805" s="83" t="n">
        <v>114.8418</v>
      </c>
      <c r="M805" s="83" t="n">
        <v>117.7696</v>
      </c>
      <c r="N805" s="83" t="n">
        <v>112.8905</v>
      </c>
      <c r="O805" s="83" t="n">
        <v>104.9572</v>
      </c>
      <c r="P805" s="83" t="n">
        <v>112.3868</v>
      </c>
      <c r="R805" s="83" t="n">
        <v>99.9858</v>
      </c>
      <c r="S805" s="83" t="n">
        <v>107.1984</v>
      </c>
      <c r="AA805" s="83" t="n">
        <v>111.0193</v>
      </c>
      <c r="AC805" s="83" t="n">
        <v>109.1631</v>
      </c>
      <c r="AD805" s="83" t="n">
        <v>112.6748</v>
      </c>
      <c r="AE805" s="83" t="n">
        <v>113.1645</v>
      </c>
      <c r="AG805" s="83" t="n">
        <v>96.53201</v>
      </c>
      <c r="AH805" s="83" t="n">
        <v>108.0424</v>
      </c>
      <c r="AJ805" s="83" t="n">
        <v>104.4703</v>
      </c>
      <c r="AK805" s="83" t="n">
        <v>111.76</v>
      </c>
      <c r="AO805" s="83" t="n">
        <v>108.1177</v>
      </c>
      <c r="AQ805" s="83" t="n">
        <v>106.3611</v>
      </c>
      <c r="AR805" s="83" t="n">
        <v>109.8714</v>
      </c>
      <c r="AT805" s="83" t="n">
        <v>114.5689</v>
      </c>
      <c r="AV805" s="83" t="n">
        <v>109.5448</v>
      </c>
      <c r="AZ805" s="83" t="n">
        <v>112.4266</v>
      </c>
      <c r="BA805" s="83" t="n">
        <v>122.3516</v>
      </c>
      <c r="BB805" s="83" t="n">
        <v>109.6853</v>
      </c>
      <c r="BC805" s="83" t="n">
        <v>109.5054</v>
      </c>
      <c r="BD805" s="83" t="n">
        <v>112.1229</v>
      </c>
    </row>
    <row r="806">
      <c r="A806" s="83" t="inlineStr">
        <is>
          <t>2018-05</t>
        </is>
      </c>
      <c r="B806" s="22" t="n">
        <v>43221</v>
      </c>
      <c r="E806" s="22" t="n">
        <v>42736</v>
      </c>
      <c r="F806" s="83" t="inlineStr">
        <is>
          <t>2017-01</t>
        </is>
      </c>
      <c r="G806" s="83" t="n">
        <v>110.2284</v>
      </c>
      <c r="I806" s="83" t="n">
        <v>117.4995</v>
      </c>
      <c r="J806" s="83" t="n">
        <v>112.8624</v>
      </c>
      <c r="K806" s="83" t="n">
        <v>104.0666</v>
      </c>
      <c r="L806" s="83" t="n">
        <v>115.2863</v>
      </c>
      <c r="M806" s="83" t="n">
        <v>118.7757</v>
      </c>
      <c r="N806" s="83" t="n">
        <v>113.5608</v>
      </c>
      <c r="O806" s="83" t="n">
        <v>105.6105</v>
      </c>
      <c r="P806" s="83" t="n">
        <v>113.0028</v>
      </c>
      <c r="R806" s="83" t="n">
        <v>99.49997999999999</v>
      </c>
      <c r="S806" s="83" t="n">
        <v>107.5622</v>
      </c>
      <c r="AA806" s="83" t="n">
        <v>111.4924</v>
      </c>
      <c r="AC806" s="83" t="n">
        <v>111.1553</v>
      </c>
      <c r="AD806" s="83" t="n">
        <v>113.6743</v>
      </c>
      <c r="AE806" s="83" t="n">
        <v>112.252</v>
      </c>
      <c r="AG806" s="83" t="n">
        <v>96.86812999999999</v>
      </c>
      <c r="AH806" s="83" t="n">
        <v>108.6681</v>
      </c>
      <c r="AJ806" s="83" t="n">
        <v>104.801</v>
      </c>
      <c r="AK806" s="83" t="n">
        <v>112.4896</v>
      </c>
      <c r="AO806" s="83" t="n">
        <v>108.5231</v>
      </c>
      <c r="AQ806" s="83" t="n">
        <v>106.6376</v>
      </c>
      <c r="AR806" s="83" t="n">
        <v>110.4931</v>
      </c>
      <c r="AT806" s="83" t="n">
        <v>114.9385</v>
      </c>
      <c r="AV806" s="83" t="n">
        <v>109.5886</v>
      </c>
      <c r="AZ806" s="83" t="n">
        <v>114</v>
      </c>
      <c r="BA806" s="83" t="n">
        <v>124.6684</v>
      </c>
      <c r="BB806" s="83" t="n">
        <v>110.321</v>
      </c>
      <c r="BC806" s="83" t="n">
        <v>110.9233</v>
      </c>
      <c r="BD806" s="83" t="n">
        <v>112.7332</v>
      </c>
    </row>
    <row r="807">
      <c r="A807" s="83" t="inlineStr">
        <is>
          <t>2018-06</t>
        </is>
      </c>
      <c r="B807" s="22" t="n">
        <v>43252</v>
      </c>
      <c r="E807" s="22" t="n">
        <v>42767</v>
      </c>
      <c r="F807" s="83" t="inlineStr">
        <is>
          <t>2017-02</t>
        </is>
      </c>
      <c r="G807" s="83" t="n">
        <v>110.8448</v>
      </c>
      <c r="I807" s="83" t="n">
        <v>118.423</v>
      </c>
      <c r="J807" s="83" t="n">
        <v>112.8585</v>
      </c>
      <c r="K807" s="83" t="n">
        <v>104.3103</v>
      </c>
      <c r="L807" s="83" t="n">
        <v>115.9566</v>
      </c>
      <c r="M807" s="83" t="n">
        <v>119.5943</v>
      </c>
      <c r="N807" s="83" t="n">
        <v>114.3011</v>
      </c>
      <c r="O807" s="83" t="n">
        <v>106.322</v>
      </c>
      <c r="P807" s="83" t="n">
        <v>114.9421</v>
      </c>
      <c r="R807" s="83" t="n">
        <v>100.024</v>
      </c>
      <c r="S807" s="83" t="n">
        <v>107.8459</v>
      </c>
      <c r="AA807" s="83" t="n">
        <v>112.5848</v>
      </c>
      <c r="AC807" s="83" t="n">
        <v>110.3412</v>
      </c>
      <c r="AD807" s="83" t="n">
        <v>114.5266</v>
      </c>
      <c r="AE807" s="83" t="n">
        <v>113.2879</v>
      </c>
      <c r="AG807" s="83" t="n">
        <v>97.20923000000001</v>
      </c>
      <c r="AH807" s="83" t="n">
        <v>109.0887</v>
      </c>
      <c r="AJ807" s="83" t="n">
        <v>105.1431</v>
      </c>
      <c r="AK807" s="83" t="n">
        <v>113.7022</v>
      </c>
      <c r="AO807" s="83" t="n">
        <v>109.0174</v>
      </c>
      <c r="AQ807" s="83" t="n">
        <v>107.7745</v>
      </c>
      <c r="AR807" s="83" t="n">
        <v>111.0481</v>
      </c>
      <c r="AT807" s="83" t="n">
        <v>115.3637</v>
      </c>
      <c r="AV807" s="83" t="n">
        <v>111.9546</v>
      </c>
      <c r="AZ807" s="83" t="n">
        <v>115.7784</v>
      </c>
      <c r="BA807" s="83" t="n">
        <v>125.1601</v>
      </c>
      <c r="BB807" s="83" t="n">
        <v>110.867</v>
      </c>
      <c r="BC807" s="83" t="n">
        <v>111.5116</v>
      </c>
      <c r="BD807" s="83" t="n">
        <v>113.0228</v>
      </c>
    </row>
    <row r="808">
      <c r="A808" s="83" t="inlineStr">
        <is>
          <t>2018-07</t>
        </is>
      </c>
      <c r="B808" s="22" t="n">
        <v>43282</v>
      </c>
      <c r="E808" s="22" t="n">
        <v>42795</v>
      </c>
      <c r="F808" s="83" t="inlineStr">
        <is>
          <t>2017-03</t>
        </is>
      </c>
      <c r="G808" s="83" t="n">
        <v>111.2119</v>
      </c>
      <c r="I808" s="83" t="n">
        <v>119.5359</v>
      </c>
      <c r="J808" s="83" t="n">
        <v>113.7699</v>
      </c>
      <c r="K808" s="83" t="n">
        <v>104.6731</v>
      </c>
      <c r="L808" s="83" t="n">
        <v>116.9821</v>
      </c>
      <c r="M808" s="83" t="n">
        <v>120.2932</v>
      </c>
      <c r="N808" s="83" t="n">
        <v>114.393</v>
      </c>
      <c r="O808" s="83" t="n">
        <v>106.5762</v>
      </c>
      <c r="P808" s="83" t="n">
        <v>116.796</v>
      </c>
      <c r="R808" s="83" t="n">
        <v>101.1495</v>
      </c>
      <c r="S808" s="83" t="n">
        <v>108.4999</v>
      </c>
      <c r="AA808" s="83" t="n">
        <v>113.8531</v>
      </c>
      <c r="AC808" s="83" t="n">
        <v>110.7197</v>
      </c>
      <c r="AD808" s="83" t="n">
        <v>115.4727</v>
      </c>
      <c r="AE808" s="83" t="n">
        <v>116.216</v>
      </c>
      <c r="AG808" s="83" t="n">
        <v>97.61906999999999</v>
      </c>
      <c r="AH808" s="83" t="n">
        <v>109.4183</v>
      </c>
      <c r="AJ808" s="83" t="n">
        <v>105.4287</v>
      </c>
      <c r="AK808" s="83" t="n">
        <v>114.769</v>
      </c>
      <c r="AO808" s="83" t="n">
        <v>110.1095</v>
      </c>
      <c r="AQ808" s="83" t="n">
        <v>108.8466</v>
      </c>
      <c r="AR808" s="83" t="n">
        <v>111.7406</v>
      </c>
      <c r="AT808" s="83" t="n">
        <v>115.5592</v>
      </c>
      <c r="AV808" s="83" t="n">
        <v>112.6993</v>
      </c>
      <c r="AZ808" s="83" t="n">
        <v>116.497</v>
      </c>
      <c r="BA808" s="83" t="n">
        <v>126.2807</v>
      </c>
      <c r="BB808" s="83" t="n">
        <v>111.4512</v>
      </c>
      <c r="BC808" s="83" t="n">
        <v>111.3585</v>
      </c>
      <c r="BD808" s="83" t="n">
        <v>113.4625</v>
      </c>
    </row>
    <row r="809">
      <c r="A809" s="83" t="inlineStr">
        <is>
          <t>2018-08</t>
        </is>
      </c>
      <c r="B809" s="22" t="n">
        <v>43313</v>
      </c>
      <c r="E809" s="22" t="n">
        <v>42826</v>
      </c>
      <c r="F809" s="83" t="inlineStr">
        <is>
          <t>2017-04</t>
        </is>
      </c>
      <c r="G809" s="83" t="n">
        <v>111.8843</v>
      </c>
      <c r="I809" s="83" t="n">
        <v>120.2078</v>
      </c>
      <c r="J809" s="83" t="n">
        <v>115.0069</v>
      </c>
      <c r="K809" s="83" t="n">
        <v>104.9959</v>
      </c>
      <c r="L809" s="83" t="n">
        <v>118.152</v>
      </c>
      <c r="M809" s="83" t="n">
        <v>121.0492</v>
      </c>
      <c r="N809" s="83" t="n">
        <v>115.4321</v>
      </c>
      <c r="O809" s="83" t="n">
        <v>106.8012</v>
      </c>
      <c r="P809" s="83" t="n">
        <v>118.8035</v>
      </c>
      <c r="R809" s="83" t="n">
        <v>101.1761</v>
      </c>
      <c r="S809" s="83" t="n">
        <v>109.2167</v>
      </c>
      <c r="AA809" s="83" t="n">
        <v>114.7972</v>
      </c>
      <c r="AC809" s="83" t="n">
        <v>111.6465</v>
      </c>
      <c r="AD809" s="83" t="n">
        <v>116.4062</v>
      </c>
      <c r="AE809" s="83" t="n">
        <v>117.1298</v>
      </c>
      <c r="AG809" s="83" t="n">
        <v>98.13142000000001</v>
      </c>
      <c r="AH809" s="83" t="n">
        <v>109.619</v>
      </c>
      <c r="AJ809" s="83" t="n">
        <v>105.5785</v>
      </c>
      <c r="AK809" s="83" t="n">
        <v>115.2159</v>
      </c>
      <c r="AO809" s="83" t="n">
        <v>111.036</v>
      </c>
      <c r="AQ809" s="83" t="n">
        <v>109.6681</v>
      </c>
      <c r="AR809" s="83" t="n">
        <v>112.4583</v>
      </c>
      <c r="AT809" s="83" t="n">
        <v>115.8415</v>
      </c>
      <c r="AV809" s="83" t="n">
        <v>113.587</v>
      </c>
      <c r="AZ809" s="83" t="n">
        <v>117.5036</v>
      </c>
      <c r="BA809" s="83" t="n">
        <v>129.1947</v>
      </c>
      <c r="BB809" s="83" t="n">
        <v>111.9947</v>
      </c>
      <c r="BC809" s="83" t="n">
        <v>111.5445</v>
      </c>
      <c r="BD809" s="83" t="n">
        <v>114.1808</v>
      </c>
    </row>
    <row r="810">
      <c r="A810" s="83" t="inlineStr">
        <is>
          <t>2018-09</t>
        </is>
      </c>
      <c r="B810" s="22" t="n">
        <v>43344</v>
      </c>
      <c r="E810" s="22" t="n">
        <v>42856</v>
      </c>
      <c r="F810" s="83" t="inlineStr">
        <is>
          <t>2017-05</t>
        </is>
      </c>
      <c r="G810" s="83" t="n">
        <v>112.7108</v>
      </c>
      <c r="I810" s="83" t="n">
        <v>120.2673</v>
      </c>
      <c r="J810" s="83" t="n">
        <v>115.8958</v>
      </c>
      <c r="K810" s="83" t="n">
        <v>105.5074</v>
      </c>
      <c r="L810" s="83" t="n">
        <v>118.5276</v>
      </c>
      <c r="M810" s="83" t="n">
        <v>121.4682</v>
      </c>
      <c r="N810" s="83" t="n">
        <v>116.1963</v>
      </c>
      <c r="O810" s="83" t="n">
        <v>107.2019</v>
      </c>
      <c r="P810" s="83" t="n">
        <v>119.9283</v>
      </c>
      <c r="R810" s="83" t="n">
        <v>101.1185</v>
      </c>
      <c r="S810" s="83" t="n">
        <v>109.5255</v>
      </c>
      <c r="AA810" s="83" t="n">
        <v>115.1259</v>
      </c>
      <c r="AC810" s="83" t="n">
        <v>112.267</v>
      </c>
      <c r="AD810" s="83" t="n">
        <v>117.6562</v>
      </c>
      <c r="AE810" s="83" t="n">
        <v>116.5616</v>
      </c>
      <c r="AG810" s="83" t="n">
        <v>98.63141</v>
      </c>
      <c r="AH810" s="83" t="n">
        <v>109.9247</v>
      </c>
      <c r="AJ810" s="83" t="n">
        <v>105.8043</v>
      </c>
      <c r="AK810" s="83" t="n">
        <v>115.4355</v>
      </c>
      <c r="AO810" s="83" t="n">
        <v>111.0456</v>
      </c>
      <c r="AQ810" s="83" t="n">
        <v>109.7945</v>
      </c>
      <c r="AR810" s="83" t="n">
        <v>112.9311</v>
      </c>
      <c r="AT810" s="83" t="n">
        <v>116.4001</v>
      </c>
      <c r="AV810" s="83" t="n">
        <v>114.5637</v>
      </c>
      <c r="AZ810" s="83" t="n">
        <v>118.0493</v>
      </c>
      <c r="BA810" s="83" t="n">
        <v>130.9375</v>
      </c>
      <c r="BB810" s="83" t="n">
        <v>112.441</v>
      </c>
      <c r="BC810" s="83" t="n">
        <v>112.0506</v>
      </c>
      <c r="BD810" s="83" t="n">
        <v>114.8325</v>
      </c>
    </row>
    <row r="811">
      <c r="A811" s="83" t="inlineStr">
        <is>
          <t>2018-10</t>
        </is>
      </c>
      <c r="B811" s="22" t="n">
        <v>43374</v>
      </c>
      <c r="E811" s="22" t="n">
        <v>42887</v>
      </c>
      <c r="F811" s="83" t="inlineStr">
        <is>
          <t>2017-06</t>
        </is>
      </c>
      <c r="G811" s="83" t="n">
        <v>113.3777</v>
      </c>
      <c r="I811" s="83" t="n">
        <v>120.7883</v>
      </c>
      <c r="J811" s="83" t="n">
        <v>115.5704</v>
      </c>
      <c r="K811" s="83" t="n">
        <v>106.084</v>
      </c>
      <c r="L811" s="83" t="n">
        <v>118.7702</v>
      </c>
      <c r="M811" s="83" t="n">
        <v>122.0975</v>
      </c>
      <c r="N811" s="83" t="n">
        <v>116.4376</v>
      </c>
      <c r="O811" s="83" t="n">
        <v>107.7355</v>
      </c>
      <c r="P811" s="83" t="n">
        <v>119.6068</v>
      </c>
      <c r="R811" s="83" t="n">
        <v>101.5493</v>
      </c>
      <c r="S811" s="83" t="n">
        <v>109.7787</v>
      </c>
      <c r="AA811" s="83" t="n">
        <v>115.2471</v>
      </c>
      <c r="AC811" s="83" t="n">
        <v>113.5042</v>
      </c>
      <c r="AD811" s="83" t="n">
        <v>118.9115</v>
      </c>
      <c r="AE811" s="83" t="n">
        <v>117.4433</v>
      </c>
      <c r="AG811" s="83" t="n">
        <v>99.06856000000001</v>
      </c>
      <c r="AH811" s="83" t="n">
        <v>111.1218</v>
      </c>
      <c r="AJ811" s="83" t="n">
        <v>106.1594</v>
      </c>
      <c r="AK811" s="83" t="n">
        <v>116.0803</v>
      </c>
      <c r="AO811" s="83" t="n">
        <v>111.7549</v>
      </c>
      <c r="AQ811" s="83" t="n">
        <v>110.1177</v>
      </c>
      <c r="AR811" s="83" t="n">
        <v>113.2618</v>
      </c>
      <c r="AT811" s="83" t="n">
        <v>116.5683</v>
      </c>
      <c r="AV811" s="83" t="n">
        <v>115.7345</v>
      </c>
      <c r="AZ811" s="83" t="n">
        <v>118.6847</v>
      </c>
      <c r="BA811" s="83" t="n">
        <v>132.3237</v>
      </c>
      <c r="BB811" s="83" t="n">
        <v>112.6703</v>
      </c>
      <c r="BC811" s="83" t="n">
        <v>112.7476</v>
      </c>
      <c r="BD811" s="83" t="n">
        <v>115.4979</v>
      </c>
    </row>
    <row r="812">
      <c r="A812" s="83" t="inlineStr">
        <is>
          <t>2018-11</t>
        </is>
      </c>
      <c r="B812" s="22" t="n">
        <v>43405</v>
      </c>
      <c r="E812" s="22" t="n">
        <v>42917</v>
      </c>
      <c r="F812" s="83" t="inlineStr">
        <is>
          <t>2017-07</t>
        </is>
      </c>
      <c r="G812" s="83" t="n">
        <v>113.9128</v>
      </c>
      <c r="I812" s="83" t="n">
        <v>121.3684</v>
      </c>
      <c r="J812" s="83" t="n">
        <v>115.2299</v>
      </c>
      <c r="K812" s="83" t="n">
        <v>106.4488</v>
      </c>
      <c r="L812" s="83" t="n">
        <v>119.431</v>
      </c>
      <c r="M812" s="83" t="n">
        <v>123.1019</v>
      </c>
      <c r="N812" s="83" t="n">
        <v>117.23</v>
      </c>
      <c r="O812" s="83" t="n">
        <v>108.1062</v>
      </c>
      <c r="P812" s="83" t="n">
        <v>119.6142</v>
      </c>
      <c r="R812" s="83" t="n">
        <v>101.5377</v>
      </c>
      <c r="S812" s="83" t="n">
        <v>110.1246</v>
      </c>
      <c r="AA812" s="83" t="n">
        <v>115.5544</v>
      </c>
      <c r="AC812" s="83" t="n">
        <v>114.4876</v>
      </c>
      <c r="AD812" s="83" t="n">
        <v>119.3028</v>
      </c>
      <c r="AE812" s="83" t="n">
        <v>118.0385</v>
      </c>
      <c r="AG812" s="83" t="n">
        <v>99.46514999999999</v>
      </c>
      <c r="AH812" s="83" t="n">
        <v>112.2447</v>
      </c>
      <c r="AJ812" s="83" t="n">
        <v>106.4682</v>
      </c>
      <c r="AK812" s="83" t="n">
        <v>116.6637</v>
      </c>
      <c r="AO812" s="83" t="n">
        <v>113.165</v>
      </c>
      <c r="AQ812" s="83" t="n">
        <v>110.9978</v>
      </c>
      <c r="AR812" s="83" t="n">
        <v>113.7844</v>
      </c>
      <c r="AT812" s="83" t="n">
        <v>116.7728</v>
      </c>
      <c r="AV812" s="83" t="n">
        <v>116.1896</v>
      </c>
      <c r="AZ812" s="83" t="n">
        <v>119.3268</v>
      </c>
      <c r="BA812" s="83" t="n">
        <v>133.6095</v>
      </c>
      <c r="BB812" s="83" t="n">
        <v>113.1698</v>
      </c>
      <c r="BC812" s="83" t="n">
        <v>113.5125</v>
      </c>
      <c r="BD812" s="83" t="n">
        <v>116.3419</v>
      </c>
    </row>
    <row r="813">
      <c r="A813" s="83" t="inlineStr">
        <is>
          <t>2018-12</t>
        </is>
      </c>
      <c r="B813" s="22" t="n">
        <v>43435</v>
      </c>
      <c r="E813" s="22" t="n">
        <v>42948</v>
      </c>
      <c r="F813" s="83" t="inlineStr">
        <is>
          <t>2017-08</t>
        </is>
      </c>
      <c r="G813" s="83" t="n">
        <v>114.2126</v>
      </c>
      <c r="I813" s="83" t="n">
        <v>122.2579</v>
      </c>
      <c r="J813" s="83" t="n">
        <v>115.5178</v>
      </c>
      <c r="K813" s="83" t="n">
        <v>106.7575</v>
      </c>
      <c r="L813" s="83" t="n">
        <v>119.3856</v>
      </c>
      <c r="M813" s="83" t="n">
        <v>123.9585</v>
      </c>
      <c r="N813" s="83" t="n">
        <v>117.3616</v>
      </c>
      <c r="O813" s="83" t="n">
        <v>109.1221</v>
      </c>
      <c r="P813" s="83" t="n">
        <v>120.5217</v>
      </c>
      <c r="R813" s="83" t="n">
        <v>101.7094</v>
      </c>
      <c r="S813" s="83" t="n">
        <v>110.5456</v>
      </c>
      <c r="AA813" s="83" t="n">
        <v>116.3779</v>
      </c>
      <c r="AC813" s="83" t="n">
        <v>115.2758</v>
      </c>
      <c r="AD813" s="83" t="n">
        <v>119.7398</v>
      </c>
      <c r="AE813" s="83" t="n">
        <v>118.535</v>
      </c>
      <c r="AG813" s="83" t="n">
        <v>99.86273</v>
      </c>
      <c r="AH813" s="83" t="n">
        <v>113.2091</v>
      </c>
      <c r="AJ813" s="83" t="n">
        <v>106.7076</v>
      </c>
      <c r="AK813" s="83" t="n">
        <v>116.8354</v>
      </c>
      <c r="AO813" s="83" t="n">
        <v>113.556</v>
      </c>
      <c r="AQ813" s="83" t="n">
        <v>111.2591</v>
      </c>
      <c r="AR813" s="83" t="n">
        <v>114.2859</v>
      </c>
      <c r="AT813" s="83" t="n">
        <v>117.4069</v>
      </c>
      <c r="AV813" s="83" t="n">
        <v>115.9069</v>
      </c>
      <c r="AZ813" s="83" t="n">
        <v>120.0205</v>
      </c>
      <c r="BA813" s="83" t="n">
        <v>135.169</v>
      </c>
      <c r="BB813" s="83" t="n">
        <v>113.631</v>
      </c>
      <c r="BC813" s="83" t="n">
        <v>114.3184</v>
      </c>
      <c r="BD813" s="83" t="n">
        <v>117.0651</v>
      </c>
    </row>
    <row r="814">
      <c r="A814" s="83" t="inlineStr">
        <is>
          <t>2019-01</t>
        </is>
      </c>
      <c r="B814" s="22" t="n">
        <v>43466</v>
      </c>
      <c r="E814" s="22" t="n">
        <v>42979</v>
      </c>
      <c r="F814" s="83" t="inlineStr">
        <is>
          <t>2017-09</t>
        </is>
      </c>
      <c r="G814" s="83" t="n">
        <v>114.5376</v>
      </c>
      <c r="I814" s="83" t="n">
        <v>123.5425</v>
      </c>
      <c r="J814" s="83" t="n">
        <v>115.9006</v>
      </c>
      <c r="K814" s="83" t="n">
        <v>107.1083</v>
      </c>
      <c r="L814" s="83" t="n">
        <v>119.4809</v>
      </c>
      <c r="M814" s="83" t="n">
        <v>125.0239</v>
      </c>
      <c r="N814" s="83" t="n">
        <v>117.6009</v>
      </c>
      <c r="O814" s="83" t="n">
        <v>108.8998</v>
      </c>
      <c r="P814" s="83" t="n">
        <v>121.0099</v>
      </c>
      <c r="R814" s="83" t="n">
        <v>102.4581</v>
      </c>
      <c r="S814" s="83" t="n">
        <v>110.8762</v>
      </c>
      <c r="AA814" s="83" t="n">
        <v>117.333</v>
      </c>
      <c r="AC814" s="83" t="n">
        <v>117.1414</v>
      </c>
      <c r="AD814" s="83" t="n">
        <v>120.4274</v>
      </c>
      <c r="AE814" s="83" t="n">
        <v>119.2442</v>
      </c>
      <c r="AG814" s="83" t="n">
        <v>100.2001</v>
      </c>
      <c r="AH814" s="83" t="n">
        <v>113.7104</v>
      </c>
      <c r="AJ814" s="83" t="n">
        <v>106.9887</v>
      </c>
      <c r="AK814" s="83" t="n">
        <v>117.1985</v>
      </c>
      <c r="AO814" s="83" t="n">
        <v>114.443</v>
      </c>
      <c r="AQ814" s="83" t="n">
        <v>111.5446</v>
      </c>
      <c r="AR814" s="83" t="n">
        <v>114.795</v>
      </c>
      <c r="AT814" s="83" t="n">
        <v>118.0416</v>
      </c>
      <c r="AV814" s="83" t="n">
        <v>116.1004</v>
      </c>
      <c r="AZ814" s="83" t="n">
        <v>121.0692</v>
      </c>
      <c r="BA814" s="83" t="n">
        <v>137.1482</v>
      </c>
      <c r="BB814" s="83" t="n">
        <v>113.9858</v>
      </c>
      <c r="BC814" s="83" t="n">
        <v>114.9352</v>
      </c>
      <c r="BD814" s="83" t="n">
        <v>117.5615</v>
      </c>
    </row>
    <row r="815">
      <c r="A815" s="83" t="inlineStr">
        <is>
          <t>2019-02</t>
        </is>
      </c>
      <c r="B815" s="22" t="n">
        <v>43497</v>
      </c>
      <c r="E815" s="22" t="n">
        <v>43009</v>
      </c>
      <c r="F815" s="83" t="inlineStr">
        <is>
          <t>2017-10</t>
        </is>
      </c>
      <c r="G815" s="83" t="n">
        <v>114.9046</v>
      </c>
      <c r="I815" s="83" t="n">
        <v>124.5115</v>
      </c>
      <c r="J815" s="83" t="n">
        <v>116.7075</v>
      </c>
      <c r="K815" s="83" t="n">
        <v>107.3775</v>
      </c>
      <c r="L815" s="83" t="n">
        <v>120.1206</v>
      </c>
      <c r="M815" s="83" t="n">
        <v>126.0675</v>
      </c>
      <c r="N815" s="83" t="n">
        <v>118.2607</v>
      </c>
      <c r="O815" s="83" t="n">
        <v>107.5805</v>
      </c>
      <c r="P815" s="83" t="n">
        <v>120.8254</v>
      </c>
      <c r="R815" s="83" t="n">
        <v>102.0365</v>
      </c>
      <c r="S815" s="83" t="n">
        <v>111.0502</v>
      </c>
      <c r="AA815" s="83" t="n">
        <v>117.9475</v>
      </c>
      <c r="AC815" s="83" t="n">
        <v>118.575</v>
      </c>
      <c r="AD815" s="83" t="n">
        <v>121.2595</v>
      </c>
      <c r="AE815" s="83" t="n">
        <v>121.0234</v>
      </c>
      <c r="AG815" s="83" t="n">
        <v>100.3614</v>
      </c>
      <c r="AH815" s="83" t="n">
        <v>113.3625</v>
      </c>
      <c r="AJ815" s="83" t="n">
        <v>107.313</v>
      </c>
      <c r="AK815" s="83" t="n">
        <v>117.6856</v>
      </c>
      <c r="AO815" s="83" t="n">
        <v>115.278</v>
      </c>
      <c r="AQ815" s="83" t="n">
        <v>112.5092</v>
      </c>
      <c r="AR815" s="83" t="n">
        <v>115.3881</v>
      </c>
      <c r="AT815" s="83" t="n">
        <v>118.6555</v>
      </c>
      <c r="AV815" s="83" t="n">
        <v>116.6453</v>
      </c>
      <c r="AZ815" s="83" t="n">
        <v>121.665</v>
      </c>
      <c r="BA815" s="83" t="n">
        <v>140.4015</v>
      </c>
      <c r="BB815" s="83" t="n">
        <v>114.4221</v>
      </c>
      <c r="BC815" s="83" t="n">
        <v>115.4873</v>
      </c>
      <c r="BD815" s="83" t="n">
        <v>118.5497</v>
      </c>
    </row>
    <row r="816">
      <c r="A816" s="83" t="inlineStr">
        <is>
          <t>2019-03</t>
        </is>
      </c>
      <c r="B816" s="22" t="n">
        <v>43525</v>
      </c>
      <c r="E816" s="22" t="n">
        <v>43040</v>
      </c>
      <c r="F816" s="83" t="inlineStr">
        <is>
          <t>2017-11</t>
        </is>
      </c>
      <c r="G816" s="83" t="n">
        <v>115.2241</v>
      </c>
      <c r="I816" s="83" t="n">
        <v>124.9764</v>
      </c>
      <c r="J816" s="83" t="n">
        <v>117.3555</v>
      </c>
      <c r="K816" s="83" t="n">
        <v>107.5197</v>
      </c>
      <c r="L816" s="83" t="n">
        <v>120.6163</v>
      </c>
      <c r="M816" s="83" t="n">
        <v>127.1524</v>
      </c>
      <c r="N816" s="83" t="n">
        <v>118.9709</v>
      </c>
      <c r="O816" s="83" t="n">
        <v>107.3398</v>
      </c>
      <c r="P816" s="83" t="n">
        <v>121.0119</v>
      </c>
      <c r="R816" s="83" t="n">
        <v>101.29</v>
      </c>
      <c r="S816" s="83" t="n">
        <v>111.4739</v>
      </c>
      <c r="AA816" s="83" t="n">
        <v>118.1964</v>
      </c>
      <c r="AC816" s="83" t="n">
        <v>119.5871</v>
      </c>
      <c r="AD816" s="83" t="n">
        <v>122.2036</v>
      </c>
      <c r="AE816" s="83" t="n">
        <v>122.2668</v>
      </c>
      <c r="AG816" s="83" t="n">
        <v>100.5153</v>
      </c>
      <c r="AH816" s="83" t="n">
        <v>113.1769</v>
      </c>
      <c r="AJ816" s="83" t="n">
        <v>107.6042</v>
      </c>
      <c r="AK816" s="83" t="n">
        <v>118.3541</v>
      </c>
      <c r="AO816" s="83" t="n">
        <v>115.8947</v>
      </c>
      <c r="AQ816" s="83" t="n">
        <v>113.0978</v>
      </c>
      <c r="AR816" s="83" t="n">
        <v>115.8163</v>
      </c>
      <c r="AT816" s="83" t="n">
        <v>119.2572</v>
      </c>
      <c r="AV816" s="83" t="n">
        <v>117.2754</v>
      </c>
      <c r="AZ816" s="83" t="n">
        <v>122.1007</v>
      </c>
      <c r="BA816" s="83" t="n">
        <v>143.5611</v>
      </c>
      <c r="BB816" s="83" t="n">
        <v>114.6299</v>
      </c>
      <c r="BC816" s="83" t="n">
        <v>115.9802</v>
      </c>
      <c r="BD816" s="83" t="n">
        <v>119.586</v>
      </c>
    </row>
    <row r="817">
      <c r="A817" s="83" t="inlineStr">
        <is>
          <t>2019-04</t>
        </is>
      </c>
      <c r="B817" s="22" t="n">
        <v>43556</v>
      </c>
      <c r="E817" s="22" t="n">
        <v>43070</v>
      </c>
      <c r="F817" s="83" t="inlineStr">
        <is>
          <t>2017-12</t>
        </is>
      </c>
      <c r="G817" s="83" t="n">
        <v>115.1344</v>
      </c>
      <c r="I817" s="83" t="n">
        <v>125.3354</v>
      </c>
      <c r="J817" s="83" t="n">
        <v>118.0461</v>
      </c>
      <c r="K817" s="83" t="n">
        <v>107.6446</v>
      </c>
      <c r="L817" s="83" t="n">
        <v>120.6695</v>
      </c>
      <c r="M817" s="83" t="n">
        <v>127.9033</v>
      </c>
      <c r="N817" s="83" t="n">
        <v>120.2474</v>
      </c>
      <c r="O817" s="83" t="n">
        <v>106.963</v>
      </c>
      <c r="P817" s="83" t="n">
        <v>121.4602</v>
      </c>
      <c r="R817" s="83" t="n">
        <v>101.9412</v>
      </c>
      <c r="S817" s="83" t="n">
        <v>111.8837</v>
      </c>
      <c r="AA817" s="83" t="n">
        <v>118.1111</v>
      </c>
      <c r="AC817" s="83" t="n">
        <v>120.4308</v>
      </c>
      <c r="AD817" s="83" t="n">
        <v>122.6267</v>
      </c>
      <c r="AE817" s="83" t="n">
        <v>122.8887</v>
      </c>
      <c r="AG817" s="83" t="n">
        <v>100.8441</v>
      </c>
      <c r="AH817" s="83" t="n">
        <v>113.6312</v>
      </c>
      <c r="AJ817" s="83" t="n">
        <v>107.6731</v>
      </c>
      <c r="AK817" s="83" t="n">
        <v>119.3748</v>
      </c>
      <c r="AO817" s="83" t="n">
        <v>117.0107</v>
      </c>
      <c r="AQ817" s="83" t="n">
        <v>113.0396</v>
      </c>
      <c r="AR817" s="83" t="n">
        <v>116.1559</v>
      </c>
      <c r="AT817" s="83" t="n">
        <v>119.7729</v>
      </c>
      <c r="AV817" s="83" t="n">
        <v>116.6269</v>
      </c>
      <c r="AZ817" s="83" t="n">
        <v>122.1197</v>
      </c>
      <c r="BA817" s="83" t="n">
        <v>143.8664</v>
      </c>
      <c r="BB817" s="83" t="n">
        <v>114.9764</v>
      </c>
      <c r="BC817" s="83" t="n">
        <v>116.5945</v>
      </c>
      <c r="BD817" s="83" t="n">
        <v>120.2818</v>
      </c>
    </row>
    <row r="818">
      <c r="A818" s="83" t="inlineStr">
        <is>
          <t>2019-05</t>
        </is>
      </c>
      <c r="B818" s="22" t="n">
        <v>43586</v>
      </c>
      <c r="E818" s="22" t="n">
        <v>43101</v>
      </c>
      <c r="F818" s="83" t="inlineStr">
        <is>
          <t>2018-01</t>
        </is>
      </c>
      <c r="G818" s="83" t="n">
        <v>115.1428</v>
      </c>
      <c r="I818" s="83" t="n">
        <v>125.8874</v>
      </c>
      <c r="J818" s="83" t="n">
        <v>117.5758</v>
      </c>
      <c r="K818" s="83" t="n">
        <v>107.9691</v>
      </c>
      <c r="L818" s="83" t="n">
        <v>120.5811</v>
      </c>
      <c r="M818" s="83" t="n">
        <v>129.0859</v>
      </c>
      <c r="N818" s="83" t="n">
        <v>120.9125</v>
      </c>
      <c r="O818" s="83" t="n">
        <v>106.4319</v>
      </c>
      <c r="P818" s="83" t="n">
        <v>121.7839</v>
      </c>
      <c r="R818" s="83" t="n">
        <v>101.854</v>
      </c>
      <c r="S818" s="83" t="n">
        <v>111.9444</v>
      </c>
      <c r="AA818" s="83" t="n">
        <v>118.6173</v>
      </c>
      <c r="AC818" s="83" t="n">
        <v>122.1551</v>
      </c>
      <c r="AD818" s="83" t="n">
        <v>123.2196</v>
      </c>
      <c r="AE818" s="83" t="n">
        <v>123.8216</v>
      </c>
      <c r="AG818" s="83" t="n">
        <v>101.2755</v>
      </c>
      <c r="AH818" s="83" t="n">
        <v>113.9534</v>
      </c>
      <c r="AJ818" s="83" t="n">
        <v>107.8683</v>
      </c>
      <c r="AK818" s="83" t="n">
        <v>120.3098</v>
      </c>
      <c r="AO818" s="83" t="n">
        <v>116.0421</v>
      </c>
      <c r="AQ818" s="83" t="n">
        <v>113.6738</v>
      </c>
      <c r="AR818" s="83" t="n">
        <v>116.2922</v>
      </c>
      <c r="AT818" s="83" t="n">
        <v>120.3315</v>
      </c>
      <c r="AV818" s="83" t="n">
        <v>116.8532</v>
      </c>
      <c r="AZ818" s="83" t="n">
        <v>121.8634</v>
      </c>
      <c r="BA818" s="83" t="n">
        <v>143.2557</v>
      </c>
      <c r="BB818" s="83" t="n">
        <v>115.1651</v>
      </c>
      <c r="BC818" s="83" t="n">
        <v>117.6014</v>
      </c>
      <c r="BD818" s="83" t="n">
        <v>120.9593</v>
      </c>
    </row>
    <row r="819">
      <c r="A819" s="83" t="inlineStr">
        <is>
          <t>2019-06</t>
        </is>
      </c>
      <c r="B819" s="22" t="n">
        <v>43617</v>
      </c>
      <c r="E819" s="22" t="n">
        <v>43132</v>
      </c>
      <c r="F819" s="83" t="inlineStr">
        <is>
          <t>2018-02</t>
        </is>
      </c>
      <c r="G819" s="83" t="n">
        <v>115.3361</v>
      </c>
      <c r="I819" s="83" t="n">
        <v>126.5311</v>
      </c>
      <c r="J819" s="83" t="n">
        <v>118.8625</v>
      </c>
      <c r="K819" s="83" t="n">
        <v>108.2808</v>
      </c>
      <c r="L819" s="83" t="n">
        <v>120.8162</v>
      </c>
      <c r="M819" s="83" t="n">
        <v>130.5695</v>
      </c>
      <c r="N819" s="83" t="n">
        <v>121.012</v>
      </c>
      <c r="O819" s="83" t="n">
        <v>106.2227</v>
      </c>
      <c r="P819" s="83" t="n">
        <v>122.7301</v>
      </c>
      <c r="R819" s="83" t="n">
        <v>100.8577</v>
      </c>
      <c r="S819" s="83" t="n">
        <v>111.9121</v>
      </c>
      <c r="AA819" s="83" t="n">
        <v>119.1355</v>
      </c>
      <c r="AC819" s="83" t="n">
        <v>124.3065</v>
      </c>
      <c r="AD819" s="83" t="n">
        <v>124.0943</v>
      </c>
      <c r="AE819" s="83" t="n">
        <v>124.7564</v>
      </c>
      <c r="AG819" s="83" t="n">
        <v>101.7775</v>
      </c>
      <c r="AH819" s="83" t="n">
        <v>113.7367</v>
      </c>
      <c r="AJ819" s="83" t="n">
        <v>108.0381</v>
      </c>
      <c r="AK819" s="83" t="n">
        <v>121.3298</v>
      </c>
      <c r="AO819" s="83" t="n">
        <v>115.15</v>
      </c>
      <c r="AQ819" s="83" t="n">
        <v>114.3148</v>
      </c>
      <c r="AR819" s="83" t="n">
        <v>116.6331</v>
      </c>
      <c r="AT819" s="83" t="n">
        <v>120.9332</v>
      </c>
      <c r="AV819" s="83" t="n">
        <v>118.4037</v>
      </c>
      <c r="AZ819" s="83" t="n">
        <v>122.6075</v>
      </c>
      <c r="BA819" s="83" t="n">
        <v>144.2888</v>
      </c>
      <c r="BB819" s="83" t="n">
        <v>115.4518</v>
      </c>
      <c r="BC819" s="83" t="n">
        <v>118.5463</v>
      </c>
      <c r="BD819" s="83" t="n">
        <v>121.4188</v>
      </c>
    </row>
    <row r="820">
      <c r="A820" s="83" t="inlineStr">
        <is>
          <t>2019-07</t>
        </is>
      </c>
      <c r="B820" s="22" t="n">
        <v>43647</v>
      </c>
      <c r="E820" s="22" t="n">
        <v>43160</v>
      </c>
      <c r="F820" s="83" t="inlineStr">
        <is>
          <t>2018-03</t>
        </is>
      </c>
      <c r="G820" s="83" t="n">
        <v>115.3445</v>
      </c>
      <c r="I820" s="83" t="n">
        <v>127.3854</v>
      </c>
      <c r="J820" s="83" t="n">
        <v>119.0548</v>
      </c>
      <c r="K820" s="83" t="n">
        <v>108.2908</v>
      </c>
      <c r="L820" s="83" t="n">
        <v>121.526</v>
      </c>
      <c r="M820" s="83" t="n">
        <v>131.1126</v>
      </c>
      <c r="N820" s="83" t="n">
        <v>121.5293</v>
      </c>
      <c r="O820" s="83" t="n">
        <v>106.1429</v>
      </c>
      <c r="P820" s="83" t="n">
        <v>123.4866</v>
      </c>
      <c r="R820" s="83" t="n">
        <v>100.4737</v>
      </c>
      <c r="S820" s="83" t="n">
        <v>112.2069</v>
      </c>
      <c r="AA820" s="83" t="n">
        <v>118.4816</v>
      </c>
      <c r="AC820" s="83" t="n">
        <v>125.7015</v>
      </c>
      <c r="AD820" s="83" t="n">
        <v>124.5713</v>
      </c>
      <c r="AE820" s="83" t="n">
        <v>125.6895</v>
      </c>
      <c r="AG820" s="83" t="n">
        <v>102.3663</v>
      </c>
      <c r="AH820" s="83" t="n">
        <v>114.2504</v>
      </c>
      <c r="AJ820" s="83" t="n">
        <v>108.225</v>
      </c>
      <c r="AK820" s="83" t="n">
        <v>122.3851</v>
      </c>
      <c r="AO820" s="83" t="n">
        <v>117.4669</v>
      </c>
      <c r="AQ820" s="83" t="n">
        <v>114.8058</v>
      </c>
      <c r="AR820" s="83" t="n">
        <v>117.239</v>
      </c>
      <c r="AT820" s="83" t="n">
        <v>121.7213</v>
      </c>
      <c r="AV820" s="83" t="n">
        <v>120.4944</v>
      </c>
      <c r="AZ820" s="83" t="n">
        <v>123.8971</v>
      </c>
      <c r="BA820" s="83" t="n">
        <v>147.4226</v>
      </c>
      <c r="BB820" s="83" t="n">
        <v>115.9487</v>
      </c>
      <c r="BC820" s="83" t="n">
        <v>118.7359</v>
      </c>
      <c r="BD820" s="83" t="n">
        <v>121.8423</v>
      </c>
    </row>
    <row r="821">
      <c r="A821" s="83" t="inlineStr">
        <is>
          <t>2019-08</t>
        </is>
      </c>
      <c r="B821" s="22" t="n">
        <v>43678</v>
      </c>
      <c r="E821" s="22" t="n">
        <v>43191</v>
      </c>
      <c r="F821" s="83" t="inlineStr">
        <is>
          <t>2018-04</t>
        </is>
      </c>
      <c r="G821" s="83" t="n">
        <v>115.2857</v>
      </c>
      <c r="I821" s="83" t="n">
        <v>128.2491</v>
      </c>
      <c r="J821" s="83" t="n">
        <v>119.2642</v>
      </c>
      <c r="K821" s="83" t="n">
        <v>108.4202</v>
      </c>
      <c r="L821" s="83" t="n">
        <v>123.4717</v>
      </c>
      <c r="M821" s="83" t="n">
        <v>131.7365</v>
      </c>
      <c r="N821" s="83" t="n">
        <v>121.8336</v>
      </c>
      <c r="O821" s="83" t="n">
        <v>106.4297</v>
      </c>
      <c r="P821" s="83" t="n">
        <v>124.028</v>
      </c>
      <c r="R821" s="83" t="n">
        <v>100.727</v>
      </c>
      <c r="S821" s="83" t="n">
        <v>112.787</v>
      </c>
      <c r="AA821" s="83" t="n">
        <v>117.8296</v>
      </c>
      <c r="AC821" s="83" t="n">
        <v>127.346</v>
      </c>
      <c r="AD821" s="83" t="n">
        <v>125.1125</v>
      </c>
      <c r="AE821" s="83" t="n">
        <v>126.8122</v>
      </c>
      <c r="AG821" s="83" t="n">
        <v>103.0184</v>
      </c>
      <c r="AH821" s="83" t="n">
        <v>115.1158</v>
      </c>
      <c r="AJ821" s="83" t="n">
        <v>108.4751</v>
      </c>
      <c r="AK821" s="83" t="n">
        <v>123.0396</v>
      </c>
      <c r="AO821" s="83" t="n">
        <v>119.638</v>
      </c>
      <c r="AQ821" s="83" t="n">
        <v>116.1414</v>
      </c>
      <c r="AR821" s="83" t="n">
        <v>117.7982</v>
      </c>
      <c r="AT821" s="83" t="n">
        <v>122.5093</v>
      </c>
      <c r="AV821" s="83" t="n">
        <v>124.2325</v>
      </c>
      <c r="AZ821" s="83" t="n">
        <v>124.9401</v>
      </c>
      <c r="BA821" s="83" t="n">
        <v>150.938</v>
      </c>
      <c r="BB821" s="83" t="n">
        <v>116.252</v>
      </c>
      <c r="BC821" s="83" t="n">
        <v>118.7085</v>
      </c>
      <c r="BD821" s="83" t="n">
        <v>122.3045</v>
      </c>
    </row>
    <row r="822">
      <c r="A822" s="83" t="inlineStr">
        <is>
          <t>2019-09</t>
        </is>
      </c>
      <c r="B822" s="22" t="n">
        <v>43709</v>
      </c>
      <c r="E822" s="22" t="n">
        <v>43221</v>
      </c>
      <c r="F822" s="83" t="inlineStr">
        <is>
          <t>2018-05</t>
        </is>
      </c>
      <c r="G822" s="83" t="n">
        <v>115.437</v>
      </c>
      <c r="I822" s="83" t="n">
        <v>128.6957</v>
      </c>
      <c r="J822" s="83" t="n">
        <v>119.8767</v>
      </c>
      <c r="K822" s="83" t="n">
        <v>108.7153</v>
      </c>
      <c r="L822" s="83" t="n">
        <v>124.9933</v>
      </c>
      <c r="M822" s="83" t="n">
        <v>132.2975</v>
      </c>
      <c r="N822" s="83" t="n">
        <v>122.0946</v>
      </c>
      <c r="O822" s="83" t="n">
        <v>106.7765</v>
      </c>
      <c r="P822" s="83" t="n">
        <v>125.259</v>
      </c>
      <c r="R822" s="83" t="n">
        <v>100.6248</v>
      </c>
      <c r="S822" s="83" t="n">
        <v>113.4357</v>
      </c>
      <c r="AA822" s="83" t="n">
        <v>118.7461</v>
      </c>
      <c r="AC822" s="83" t="n">
        <v>128.6508</v>
      </c>
      <c r="AD822" s="83" t="n">
        <v>125.5814</v>
      </c>
      <c r="AE822" s="83" t="n">
        <v>127.9901</v>
      </c>
      <c r="AG822" s="83" t="n">
        <v>103.7161</v>
      </c>
      <c r="AH822" s="83" t="n">
        <v>115.3095</v>
      </c>
      <c r="AJ822" s="83" t="n">
        <v>108.6508</v>
      </c>
      <c r="AK822" s="83" t="n">
        <v>123.3544</v>
      </c>
      <c r="AO822" s="83" t="n">
        <v>120.6596</v>
      </c>
      <c r="AQ822" s="83" t="n">
        <v>117.0081</v>
      </c>
      <c r="AR822" s="83" t="n">
        <v>118.5397</v>
      </c>
      <c r="AT822" s="83" t="n">
        <v>123.5361</v>
      </c>
      <c r="AV822" s="83" t="n">
        <v>126.4643</v>
      </c>
      <c r="AZ822" s="83" t="n">
        <v>125.1954</v>
      </c>
      <c r="BA822" s="83" t="n">
        <v>155.6444</v>
      </c>
      <c r="BB822" s="83" t="n">
        <v>116.7988</v>
      </c>
      <c r="BC822" s="83" t="n">
        <v>118.8923</v>
      </c>
      <c r="BD822" s="83" t="n">
        <v>122.7216</v>
      </c>
    </row>
    <row r="823">
      <c r="A823" s="83" t="inlineStr">
        <is>
          <t>2019-10</t>
        </is>
      </c>
      <c r="B823" s="22" t="n">
        <v>43739</v>
      </c>
      <c r="E823" s="22" t="n">
        <v>43252</v>
      </c>
      <c r="F823" s="83" t="inlineStr">
        <is>
          <t>2018-06</t>
        </is>
      </c>
      <c r="G823" s="83" t="n">
        <v>115.762</v>
      </c>
      <c r="I823" s="83" t="n">
        <v>129.576</v>
      </c>
      <c r="J823" s="83" t="n">
        <v>120.6148</v>
      </c>
      <c r="K823" s="83" t="n">
        <v>108.7727</v>
      </c>
      <c r="L823" s="83" t="n">
        <v>125.7396</v>
      </c>
      <c r="M823" s="83" t="n">
        <v>132.8013</v>
      </c>
      <c r="N823" s="83" t="n">
        <v>122.5717</v>
      </c>
      <c r="O823" s="83" t="n">
        <v>106.5861</v>
      </c>
      <c r="P823" s="83" t="n">
        <v>125.7526</v>
      </c>
      <c r="R823" s="83" t="n">
        <v>100.3016</v>
      </c>
      <c r="S823" s="83" t="n">
        <v>114.2886</v>
      </c>
      <c r="AA823" s="83" t="n">
        <v>119.5351</v>
      </c>
      <c r="AC823" s="83" t="n">
        <v>130.7664</v>
      </c>
      <c r="AD823" s="83" t="n">
        <v>125.9678</v>
      </c>
      <c r="AE823" s="83" t="n">
        <v>128.8645</v>
      </c>
      <c r="AG823" s="83" t="n">
        <v>104.3891</v>
      </c>
      <c r="AH823" s="83" t="n">
        <v>115.1411</v>
      </c>
      <c r="AJ823" s="83" t="n">
        <v>108.9838</v>
      </c>
      <c r="AK823" s="83" t="n">
        <v>123.9101</v>
      </c>
      <c r="AO823" s="83" t="n">
        <v>121.7346</v>
      </c>
      <c r="AQ823" s="83" t="n">
        <v>117.3478</v>
      </c>
      <c r="AR823" s="83" t="n">
        <v>119.2502</v>
      </c>
      <c r="AT823" s="83" t="n">
        <v>124.6257</v>
      </c>
      <c r="AV823" s="83" t="n">
        <v>127.1953</v>
      </c>
      <c r="AZ823" s="83" t="n">
        <v>125.4083</v>
      </c>
      <c r="BA823" s="83" t="n">
        <v>159.8902</v>
      </c>
      <c r="BB823" s="83" t="n">
        <v>117.3398</v>
      </c>
      <c r="BC823" s="83" t="n">
        <v>119.3146</v>
      </c>
      <c r="BD823" s="83" t="n">
        <v>123.514</v>
      </c>
    </row>
    <row r="824">
      <c r="A824" s="83" t="inlineStr">
        <is>
          <t>2019-11</t>
        </is>
      </c>
      <c r="B824" s="22" t="n">
        <v>43770</v>
      </c>
      <c r="E824" s="22" t="n">
        <v>43282</v>
      </c>
      <c r="F824" s="83" t="inlineStr">
        <is>
          <t>2018-07</t>
        </is>
      </c>
      <c r="G824" s="83" t="n">
        <v>116.0954</v>
      </c>
      <c r="I824" s="83" t="n">
        <v>130.4622</v>
      </c>
      <c r="J824" s="83" t="n">
        <v>121.1386</v>
      </c>
      <c r="K824" s="83" t="n">
        <v>108.9035</v>
      </c>
      <c r="L824" s="83" t="n">
        <v>126.8182</v>
      </c>
      <c r="M824" s="83" t="n">
        <v>133.9594</v>
      </c>
      <c r="N824" s="83" t="n">
        <v>123.284</v>
      </c>
      <c r="O824" s="83" t="n">
        <v>106.141</v>
      </c>
      <c r="P824" s="83" t="n">
        <v>125.6151</v>
      </c>
      <c r="R824" s="83" t="n">
        <v>100.9831</v>
      </c>
      <c r="S824" s="83" t="n">
        <v>114.718</v>
      </c>
      <c r="AA824" s="83" t="n">
        <v>119.461</v>
      </c>
      <c r="AC824" s="83" t="n">
        <v>133.0918</v>
      </c>
      <c r="AD824" s="83" t="n">
        <v>126.6165</v>
      </c>
      <c r="AE824" s="83" t="n">
        <v>129.6466</v>
      </c>
      <c r="AG824" s="83" t="n">
        <v>105.0022</v>
      </c>
      <c r="AH824" s="83" t="n">
        <v>115.504</v>
      </c>
      <c r="AJ824" s="83" t="n">
        <v>109.1727</v>
      </c>
      <c r="AK824" s="83" t="n">
        <v>124.6952</v>
      </c>
      <c r="AO824" s="83" t="n">
        <v>121.6698</v>
      </c>
      <c r="AQ824" s="83" t="n">
        <v>117.487</v>
      </c>
      <c r="AR824" s="83" t="n">
        <v>119.6646</v>
      </c>
      <c r="AT824" s="83" t="n">
        <v>125.3072</v>
      </c>
      <c r="AV824" s="83" t="n">
        <v>127.2476</v>
      </c>
      <c r="AZ824" s="83" t="n">
        <v>125.7689</v>
      </c>
      <c r="BA824" s="83" t="n">
        <v>163.3858</v>
      </c>
      <c r="BB824" s="83" t="n">
        <v>117.6141</v>
      </c>
      <c r="BC824" s="83" t="n">
        <v>120.2665</v>
      </c>
      <c r="BD824" s="83" t="n">
        <v>124.4688</v>
      </c>
    </row>
    <row r="825">
      <c r="A825" s="83" t="inlineStr">
        <is>
          <t>2019-12</t>
        </is>
      </c>
      <c r="B825" s="22" t="n">
        <v>43800</v>
      </c>
      <c r="E825" s="22" t="n">
        <v>43313</v>
      </c>
      <c r="F825" s="83" t="inlineStr">
        <is>
          <t>2018-08</t>
        </is>
      </c>
      <c r="G825" s="83" t="n">
        <v>116.7875</v>
      </c>
      <c r="I825" s="83" t="n">
        <v>131.3856</v>
      </c>
      <c r="J825" s="83" t="n">
        <v>121.8608</v>
      </c>
      <c r="K825" s="83" t="n">
        <v>109.3182</v>
      </c>
      <c r="L825" s="83" t="n">
        <v>127.7573</v>
      </c>
      <c r="M825" s="83" t="n">
        <v>134.9996</v>
      </c>
      <c r="N825" s="83" t="n">
        <v>124.0697</v>
      </c>
      <c r="O825" s="83" t="n">
        <v>106.1051</v>
      </c>
      <c r="P825" s="83" t="n">
        <v>126.3211</v>
      </c>
      <c r="R825" s="83" t="n">
        <v>101.7587</v>
      </c>
      <c r="S825" s="83" t="n">
        <v>114.7097</v>
      </c>
      <c r="AA825" s="83" t="n">
        <v>119.5447</v>
      </c>
      <c r="AC825" s="83" t="n">
        <v>133.9344</v>
      </c>
      <c r="AD825" s="83" t="n">
        <v>127.0985</v>
      </c>
      <c r="AE825" s="83" t="n">
        <v>130.8387</v>
      </c>
      <c r="AG825" s="83" t="n">
        <v>105.5971</v>
      </c>
      <c r="AH825" s="83" t="n">
        <v>116.1133</v>
      </c>
      <c r="AJ825" s="83" t="n">
        <v>109.3604</v>
      </c>
      <c r="AK825" s="83" t="n">
        <v>125.0406</v>
      </c>
      <c r="AO825" s="83" t="n">
        <v>121.9145</v>
      </c>
      <c r="AQ825" s="83" t="n">
        <v>117.5679</v>
      </c>
      <c r="AR825" s="83" t="n">
        <v>120.1682</v>
      </c>
      <c r="AT825" s="83" t="n">
        <v>126.1469</v>
      </c>
      <c r="AV825" s="83" t="n">
        <v>128.1427</v>
      </c>
      <c r="AZ825" s="83" t="n">
        <v>125.9273</v>
      </c>
      <c r="BA825" s="83" t="n">
        <v>166.4898</v>
      </c>
      <c r="BB825" s="83" t="n">
        <v>117.9797</v>
      </c>
      <c r="BC825" s="83" t="n">
        <v>121.7115</v>
      </c>
      <c r="BD825" s="83" t="n">
        <v>125.5168</v>
      </c>
    </row>
    <row r="826">
      <c r="A826" s="83" t="inlineStr">
        <is>
          <t>2020-01</t>
        </is>
      </c>
      <c r="B826" s="83" t="n">
        <v>43831</v>
      </c>
      <c r="E826" s="22" t="n">
        <v>43344</v>
      </c>
      <c r="F826" s="83" t="inlineStr">
        <is>
          <t>2018-09</t>
        </is>
      </c>
      <c r="G826" s="83" t="n">
        <v>117.2217</v>
      </c>
      <c r="I826" s="83" t="n">
        <v>132.8934</v>
      </c>
      <c r="J826" s="83" t="n">
        <v>122.5326</v>
      </c>
      <c r="K826" s="83" t="n">
        <v>109.6353</v>
      </c>
      <c r="L826" s="83" t="n">
        <v>128.8906</v>
      </c>
      <c r="M826" s="83" t="n">
        <v>135.9704</v>
      </c>
      <c r="N826" s="83" t="n">
        <v>124.4292</v>
      </c>
      <c r="O826" s="83" t="n">
        <v>106.8774</v>
      </c>
      <c r="P826" s="83" t="n">
        <v>126.4563</v>
      </c>
      <c r="R826" s="83" t="n">
        <v>101.8344</v>
      </c>
      <c r="S826" s="83" t="n">
        <v>114.8325</v>
      </c>
      <c r="AA826" s="83" t="n">
        <v>119.9935</v>
      </c>
      <c r="AC826" s="83" t="n">
        <v>133.9293</v>
      </c>
      <c r="AD826" s="83" t="n">
        <v>128.0515</v>
      </c>
      <c r="AE826" s="83" t="n">
        <v>131.7674</v>
      </c>
      <c r="AG826" s="83" t="n">
        <v>106.2291</v>
      </c>
      <c r="AH826" s="83" t="n">
        <v>116.6631</v>
      </c>
      <c r="AJ826" s="83" t="n">
        <v>109.6052</v>
      </c>
      <c r="AK826" s="83" t="n">
        <v>125.723</v>
      </c>
      <c r="AO826" s="83" t="n">
        <v>122.6511</v>
      </c>
      <c r="AQ826" s="83" t="n">
        <v>117.8121</v>
      </c>
      <c r="AR826" s="83" t="n">
        <v>120.7795</v>
      </c>
      <c r="AT826" s="83" t="n">
        <v>127.163</v>
      </c>
      <c r="AV826" s="83" t="n">
        <v>129.3533</v>
      </c>
      <c r="AZ826" s="83" t="n">
        <v>126.5857</v>
      </c>
      <c r="BA826" s="83" t="n">
        <v>172.6841</v>
      </c>
      <c r="BB826" s="83" t="n">
        <v>118.2415</v>
      </c>
      <c r="BC826" s="83" t="n">
        <v>122.9136</v>
      </c>
      <c r="BD826" s="83" t="n">
        <v>126.5449</v>
      </c>
    </row>
    <row r="827">
      <c r="A827" s="83" t="inlineStr">
        <is>
          <t>2020-02</t>
        </is>
      </c>
      <c r="B827" s="83" t="n">
        <v>43862</v>
      </c>
      <c r="E827" s="22" t="n">
        <v>43374</v>
      </c>
      <c r="F827" s="83" t="inlineStr">
        <is>
          <t>2018-10</t>
        </is>
      </c>
      <c r="G827" s="83" t="n">
        <v>117.3478</v>
      </c>
      <c r="I827" s="83" t="n">
        <v>133.8896</v>
      </c>
      <c r="J827" s="83" t="n">
        <v>123.1293</v>
      </c>
      <c r="K827" s="83" t="n">
        <v>109.9593</v>
      </c>
      <c r="L827" s="83" t="n">
        <v>129.6778</v>
      </c>
      <c r="M827" s="83" t="n">
        <v>136.975</v>
      </c>
      <c r="N827" s="83" t="n">
        <v>124.8196</v>
      </c>
      <c r="O827" s="83" t="n">
        <v>108.4386</v>
      </c>
      <c r="P827" s="83" t="n">
        <v>126.6618</v>
      </c>
      <c r="R827" s="83" t="n">
        <v>101.2509</v>
      </c>
      <c r="S827" s="83" t="n">
        <v>115.1092</v>
      </c>
      <c r="AA827" s="83" t="n">
        <v>121.0412</v>
      </c>
      <c r="AC827" s="83" t="n">
        <v>134.269</v>
      </c>
      <c r="AD827" s="83" t="n">
        <v>129.7608</v>
      </c>
      <c r="AE827" s="83" t="n">
        <v>132.5771</v>
      </c>
      <c r="AG827" s="83" t="n">
        <v>106.9454</v>
      </c>
      <c r="AH827" s="83" t="n">
        <v>117.3919</v>
      </c>
      <c r="AJ827" s="83" t="n">
        <v>109.7963</v>
      </c>
      <c r="AK827" s="83" t="n">
        <v>126.5008</v>
      </c>
      <c r="AO827" s="83" t="n">
        <v>122.3772</v>
      </c>
      <c r="AQ827" s="83" t="n">
        <v>117.8309</v>
      </c>
      <c r="AR827" s="83" t="n">
        <v>121.1506</v>
      </c>
      <c r="AT827" s="83" t="n">
        <v>128.2795</v>
      </c>
      <c r="AV827" s="83" t="n">
        <v>129.499</v>
      </c>
      <c r="AZ827" s="83" t="n">
        <v>127.2583</v>
      </c>
      <c r="BA827" s="83" t="n">
        <v>176.0971</v>
      </c>
      <c r="BB827" s="83" t="n">
        <v>118.2988</v>
      </c>
      <c r="BC827" s="83" t="n">
        <v>122.9701</v>
      </c>
      <c r="BD827" s="83" t="n">
        <v>127.0077</v>
      </c>
    </row>
    <row r="828">
      <c r="B828" s="83" t="n">
        <v>43891</v>
      </c>
      <c r="E828" s="22" t="n">
        <v>43405</v>
      </c>
      <c r="F828" s="83" t="inlineStr">
        <is>
          <t>2018-11</t>
        </is>
      </c>
      <c r="G828" s="83" t="n">
        <v>117.5103</v>
      </c>
      <c r="I828" s="83" t="n">
        <v>134.4371</v>
      </c>
      <c r="J828" s="83" t="n">
        <v>123.9555</v>
      </c>
      <c r="K828" s="83" t="n">
        <v>110.3706</v>
      </c>
      <c r="L828" s="83" t="n">
        <v>130.9885</v>
      </c>
      <c r="M828" s="83" t="n">
        <v>137.9958</v>
      </c>
      <c r="N828" s="83" t="n">
        <v>125.3905</v>
      </c>
      <c r="O828" s="83" t="n">
        <v>109.7899</v>
      </c>
      <c r="P828" s="83" t="n">
        <v>128.1019</v>
      </c>
      <c r="R828" s="83" t="n">
        <v>101.3955</v>
      </c>
      <c r="S828" s="83" t="n">
        <v>115.7175</v>
      </c>
      <c r="AA828" s="83" t="n">
        <v>121.5468</v>
      </c>
      <c r="AC828" s="83" t="n">
        <v>135.1137</v>
      </c>
      <c r="AD828" s="83" t="n">
        <v>130.635</v>
      </c>
      <c r="AE828" s="83" t="n">
        <v>133.7899</v>
      </c>
      <c r="AG828" s="83" t="n">
        <v>107.6995</v>
      </c>
      <c r="AH828" s="83" t="n">
        <v>118.5559</v>
      </c>
      <c r="AJ828" s="83" t="n">
        <v>109.8229</v>
      </c>
      <c r="AK828" s="83" t="n">
        <v>127.284</v>
      </c>
      <c r="AO828" s="83" t="n">
        <v>122.814</v>
      </c>
      <c r="AQ828" s="83" t="n">
        <v>118.1682</v>
      </c>
      <c r="AR828" s="83" t="n">
        <v>121.1863</v>
      </c>
      <c r="AT828" s="83" t="n">
        <v>129.4469</v>
      </c>
      <c r="AV828" s="83" t="n">
        <v>130.222</v>
      </c>
      <c r="AZ828" s="83" t="n">
        <v>127.8643</v>
      </c>
      <c r="BA828" s="83" t="n">
        <v>170.5484</v>
      </c>
      <c r="BB828" s="83" t="n">
        <v>118.3819</v>
      </c>
      <c r="BC828" s="83" t="n">
        <v>122.7588</v>
      </c>
      <c r="BD828" s="83" t="n">
        <v>127.355</v>
      </c>
    </row>
    <row r="829">
      <c r="E829" s="22" t="n">
        <v>43435</v>
      </c>
      <c r="F829" s="83" t="inlineStr">
        <is>
          <t>2018-12</t>
        </is>
      </c>
      <c r="G829" s="83" t="n">
        <v>117.6784</v>
      </c>
      <c r="I829" s="83" t="n">
        <v>136.1795</v>
      </c>
      <c r="J829" s="83" t="n">
        <v>125.5599</v>
      </c>
      <c r="K829" s="83" t="n">
        <v>110.7943</v>
      </c>
      <c r="L829" s="83" t="n">
        <v>132.9372</v>
      </c>
      <c r="M829" s="83" t="n">
        <v>139.0737</v>
      </c>
      <c r="N829" s="83" t="n">
        <v>126.6805</v>
      </c>
      <c r="O829" s="83" t="n">
        <v>109.5078</v>
      </c>
      <c r="P829" s="83" t="n">
        <v>128.6249</v>
      </c>
      <c r="R829" s="83" t="n">
        <v>100.7769</v>
      </c>
      <c r="S829" s="83" t="n">
        <v>116.369</v>
      </c>
      <c r="AA829" s="83" t="n">
        <v>121.9855</v>
      </c>
      <c r="AC829" s="83" t="n">
        <v>135.178</v>
      </c>
      <c r="AD829" s="83" t="n">
        <v>130.5066</v>
      </c>
      <c r="AE829" s="83" t="n">
        <v>134.8019</v>
      </c>
      <c r="AG829" s="83" t="n">
        <v>108.3908</v>
      </c>
      <c r="AH829" s="83" t="n">
        <v>119.2406</v>
      </c>
      <c r="AJ829" s="83" t="n">
        <v>109.9443</v>
      </c>
      <c r="AK829" s="83" t="n">
        <v>128.1479</v>
      </c>
      <c r="AO829" s="83" t="n">
        <v>123.2104</v>
      </c>
      <c r="AQ829" s="83" t="n">
        <v>118.9401</v>
      </c>
      <c r="AR829" s="83" t="n">
        <v>121.7636</v>
      </c>
      <c r="AT829" s="83" t="n">
        <v>130.5016</v>
      </c>
      <c r="AV829" s="83" t="n">
        <v>130.3529</v>
      </c>
      <c r="AZ829" s="83" t="n">
        <v>128.6509</v>
      </c>
      <c r="BA829" s="83" t="n">
        <v>168.3227</v>
      </c>
      <c r="BB829" s="83" t="n">
        <v>119.2653</v>
      </c>
      <c r="BC829" s="83" t="n">
        <v>123.1177</v>
      </c>
      <c r="BD829" s="83" t="n">
        <v>127.9911</v>
      </c>
    </row>
    <row r="830">
      <c r="E830" s="22" t="n">
        <v>43466</v>
      </c>
      <c r="F830" s="83" t="inlineStr">
        <is>
          <t>2019-01</t>
        </is>
      </c>
      <c r="G830" s="83" t="n">
        <v>118.1295</v>
      </c>
      <c r="J830" s="83" t="n">
        <v>125.012</v>
      </c>
      <c r="N830" s="83" t="n">
        <v>127.3775</v>
      </c>
      <c r="O830" s="83" t="n">
        <v>109.3017</v>
      </c>
      <c r="P830" s="83" t="n">
        <v>128.8445</v>
      </c>
      <c r="S830" s="83" t="n">
        <v>116.5331</v>
      </c>
      <c r="AA830" s="83" t="n">
        <v>121.7976</v>
      </c>
      <c r="AC830" s="83" t="n">
        <v>135.337</v>
      </c>
      <c r="AG830" s="83" t="n">
        <v>108.9879</v>
      </c>
      <c r="AH830" s="83" t="n">
        <v>119.9513</v>
      </c>
      <c r="AJ830" s="83" t="n">
        <v>110.0916</v>
      </c>
      <c r="AK830" s="83" t="n">
        <v>128.8485</v>
      </c>
      <c r="AQ830" s="83" t="n">
        <v>119.258</v>
      </c>
      <c r="AR830" s="83" t="n">
        <v>122.2276</v>
      </c>
      <c r="BB830" s="83" t="n">
        <v>119.9542</v>
      </c>
      <c r="BC830" s="83" t="n">
        <v>123.7819</v>
      </c>
    </row>
    <row r="831">
      <c r="E831" s="22" t="n">
        <v>43497</v>
      </c>
      <c r="F831" s="83" t="inlineStr">
        <is>
          <t>2019-02</t>
        </is>
      </c>
      <c r="G831" s="83" t="n">
        <v>118.6955</v>
      </c>
      <c r="J831" s="83" t="n">
        <v>126.275</v>
      </c>
      <c r="N831" s="83" t="n">
        <v>127.479</v>
      </c>
      <c r="O831" s="83" t="n">
        <v>109.8396</v>
      </c>
      <c r="P831" s="83" t="n">
        <v>130.0882</v>
      </c>
      <c r="S831" s="83" t="n">
        <v>116.6531</v>
      </c>
      <c r="AA831" s="83" t="n">
        <v>120.4998</v>
      </c>
      <c r="AC831" s="83" t="n">
        <v>136.242</v>
      </c>
      <c r="AG831" s="83" t="n">
        <v>109.5066</v>
      </c>
      <c r="AH831" s="83" t="n">
        <v>121.3121</v>
      </c>
      <c r="AJ831" s="83" t="n">
        <v>110.2889</v>
      </c>
      <c r="AK831" s="83" t="n">
        <v>130.2786</v>
      </c>
      <c r="AQ831" s="83" t="n">
        <v>119.5294</v>
      </c>
      <c r="AR831" s="83" t="n">
        <v>122.458</v>
      </c>
      <c r="BB831" s="83" t="n">
        <v>120.2019</v>
      </c>
      <c r="BC831" s="83" t="n">
        <v>124.6473</v>
      </c>
    </row>
    <row r="832">
      <c r="E832" s="22" t="n">
        <v>43525</v>
      </c>
      <c r="F832" s="83" t="inlineStr">
        <is>
          <t>2019-03</t>
        </is>
      </c>
      <c r="G832" s="83" t="n">
        <v>119.4352</v>
      </c>
      <c r="J832" s="83" t="n">
        <v>127.8008</v>
      </c>
      <c r="N832" s="83" t="n">
        <v>128.6983</v>
      </c>
      <c r="O832" s="83" t="n">
        <v>109.9597</v>
      </c>
      <c r="P832" s="83" t="n">
        <v>130.8682</v>
      </c>
      <c r="S832" s="83" t="n">
        <v>117.4557</v>
      </c>
      <c r="AA832" s="83" t="n">
        <v>120.2772</v>
      </c>
      <c r="AC832" s="83" t="n">
        <v>137.1819</v>
      </c>
      <c r="AG832" s="83" t="n">
        <v>109.9536</v>
      </c>
      <c r="AH832" s="83" t="n">
        <v>122.0823</v>
      </c>
      <c r="AJ832" s="83" t="n">
        <v>110.4823</v>
      </c>
      <c r="AK832" s="83" t="n">
        <v>131.911</v>
      </c>
      <c r="AQ832" s="83" t="n">
        <v>120.1408</v>
      </c>
      <c r="AR832" s="83" t="n">
        <v>122.92</v>
      </c>
      <c r="BB832" s="83" t="n">
        <v>120.5958</v>
      </c>
      <c r="BC832" s="83" t="n">
        <v>125.9501</v>
      </c>
    </row>
    <row r="833">
      <c r="E833" s="22" t="n">
        <v>43556</v>
      </c>
      <c r="F833" s="83" t="inlineStr">
        <is>
          <t>2019-04</t>
        </is>
      </c>
      <c r="G833" s="83" t="n">
        <v>120.046</v>
      </c>
      <c r="J833" s="83" t="n">
        <v>128.7808</v>
      </c>
      <c r="N833" s="83" t="n">
        <v>130.2542</v>
      </c>
      <c r="O833" s="83" t="n">
        <v>109.4699</v>
      </c>
      <c r="P833" s="83" t="n">
        <v>131.68</v>
      </c>
      <c r="S833" s="83" t="n">
        <v>118.4097</v>
      </c>
      <c r="AA833" s="83" t="n">
        <v>120.7488</v>
      </c>
      <c r="AC833" s="83" t="n">
        <v>137.9212</v>
      </c>
      <c r="AG833" s="83" t="n">
        <v>110.3324</v>
      </c>
      <c r="AH833" s="83" t="n">
        <v>122.984</v>
      </c>
      <c r="AJ833" s="83" t="n">
        <v>110.7959</v>
      </c>
      <c r="AK833" s="83" t="n">
        <v>132.6781</v>
      </c>
      <c r="AQ833" s="83" t="n">
        <v>120.3567</v>
      </c>
      <c r="AR833" s="83" t="n">
        <v>123.4325</v>
      </c>
      <c r="BB833" s="83" t="n">
        <v>120.9822</v>
      </c>
      <c r="BC833" s="83" t="n">
        <v>127.9987</v>
      </c>
    </row>
    <row r="834">
      <c r="E834" s="22" t="n">
        <v>43586</v>
      </c>
      <c r="F834" s="83" t="inlineStr">
        <is>
          <t>2019-05</t>
        </is>
      </c>
      <c r="G834" s="83" t="n">
        <v>120.2225</v>
      </c>
      <c r="J834" s="83" t="n">
        <v>129.2386</v>
      </c>
      <c r="N834" s="83" t="n">
        <v>131.3402</v>
      </c>
      <c r="O834" s="83" t="n">
        <v>108.9413</v>
      </c>
      <c r="P834" s="83" t="n">
        <v>133.3375</v>
      </c>
      <c r="S834" s="83" t="n">
        <v>119.145</v>
      </c>
      <c r="AA834" s="83" t="n">
        <v>121.1347</v>
      </c>
      <c r="AC834" s="83" t="n">
        <v>139.4274</v>
      </c>
      <c r="AG834" s="83" t="n">
        <v>110.645</v>
      </c>
      <c r="AH834" s="83" t="n">
        <v>124.018</v>
      </c>
      <c r="AJ834" s="83" t="n">
        <v>111.0873</v>
      </c>
      <c r="AK834" s="83" t="n">
        <v>133.0505</v>
      </c>
      <c r="AQ834" s="83" t="n">
        <v>120.9848</v>
      </c>
      <c r="AR834" s="83" t="n">
        <v>124.0948</v>
      </c>
      <c r="BB834" s="83" t="n">
        <v>121.7708</v>
      </c>
      <c r="BC834" s="83" t="n">
        <v>129.4935</v>
      </c>
    </row>
    <row r="835">
      <c r="E835" s="22" t="n">
        <v>43617</v>
      </c>
      <c r="F835" s="83" t="inlineStr">
        <is>
          <t>2019-06</t>
        </is>
      </c>
      <c r="G835" s="83" t="n">
        <v>120.3345</v>
      </c>
      <c r="J835" s="83" t="n">
        <v>129.6822</v>
      </c>
      <c r="N835" s="83" t="n">
        <v>132.1598</v>
      </c>
      <c r="O835" s="83" t="n">
        <v>108.8036</v>
      </c>
      <c r="P835" s="83" t="n">
        <v>134.1237</v>
      </c>
      <c r="S835" s="83" t="n">
        <v>119.8517</v>
      </c>
      <c r="AA835" s="83" t="n">
        <v>121.4236</v>
      </c>
      <c r="AC835" s="83" t="n">
        <v>139.7393</v>
      </c>
      <c r="AG835" s="83" t="n">
        <v>111.0007</v>
      </c>
      <c r="AH835" s="83" t="n">
        <v>124.585</v>
      </c>
      <c r="AJ835" s="83" t="n">
        <v>111.1465</v>
      </c>
      <c r="AK835" s="83" t="n">
        <v>133.9397</v>
      </c>
      <c r="AQ835" s="83" t="n">
        <v>121.6128</v>
      </c>
      <c r="AR835" s="83" t="n">
        <v>124.8171</v>
      </c>
      <c r="BB835" s="83" t="n">
        <v>122.8304</v>
      </c>
      <c r="BC835" s="83" t="n">
        <v>130.1169</v>
      </c>
    </row>
    <row r="836">
      <c r="E836" s="22" t="n">
        <v>43647</v>
      </c>
      <c r="F836" s="83" t="inlineStr">
        <is>
          <t>2019-07</t>
        </is>
      </c>
      <c r="G836" s="83" t="n">
        <v>119.8386</v>
      </c>
      <c r="J836" s="83" t="n">
        <v>130.8264</v>
      </c>
      <c r="N836" s="83" t="n">
        <v>133.0099</v>
      </c>
      <c r="O836" s="83" t="n">
        <v>109.0732</v>
      </c>
      <c r="P836" s="83" t="n">
        <v>134.3422</v>
      </c>
      <c r="S836" s="83" t="n">
        <v>120.4301</v>
      </c>
      <c r="AA836" s="83" t="n">
        <v>121.7456</v>
      </c>
      <c r="AC836" s="83" t="n">
        <v>139.5791</v>
      </c>
      <c r="AG836" s="83" t="n">
        <v>111.4567</v>
      </c>
      <c r="AH836" s="83" t="n">
        <v>124.5816</v>
      </c>
      <c r="AJ836" s="83" t="n">
        <v>111.3233</v>
      </c>
      <c r="AK836" s="83" t="n">
        <v>134.9516</v>
      </c>
      <c r="AQ836" s="83" t="n">
        <v>122.0004</v>
      </c>
      <c r="AR836" s="83" t="n">
        <v>125.3587</v>
      </c>
      <c r="BB836" s="83" t="n">
        <v>123.4968</v>
      </c>
      <c r="BC836" s="83" t="n">
        <v>130.673</v>
      </c>
    </row>
    <row r="837">
      <c r="E837" s="22" t="n">
        <v>43678</v>
      </c>
      <c r="F837" s="83" t="inlineStr">
        <is>
          <t>2019-08</t>
        </is>
      </c>
      <c r="G837" s="83" t="n">
        <v>119.3875</v>
      </c>
      <c r="J837" s="83" t="n">
        <v>131.9284</v>
      </c>
      <c r="N837" s="83" t="n">
        <v>133.9929</v>
      </c>
      <c r="O837" s="83" t="n">
        <v>109.5753</v>
      </c>
      <c r="P837" s="83" t="n">
        <v>135.4203</v>
      </c>
      <c r="S837" s="83" t="n">
        <v>121.2451</v>
      </c>
      <c r="AA837" s="83" t="n">
        <v>122.1021</v>
      </c>
      <c r="AC837" s="83" t="n">
        <v>140.9171</v>
      </c>
      <c r="AG837" s="83" t="n">
        <v>111.8946</v>
      </c>
      <c r="AH837" s="83" t="n">
        <v>124.8576</v>
      </c>
      <c r="AJ837" s="83" t="n">
        <v>111.5476</v>
      </c>
      <c r="AK837" s="83" t="n">
        <v>135.5383</v>
      </c>
      <c r="AQ837" s="83" t="n">
        <v>123.4124</v>
      </c>
      <c r="AR837" s="83" t="n">
        <v>125.9179</v>
      </c>
      <c r="BB837" s="83" t="n">
        <v>124.1027</v>
      </c>
      <c r="BC837" s="83" t="n">
        <v>131.2445</v>
      </c>
    </row>
    <row r="838">
      <c r="E838" s="22" t="n">
        <v>43709</v>
      </c>
      <c r="F838" s="83" t="inlineStr">
        <is>
          <t>2019-09</t>
        </is>
      </c>
      <c r="G838" s="83" t="n">
        <v>119.6565</v>
      </c>
      <c r="J838" s="83" t="n">
        <v>132.7681</v>
      </c>
      <c r="N838" s="83" t="n">
        <v>135.5964</v>
      </c>
      <c r="O838" s="83" t="n">
        <v>110.1035</v>
      </c>
      <c r="P838" s="83" t="n">
        <v>136.1405</v>
      </c>
      <c r="S838" s="83" t="n">
        <v>121.646</v>
      </c>
      <c r="AA838" s="83" t="n">
        <v>121.9776</v>
      </c>
      <c r="AC838" s="83" t="n">
        <v>142.1634</v>
      </c>
      <c r="AG838" s="83" t="n">
        <v>112.2428</v>
      </c>
      <c r="AH838" s="83" t="n">
        <v>125.5307</v>
      </c>
      <c r="AJ838" s="83" t="n">
        <v>111.784</v>
      </c>
      <c r="AK838" s="83" t="n">
        <v>135.989</v>
      </c>
      <c r="AQ838" s="83" t="n">
        <v>123.7409</v>
      </c>
      <c r="AR838" s="83" t="n">
        <v>126.5034</v>
      </c>
      <c r="BB838" s="83" t="n">
        <v>124.8614</v>
      </c>
      <c r="BC838" s="83" t="n">
        <v>131.1948</v>
      </c>
    </row>
    <row r="839">
      <c r="E839" s="22" t="n">
        <v>43739</v>
      </c>
      <c r="F839" s="83" t="inlineStr">
        <is>
          <t>2019-10</t>
        </is>
      </c>
      <c r="G839" s="83" t="n">
        <v>120.0207</v>
      </c>
      <c r="J839" s="83" t="n">
        <v>133.6167</v>
      </c>
      <c r="N839" s="83" t="n">
        <v>136.6858</v>
      </c>
      <c r="O839" s="83" t="n">
        <v>109.3617</v>
      </c>
      <c r="P839" s="83" t="n">
        <v>136.7449</v>
      </c>
      <c r="S839" s="83" t="n">
        <v>121.751</v>
      </c>
      <c r="AA839" s="83" t="n">
        <v>121.4123</v>
      </c>
      <c r="AC839" s="83" t="n">
        <v>143.4193</v>
      </c>
      <c r="AG839" s="83" t="n">
        <v>112.4932</v>
      </c>
      <c r="AH839" s="83" t="n">
        <v>126.2932</v>
      </c>
      <c r="AJ839" s="83" t="n">
        <v>111.9749</v>
      </c>
      <c r="AK839" s="83" t="n">
        <v>137.2506</v>
      </c>
      <c r="AQ839" s="83" t="n">
        <v>123.3147</v>
      </c>
      <c r="AR839" s="83" t="n">
        <v>127.2166</v>
      </c>
      <c r="BB839" s="83" t="n">
        <v>125.9392</v>
      </c>
      <c r="BC839" s="83" t="n">
        <v>131.1584</v>
      </c>
    </row>
    <row r="840">
      <c r="E840" s="22" t="n">
        <v>43770</v>
      </c>
      <c r="F840" s="83" t="inlineStr">
        <is>
          <t>2019-11</t>
        </is>
      </c>
      <c r="G840" s="83" t="n">
        <v>120.455</v>
      </c>
      <c r="J840" s="83" t="n">
        <v>134.4068</v>
      </c>
      <c r="N840" s="83" t="n">
        <v>137.468</v>
      </c>
      <c r="O840" s="83" t="n">
        <v>108.2209</v>
      </c>
      <c r="P840" s="83" t="n">
        <v>137.9785</v>
      </c>
      <c r="S840" s="83" t="n">
        <v>122.4995</v>
      </c>
      <c r="AA840" s="83" t="n">
        <v>121.1966</v>
      </c>
      <c r="AC840" s="83" t="n">
        <v>145.0782</v>
      </c>
      <c r="AG840" s="83" t="n">
        <v>112.6972</v>
      </c>
      <c r="AH840" s="83" t="n">
        <v>126.9498</v>
      </c>
      <c r="AJ840" s="83" t="n">
        <v>112.2408</v>
      </c>
      <c r="AK840" s="83" t="n">
        <v>138.4193</v>
      </c>
      <c r="AQ840" s="83" t="n">
        <v>123.7646</v>
      </c>
      <c r="AR840" s="83" t="n">
        <v>127.9162</v>
      </c>
      <c r="BB840" s="83" t="n">
        <v>126.8068</v>
      </c>
      <c r="BC840" s="83" t="n">
        <v>131.6885</v>
      </c>
    </row>
    <row r="841">
      <c r="E841" s="22" t="n">
        <v>43800</v>
      </c>
      <c r="F841" s="83" t="inlineStr">
        <is>
          <t>2019-12</t>
        </is>
      </c>
      <c r="G841" s="83" t="n">
        <v>120.6848</v>
      </c>
      <c r="J841" s="83" t="n">
        <v>135.342</v>
      </c>
      <c r="N841" s="83" t="n">
        <v>137.8883</v>
      </c>
      <c r="O841" s="83" t="n">
        <v>109.9037</v>
      </c>
      <c r="P841" s="83" t="n">
        <v>137.9667</v>
      </c>
      <c r="S841" s="83" t="n">
        <v>122.7952</v>
      </c>
      <c r="AA841" s="83" t="n">
        <v>121.6663</v>
      </c>
      <c r="AC841" s="83" t="n">
        <v>146.0557</v>
      </c>
      <c r="AG841" s="83" t="n">
        <v>112.9164</v>
      </c>
      <c r="AH841" s="83" t="n">
        <v>127.6447</v>
      </c>
      <c r="AJ841" s="83" t="n">
        <v>112.432</v>
      </c>
      <c r="AK841" s="83" t="n">
        <v>138.8131</v>
      </c>
      <c r="AQ841" s="83" t="n">
        <v>124.0591</v>
      </c>
      <c r="AR841" s="83" t="n">
        <v>128.4169</v>
      </c>
      <c r="BB841" s="83" t="n">
        <v>127.2988</v>
      </c>
      <c r="BC841" s="83" t="n">
        <v>131.3005</v>
      </c>
    </row>
    <row r="842">
      <c r="E842" s="22" t="n">
        <v>43831</v>
      </c>
      <c r="F842" s="83" t="inlineStr">
        <is>
          <t>2020-01</t>
        </is>
      </c>
      <c r="G842" s="83" t="n">
        <v>120.9705</v>
      </c>
      <c r="J842" s="83" t="n">
        <v>135.6262</v>
      </c>
      <c r="N842" s="83" t="n">
        <v>138.3507</v>
      </c>
      <c r="O842" s="83" t="n">
        <v>113.2906</v>
      </c>
      <c r="P842" s="83" t="n">
        <v>138.4596</v>
      </c>
      <c r="S842" s="83" t="n">
        <v>122.6419</v>
      </c>
      <c r="AA842" s="83" t="n">
        <v>122.025</v>
      </c>
      <c r="AC842" s="83" t="n">
        <v>147.2572</v>
      </c>
      <c r="AJ842" s="83" t="n">
        <v>112.6397</v>
      </c>
      <c r="AQ842" s="83" t="n">
        <v>124.1506</v>
      </c>
      <c r="AR842" s="83" t="n">
        <v>129.1352</v>
      </c>
      <c r="BB842" s="83" t="n">
        <v>128.2985</v>
      </c>
      <c r="BC842" s="83" t="n">
        <v>131.8218</v>
      </c>
    </row>
    <row r="843">
      <c r="E843" s="22" t="n">
        <v>43862</v>
      </c>
      <c r="F843" s="83" t="inlineStr">
        <is>
          <t>2020-02</t>
        </is>
      </c>
      <c r="G843" s="83" t="n">
        <v>121.3908</v>
      </c>
      <c r="J843" s="83" t="n">
        <v>137.1666</v>
      </c>
      <c r="N843" s="83" t="n">
        <v>139.5625</v>
      </c>
      <c r="P843" s="83" t="n">
        <v>140.3459</v>
      </c>
      <c r="S843" s="83" t="n">
        <v>123.126</v>
      </c>
      <c r="AA843" s="83" t="n">
        <v>122.6303</v>
      </c>
      <c r="AC843" s="83" t="n">
        <v>149.331</v>
      </c>
      <c r="AJ843" s="83" t="n">
        <v>113.0203</v>
      </c>
      <c r="AQ843" s="83" t="n">
        <v>124.6448</v>
      </c>
      <c r="AR843" s="83" t="n">
        <v>129.9091</v>
      </c>
      <c r="BB843" s="83" t="n">
        <v>129.1062</v>
      </c>
      <c r="BC843" s="83" t="n">
        <v>133.8385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tabSelected="1" workbookViewId="0">
      <selection activeCell="C19" sqref="C19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0"/>
  <sheetViews>
    <sheetView zoomScale="180" zoomScaleNormal="180" workbookViewId="0">
      <pane ySplit="5" topLeftCell="A736" activePane="bottomLeft" state="frozen"/>
      <selection pane="bottomLeft" activeCell="L755" sqref="L755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3" min="4" max="6"/>
    <col width="13.33203125" customWidth="1" style="83" min="7" max="7"/>
    <col width="9.1640625" customWidth="1" style="83" min="8" max="11"/>
    <col width="9.1640625" customWidth="1" style="83" min="12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77" thickBot="1"/>
    <row r="5" ht="42.75" customHeight="1" s="77">
      <c r="A5" s="50" t="inlineStr">
        <is>
          <t>Month</t>
        </is>
      </c>
      <c r="B5" s="51" t="inlineStr">
        <is>
          <t>Real M1 Money Stock</t>
        </is>
      </c>
      <c r="C5" s="52" t="inlineStr">
        <is>
          <t>yoy %</t>
        </is>
      </c>
    </row>
    <row r="6">
      <c r="A6" s="26" t="n">
        <v>21551</v>
      </c>
      <c r="B6" s="27">
        <f>VLOOKUP(Table3032[[#This Row],[Month]],'DB Money Supply'!$A:$D,2)</f>
        <v/>
      </c>
      <c r="C6" s="24" t="n"/>
    </row>
    <row r="7">
      <c r="A7" s="26" t="n">
        <v>21582</v>
      </c>
      <c r="B7" s="27">
        <f>VLOOKUP(Table3032[[#This Row],[Month]],'DB Money Supply'!$A:$D,2)</f>
        <v/>
      </c>
      <c r="C7" s="24" t="n"/>
    </row>
    <row r="8">
      <c r="A8" s="26" t="n">
        <v>21610</v>
      </c>
      <c r="B8" s="27">
        <f>VLOOKUP(Table3032[[#This Row],[Month]],'DB Money Supply'!$A:$D,2)</f>
        <v/>
      </c>
      <c r="C8" s="24" t="n"/>
    </row>
    <row r="9">
      <c r="A9" s="26" t="n">
        <v>21641</v>
      </c>
      <c r="B9" s="27">
        <f>VLOOKUP(Table3032[[#This Row],[Month]],'DB Money Supply'!$A:$D,2)</f>
        <v/>
      </c>
      <c r="C9" s="24" t="n"/>
    </row>
    <row r="10">
      <c r="A10" s="26" t="n">
        <v>21671</v>
      </c>
      <c r="B10" s="27">
        <f>VLOOKUP(Table3032[[#This Row],[Month]],'DB Money Supply'!$A:$D,2)</f>
        <v/>
      </c>
      <c r="C10" s="24" t="n"/>
    </row>
    <row r="11">
      <c r="A11" s="26" t="n">
        <v>21702</v>
      </c>
      <c r="B11" s="27">
        <f>VLOOKUP(Table3032[[#This Row],[Month]],'DB Money Supply'!$A:$D,2)</f>
        <v/>
      </c>
      <c r="C11" s="24" t="n"/>
    </row>
    <row r="12">
      <c r="A12" s="26" t="n">
        <v>21732</v>
      </c>
      <c r="B12" s="27">
        <f>VLOOKUP(Table3032[[#This Row],[Month]],'DB Money Supply'!$A:$D,2)</f>
        <v/>
      </c>
      <c r="C12" s="24" t="n"/>
    </row>
    <row r="13">
      <c r="A13" s="26" t="n">
        <v>21763</v>
      </c>
      <c r="B13" s="27">
        <f>VLOOKUP(Table3032[[#This Row],[Month]],'DB Money Supply'!$A:$D,2)</f>
        <v/>
      </c>
      <c r="C13" s="24" t="n"/>
    </row>
    <row r="14">
      <c r="A14" s="26" t="n">
        <v>21794</v>
      </c>
      <c r="B14" s="27">
        <f>VLOOKUP(Table3032[[#This Row],[Month]],'DB Money Supply'!$A:$D,2)</f>
        <v/>
      </c>
      <c r="C14" s="24" t="n"/>
    </row>
    <row r="15">
      <c r="A15" s="26" t="n">
        <v>21824</v>
      </c>
      <c r="B15" s="27">
        <f>VLOOKUP(Table3032[[#This Row],[Month]],'DB Money Supply'!$A:$D,2)</f>
        <v/>
      </c>
      <c r="C15" s="24" t="n"/>
    </row>
    <row r="16">
      <c r="A16" s="26" t="n">
        <v>21855</v>
      </c>
      <c r="B16" s="27">
        <f>VLOOKUP(Table3032[[#This Row],[Month]],'DB Money Supply'!$A:$D,2)</f>
        <v/>
      </c>
      <c r="C16" s="24" t="n"/>
    </row>
    <row r="17">
      <c r="A17" s="26" t="n">
        <v>21885</v>
      </c>
      <c r="B17" s="27">
        <f>VLOOKUP(Table3032[[#This Row],[Month]],'DB Money Supply'!$A:$D,2)</f>
        <v/>
      </c>
      <c r="C17" s="24" t="n"/>
    </row>
    <row r="18">
      <c r="A18" s="26" t="n">
        <v>21916</v>
      </c>
      <c r="B18" s="27">
        <f>VLOOKUP(Table3032[[#This Row],[Month]],'DB Money Supply'!$A:$D,2)</f>
        <v/>
      </c>
      <c r="C18" s="65">
        <f>(Table3032[[#This Row],[Real M1 Money Stock]]-B6)/B6</f>
        <v/>
      </c>
    </row>
    <row r="19">
      <c r="A19" s="26" t="n">
        <v>21947</v>
      </c>
      <c r="B19" s="27">
        <f>VLOOKUP(Table3032[[#This Row],[Month]],'DB Money Supply'!$A:$D,2)</f>
        <v/>
      </c>
      <c r="C19" s="65">
        <f>(Table3032[[#This Row],[Real M1 Money Stock]]-B7)/B7</f>
        <v/>
      </c>
    </row>
    <row r="20">
      <c r="A20" s="26" t="n">
        <v>21976</v>
      </c>
      <c r="B20" s="27">
        <f>VLOOKUP(Table3032[[#This Row],[Month]],'DB Money Supply'!$A:$D,2)</f>
        <v/>
      </c>
      <c r="C20" s="65">
        <f>(Table3032[[#This Row],[Real M1 Money Stock]]-B8)/B8</f>
        <v/>
      </c>
    </row>
    <row r="21">
      <c r="A21" s="26" t="n">
        <v>22007</v>
      </c>
      <c r="B21" s="27">
        <f>VLOOKUP(Table3032[[#This Row],[Month]],'DB Money Supply'!$A:$D,2)</f>
        <v/>
      </c>
      <c r="C21" s="65">
        <f>(Table3032[[#This Row],[Real M1 Money Stock]]-B9)/B9</f>
        <v/>
      </c>
    </row>
    <row r="22">
      <c r="A22" s="26" t="n">
        <v>22037</v>
      </c>
      <c r="B22" s="27">
        <f>VLOOKUP(Table3032[[#This Row],[Month]],'DB Money Supply'!$A:$D,2)</f>
        <v/>
      </c>
      <c r="C22" s="65">
        <f>(Table3032[[#This Row],[Real M1 Money Stock]]-B10)/B10</f>
        <v/>
      </c>
    </row>
    <row r="23">
      <c r="A23" s="26" t="n">
        <v>22068</v>
      </c>
      <c r="B23" s="27">
        <f>VLOOKUP(Table3032[[#This Row],[Month]],'DB Money Supply'!$A:$D,2)</f>
        <v/>
      </c>
      <c r="C23" s="65">
        <f>(Table3032[[#This Row],[Real M1 Money Stock]]-B11)/B11</f>
        <v/>
      </c>
    </row>
    <row r="24">
      <c r="A24" s="26" t="n">
        <v>22098</v>
      </c>
      <c r="B24" s="27">
        <f>VLOOKUP(Table3032[[#This Row],[Month]],'DB Money Supply'!$A:$D,2)</f>
        <v/>
      </c>
      <c r="C24" s="65">
        <f>(Table3032[[#This Row],[Real M1 Money Stock]]-B12)/B12</f>
        <v/>
      </c>
    </row>
    <row r="25">
      <c r="A25" s="26" t="n">
        <v>22129</v>
      </c>
      <c r="B25" s="27">
        <f>VLOOKUP(Table3032[[#This Row],[Month]],'DB Money Supply'!$A:$D,2)</f>
        <v/>
      </c>
      <c r="C25" s="65">
        <f>(Table3032[[#This Row],[Real M1 Money Stock]]-B13)/B13</f>
        <v/>
      </c>
    </row>
    <row r="26">
      <c r="A26" s="26" t="n">
        <v>22160</v>
      </c>
      <c r="B26" s="27">
        <f>VLOOKUP(Table3032[[#This Row],[Month]],'DB Money Supply'!$A:$D,2)</f>
        <v/>
      </c>
      <c r="C26" s="65">
        <f>(Table3032[[#This Row],[Real M1 Money Stock]]-B14)/B14</f>
        <v/>
      </c>
    </row>
    <row r="27">
      <c r="A27" s="26" t="n">
        <v>22190</v>
      </c>
      <c r="B27" s="27">
        <f>VLOOKUP(Table3032[[#This Row],[Month]],'DB Money Supply'!$A:$D,2)</f>
        <v/>
      </c>
      <c r="C27" s="65">
        <f>(Table3032[[#This Row],[Real M1 Money Stock]]-B15)/B15</f>
        <v/>
      </c>
    </row>
    <row r="28">
      <c r="A28" s="26" t="n">
        <v>22221</v>
      </c>
      <c r="B28" s="27">
        <f>VLOOKUP(Table3032[[#This Row],[Month]],'DB Money Supply'!$A:$D,2)</f>
        <v/>
      </c>
      <c r="C28" s="65">
        <f>(Table3032[[#This Row],[Real M1 Money Stock]]-B16)/B16</f>
        <v/>
      </c>
    </row>
    <row r="29">
      <c r="A29" s="26" t="n">
        <v>22251</v>
      </c>
      <c r="B29" s="27">
        <f>VLOOKUP(Table3032[[#This Row],[Month]],'DB Money Supply'!$A:$D,2)</f>
        <v/>
      </c>
      <c r="C29" s="65">
        <f>(Table3032[[#This Row],[Real M1 Money Stock]]-B17)/B17</f>
        <v/>
      </c>
    </row>
    <row r="30">
      <c r="A30" s="26" t="n">
        <v>22282</v>
      </c>
      <c r="B30" s="27">
        <f>VLOOKUP(Table3032[[#This Row],[Month]],'DB Money Supply'!$A:$D,2)</f>
        <v/>
      </c>
      <c r="C30" s="65">
        <f>(Table3032[[#This Row],[Real M1 Money Stock]]-B18)/B18</f>
        <v/>
      </c>
    </row>
    <row r="31">
      <c r="A31" s="26" t="n">
        <v>22313</v>
      </c>
      <c r="B31" s="27">
        <f>VLOOKUP(Table3032[[#This Row],[Month]],'DB Money Supply'!$A:$D,2)</f>
        <v/>
      </c>
      <c r="C31" s="65">
        <f>(Table3032[[#This Row],[Real M1 Money Stock]]-B19)/B19</f>
        <v/>
      </c>
    </row>
    <row r="32">
      <c r="A32" s="26" t="n">
        <v>22341</v>
      </c>
      <c r="B32" s="27">
        <f>VLOOKUP(Table3032[[#This Row],[Month]],'DB Money Supply'!$A:$D,2)</f>
        <v/>
      </c>
      <c r="C32" s="65">
        <f>(Table3032[[#This Row],[Real M1 Money Stock]]-B20)/B20</f>
        <v/>
      </c>
    </row>
    <row r="33">
      <c r="A33" s="26" t="n">
        <v>22372</v>
      </c>
      <c r="B33" s="27">
        <f>VLOOKUP(Table3032[[#This Row],[Month]],'DB Money Supply'!$A:$D,2)</f>
        <v/>
      </c>
      <c r="C33" s="65">
        <f>(Table3032[[#This Row],[Real M1 Money Stock]]-B21)/B21</f>
        <v/>
      </c>
    </row>
    <row r="34">
      <c r="A34" s="26" t="n">
        <v>22402</v>
      </c>
      <c r="B34" s="27">
        <f>VLOOKUP(Table3032[[#This Row],[Month]],'DB Money Supply'!$A:$D,2)</f>
        <v/>
      </c>
      <c r="C34" s="65">
        <f>(Table3032[[#This Row],[Real M1 Money Stock]]-B22)/B22</f>
        <v/>
      </c>
    </row>
    <row r="35">
      <c r="A35" s="26" t="n">
        <v>22433</v>
      </c>
      <c r="B35" s="27">
        <f>VLOOKUP(Table3032[[#This Row],[Month]],'DB Money Supply'!$A:$D,2)</f>
        <v/>
      </c>
      <c r="C35" s="65">
        <f>(Table3032[[#This Row],[Real M1 Money Stock]]-B23)/B23</f>
        <v/>
      </c>
    </row>
    <row r="36">
      <c r="A36" s="26" t="n">
        <v>22463</v>
      </c>
      <c r="B36" s="27">
        <f>VLOOKUP(Table3032[[#This Row],[Month]],'DB Money Supply'!$A:$D,2)</f>
        <v/>
      </c>
      <c r="C36" s="65">
        <f>(Table3032[[#This Row],[Real M1 Money Stock]]-B24)/B24</f>
        <v/>
      </c>
    </row>
    <row r="37">
      <c r="A37" s="26" t="n">
        <v>22494</v>
      </c>
      <c r="B37" s="27">
        <f>VLOOKUP(Table3032[[#This Row],[Month]],'DB Money Supply'!$A:$D,2)</f>
        <v/>
      </c>
      <c r="C37" s="65">
        <f>(Table3032[[#This Row],[Real M1 Money Stock]]-B25)/B25</f>
        <v/>
      </c>
    </row>
    <row r="38">
      <c r="A38" s="26" t="n">
        <v>22525</v>
      </c>
      <c r="B38" s="27">
        <f>VLOOKUP(Table3032[[#This Row],[Month]],'DB Money Supply'!$A:$D,2)</f>
        <v/>
      </c>
      <c r="C38" s="65">
        <f>(Table3032[[#This Row],[Real M1 Money Stock]]-B26)/B26</f>
        <v/>
      </c>
    </row>
    <row r="39">
      <c r="A39" s="26" t="n">
        <v>22555</v>
      </c>
      <c r="B39" s="27">
        <f>VLOOKUP(Table3032[[#This Row],[Month]],'DB Money Supply'!$A:$D,2)</f>
        <v/>
      </c>
      <c r="C39" s="65">
        <f>(Table3032[[#This Row],[Real M1 Money Stock]]-B27)/B27</f>
        <v/>
      </c>
    </row>
    <row r="40">
      <c r="A40" s="26" t="n">
        <v>22586</v>
      </c>
      <c r="B40" s="27">
        <f>VLOOKUP(Table3032[[#This Row],[Month]],'DB Money Supply'!$A:$D,2)</f>
        <v/>
      </c>
      <c r="C40" s="65">
        <f>(Table3032[[#This Row],[Real M1 Money Stock]]-B28)/B28</f>
        <v/>
      </c>
    </row>
    <row r="41">
      <c r="A41" s="26" t="n">
        <v>22616</v>
      </c>
      <c r="B41" s="27">
        <f>VLOOKUP(Table3032[[#This Row],[Month]],'DB Money Supply'!$A:$D,2)</f>
        <v/>
      </c>
      <c r="C41" s="65">
        <f>(Table3032[[#This Row],[Real M1 Money Stock]]-B29)/B29</f>
        <v/>
      </c>
    </row>
    <row r="42">
      <c r="A42" s="26" t="n">
        <v>22647</v>
      </c>
      <c r="B42" s="27">
        <f>VLOOKUP(Table3032[[#This Row],[Month]],'DB Money Supply'!$A:$D,2)</f>
        <v/>
      </c>
      <c r="C42" s="65">
        <f>(Table3032[[#This Row],[Real M1 Money Stock]]-B30)/B30</f>
        <v/>
      </c>
    </row>
    <row r="43">
      <c r="A43" s="26" t="n">
        <v>22678</v>
      </c>
      <c r="B43" s="27">
        <f>VLOOKUP(Table3032[[#This Row],[Month]],'DB Money Supply'!$A:$D,2)</f>
        <v/>
      </c>
      <c r="C43" s="65">
        <f>(Table3032[[#This Row],[Real M1 Money Stock]]-B31)/B31</f>
        <v/>
      </c>
    </row>
    <row r="44">
      <c r="A44" s="26" t="n">
        <v>22706</v>
      </c>
      <c r="B44" s="27">
        <f>VLOOKUP(Table3032[[#This Row],[Month]],'DB Money Supply'!$A:$D,2)</f>
        <v/>
      </c>
      <c r="C44" s="65">
        <f>(Table3032[[#This Row],[Real M1 Money Stock]]-B32)/B32</f>
        <v/>
      </c>
    </row>
    <row r="45">
      <c r="A45" s="26" t="n">
        <v>22737</v>
      </c>
      <c r="B45" s="27">
        <f>VLOOKUP(Table3032[[#This Row],[Month]],'DB Money Supply'!$A:$D,2)</f>
        <v/>
      </c>
      <c r="C45" s="65">
        <f>(Table3032[[#This Row],[Real M1 Money Stock]]-B33)/B33</f>
        <v/>
      </c>
    </row>
    <row r="46">
      <c r="A46" s="26" t="n">
        <v>22767</v>
      </c>
      <c r="B46" s="27">
        <f>VLOOKUP(Table3032[[#This Row],[Month]],'DB Money Supply'!$A:$D,2)</f>
        <v/>
      </c>
      <c r="C46" s="65">
        <f>(Table3032[[#This Row],[Real M1 Money Stock]]-B34)/B34</f>
        <v/>
      </c>
    </row>
    <row r="47">
      <c r="A47" s="26" t="n">
        <v>22798</v>
      </c>
      <c r="B47" s="27">
        <f>VLOOKUP(Table3032[[#This Row],[Month]],'DB Money Supply'!$A:$D,2)</f>
        <v/>
      </c>
      <c r="C47" s="65">
        <f>(Table3032[[#This Row],[Real M1 Money Stock]]-B35)/B35</f>
        <v/>
      </c>
    </row>
    <row r="48">
      <c r="A48" s="26" t="n">
        <v>22828</v>
      </c>
      <c r="B48" s="27">
        <f>VLOOKUP(Table3032[[#This Row],[Month]],'DB Money Supply'!$A:$D,2)</f>
        <v/>
      </c>
      <c r="C48" s="65">
        <f>(Table3032[[#This Row],[Real M1 Money Stock]]-B36)/B36</f>
        <v/>
      </c>
    </row>
    <row r="49">
      <c r="A49" s="26" t="n">
        <v>22859</v>
      </c>
      <c r="B49" s="27">
        <f>VLOOKUP(Table3032[[#This Row],[Month]],'DB Money Supply'!$A:$D,2)</f>
        <v/>
      </c>
      <c r="C49" s="65">
        <f>(Table3032[[#This Row],[Real M1 Money Stock]]-B37)/B37</f>
        <v/>
      </c>
    </row>
    <row r="50">
      <c r="A50" s="26" t="n">
        <v>22890</v>
      </c>
      <c r="B50" s="27">
        <f>VLOOKUP(Table3032[[#This Row],[Month]],'DB Money Supply'!$A:$D,2)</f>
        <v/>
      </c>
      <c r="C50" s="65">
        <f>(Table3032[[#This Row],[Real M1 Money Stock]]-B38)/B38</f>
        <v/>
      </c>
    </row>
    <row r="51">
      <c r="A51" s="26" t="n">
        <v>22920</v>
      </c>
      <c r="B51" s="27">
        <f>VLOOKUP(Table3032[[#This Row],[Month]],'DB Money Supply'!$A:$D,2)</f>
        <v/>
      </c>
      <c r="C51" s="65">
        <f>(Table3032[[#This Row],[Real M1 Money Stock]]-B39)/B39</f>
        <v/>
      </c>
    </row>
    <row r="52">
      <c r="A52" s="26" t="n">
        <v>22951</v>
      </c>
      <c r="B52" s="27">
        <f>VLOOKUP(Table3032[[#This Row],[Month]],'DB Money Supply'!$A:$D,2)</f>
        <v/>
      </c>
      <c r="C52" s="65">
        <f>(Table3032[[#This Row],[Real M1 Money Stock]]-B40)/B40</f>
        <v/>
      </c>
    </row>
    <row r="53">
      <c r="A53" s="26" t="n">
        <v>22981</v>
      </c>
      <c r="B53" s="27">
        <f>VLOOKUP(Table3032[[#This Row],[Month]],'DB Money Supply'!$A:$D,2)</f>
        <v/>
      </c>
      <c r="C53" s="65">
        <f>(Table3032[[#This Row],[Real M1 Money Stock]]-B41)/B41</f>
        <v/>
      </c>
    </row>
    <row r="54">
      <c r="A54" s="26" t="n">
        <v>23012</v>
      </c>
      <c r="B54" s="27">
        <f>VLOOKUP(Table3032[[#This Row],[Month]],'DB Money Supply'!$A:$D,2)</f>
        <v/>
      </c>
      <c r="C54" s="65">
        <f>(Table3032[[#This Row],[Real M1 Money Stock]]-B42)/B42</f>
        <v/>
      </c>
    </row>
    <row r="55">
      <c r="A55" s="26" t="n">
        <v>23043</v>
      </c>
      <c r="B55" s="27">
        <f>VLOOKUP(Table3032[[#This Row],[Month]],'DB Money Supply'!$A:$D,2)</f>
        <v/>
      </c>
      <c r="C55" s="65">
        <f>(Table3032[[#This Row],[Real M1 Money Stock]]-B43)/B43</f>
        <v/>
      </c>
    </row>
    <row r="56">
      <c r="A56" s="26" t="n">
        <v>23071</v>
      </c>
      <c r="B56" s="27">
        <f>VLOOKUP(Table3032[[#This Row],[Month]],'DB Money Supply'!$A:$D,2)</f>
        <v/>
      </c>
      <c r="C56" s="65">
        <f>(Table3032[[#This Row],[Real M1 Money Stock]]-B44)/B44</f>
        <v/>
      </c>
    </row>
    <row r="57">
      <c r="A57" s="26" t="n">
        <v>23102</v>
      </c>
      <c r="B57" s="27">
        <f>VLOOKUP(Table3032[[#This Row],[Month]],'DB Money Supply'!$A:$D,2)</f>
        <v/>
      </c>
      <c r="C57" s="65">
        <f>(Table3032[[#This Row],[Real M1 Money Stock]]-B45)/B45</f>
        <v/>
      </c>
    </row>
    <row r="58">
      <c r="A58" s="26" t="n">
        <v>23132</v>
      </c>
      <c r="B58" s="27">
        <f>VLOOKUP(Table3032[[#This Row],[Month]],'DB Money Supply'!$A:$D,2)</f>
        <v/>
      </c>
      <c r="C58" s="65">
        <f>(Table3032[[#This Row],[Real M1 Money Stock]]-B46)/B46</f>
        <v/>
      </c>
    </row>
    <row r="59">
      <c r="A59" s="26" t="n">
        <v>23163</v>
      </c>
      <c r="B59" s="27">
        <f>VLOOKUP(Table3032[[#This Row],[Month]],'DB Money Supply'!$A:$D,2)</f>
        <v/>
      </c>
      <c r="C59" s="65">
        <f>(Table3032[[#This Row],[Real M1 Money Stock]]-B47)/B47</f>
        <v/>
      </c>
    </row>
    <row r="60">
      <c r="A60" s="26" t="n">
        <v>23193</v>
      </c>
      <c r="B60" s="27">
        <f>VLOOKUP(Table3032[[#This Row],[Month]],'DB Money Supply'!$A:$D,2)</f>
        <v/>
      </c>
      <c r="C60" s="65">
        <f>(Table3032[[#This Row],[Real M1 Money Stock]]-B48)/B48</f>
        <v/>
      </c>
    </row>
    <row r="61">
      <c r="A61" s="26" t="n">
        <v>23224</v>
      </c>
      <c r="B61" s="27">
        <f>VLOOKUP(Table3032[[#This Row],[Month]],'DB Money Supply'!$A:$D,2)</f>
        <v/>
      </c>
      <c r="C61" s="65">
        <f>(Table3032[[#This Row],[Real M1 Money Stock]]-B49)/B49</f>
        <v/>
      </c>
    </row>
    <row r="62">
      <c r="A62" s="26" t="n">
        <v>23255</v>
      </c>
      <c r="B62" s="27">
        <f>VLOOKUP(Table3032[[#This Row],[Month]],'DB Money Supply'!$A:$D,2)</f>
        <v/>
      </c>
      <c r="C62" s="65">
        <f>(Table3032[[#This Row],[Real M1 Money Stock]]-B50)/B50</f>
        <v/>
      </c>
    </row>
    <row r="63">
      <c r="A63" s="26" t="n">
        <v>23285</v>
      </c>
      <c r="B63" s="27">
        <f>VLOOKUP(Table3032[[#This Row],[Month]],'DB Money Supply'!$A:$D,2)</f>
        <v/>
      </c>
      <c r="C63" s="65">
        <f>(Table3032[[#This Row],[Real M1 Money Stock]]-B51)/B51</f>
        <v/>
      </c>
    </row>
    <row r="64">
      <c r="A64" s="26" t="n">
        <v>23316</v>
      </c>
      <c r="B64" s="27">
        <f>VLOOKUP(Table3032[[#This Row],[Month]],'DB Money Supply'!$A:$D,2)</f>
        <v/>
      </c>
      <c r="C64" s="65">
        <f>(Table3032[[#This Row],[Real M1 Money Stock]]-B52)/B52</f>
        <v/>
      </c>
    </row>
    <row r="65">
      <c r="A65" s="26" t="n">
        <v>23346</v>
      </c>
      <c r="B65" s="27">
        <f>VLOOKUP(Table3032[[#This Row],[Month]],'DB Money Supply'!$A:$D,2)</f>
        <v/>
      </c>
      <c r="C65" s="65">
        <f>(Table3032[[#This Row],[Real M1 Money Stock]]-B53)/B53</f>
        <v/>
      </c>
    </row>
    <row r="66">
      <c r="A66" s="26" t="n">
        <v>23377</v>
      </c>
      <c r="B66" s="27">
        <f>VLOOKUP(Table3032[[#This Row],[Month]],'DB Money Supply'!$A:$D,2)</f>
        <v/>
      </c>
      <c r="C66" s="65">
        <f>(Table3032[[#This Row],[Real M1 Money Stock]]-B54)/B54</f>
        <v/>
      </c>
    </row>
    <row r="67">
      <c r="A67" s="26" t="n">
        <v>23408</v>
      </c>
      <c r="B67" s="27">
        <f>VLOOKUP(Table3032[[#This Row],[Month]],'DB Money Supply'!$A:$D,2)</f>
        <v/>
      </c>
      <c r="C67" s="65">
        <f>(Table3032[[#This Row],[Real M1 Money Stock]]-B55)/B55</f>
        <v/>
      </c>
    </row>
    <row r="68">
      <c r="A68" s="26" t="n">
        <v>23437</v>
      </c>
      <c r="B68" s="27">
        <f>VLOOKUP(Table3032[[#This Row],[Month]],'DB Money Supply'!$A:$D,2)</f>
        <v/>
      </c>
      <c r="C68" s="65">
        <f>(Table3032[[#This Row],[Real M1 Money Stock]]-B56)/B56</f>
        <v/>
      </c>
    </row>
    <row r="69">
      <c r="A69" s="26" t="n">
        <v>23468</v>
      </c>
      <c r="B69" s="27">
        <f>VLOOKUP(Table3032[[#This Row],[Month]],'DB Money Supply'!$A:$D,2)</f>
        <v/>
      </c>
      <c r="C69" s="65">
        <f>(Table3032[[#This Row],[Real M1 Money Stock]]-B57)/B57</f>
        <v/>
      </c>
    </row>
    <row r="70">
      <c r="A70" s="26" t="n">
        <v>23498</v>
      </c>
      <c r="B70" s="27">
        <f>VLOOKUP(Table3032[[#This Row],[Month]],'DB Money Supply'!$A:$D,2)</f>
        <v/>
      </c>
      <c r="C70" s="65">
        <f>(Table3032[[#This Row],[Real M1 Money Stock]]-B58)/B58</f>
        <v/>
      </c>
    </row>
    <row r="71">
      <c r="A71" s="26" t="n">
        <v>23529</v>
      </c>
      <c r="B71" s="27">
        <f>VLOOKUP(Table3032[[#This Row],[Month]],'DB Money Supply'!$A:$D,2)</f>
        <v/>
      </c>
      <c r="C71" s="65">
        <f>(Table3032[[#This Row],[Real M1 Money Stock]]-B59)/B59</f>
        <v/>
      </c>
    </row>
    <row r="72">
      <c r="A72" s="26" t="n">
        <v>23559</v>
      </c>
      <c r="B72" s="27">
        <f>VLOOKUP(Table3032[[#This Row],[Month]],'DB Money Supply'!$A:$D,2)</f>
        <v/>
      </c>
      <c r="C72" s="65">
        <f>(Table3032[[#This Row],[Real M1 Money Stock]]-B60)/B60</f>
        <v/>
      </c>
    </row>
    <row r="73">
      <c r="A73" s="26" t="n">
        <v>23590</v>
      </c>
      <c r="B73" s="27">
        <f>VLOOKUP(Table3032[[#This Row],[Month]],'DB Money Supply'!$A:$D,2)</f>
        <v/>
      </c>
      <c r="C73" s="65">
        <f>(Table3032[[#This Row],[Real M1 Money Stock]]-B61)/B61</f>
        <v/>
      </c>
    </row>
    <row r="74">
      <c r="A74" s="26" t="n">
        <v>23621</v>
      </c>
      <c r="B74" s="27">
        <f>VLOOKUP(Table3032[[#This Row],[Month]],'DB Money Supply'!$A:$D,2)</f>
        <v/>
      </c>
      <c r="C74" s="65">
        <f>(Table3032[[#This Row],[Real M1 Money Stock]]-B62)/B62</f>
        <v/>
      </c>
    </row>
    <row r="75">
      <c r="A75" s="26" t="n">
        <v>23651</v>
      </c>
      <c r="B75" s="27">
        <f>VLOOKUP(Table3032[[#This Row],[Month]],'DB Money Supply'!$A:$D,2)</f>
        <v/>
      </c>
      <c r="C75" s="65">
        <f>(Table3032[[#This Row],[Real M1 Money Stock]]-B63)/B63</f>
        <v/>
      </c>
    </row>
    <row r="76">
      <c r="A76" s="26" t="n">
        <v>23682</v>
      </c>
      <c r="B76" s="27">
        <f>VLOOKUP(Table3032[[#This Row],[Month]],'DB Money Supply'!$A:$D,2)</f>
        <v/>
      </c>
      <c r="C76" s="65">
        <f>(Table3032[[#This Row],[Real M1 Money Stock]]-B64)/B64</f>
        <v/>
      </c>
    </row>
    <row r="77">
      <c r="A77" s="26" t="n">
        <v>23712</v>
      </c>
      <c r="B77" s="27">
        <f>VLOOKUP(Table3032[[#This Row],[Month]],'DB Money Supply'!$A:$D,2)</f>
        <v/>
      </c>
      <c r="C77" s="65">
        <f>(Table3032[[#This Row],[Real M1 Money Stock]]-B65)/B65</f>
        <v/>
      </c>
    </row>
    <row r="78">
      <c r="A78" s="26" t="n">
        <v>23743</v>
      </c>
      <c r="B78" s="27">
        <f>VLOOKUP(Table3032[[#This Row],[Month]],'DB Money Supply'!$A:$D,2)</f>
        <v/>
      </c>
      <c r="C78" s="65">
        <f>(Table3032[[#This Row],[Real M1 Money Stock]]-B66)/B66</f>
        <v/>
      </c>
    </row>
    <row r="79">
      <c r="A79" s="26" t="n">
        <v>23774</v>
      </c>
      <c r="B79" s="27">
        <f>VLOOKUP(Table3032[[#This Row],[Month]],'DB Money Supply'!$A:$D,2)</f>
        <v/>
      </c>
      <c r="C79" s="65">
        <f>(Table3032[[#This Row],[Real M1 Money Stock]]-B67)/B67</f>
        <v/>
      </c>
    </row>
    <row r="80">
      <c r="A80" s="26" t="n">
        <v>23802</v>
      </c>
      <c r="B80" s="27">
        <f>VLOOKUP(Table3032[[#This Row],[Month]],'DB Money Supply'!$A:$D,2)</f>
        <v/>
      </c>
      <c r="C80" s="65">
        <f>(Table3032[[#This Row],[Real M1 Money Stock]]-B68)/B68</f>
        <v/>
      </c>
    </row>
    <row r="81">
      <c r="A81" s="26" t="n">
        <v>23833</v>
      </c>
      <c r="B81" s="27">
        <f>VLOOKUP(Table3032[[#This Row],[Month]],'DB Money Supply'!$A:$D,2)</f>
        <v/>
      </c>
      <c r="C81" s="65">
        <f>(Table3032[[#This Row],[Real M1 Money Stock]]-B69)/B69</f>
        <v/>
      </c>
    </row>
    <row r="82">
      <c r="A82" s="26" t="n">
        <v>23863</v>
      </c>
      <c r="B82" s="27">
        <f>VLOOKUP(Table3032[[#This Row],[Month]],'DB Money Supply'!$A:$D,2)</f>
        <v/>
      </c>
      <c r="C82" s="65">
        <f>(Table3032[[#This Row],[Real M1 Money Stock]]-B70)/B70</f>
        <v/>
      </c>
    </row>
    <row r="83">
      <c r="A83" s="26" t="n">
        <v>23894</v>
      </c>
      <c r="B83" s="27">
        <f>VLOOKUP(Table3032[[#This Row],[Month]],'DB Money Supply'!$A:$D,2)</f>
        <v/>
      </c>
      <c r="C83" s="65">
        <f>(Table3032[[#This Row],[Real M1 Money Stock]]-B71)/B71</f>
        <v/>
      </c>
    </row>
    <row r="84">
      <c r="A84" s="26" t="n">
        <v>23924</v>
      </c>
      <c r="B84" s="27">
        <f>VLOOKUP(Table3032[[#This Row],[Month]],'DB Money Supply'!$A:$D,2)</f>
        <v/>
      </c>
      <c r="C84" s="65">
        <f>(Table3032[[#This Row],[Real M1 Money Stock]]-B72)/B72</f>
        <v/>
      </c>
    </row>
    <row r="85">
      <c r="A85" s="26" t="n">
        <v>23955</v>
      </c>
      <c r="B85" s="27">
        <f>VLOOKUP(Table3032[[#This Row],[Month]],'DB Money Supply'!$A:$D,2)</f>
        <v/>
      </c>
      <c r="C85" s="65">
        <f>(Table3032[[#This Row],[Real M1 Money Stock]]-B73)/B73</f>
        <v/>
      </c>
    </row>
    <row r="86">
      <c r="A86" s="26" t="n">
        <v>23986</v>
      </c>
      <c r="B86" s="27">
        <f>VLOOKUP(Table3032[[#This Row],[Month]],'DB Money Supply'!$A:$D,2)</f>
        <v/>
      </c>
      <c r="C86" s="65">
        <f>(Table3032[[#This Row],[Real M1 Money Stock]]-B74)/B74</f>
        <v/>
      </c>
    </row>
    <row r="87">
      <c r="A87" s="26" t="n">
        <v>24016</v>
      </c>
      <c r="B87" s="27">
        <f>VLOOKUP(Table3032[[#This Row],[Month]],'DB Money Supply'!$A:$D,2)</f>
        <v/>
      </c>
      <c r="C87" s="65">
        <f>(Table3032[[#This Row],[Real M1 Money Stock]]-B75)/B75</f>
        <v/>
      </c>
    </row>
    <row r="88">
      <c r="A88" s="26" t="n">
        <v>24047</v>
      </c>
      <c r="B88" s="27">
        <f>VLOOKUP(Table3032[[#This Row],[Month]],'DB Money Supply'!$A:$D,2)</f>
        <v/>
      </c>
      <c r="C88" s="65">
        <f>(Table3032[[#This Row],[Real M1 Money Stock]]-B76)/B76</f>
        <v/>
      </c>
    </row>
    <row r="89">
      <c r="A89" s="26" t="n">
        <v>24077</v>
      </c>
      <c r="B89" s="27">
        <f>VLOOKUP(Table3032[[#This Row],[Month]],'DB Money Supply'!$A:$D,2)</f>
        <v/>
      </c>
      <c r="C89" s="65">
        <f>(Table3032[[#This Row],[Real M1 Money Stock]]-B77)/B77</f>
        <v/>
      </c>
    </row>
    <row r="90">
      <c r="A90" s="26" t="n">
        <v>24108</v>
      </c>
      <c r="B90" s="27">
        <f>VLOOKUP(Table3032[[#This Row],[Month]],'DB Money Supply'!$A:$D,2)</f>
        <v/>
      </c>
      <c r="C90" s="65">
        <f>(Table3032[[#This Row],[Real M1 Money Stock]]-B78)/B78</f>
        <v/>
      </c>
    </row>
    <row r="91">
      <c r="A91" s="26" t="n">
        <v>24139</v>
      </c>
      <c r="B91" s="27">
        <f>VLOOKUP(Table3032[[#This Row],[Month]],'DB Money Supply'!$A:$D,2)</f>
        <v/>
      </c>
      <c r="C91" s="65">
        <f>(Table3032[[#This Row],[Real M1 Money Stock]]-B79)/B79</f>
        <v/>
      </c>
    </row>
    <row r="92">
      <c r="A92" s="26" t="n">
        <v>24167</v>
      </c>
      <c r="B92" s="27">
        <f>VLOOKUP(Table3032[[#This Row],[Month]],'DB Money Supply'!$A:$D,2)</f>
        <v/>
      </c>
      <c r="C92" s="65">
        <f>(Table3032[[#This Row],[Real M1 Money Stock]]-B80)/B80</f>
        <v/>
      </c>
    </row>
    <row r="93">
      <c r="A93" s="26" t="n">
        <v>24198</v>
      </c>
      <c r="B93" s="27">
        <f>VLOOKUP(Table3032[[#This Row],[Month]],'DB Money Supply'!$A:$D,2)</f>
        <v/>
      </c>
      <c r="C93" s="65">
        <f>(Table3032[[#This Row],[Real M1 Money Stock]]-B81)/B81</f>
        <v/>
      </c>
    </row>
    <row r="94">
      <c r="A94" s="26" t="n">
        <v>24228</v>
      </c>
      <c r="B94" s="27">
        <f>VLOOKUP(Table3032[[#This Row],[Month]],'DB Money Supply'!$A:$D,2)</f>
        <v/>
      </c>
      <c r="C94" s="65">
        <f>(Table3032[[#This Row],[Real M1 Money Stock]]-B82)/B82</f>
        <v/>
      </c>
    </row>
    <row r="95">
      <c r="A95" s="26" t="n">
        <v>24259</v>
      </c>
      <c r="B95" s="27">
        <f>VLOOKUP(Table3032[[#This Row],[Month]],'DB Money Supply'!$A:$D,2)</f>
        <v/>
      </c>
      <c r="C95" s="65">
        <f>(Table3032[[#This Row],[Real M1 Money Stock]]-B83)/B83</f>
        <v/>
      </c>
    </row>
    <row r="96">
      <c r="A96" s="26" t="n">
        <v>24289</v>
      </c>
      <c r="B96" s="27">
        <f>VLOOKUP(Table3032[[#This Row],[Month]],'DB Money Supply'!$A:$D,2)</f>
        <v/>
      </c>
      <c r="C96" s="65">
        <f>(Table3032[[#This Row],[Real M1 Money Stock]]-B84)/B84</f>
        <v/>
      </c>
    </row>
    <row r="97">
      <c r="A97" s="26" t="n">
        <v>24320</v>
      </c>
      <c r="B97" s="27">
        <f>VLOOKUP(Table3032[[#This Row],[Month]],'DB Money Supply'!$A:$D,2)</f>
        <v/>
      </c>
      <c r="C97" s="65">
        <f>(Table3032[[#This Row],[Real M1 Money Stock]]-B85)/B85</f>
        <v/>
      </c>
    </row>
    <row r="98">
      <c r="A98" s="26" t="n">
        <v>24351</v>
      </c>
      <c r="B98" s="27">
        <f>VLOOKUP(Table3032[[#This Row],[Month]],'DB Money Supply'!$A:$D,2)</f>
        <v/>
      </c>
      <c r="C98" s="65">
        <f>(Table3032[[#This Row],[Real M1 Money Stock]]-B86)/B86</f>
        <v/>
      </c>
    </row>
    <row r="99">
      <c r="A99" s="26" t="n">
        <v>24381</v>
      </c>
      <c r="B99" s="27">
        <f>VLOOKUP(Table3032[[#This Row],[Month]],'DB Money Supply'!$A:$D,2)</f>
        <v/>
      </c>
      <c r="C99" s="65">
        <f>(Table3032[[#This Row],[Real M1 Money Stock]]-B87)/B87</f>
        <v/>
      </c>
    </row>
    <row r="100">
      <c r="A100" s="26" t="n">
        <v>24412</v>
      </c>
      <c r="B100" s="27">
        <f>VLOOKUP(Table3032[[#This Row],[Month]],'DB Money Supply'!$A:$D,2)</f>
        <v/>
      </c>
      <c r="C100" s="65">
        <f>(Table3032[[#This Row],[Real M1 Money Stock]]-B88)/B88</f>
        <v/>
      </c>
    </row>
    <row r="101">
      <c r="A101" s="26" t="n">
        <v>24442</v>
      </c>
      <c r="B101" s="27">
        <f>VLOOKUP(Table3032[[#This Row],[Month]],'DB Money Supply'!$A:$D,2)</f>
        <v/>
      </c>
      <c r="C101" s="65">
        <f>(Table3032[[#This Row],[Real M1 Money Stock]]-B89)/B89</f>
        <v/>
      </c>
    </row>
    <row r="102">
      <c r="A102" s="26" t="n">
        <v>24473</v>
      </c>
      <c r="B102" s="27">
        <f>VLOOKUP(Table3032[[#This Row],[Month]],'DB Money Supply'!$A:$D,2)</f>
        <v/>
      </c>
      <c r="C102" s="65">
        <f>(Table3032[[#This Row],[Real M1 Money Stock]]-B90)/B90</f>
        <v/>
      </c>
    </row>
    <row r="103">
      <c r="A103" s="26" t="n">
        <v>24504</v>
      </c>
      <c r="B103" s="27">
        <f>VLOOKUP(Table3032[[#This Row],[Month]],'DB Money Supply'!$A:$D,2)</f>
        <v/>
      </c>
      <c r="C103" s="65">
        <f>(Table3032[[#This Row],[Real M1 Money Stock]]-B91)/B91</f>
        <v/>
      </c>
    </row>
    <row r="104">
      <c r="A104" s="26" t="n">
        <v>24532</v>
      </c>
      <c r="B104" s="27">
        <f>VLOOKUP(Table3032[[#This Row],[Month]],'DB Money Supply'!$A:$D,2)</f>
        <v/>
      </c>
      <c r="C104" s="65">
        <f>(Table3032[[#This Row],[Real M1 Money Stock]]-B92)/B92</f>
        <v/>
      </c>
    </row>
    <row r="105">
      <c r="A105" s="26" t="n">
        <v>24563</v>
      </c>
      <c r="B105" s="27">
        <f>VLOOKUP(Table3032[[#This Row],[Month]],'DB Money Supply'!$A:$D,2)</f>
        <v/>
      </c>
      <c r="C105" s="65">
        <f>(Table3032[[#This Row],[Real M1 Money Stock]]-B93)/B93</f>
        <v/>
      </c>
    </row>
    <row r="106">
      <c r="A106" s="26" t="n">
        <v>24593</v>
      </c>
      <c r="B106" s="27">
        <f>VLOOKUP(Table3032[[#This Row],[Month]],'DB Money Supply'!$A:$D,2)</f>
        <v/>
      </c>
      <c r="C106" s="65">
        <f>(Table3032[[#This Row],[Real M1 Money Stock]]-B94)/B94</f>
        <v/>
      </c>
    </row>
    <row r="107">
      <c r="A107" s="26" t="n">
        <v>24624</v>
      </c>
      <c r="B107" s="27">
        <f>VLOOKUP(Table3032[[#This Row],[Month]],'DB Money Supply'!$A:$D,2)</f>
        <v/>
      </c>
      <c r="C107" s="65">
        <f>(Table3032[[#This Row],[Real M1 Money Stock]]-B95)/B95</f>
        <v/>
      </c>
    </row>
    <row r="108">
      <c r="A108" s="26" t="n">
        <v>24654</v>
      </c>
      <c r="B108" s="27">
        <f>VLOOKUP(Table3032[[#This Row],[Month]],'DB Money Supply'!$A:$D,2)</f>
        <v/>
      </c>
      <c r="C108" s="65">
        <f>(Table3032[[#This Row],[Real M1 Money Stock]]-B96)/B96</f>
        <v/>
      </c>
    </row>
    <row r="109">
      <c r="A109" s="26" t="n">
        <v>24685</v>
      </c>
      <c r="B109" s="27">
        <f>VLOOKUP(Table3032[[#This Row],[Month]],'DB Money Supply'!$A:$D,2)</f>
        <v/>
      </c>
      <c r="C109" s="65">
        <f>(Table3032[[#This Row],[Real M1 Money Stock]]-B97)/B97</f>
        <v/>
      </c>
    </row>
    <row r="110">
      <c r="A110" s="26" t="n">
        <v>24716</v>
      </c>
      <c r="B110" s="27">
        <f>VLOOKUP(Table3032[[#This Row],[Month]],'DB Money Supply'!$A:$D,2)</f>
        <v/>
      </c>
      <c r="C110" s="65">
        <f>(Table3032[[#This Row],[Real M1 Money Stock]]-B98)/B98</f>
        <v/>
      </c>
    </row>
    <row r="111">
      <c r="A111" s="26" t="n">
        <v>24746</v>
      </c>
      <c r="B111" s="27">
        <f>VLOOKUP(Table3032[[#This Row],[Month]],'DB Money Supply'!$A:$D,2)</f>
        <v/>
      </c>
      <c r="C111" s="65">
        <f>(Table3032[[#This Row],[Real M1 Money Stock]]-B99)/B99</f>
        <v/>
      </c>
    </row>
    <row r="112">
      <c r="A112" s="26" t="n">
        <v>24777</v>
      </c>
      <c r="B112" s="27">
        <f>VLOOKUP(Table3032[[#This Row],[Month]],'DB Money Supply'!$A:$D,2)</f>
        <v/>
      </c>
      <c r="C112" s="65">
        <f>(Table3032[[#This Row],[Real M1 Money Stock]]-B100)/B100</f>
        <v/>
      </c>
    </row>
    <row r="113">
      <c r="A113" s="26" t="n">
        <v>24807</v>
      </c>
      <c r="B113" s="27">
        <f>VLOOKUP(Table3032[[#This Row],[Month]],'DB Money Supply'!$A:$D,2)</f>
        <v/>
      </c>
      <c r="C113" s="65">
        <f>(Table3032[[#This Row],[Real M1 Money Stock]]-B101)/B101</f>
        <v/>
      </c>
    </row>
    <row r="114">
      <c r="A114" s="26" t="n">
        <v>24838</v>
      </c>
      <c r="B114" s="27">
        <f>VLOOKUP(Table3032[[#This Row],[Month]],'DB Money Supply'!$A:$D,2)</f>
        <v/>
      </c>
      <c r="C114" s="65">
        <f>(Table3032[[#This Row],[Real M1 Money Stock]]-B102)/B102</f>
        <v/>
      </c>
    </row>
    <row r="115">
      <c r="A115" s="26" t="n">
        <v>24869</v>
      </c>
      <c r="B115" s="27">
        <f>VLOOKUP(Table3032[[#This Row],[Month]],'DB Money Supply'!$A:$D,2)</f>
        <v/>
      </c>
      <c r="C115" s="65">
        <f>(Table3032[[#This Row],[Real M1 Money Stock]]-B103)/B103</f>
        <v/>
      </c>
    </row>
    <row r="116">
      <c r="A116" s="26" t="n">
        <v>24898</v>
      </c>
      <c r="B116" s="27">
        <f>VLOOKUP(Table3032[[#This Row],[Month]],'DB Money Supply'!$A:$D,2)</f>
        <v/>
      </c>
      <c r="C116" s="65">
        <f>(Table3032[[#This Row],[Real M1 Money Stock]]-B104)/B104</f>
        <v/>
      </c>
    </row>
    <row r="117">
      <c r="A117" s="26" t="n">
        <v>24929</v>
      </c>
      <c r="B117" s="27">
        <f>VLOOKUP(Table3032[[#This Row],[Month]],'DB Money Supply'!$A:$D,2)</f>
        <v/>
      </c>
      <c r="C117" s="65">
        <f>(Table3032[[#This Row],[Real M1 Money Stock]]-B105)/B105</f>
        <v/>
      </c>
    </row>
    <row r="118">
      <c r="A118" s="26" t="n">
        <v>24959</v>
      </c>
      <c r="B118" s="27">
        <f>VLOOKUP(Table3032[[#This Row],[Month]],'DB Money Supply'!$A:$D,2)</f>
        <v/>
      </c>
      <c r="C118" s="65">
        <f>(Table3032[[#This Row],[Real M1 Money Stock]]-B106)/B106</f>
        <v/>
      </c>
    </row>
    <row r="119">
      <c r="A119" s="26" t="n">
        <v>24990</v>
      </c>
      <c r="B119" s="27">
        <f>VLOOKUP(Table3032[[#This Row],[Month]],'DB Money Supply'!$A:$D,2)</f>
        <v/>
      </c>
      <c r="C119" s="65">
        <f>(Table3032[[#This Row],[Real M1 Money Stock]]-B107)/B107</f>
        <v/>
      </c>
    </row>
    <row r="120">
      <c r="A120" s="26" t="n">
        <v>25020</v>
      </c>
      <c r="B120" s="27">
        <f>VLOOKUP(Table3032[[#This Row],[Month]],'DB Money Supply'!$A:$D,2)</f>
        <v/>
      </c>
      <c r="C120" s="65">
        <f>(Table3032[[#This Row],[Real M1 Money Stock]]-B108)/B108</f>
        <v/>
      </c>
    </row>
    <row r="121">
      <c r="A121" s="26" t="n">
        <v>25051</v>
      </c>
      <c r="B121" s="27">
        <f>VLOOKUP(Table3032[[#This Row],[Month]],'DB Money Supply'!$A:$D,2)</f>
        <v/>
      </c>
      <c r="C121" s="65">
        <f>(Table3032[[#This Row],[Real M1 Money Stock]]-B109)/B109</f>
        <v/>
      </c>
    </row>
    <row r="122">
      <c r="A122" s="26" t="n">
        <v>25082</v>
      </c>
      <c r="B122" s="27">
        <f>VLOOKUP(Table3032[[#This Row],[Month]],'DB Money Supply'!$A:$D,2)</f>
        <v/>
      </c>
      <c r="C122" s="65">
        <f>(Table3032[[#This Row],[Real M1 Money Stock]]-B110)/B110</f>
        <v/>
      </c>
    </row>
    <row r="123">
      <c r="A123" s="26" t="n">
        <v>25112</v>
      </c>
      <c r="B123" s="27">
        <f>VLOOKUP(Table3032[[#This Row],[Month]],'DB Money Supply'!$A:$D,2)</f>
        <v/>
      </c>
      <c r="C123" s="65">
        <f>(Table3032[[#This Row],[Real M1 Money Stock]]-B111)/B111</f>
        <v/>
      </c>
    </row>
    <row r="124">
      <c r="A124" s="26" t="n">
        <v>25143</v>
      </c>
      <c r="B124" s="27">
        <f>VLOOKUP(Table3032[[#This Row],[Month]],'DB Money Supply'!$A:$D,2)</f>
        <v/>
      </c>
      <c r="C124" s="65">
        <f>(Table3032[[#This Row],[Real M1 Money Stock]]-B112)/B112</f>
        <v/>
      </c>
    </row>
    <row r="125">
      <c r="A125" s="26" t="n">
        <v>25173</v>
      </c>
      <c r="B125" s="27">
        <f>VLOOKUP(Table3032[[#This Row],[Month]],'DB Money Supply'!$A:$D,2)</f>
        <v/>
      </c>
      <c r="C125" s="65">
        <f>(Table3032[[#This Row],[Real M1 Money Stock]]-B113)/B113</f>
        <v/>
      </c>
    </row>
    <row r="126">
      <c r="A126" s="26" t="n">
        <v>25204</v>
      </c>
      <c r="B126" s="27">
        <f>VLOOKUP(Table3032[[#This Row],[Month]],'DB Money Supply'!$A:$D,2)</f>
        <v/>
      </c>
      <c r="C126" s="65">
        <f>(Table3032[[#This Row],[Real M1 Money Stock]]-B114)/B114</f>
        <v/>
      </c>
    </row>
    <row r="127">
      <c r="A127" s="26" t="n">
        <v>25235</v>
      </c>
      <c r="B127" s="27">
        <f>VLOOKUP(Table3032[[#This Row],[Month]],'DB Money Supply'!$A:$D,2)</f>
        <v/>
      </c>
      <c r="C127" s="65">
        <f>(Table3032[[#This Row],[Real M1 Money Stock]]-B115)/B115</f>
        <v/>
      </c>
    </row>
    <row r="128">
      <c r="A128" s="26" t="n">
        <v>25263</v>
      </c>
      <c r="B128" s="27">
        <f>VLOOKUP(Table3032[[#This Row],[Month]],'DB Money Supply'!$A:$D,2)</f>
        <v/>
      </c>
      <c r="C128" s="65">
        <f>(Table3032[[#This Row],[Real M1 Money Stock]]-B116)/B116</f>
        <v/>
      </c>
    </row>
    <row r="129">
      <c r="A129" s="26" t="n">
        <v>25294</v>
      </c>
      <c r="B129" s="27">
        <f>VLOOKUP(Table3032[[#This Row],[Month]],'DB Money Supply'!$A:$D,2)</f>
        <v/>
      </c>
      <c r="C129" s="65">
        <f>(Table3032[[#This Row],[Real M1 Money Stock]]-B117)/B117</f>
        <v/>
      </c>
    </row>
    <row r="130">
      <c r="A130" s="26" t="n">
        <v>25324</v>
      </c>
      <c r="B130" s="27">
        <f>VLOOKUP(Table3032[[#This Row],[Month]],'DB Money Supply'!$A:$D,2)</f>
        <v/>
      </c>
      <c r="C130" s="65">
        <f>(Table3032[[#This Row],[Real M1 Money Stock]]-B118)/B118</f>
        <v/>
      </c>
    </row>
    <row r="131">
      <c r="A131" s="26" t="n">
        <v>25355</v>
      </c>
      <c r="B131" s="27">
        <f>VLOOKUP(Table3032[[#This Row],[Month]],'DB Money Supply'!$A:$D,2)</f>
        <v/>
      </c>
      <c r="C131" s="65">
        <f>(Table3032[[#This Row],[Real M1 Money Stock]]-B119)/B119</f>
        <v/>
      </c>
    </row>
    <row r="132">
      <c r="A132" s="26" t="n">
        <v>25385</v>
      </c>
      <c r="B132" s="27">
        <f>VLOOKUP(Table3032[[#This Row],[Month]],'DB Money Supply'!$A:$D,2)</f>
        <v/>
      </c>
      <c r="C132" s="65">
        <f>(Table3032[[#This Row],[Real M1 Money Stock]]-B120)/B120</f>
        <v/>
      </c>
    </row>
    <row r="133">
      <c r="A133" s="26" t="n">
        <v>25416</v>
      </c>
      <c r="B133" s="27">
        <f>VLOOKUP(Table3032[[#This Row],[Month]],'DB Money Supply'!$A:$D,2)</f>
        <v/>
      </c>
      <c r="C133" s="65">
        <f>(Table3032[[#This Row],[Real M1 Money Stock]]-B121)/B121</f>
        <v/>
      </c>
    </row>
    <row r="134">
      <c r="A134" s="26" t="n">
        <v>25447</v>
      </c>
      <c r="B134" s="27">
        <f>VLOOKUP(Table3032[[#This Row],[Month]],'DB Money Supply'!$A:$D,2)</f>
        <v/>
      </c>
      <c r="C134" s="65">
        <f>(Table3032[[#This Row],[Real M1 Money Stock]]-B122)/B122</f>
        <v/>
      </c>
    </row>
    <row r="135">
      <c r="A135" s="26" t="n">
        <v>25477</v>
      </c>
      <c r="B135" s="27">
        <f>VLOOKUP(Table3032[[#This Row],[Month]],'DB Money Supply'!$A:$D,2)</f>
        <v/>
      </c>
      <c r="C135" s="65">
        <f>(Table3032[[#This Row],[Real M1 Money Stock]]-B123)/B123</f>
        <v/>
      </c>
    </row>
    <row r="136">
      <c r="A136" s="26" t="n">
        <v>25508</v>
      </c>
      <c r="B136" s="27">
        <f>VLOOKUP(Table3032[[#This Row],[Month]],'DB Money Supply'!$A:$D,2)</f>
        <v/>
      </c>
      <c r="C136" s="65">
        <f>(Table3032[[#This Row],[Real M1 Money Stock]]-B124)/B124</f>
        <v/>
      </c>
    </row>
    <row r="137">
      <c r="A137" s="26" t="n">
        <v>25538</v>
      </c>
      <c r="B137" s="27">
        <f>VLOOKUP(Table3032[[#This Row],[Month]],'DB Money Supply'!$A:$D,2)</f>
        <v/>
      </c>
      <c r="C137" s="65">
        <f>(Table3032[[#This Row],[Real M1 Money Stock]]-B125)/B125</f>
        <v/>
      </c>
    </row>
    <row r="138">
      <c r="A138" s="26" t="n">
        <v>25569</v>
      </c>
      <c r="B138" s="27">
        <f>VLOOKUP(Table3032[[#This Row],[Month]],'DB Money Supply'!$A:$D,2)</f>
        <v/>
      </c>
      <c r="C138" s="65">
        <f>(Table3032[[#This Row],[Real M1 Money Stock]]-B126)/B126</f>
        <v/>
      </c>
    </row>
    <row r="139">
      <c r="A139" s="26" t="n">
        <v>25600</v>
      </c>
      <c r="B139" s="27">
        <f>VLOOKUP(Table3032[[#This Row],[Month]],'DB Money Supply'!$A:$D,2)</f>
        <v/>
      </c>
      <c r="C139" s="65">
        <f>(Table3032[[#This Row],[Real M1 Money Stock]]-B127)/B127</f>
        <v/>
      </c>
    </row>
    <row r="140">
      <c r="A140" s="26" t="n">
        <v>25628</v>
      </c>
      <c r="B140" s="27">
        <f>VLOOKUP(Table3032[[#This Row],[Month]],'DB Money Supply'!$A:$D,2)</f>
        <v/>
      </c>
      <c r="C140" s="65">
        <f>(Table3032[[#This Row],[Real M1 Money Stock]]-B128)/B128</f>
        <v/>
      </c>
    </row>
    <row r="141">
      <c r="A141" s="26" t="n">
        <v>25659</v>
      </c>
      <c r="B141" s="27">
        <f>VLOOKUP(Table3032[[#This Row],[Month]],'DB Money Supply'!$A:$D,2)</f>
        <v/>
      </c>
      <c r="C141" s="65">
        <f>(Table3032[[#This Row],[Real M1 Money Stock]]-B129)/B129</f>
        <v/>
      </c>
    </row>
    <row r="142">
      <c r="A142" s="26" t="n">
        <v>25689</v>
      </c>
      <c r="B142" s="27">
        <f>VLOOKUP(Table3032[[#This Row],[Month]],'DB Money Supply'!$A:$D,2)</f>
        <v/>
      </c>
      <c r="C142" s="65">
        <f>(Table3032[[#This Row],[Real M1 Money Stock]]-B130)/B130</f>
        <v/>
      </c>
    </row>
    <row r="143">
      <c r="A143" s="26" t="n">
        <v>25720</v>
      </c>
      <c r="B143" s="27">
        <f>VLOOKUP(Table3032[[#This Row],[Month]],'DB Money Supply'!$A:$D,2)</f>
        <v/>
      </c>
      <c r="C143" s="65">
        <f>(Table3032[[#This Row],[Real M1 Money Stock]]-B131)/B131</f>
        <v/>
      </c>
    </row>
    <row r="144">
      <c r="A144" s="26" t="n">
        <v>25750</v>
      </c>
      <c r="B144" s="27">
        <f>VLOOKUP(Table3032[[#This Row],[Month]],'DB Money Supply'!$A:$D,2)</f>
        <v/>
      </c>
      <c r="C144" s="65">
        <f>(Table3032[[#This Row],[Real M1 Money Stock]]-B132)/B132</f>
        <v/>
      </c>
    </row>
    <row r="145">
      <c r="A145" s="26" t="n">
        <v>25781</v>
      </c>
      <c r="B145" s="27">
        <f>VLOOKUP(Table3032[[#This Row],[Month]],'DB Money Supply'!$A:$D,2)</f>
        <v/>
      </c>
      <c r="C145" s="65">
        <f>(Table3032[[#This Row],[Real M1 Money Stock]]-B133)/B133</f>
        <v/>
      </c>
    </row>
    <row r="146">
      <c r="A146" s="26" t="n">
        <v>25812</v>
      </c>
      <c r="B146" s="27">
        <f>VLOOKUP(Table3032[[#This Row],[Month]],'DB Money Supply'!$A:$D,2)</f>
        <v/>
      </c>
      <c r="C146" s="65">
        <f>(Table3032[[#This Row],[Real M1 Money Stock]]-B134)/B134</f>
        <v/>
      </c>
    </row>
    <row r="147">
      <c r="A147" s="26" t="n">
        <v>25842</v>
      </c>
      <c r="B147" s="27">
        <f>VLOOKUP(Table3032[[#This Row],[Month]],'DB Money Supply'!$A:$D,2)</f>
        <v/>
      </c>
      <c r="C147" s="65">
        <f>(Table3032[[#This Row],[Real M1 Money Stock]]-B135)/B135</f>
        <v/>
      </c>
    </row>
    <row r="148">
      <c r="A148" s="26" t="n">
        <v>25873</v>
      </c>
      <c r="B148" s="27">
        <f>VLOOKUP(Table3032[[#This Row],[Month]],'DB Money Supply'!$A:$D,2)</f>
        <v/>
      </c>
      <c r="C148" s="65">
        <f>(Table3032[[#This Row],[Real M1 Money Stock]]-B136)/B136</f>
        <v/>
      </c>
    </row>
    <row r="149">
      <c r="A149" s="26" t="n">
        <v>25903</v>
      </c>
      <c r="B149" s="27">
        <f>VLOOKUP(Table3032[[#This Row],[Month]],'DB Money Supply'!$A:$D,2)</f>
        <v/>
      </c>
      <c r="C149" s="65">
        <f>(Table3032[[#This Row],[Real M1 Money Stock]]-B137)/B137</f>
        <v/>
      </c>
    </row>
    <row r="150">
      <c r="A150" s="26" t="n">
        <v>25934</v>
      </c>
      <c r="B150" s="27">
        <f>VLOOKUP(Table3032[[#This Row],[Month]],'DB Money Supply'!$A:$D,2)</f>
        <v/>
      </c>
      <c r="C150" s="65">
        <f>(Table3032[[#This Row],[Real M1 Money Stock]]-B138)/B138</f>
        <v/>
      </c>
    </row>
    <row r="151">
      <c r="A151" s="26" t="n">
        <v>25965</v>
      </c>
      <c r="B151" s="27">
        <f>VLOOKUP(Table3032[[#This Row],[Month]],'DB Money Supply'!$A:$D,2)</f>
        <v/>
      </c>
      <c r="C151" s="65">
        <f>(Table3032[[#This Row],[Real M1 Money Stock]]-B139)/B139</f>
        <v/>
      </c>
    </row>
    <row r="152">
      <c r="A152" s="26" t="n">
        <v>25993</v>
      </c>
      <c r="B152" s="27">
        <f>VLOOKUP(Table3032[[#This Row],[Month]],'DB Money Supply'!$A:$D,2)</f>
        <v/>
      </c>
      <c r="C152" s="65">
        <f>(Table3032[[#This Row],[Real M1 Money Stock]]-B140)/B140</f>
        <v/>
      </c>
    </row>
    <row r="153">
      <c r="A153" s="26" t="n">
        <v>26024</v>
      </c>
      <c r="B153" s="27">
        <f>VLOOKUP(Table3032[[#This Row],[Month]],'DB Money Supply'!$A:$D,2)</f>
        <v/>
      </c>
      <c r="C153" s="65">
        <f>(Table3032[[#This Row],[Real M1 Money Stock]]-B141)/B141</f>
        <v/>
      </c>
    </row>
    <row r="154">
      <c r="A154" s="26" t="n">
        <v>26054</v>
      </c>
      <c r="B154" s="27">
        <f>VLOOKUP(Table3032[[#This Row],[Month]],'DB Money Supply'!$A:$D,2)</f>
        <v/>
      </c>
      <c r="C154" s="65">
        <f>(Table3032[[#This Row],[Real M1 Money Stock]]-B142)/B142</f>
        <v/>
      </c>
    </row>
    <row r="155">
      <c r="A155" s="26" t="n">
        <v>26085</v>
      </c>
      <c r="B155" s="27">
        <f>VLOOKUP(Table3032[[#This Row],[Month]],'DB Money Supply'!$A:$D,2)</f>
        <v/>
      </c>
      <c r="C155" s="65">
        <f>(Table3032[[#This Row],[Real M1 Money Stock]]-B143)/B143</f>
        <v/>
      </c>
    </row>
    <row r="156">
      <c r="A156" s="26" t="n">
        <v>26115</v>
      </c>
      <c r="B156" s="27">
        <f>VLOOKUP(Table3032[[#This Row],[Month]],'DB Money Supply'!$A:$D,2)</f>
        <v/>
      </c>
      <c r="C156" s="65">
        <f>(Table3032[[#This Row],[Real M1 Money Stock]]-B144)/B144</f>
        <v/>
      </c>
    </row>
    <row r="157">
      <c r="A157" s="26" t="n">
        <v>26146</v>
      </c>
      <c r="B157" s="27">
        <f>VLOOKUP(Table3032[[#This Row],[Month]],'DB Money Supply'!$A:$D,2)</f>
        <v/>
      </c>
      <c r="C157" s="65">
        <f>(Table3032[[#This Row],[Real M1 Money Stock]]-B145)/B145</f>
        <v/>
      </c>
    </row>
    <row r="158">
      <c r="A158" s="26" t="n">
        <v>26177</v>
      </c>
      <c r="B158" s="27">
        <f>VLOOKUP(Table3032[[#This Row],[Month]],'DB Money Supply'!$A:$D,2)</f>
        <v/>
      </c>
      <c r="C158" s="65">
        <f>(Table3032[[#This Row],[Real M1 Money Stock]]-B146)/B146</f>
        <v/>
      </c>
    </row>
    <row r="159">
      <c r="A159" s="26" t="n">
        <v>26207</v>
      </c>
      <c r="B159" s="27">
        <f>VLOOKUP(Table3032[[#This Row],[Month]],'DB Money Supply'!$A:$D,2)</f>
        <v/>
      </c>
      <c r="C159" s="65">
        <f>(Table3032[[#This Row],[Real M1 Money Stock]]-B147)/B147</f>
        <v/>
      </c>
    </row>
    <row r="160">
      <c r="A160" s="26" t="n">
        <v>26238</v>
      </c>
      <c r="B160" s="27">
        <f>VLOOKUP(Table3032[[#This Row],[Month]],'DB Money Supply'!$A:$D,2)</f>
        <v/>
      </c>
      <c r="C160" s="65">
        <f>(Table3032[[#This Row],[Real M1 Money Stock]]-B148)/B148</f>
        <v/>
      </c>
    </row>
    <row r="161">
      <c r="A161" s="26" t="n">
        <v>26268</v>
      </c>
      <c r="B161" s="27">
        <f>VLOOKUP(Table3032[[#This Row],[Month]],'DB Money Supply'!$A:$D,2)</f>
        <v/>
      </c>
      <c r="C161" s="65">
        <f>(Table3032[[#This Row],[Real M1 Money Stock]]-B149)/B149</f>
        <v/>
      </c>
    </row>
    <row r="162">
      <c r="A162" s="26" t="n">
        <v>26299</v>
      </c>
      <c r="B162" s="27">
        <f>VLOOKUP(Table3032[[#This Row],[Month]],'DB Money Supply'!$A:$D,2)</f>
        <v/>
      </c>
      <c r="C162" s="65">
        <f>(Table3032[[#This Row],[Real M1 Money Stock]]-B150)/B150</f>
        <v/>
      </c>
    </row>
    <row r="163">
      <c r="A163" s="26" t="n">
        <v>26330</v>
      </c>
      <c r="B163" s="27">
        <f>VLOOKUP(Table3032[[#This Row],[Month]],'DB Money Supply'!$A:$D,2)</f>
        <v/>
      </c>
      <c r="C163" s="65">
        <f>(Table3032[[#This Row],[Real M1 Money Stock]]-B151)/B151</f>
        <v/>
      </c>
    </row>
    <row r="164">
      <c r="A164" s="26" t="n">
        <v>26359</v>
      </c>
      <c r="B164" s="27">
        <f>VLOOKUP(Table3032[[#This Row],[Month]],'DB Money Supply'!$A:$D,2)</f>
        <v/>
      </c>
      <c r="C164" s="65">
        <f>(Table3032[[#This Row],[Real M1 Money Stock]]-B152)/B152</f>
        <v/>
      </c>
    </row>
    <row r="165">
      <c r="A165" s="26" t="n">
        <v>26390</v>
      </c>
      <c r="B165" s="27">
        <f>VLOOKUP(Table3032[[#This Row],[Month]],'DB Money Supply'!$A:$D,2)</f>
        <v/>
      </c>
      <c r="C165" s="65">
        <f>(Table3032[[#This Row],[Real M1 Money Stock]]-B153)/B153</f>
        <v/>
      </c>
    </row>
    <row r="166">
      <c r="A166" s="26" t="n">
        <v>26420</v>
      </c>
      <c r="B166" s="27">
        <f>VLOOKUP(Table3032[[#This Row],[Month]],'DB Money Supply'!$A:$D,2)</f>
        <v/>
      </c>
      <c r="C166" s="65">
        <f>(Table3032[[#This Row],[Real M1 Money Stock]]-B154)/B154</f>
        <v/>
      </c>
    </row>
    <row r="167">
      <c r="A167" s="26" t="n">
        <v>26451</v>
      </c>
      <c r="B167" s="27">
        <f>VLOOKUP(Table3032[[#This Row],[Month]],'DB Money Supply'!$A:$D,2)</f>
        <v/>
      </c>
      <c r="C167" s="65">
        <f>(Table3032[[#This Row],[Real M1 Money Stock]]-B155)/B155</f>
        <v/>
      </c>
    </row>
    <row r="168">
      <c r="A168" s="26" t="n">
        <v>26481</v>
      </c>
      <c r="B168" s="27">
        <f>VLOOKUP(Table3032[[#This Row],[Month]],'DB Money Supply'!$A:$D,2)</f>
        <v/>
      </c>
      <c r="C168" s="65">
        <f>(Table3032[[#This Row],[Real M1 Money Stock]]-B156)/B156</f>
        <v/>
      </c>
    </row>
    <row r="169">
      <c r="A169" s="26" t="n">
        <v>26512</v>
      </c>
      <c r="B169" s="27">
        <f>VLOOKUP(Table3032[[#This Row],[Month]],'DB Money Supply'!$A:$D,2)</f>
        <v/>
      </c>
      <c r="C169" s="65">
        <f>(Table3032[[#This Row],[Real M1 Money Stock]]-B157)/B157</f>
        <v/>
      </c>
    </row>
    <row r="170">
      <c r="A170" s="26" t="n">
        <v>26543</v>
      </c>
      <c r="B170" s="27">
        <f>VLOOKUP(Table3032[[#This Row],[Month]],'DB Money Supply'!$A:$D,2)</f>
        <v/>
      </c>
      <c r="C170" s="65">
        <f>(Table3032[[#This Row],[Real M1 Money Stock]]-B158)/B158</f>
        <v/>
      </c>
    </row>
    <row r="171">
      <c r="A171" s="26" t="n">
        <v>26573</v>
      </c>
      <c r="B171" s="27">
        <f>VLOOKUP(Table3032[[#This Row],[Month]],'DB Money Supply'!$A:$D,2)</f>
        <v/>
      </c>
      <c r="C171" s="65">
        <f>(Table3032[[#This Row],[Real M1 Money Stock]]-B159)/B159</f>
        <v/>
      </c>
    </row>
    <row r="172">
      <c r="A172" s="26" t="n">
        <v>26604</v>
      </c>
      <c r="B172" s="27">
        <f>VLOOKUP(Table3032[[#This Row],[Month]],'DB Money Supply'!$A:$D,2)</f>
        <v/>
      </c>
      <c r="C172" s="65">
        <f>(Table3032[[#This Row],[Real M1 Money Stock]]-B160)/B160</f>
        <v/>
      </c>
    </row>
    <row r="173">
      <c r="A173" s="26" t="n">
        <v>26634</v>
      </c>
      <c r="B173" s="27">
        <f>VLOOKUP(Table3032[[#This Row],[Month]],'DB Money Supply'!$A:$D,2)</f>
        <v/>
      </c>
      <c r="C173" s="65">
        <f>(Table3032[[#This Row],[Real M1 Money Stock]]-B161)/B161</f>
        <v/>
      </c>
    </row>
    <row r="174">
      <c r="A174" s="26" t="n">
        <v>26665</v>
      </c>
      <c r="B174" s="27">
        <f>VLOOKUP(Table3032[[#This Row],[Month]],'DB Money Supply'!$A:$D,2)</f>
        <v/>
      </c>
      <c r="C174" s="65">
        <f>(Table3032[[#This Row],[Real M1 Money Stock]]-B162)/B162</f>
        <v/>
      </c>
    </row>
    <row r="175">
      <c r="A175" s="26" t="n">
        <v>26696</v>
      </c>
      <c r="B175" s="27">
        <f>VLOOKUP(Table3032[[#This Row],[Month]],'DB Money Supply'!$A:$D,2)</f>
        <v/>
      </c>
      <c r="C175" s="65">
        <f>(Table3032[[#This Row],[Real M1 Money Stock]]-B163)/B163</f>
        <v/>
      </c>
    </row>
    <row r="176">
      <c r="A176" s="26" t="n">
        <v>26724</v>
      </c>
      <c r="B176" s="27">
        <f>VLOOKUP(Table3032[[#This Row],[Month]],'DB Money Supply'!$A:$D,2)</f>
        <v/>
      </c>
      <c r="C176" s="65">
        <f>(Table3032[[#This Row],[Real M1 Money Stock]]-B164)/B164</f>
        <v/>
      </c>
    </row>
    <row r="177">
      <c r="A177" s="26" t="n">
        <v>26755</v>
      </c>
      <c r="B177" s="27">
        <f>VLOOKUP(Table3032[[#This Row],[Month]],'DB Money Supply'!$A:$D,2)</f>
        <v/>
      </c>
      <c r="C177" s="65">
        <f>(Table3032[[#This Row],[Real M1 Money Stock]]-B165)/B165</f>
        <v/>
      </c>
    </row>
    <row r="178">
      <c r="A178" s="26" t="n">
        <v>26785</v>
      </c>
      <c r="B178" s="27">
        <f>VLOOKUP(Table3032[[#This Row],[Month]],'DB Money Supply'!$A:$D,2)</f>
        <v/>
      </c>
      <c r="C178" s="65">
        <f>(Table3032[[#This Row],[Real M1 Money Stock]]-B166)/B166</f>
        <v/>
      </c>
    </row>
    <row r="179">
      <c r="A179" s="26" t="n">
        <v>26816</v>
      </c>
      <c r="B179" s="27">
        <f>VLOOKUP(Table3032[[#This Row],[Month]],'DB Money Supply'!$A:$D,2)</f>
        <v/>
      </c>
      <c r="C179" s="65">
        <f>(Table3032[[#This Row],[Real M1 Money Stock]]-B167)/B167</f>
        <v/>
      </c>
    </row>
    <row r="180">
      <c r="A180" s="26" t="n">
        <v>26846</v>
      </c>
      <c r="B180" s="27">
        <f>VLOOKUP(Table3032[[#This Row],[Month]],'DB Money Supply'!$A:$D,2)</f>
        <v/>
      </c>
      <c r="C180" s="65">
        <f>(Table3032[[#This Row],[Real M1 Money Stock]]-B168)/B168</f>
        <v/>
      </c>
    </row>
    <row r="181">
      <c r="A181" s="26" t="n">
        <v>26877</v>
      </c>
      <c r="B181" s="27">
        <f>VLOOKUP(Table3032[[#This Row],[Month]],'DB Money Supply'!$A:$D,2)</f>
        <v/>
      </c>
      <c r="C181" s="65">
        <f>(Table3032[[#This Row],[Real M1 Money Stock]]-B169)/B169</f>
        <v/>
      </c>
    </row>
    <row r="182">
      <c r="A182" s="26" t="n">
        <v>26908</v>
      </c>
      <c r="B182" s="27">
        <f>VLOOKUP(Table3032[[#This Row],[Month]],'DB Money Supply'!$A:$D,2)</f>
        <v/>
      </c>
      <c r="C182" s="65">
        <f>(Table3032[[#This Row],[Real M1 Money Stock]]-B170)/B170</f>
        <v/>
      </c>
    </row>
    <row r="183">
      <c r="A183" s="26" t="n">
        <v>26938</v>
      </c>
      <c r="B183" s="27">
        <f>VLOOKUP(Table3032[[#This Row],[Month]],'DB Money Supply'!$A:$D,2)</f>
        <v/>
      </c>
      <c r="C183" s="65">
        <f>(Table3032[[#This Row],[Real M1 Money Stock]]-B171)/B171</f>
        <v/>
      </c>
    </row>
    <row r="184">
      <c r="A184" s="26" t="n">
        <v>26969</v>
      </c>
      <c r="B184" s="27">
        <f>VLOOKUP(Table3032[[#This Row],[Month]],'DB Money Supply'!$A:$D,2)</f>
        <v/>
      </c>
      <c r="C184" s="65">
        <f>(Table3032[[#This Row],[Real M1 Money Stock]]-B172)/B172</f>
        <v/>
      </c>
    </row>
    <row r="185">
      <c r="A185" s="26" t="n">
        <v>26999</v>
      </c>
      <c r="B185" s="27">
        <f>VLOOKUP(Table3032[[#This Row],[Month]],'DB Money Supply'!$A:$D,2)</f>
        <v/>
      </c>
      <c r="C185" s="65">
        <f>(Table3032[[#This Row],[Real M1 Money Stock]]-B173)/B173</f>
        <v/>
      </c>
    </row>
    <row r="186">
      <c r="A186" s="26" t="n">
        <v>27030</v>
      </c>
      <c r="B186" s="27">
        <f>VLOOKUP(Table3032[[#This Row],[Month]],'DB Money Supply'!$A:$D,2)</f>
        <v/>
      </c>
      <c r="C186" s="65">
        <f>(Table3032[[#This Row],[Real M1 Money Stock]]-B174)/B174</f>
        <v/>
      </c>
    </row>
    <row r="187">
      <c r="A187" s="26" t="n">
        <v>27061</v>
      </c>
      <c r="B187" s="27">
        <f>VLOOKUP(Table3032[[#This Row],[Month]],'DB Money Supply'!$A:$D,2)</f>
        <v/>
      </c>
      <c r="C187" s="65">
        <f>(Table3032[[#This Row],[Real M1 Money Stock]]-B175)/B175</f>
        <v/>
      </c>
    </row>
    <row r="188">
      <c r="A188" s="26" t="n">
        <v>27089</v>
      </c>
      <c r="B188" s="27">
        <f>VLOOKUP(Table3032[[#This Row],[Month]],'DB Money Supply'!$A:$D,2)</f>
        <v/>
      </c>
      <c r="C188" s="65">
        <f>(Table3032[[#This Row],[Real M1 Money Stock]]-B176)/B176</f>
        <v/>
      </c>
    </row>
    <row r="189">
      <c r="A189" s="26" t="n">
        <v>27120</v>
      </c>
      <c r="B189" s="27">
        <f>VLOOKUP(Table3032[[#This Row],[Month]],'DB Money Supply'!$A:$D,2)</f>
        <v/>
      </c>
      <c r="C189" s="65">
        <f>(Table3032[[#This Row],[Real M1 Money Stock]]-B177)/B177</f>
        <v/>
      </c>
    </row>
    <row r="190">
      <c r="A190" s="26" t="n">
        <v>27150</v>
      </c>
      <c r="B190" s="27">
        <f>VLOOKUP(Table3032[[#This Row],[Month]],'DB Money Supply'!$A:$D,2)</f>
        <v/>
      </c>
      <c r="C190" s="65">
        <f>(Table3032[[#This Row],[Real M1 Money Stock]]-B178)/B178</f>
        <v/>
      </c>
    </row>
    <row r="191">
      <c r="A191" s="26" t="n">
        <v>27181</v>
      </c>
      <c r="B191" s="27">
        <f>VLOOKUP(Table3032[[#This Row],[Month]],'DB Money Supply'!$A:$D,2)</f>
        <v/>
      </c>
      <c r="C191" s="65">
        <f>(Table3032[[#This Row],[Real M1 Money Stock]]-B179)/B179</f>
        <v/>
      </c>
    </row>
    <row r="192">
      <c r="A192" s="26" t="n">
        <v>27211</v>
      </c>
      <c r="B192" s="27">
        <f>VLOOKUP(Table3032[[#This Row],[Month]],'DB Money Supply'!$A:$D,2)</f>
        <v/>
      </c>
      <c r="C192" s="65">
        <f>(Table3032[[#This Row],[Real M1 Money Stock]]-B180)/B180</f>
        <v/>
      </c>
    </row>
    <row r="193">
      <c r="A193" s="26" t="n">
        <v>27242</v>
      </c>
      <c r="B193" s="27">
        <f>VLOOKUP(Table3032[[#This Row],[Month]],'DB Money Supply'!$A:$D,2)</f>
        <v/>
      </c>
      <c r="C193" s="65">
        <f>(Table3032[[#This Row],[Real M1 Money Stock]]-B181)/B181</f>
        <v/>
      </c>
    </row>
    <row r="194">
      <c r="A194" s="26" t="n">
        <v>27273</v>
      </c>
      <c r="B194" s="27">
        <f>VLOOKUP(Table3032[[#This Row],[Month]],'DB Money Supply'!$A:$D,2)</f>
        <v/>
      </c>
      <c r="C194" s="65">
        <f>(Table3032[[#This Row],[Real M1 Money Stock]]-B182)/B182</f>
        <v/>
      </c>
    </row>
    <row r="195">
      <c r="A195" s="26" t="n">
        <v>27303</v>
      </c>
      <c r="B195" s="27">
        <f>VLOOKUP(Table3032[[#This Row],[Month]],'DB Money Supply'!$A:$D,2)</f>
        <v/>
      </c>
      <c r="C195" s="65">
        <f>(Table3032[[#This Row],[Real M1 Money Stock]]-B183)/B183</f>
        <v/>
      </c>
    </row>
    <row r="196">
      <c r="A196" s="26" t="n">
        <v>27334</v>
      </c>
      <c r="B196" s="27">
        <f>VLOOKUP(Table3032[[#This Row],[Month]],'DB Money Supply'!$A:$D,2)</f>
        <v/>
      </c>
      <c r="C196" s="65">
        <f>(Table3032[[#This Row],[Real M1 Money Stock]]-B184)/B184</f>
        <v/>
      </c>
    </row>
    <row r="197">
      <c r="A197" s="26" t="n">
        <v>27364</v>
      </c>
      <c r="B197" s="27">
        <f>VLOOKUP(Table3032[[#This Row],[Month]],'DB Money Supply'!$A:$D,2)</f>
        <v/>
      </c>
      <c r="C197" s="65">
        <f>(Table3032[[#This Row],[Real M1 Money Stock]]-B185)/B185</f>
        <v/>
      </c>
    </row>
    <row r="198">
      <c r="A198" s="26" t="n">
        <v>27395</v>
      </c>
      <c r="B198" s="27">
        <f>VLOOKUP(Table3032[[#This Row],[Month]],'DB Money Supply'!$A:$D,2)</f>
        <v/>
      </c>
      <c r="C198" s="65">
        <f>(Table3032[[#This Row],[Real M1 Money Stock]]-B186)/B186</f>
        <v/>
      </c>
    </row>
    <row r="199">
      <c r="A199" s="26" t="n">
        <v>27426</v>
      </c>
      <c r="B199" s="27">
        <f>VLOOKUP(Table3032[[#This Row],[Month]],'DB Money Supply'!$A:$D,2)</f>
        <v/>
      </c>
      <c r="C199" s="65">
        <f>(Table3032[[#This Row],[Real M1 Money Stock]]-B187)/B187</f>
        <v/>
      </c>
    </row>
    <row r="200">
      <c r="A200" s="26" t="n">
        <v>27454</v>
      </c>
      <c r="B200" s="27">
        <f>VLOOKUP(Table3032[[#This Row],[Month]],'DB Money Supply'!$A:$D,2)</f>
        <v/>
      </c>
      <c r="C200" s="65">
        <f>(Table3032[[#This Row],[Real M1 Money Stock]]-B188)/B188</f>
        <v/>
      </c>
    </row>
    <row r="201">
      <c r="A201" s="26" t="n">
        <v>27485</v>
      </c>
      <c r="B201" s="27">
        <f>VLOOKUP(Table3032[[#This Row],[Month]],'DB Money Supply'!$A:$D,2)</f>
        <v/>
      </c>
      <c r="C201" s="65">
        <f>(Table3032[[#This Row],[Real M1 Money Stock]]-B189)/B189</f>
        <v/>
      </c>
    </row>
    <row r="202">
      <c r="A202" s="26" t="n">
        <v>27515</v>
      </c>
      <c r="B202" s="27">
        <f>VLOOKUP(Table3032[[#This Row],[Month]],'DB Money Supply'!$A:$D,2)</f>
        <v/>
      </c>
      <c r="C202" s="65">
        <f>(Table3032[[#This Row],[Real M1 Money Stock]]-B190)/B190</f>
        <v/>
      </c>
    </row>
    <row r="203">
      <c r="A203" s="26" t="n">
        <v>27546</v>
      </c>
      <c r="B203" s="27">
        <f>VLOOKUP(Table3032[[#This Row],[Month]],'DB Money Supply'!$A:$D,2)</f>
        <v/>
      </c>
      <c r="C203" s="65">
        <f>(Table3032[[#This Row],[Real M1 Money Stock]]-B191)/B191</f>
        <v/>
      </c>
    </row>
    <row r="204">
      <c r="A204" s="26" t="n">
        <v>27576</v>
      </c>
      <c r="B204" s="27">
        <f>VLOOKUP(Table3032[[#This Row],[Month]],'DB Money Supply'!$A:$D,2)</f>
        <v/>
      </c>
      <c r="C204" s="65">
        <f>(Table3032[[#This Row],[Real M1 Money Stock]]-B192)/B192</f>
        <v/>
      </c>
    </row>
    <row r="205">
      <c r="A205" s="26" t="n">
        <v>27607</v>
      </c>
      <c r="B205" s="27">
        <f>VLOOKUP(Table3032[[#This Row],[Month]],'DB Money Supply'!$A:$D,2)</f>
        <v/>
      </c>
      <c r="C205" s="65">
        <f>(Table3032[[#This Row],[Real M1 Money Stock]]-B193)/B193</f>
        <v/>
      </c>
    </row>
    <row r="206">
      <c r="A206" s="26" t="n">
        <v>27638</v>
      </c>
      <c r="B206" s="27">
        <f>VLOOKUP(Table3032[[#This Row],[Month]],'DB Money Supply'!$A:$D,2)</f>
        <v/>
      </c>
      <c r="C206" s="65">
        <f>(Table3032[[#This Row],[Real M1 Money Stock]]-B194)/B194</f>
        <v/>
      </c>
    </row>
    <row r="207">
      <c r="A207" s="26" t="n">
        <v>27668</v>
      </c>
      <c r="B207" s="27">
        <f>VLOOKUP(Table3032[[#This Row],[Month]],'DB Money Supply'!$A:$D,2)</f>
        <v/>
      </c>
      <c r="C207" s="65">
        <f>(Table3032[[#This Row],[Real M1 Money Stock]]-B195)/B195</f>
        <v/>
      </c>
    </row>
    <row r="208">
      <c r="A208" s="26" t="n">
        <v>27699</v>
      </c>
      <c r="B208" s="27">
        <f>VLOOKUP(Table3032[[#This Row],[Month]],'DB Money Supply'!$A:$D,2)</f>
        <v/>
      </c>
      <c r="C208" s="65">
        <f>(Table3032[[#This Row],[Real M1 Money Stock]]-B196)/B196</f>
        <v/>
      </c>
    </row>
    <row r="209">
      <c r="A209" s="26" t="n">
        <v>27729</v>
      </c>
      <c r="B209" s="27">
        <f>VLOOKUP(Table3032[[#This Row],[Month]],'DB Money Supply'!$A:$D,2)</f>
        <v/>
      </c>
      <c r="C209" s="65">
        <f>(Table3032[[#This Row],[Real M1 Money Stock]]-B197)/B197</f>
        <v/>
      </c>
    </row>
    <row r="210">
      <c r="A210" s="26" t="n">
        <v>27760</v>
      </c>
      <c r="B210" s="27">
        <f>VLOOKUP(Table3032[[#This Row],[Month]],'DB Money Supply'!$A:$D,2)</f>
        <v/>
      </c>
      <c r="C210" s="65">
        <f>(Table3032[[#This Row],[Real M1 Money Stock]]-B198)/B198</f>
        <v/>
      </c>
    </row>
    <row r="211">
      <c r="A211" s="26" t="n">
        <v>27791</v>
      </c>
      <c r="B211" s="27">
        <f>VLOOKUP(Table3032[[#This Row],[Month]],'DB Money Supply'!$A:$D,2)</f>
        <v/>
      </c>
      <c r="C211" s="65">
        <f>(Table3032[[#This Row],[Real M1 Money Stock]]-B199)/B199</f>
        <v/>
      </c>
    </row>
    <row r="212">
      <c r="A212" s="26" t="n">
        <v>27820</v>
      </c>
      <c r="B212" s="27">
        <f>VLOOKUP(Table3032[[#This Row],[Month]],'DB Money Supply'!$A:$D,2)</f>
        <v/>
      </c>
      <c r="C212" s="65">
        <f>(Table3032[[#This Row],[Real M1 Money Stock]]-B200)/B200</f>
        <v/>
      </c>
    </row>
    <row r="213">
      <c r="A213" s="26" t="n">
        <v>27851</v>
      </c>
      <c r="B213" s="27">
        <f>VLOOKUP(Table3032[[#This Row],[Month]],'DB Money Supply'!$A:$D,2)</f>
        <v/>
      </c>
      <c r="C213" s="65">
        <f>(Table3032[[#This Row],[Real M1 Money Stock]]-B201)/B201</f>
        <v/>
      </c>
    </row>
    <row r="214">
      <c r="A214" s="26" t="n">
        <v>27881</v>
      </c>
      <c r="B214" s="27">
        <f>VLOOKUP(Table3032[[#This Row],[Month]],'DB Money Supply'!$A:$D,2)</f>
        <v/>
      </c>
      <c r="C214" s="65">
        <f>(Table3032[[#This Row],[Real M1 Money Stock]]-B202)/B202</f>
        <v/>
      </c>
    </row>
    <row r="215">
      <c r="A215" s="26" t="n">
        <v>27912</v>
      </c>
      <c r="B215" s="27">
        <f>VLOOKUP(Table3032[[#This Row],[Month]],'DB Money Supply'!$A:$D,2)</f>
        <v/>
      </c>
      <c r="C215" s="65">
        <f>(Table3032[[#This Row],[Real M1 Money Stock]]-B203)/B203</f>
        <v/>
      </c>
    </row>
    <row r="216">
      <c r="A216" s="26" t="n">
        <v>27942</v>
      </c>
      <c r="B216" s="27">
        <f>VLOOKUP(Table3032[[#This Row],[Month]],'DB Money Supply'!$A:$D,2)</f>
        <v/>
      </c>
      <c r="C216" s="65">
        <f>(Table3032[[#This Row],[Real M1 Money Stock]]-B204)/B204</f>
        <v/>
      </c>
    </row>
    <row r="217">
      <c r="A217" s="26" t="n">
        <v>27973</v>
      </c>
      <c r="B217" s="27">
        <f>VLOOKUP(Table3032[[#This Row],[Month]],'DB Money Supply'!$A:$D,2)</f>
        <v/>
      </c>
      <c r="C217" s="65">
        <f>(Table3032[[#This Row],[Real M1 Money Stock]]-B205)/B205</f>
        <v/>
      </c>
    </row>
    <row r="218">
      <c r="A218" s="26" t="n">
        <v>28004</v>
      </c>
      <c r="B218" s="27">
        <f>VLOOKUP(Table3032[[#This Row],[Month]],'DB Money Supply'!$A:$D,2)</f>
        <v/>
      </c>
      <c r="C218" s="65">
        <f>(Table3032[[#This Row],[Real M1 Money Stock]]-B206)/B206</f>
        <v/>
      </c>
    </row>
    <row r="219">
      <c r="A219" s="26" t="n">
        <v>28034</v>
      </c>
      <c r="B219" s="27">
        <f>VLOOKUP(Table3032[[#This Row],[Month]],'DB Money Supply'!$A:$D,2)</f>
        <v/>
      </c>
      <c r="C219" s="65">
        <f>(Table3032[[#This Row],[Real M1 Money Stock]]-B207)/B207</f>
        <v/>
      </c>
    </row>
    <row r="220">
      <c r="A220" s="26" t="n">
        <v>28065</v>
      </c>
      <c r="B220" s="27">
        <f>VLOOKUP(Table3032[[#This Row],[Month]],'DB Money Supply'!$A:$D,2)</f>
        <v/>
      </c>
      <c r="C220" s="65">
        <f>(Table3032[[#This Row],[Real M1 Money Stock]]-B208)/B208</f>
        <v/>
      </c>
    </row>
    <row r="221">
      <c r="A221" s="26" t="n">
        <v>28095</v>
      </c>
      <c r="B221" s="27">
        <f>VLOOKUP(Table3032[[#This Row],[Month]],'DB Money Supply'!$A:$D,2)</f>
        <v/>
      </c>
      <c r="C221" s="65">
        <f>(Table3032[[#This Row],[Real M1 Money Stock]]-B209)/B209</f>
        <v/>
      </c>
    </row>
    <row r="222">
      <c r="A222" s="26" t="n">
        <v>28126</v>
      </c>
      <c r="B222" s="27">
        <f>VLOOKUP(Table3032[[#This Row],[Month]],'DB Money Supply'!$A:$D,2)</f>
        <v/>
      </c>
      <c r="C222" s="65">
        <f>(Table3032[[#This Row],[Real M1 Money Stock]]-B210)/B210</f>
        <v/>
      </c>
    </row>
    <row r="223">
      <c r="A223" s="26" t="n">
        <v>28157</v>
      </c>
      <c r="B223" s="27">
        <f>VLOOKUP(Table3032[[#This Row],[Month]],'DB Money Supply'!$A:$D,2)</f>
        <v/>
      </c>
      <c r="C223" s="65">
        <f>(Table3032[[#This Row],[Real M1 Money Stock]]-B211)/B211</f>
        <v/>
      </c>
    </row>
    <row r="224">
      <c r="A224" s="26" t="n">
        <v>28185</v>
      </c>
      <c r="B224" s="27">
        <f>VLOOKUP(Table3032[[#This Row],[Month]],'DB Money Supply'!$A:$D,2)</f>
        <v/>
      </c>
      <c r="C224" s="65">
        <f>(Table3032[[#This Row],[Real M1 Money Stock]]-B212)/B212</f>
        <v/>
      </c>
    </row>
    <row r="225">
      <c r="A225" s="26" t="n">
        <v>28216</v>
      </c>
      <c r="B225" s="27">
        <f>VLOOKUP(Table3032[[#This Row],[Month]],'DB Money Supply'!$A:$D,2)</f>
        <v/>
      </c>
      <c r="C225" s="65">
        <f>(Table3032[[#This Row],[Real M1 Money Stock]]-B213)/B213</f>
        <v/>
      </c>
    </row>
    <row r="226">
      <c r="A226" s="26" t="n">
        <v>28246</v>
      </c>
      <c r="B226" s="27">
        <f>VLOOKUP(Table3032[[#This Row],[Month]],'DB Money Supply'!$A:$D,2)</f>
        <v/>
      </c>
      <c r="C226" s="65">
        <f>(Table3032[[#This Row],[Real M1 Money Stock]]-B214)/B214</f>
        <v/>
      </c>
    </row>
    <row r="227">
      <c r="A227" s="26" t="n">
        <v>28277</v>
      </c>
      <c r="B227" s="27">
        <f>VLOOKUP(Table3032[[#This Row],[Month]],'DB Money Supply'!$A:$D,2)</f>
        <v/>
      </c>
      <c r="C227" s="65">
        <f>(Table3032[[#This Row],[Real M1 Money Stock]]-B215)/B215</f>
        <v/>
      </c>
    </row>
    <row r="228">
      <c r="A228" s="26" t="n">
        <v>28307</v>
      </c>
      <c r="B228" s="27">
        <f>VLOOKUP(Table3032[[#This Row],[Month]],'DB Money Supply'!$A:$D,2)</f>
        <v/>
      </c>
      <c r="C228" s="65">
        <f>(Table3032[[#This Row],[Real M1 Money Stock]]-B216)/B216</f>
        <v/>
      </c>
    </row>
    <row r="229">
      <c r="A229" s="26" t="n">
        <v>28338</v>
      </c>
      <c r="B229" s="27">
        <f>VLOOKUP(Table3032[[#This Row],[Month]],'DB Money Supply'!$A:$D,2)</f>
        <v/>
      </c>
      <c r="C229" s="65">
        <f>(Table3032[[#This Row],[Real M1 Money Stock]]-B217)/B217</f>
        <v/>
      </c>
    </row>
    <row r="230">
      <c r="A230" s="26" t="n">
        <v>28369</v>
      </c>
      <c r="B230" s="27">
        <f>VLOOKUP(Table3032[[#This Row],[Month]],'DB Money Supply'!$A:$D,2)</f>
        <v/>
      </c>
      <c r="C230" s="65">
        <f>(Table3032[[#This Row],[Real M1 Money Stock]]-B218)/B218</f>
        <v/>
      </c>
    </row>
    <row r="231">
      <c r="A231" s="26" t="n">
        <v>28399</v>
      </c>
      <c r="B231" s="27">
        <f>VLOOKUP(Table3032[[#This Row],[Month]],'DB Money Supply'!$A:$D,2)</f>
        <v/>
      </c>
      <c r="C231" s="65">
        <f>(Table3032[[#This Row],[Real M1 Money Stock]]-B219)/B219</f>
        <v/>
      </c>
    </row>
    <row r="232">
      <c r="A232" s="26" t="n">
        <v>28430</v>
      </c>
      <c r="B232" s="27">
        <f>VLOOKUP(Table3032[[#This Row],[Month]],'DB Money Supply'!$A:$D,2)</f>
        <v/>
      </c>
      <c r="C232" s="65">
        <f>(Table3032[[#This Row],[Real M1 Money Stock]]-B220)/B220</f>
        <v/>
      </c>
    </row>
    <row r="233">
      <c r="A233" s="26" t="n">
        <v>28460</v>
      </c>
      <c r="B233" s="27">
        <f>VLOOKUP(Table3032[[#This Row],[Month]],'DB Money Supply'!$A:$D,2)</f>
        <v/>
      </c>
      <c r="C233" s="65">
        <f>(Table3032[[#This Row],[Real M1 Money Stock]]-B221)/B221</f>
        <v/>
      </c>
    </row>
    <row r="234">
      <c r="A234" s="26" t="n">
        <v>28491</v>
      </c>
      <c r="B234" s="27">
        <f>VLOOKUP(Table3032[[#This Row],[Month]],'DB Money Supply'!$A:$D,2)</f>
        <v/>
      </c>
      <c r="C234" s="65">
        <f>(Table3032[[#This Row],[Real M1 Money Stock]]-B222)/B222</f>
        <v/>
      </c>
    </row>
    <row r="235">
      <c r="A235" s="26" t="n">
        <v>28522</v>
      </c>
      <c r="B235" s="27">
        <f>VLOOKUP(Table3032[[#This Row],[Month]],'DB Money Supply'!$A:$D,2)</f>
        <v/>
      </c>
      <c r="C235" s="65">
        <f>(Table3032[[#This Row],[Real M1 Money Stock]]-B223)/B223</f>
        <v/>
      </c>
    </row>
    <row r="236">
      <c r="A236" s="26" t="n">
        <v>28550</v>
      </c>
      <c r="B236" s="27">
        <f>VLOOKUP(Table3032[[#This Row],[Month]],'DB Money Supply'!$A:$D,2)</f>
        <v/>
      </c>
      <c r="C236" s="65">
        <f>(Table3032[[#This Row],[Real M1 Money Stock]]-B224)/B224</f>
        <v/>
      </c>
    </row>
    <row r="237">
      <c r="A237" s="26" t="n">
        <v>28581</v>
      </c>
      <c r="B237" s="27">
        <f>VLOOKUP(Table3032[[#This Row],[Month]],'DB Money Supply'!$A:$D,2)</f>
        <v/>
      </c>
      <c r="C237" s="65">
        <f>(Table3032[[#This Row],[Real M1 Money Stock]]-B225)/B225</f>
        <v/>
      </c>
    </row>
    <row r="238">
      <c r="A238" s="26" t="n">
        <v>28611</v>
      </c>
      <c r="B238" s="27">
        <f>VLOOKUP(Table3032[[#This Row],[Month]],'DB Money Supply'!$A:$D,2)</f>
        <v/>
      </c>
      <c r="C238" s="65">
        <f>(Table3032[[#This Row],[Real M1 Money Stock]]-B226)/B226</f>
        <v/>
      </c>
    </row>
    <row r="239">
      <c r="A239" s="26" t="n">
        <v>28642</v>
      </c>
      <c r="B239" s="27">
        <f>VLOOKUP(Table3032[[#This Row],[Month]],'DB Money Supply'!$A:$D,2)</f>
        <v/>
      </c>
      <c r="C239" s="65">
        <f>(Table3032[[#This Row],[Real M1 Money Stock]]-B227)/B227</f>
        <v/>
      </c>
    </row>
    <row r="240">
      <c r="A240" s="26" t="n">
        <v>28672</v>
      </c>
      <c r="B240" s="27">
        <f>VLOOKUP(Table3032[[#This Row],[Month]],'DB Money Supply'!$A:$D,2)</f>
        <v/>
      </c>
      <c r="C240" s="65">
        <f>(Table3032[[#This Row],[Real M1 Money Stock]]-B228)/B228</f>
        <v/>
      </c>
    </row>
    <row r="241">
      <c r="A241" s="26" t="n">
        <v>28703</v>
      </c>
      <c r="B241" s="27">
        <f>VLOOKUP(Table3032[[#This Row],[Month]],'DB Money Supply'!$A:$D,2)</f>
        <v/>
      </c>
      <c r="C241" s="65">
        <f>(Table3032[[#This Row],[Real M1 Money Stock]]-B229)/B229</f>
        <v/>
      </c>
    </row>
    <row r="242">
      <c r="A242" s="26" t="n">
        <v>28734</v>
      </c>
      <c r="B242" s="27">
        <f>VLOOKUP(Table3032[[#This Row],[Month]],'DB Money Supply'!$A:$D,2)</f>
        <v/>
      </c>
      <c r="C242" s="65">
        <f>(Table3032[[#This Row],[Real M1 Money Stock]]-B230)/B230</f>
        <v/>
      </c>
    </row>
    <row r="243">
      <c r="A243" s="26" t="n">
        <v>28764</v>
      </c>
      <c r="B243" s="27">
        <f>VLOOKUP(Table3032[[#This Row],[Month]],'DB Money Supply'!$A:$D,2)</f>
        <v/>
      </c>
      <c r="C243" s="65">
        <f>(Table3032[[#This Row],[Real M1 Money Stock]]-B231)/B231</f>
        <v/>
      </c>
    </row>
    <row r="244">
      <c r="A244" s="26" t="n">
        <v>28795</v>
      </c>
      <c r="B244" s="27">
        <f>VLOOKUP(Table3032[[#This Row],[Month]],'DB Money Supply'!$A:$D,2)</f>
        <v/>
      </c>
      <c r="C244" s="65">
        <f>(Table3032[[#This Row],[Real M1 Money Stock]]-B232)/B232</f>
        <v/>
      </c>
    </row>
    <row r="245">
      <c r="A245" s="26" t="n">
        <v>28825</v>
      </c>
      <c r="B245" s="27">
        <f>VLOOKUP(Table3032[[#This Row],[Month]],'DB Money Supply'!$A:$D,2)</f>
        <v/>
      </c>
      <c r="C245" s="65">
        <f>(Table3032[[#This Row],[Real M1 Money Stock]]-B233)/B233</f>
        <v/>
      </c>
    </row>
    <row r="246">
      <c r="A246" s="26" t="n">
        <v>28856</v>
      </c>
      <c r="B246" s="27">
        <f>VLOOKUP(Table3032[[#This Row],[Month]],'DB Money Supply'!$A:$D,2)</f>
        <v/>
      </c>
      <c r="C246" s="65">
        <f>(Table3032[[#This Row],[Real M1 Money Stock]]-B234)/B234</f>
        <v/>
      </c>
    </row>
    <row r="247">
      <c r="A247" s="26" t="n">
        <v>28887</v>
      </c>
      <c r="B247" s="27">
        <f>VLOOKUP(Table3032[[#This Row],[Month]],'DB Money Supply'!$A:$D,2)</f>
        <v/>
      </c>
      <c r="C247" s="65">
        <f>(Table3032[[#This Row],[Real M1 Money Stock]]-B235)/B235</f>
        <v/>
      </c>
    </row>
    <row r="248">
      <c r="A248" s="26" t="n">
        <v>28915</v>
      </c>
      <c r="B248" s="27">
        <f>VLOOKUP(Table3032[[#This Row],[Month]],'DB Money Supply'!$A:$D,2)</f>
        <v/>
      </c>
      <c r="C248" s="65">
        <f>(Table3032[[#This Row],[Real M1 Money Stock]]-B236)/B236</f>
        <v/>
      </c>
    </row>
    <row r="249">
      <c r="A249" s="26" t="n">
        <v>28946</v>
      </c>
      <c r="B249" s="27">
        <f>VLOOKUP(Table3032[[#This Row],[Month]],'DB Money Supply'!$A:$D,2)</f>
        <v/>
      </c>
      <c r="C249" s="65">
        <f>(Table3032[[#This Row],[Real M1 Money Stock]]-B237)/B237</f>
        <v/>
      </c>
    </row>
    <row r="250">
      <c r="A250" s="26" t="n">
        <v>28976</v>
      </c>
      <c r="B250" s="27">
        <f>VLOOKUP(Table3032[[#This Row],[Month]],'DB Money Supply'!$A:$D,2)</f>
        <v/>
      </c>
      <c r="C250" s="65">
        <f>(Table3032[[#This Row],[Real M1 Money Stock]]-B238)/B238</f>
        <v/>
      </c>
    </row>
    <row r="251">
      <c r="A251" s="26" t="n">
        <v>29007</v>
      </c>
      <c r="B251" s="27">
        <f>VLOOKUP(Table3032[[#This Row],[Month]],'DB Money Supply'!$A:$D,2)</f>
        <v/>
      </c>
      <c r="C251" s="65">
        <f>(Table3032[[#This Row],[Real M1 Money Stock]]-B239)/B239</f>
        <v/>
      </c>
    </row>
    <row r="252">
      <c r="A252" s="26" t="n">
        <v>29037</v>
      </c>
      <c r="B252" s="27">
        <f>VLOOKUP(Table3032[[#This Row],[Month]],'DB Money Supply'!$A:$D,2)</f>
        <v/>
      </c>
      <c r="C252" s="65">
        <f>(Table3032[[#This Row],[Real M1 Money Stock]]-B240)/B240</f>
        <v/>
      </c>
    </row>
    <row r="253">
      <c r="A253" s="26" t="n">
        <v>29068</v>
      </c>
      <c r="B253" s="27">
        <f>VLOOKUP(Table3032[[#This Row],[Month]],'DB Money Supply'!$A:$D,2)</f>
        <v/>
      </c>
      <c r="C253" s="65">
        <f>(Table3032[[#This Row],[Real M1 Money Stock]]-B241)/B241</f>
        <v/>
      </c>
    </row>
    <row r="254">
      <c r="A254" s="26" t="n">
        <v>29099</v>
      </c>
      <c r="B254" s="27">
        <f>VLOOKUP(Table3032[[#This Row],[Month]],'DB Money Supply'!$A:$D,2)</f>
        <v/>
      </c>
      <c r="C254" s="65">
        <f>(Table3032[[#This Row],[Real M1 Money Stock]]-B242)/B242</f>
        <v/>
      </c>
    </row>
    <row r="255">
      <c r="A255" s="26" t="n">
        <v>29129</v>
      </c>
      <c r="B255" s="27">
        <f>VLOOKUP(Table3032[[#This Row],[Month]],'DB Money Supply'!$A:$D,2)</f>
        <v/>
      </c>
      <c r="C255" s="65">
        <f>(Table3032[[#This Row],[Real M1 Money Stock]]-B243)/B243</f>
        <v/>
      </c>
    </row>
    <row r="256">
      <c r="A256" s="26" t="n">
        <v>29160</v>
      </c>
      <c r="B256" s="27">
        <f>VLOOKUP(Table3032[[#This Row],[Month]],'DB Money Supply'!$A:$D,2)</f>
        <v/>
      </c>
      <c r="C256" s="65">
        <f>(Table3032[[#This Row],[Real M1 Money Stock]]-B244)/B244</f>
        <v/>
      </c>
    </row>
    <row r="257">
      <c r="A257" s="26" t="n">
        <v>29190</v>
      </c>
      <c r="B257" s="27">
        <f>VLOOKUP(Table3032[[#This Row],[Month]],'DB Money Supply'!$A:$D,2)</f>
        <v/>
      </c>
      <c r="C257" s="65">
        <f>(Table3032[[#This Row],[Real M1 Money Stock]]-B245)/B245</f>
        <v/>
      </c>
    </row>
    <row r="258">
      <c r="A258" s="26" t="n">
        <v>29221</v>
      </c>
      <c r="B258" s="27">
        <f>VLOOKUP(Table3032[[#This Row],[Month]],'DB Money Supply'!$A:$D,2)</f>
        <v/>
      </c>
      <c r="C258" s="65">
        <f>(Table3032[[#This Row],[Real M1 Money Stock]]-B246)/B246</f>
        <v/>
      </c>
    </row>
    <row r="259">
      <c r="A259" s="26" t="n">
        <v>29252</v>
      </c>
      <c r="B259" s="27">
        <f>VLOOKUP(Table3032[[#This Row],[Month]],'DB Money Supply'!$A:$D,2)</f>
        <v/>
      </c>
      <c r="C259" s="65">
        <f>(Table3032[[#This Row],[Real M1 Money Stock]]-B247)/B247</f>
        <v/>
      </c>
    </row>
    <row r="260">
      <c r="A260" s="26" t="n">
        <v>29281</v>
      </c>
      <c r="B260" s="27">
        <f>VLOOKUP(Table3032[[#This Row],[Month]],'DB Money Supply'!$A:$D,2)</f>
        <v/>
      </c>
      <c r="C260" s="65">
        <f>(Table3032[[#This Row],[Real M1 Money Stock]]-B248)/B248</f>
        <v/>
      </c>
    </row>
    <row r="261">
      <c r="A261" s="26" t="n">
        <v>29312</v>
      </c>
      <c r="B261" s="27">
        <f>VLOOKUP(Table3032[[#This Row],[Month]],'DB Money Supply'!$A:$D,2)</f>
        <v/>
      </c>
      <c r="C261" s="65">
        <f>(Table3032[[#This Row],[Real M1 Money Stock]]-B249)/B249</f>
        <v/>
      </c>
    </row>
    <row r="262">
      <c r="A262" s="26" t="n">
        <v>29342</v>
      </c>
      <c r="B262" s="27">
        <f>VLOOKUP(Table3032[[#This Row],[Month]],'DB Money Supply'!$A:$D,2)</f>
        <v/>
      </c>
      <c r="C262" s="65">
        <f>(Table3032[[#This Row],[Real M1 Money Stock]]-B250)/B250</f>
        <v/>
      </c>
    </row>
    <row r="263">
      <c r="A263" s="26" t="n">
        <v>29373</v>
      </c>
      <c r="B263" s="27">
        <f>VLOOKUP(Table3032[[#This Row],[Month]],'DB Money Supply'!$A:$D,2)</f>
        <v/>
      </c>
      <c r="C263" s="65">
        <f>(Table3032[[#This Row],[Real M1 Money Stock]]-B251)/B251</f>
        <v/>
      </c>
    </row>
    <row r="264">
      <c r="A264" s="26" t="n">
        <v>29403</v>
      </c>
      <c r="B264" s="27">
        <f>VLOOKUP(Table3032[[#This Row],[Month]],'DB Money Supply'!$A:$D,2)</f>
        <v/>
      </c>
      <c r="C264" s="65">
        <f>(Table3032[[#This Row],[Real M1 Money Stock]]-B252)/B252</f>
        <v/>
      </c>
    </row>
    <row r="265">
      <c r="A265" s="26" t="n">
        <v>29434</v>
      </c>
      <c r="B265" s="27">
        <f>VLOOKUP(Table3032[[#This Row],[Month]],'DB Money Supply'!$A:$D,2)</f>
        <v/>
      </c>
      <c r="C265" s="65">
        <f>(Table3032[[#This Row],[Real M1 Money Stock]]-B253)/B253</f>
        <v/>
      </c>
    </row>
    <row r="266">
      <c r="A266" s="26" t="n">
        <v>29465</v>
      </c>
      <c r="B266" s="27">
        <f>VLOOKUP(Table3032[[#This Row],[Month]],'DB Money Supply'!$A:$D,2)</f>
        <v/>
      </c>
      <c r="C266" s="65">
        <f>(Table3032[[#This Row],[Real M1 Money Stock]]-B254)/B254</f>
        <v/>
      </c>
    </row>
    <row r="267">
      <c r="A267" s="26" t="n">
        <v>29495</v>
      </c>
      <c r="B267" s="27">
        <f>VLOOKUP(Table3032[[#This Row],[Month]],'DB Money Supply'!$A:$D,2)</f>
        <v/>
      </c>
      <c r="C267" s="65">
        <f>(Table3032[[#This Row],[Real M1 Money Stock]]-B255)/B255</f>
        <v/>
      </c>
    </row>
    <row r="268">
      <c r="A268" s="26" t="n">
        <v>29526</v>
      </c>
      <c r="B268" s="27">
        <f>VLOOKUP(Table3032[[#This Row],[Month]],'DB Money Supply'!$A:$D,2)</f>
        <v/>
      </c>
      <c r="C268" s="65">
        <f>(Table3032[[#This Row],[Real M1 Money Stock]]-B256)/B256</f>
        <v/>
      </c>
    </row>
    <row r="269">
      <c r="A269" s="26" t="n">
        <v>29556</v>
      </c>
      <c r="B269" s="27">
        <f>VLOOKUP(Table3032[[#This Row],[Month]],'DB Money Supply'!$A:$D,2)</f>
        <v/>
      </c>
      <c r="C269" s="65">
        <f>(Table3032[[#This Row],[Real M1 Money Stock]]-B257)/B257</f>
        <v/>
      </c>
    </row>
    <row r="270">
      <c r="A270" s="26" t="n">
        <v>29587</v>
      </c>
      <c r="B270" s="27">
        <f>VLOOKUP(Table3032[[#This Row],[Month]],'DB Money Supply'!$A:$D,2)</f>
        <v/>
      </c>
      <c r="C270" s="65">
        <f>(Table3032[[#This Row],[Real M1 Money Stock]]-B258)/B258</f>
        <v/>
      </c>
    </row>
    <row r="271">
      <c r="A271" s="26" t="n">
        <v>29618</v>
      </c>
      <c r="B271" s="27">
        <f>VLOOKUP(Table3032[[#This Row],[Month]],'DB Money Supply'!$A:$D,2)</f>
        <v/>
      </c>
      <c r="C271" s="65">
        <f>(Table3032[[#This Row],[Real M1 Money Stock]]-B259)/B259</f>
        <v/>
      </c>
    </row>
    <row r="272">
      <c r="A272" s="26" t="n">
        <v>29646</v>
      </c>
      <c r="B272" s="27">
        <f>VLOOKUP(Table3032[[#This Row],[Month]],'DB Money Supply'!$A:$D,2)</f>
        <v/>
      </c>
      <c r="C272" s="65">
        <f>(Table3032[[#This Row],[Real M1 Money Stock]]-B260)/B260</f>
        <v/>
      </c>
    </row>
    <row r="273">
      <c r="A273" s="26" t="n">
        <v>29677</v>
      </c>
      <c r="B273" s="27">
        <f>VLOOKUP(Table3032[[#This Row],[Month]],'DB Money Supply'!$A:$D,2)</f>
        <v/>
      </c>
      <c r="C273" s="65">
        <f>(Table3032[[#This Row],[Real M1 Money Stock]]-B261)/B261</f>
        <v/>
      </c>
    </row>
    <row r="274">
      <c r="A274" s="26" t="n">
        <v>29707</v>
      </c>
      <c r="B274" s="27">
        <f>VLOOKUP(Table3032[[#This Row],[Month]],'DB Money Supply'!$A:$D,2)</f>
        <v/>
      </c>
      <c r="C274" s="65">
        <f>(Table3032[[#This Row],[Real M1 Money Stock]]-B262)/B262</f>
        <v/>
      </c>
    </row>
    <row r="275">
      <c r="A275" s="26" t="n">
        <v>29738</v>
      </c>
      <c r="B275" s="27">
        <f>VLOOKUP(Table3032[[#This Row],[Month]],'DB Money Supply'!$A:$D,2)</f>
        <v/>
      </c>
      <c r="C275" s="65">
        <f>(Table3032[[#This Row],[Real M1 Money Stock]]-B263)/B263</f>
        <v/>
      </c>
    </row>
    <row r="276">
      <c r="A276" s="26" t="n">
        <v>29768</v>
      </c>
      <c r="B276" s="27">
        <f>VLOOKUP(Table3032[[#This Row],[Month]],'DB Money Supply'!$A:$D,2)</f>
        <v/>
      </c>
      <c r="C276" s="65">
        <f>(Table3032[[#This Row],[Real M1 Money Stock]]-B264)/B264</f>
        <v/>
      </c>
    </row>
    <row r="277">
      <c r="A277" s="26" t="n">
        <v>29799</v>
      </c>
      <c r="B277" s="27">
        <f>VLOOKUP(Table3032[[#This Row],[Month]],'DB Money Supply'!$A:$D,2)</f>
        <v/>
      </c>
      <c r="C277" s="65">
        <f>(Table3032[[#This Row],[Real M1 Money Stock]]-B265)/B265</f>
        <v/>
      </c>
    </row>
    <row r="278">
      <c r="A278" s="26" t="n">
        <v>29830</v>
      </c>
      <c r="B278" s="27">
        <f>VLOOKUP(Table3032[[#This Row],[Month]],'DB Money Supply'!$A:$D,2)</f>
        <v/>
      </c>
      <c r="C278" s="65">
        <f>(Table3032[[#This Row],[Real M1 Money Stock]]-B266)/B266</f>
        <v/>
      </c>
    </row>
    <row r="279">
      <c r="A279" s="26" t="n">
        <v>29860</v>
      </c>
      <c r="B279" s="27">
        <f>VLOOKUP(Table3032[[#This Row],[Month]],'DB Money Supply'!$A:$D,2)</f>
        <v/>
      </c>
      <c r="C279" s="65">
        <f>(Table3032[[#This Row],[Real M1 Money Stock]]-B267)/B267</f>
        <v/>
      </c>
    </row>
    <row r="280">
      <c r="A280" s="26" t="n">
        <v>29891</v>
      </c>
      <c r="B280" s="27">
        <f>VLOOKUP(Table3032[[#This Row],[Month]],'DB Money Supply'!$A:$D,2)</f>
        <v/>
      </c>
      <c r="C280" s="65">
        <f>(Table3032[[#This Row],[Real M1 Money Stock]]-B268)/B268</f>
        <v/>
      </c>
    </row>
    <row r="281">
      <c r="A281" s="26" t="n">
        <v>29921</v>
      </c>
      <c r="B281" s="27">
        <f>VLOOKUP(Table3032[[#This Row],[Month]],'DB Money Supply'!$A:$D,2)</f>
        <v/>
      </c>
      <c r="C281" s="65">
        <f>(Table3032[[#This Row],[Real M1 Money Stock]]-B269)/B269</f>
        <v/>
      </c>
    </row>
    <row r="282">
      <c r="A282" s="26" t="n">
        <v>29952</v>
      </c>
      <c r="B282" s="27">
        <f>VLOOKUP(Table3032[[#This Row],[Month]],'DB Money Supply'!$A:$D,2)</f>
        <v/>
      </c>
      <c r="C282" s="65">
        <f>(Table3032[[#This Row],[Real M1 Money Stock]]-B270)/B270</f>
        <v/>
      </c>
    </row>
    <row r="283">
      <c r="A283" s="26" t="n">
        <v>29983</v>
      </c>
      <c r="B283" s="27">
        <f>VLOOKUP(Table3032[[#This Row],[Month]],'DB Money Supply'!$A:$D,2)</f>
        <v/>
      </c>
      <c r="C283" s="65">
        <f>(Table3032[[#This Row],[Real M1 Money Stock]]-B271)/B271</f>
        <v/>
      </c>
    </row>
    <row r="284">
      <c r="A284" s="26" t="n">
        <v>30011</v>
      </c>
      <c r="B284" s="27">
        <f>VLOOKUP(Table3032[[#This Row],[Month]],'DB Money Supply'!$A:$D,2)</f>
        <v/>
      </c>
      <c r="C284" s="65">
        <f>(Table3032[[#This Row],[Real M1 Money Stock]]-B272)/B272</f>
        <v/>
      </c>
    </row>
    <row r="285">
      <c r="A285" s="26" t="n">
        <v>30042</v>
      </c>
      <c r="B285" s="27">
        <f>VLOOKUP(Table3032[[#This Row],[Month]],'DB Money Supply'!$A:$D,2)</f>
        <v/>
      </c>
      <c r="C285" s="65">
        <f>(Table3032[[#This Row],[Real M1 Money Stock]]-B273)/B273</f>
        <v/>
      </c>
    </row>
    <row r="286">
      <c r="A286" s="26" t="n">
        <v>30072</v>
      </c>
      <c r="B286" s="27">
        <f>VLOOKUP(Table3032[[#This Row],[Month]],'DB Money Supply'!$A:$D,2)</f>
        <v/>
      </c>
      <c r="C286" s="65">
        <f>(Table3032[[#This Row],[Real M1 Money Stock]]-B274)/B274</f>
        <v/>
      </c>
    </row>
    <row r="287">
      <c r="A287" s="26" t="n">
        <v>30103</v>
      </c>
      <c r="B287" s="27">
        <f>VLOOKUP(Table3032[[#This Row],[Month]],'DB Money Supply'!$A:$D,2)</f>
        <v/>
      </c>
      <c r="C287" s="65">
        <f>(Table3032[[#This Row],[Real M1 Money Stock]]-B275)/B275</f>
        <v/>
      </c>
    </row>
    <row r="288">
      <c r="A288" s="26" t="n">
        <v>30133</v>
      </c>
      <c r="B288" s="27">
        <f>VLOOKUP(Table3032[[#This Row],[Month]],'DB Money Supply'!$A:$D,2)</f>
        <v/>
      </c>
      <c r="C288" s="65">
        <f>(Table3032[[#This Row],[Real M1 Money Stock]]-B276)/B276</f>
        <v/>
      </c>
    </row>
    <row r="289">
      <c r="A289" s="26" t="n">
        <v>30164</v>
      </c>
      <c r="B289" s="27">
        <f>VLOOKUP(Table3032[[#This Row],[Month]],'DB Money Supply'!$A:$D,2)</f>
        <v/>
      </c>
      <c r="C289" s="65">
        <f>(Table3032[[#This Row],[Real M1 Money Stock]]-B277)/B277</f>
        <v/>
      </c>
    </row>
    <row r="290">
      <c r="A290" s="26" t="n">
        <v>30195</v>
      </c>
      <c r="B290" s="27">
        <f>VLOOKUP(Table3032[[#This Row],[Month]],'DB Money Supply'!$A:$D,2)</f>
        <v/>
      </c>
      <c r="C290" s="65">
        <f>(Table3032[[#This Row],[Real M1 Money Stock]]-B278)/B278</f>
        <v/>
      </c>
    </row>
    <row r="291">
      <c r="A291" s="26" t="n">
        <v>30225</v>
      </c>
      <c r="B291" s="27">
        <f>VLOOKUP(Table3032[[#This Row],[Month]],'DB Money Supply'!$A:$D,2)</f>
        <v/>
      </c>
      <c r="C291" s="65">
        <f>(Table3032[[#This Row],[Real M1 Money Stock]]-B279)/B279</f>
        <v/>
      </c>
    </row>
    <row r="292">
      <c r="A292" s="26" t="n">
        <v>30256</v>
      </c>
      <c r="B292" s="27">
        <f>VLOOKUP(Table3032[[#This Row],[Month]],'DB Money Supply'!$A:$D,2)</f>
        <v/>
      </c>
      <c r="C292" s="65">
        <f>(Table3032[[#This Row],[Real M1 Money Stock]]-B280)/B280</f>
        <v/>
      </c>
    </row>
    <row r="293">
      <c r="A293" s="26" t="n">
        <v>30286</v>
      </c>
      <c r="B293" s="27">
        <f>VLOOKUP(Table3032[[#This Row],[Month]],'DB Money Supply'!$A:$D,2)</f>
        <v/>
      </c>
      <c r="C293" s="65">
        <f>(Table3032[[#This Row],[Real M1 Money Stock]]-B281)/B281</f>
        <v/>
      </c>
    </row>
    <row r="294">
      <c r="A294" s="26" t="n">
        <v>30317</v>
      </c>
      <c r="B294" s="27">
        <f>VLOOKUP(Table3032[[#This Row],[Month]],'DB Money Supply'!$A:$D,2)</f>
        <v/>
      </c>
      <c r="C294" s="65">
        <f>(Table3032[[#This Row],[Real M1 Money Stock]]-B282)/B282</f>
        <v/>
      </c>
    </row>
    <row r="295">
      <c r="A295" s="26" t="n">
        <v>30348</v>
      </c>
      <c r="B295" s="27">
        <f>VLOOKUP(Table3032[[#This Row],[Month]],'DB Money Supply'!$A:$D,2)</f>
        <v/>
      </c>
      <c r="C295" s="65">
        <f>(Table3032[[#This Row],[Real M1 Money Stock]]-B283)/B283</f>
        <v/>
      </c>
    </row>
    <row r="296">
      <c r="A296" s="26" t="n">
        <v>30376</v>
      </c>
      <c r="B296" s="27">
        <f>VLOOKUP(Table3032[[#This Row],[Month]],'DB Money Supply'!$A:$D,2)</f>
        <v/>
      </c>
      <c r="C296" s="65">
        <f>(Table3032[[#This Row],[Real M1 Money Stock]]-B284)/B284</f>
        <v/>
      </c>
    </row>
    <row r="297">
      <c r="A297" s="26" t="n">
        <v>30407</v>
      </c>
      <c r="B297" s="27">
        <f>VLOOKUP(Table3032[[#This Row],[Month]],'DB Money Supply'!$A:$D,2)</f>
        <v/>
      </c>
      <c r="C297" s="65">
        <f>(Table3032[[#This Row],[Real M1 Money Stock]]-B285)/B285</f>
        <v/>
      </c>
    </row>
    <row r="298">
      <c r="A298" s="26" t="n">
        <v>30437</v>
      </c>
      <c r="B298" s="27">
        <f>VLOOKUP(Table3032[[#This Row],[Month]],'DB Money Supply'!$A:$D,2)</f>
        <v/>
      </c>
      <c r="C298" s="65">
        <f>(Table3032[[#This Row],[Real M1 Money Stock]]-B286)/B286</f>
        <v/>
      </c>
    </row>
    <row r="299">
      <c r="A299" s="26" t="n">
        <v>30468</v>
      </c>
      <c r="B299" s="27">
        <f>VLOOKUP(Table3032[[#This Row],[Month]],'DB Money Supply'!$A:$D,2)</f>
        <v/>
      </c>
      <c r="C299" s="65">
        <f>(Table3032[[#This Row],[Real M1 Money Stock]]-B287)/B287</f>
        <v/>
      </c>
    </row>
    <row r="300">
      <c r="A300" s="26" t="n">
        <v>30498</v>
      </c>
      <c r="B300" s="27">
        <f>VLOOKUP(Table3032[[#This Row],[Month]],'DB Money Supply'!$A:$D,2)</f>
        <v/>
      </c>
      <c r="C300" s="65">
        <f>(Table3032[[#This Row],[Real M1 Money Stock]]-B288)/B288</f>
        <v/>
      </c>
    </row>
    <row r="301">
      <c r="A301" s="26" t="n">
        <v>30529</v>
      </c>
      <c r="B301" s="27">
        <f>VLOOKUP(Table3032[[#This Row],[Month]],'DB Money Supply'!$A:$D,2)</f>
        <v/>
      </c>
      <c r="C301" s="65">
        <f>(Table3032[[#This Row],[Real M1 Money Stock]]-B289)/B289</f>
        <v/>
      </c>
    </row>
    <row r="302">
      <c r="A302" s="26" t="n">
        <v>30560</v>
      </c>
      <c r="B302" s="27">
        <f>VLOOKUP(Table3032[[#This Row],[Month]],'DB Money Supply'!$A:$D,2)</f>
        <v/>
      </c>
      <c r="C302" s="65">
        <f>(Table3032[[#This Row],[Real M1 Money Stock]]-B290)/B290</f>
        <v/>
      </c>
    </row>
    <row r="303">
      <c r="A303" s="26" t="n">
        <v>30590</v>
      </c>
      <c r="B303" s="27">
        <f>VLOOKUP(Table3032[[#This Row],[Month]],'DB Money Supply'!$A:$D,2)</f>
        <v/>
      </c>
      <c r="C303" s="65">
        <f>(Table3032[[#This Row],[Real M1 Money Stock]]-B291)/B291</f>
        <v/>
      </c>
    </row>
    <row r="304">
      <c r="A304" s="26" t="n">
        <v>30621</v>
      </c>
      <c r="B304" s="27">
        <f>VLOOKUP(Table3032[[#This Row],[Month]],'DB Money Supply'!$A:$D,2)</f>
        <v/>
      </c>
      <c r="C304" s="65">
        <f>(Table3032[[#This Row],[Real M1 Money Stock]]-B292)/B292</f>
        <v/>
      </c>
    </row>
    <row r="305">
      <c r="A305" s="26" t="n">
        <v>30651</v>
      </c>
      <c r="B305" s="27">
        <f>VLOOKUP(Table3032[[#This Row],[Month]],'DB Money Supply'!$A:$D,2)</f>
        <v/>
      </c>
      <c r="C305" s="65">
        <f>(Table3032[[#This Row],[Real M1 Money Stock]]-B293)/B293</f>
        <v/>
      </c>
    </row>
    <row r="306">
      <c r="A306" s="26" t="n">
        <v>30682</v>
      </c>
      <c r="B306" s="27">
        <f>VLOOKUP(Table3032[[#This Row],[Month]],'DB Money Supply'!$A:$D,2)</f>
        <v/>
      </c>
      <c r="C306" s="65">
        <f>(Table3032[[#This Row],[Real M1 Money Stock]]-B294)/B294</f>
        <v/>
      </c>
    </row>
    <row r="307">
      <c r="A307" s="26" t="n">
        <v>30713</v>
      </c>
      <c r="B307" s="27">
        <f>VLOOKUP(Table3032[[#This Row],[Month]],'DB Money Supply'!$A:$D,2)</f>
        <v/>
      </c>
      <c r="C307" s="65">
        <f>(Table3032[[#This Row],[Real M1 Money Stock]]-B295)/B295</f>
        <v/>
      </c>
    </row>
    <row r="308">
      <c r="A308" s="26" t="n">
        <v>30742</v>
      </c>
      <c r="B308" s="27">
        <f>VLOOKUP(Table3032[[#This Row],[Month]],'DB Money Supply'!$A:$D,2)</f>
        <v/>
      </c>
      <c r="C308" s="65">
        <f>(Table3032[[#This Row],[Real M1 Money Stock]]-B296)/B296</f>
        <v/>
      </c>
    </row>
    <row r="309">
      <c r="A309" s="26" t="n">
        <v>30773</v>
      </c>
      <c r="B309" s="27">
        <f>VLOOKUP(Table3032[[#This Row],[Month]],'DB Money Supply'!$A:$D,2)</f>
        <v/>
      </c>
      <c r="C309" s="65">
        <f>(Table3032[[#This Row],[Real M1 Money Stock]]-B297)/B297</f>
        <v/>
      </c>
    </row>
    <row r="310">
      <c r="A310" s="26" t="n">
        <v>30803</v>
      </c>
      <c r="B310" s="27">
        <f>VLOOKUP(Table3032[[#This Row],[Month]],'DB Money Supply'!$A:$D,2)</f>
        <v/>
      </c>
      <c r="C310" s="65">
        <f>(Table3032[[#This Row],[Real M1 Money Stock]]-B298)/B298</f>
        <v/>
      </c>
    </row>
    <row r="311">
      <c r="A311" s="26" t="n">
        <v>30834</v>
      </c>
      <c r="B311" s="27">
        <f>VLOOKUP(Table3032[[#This Row],[Month]],'DB Money Supply'!$A:$D,2)</f>
        <v/>
      </c>
      <c r="C311" s="65">
        <f>(Table3032[[#This Row],[Real M1 Money Stock]]-B299)/B299</f>
        <v/>
      </c>
    </row>
    <row r="312">
      <c r="A312" s="26" t="n">
        <v>30864</v>
      </c>
      <c r="B312" s="27">
        <f>VLOOKUP(Table3032[[#This Row],[Month]],'DB Money Supply'!$A:$D,2)</f>
        <v/>
      </c>
      <c r="C312" s="65">
        <f>(Table3032[[#This Row],[Real M1 Money Stock]]-B300)/B300</f>
        <v/>
      </c>
    </row>
    <row r="313">
      <c r="A313" s="26" t="n">
        <v>30895</v>
      </c>
      <c r="B313" s="27">
        <f>VLOOKUP(Table3032[[#This Row],[Month]],'DB Money Supply'!$A:$D,2)</f>
        <v/>
      </c>
      <c r="C313" s="65">
        <f>(Table3032[[#This Row],[Real M1 Money Stock]]-B301)/B301</f>
        <v/>
      </c>
    </row>
    <row r="314">
      <c r="A314" s="26" t="n">
        <v>30926</v>
      </c>
      <c r="B314" s="27">
        <f>VLOOKUP(Table3032[[#This Row],[Month]],'DB Money Supply'!$A:$D,2)</f>
        <v/>
      </c>
      <c r="C314" s="65">
        <f>(Table3032[[#This Row],[Real M1 Money Stock]]-B302)/B302</f>
        <v/>
      </c>
    </row>
    <row r="315">
      <c r="A315" s="26" t="n">
        <v>30956</v>
      </c>
      <c r="B315" s="27">
        <f>VLOOKUP(Table3032[[#This Row],[Month]],'DB Money Supply'!$A:$D,2)</f>
        <v/>
      </c>
      <c r="C315" s="65">
        <f>(Table3032[[#This Row],[Real M1 Money Stock]]-B303)/B303</f>
        <v/>
      </c>
    </row>
    <row r="316">
      <c r="A316" s="26" t="n">
        <v>30987</v>
      </c>
      <c r="B316" s="27">
        <f>VLOOKUP(Table3032[[#This Row],[Month]],'DB Money Supply'!$A:$D,2)</f>
        <v/>
      </c>
      <c r="C316" s="65">
        <f>(Table3032[[#This Row],[Real M1 Money Stock]]-B304)/B304</f>
        <v/>
      </c>
    </row>
    <row r="317">
      <c r="A317" s="26" t="n">
        <v>31017</v>
      </c>
      <c r="B317" s="27">
        <f>VLOOKUP(Table3032[[#This Row],[Month]],'DB Money Supply'!$A:$D,2)</f>
        <v/>
      </c>
      <c r="C317" s="65">
        <f>(Table3032[[#This Row],[Real M1 Money Stock]]-B305)/B305</f>
        <v/>
      </c>
    </row>
    <row r="318">
      <c r="A318" s="26" t="n">
        <v>31048</v>
      </c>
      <c r="B318" s="27">
        <f>VLOOKUP(Table3032[[#This Row],[Month]],'DB Money Supply'!$A:$D,2)</f>
        <v/>
      </c>
      <c r="C318" s="65">
        <f>(Table3032[[#This Row],[Real M1 Money Stock]]-B306)/B306</f>
        <v/>
      </c>
    </row>
    <row r="319">
      <c r="A319" s="26" t="n">
        <v>31079</v>
      </c>
      <c r="B319" s="27">
        <f>VLOOKUP(Table3032[[#This Row],[Month]],'DB Money Supply'!$A:$D,2)</f>
        <v/>
      </c>
      <c r="C319" s="65">
        <f>(Table3032[[#This Row],[Real M1 Money Stock]]-B307)/B307</f>
        <v/>
      </c>
    </row>
    <row r="320">
      <c r="A320" s="26" t="n">
        <v>31107</v>
      </c>
      <c r="B320" s="27">
        <f>VLOOKUP(Table3032[[#This Row],[Month]],'DB Money Supply'!$A:$D,2)</f>
        <v/>
      </c>
      <c r="C320" s="65">
        <f>(Table3032[[#This Row],[Real M1 Money Stock]]-B308)/B308</f>
        <v/>
      </c>
    </row>
    <row r="321">
      <c r="A321" s="26" t="n">
        <v>31138</v>
      </c>
      <c r="B321" s="27">
        <f>VLOOKUP(Table3032[[#This Row],[Month]],'DB Money Supply'!$A:$D,2)</f>
        <v/>
      </c>
      <c r="C321" s="65">
        <f>(Table3032[[#This Row],[Real M1 Money Stock]]-B309)/B309</f>
        <v/>
      </c>
    </row>
    <row r="322">
      <c r="A322" s="26" t="n">
        <v>31168</v>
      </c>
      <c r="B322" s="27">
        <f>VLOOKUP(Table3032[[#This Row],[Month]],'DB Money Supply'!$A:$D,2)</f>
        <v/>
      </c>
      <c r="C322" s="65">
        <f>(Table3032[[#This Row],[Real M1 Money Stock]]-B310)/B310</f>
        <v/>
      </c>
    </row>
    <row r="323">
      <c r="A323" s="26" t="n">
        <v>31199</v>
      </c>
      <c r="B323" s="27">
        <f>VLOOKUP(Table3032[[#This Row],[Month]],'DB Money Supply'!$A:$D,2)</f>
        <v/>
      </c>
      <c r="C323" s="65">
        <f>(Table3032[[#This Row],[Real M1 Money Stock]]-B311)/B311</f>
        <v/>
      </c>
    </row>
    <row r="324">
      <c r="A324" s="26" t="n">
        <v>31229</v>
      </c>
      <c r="B324" s="27">
        <f>VLOOKUP(Table3032[[#This Row],[Month]],'DB Money Supply'!$A:$D,2)</f>
        <v/>
      </c>
      <c r="C324" s="65">
        <f>(Table3032[[#This Row],[Real M1 Money Stock]]-B312)/B312</f>
        <v/>
      </c>
    </row>
    <row r="325">
      <c r="A325" s="26" t="n">
        <v>31260</v>
      </c>
      <c r="B325" s="27">
        <f>VLOOKUP(Table3032[[#This Row],[Month]],'DB Money Supply'!$A:$D,2)</f>
        <v/>
      </c>
      <c r="C325" s="65">
        <f>(Table3032[[#This Row],[Real M1 Money Stock]]-B313)/B313</f>
        <v/>
      </c>
    </row>
    <row r="326">
      <c r="A326" s="26" t="n">
        <v>31291</v>
      </c>
      <c r="B326" s="27">
        <f>VLOOKUP(Table3032[[#This Row],[Month]],'DB Money Supply'!$A:$D,2)</f>
        <v/>
      </c>
      <c r="C326" s="65">
        <f>(Table3032[[#This Row],[Real M1 Money Stock]]-B314)/B314</f>
        <v/>
      </c>
    </row>
    <row r="327">
      <c r="A327" s="26" t="n">
        <v>31321</v>
      </c>
      <c r="B327" s="27">
        <f>VLOOKUP(Table3032[[#This Row],[Month]],'DB Money Supply'!$A:$D,2)</f>
        <v/>
      </c>
      <c r="C327" s="65">
        <f>(Table3032[[#This Row],[Real M1 Money Stock]]-B315)/B315</f>
        <v/>
      </c>
    </row>
    <row r="328">
      <c r="A328" s="26" t="n">
        <v>31352</v>
      </c>
      <c r="B328" s="27">
        <f>VLOOKUP(Table3032[[#This Row],[Month]],'DB Money Supply'!$A:$D,2)</f>
        <v/>
      </c>
      <c r="C328" s="65">
        <f>(Table3032[[#This Row],[Real M1 Money Stock]]-B316)/B316</f>
        <v/>
      </c>
    </row>
    <row r="329">
      <c r="A329" s="26" t="n">
        <v>31382</v>
      </c>
      <c r="B329" s="27">
        <f>VLOOKUP(Table3032[[#This Row],[Month]],'DB Money Supply'!$A:$D,2)</f>
        <v/>
      </c>
      <c r="C329" s="65">
        <f>(Table3032[[#This Row],[Real M1 Money Stock]]-B317)/B317</f>
        <v/>
      </c>
    </row>
    <row r="330">
      <c r="A330" s="26" t="n">
        <v>31413</v>
      </c>
      <c r="B330" s="27">
        <f>VLOOKUP(Table3032[[#This Row],[Month]],'DB Money Supply'!$A:$D,2)</f>
        <v/>
      </c>
      <c r="C330" s="65">
        <f>(Table3032[[#This Row],[Real M1 Money Stock]]-B318)/B318</f>
        <v/>
      </c>
    </row>
    <row r="331">
      <c r="A331" s="26" t="n">
        <v>31444</v>
      </c>
      <c r="B331" s="27">
        <f>VLOOKUP(Table3032[[#This Row],[Month]],'DB Money Supply'!$A:$D,2)</f>
        <v/>
      </c>
      <c r="C331" s="65">
        <f>(Table3032[[#This Row],[Real M1 Money Stock]]-B319)/B319</f>
        <v/>
      </c>
    </row>
    <row r="332">
      <c r="A332" s="26" t="n">
        <v>31472</v>
      </c>
      <c r="B332" s="27">
        <f>VLOOKUP(Table3032[[#This Row],[Month]],'DB Money Supply'!$A:$D,2)</f>
        <v/>
      </c>
      <c r="C332" s="65">
        <f>(Table3032[[#This Row],[Real M1 Money Stock]]-B320)/B320</f>
        <v/>
      </c>
    </row>
    <row r="333">
      <c r="A333" s="26" t="n">
        <v>31503</v>
      </c>
      <c r="B333" s="27">
        <f>VLOOKUP(Table3032[[#This Row],[Month]],'DB Money Supply'!$A:$D,2)</f>
        <v/>
      </c>
      <c r="C333" s="65">
        <f>(Table3032[[#This Row],[Real M1 Money Stock]]-B321)/B321</f>
        <v/>
      </c>
    </row>
    <row r="334">
      <c r="A334" s="26" t="n">
        <v>31533</v>
      </c>
      <c r="B334" s="27">
        <f>VLOOKUP(Table3032[[#This Row],[Month]],'DB Money Supply'!$A:$D,2)</f>
        <v/>
      </c>
      <c r="C334" s="65">
        <f>(Table3032[[#This Row],[Real M1 Money Stock]]-B322)/B322</f>
        <v/>
      </c>
    </row>
    <row r="335">
      <c r="A335" s="26" t="n">
        <v>31564</v>
      </c>
      <c r="B335" s="27">
        <f>VLOOKUP(Table3032[[#This Row],[Month]],'DB Money Supply'!$A:$D,2)</f>
        <v/>
      </c>
      <c r="C335" s="65">
        <f>(Table3032[[#This Row],[Real M1 Money Stock]]-B323)/B323</f>
        <v/>
      </c>
    </row>
    <row r="336">
      <c r="A336" s="26" t="n">
        <v>31594</v>
      </c>
      <c r="B336" s="27">
        <f>VLOOKUP(Table3032[[#This Row],[Month]],'DB Money Supply'!$A:$D,2)</f>
        <v/>
      </c>
      <c r="C336" s="65">
        <f>(Table3032[[#This Row],[Real M1 Money Stock]]-B324)/B324</f>
        <v/>
      </c>
    </row>
    <row r="337">
      <c r="A337" s="26" t="n">
        <v>31625</v>
      </c>
      <c r="B337" s="27">
        <f>VLOOKUP(Table3032[[#This Row],[Month]],'DB Money Supply'!$A:$D,2)</f>
        <v/>
      </c>
      <c r="C337" s="65">
        <f>(Table3032[[#This Row],[Real M1 Money Stock]]-B325)/B325</f>
        <v/>
      </c>
    </row>
    <row r="338">
      <c r="A338" s="26" t="n">
        <v>31656</v>
      </c>
      <c r="B338" s="27">
        <f>VLOOKUP(Table3032[[#This Row],[Month]],'DB Money Supply'!$A:$D,2)</f>
        <v/>
      </c>
      <c r="C338" s="65">
        <f>(Table3032[[#This Row],[Real M1 Money Stock]]-B326)/B326</f>
        <v/>
      </c>
    </row>
    <row r="339">
      <c r="A339" s="26" t="n">
        <v>31686</v>
      </c>
      <c r="B339" s="27">
        <f>VLOOKUP(Table3032[[#This Row],[Month]],'DB Money Supply'!$A:$D,2)</f>
        <v/>
      </c>
      <c r="C339" s="65">
        <f>(Table3032[[#This Row],[Real M1 Money Stock]]-B327)/B327</f>
        <v/>
      </c>
    </row>
    <row r="340">
      <c r="A340" s="26" t="n">
        <v>31717</v>
      </c>
      <c r="B340" s="27">
        <f>VLOOKUP(Table3032[[#This Row],[Month]],'DB Money Supply'!$A:$D,2)</f>
        <v/>
      </c>
      <c r="C340" s="65">
        <f>(Table3032[[#This Row],[Real M1 Money Stock]]-B328)/B328</f>
        <v/>
      </c>
    </row>
    <row r="341">
      <c r="A341" s="26" t="n">
        <v>31747</v>
      </c>
      <c r="B341" s="27">
        <f>VLOOKUP(Table3032[[#This Row],[Month]],'DB Money Supply'!$A:$D,2)</f>
        <v/>
      </c>
      <c r="C341" s="65">
        <f>(Table3032[[#This Row],[Real M1 Money Stock]]-B329)/B329</f>
        <v/>
      </c>
    </row>
    <row r="342">
      <c r="A342" s="26" t="n">
        <v>31778</v>
      </c>
      <c r="B342" s="27">
        <f>VLOOKUP(Table3032[[#This Row],[Month]],'DB Money Supply'!$A:$D,2)</f>
        <v/>
      </c>
      <c r="C342" s="65">
        <f>(Table3032[[#This Row],[Real M1 Money Stock]]-B330)/B330</f>
        <v/>
      </c>
    </row>
    <row r="343">
      <c r="A343" s="26" t="n">
        <v>31809</v>
      </c>
      <c r="B343" s="27">
        <f>VLOOKUP(Table3032[[#This Row],[Month]],'DB Money Supply'!$A:$D,2)</f>
        <v/>
      </c>
      <c r="C343" s="65">
        <f>(Table3032[[#This Row],[Real M1 Money Stock]]-B331)/B331</f>
        <v/>
      </c>
    </row>
    <row r="344">
      <c r="A344" s="26" t="n">
        <v>31837</v>
      </c>
      <c r="B344" s="27">
        <f>VLOOKUP(Table3032[[#This Row],[Month]],'DB Money Supply'!$A:$D,2)</f>
        <v/>
      </c>
      <c r="C344" s="65">
        <f>(Table3032[[#This Row],[Real M1 Money Stock]]-B332)/B332</f>
        <v/>
      </c>
    </row>
    <row r="345">
      <c r="A345" s="26" t="n">
        <v>31868</v>
      </c>
      <c r="B345" s="27">
        <f>VLOOKUP(Table3032[[#This Row],[Month]],'DB Money Supply'!$A:$D,2)</f>
        <v/>
      </c>
      <c r="C345" s="65">
        <f>(Table3032[[#This Row],[Real M1 Money Stock]]-B333)/B333</f>
        <v/>
      </c>
    </row>
    <row r="346">
      <c r="A346" s="26" t="n">
        <v>31898</v>
      </c>
      <c r="B346" s="27">
        <f>VLOOKUP(Table3032[[#This Row],[Month]],'DB Money Supply'!$A:$D,2)</f>
        <v/>
      </c>
      <c r="C346" s="65">
        <f>(Table3032[[#This Row],[Real M1 Money Stock]]-B334)/B334</f>
        <v/>
      </c>
    </row>
    <row r="347">
      <c r="A347" s="26" t="n">
        <v>31929</v>
      </c>
      <c r="B347" s="27">
        <f>VLOOKUP(Table3032[[#This Row],[Month]],'DB Money Supply'!$A:$D,2)</f>
        <v/>
      </c>
      <c r="C347" s="65">
        <f>(Table3032[[#This Row],[Real M1 Money Stock]]-B335)/B335</f>
        <v/>
      </c>
    </row>
    <row r="348">
      <c r="A348" s="26" t="n">
        <v>31959</v>
      </c>
      <c r="B348" s="27">
        <f>VLOOKUP(Table3032[[#This Row],[Month]],'DB Money Supply'!$A:$D,2)</f>
        <v/>
      </c>
      <c r="C348" s="65">
        <f>(Table3032[[#This Row],[Real M1 Money Stock]]-B336)/B336</f>
        <v/>
      </c>
    </row>
    <row r="349">
      <c r="A349" s="26" t="n">
        <v>31990</v>
      </c>
      <c r="B349" s="27">
        <f>VLOOKUP(Table3032[[#This Row],[Month]],'DB Money Supply'!$A:$D,2)</f>
        <v/>
      </c>
      <c r="C349" s="65">
        <f>(Table3032[[#This Row],[Real M1 Money Stock]]-B337)/B337</f>
        <v/>
      </c>
    </row>
    <row r="350">
      <c r="A350" s="26" t="n">
        <v>32021</v>
      </c>
      <c r="B350" s="27">
        <f>VLOOKUP(Table3032[[#This Row],[Month]],'DB Money Supply'!$A:$D,2)</f>
        <v/>
      </c>
      <c r="C350" s="65">
        <f>(Table3032[[#This Row],[Real M1 Money Stock]]-B338)/B338</f>
        <v/>
      </c>
    </row>
    <row r="351">
      <c r="A351" s="26" t="n">
        <v>32051</v>
      </c>
      <c r="B351" s="27">
        <f>VLOOKUP(Table3032[[#This Row],[Month]],'DB Money Supply'!$A:$D,2)</f>
        <v/>
      </c>
      <c r="C351" s="65">
        <f>(Table3032[[#This Row],[Real M1 Money Stock]]-B339)/B339</f>
        <v/>
      </c>
    </row>
    <row r="352">
      <c r="A352" s="26" t="n">
        <v>32082</v>
      </c>
      <c r="B352" s="27">
        <f>VLOOKUP(Table3032[[#This Row],[Month]],'DB Money Supply'!$A:$D,2)</f>
        <v/>
      </c>
      <c r="C352" s="65">
        <f>(Table3032[[#This Row],[Real M1 Money Stock]]-B340)/B340</f>
        <v/>
      </c>
    </row>
    <row r="353">
      <c r="A353" s="26" t="n">
        <v>32112</v>
      </c>
      <c r="B353" s="27">
        <f>VLOOKUP(Table3032[[#This Row],[Month]],'DB Money Supply'!$A:$D,2)</f>
        <v/>
      </c>
      <c r="C353" s="65">
        <f>(Table3032[[#This Row],[Real M1 Money Stock]]-B341)/B341</f>
        <v/>
      </c>
    </row>
    <row r="354">
      <c r="A354" s="26" t="n">
        <v>32143</v>
      </c>
      <c r="B354" s="27">
        <f>VLOOKUP(Table3032[[#This Row],[Month]],'DB Money Supply'!$A:$D,2)</f>
        <v/>
      </c>
      <c r="C354" s="65">
        <f>(Table3032[[#This Row],[Real M1 Money Stock]]-B342)/B342</f>
        <v/>
      </c>
    </row>
    <row r="355">
      <c r="A355" s="26" t="n">
        <v>32174</v>
      </c>
      <c r="B355" s="27">
        <f>VLOOKUP(Table3032[[#This Row],[Month]],'DB Money Supply'!$A:$D,2)</f>
        <v/>
      </c>
      <c r="C355" s="65">
        <f>(Table3032[[#This Row],[Real M1 Money Stock]]-B343)/B343</f>
        <v/>
      </c>
    </row>
    <row r="356">
      <c r="A356" s="26" t="n">
        <v>32203</v>
      </c>
      <c r="B356" s="27">
        <f>VLOOKUP(Table3032[[#This Row],[Month]],'DB Money Supply'!$A:$D,2)</f>
        <v/>
      </c>
      <c r="C356" s="65">
        <f>(Table3032[[#This Row],[Real M1 Money Stock]]-B344)/B344</f>
        <v/>
      </c>
    </row>
    <row r="357">
      <c r="A357" s="26" t="n">
        <v>32234</v>
      </c>
      <c r="B357" s="27">
        <f>VLOOKUP(Table3032[[#This Row],[Month]],'DB Money Supply'!$A:$D,2)</f>
        <v/>
      </c>
      <c r="C357" s="65">
        <f>(Table3032[[#This Row],[Real M1 Money Stock]]-B345)/B345</f>
        <v/>
      </c>
    </row>
    <row r="358">
      <c r="A358" s="26" t="n">
        <v>32264</v>
      </c>
      <c r="B358" s="27">
        <f>VLOOKUP(Table3032[[#This Row],[Month]],'DB Money Supply'!$A:$D,2)</f>
        <v/>
      </c>
      <c r="C358" s="65">
        <f>(Table3032[[#This Row],[Real M1 Money Stock]]-B346)/B346</f>
        <v/>
      </c>
    </row>
    <row r="359">
      <c r="A359" s="26" t="n">
        <v>32295</v>
      </c>
      <c r="B359" s="27">
        <f>VLOOKUP(Table3032[[#This Row],[Month]],'DB Money Supply'!$A:$D,2)</f>
        <v/>
      </c>
      <c r="C359" s="65">
        <f>(Table3032[[#This Row],[Real M1 Money Stock]]-B347)/B347</f>
        <v/>
      </c>
    </row>
    <row r="360">
      <c r="A360" s="26" t="n">
        <v>32325</v>
      </c>
      <c r="B360" s="27">
        <f>VLOOKUP(Table3032[[#This Row],[Month]],'DB Money Supply'!$A:$D,2)</f>
        <v/>
      </c>
      <c r="C360" s="65">
        <f>(Table3032[[#This Row],[Real M1 Money Stock]]-B348)/B348</f>
        <v/>
      </c>
    </row>
    <row r="361">
      <c r="A361" s="26" t="n">
        <v>32356</v>
      </c>
      <c r="B361" s="27">
        <f>VLOOKUP(Table3032[[#This Row],[Month]],'DB Money Supply'!$A:$D,2)</f>
        <v/>
      </c>
      <c r="C361" s="65">
        <f>(Table3032[[#This Row],[Real M1 Money Stock]]-B349)/B349</f>
        <v/>
      </c>
    </row>
    <row r="362">
      <c r="A362" s="26" t="n">
        <v>32387</v>
      </c>
      <c r="B362" s="27">
        <f>VLOOKUP(Table3032[[#This Row],[Month]],'DB Money Supply'!$A:$D,2)</f>
        <v/>
      </c>
      <c r="C362" s="65">
        <f>(Table3032[[#This Row],[Real M1 Money Stock]]-B350)/B350</f>
        <v/>
      </c>
    </row>
    <row r="363">
      <c r="A363" s="26" t="n">
        <v>32417</v>
      </c>
      <c r="B363" s="27">
        <f>VLOOKUP(Table3032[[#This Row],[Month]],'DB Money Supply'!$A:$D,2)</f>
        <v/>
      </c>
      <c r="C363" s="65">
        <f>(Table3032[[#This Row],[Real M1 Money Stock]]-B351)/B351</f>
        <v/>
      </c>
    </row>
    <row r="364">
      <c r="A364" s="26" t="n">
        <v>32448</v>
      </c>
      <c r="B364" s="27">
        <f>VLOOKUP(Table3032[[#This Row],[Month]],'DB Money Supply'!$A:$D,2)</f>
        <v/>
      </c>
      <c r="C364" s="65">
        <f>(Table3032[[#This Row],[Real M1 Money Stock]]-B352)/B352</f>
        <v/>
      </c>
    </row>
    <row r="365">
      <c r="A365" s="26" t="n">
        <v>32478</v>
      </c>
      <c r="B365" s="27">
        <f>VLOOKUP(Table3032[[#This Row],[Month]],'DB Money Supply'!$A:$D,2)</f>
        <v/>
      </c>
      <c r="C365" s="65">
        <f>(Table3032[[#This Row],[Real M1 Money Stock]]-B353)/B353</f>
        <v/>
      </c>
    </row>
    <row r="366">
      <c r="A366" s="26" t="n">
        <v>32509</v>
      </c>
      <c r="B366" s="27">
        <f>VLOOKUP(Table3032[[#This Row],[Month]],'DB Money Supply'!$A:$D,2)</f>
        <v/>
      </c>
      <c r="C366" s="65">
        <f>(Table3032[[#This Row],[Real M1 Money Stock]]-B354)/B354</f>
        <v/>
      </c>
    </row>
    <row r="367">
      <c r="A367" s="26" t="n">
        <v>32540</v>
      </c>
      <c r="B367" s="27">
        <f>VLOOKUP(Table3032[[#This Row],[Month]],'DB Money Supply'!$A:$D,2)</f>
        <v/>
      </c>
      <c r="C367" s="65">
        <f>(Table3032[[#This Row],[Real M1 Money Stock]]-B355)/B355</f>
        <v/>
      </c>
    </row>
    <row r="368">
      <c r="A368" s="26" t="n">
        <v>32568</v>
      </c>
      <c r="B368" s="27">
        <f>VLOOKUP(Table3032[[#This Row],[Month]],'DB Money Supply'!$A:$D,2)</f>
        <v/>
      </c>
      <c r="C368" s="65">
        <f>(Table3032[[#This Row],[Real M1 Money Stock]]-B356)/B356</f>
        <v/>
      </c>
    </row>
    <row r="369">
      <c r="A369" s="26" t="n">
        <v>32599</v>
      </c>
      <c r="B369" s="27">
        <f>VLOOKUP(Table3032[[#This Row],[Month]],'DB Money Supply'!$A:$D,2)</f>
        <v/>
      </c>
      <c r="C369" s="65">
        <f>(Table3032[[#This Row],[Real M1 Money Stock]]-B357)/B357</f>
        <v/>
      </c>
    </row>
    <row r="370">
      <c r="A370" s="26" t="n">
        <v>32629</v>
      </c>
      <c r="B370" s="27">
        <f>VLOOKUP(Table3032[[#This Row],[Month]],'DB Money Supply'!$A:$D,2)</f>
        <v/>
      </c>
      <c r="C370" s="65">
        <f>(Table3032[[#This Row],[Real M1 Money Stock]]-B358)/B358</f>
        <v/>
      </c>
    </row>
    <row r="371">
      <c r="A371" s="26" t="n">
        <v>32660</v>
      </c>
      <c r="B371" s="27">
        <f>VLOOKUP(Table3032[[#This Row],[Month]],'DB Money Supply'!$A:$D,2)</f>
        <v/>
      </c>
      <c r="C371" s="65">
        <f>(Table3032[[#This Row],[Real M1 Money Stock]]-B359)/B359</f>
        <v/>
      </c>
    </row>
    <row r="372">
      <c r="A372" s="26" t="n">
        <v>32690</v>
      </c>
      <c r="B372" s="27">
        <f>VLOOKUP(Table3032[[#This Row],[Month]],'DB Money Supply'!$A:$D,2)</f>
        <v/>
      </c>
      <c r="C372" s="65">
        <f>(Table3032[[#This Row],[Real M1 Money Stock]]-B360)/B360</f>
        <v/>
      </c>
    </row>
    <row r="373">
      <c r="A373" s="26" t="n">
        <v>32721</v>
      </c>
      <c r="B373" s="27">
        <f>VLOOKUP(Table3032[[#This Row],[Month]],'DB Money Supply'!$A:$D,2)</f>
        <v/>
      </c>
      <c r="C373" s="65">
        <f>(Table3032[[#This Row],[Real M1 Money Stock]]-B361)/B361</f>
        <v/>
      </c>
    </row>
    <row r="374">
      <c r="A374" s="26" t="n">
        <v>32752</v>
      </c>
      <c r="B374" s="27">
        <f>VLOOKUP(Table3032[[#This Row],[Month]],'DB Money Supply'!$A:$D,2)</f>
        <v/>
      </c>
      <c r="C374" s="65">
        <f>(Table3032[[#This Row],[Real M1 Money Stock]]-B362)/B362</f>
        <v/>
      </c>
    </row>
    <row r="375">
      <c r="A375" s="26" t="n">
        <v>32782</v>
      </c>
      <c r="B375" s="27">
        <f>VLOOKUP(Table3032[[#This Row],[Month]],'DB Money Supply'!$A:$D,2)</f>
        <v/>
      </c>
      <c r="C375" s="65">
        <f>(Table3032[[#This Row],[Real M1 Money Stock]]-B363)/B363</f>
        <v/>
      </c>
    </row>
    <row r="376">
      <c r="A376" s="26" t="n">
        <v>32813</v>
      </c>
      <c r="B376" s="27">
        <f>VLOOKUP(Table3032[[#This Row],[Month]],'DB Money Supply'!$A:$D,2)</f>
        <v/>
      </c>
      <c r="C376" s="65">
        <f>(Table3032[[#This Row],[Real M1 Money Stock]]-B364)/B364</f>
        <v/>
      </c>
    </row>
    <row r="377">
      <c r="A377" s="26" t="n">
        <v>32843</v>
      </c>
      <c r="B377" s="27">
        <f>VLOOKUP(Table3032[[#This Row],[Month]],'DB Money Supply'!$A:$D,2)</f>
        <v/>
      </c>
      <c r="C377" s="65">
        <f>(Table3032[[#This Row],[Real M1 Money Stock]]-B365)/B365</f>
        <v/>
      </c>
    </row>
    <row r="378">
      <c r="A378" s="26" t="n">
        <v>32874</v>
      </c>
      <c r="B378" s="27">
        <f>VLOOKUP(Table3032[[#This Row],[Month]],'DB Money Supply'!$A:$D,2)</f>
        <v/>
      </c>
      <c r="C378" s="65">
        <f>(Table3032[[#This Row],[Real M1 Money Stock]]-B366)/B366</f>
        <v/>
      </c>
    </row>
    <row r="379">
      <c r="A379" s="26" t="n">
        <v>32905</v>
      </c>
      <c r="B379" s="27">
        <f>VLOOKUP(Table3032[[#This Row],[Month]],'DB Money Supply'!$A:$D,2)</f>
        <v/>
      </c>
      <c r="C379" s="65">
        <f>(Table3032[[#This Row],[Real M1 Money Stock]]-B367)/B367</f>
        <v/>
      </c>
    </row>
    <row r="380">
      <c r="A380" s="26" t="n">
        <v>32933</v>
      </c>
      <c r="B380" s="27">
        <f>VLOOKUP(Table3032[[#This Row],[Month]],'DB Money Supply'!$A:$D,2)</f>
        <v/>
      </c>
      <c r="C380" s="65">
        <f>(Table3032[[#This Row],[Real M1 Money Stock]]-B368)/B368</f>
        <v/>
      </c>
    </row>
    <row r="381">
      <c r="A381" s="26" t="n">
        <v>32964</v>
      </c>
      <c r="B381" s="27">
        <f>VLOOKUP(Table3032[[#This Row],[Month]],'DB Money Supply'!$A:$D,2)</f>
        <v/>
      </c>
      <c r="C381" s="65">
        <f>(Table3032[[#This Row],[Real M1 Money Stock]]-B369)/B369</f>
        <v/>
      </c>
    </row>
    <row r="382">
      <c r="A382" s="26" t="n">
        <v>32994</v>
      </c>
      <c r="B382" s="27">
        <f>VLOOKUP(Table3032[[#This Row],[Month]],'DB Money Supply'!$A:$D,2)</f>
        <v/>
      </c>
      <c r="C382" s="65">
        <f>(Table3032[[#This Row],[Real M1 Money Stock]]-B370)/B370</f>
        <v/>
      </c>
    </row>
    <row r="383">
      <c r="A383" s="26" t="n">
        <v>33025</v>
      </c>
      <c r="B383" s="27">
        <f>VLOOKUP(Table3032[[#This Row],[Month]],'DB Money Supply'!$A:$D,2)</f>
        <v/>
      </c>
      <c r="C383" s="65">
        <f>(Table3032[[#This Row],[Real M1 Money Stock]]-B371)/B371</f>
        <v/>
      </c>
    </row>
    <row r="384">
      <c r="A384" s="26" t="n">
        <v>33055</v>
      </c>
      <c r="B384" s="27">
        <f>VLOOKUP(Table3032[[#This Row],[Month]],'DB Money Supply'!$A:$D,2)</f>
        <v/>
      </c>
      <c r="C384" s="65">
        <f>(Table3032[[#This Row],[Real M1 Money Stock]]-B372)/B372</f>
        <v/>
      </c>
    </row>
    <row r="385">
      <c r="A385" s="26" t="n">
        <v>33086</v>
      </c>
      <c r="B385" s="27">
        <f>VLOOKUP(Table3032[[#This Row],[Month]],'DB Money Supply'!$A:$D,2)</f>
        <v/>
      </c>
      <c r="C385" s="65">
        <f>(Table3032[[#This Row],[Real M1 Money Stock]]-B373)/B373</f>
        <v/>
      </c>
    </row>
    <row r="386">
      <c r="A386" s="26" t="n">
        <v>33117</v>
      </c>
      <c r="B386" s="27">
        <f>VLOOKUP(Table3032[[#This Row],[Month]],'DB Money Supply'!$A:$D,2)</f>
        <v/>
      </c>
      <c r="C386" s="65">
        <f>(Table3032[[#This Row],[Real M1 Money Stock]]-B374)/B374</f>
        <v/>
      </c>
    </row>
    <row r="387">
      <c r="A387" s="26" t="n">
        <v>33147</v>
      </c>
      <c r="B387" s="27">
        <f>VLOOKUP(Table3032[[#This Row],[Month]],'DB Money Supply'!$A:$D,2)</f>
        <v/>
      </c>
      <c r="C387" s="65">
        <f>(Table3032[[#This Row],[Real M1 Money Stock]]-B375)/B375</f>
        <v/>
      </c>
    </row>
    <row r="388">
      <c r="A388" s="26" t="n">
        <v>33178</v>
      </c>
      <c r="B388" s="27">
        <f>VLOOKUP(Table3032[[#This Row],[Month]],'DB Money Supply'!$A:$D,2)</f>
        <v/>
      </c>
      <c r="C388" s="65">
        <f>(Table3032[[#This Row],[Real M1 Money Stock]]-B376)/B376</f>
        <v/>
      </c>
    </row>
    <row r="389">
      <c r="A389" s="26" t="n">
        <v>33208</v>
      </c>
      <c r="B389" s="27">
        <f>VLOOKUP(Table3032[[#This Row],[Month]],'DB Money Supply'!$A:$D,2)</f>
        <v/>
      </c>
      <c r="C389" s="65">
        <f>(Table3032[[#This Row],[Real M1 Money Stock]]-B377)/B377</f>
        <v/>
      </c>
    </row>
    <row r="390">
      <c r="A390" s="26" t="n">
        <v>33239</v>
      </c>
      <c r="B390" s="27">
        <f>VLOOKUP(Table3032[[#This Row],[Month]],'DB Money Supply'!$A:$D,2)</f>
        <v/>
      </c>
      <c r="C390" s="65">
        <f>(Table3032[[#This Row],[Real M1 Money Stock]]-B378)/B378</f>
        <v/>
      </c>
    </row>
    <row r="391">
      <c r="A391" s="26" t="n">
        <v>33270</v>
      </c>
      <c r="B391" s="27">
        <f>VLOOKUP(Table3032[[#This Row],[Month]],'DB Money Supply'!$A:$D,2)</f>
        <v/>
      </c>
      <c r="C391" s="65">
        <f>(Table3032[[#This Row],[Real M1 Money Stock]]-B379)/B379</f>
        <v/>
      </c>
    </row>
    <row r="392">
      <c r="A392" s="26" t="n">
        <v>33298</v>
      </c>
      <c r="B392" s="27">
        <f>VLOOKUP(Table3032[[#This Row],[Month]],'DB Money Supply'!$A:$D,2)</f>
        <v/>
      </c>
      <c r="C392" s="65">
        <f>(Table3032[[#This Row],[Real M1 Money Stock]]-B380)/B380</f>
        <v/>
      </c>
    </row>
    <row r="393">
      <c r="A393" s="26" t="n">
        <v>33329</v>
      </c>
      <c r="B393" s="27">
        <f>VLOOKUP(Table3032[[#This Row],[Month]],'DB Money Supply'!$A:$D,2)</f>
        <v/>
      </c>
      <c r="C393" s="65">
        <f>(Table3032[[#This Row],[Real M1 Money Stock]]-B381)/B381</f>
        <v/>
      </c>
    </row>
    <row r="394">
      <c r="A394" s="26" t="n">
        <v>33359</v>
      </c>
      <c r="B394" s="27">
        <f>VLOOKUP(Table3032[[#This Row],[Month]],'DB Money Supply'!$A:$D,2)</f>
        <v/>
      </c>
      <c r="C394" s="65">
        <f>(Table3032[[#This Row],[Real M1 Money Stock]]-B382)/B382</f>
        <v/>
      </c>
    </row>
    <row r="395">
      <c r="A395" s="26" t="n">
        <v>33390</v>
      </c>
      <c r="B395" s="27">
        <f>VLOOKUP(Table3032[[#This Row],[Month]],'DB Money Supply'!$A:$D,2)</f>
        <v/>
      </c>
      <c r="C395" s="65">
        <f>(Table3032[[#This Row],[Real M1 Money Stock]]-B383)/B383</f>
        <v/>
      </c>
    </row>
    <row r="396">
      <c r="A396" s="26" t="n">
        <v>33420</v>
      </c>
      <c r="B396" s="27">
        <f>VLOOKUP(Table3032[[#This Row],[Month]],'DB Money Supply'!$A:$D,2)</f>
        <v/>
      </c>
      <c r="C396" s="65">
        <f>(Table3032[[#This Row],[Real M1 Money Stock]]-B384)/B384</f>
        <v/>
      </c>
    </row>
    <row r="397">
      <c r="A397" s="26" t="n">
        <v>33451</v>
      </c>
      <c r="B397" s="27">
        <f>VLOOKUP(Table3032[[#This Row],[Month]],'DB Money Supply'!$A:$D,2)</f>
        <v/>
      </c>
      <c r="C397" s="65">
        <f>(Table3032[[#This Row],[Real M1 Money Stock]]-B385)/B385</f>
        <v/>
      </c>
    </row>
    <row r="398">
      <c r="A398" s="26" t="n">
        <v>33482</v>
      </c>
      <c r="B398" s="27">
        <f>VLOOKUP(Table3032[[#This Row],[Month]],'DB Money Supply'!$A:$D,2)</f>
        <v/>
      </c>
      <c r="C398" s="65">
        <f>(Table3032[[#This Row],[Real M1 Money Stock]]-B386)/B386</f>
        <v/>
      </c>
    </row>
    <row r="399">
      <c r="A399" s="26" t="n">
        <v>33512</v>
      </c>
      <c r="B399" s="27">
        <f>VLOOKUP(Table3032[[#This Row],[Month]],'DB Money Supply'!$A:$D,2)</f>
        <v/>
      </c>
      <c r="C399" s="65">
        <f>(Table3032[[#This Row],[Real M1 Money Stock]]-B387)/B387</f>
        <v/>
      </c>
    </row>
    <row r="400">
      <c r="A400" s="26" t="n">
        <v>33543</v>
      </c>
      <c r="B400" s="27">
        <f>VLOOKUP(Table3032[[#This Row],[Month]],'DB Money Supply'!$A:$D,2)</f>
        <v/>
      </c>
      <c r="C400" s="65">
        <f>(Table3032[[#This Row],[Real M1 Money Stock]]-B388)/B388</f>
        <v/>
      </c>
    </row>
    <row r="401">
      <c r="A401" s="26" t="n">
        <v>33573</v>
      </c>
      <c r="B401" s="27">
        <f>VLOOKUP(Table3032[[#This Row],[Month]],'DB Money Supply'!$A:$D,2)</f>
        <v/>
      </c>
      <c r="C401" s="65">
        <f>(Table3032[[#This Row],[Real M1 Money Stock]]-B389)/B389</f>
        <v/>
      </c>
    </row>
    <row r="402">
      <c r="A402" s="26" t="n">
        <v>33604</v>
      </c>
      <c r="B402" s="27">
        <f>VLOOKUP(Table3032[[#This Row],[Month]],'DB Money Supply'!$A:$D,2)</f>
        <v/>
      </c>
      <c r="C402" s="65">
        <f>(Table3032[[#This Row],[Real M1 Money Stock]]-B390)/B390</f>
        <v/>
      </c>
    </row>
    <row r="403">
      <c r="A403" s="26" t="n">
        <v>33635</v>
      </c>
      <c r="B403" s="27">
        <f>VLOOKUP(Table3032[[#This Row],[Month]],'DB Money Supply'!$A:$D,2)</f>
        <v/>
      </c>
      <c r="C403" s="65">
        <f>(Table3032[[#This Row],[Real M1 Money Stock]]-B391)/B391</f>
        <v/>
      </c>
    </row>
    <row r="404">
      <c r="A404" s="26" t="n">
        <v>33664</v>
      </c>
      <c r="B404" s="27">
        <f>VLOOKUP(Table3032[[#This Row],[Month]],'DB Money Supply'!$A:$D,2)</f>
        <v/>
      </c>
      <c r="C404" s="65">
        <f>(Table3032[[#This Row],[Real M1 Money Stock]]-B392)/B392</f>
        <v/>
      </c>
    </row>
    <row r="405">
      <c r="A405" s="26" t="n">
        <v>33695</v>
      </c>
      <c r="B405" s="27">
        <f>VLOOKUP(Table3032[[#This Row],[Month]],'DB Money Supply'!$A:$D,2)</f>
        <v/>
      </c>
      <c r="C405" s="65">
        <f>(Table3032[[#This Row],[Real M1 Money Stock]]-B393)/B393</f>
        <v/>
      </c>
    </row>
    <row r="406">
      <c r="A406" s="26" t="n">
        <v>33725</v>
      </c>
      <c r="B406" s="27">
        <f>VLOOKUP(Table3032[[#This Row],[Month]],'DB Money Supply'!$A:$D,2)</f>
        <v/>
      </c>
      <c r="C406" s="65">
        <f>(Table3032[[#This Row],[Real M1 Money Stock]]-B394)/B394</f>
        <v/>
      </c>
    </row>
    <row r="407">
      <c r="A407" s="26" t="n">
        <v>33756</v>
      </c>
      <c r="B407" s="27">
        <f>VLOOKUP(Table3032[[#This Row],[Month]],'DB Money Supply'!$A:$D,2)</f>
        <v/>
      </c>
      <c r="C407" s="65">
        <f>(Table3032[[#This Row],[Real M1 Money Stock]]-B395)/B395</f>
        <v/>
      </c>
    </row>
    <row r="408">
      <c r="A408" s="26" t="n">
        <v>33786</v>
      </c>
      <c r="B408" s="27">
        <f>VLOOKUP(Table3032[[#This Row],[Month]],'DB Money Supply'!$A:$D,2)</f>
        <v/>
      </c>
      <c r="C408" s="65">
        <f>(Table3032[[#This Row],[Real M1 Money Stock]]-B396)/B396</f>
        <v/>
      </c>
    </row>
    <row r="409">
      <c r="A409" s="26" t="n">
        <v>33817</v>
      </c>
      <c r="B409" s="27">
        <f>VLOOKUP(Table3032[[#This Row],[Month]],'DB Money Supply'!$A:$D,2)</f>
        <v/>
      </c>
      <c r="C409" s="65">
        <f>(Table3032[[#This Row],[Real M1 Money Stock]]-B397)/B397</f>
        <v/>
      </c>
    </row>
    <row r="410">
      <c r="A410" s="26" t="n">
        <v>33848</v>
      </c>
      <c r="B410" s="27">
        <f>VLOOKUP(Table3032[[#This Row],[Month]],'DB Money Supply'!$A:$D,2)</f>
        <v/>
      </c>
      <c r="C410" s="65">
        <f>(Table3032[[#This Row],[Real M1 Money Stock]]-B398)/B398</f>
        <v/>
      </c>
    </row>
    <row r="411">
      <c r="A411" s="26" t="n">
        <v>33878</v>
      </c>
      <c r="B411" s="27">
        <f>VLOOKUP(Table3032[[#This Row],[Month]],'DB Money Supply'!$A:$D,2)</f>
        <v/>
      </c>
      <c r="C411" s="65">
        <f>(Table3032[[#This Row],[Real M1 Money Stock]]-B399)/B399</f>
        <v/>
      </c>
    </row>
    <row r="412">
      <c r="A412" s="26" t="n">
        <v>33909</v>
      </c>
      <c r="B412" s="27">
        <f>VLOOKUP(Table3032[[#This Row],[Month]],'DB Money Supply'!$A:$D,2)</f>
        <v/>
      </c>
      <c r="C412" s="65">
        <f>(Table3032[[#This Row],[Real M1 Money Stock]]-B400)/B400</f>
        <v/>
      </c>
    </row>
    <row r="413">
      <c r="A413" s="26" t="n">
        <v>33939</v>
      </c>
      <c r="B413" s="27">
        <f>VLOOKUP(Table3032[[#This Row],[Month]],'DB Money Supply'!$A:$D,2)</f>
        <v/>
      </c>
      <c r="C413" s="65">
        <f>(Table3032[[#This Row],[Real M1 Money Stock]]-B401)/B401</f>
        <v/>
      </c>
    </row>
    <row r="414">
      <c r="A414" s="26" t="n">
        <v>33970</v>
      </c>
      <c r="B414" s="27">
        <f>VLOOKUP(Table3032[[#This Row],[Month]],'DB Money Supply'!$A:$D,2)</f>
        <v/>
      </c>
      <c r="C414" s="65">
        <f>(Table3032[[#This Row],[Real M1 Money Stock]]-B402)/B402</f>
        <v/>
      </c>
    </row>
    <row r="415">
      <c r="A415" s="26" t="n">
        <v>34001</v>
      </c>
      <c r="B415" s="27">
        <f>VLOOKUP(Table3032[[#This Row],[Month]],'DB Money Supply'!$A:$D,2)</f>
        <v/>
      </c>
      <c r="C415" s="65">
        <f>(Table3032[[#This Row],[Real M1 Money Stock]]-B403)/B403</f>
        <v/>
      </c>
    </row>
    <row r="416">
      <c r="A416" s="26" t="n">
        <v>34029</v>
      </c>
      <c r="B416" s="27">
        <f>VLOOKUP(Table3032[[#This Row],[Month]],'DB Money Supply'!$A:$D,2)</f>
        <v/>
      </c>
      <c r="C416" s="65">
        <f>(Table3032[[#This Row],[Real M1 Money Stock]]-B404)/B404</f>
        <v/>
      </c>
    </row>
    <row r="417">
      <c r="A417" s="26" t="n">
        <v>34060</v>
      </c>
      <c r="B417" s="27">
        <f>VLOOKUP(Table3032[[#This Row],[Month]],'DB Money Supply'!$A:$D,2)</f>
        <v/>
      </c>
      <c r="C417" s="65">
        <f>(Table3032[[#This Row],[Real M1 Money Stock]]-B405)/B405</f>
        <v/>
      </c>
    </row>
    <row r="418">
      <c r="A418" s="26" t="n">
        <v>34090</v>
      </c>
      <c r="B418" s="27">
        <f>VLOOKUP(Table3032[[#This Row],[Month]],'DB Money Supply'!$A:$D,2)</f>
        <v/>
      </c>
      <c r="C418" s="65">
        <f>(Table3032[[#This Row],[Real M1 Money Stock]]-B406)/B406</f>
        <v/>
      </c>
    </row>
    <row r="419">
      <c r="A419" s="26" t="n">
        <v>34121</v>
      </c>
      <c r="B419" s="27">
        <f>VLOOKUP(Table3032[[#This Row],[Month]],'DB Money Supply'!$A:$D,2)</f>
        <v/>
      </c>
      <c r="C419" s="65">
        <f>(Table3032[[#This Row],[Real M1 Money Stock]]-B407)/B407</f>
        <v/>
      </c>
    </row>
    <row r="420">
      <c r="A420" s="26" t="n">
        <v>34151</v>
      </c>
      <c r="B420" s="27">
        <f>VLOOKUP(Table3032[[#This Row],[Month]],'DB Money Supply'!$A:$D,2)</f>
        <v/>
      </c>
      <c r="C420" s="65">
        <f>(Table3032[[#This Row],[Real M1 Money Stock]]-B408)/B408</f>
        <v/>
      </c>
    </row>
    <row r="421">
      <c r="A421" s="26" t="n">
        <v>34182</v>
      </c>
      <c r="B421" s="27">
        <f>VLOOKUP(Table3032[[#This Row],[Month]],'DB Money Supply'!$A:$D,2)</f>
        <v/>
      </c>
      <c r="C421" s="65">
        <f>(Table3032[[#This Row],[Real M1 Money Stock]]-B409)/B409</f>
        <v/>
      </c>
    </row>
    <row r="422">
      <c r="A422" s="26" t="n">
        <v>34213</v>
      </c>
      <c r="B422" s="27">
        <f>VLOOKUP(Table3032[[#This Row],[Month]],'DB Money Supply'!$A:$D,2)</f>
        <v/>
      </c>
      <c r="C422" s="65">
        <f>(Table3032[[#This Row],[Real M1 Money Stock]]-B410)/B410</f>
        <v/>
      </c>
    </row>
    <row r="423">
      <c r="A423" s="26" t="n">
        <v>34243</v>
      </c>
      <c r="B423" s="27">
        <f>VLOOKUP(Table3032[[#This Row],[Month]],'DB Money Supply'!$A:$D,2)</f>
        <v/>
      </c>
      <c r="C423" s="65">
        <f>(Table3032[[#This Row],[Real M1 Money Stock]]-B411)/B411</f>
        <v/>
      </c>
    </row>
    <row r="424">
      <c r="A424" s="26" t="n">
        <v>34274</v>
      </c>
      <c r="B424" s="27">
        <f>VLOOKUP(Table3032[[#This Row],[Month]],'DB Money Supply'!$A:$D,2)</f>
        <v/>
      </c>
      <c r="C424" s="65">
        <f>(Table3032[[#This Row],[Real M1 Money Stock]]-B412)/B412</f>
        <v/>
      </c>
    </row>
    <row r="425">
      <c r="A425" s="26" t="n">
        <v>34304</v>
      </c>
      <c r="B425" s="27">
        <f>VLOOKUP(Table3032[[#This Row],[Month]],'DB Money Supply'!$A:$D,2)</f>
        <v/>
      </c>
      <c r="C425" s="65">
        <f>(Table3032[[#This Row],[Real M1 Money Stock]]-B413)/B413</f>
        <v/>
      </c>
    </row>
    <row r="426">
      <c r="A426" s="26" t="n">
        <v>34335</v>
      </c>
      <c r="B426" s="27">
        <f>VLOOKUP(Table3032[[#This Row],[Month]],'DB Money Supply'!$A:$D,2)</f>
        <v/>
      </c>
      <c r="C426" s="65">
        <f>(Table3032[[#This Row],[Real M1 Money Stock]]-B414)/B414</f>
        <v/>
      </c>
    </row>
    <row r="427">
      <c r="A427" s="26" t="n">
        <v>34366</v>
      </c>
      <c r="B427" s="27">
        <f>VLOOKUP(Table3032[[#This Row],[Month]],'DB Money Supply'!$A:$D,2)</f>
        <v/>
      </c>
      <c r="C427" s="65">
        <f>(Table3032[[#This Row],[Real M1 Money Stock]]-B415)/B415</f>
        <v/>
      </c>
    </row>
    <row r="428">
      <c r="A428" s="26" t="n">
        <v>34394</v>
      </c>
      <c r="B428" s="27">
        <f>VLOOKUP(Table3032[[#This Row],[Month]],'DB Money Supply'!$A:$D,2)</f>
        <v/>
      </c>
      <c r="C428" s="65">
        <f>(Table3032[[#This Row],[Real M1 Money Stock]]-B416)/B416</f>
        <v/>
      </c>
    </row>
    <row r="429">
      <c r="A429" s="26" t="n">
        <v>34425</v>
      </c>
      <c r="B429" s="27">
        <f>VLOOKUP(Table3032[[#This Row],[Month]],'DB Money Supply'!$A:$D,2)</f>
        <v/>
      </c>
      <c r="C429" s="65">
        <f>(Table3032[[#This Row],[Real M1 Money Stock]]-B417)/B417</f>
        <v/>
      </c>
    </row>
    <row r="430">
      <c r="A430" s="26" t="n">
        <v>34455</v>
      </c>
      <c r="B430" s="27">
        <f>VLOOKUP(Table3032[[#This Row],[Month]],'DB Money Supply'!$A:$D,2)</f>
        <v/>
      </c>
      <c r="C430" s="65">
        <f>(Table3032[[#This Row],[Real M1 Money Stock]]-B418)/B418</f>
        <v/>
      </c>
    </row>
    <row r="431">
      <c r="A431" s="26" t="n">
        <v>34486</v>
      </c>
      <c r="B431" s="27">
        <f>VLOOKUP(Table3032[[#This Row],[Month]],'DB Money Supply'!$A:$D,2)</f>
        <v/>
      </c>
      <c r="C431" s="65">
        <f>(Table3032[[#This Row],[Real M1 Money Stock]]-B419)/B419</f>
        <v/>
      </c>
    </row>
    <row r="432">
      <c r="A432" s="26" t="n">
        <v>34516</v>
      </c>
      <c r="B432" s="27">
        <f>VLOOKUP(Table3032[[#This Row],[Month]],'DB Money Supply'!$A:$D,2)</f>
        <v/>
      </c>
      <c r="C432" s="65">
        <f>(Table3032[[#This Row],[Real M1 Money Stock]]-B420)/B420</f>
        <v/>
      </c>
    </row>
    <row r="433">
      <c r="A433" s="26" t="n">
        <v>34547</v>
      </c>
      <c r="B433" s="27">
        <f>VLOOKUP(Table3032[[#This Row],[Month]],'DB Money Supply'!$A:$D,2)</f>
        <v/>
      </c>
      <c r="C433" s="65">
        <f>(Table3032[[#This Row],[Real M1 Money Stock]]-B421)/B421</f>
        <v/>
      </c>
    </row>
    <row r="434">
      <c r="A434" s="26" t="n">
        <v>34578</v>
      </c>
      <c r="B434" s="27">
        <f>VLOOKUP(Table3032[[#This Row],[Month]],'DB Money Supply'!$A:$D,2)</f>
        <v/>
      </c>
      <c r="C434" s="65">
        <f>(Table3032[[#This Row],[Real M1 Money Stock]]-B422)/B422</f>
        <v/>
      </c>
    </row>
    <row r="435">
      <c r="A435" s="26" t="n">
        <v>34608</v>
      </c>
      <c r="B435" s="27">
        <f>VLOOKUP(Table3032[[#This Row],[Month]],'DB Money Supply'!$A:$D,2)</f>
        <v/>
      </c>
      <c r="C435" s="65">
        <f>(Table3032[[#This Row],[Real M1 Money Stock]]-B423)/B423</f>
        <v/>
      </c>
    </row>
    <row r="436">
      <c r="A436" s="26" t="n">
        <v>34639</v>
      </c>
      <c r="B436" s="27">
        <f>VLOOKUP(Table3032[[#This Row],[Month]],'DB Money Supply'!$A:$D,2)</f>
        <v/>
      </c>
      <c r="C436" s="65">
        <f>(Table3032[[#This Row],[Real M1 Money Stock]]-B424)/B424</f>
        <v/>
      </c>
    </row>
    <row r="437">
      <c r="A437" s="26" t="n">
        <v>34669</v>
      </c>
      <c r="B437" s="27">
        <f>VLOOKUP(Table3032[[#This Row],[Month]],'DB Money Supply'!$A:$D,2)</f>
        <v/>
      </c>
      <c r="C437" s="65">
        <f>(Table3032[[#This Row],[Real M1 Money Stock]]-B425)/B425</f>
        <v/>
      </c>
    </row>
    <row r="438">
      <c r="A438" s="26" t="n">
        <v>34700</v>
      </c>
      <c r="B438" s="27">
        <f>VLOOKUP(Table3032[[#This Row],[Month]],'DB Money Supply'!$A:$D,2)</f>
        <v/>
      </c>
      <c r="C438" s="65">
        <f>(Table3032[[#This Row],[Real M1 Money Stock]]-B426)/B426</f>
        <v/>
      </c>
    </row>
    <row r="439">
      <c r="A439" s="26" t="n">
        <v>34731</v>
      </c>
      <c r="B439" s="27">
        <f>VLOOKUP(Table3032[[#This Row],[Month]],'DB Money Supply'!$A:$D,2)</f>
        <v/>
      </c>
      <c r="C439" s="65">
        <f>(Table3032[[#This Row],[Real M1 Money Stock]]-B427)/B427</f>
        <v/>
      </c>
    </row>
    <row r="440">
      <c r="A440" s="26" t="n">
        <v>34759</v>
      </c>
      <c r="B440" s="27">
        <f>VLOOKUP(Table3032[[#This Row],[Month]],'DB Money Supply'!$A:$D,2)</f>
        <v/>
      </c>
      <c r="C440" s="65">
        <f>(Table3032[[#This Row],[Real M1 Money Stock]]-B428)/B428</f>
        <v/>
      </c>
    </row>
    <row r="441">
      <c r="A441" s="26" t="n">
        <v>34790</v>
      </c>
      <c r="B441" s="27">
        <f>VLOOKUP(Table3032[[#This Row],[Month]],'DB Money Supply'!$A:$D,2)</f>
        <v/>
      </c>
      <c r="C441" s="65">
        <f>(Table3032[[#This Row],[Real M1 Money Stock]]-B429)/B429</f>
        <v/>
      </c>
    </row>
    <row r="442">
      <c r="A442" s="26" t="n">
        <v>34820</v>
      </c>
      <c r="B442" s="27">
        <f>VLOOKUP(Table3032[[#This Row],[Month]],'DB Money Supply'!$A:$D,2)</f>
        <v/>
      </c>
      <c r="C442" s="65">
        <f>(Table3032[[#This Row],[Real M1 Money Stock]]-B430)/B430</f>
        <v/>
      </c>
    </row>
    <row r="443">
      <c r="A443" s="26" t="n">
        <v>34851</v>
      </c>
      <c r="B443" s="27">
        <f>VLOOKUP(Table3032[[#This Row],[Month]],'DB Money Supply'!$A:$D,2)</f>
        <v/>
      </c>
      <c r="C443" s="65">
        <f>(Table3032[[#This Row],[Real M1 Money Stock]]-B431)/B431</f>
        <v/>
      </c>
    </row>
    <row r="444">
      <c r="A444" s="26" t="n">
        <v>34881</v>
      </c>
      <c r="B444" s="27">
        <f>VLOOKUP(Table3032[[#This Row],[Month]],'DB Money Supply'!$A:$D,2)</f>
        <v/>
      </c>
      <c r="C444" s="65">
        <f>(Table3032[[#This Row],[Real M1 Money Stock]]-B432)/B432</f>
        <v/>
      </c>
    </row>
    <row r="445">
      <c r="A445" s="26" t="n">
        <v>34912</v>
      </c>
      <c r="B445" s="27">
        <f>VLOOKUP(Table3032[[#This Row],[Month]],'DB Money Supply'!$A:$D,2)</f>
        <v/>
      </c>
      <c r="C445" s="65">
        <f>(Table3032[[#This Row],[Real M1 Money Stock]]-B433)/B433</f>
        <v/>
      </c>
    </row>
    <row r="446">
      <c r="A446" s="26" t="n">
        <v>34943</v>
      </c>
      <c r="B446" s="27">
        <f>VLOOKUP(Table3032[[#This Row],[Month]],'DB Money Supply'!$A:$D,2)</f>
        <v/>
      </c>
      <c r="C446" s="65">
        <f>(Table3032[[#This Row],[Real M1 Money Stock]]-B434)/B434</f>
        <v/>
      </c>
    </row>
    <row r="447">
      <c r="A447" s="26" t="n">
        <v>34973</v>
      </c>
      <c r="B447" s="27">
        <f>VLOOKUP(Table3032[[#This Row],[Month]],'DB Money Supply'!$A:$D,2)</f>
        <v/>
      </c>
      <c r="C447" s="65">
        <f>(Table3032[[#This Row],[Real M1 Money Stock]]-B435)/B435</f>
        <v/>
      </c>
    </row>
    <row r="448">
      <c r="A448" s="26" t="n">
        <v>35004</v>
      </c>
      <c r="B448" s="27">
        <f>VLOOKUP(Table3032[[#This Row],[Month]],'DB Money Supply'!$A:$D,2)</f>
        <v/>
      </c>
      <c r="C448" s="65">
        <f>(Table3032[[#This Row],[Real M1 Money Stock]]-B436)/B436</f>
        <v/>
      </c>
    </row>
    <row r="449">
      <c r="A449" s="26" t="n">
        <v>35034</v>
      </c>
      <c r="B449" s="27">
        <f>VLOOKUP(Table3032[[#This Row],[Month]],'DB Money Supply'!$A:$D,2)</f>
        <v/>
      </c>
      <c r="C449" s="65">
        <f>(Table3032[[#This Row],[Real M1 Money Stock]]-B437)/B437</f>
        <v/>
      </c>
    </row>
    <row r="450">
      <c r="A450" s="26" t="n">
        <v>35065</v>
      </c>
      <c r="B450" s="27">
        <f>VLOOKUP(Table3032[[#This Row],[Month]],'DB Money Supply'!$A:$D,2)</f>
        <v/>
      </c>
      <c r="C450" s="65">
        <f>(Table3032[[#This Row],[Real M1 Money Stock]]-B438)/B438</f>
        <v/>
      </c>
    </row>
    <row r="451">
      <c r="A451" s="26" t="n">
        <v>35096</v>
      </c>
      <c r="B451" s="27">
        <f>VLOOKUP(Table3032[[#This Row],[Month]],'DB Money Supply'!$A:$D,2)</f>
        <v/>
      </c>
      <c r="C451" s="65">
        <f>(Table3032[[#This Row],[Real M1 Money Stock]]-B439)/B439</f>
        <v/>
      </c>
    </row>
    <row r="452">
      <c r="A452" s="26" t="n">
        <v>35125</v>
      </c>
      <c r="B452" s="27">
        <f>VLOOKUP(Table3032[[#This Row],[Month]],'DB Money Supply'!$A:$D,2)</f>
        <v/>
      </c>
      <c r="C452" s="65">
        <f>(Table3032[[#This Row],[Real M1 Money Stock]]-B440)/B440</f>
        <v/>
      </c>
    </row>
    <row r="453">
      <c r="A453" s="26" t="n">
        <v>35156</v>
      </c>
      <c r="B453" s="27">
        <f>VLOOKUP(Table3032[[#This Row],[Month]],'DB Money Supply'!$A:$D,2)</f>
        <v/>
      </c>
      <c r="C453" s="65">
        <f>(Table3032[[#This Row],[Real M1 Money Stock]]-B441)/B441</f>
        <v/>
      </c>
    </row>
    <row r="454">
      <c r="A454" s="26" t="n">
        <v>35186</v>
      </c>
      <c r="B454" s="27">
        <f>VLOOKUP(Table3032[[#This Row],[Month]],'DB Money Supply'!$A:$D,2)</f>
        <v/>
      </c>
      <c r="C454" s="65">
        <f>(Table3032[[#This Row],[Real M1 Money Stock]]-B442)/B442</f>
        <v/>
      </c>
    </row>
    <row r="455">
      <c r="A455" s="26" t="n">
        <v>35217</v>
      </c>
      <c r="B455" s="27">
        <f>VLOOKUP(Table3032[[#This Row],[Month]],'DB Money Supply'!$A:$D,2)</f>
        <v/>
      </c>
      <c r="C455" s="65">
        <f>(Table3032[[#This Row],[Real M1 Money Stock]]-B443)/B443</f>
        <v/>
      </c>
    </row>
    <row r="456">
      <c r="A456" s="26" t="n">
        <v>35247</v>
      </c>
      <c r="B456" s="27">
        <f>VLOOKUP(Table3032[[#This Row],[Month]],'DB Money Supply'!$A:$D,2)</f>
        <v/>
      </c>
      <c r="C456" s="65">
        <f>(Table3032[[#This Row],[Real M1 Money Stock]]-B444)/B444</f>
        <v/>
      </c>
    </row>
    <row r="457">
      <c r="A457" s="26" t="n">
        <v>35278</v>
      </c>
      <c r="B457" s="27">
        <f>VLOOKUP(Table3032[[#This Row],[Month]],'DB Money Supply'!$A:$D,2)</f>
        <v/>
      </c>
      <c r="C457" s="65">
        <f>(Table3032[[#This Row],[Real M1 Money Stock]]-B445)/B445</f>
        <v/>
      </c>
    </row>
    <row r="458">
      <c r="A458" s="26" t="n">
        <v>35309</v>
      </c>
      <c r="B458" s="27">
        <f>VLOOKUP(Table3032[[#This Row],[Month]],'DB Money Supply'!$A:$D,2)</f>
        <v/>
      </c>
      <c r="C458" s="65">
        <f>(Table3032[[#This Row],[Real M1 Money Stock]]-B446)/B446</f>
        <v/>
      </c>
    </row>
    <row r="459">
      <c r="A459" s="26" t="n">
        <v>35339</v>
      </c>
      <c r="B459" s="27">
        <f>VLOOKUP(Table3032[[#This Row],[Month]],'DB Money Supply'!$A:$D,2)</f>
        <v/>
      </c>
      <c r="C459" s="65">
        <f>(Table3032[[#This Row],[Real M1 Money Stock]]-B447)/B447</f>
        <v/>
      </c>
    </row>
    <row r="460">
      <c r="A460" s="26" t="n">
        <v>35370</v>
      </c>
      <c r="B460" s="27">
        <f>VLOOKUP(Table3032[[#This Row],[Month]],'DB Money Supply'!$A:$D,2)</f>
        <v/>
      </c>
      <c r="C460" s="65">
        <f>(Table3032[[#This Row],[Real M1 Money Stock]]-B448)/B448</f>
        <v/>
      </c>
    </row>
    <row r="461">
      <c r="A461" s="26" t="n">
        <v>35400</v>
      </c>
      <c r="B461" s="27">
        <f>VLOOKUP(Table3032[[#This Row],[Month]],'DB Money Supply'!$A:$D,2)</f>
        <v/>
      </c>
      <c r="C461" s="65">
        <f>(Table3032[[#This Row],[Real M1 Money Stock]]-B449)/B449</f>
        <v/>
      </c>
    </row>
    <row r="462">
      <c r="A462" s="26" t="n">
        <v>35431</v>
      </c>
      <c r="B462" s="27">
        <f>VLOOKUP(Table3032[[#This Row],[Month]],'DB Money Supply'!$A:$D,2)</f>
        <v/>
      </c>
      <c r="C462" s="65">
        <f>(Table3032[[#This Row],[Real M1 Money Stock]]-B450)/B450</f>
        <v/>
      </c>
    </row>
    <row r="463">
      <c r="A463" s="26" t="n">
        <v>35462</v>
      </c>
      <c r="B463" s="27">
        <f>VLOOKUP(Table3032[[#This Row],[Month]],'DB Money Supply'!$A:$D,2)</f>
        <v/>
      </c>
      <c r="C463" s="65">
        <f>(Table3032[[#This Row],[Real M1 Money Stock]]-B451)/B451</f>
        <v/>
      </c>
    </row>
    <row r="464">
      <c r="A464" s="26" t="n">
        <v>35490</v>
      </c>
      <c r="B464" s="27">
        <f>VLOOKUP(Table3032[[#This Row],[Month]],'DB Money Supply'!$A:$D,2)</f>
        <v/>
      </c>
      <c r="C464" s="65">
        <f>(Table3032[[#This Row],[Real M1 Money Stock]]-B452)/B452</f>
        <v/>
      </c>
    </row>
    <row r="465">
      <c r="A465" s="26" t="n">
        <v>35521</v>
      </c>
      <c r="B465" s="27">
        <f>VLOOKUP(Table3032[[#This Row],[Month]],'DB Money Supply'!$A:$D,2)</f>
        <v/>
      </c>
      <c r="C465" s="65">
        <f>(Table3032[[#This Row],[Real M1 Money Stock]]-B453)/B453</f>
        <v/>
      </c>
    </row>
    <row r="466">
      <c r="A466" s="26" t="n">
        <v>35551</v>
      </c>
      <c r="B466" s="27">
        <f>VLOOKUP(Table3032[[#This Row],[Month]],'DB Money Supply'!$A:$D,2)</f>
        <v/>
      </c>
      <c r="C466" s="65">
        <f>(Table3032[[#This Row],[Real M1 Money Stock]]-B454)/B454</f>
        <v/>
      </c>
    </row>
    <row r="467">
      <c r="A467" s="26" t="n">
        <v>35582</v>
      </c>
      <c r="B467" s="27">
        <f>VLOOKUP(Table3032[[#This Row],[Month]],'DB Money Supply'!$A:$D,2)</f>
        <v/>
      </c>
      <c r="C467" s="65">
        <f>(Table3032[[#This Row],[Real M1 Money Stock]]-B455)/B455</f>
        <v/>
      </c>
    </row>
    <row r="468">
      <c r="A468" s="26" t="n">
        <v>35612</v>
      </c>
      <c r="B468" s="27">
        <f>VLOOKUP(Table3032[[#This Row],[Month]],'DB Money Supply'!$A:$D,2)</f>
        <v/>
      </c>
      <c r="C468" s="65">
        <f>(Table3032[[#This Row],[Real M1 Money Stock]]-B456)/B456</f>
        <v/>
      </c>
    </row>
    <row r="469">
      <c r="A469" s="26" t="n">
        <v>35643</v>
      </c>
      <c r="B469" s="27">
        <f>VLOOKUP(Table3032[[#This Row],[Month]],'DB Money Supply'!$A:$D,2)</f>
        <v/>
      </c>
      <c r="C469" s="65">
        <f>(Table3032[[#This Row],[Real M1 Money Stock]]-B457)/B457</f>
        <v/>
      </c>
    </row>
    <row r="470">
      <c r="A470" s="26" t="n">
        <v>35674</v>
      </c>
      <c r="B470" s="27">
        <f>VLOOKUP(Table3032[[#This Row],[Month]],'DB Money Supply'!$A:$D,2)</f>
        <v/>
      </c>
      <c r="C470" s="65">
        <f>(Table3032[[#This Row],[Real M1 Money Stock]]-B458)/B458</f>
        <v/>
      </c>
    </row>
    <row r="471">
      <c r="A471" s="26" t="n">
        <v>35704</v>
      </c>
      <c r="B471" s="27">
        <f>VLOOKUP(Table3032[[#This Row],[Month]],'DB Money Supply'!$A:$D,2)</f>
        <v/>
      </c>
      <c r="C471" s="65">
        <f>(Table3032[[#This Row],[Real M1 Money Stock]]-B459)/B459</f>
        <v/>
      </c>
    </row>
    <row r="472">
      <c r="A472" s="26" t="n">
        <v>35735</v>
      </c>
      <c r="B472" s="27">
        <f>VLOOKUP(Table3032[[#This Row],[Month]],'DB Money Supply'!$A:$D,2)</f>
        <v/>
      </c>
      <c r="C472" s="65">
        <f>(Table3032[[#This Row],[Real M1 Money Stock]]-B460)/B460</f>
        <v/>
      </c>
    </row>
    <row r="473">
      <c r="A473" s="26" t="n">
        <v>35765</v>
      </c>
      <c r="B473" s="27">
        <f>VLOOKUP(Table3032[[#This Row],[Month]],'DB Money Supply'!$A:$D,2)</f>
        <v/>
      </c>
      <c r="C473" s="65">
        <f>(Table3032[[#This Row],[Real M1 Money Stock]]-B461)/B461</f>
        <v/>
      </c>
    </row>
    <row r="474">
      <c r="A474" s="26" t="n">
        <v>35796</v>
      </c>
      <c r="B474" s="27">
        <f>VLOOKUP(Table3032[[#This Row],[Month]],'DB Money Supply'!$A:$D,2)</f>
        <v/>
      </c>
      <c r="C474" s="65">
        <f>(Table3032[[#This Row],[Real M1 Money Stock]]-B462)/B462</f>
        <v/>
      </c>
    </row>
    <row r="475">
      <c r="A475" s="26" t="n">
        <v>35827</v>
      </c>
      <c r="B475" s="27">
        <f>VLOOKUP(Table3032[[#This Row],[Month]],'DB Money Supply'!$A:$D,2)</f>
        <v/>
      </c>
      <c r="C475" s="65">
        <f>(Table3032[[#This Row],[Real M1 Money Stock]]-B463)/B463</f>
        <v/>
      </c>
    </row>
    <row r="476">
      <c r="A476" s="26" t="n">
        <v>35855</v>
      </c>
      <c r="B476" s="27">
        <f>VLOOKUP(Table3032[[#This Row],[Month]],'DB Money Supply'!$A:$D,2)</f>
        <v/>
      </c>
      <c r="C476" s="65">
        <f>(Table3032[[#This Row],[Real M1 Money Stock]]-B464)/B464</f>
        <v/>
      </c>
    </row>
    <row r="477">
      <c r="A477" s="26" t="n">
        <v>35886</v>
      </c>
      <c r="B477" s="27">
        <f>VLOOKUP(Table3032[[#This Row],[Month]],'DB Money Supply'!$A:$D,2)</f>
        <v/>
      </c>
      <c r="C477" s="65">
        <f>(Table3032[[#This Row],[Real M1 Money Stock]]-B465)/B465</f>
        <v/>
      </c>
    </row>
    <row r="478">
      <c r="A478" s="26" t="n">
        <v>35916</v>
      </c>
      <c r="B478" s="27">
        <f>VLOOKUP(Table3032[[#This Row],[Month]],'DB Money Supply'!$A:$D,2)</f>
        <v/>
      </c>
      <c r="C478" s="65">
        <f>(Table3032[[#This Row],[Real M1 Money Stock]]-B466)/B466</f>
        <v/>
      </c>
    </row>
    <row r="479">
      <c r="A479" s="26" t="n">
        <v>35947</v>
      </c>
      <c r="B479" s="27">
        <f>VLOOKUP(Table3032[[#This Row],[Month]],'DB Money Supply'!$A:$D,2)</f>
        <v/>
      </c>
      <c r="C479" s="65">
        <f>(Table3032[[#This Row],[Real M1 Money Stock]]-B467)/B467</f>
        <v/>
      </c>
    </row>
    <row r="480">
      <c r="A480" s="26" t="n">
        <v>35977</v>
      </c>
      <c r="B480" s="27">
        <f>VLOOKUP(Table3032[[#This Row],[Month]],'DB Money Supply'!$A:$D,2)</f>
        <v/>
      </c>
      <c r="C480" s="65">
        <f>(Table3032[[#This Row],[Real M1 Money Stock]]-B468)/B468</f>
        <v/>
      </c>
    </row>
    <row r="481">
      <c r="A481" s="26" t="n">
        <v>36008</v>
      </c>
      <c r="B481" s="27">
        <f>VLOOKUP(Table3032[[#This Row],[Month]],'DB Money Supply'!$A:$D,2)</f>
        <v/>
      </c>
      <c r="C481" s="65">
        <f>(Table3032[[#This Row],[Real M1 Money Stock]]-B469)/B469</f>
        <v/>
      </c>
    </row>
    <row r="482">
      <c r="A482" s="26" t="n">
        <v>36039</v>
      </c>
      <c r="B482" s="27">
        <f>VLOOKUP(Table3032[[#This Row],[Month]],'DB Money Supply'!$A:$D,2)</f>
        <v/>
      </c>
      <c r="C482" s="65">
        <f>(Table3032[[#This Row],[Real M1 Money Stock]]-B470)/B470</f>
        <v/>
      </c>
    </row>
    <row r="483">
      <c r="A483" s="26" t="n">
        <v>36069</v>
      </c>
      <c r="B483" s="27">
        <f>VLOOKUP(Table3032[[#This Row],[Month]],'DB Money Supply'!$A:$D,2)</f>
        <v/>
      </c>
      <c r="C483" s="65">
        <f>(Table3032[[#This Row],[Real M1 Money Stock]]-B471)/B471</f>
        <v/>
      </c>
    </row>
    <row r="484">
      <c r="A484" s="26" t="n">
        <v>36100</v>
      </c>
      <c r="B484" s="27">
        <f>VLOOKUP(Table3032[[#This Row],[Month]],'DB Money Supply'!$A:$D,2)</f>
        <v/>
      </c>
      <c r="C484" s="65">
        <f>(Table3032[[#This Row],[Real M1 Money Stock]]-B472)/B472</f>
        <v/>
      </c>
    </row>
    <row r="485">
      <c r="A485" s="26" t="n">
        <v>36130</v>
      </c>
      <c r="B485" s="27">
        <f>VLOOKUP(Table3032[[#This Row],[Month]],'DB Money Supply'!$A:$D,2)</f>
        <v/>
      </c>
      <c r="C485" s="65">
        <f>(Table3032[[#This Row],[Real M1 Money Stock]]-B473)/B473</f>
        <v/>
      </c>
    </row>
    <row r="486">
      <c r="A486" s="26" t="n">
        <v>36161</v>
      </c>
      <c r="B486" s="27">
        <f>VLOOKUP(Table3032[[#This Row],[Month]],'DB Money Supply'!$A:$D,2)</f>
        <v/>
      </c>
      <c r="C486" s="65">
        <f>(Table3032[[#This Row],[Real M1 Money Stock]]-B474)/B474</f>
        <v/>
      </c>
    </row>
    <row r="487">
      <c r="A487" s="26" t="n">
        <v>36192</v>
      </c>
      <c r="B487" s="27">
        <f>VLOOKUP(Table3032[[#This Row],[Month]],'DB Money Supply'!$A:$D,2)</f>
        <v/>
      </c>
      <c r="C487" s="65">
        <f>(Table3032[[#This Row],[Real M1 Money Stock]]-B475)/B475</f>
        <v/>
      </c>
    </row>
    <row r="488">
      <c r="A488" s="26" t="n">
        <v>36220</v>
      </c>
      <c r="B488" s="27">
        <f>VLOOKUP(Table3032[[#This Row],[Month]],'DB Money Supply'!$A:$D,2)</f>
        <v/>
      </c>
      <c r="C488" s="65">
        <f>(Table3032[[#This Row],[Real M1 Money Stock]]-B476)/B476</f>
        <v/>
      </c>
    </row>
    <row r="489">
      <c r="A489" s="26" t="n">
        <v>36251</v>
      </c>
      <c r="B489" s="27">
        <f>VLOOKUP(Table3032[[#This Row],[Month]],'DB Money Supply'!$A:$D,2)</f>
        <v/>
      </c>
      <c r="C489" s="65">
        <f>(Table3032[[#This Row],[Real M1 Money Stock]]-B477)/B477</f>
        <v/>
      </c>
    </row>
    <row r="490">
      <c r="A490" s="26" t="n">
        <v>36281</v>
      </c>
      <c r="B490" s="27">
        <f>VLOOKUP(Table3032[[#This Row],[Month]],'DB Money Supply'!$A:$D,2)</f>
        <v/>
      </c>
      <c r="C490" s="65">
        <f>(Table3032[[#This Row],[Real M1 Money Stock]]-B478)/B478</f>
        <v/>
      </c>
    </row>
    <row r="491">
      <c r="A491" s="26" t="n">
        <v>36312</v>
      </c>
      <c r="B491" s="27">
        <f>VLOOKUP(Table3032[[#This Row],[Month]],'DB Money Supply'!$A:$D,2)</f>
        <v/>
      </c>
      <c r="C491" s="65">
        <f>(Table3032[[#This Row],[Real M1 Money Stock]]-B479)/B479</f>
        <v/>
      </c>
    </row>
    <row r="492">
      <c r="A492" s="26" t="n">
        <v>36342</v>
      </c>
      <c r="B492" s="27">
        <f>VLOOKUP(Table3032[[#This Row],[Month]],'DB Money Supply'!$A:$D,2)</f>
        <v/>
      </c>
      <c r="C492" s="65">
        <f>(Table3032[[#This Row],[Real M1 Money Stock]]-B480)/B480</f>
        <v/>
      </c>
    </row>
    <row r="493">
      <c r="A493" s="26" t="n">
        <v>36373</v>
      </c>
      <c r="B493" s="27">
        <f>VLOOKUP(Table3032[[#This Row],[Month]],'DB Money Supply'!$A:$D,2)</f>
        <v/>
      </c>
      <c r="C493" s="65">
        <f>(Table3032[[#This Row],[Real M1 Money Stock]]-B481)/B481</f>
        <v/>
      </c>
    </row>
    <row r="494">
      <c r="A494" s="26" t="n">
        <v>36404</v>
      </c>
      <c r="B494" s="27">
        <f>VLOOKUP(Table3032[[#This Row],[Month]],'DB Money Supply'!$A:$D,2)</f>
        <v/>
      </c>
      <c r="C494" s="65">
        <f>(Table3032[[#This Row],[Real M1 Money Stock]]-B482)/B482</f>
        <v/>
      </c>
    </row>
    <row r="495">
      <c r="A495" s="26" t="n">
        <v>36434</v>
      </c>
      <c r="B495" s="27">
        <f>VLOOKUP(Table3032[[#This Row],[Month]],'DB Money Supply'!$A:$D,2)</f>
        <v/>
      </c>
      <c r="C495" s="65">
        <f>(Table3032[[#This Row],[Real M1 Money Stock]]-B483)/B483</f>
        <v/>
      </c>
    </row>
    <row r="496">
      <c r="A496" s="26" t="n">
        <v>36465</v>
      </c>
      <c r="B496" s="27">
        <f>VLOOKUP(Table3032[[#This Row],[Month]],'DB Money Supply'!$A:$D,2)</f>
        <v/>
      </c>
      <c r="C496" s="65">
        <f>(Table3032[[#This Row],[Real M1 Money Stock]]-B484)/B484</f>
        <v/>
      </c>
    </row>
    <row r="497">
      <c r="A497" s="26" t="n">
        <v>36495</v>
      </c>
      <c r="B497" s="27">
        <f>VLOOKUP(Table3032[[#This Row],[Month]],'DB Money Supply'!$A:$D,2)</f>
        <v/>
      </c>
      <c r="C497" s="65">
        <f>(Table3032[[#This Row],[Real M1 Money Stock]]-B485)/B485</f>
        <v/>
      </c>
    </row>
    <row r="498">
      <c r="A498" s="26" t="n">
        <v>36526</v>
      </c>
      <c r="B498" s="27">
        <f>VLOOKUP(Table3032[[#This Row],[Month]],'DB Money Supply'!$A:$D,2)</f>
        <v/>
      </c>
      <c r="C498" s="65">
        <f>(Table3032[[#This Row],[Real M1 Money Stock]]-B486)/B486</f>
        <v/>
      </c>
    </row>
    <row r="499">
      <c r="A499" s="26" t="n">
        <v>36557</v>
      </c>
      <c r="B499" s="27">
        <f>VLOOKUP(Table3032[[#This Row],[Month]],'DB Money Supply'!$A:$D,2)</f>
        <v/>
      </c>
      <c r="C499" s="65">
        <f>(Table3032[[#This Row],[Real M1 Money Stock]]-B487)/B487</f>
        <v/>
      </c>
    </row>
    <row r="500">
      <c r="A500" s="26" t="n">
        <v>36586</v>
      </c>
      <c r="B500" s="27">
        <f>VLOOKUP(Table3032[[#This Row],[Month]],'DB Money Supply'!$A:$D,2)</f>
        <v/>
      </c>
      <c r="C500" s="65">
        <f>(Table3032[[#This Row],[Real M1 Money Stock]]-B488)/B488</f>
        <v/>
      </c>
    </row>
    <row r="501">
      <c r="A501" s="26" t="n">
        <v>36617</v>
      </c>
      <c r="B501" s="27">
        <f>VLOOKUP(Table3032[[#This Row],[Month]],'DB Money Supply'!$A:$D,2)</f>
        <v/>
      </c>
      <c r="C501" s="65">
        <f>(Table3032[[#This Row],[Real M1 Money Stock]]-B489)/B489</f>
        <v/>
      </c>
    </row>
    <row r="502">
      <c r="A502" s="26" t="n">
        <v>36647</v>
      </c>
      <c r="B502" s="27">
        <f>VLOOKUP(Table3032[[#This Row],[Month]],'DB Money Supply'!$A:$D,2)</f>
        <v/>
      </c>
      <c r="C502" s="65">
        <f>(Table3032[[#This Row],[Real M1 Money Stock]]-B490)/B490</f>
        <v/>
      </c>
    </row>
    <row r="503">
      <c r="A503" s="26" t="n">
        <v>36678</v>
      </c>
      <c r="B503" s="27">
        <f>VLOOKUP(Table3032[[#This Row],[Month]],'DB Money Supply'!$A:$D,2)</f>
        <v/>
      </c>
      <c r="C503" s="65">
        <f>(Table3032[[#This Row],[Real M1 Money Stock]]-B491)/B491</f>
        <v/>
      </c>
    </row>
    <row r="504">
      <c r="A504" s="26" t="n">
        <v>36708</v>
      </c>
      <c r="B504" s="27">
        <f>VLOOKUP(Table3032[[#This Row],[Month]],'DB Money Supply'!$A:$D,2)</f>
        <v/>
      </c>
      <c r="C504" s="65">
        <f>(Table3032[[#This Row],[Real M1 Money Stock]]-B492)/B492</f>
        <v/>
      </c>
    </row>
    <row r="505">
      <c r="A505" s="26" t="n">
        <v>36739</v>
      </c>
      <c r="B505" s="27">
        <f>VLOOKUP(Table3032[[#This Row],[Month]],'DB Money Supply'!$A:$D,2)</f>
        <v/>
      </c>
      <c r="C505" s="65">
        <f>(Table3032[[#This Row],[Real M1 Money Stock]]-B493)/B493</f>
        <v/>
      </c>
    </row>
    <row r="506">
      <c r="A506" s="26" t="n">
        <v>36770</v>
      </c>
      <c r="B506" s="27">
        <f>VLOOKUP(Table3032[[#This Row],[Month]],'DB Money Supply'!$A:$D,2)</f>
        <v/>
      </c>
      <c r="C506" s="65">
        <f>(Table3032[[#This Row],[Real M1 Money Stock]]-B494)/B494</f>
        <v/>
      </c>
    </row>
    <row r="507">
      <c r="A507" s="26" t="n">
        <v>36800</v>
      </c>
      <c r="B507" s="27">
        <f>VLOOKUP(Table3032[[#This Row],[Month]],'DB Money Supply'!$A:$D,2)</f>
        <v/>
      </c>
      <c r="C507" s="65">
        <f>(Table3032[[#This Row],[Real M1 Money Stock]]-B495)/B495</f>
        <v/>
      </c>
    </row>
    <row r="508">
      <c r="A508" s="26" t="n">
        <v>36831</v>
      </c>
      <c r="B508" s="27">
        <f>VLOOKUP(Table3032[[#This Row],[Month]],'DB Money Supply'!$A:$D,2)</f>
        <v/>
      </c>
      <c r="C508" s="65">
        <f>(Table3032[[#This Row],[Real M1 Money Stock]]-B496)/B496</f>
        <v/>
      </c>
    </row>
    <row r="509">
      <c r="A509" s="26" t="n">
        <v>36861</v>
      </c>
      <c r="B509" s="27">
        <f>VLOOKUP(Table3032[[#This Row],[Month]],'DB Money Supply'!$A:$D,2)</f>
        <v/>
      </c>
      <c r="C509" s="65">
        <f>(Table3032[[#This Row],[Real M1 Money Stock]]-B497)/B497</f>
        <v/>
      </c>
    </row>
    <row r="510">
      <c r="A510" s="26" t="n">
        <v>36892</v>
      </c>
      <c r="B510" s="27">
        <f>VLOOKUP(Table3032[[#This Row],[Month]],'DB Money Supply'!$A:$D,2)</f>
        <v/>
      </c>
      <c r="C510" s="65">
        <f>(Table3032[[#This Row],[Real M1 Money Stock]]-B498)/B498</f>
        <v/>
      </c>
    </row>
    <row r="511">
      <c r="A511" s="26" t="n">
        <v>36923</v>
      </c>
      <c r="B511" s="27">
        <f>VLOOKUP(Table3032[[#This Row],[Month]],'DB Money Supply'!$A:$D,2)</f>
        <v/>
      </c>
      <c r="C511" s="65">
        <f>(Table3032[[#This Row],[Real M1 Money Stock]]-B499)/B499</f>
        <v/>
      </c>
    </row>
    <row r="512">
      <c r="A512" s="26" t="n">
        <v>36951</v>
      </c>
      <c r="B512" s="27">
        <f>VLOOKUP(Table3032[[#This Row],[Month]],'DB Money Supply'!$A:$D,2)</f>
        <v/>
      </c>
      <c r="C512" s="65">
        <f>(Table3032[[#This Row],[Real M1 Money Stock]]-B500)/B500</f>
        <v/>
      </c>
    </row>
    <row r="513">
      <c r="A513" s="26" t="n">
        <v>36982</v>
      </c>
      <c r="B513" s="27">
        <f>VLOOKUP(Table3032[[#This Row],[Month]],'DB Money Supply'!$A:$D,2)</f>
        <v/>
      </c>
      <c r="C513" s="65">
        <f>(Table3032[[#This Row],[Real M1 Money Stock]]-B501)/B501</f>
        <v/>
      </c>
    </row>
    <row r="514">
      <c r="A514" s="26" t="n">
        <v>37012</v>
      </c>
      <c r="B514" s="27">
        <f>VLOOKUP(Table3032[[#This Row],[Month]],'DB Money Supply'!$A:$D,2)</f>
        <v/>
      </c>
      <c r="C514" s="65">
        <f>(Table3032[[#This Row],[Real M1 Money Stock]]-B502)/B502</f>
        <v/>
      </c>
    </row>
    <row r="515">
      <c r="A515" s="26" t="n">
        <v>37043</v>
      </c>
      <c r="B515" s="27">
        <f>VLOOKUP(Table3032[[#This Row],[Month]],'DB Money Supply'!$A:$D,2)</f>
        <v/>
      </c>
      <c r="C515" s="65">
        <f>(Table3032[[#This Row],[Real M1 Money Stock]]-B503)/B503</f>
        <v/>
      </c>
    </row>
    <row r="516">
      <c r="A516" s="26" t="n">
        <v>37073</v>
      </c>
      <c r="B516" s="27">
        <f>VLOOKUP(Table3032[[#This Row],[Month]],'DB Money Supply'!$A:$D,2)</f>
        <v/>
      </c>
      <c r="C516" s="65">
        <f>(Table3032[[#This Row],[Real M1 Money Stock]]-B504)/B504</f>
        <v/>
      </c>
    </row>
    <row r="517">
      <c r="A517" s="26" t="n">
        <v>37104</v>
      </c>
      <c r="B517" s="27">
        <f>VLOOKUP(Table3032[[#This Row],[Month]],'DB Money Supply'!$A:$D,2)</f>
        <v/>
      </c>
      <c r="C517" s="65">
        <f>(Table3032[[#This Row],[Real M1 Money Stock]]-B505)/B505</f>
        <v/>
      </c>
    </row>
    <row r="518">
      <c r="A518" s="26" t="n">
        <v>37135</v>
      </c>
      <c r="B518" s="27">
        <f>VLOOKUP(Table3032[[#This Row],[Month]],'DB Money Supply'!$A:$D,2)</f>
        <v/>
      </c>
      <c r="C518" s="65">
        <f>(Table3032[[#This Row],[Real M1 Money Stock]]-B506)/B506</f>
        <v/>
      </c>
    </row>
    <row r="519">
      <c r="A519" s="26" t="n">
        <v>37165</v>
      </c>
      <c r="B519" s="27">
        <f>VLOOKUP(Table3032[[#This Row],[Month]],'DB Money Supply'!$A:$D,2)</f>
        <v/>
      </c>
      <c r="C519" s="65">
        <f>(Table3032[[#This Row],[Real M1 Money Stock]]-B507)/B507</f>
        <v/>
      </c>
    </row>
    <row r="520">
      <c r="A520" s="26" t="n">
        <v>37196</v>
      </c>
      <c r="B520" s="27">
        <f>VLOOKUP(Table3032[[#This Row],[Month]],'DB Money Supply'!$A:$D,2)</f>
        <v/>
      </c>
      <c r="C520" s="65">
        <f>(Table3032[[#This Row],[Real M1 Money Stock]]-B508)/B508</f>
        <v/>
      </c>
    </row>
    <row r="521">
      <c r="A521" s="26" t="n">
        <v>37226</v>
      </c>
      <c r="B521" s="27">
        <f>VLOOKUP(Table3032[[#This Row],[Month]],'DB Money Supply'!$A:$D,2)</f>
        <v/>
      </c>
      <c r="C521" s="65">
        <f>(Table3032[[#This Row],[Real M1 Money Stock]]-B509)/B509</f>
        <v/>
      </c>
    </row>
    <row r="522">
      <c r="A522" s="26" t="n">
        <v>37257</v>
      </c>
      <c r="B522" s="27">
        <f>VLOOKUP(Table3032[[#This Row],[Month]],'DB Money Supply'!$A:$D,2)</f>
        <v/>
      </c>
      <c r="C522" s="65">
        <f>(Table3032[[#This Row],[Real M1 Money Stock]]-B510)/B510</f>
        <v/>
      </c>
    </row>
    <row r="523">
      <c r="A523" s="26" t="n">
        <v>37288</v>
      </c>
      <c r="B523" s="27">
        <f>VLOOKUP(Table3032[[#This Row],[Month]],'DB Money Supply'!$A:$D,2)</f>
        <v/>
      </c>
      <c r="C523" s="65">
        <f>(Table3032[[#This Row],[Real M1 Money Stock]]-B511)/B511</f>
        <v/>
      </c>
    </row>
    <row r="524">
      <c r="A524" s="26" t="n">
        <v>37316</v>
      </c>
      <c r="B524" s="27">
        <f>VLOOKUP(Table3032[[#This Row],[Month]],'DB Money Supply'!$A:$D,2)</f>
        <v/>
      </c>
      <c r="C524" s="65">
        <f>(Table3032[[#This Row],[Real M1 Money Stock]]-B512)/B512</f>
        <v/>
      </c>
    </row>
    <row r="525">
      <c r="A525" s="26" t="n">
        <v>37347</v>
      </c>
      <c r="B525" s="27">
        <f>VLOOKUP(Table3032[[#This Row],[Month]],'DB Money Supply'!$A:$D,2)</f>
        <v/>
      </c>
      <c r="C525" s="65">
        <f>(Table3032[[#This Row],[Real M1 Money Stock]]-B513)/B513</f>
        <v/>
      </c>
    </row>
    <row r="526">
      <c r="A526" s="26" t="n">
        <v>37377</v>
      </c>
      <c r="B526" s="27">
        <f>VLOOKUP(Table3032[[#This Row],[Month]],'DB Money Supply'!$A:$D,2)</f>
        <v/>
      </c>
      <c r="C526" s="65">
        <f>(Table3032[[#This Row],[Real M1 Money Stock]]-B514)/B514</f>
        <v/>
      </c>
    </row>
    <row r="527">
      <c r="A527" s="26" t="n">
        <v>37408</v>
      </c>
      <c r="B527" s="27">
        <f>VLOOKUP(Table3032[[#This Row],[Month]],'DB Money Supply'!$A:$D,2)</f>
        <v/>
      </c>
      <c r="C527" s="65">
        <f>(Table3032[[#This Row],[Real M1 Money Stock]]-B515)/B515</f>
        <v/>
      </c>
    </row>
    <row r="528">
      <c r="A528" s="26" t="n">
        <v>37438</v>
      </c>
      <c r="B528" s="27">
        <f>VLOOKUP(Table3032[[#This Row],[Month]],'DB Money Supply'!$A:$D,2)</f>
        <v/>
      </c>
      <c r="C528" s="65">
        <f>(Table3032[[#This Row],[Real M1 Money Stock]]-B516)/B516</f>
        <v/>
      </c>
    </row>
    <row r="529">
      <c r="A529" s="26" t="n">
        <v>37469</v>
      </c>
      <c r="B529" s="27">
        <f>VLOOKUP(Table3032[[#This Row],[Month]],'DB Money Supply'!$A:$D,2)</f>
        <v/>
      </c>
      <c r="C529" s="65">
        <f>(Table3032[[#This Row],[Real M1 Money Stock]]-B517)/B517</f>
        <v/>
      </c>
    </row>
    <row r="530">
      <c r="A530" s="26" t="n">
        <v>37500</v>
      </c>
      <c r="B530" s="27">
        <f>VLOOKUP(Table3032[[#This Row],[Month]],'DB Money Supply'!$A:$D,2)</f>
        <v/>
      </c>
      <c r="C530" s="65">
        <f>(Table3032[[#This Row],[Real M1 Money Stock]]-B518)/B518</f>
        <v/>
      </c>
    </row>
    <row r="531">
      <c r="A531" s="26" t="n">
        <v>37530</v>
      </c>
      <c r="B531" s="27">
        <f>VLOOKUP(Table3032[[#This Row],[Month]],'DB Money Supply'!$A:$D,2)</f>
        <v/>
      </c>
      <c r="C531" s="65">
        <f>(Table3032[[#This Row],[Real M1 Money Stock]]-B519)/B519</f>
        <v/>
      </c>
    </row>
    <row r="532">
      <c r="A532" s="26" t="n">
        <v>37561</v>
      </c>
      <c r="B532" s="27">
        <f>VLOOKUP(Table3032[[#This Row],[Month]],'DB Money Supply'!$A:$D,2)</f>
        <v/>
      </c>
      <c r="C532" s="65">
        <f>(Table3032[[#This Row],[Real M1 Money Stock]]-B520)/B520</f>
        <v/>
      </c>
    </row>
    <row r="533">
      <c r="A533" s="26" t="n">
        <v>37591</v>
      </c>
      <c r="B533" s="27">
        <f>VLOOKUP(Table3032[[#This Row],[Month]],'DB Money Supply'!$A:$D,2)</f>
        <v/>
      </c>
      <c r="C533" s="65">
        <f>(Table3032[[#This Row],[Real M1 Money Stock]]-B521)/B521</f>
        <v/>
      </c>
    </row>
    <row r="534">
      <c r="A534" s="26" t="n">
        <v>37622</v>
      </c>
      <c r="B534" s="27">
        <f>VLOOKUP(Table3032[[#This Row],[Month]],'DB Money Supply'!$A:$D,2)</f>
        <v/>
      </c>
      <c r="C534" s="65">
        <f>(Table3032[[#This Row],[Real M1 Money Stock]]-B522)/B522</f>
        <v/>
      </c>
    </row>
    <row r="535">
      <c r="A535" s="26" t="n">
        <v>37653</v>
      </c>
      <c r="B535" s="27">
        <f>VLOOKUP(Table3032[[#This Row],[Month]],'DB Money Supply'!$A:$D,2)</f>
        <v/>
      </c>
      <c r="C535" s="65">
        <f>(Table3032[[#This Row],[Real M1 Money Stock]]-B523)/B523</f>
        <v/>
      </c>
    </row>
    <row r="536">
      <c r="A536" s="26" t="n">
        <v>37681</v>
      </c>
      <c r="B536" s="27">
        <f>VLOOKUP(Table3032[[#This Row],[Month]],'DB Money Supply'!$A:$D,2)</f>
        <v/>
      </c>
      <c r="C536" s="65">
        <f>(Table3032[[#This Row],[Real M1 Money Stock]]-B524)/B524</f>
        <v/>
      </c>
    </row>
    <row r="537">
      <c r="A537" s="26" t="n">
        <v>37712</v>
      </c>
      <c r="B537" s="27">
        <f>VLOOKUP(Table3032[[#This Row],[Month]],'DB Money Supply'!$A:$D,2)</f>
        <v/>
      </c>
      <c r="C537" s="65">
        <f>(Table3032[[#This Row],[Real M1 Money Stock]]-B525)/B525</f>
        <v/>
      </c>
    </row>
    <row r="538">
      <c r="A538" s="26" t="n">
        <v>37742</v>
      </c>
      <c r="B538" s="27">
        <f>VLOOKUP(Table3032[[#This Row],[Month]],'DB Money Supply'!$A:$D,2)</f>
        <v/>
      </c>
      <c r="C538" s="65">
        <f>(Table3032[[#This Row],[Real M1 Money Stock]]-B526)/B526</f>
        <v/>
      </c>
    </row>
    <row r="539">
      <c r="A539" s="26" t="n">
        <v>37773</v>
      </c>
      <c r="B539" s="27">
        <f>VLOOKUP(Table3032[[#This Row],[Month]],'DB Money Supply'!$A:$D,2)</f>
        <v/>
      </c>
      <c r="C539" s="65">
        <f>(Table3032[[#This Row],[Real M1 Money Stock]]-B527)/B527</f>
        <v/>
      </c>
    </row>
    <row r="540">
      <c r="A540" s="26" t="n">
        <v>37803</v>
      </c>
      <c r="B540" s="27">
        <f>VLOOKUP(Table3032[[#This Row],[Month]],'DB Money Supply'!$A:$D,2)</f>
        <v/>
      </c>
      <c r="C540" s="65">
        <f>(Table3032[[#This Row],[Real M1 Money Stock]]-B528)/B528</f>
        <v/>
      </c>
    </row>
    <row r="541">
      <c r="A541" s="26" t="n">
        <v>37834</v>
      </c>
      <c r="B541" s="27">
        <f>VLOOKUP(Table3032[[#This Row],[Month]],'DB Money Supply'!$A:$D,2)</f>
        <v/>
      </c>
      <c r="C541" s="65">
        <f>(Table3032[[#This Row],[Real M1 Money Stock]]-B529)/B529</f>
        <v/>
      </c>
    </row>
    <row r="542">
      <c r="A542" s="26" t="n">
        <v>37865</v>
      </c>
      <c r="B542" s="27">
        <f>VLOOKUP(Table3032[[#This Row],[Month]],'DB Money Supply'!$A:$D,2)</f>
        <v/>
      </c>
      <c r="C542" s="65">
        <f>(Table3032[[#This Row],[Real M1 Money Stock]]-B530)/B530</f>
        <v/>
      </c>
    </row>
    <row r="543">
      <c r="A543" s="26" t="n">
        <v>37895</v>
      </c>
      <c r="B543" s="27">
        <f>VLOOKUP(Table3032[[#This Row],[Month]],'DB Money Supply'!$A:$D,2)</f>
        <v/>
      </c>
      <c r="C543" s="65">
        <f>(Table3032[[#This Row],[Real M1 Money Stock]]-B531)/B531</f>
        <v/>
      </c>
    </row>
    <row r="544">
      <c r="A544" s="26" t="n">
        <v>37926</v>
      </c>
      <c r="B544" s="27">
        <f>VLOOKUP(Table3032[[#This Row],[Month]],'DB Money Supply'!$A:$D,2)</f>
        <v/>
      </c>
      <c r="C544" s="65">
        <f>(Table3032[[#This Row],[Real M1 Money Stock]]-B532)/B532</f>
        <v/>
      </c>
    </row>
    <row r="545">
      <c r="A545" s="26" t="n">
        <v>37956</v>
      </c>
      <c r="B545" s="27">
        <f>VLOOKUP(Table3032[[#This Row],[Month]],'DB Money Supply'!$A:$D,2)</f>
        <v/>
      </c>
      <c r="C545" s="65">
        <f>(Table3032[[#This Row],[Real M1 Money Stock]]-B533)/B533</f>
        <v/>
      </c>
    </row>
    <row r="546">
      <c r="A546" s="26" t="n">
        <v>37987</v>
      </c>
      <c r="B546" s="27">
        <f>VLOOKUP(Table3032[[#This Row],[Month]],'DB Money Supply'!$A:$D,2)</f>
        <v/>
      </c>
      <c r="C546" s="65">
        <f>(Table3032[[#This Row],[Real M1 Money Stock]]-B534)/B534</f>
        <v/>
      </c>
    </row>
    <row r="547">
      <c r="A547" s="26" t="n">
        <v>38018</v>
      </c>
      <c r="B547" s="27">
        <f>VLOOKUP(Table3032[[#This Row],[Month]],'DB Money Supply'!$A:$D,2)</f>
        <v/>
      </c>
      <c r="C547" s="65">
        <f>(Table3032[[#This Row],[Real M1 Money Stock]]-B535)/B535</f>
        <v/>
      </c>
    </row>
    <row r="548">
      <c r="A548" s="26" t="n">
        <v>38047</v>
      </c>
      <c r="B548" s="27">
        <f>VLOOKUP(Table3032[[#This Row],[Month]],'DB Money Supply'!$A:$D,2)</f>
        <v/>
      </c>
      <c r="C548" s="65">
        <f>(Table3032[[#This Row],[Real M1 Money Stock]]-B536)/B536</f>
        <v/>
      </c>
    </row>
    <row r="549">
      <c r="A549" s="26" t="n">
        <v>38078</v>
      </c>
      <c r="B549" s="27">
        <f>VLOOKUP(Table3032[[#This Row],[Month]],'DB Money Supply'!$A:$D,2)</f>
        <v/>
      </c>
      <c r="C549" s="65">
        <f>(Table3032[[#This Row],[Real M1 Money Stock]]-B537)/B537</f>
        <v/>
      </c>
    </row>
    <row r="550">
      <c r="A550" s="26" t="n">
        <v>38108</v>
      </c>
      <c r="B550" s="27">
        <f>VLOOKUP(Table3032[[#This Row],[Month]],'DB Money Supply'!$A:$D,2)</f>
        <v/>
      </c>
      <c r="C550" s="65">
        <f>(Table3032[[#This Row],[Real M1 Money Stock]]-B538)/B538</f>
        <v/>
      </c>
    </row>
    <row r="551">
      <c r="A551" s="26" t="n">
        <v>38139</v>
      </c>
      <c r="B551" s="27">
        <f>VLOOKUP(Table3032[[#This Row],[Month]],'DB Money Supply'!$A:$D,2)</f>
        <v/>
      </c>
      <c r="C551" s="65">
        <f>(Table3032[[#This Row],[Real M1 Money Stock]]-B539)/B539</f>
        <v/>
      </c>
    </row>
    <row r="552">
      <c r="A552" s="26" t="n">
        <v>38169</v>
      </c>
      <c r="B552" s="27">
        <f>VLOOKUP(Table3032[[#This Row],[Month]],'DB Money Supply'!$A:$D,2)</f>
        <v/>
      </c>
      <c r="C552" s="65">
        <f>(Table3032[[#This Row],[Real M1 Money Stock]]-B540)/B540</f>
        <v/>
      </c>
    </row>
    <row r="553">
      <c r="A553" s="26" t="n">
        <v>38200</v>
      </c>
      <c r="B553" s="27">
        <f>VLOOKUP(Table3032[[#This Row],[Month]],'DB Money Supply'!$A:$D,2)</f>
        <v/>
      </c>
      <c r="C553" s="65">
        <f>(Table3032[[#This Row],[Real M1 Money Stock]]-B541)/B541</f>
        <v/>
      </c>
    </row>
    <row r="554">
      <c r="A554" s="26" t="n">
        <v>38231</v>
      </c>
      <c r="B554" s="27">
        <f>VLOOKUP(Table3032[[#This Row],[Month]],'DB Money Supply'!$A:$D,2)</f>
        <v/>
      </c>
      <c r="C554" s="65">
        <f>(Table3032[[#This Row],[Real M1 Money Stock]]-B542)/B542</f>
        <v/>
      </c>
    </row>
    <row r="555">
      <c r="A555" s="26" t="n">
        <v>38261</v>
      </c>
      <c r="B555" s="27">
        <f>VLOOKUP(Table3032[[#This Row],[Month]],'DB Money Supply'!$A:$D,2)</f>
        <v/>
      </c>
      <c r="C555" s="65">
        <f>(Table3032[[#This Row],[Real M1 Money Stock]]-B543)/B543</f>
        <v/>
      </c>
    </row>
    <row r="556">
      <c r="A556" s="26" t="n">
        <v>38292</v>
      </c>
      <c r="B556" s="27">
        <f>VLOOKUP(Table3032[[#This Row],[Month]],'DB Money Supply'!$A:$D,2)</f>
        <v/>
      </c>
      <c r="C556" s="65">
        <f>(Table3032[[#This Row],[Real M1 Money Stock]]-B544)/B544</f>
        <v/>
      </c>
    </row>
    <row r="557">
      <c r="A557" s="26" t="n">
        <v>38322</v>
      </c>
      <c r="B557" s="27">
        <f>VLOOKUP(Table3032[[#This Row],[Month]],'DB Money Supply'!$A:$D,2)</f>
        <v/>
      </c>
      <c r="C557" s="65">
        <f>(Table3032[[#This Row],[Real M1 Money Stock]]-B545)/B545</f>
        <v/>
      </c>
    </row>
    <row r="558">
      <c r="A558" s="26" t="n">
        <v>38353</v>
      </c>
      <c r="B558" s="27">
        <f>VLOOKUP(Table3032[[#This Row],[Month]],'DB Money Supply'!$A:$D,2)</f>
        <v/>
      </c>
      <c r="C558" s="65">
        <f>(Table3032[[#This Row],[Real M1 Money Stock]]-B546)/B546</f>
        <v/>
      </c>
    </row>
    <row r="559">
      <c r="A559" s="26" t="n">
        <v>38384</v>
      </c>
      <c r="B559" s="27">
        <f>VLOOKUP(Table3032[[#This Row],[Month]],'DB Money Supply'!$A:$D,2)</f>
        <v/>
      </c>
      <c r="C559" s="65">
        <f>(Table3032[[#This Row],[Real M1 Money Stock]]-B547)/B547</f>
        <v/>
      </c>
    </row>
    <row r="560">
      <c r="A560" s="26" t="n">
        <v>38412</v>
      </c>
      <c r="B560" s="27">
        <f>VLOOKUP(Table3032[[#This Row],[Month]],'DB Money Supply'!$A:$D,2)</f>
        <v/>
      </c>
      <c r="C560" s="65">
        <f>(Table3032[[#This Row],[Real M1 Money Stock]]-B548)/B548</f>
        <v/>
      </c>
    </row>
    <row r="561">
      <c r="A561" s="26" t="n">
        <v>38443</v>
      </c>
      <c r="B561" s="27">
        <f>VLOOKUP(Table3032[[#This Row],[Month]],'DB Money Supply'!$A:$D,2)</f>
        <v/>
      </c>
      <c r="C561" s="65">
        <f>(Table3032[[#This Row],[Real M1 Money Stock]]-B549)/B549</f>
        <v/>
      </c>
    </row>
    <row r="562">
      <c r="A562" s="26" t="n">
        <v>38473</v>
      </c>
      <c r="B562" s="27">
        <f>VLOOKUP(Table3032[[#This Row],[Month]],'DB Money Supply'!$A:$D,2)</f>
        <v/>
      </c>
      <c r="C562" s="65">
        <f>(Table3032[[#This Row],[Real M1 Money Stock]]-B550)/B550</f>
        <v/>
      </c>
    </row>
    <row r="563">
      <c r="A563" s="26" t="n">
        <v>38504</v>
      </c>
      <c r="B563" s="27">
        <f>VLOOKUP(Table3032[[#This Row],[Month]],'DB Money Supply'!$A:$D,2)</f>
        <v/>
      </c>
      <c r="C563" s="65">
        <f>(Table3032[[#This Row],[Real M1 Money Stock]]-B551)/B551</f>
        <v/>
      </c>
    </row>
    <row r="564">
      <c r="A564" s="26" t="n">
        <v>38534</v>
      </c>
      <c r="B564" s="27">
        <f>VLOOKUP(Table3032[[#This Row],[Month]],'DB Money Supply'!$A:$D,2)</f>
        <v/>
      </c>
      <c r="C564" s="65">
        <f>(Table3032[[#This Row],[Real M1 Money Stock]]-B552)/B552</f>
        <v/>
      </c>
    </row>
    <row r="565">
      <c r="A565" s="26" t="n">
        <v>38565</v>
      </c>
      <c r="B565" s="27">
        <f>VLOOKUP(Table3032[[#This Row],[Month]],'DB Money Supply'!$A:$D,2)</f>
        <v/>
      </c>
      <c r="C565" s="65">
        <f>(Table3032[[#This Row],[Real M1 Money Stock]]-B553)/B553</f>
        <v/>
      </c>
    </row>
    <row r="566">
      <c r="A566" s="26" t="n">
        <v>38596</v>
      </c>
      <c r="B566" s="27">
        <f>VLOOKUP(Table3032[[#This Row],[Month]],'DB Money Supply'!$A:$D,2)</f>
        <v/>
      </c>
      <c r="C566" s="65">
        <f>(Table3032[[#This Row],[Real M1 Money Stock]]-B554)/B554</f>
        <v/>
      </c>
    </row>
    <row r="567">
      <c r="A567" s="26" t="n">
        <v>38626</v>
      </c>
      <c r="B567" s="27">
        <f>VLOOKUP(Table3032[[#This Row],[Month]],'DB Money Supply'!$A:$D,2)</f>
        <v/>
      </c>
      <c r="C567" s="65">
        <f>(Table3032[[#This Row],[Real M1 Money Stock]]-B555)/B555</f>
        <v/>
      </c>
    </row>
    <row r="568">
      <c r="A568" s="26" t="n">
        <v>38657</v>
      </c>
      <c r="B568" s="27">
        <f>VLOOKUP(Table3032[[#This Row],[Month]],'DB Money Supply'!$A:$D,2)</f>
        <v/>
      </c>
      <c r="C568" s="65">
        <f>(Table3032[[#This Row],[Real M1 Money Stock]]-B556)/B556</f>
        <v/>
      </c>
    </row>
    <row r="569">
      <c r="A569" s="26" t="n">
        <v>38687</v>
      </c>
      <c r="B569" s="27">
        <f>VLOOKUP(Table3032[[#This Row],[Month]],'DB Money Supply'!$A:$D,2)</f>
        <v/>
      </c>
      <c r="C569" s="65">
        <f>(Table3032[[#This Row],[Real M1 Money Stock]]-B557)/B557</f>
        <v/>
      </c>
    </row>
    <row r="570">
      <c r="A570" s="26" t="n">
        <v>38718</v>
      </c>
      <c r="B570" s="27">
        <f>VLOOKUP(Table3032[[#This Row],[Month]],'DB Money Supply'!$A:$D,2)</f>
        <v/>
      </c>
      <c r="C570" s="65">
        <f>(Table3032[[#This Row],[Real M1 Money Stock]]-B558)/B558</f>
        <v/>
      </c>
    </row>
    <row r="571">
      <c r="A571" s="26" t="n">
        <v>38749</v>
      </c>
      <c r="B571" s="27">
        <f>VLOOKUP(Table3032[[#This Row],[Month]],'DB Money Supply'!$A:$D,2)</f>
        <v/>
      </c>
      <c r="C571" s="65">
        <f>(Table3032[[#This Row],[Real M1 Money Stock]]-B559)/B559</f>
        <v/>
      </c>
    </row>
    <row r="572">
      <c r="A572" s="26" t="n">
        <v>38777</v>
      </c>
      <c r="B572" s="27">
        <f>VLOOKUP(Table3032[[#This Row],[Month]],'DB Money Supply'!$A:$D,2)</f>
        <v/>
      </c>
      <c r="C572" s="65">
        <f>(Table3032[[#This Row],[Real M1 Money Stock]]-B560)/B560</f>
        <v/>
      </c>
    </row>
    <row r="573">
      <c r="A573" s="26" t="n">
        <v>38808</v>
      </c>
      <c r="B573" s="27">
        <f>VLOOKUP(Table3032[[#This Row],[Month]],'DB Money Supply'!$A:$D,2)</f>
        <v/>
      </c>
      <c r="C573" s="65">
        <f>(Table3032[[#This Row],[Real M1 Money Stock]]-B561)/B561</f>
        <v/>
      </c>
    </row>
    <row r="574">
      <c r="A574" s="26" t="n">
        <v>38838</v>
      </c>
      <c r="B574" s="27">
        <f>VLOOKUP(Table3032[[#This Row],[Month]],'DB Money Supply'!$A:$D,2)</f>
        <v/>
      </c>
      <c r="C574" s="65">
        <f>(Table3032[[#This Row],[Real M1 Money Stock]]-B562)/B562</f>
        <v/>
      </c>
    </row>
    <row r="575">
      <c r="A575" s="26" t="n">
        <v>38869</v>
      </c>
      <c r="B575" s="27">
        <f>VLOOKUP(Table3032[[#This Row],[Month]],'DB Money Supply'!$A:$D,2)</f>
        <v/>
      </c>
      <c r="C575" s="65">
        <f>(Table3032[[#This Row],[Real M1 Money Stock]]-B563)/B563</f>
        <v/>
      </c>
    </row>
    <row r="576">
      <c r="A576" s="26" t="n">
        <v>38899</v>
      </c>
      <c r="B576" s="27">
        <f>VLOOKUP(Table3032[[#This Row],[Month]],'DB Money Supply'!$A:$D,2)</f>
        <v/>
      </c>
      <c r="C576" s="65">
        <f>(Table3032[[#This Row],[Real M1 Money Stock]]-B564)/B564</f>
        <v/>
      </c>
    </row>
    <row r="577">
      <c r="A577" s="26" t="n">
        <v>38930</v>
      </c>
      <c r="B577" s="27">
        <f>VLOOKUP(Table3032[[#This Row],[Month]],'DB Money Supply'!$A:$D,2)</f>
        <v/>
      </c>
      <c r="C577" s="65">
        <f>(Table3032[[#This Row],[Real M1 Money Stock]]-B565)/B565</f>
        <v/>
      </c>
    </row>
    <row r="578">
      <c r="A578" s="26" t="n">
        <v>38961</v>
      </c>
      <c r="B578" s="27">
        <f>VLOOKUP(Table3032[[#This Row],[Month]],'DB Money Supply'!$A:$D,2)</f>
        <v/>
      </c>
      <c r="C578" s="65">
        <f>(Table3032[[#This Row],[Real M1 Money Stock]]-B566)/B566</f>
        <v/>
      </c>
    </row>
    <row r="579">
      <c r="A579" s="26" t="n">
        <v>38991</v>
      </c>
      <c r="B579" s="27">
        <f>VLOOKUP(Table3032[[#This Row],[Month]],'DB Money Supply'!$A:$D,2)</f>
        <v/>
      </c>
      <c r="C579" s="65">
        <f>(Table3032[[#This Row],[Real M1 Money Stock]]-B567)/B567</f>
        <v/>
      </c>
    </row>
    <row r="580">
      <c r="A580" s="26" t="n">
        <v>39022</v>
      </c>
      <c r="B580" s="27">
        <f>VLOOKUP(Table3032[[#This Row],[Month]],'DB Money Supply'!$A:$D,2)</f>
        <v/>
      </c>
      <c r="C580" s="65">
        <f>(Table3032[[#This Row],[Real M1 Money Stock]]-B568)/B568</f>
        <v/>
      </c>
    </row>
    <row r="581">
      <c r="A581" s="26" t="n">
        <v>39052</v>
      </c>
      <c r="B581" s="27">
        <f>VLOOKUP(Table3032[[#This Row],[Month]],'DB Money Supply'!$A:$D,2)</f>
        <v/>
      </c>
      <c r="C581" s="65">
        <f>(Table3032[[#This Row],[Real M1 Money Stock]]-B569)/B569</f>
        <v/>
      </c>
    </row>
    <row r="582">
      <c r="A582" s="26" t="n">
        <v>39083</v>
      </c>
      <c r="B582" s="27">
        <f>VLOOKUP(Table3032[[#This Row],[Month]],'DB Money Supply'!$A:$D,2)</f>
        <v/>
      </c>
      <c r="C582" s="65">
        <f>(Table3032[[#This Row],[Real M1 Money Stock]]-B570)/B570</f>
        <v/>
      </c>
    </row>
    <row r="583">
      <c r="A583" s="26" t="n">
        <v>39114</v>
      </c>
      <c r="B583" s="27">
        <f>VLOOKUP(Table3032[[#This Row],[Month]],'DB Money Supply'!$A:$D,2)</f>
        <v/>
      </c>
      <c r="C583" s="65">
        <f>(Table3032[[#This Row],[Real M1 Money Stock]]-B571)/B571</f>
        <v/>
      </c>
    </row>
    <row r="584">
      <c r="A584" s="26" t="n">
        <v>39142</v>
      </c>
      <c r="B584" s="27">
        <f>VLOOKUP(Table3032[[#This Row],[Month]],'DB Money Supply'!$A:$D,2)</f>
        <v/>
      </c>
      <c r="C584" s="65">
        <f>(Table3032[[#This Row],[Real M1 Money Stock]]-B572)/B572</f>
        <v/>
      </c>
    </row>
    <row r="585">
      <c r="A585" s="26" t="n">
        <v>39173</v>
      </c>
      <c r="B585" s="27">
        <f>VLOOKUP(Table3032[[#This Row],[Month]],'DB Money Supply'!$A:$D,2)</f>
        <v/>
      </c>
      <c r="C585" s="65">
        <f>(Table3032[[#This Row],[Real M1 Money Stock]]-B573)/B573</f>
        <v/>
      </c>
    </row>
    <row r="586">
      <c r="A586" s="26" t="n">
        <v>39203</v>
      </c>
      <c r="B586" s="27">
        <f>VLOOKUP(Table3032[[#This Row],[Month]],'DB Money Supply'!$A:$D,2)</f>
        <v/>
      </c>
      <c r="C586" s="65">
        <f>(Table3032[[#This Row],[Real M1 Money Stock]]-B574)/B574</f>
        <v/>
      </c>
    </row>
    <row r="587">
      <c r="A587" s="26" t="n">
        <v>39234</v>
      </c>
      <c r="B587" s="27">
        <f>VLOOKUP(Table3032[[#This Row],[Month]],'DB Money Supply'!$A:$D,2)</f>
        <v/>
      </c>
      <c r="C587" s="65">
        <f>(Table3032[[#This Row],[Real M1 Money Stock]]-B575)/B575</f>
        <v/>
      </c>
    </row>
    <row r="588">
      <c r="A588" s="26" t="n">
        <v>39264</v>
      </c>
      <c r="B588" s="27">
        <f>VLOOKUP(Table3032[[#This Row],[Month]],'DB Money Supply'!$A:$D,2)</f>
        <v/>
      </c>
      <c r="C588" s="65">
        <f>(Table3032[[#This Row],[Real M1 Money Stock]]-B576)/B576</f>
        <v/>
      </c>
    </row>
    <row r="589">
      <c r="A589" s="26" t="n">
        <v>39295</v>
      </c>
      <c r="B589" s="27">
        <f>VLOOKUP(Table3032[[#This Row],[Month]],'DB Money Supply'!$A:$D,2)</f>
        <v/>
      </c>
      <c r="C589" s="65">
        <f>(Table3032[[#This Row],[Real M1 Money Stock]]-B577)/B577</f>
        <v/>
      </c>
    </row>
    <row r="590">
      <c r="A590" s="26" t="n">
        <v>39326</v>
      </c>
      <c r="B590" s="27">
        <f>VLOOKUP(Table3032[[#This Row],[Month]],'DB Money Supply'!$A:$D,2)</f>
        <v/>
      </c>
      <c r="C590" s="65">
        <f>(Table3032[[#This Row],[Real M1 Money Stock]]-B578)/B578</f>
        <v/>
      </c>
    </row>
    <row r="591">
      <c r="A591" s="26" t="n">
        <v>39356</v>
      </c>
      <c r="B591" s="27">
        <f>VLOOKUP(Table3032[[#This Row],[Month]],'DB Money Supply'!$A:$D,2)</f>
        <v/>
      </c>
      <c r="C591" s="65">
        <f>(Table3032[[#This Row],[Real M1 Money Stock]]-B579)/B579</f>
        <v/>
      </c>
    </row>
    <row r="592">
      <c r="A592" s="26" t="n">
        <v>39387</v>
      </c>
      <c r="B592" s="27">
        <f>VLOOKUP(Table3032[[#This Row],[Month]],'DB Money Supply'!$A:$D,2)</f>
        <v/>
      </c>
      <c r="C592" s="65">
        <f>(Table3032[[#This Row],[Real M1 Money Stock]]-B580)/B580</f>
        <v/>
      </c>
    </row>
    <row r="593">
      <c r="A593" s="26" t="n">
        <v>39417</v>
      </c>
      <c r="B593" s="27">
        <f>VLOOKUP(Table3032[[#This Row],[Month]],'DB Money Supply'!$A:$D,2)</f>
        <v/>
      </c>
      <c r="C593" s="65">
        <f>(Table3032[[#This Row],[Real M1 Money Stock]]-B581)/B581</f>
        <v/>
      </c>
    </row>
    <row r="594">
      <c r="A594" s="26" t="n">
        <v>39448</v>
      </c>
      <c r="B594" s="27">
        <f>VLOOKUP(Table3032[[#This Row],[Month]],'DB Money Supply'!$A:$D,2)</f>
        <v/>
      </c>
      <c r="C594" s="65">
        <f>(Table3032[[#This Row],[Real M1 Money Stock]]-B582)/B582</f>
        <v/>
      </c>
    </row>
    <row r="595">
      <c r="A595" s="26" t="n">
        <v>39479</v>
      </c>
      <c r="B595" s="27">
        <f>VLOOKUP(Table3032[[#This Row],[Month]],'DB Money Supply'!$A:$D,2)</f>
        <v/>
      </c>
      <c r="C595" s="65">
        <f>(Table3032[[#This Row],[Real M1 Money Stock]]-B583)/B583</f>
        <v/>
      </c>
    </row>
    <row r="596">
      <c r="A596" s="26" t="n">
        <v>39508</v>
      </c>
      <c r="B596" s="27">
        <f>VLOOKUP(Table3032[[#This Row],[Month]],'DB Money Supply'!$A:$D,2)</f>
        <v/>
      </c>
      <c r="C596" s="65">
        <f>(Table3032[[#This Row],[Real M1 Money Stock]]-B584)/B584</f>
        <v/>
      </c>
    </row>
    <row r="597">
      <c r="A597" s="26" t="n">
        <v>39539</v>
      </c>
      <c r="B597" s="27">
        <f>VLOOKUP(Table3032[[#This Row],[Month]],'DB Money Supply'!$A:$D,2)</f>
        <v/>
      </c>
      <c r="C597" s="65">
        <f>(Table3032[[#This Row],[Real M1 Money Stock]]-B585)/B585</f>
        <v/>
      </c>
    </row>
    <row r="598">
      <c r="A598" s="26" t="n">
        <v>39569</v>
      </c>
      <c r="B598" s="27">
        <f>VLOOKUP(Table3032[[#This Row],[Month]],'DB Money Supply'!$A:$D,2)</f>
        <v/>
      </c>
      <c r="C598" s="65">
        <f>(Table3032[[#This Row],[Real M1 Money Stock]]-B586)/B586</f>
        <v/>
      </c>
    </row>
    <row r="599">
      <c r="A599" s="26" t="n">
        <v>39600</v>
      </c>
      <c r="B599" s="27">
        <f>VLOOKUP(Table3032[[#This Row],[Month]],'DB Money Supply'!$A:$D,2)</f>
        <v/>
      </c>
      <c r="C599" s="65">
        <f>(Table3032[[#This Row],[Real M1 Money Stock]]-B587)/B587</f>
        <v/>
      </c>
    </row>
    <row r="600">
      <c r="A600" s="26" t="n">
        <v>39630</v>
      </c>
      <c r="B600" s="27">
        <f>VLOOKUP(Table3032[[#This Row],[Month]],'DB Money Supply'!$A:$D,2)</f>
        <v/>
      </c>
      <c r="C600" s="65">
        <f>(Table3032[[#This Row],[Real M1 Money Stock]]-B588)/B588</f>
        <v/>
      </c>
    </row>
    <row r="601">
      <c r="A601" s="26" t="n">
        <v>39661</v>
      </c>
      <c r="B601" s="27">
        <f>VLOOKUP(Table3032[[#This Row],[Month]],'DB Money Supply'!$A:$D,2)</f>
        <v/>
      </c>
      <c r="C601" s="65">
        <f>(Table3032[[#This Row],[Real M1 Money Stock]]-B589)/B589</f>
        <v/>
      </c>
    </row>
    <row r="602">
      <c r="A602" s="26" t="n">
        <v>39692</v>
      </c>
      <c r="B602" s="27">
        <f>VLOOKUP(Table3032[[#This Row],[Month]],'DB Money Supply'!$A:$D,2)</f>
        <v/>
      </c>
      <c r="C602" s="65">
        <f>(Table3032[[#This Row],[Real M1 Money Stock]]-B590)/B590</f>
        <v/>
      </c>
    </row>
    <row r="603">
      <c r="A603" s="26" t="n">
        <v>39722</v>
      </c>
      <c r="B603" s="27">
        <f>VLOOKUP(Table3032[[#This Row],[Month]],'DB Money Supply'!$A:$D,2)</f>
        <v/>
      </c>
      <c r="C603" s="65">
        <f>(Table3032[[#This Row],[Real M1 Money Stock]]-B591)/B591</f>
        <v/>
      </c>
    </row>
    <row r="604">
      <c r="A604" s="26" t="n">
        <v>39753</v>
      </c>
      <c r="B604" s="27">
        <f>VLOOKUP(Table3032[[#This Row],[Month]],'DB Money Supply'!$A:$D,2)</f>
        <v/>
      </c>
      <c r="C604" s="65">
        <f>(Table3032[[#This Row],[Real M1 Money Stock]]-B592)/B592</f>
        <v/>
      </c>
    </row>
    <row r="605">
      <c r="A605" s="26" t="n">
        <v>39783</v>
      </c>
      <c r="B605" s="27">
        <f>VLOOKUP(Table3032[[#This Row],[Month]],'DB Money Supply'!$A:$D,2)</f>
        <v/>
      </c>
      <c r="C605" s="65">
        <f>(Table3032[[#This Row],[Real M1 Money Stock]]-B593)/B593</f>
        <v/>
      </c>
    </row>
    <row r="606">
      <c r="A606" s="26" t="n">
        <v>39814</v>
      </c>
      <c r="B606" s="27">
        <f>VLOOKUP(Table3032[[#This Row],[Month]],'DB Money Supply'!$A:$D,2)</f>
        <v/>
      </c>
      <c r="C606" s="65">
        <f>(Table3032[[#This Row],[Real M1 Money Stock]]-B594)/B594</f>
        <v/>
      </c>
    </row>
    <row r="607">
      <c r="A607" s="26" t="n">
        <v>39845</v>
      </c>
      <c r="B607" s="27">
        <f>VLOOKUP(Table3032[[#This Row],[Month]],'DB Money Supply'!$A:$D,2)</f>
        <v/>
      </c>
      <c r="C607" s="65">
        <f>(Table3032[[#This Row],[Real M1 Money Stock]]-B595)/B595</f>
        <v/>
      </c>
    </row>
    <row r="608">
      <c r="A608" s="26" t="n">
        <v>39873</v>
      </c>
      <c r="B608" s="27">
        <f>VLOOKUP(Table3032[[#This Row],[Month]],'DB Money Supply'!$A:$D,2)</f>
        <v/>
      </c>
      <c r="C608" s="65">
        <f>(Table3032[[#This Row],[Real M1 Money Stock]]-B596)/B596</f>
        <v/>
      </c>
    </row>
    <row r="609">
      <c r="A609" s="26" t="n">
        <v>39904</v>
      </c>
      <c r="B609" s="27">
        <f>VLOOKUP(Table3032[[#This Row],[Month]],'DB Money Supply'!$A:$D,2)</f>
        <v/>
      </c>
      <c r="C609" s="65">
        <f>(Table3032[[#This Row],[Real M1 Money Stock]]-B597)/B597</f>
        <v/>
      </c>
    </row>
    <row r="610">
      <c r="A610" s="26" t="n">
        <v>39934</v>
      </c>
      <c r="B610" s="27">
        <f>VLOOKUP(Table3032[[#This Row],[Month]],'DB Money Supply'!$A:$D,2)</f>
        <v/>
      </c>
      <c r="C610" s="65">
        <f>(Table3032[[#This Row],[Real M1 Money Stock]]-B598)/B598</f>
        <v/>
      </c>
    </row>
    <row r="611">
      <c r="A611" s="26" t="n">
        <v>39965</v>
      </c>
      <c r="B611" s="27">
        <f>VLOOKUP(Table3032[[#This Row],[Month]],'DB Money Supply'!$A:$D,2)</f>
        <v/>
      </c>
      <c r="C611" s="65">
        <f>(Table3032[[#This Row],[Real M1 Money Stock]]-B599)/B599</f>
        <v/>
      </c>
    </row>
    <row r="612">
      <c r="A612" s="26" t="n">
        <v>39995</v>
      </c>
      <c r="B612" s="27">
        <f>VLOOKUP(Table3032[[#This Row],[Month]],'DB Money Supply'!$A:$D,2)</f>
        <v/>
      </c>
      <c r="C612" s="65">
        <f>(Table3032[[#This Row],[Real M1 Money Stock]]-B600)/B600</f>
        <v/>
      </c>
    </row>
    <row r="613">
      <c r="A613" s="26" t="n">
        <v>40026</v>
      </c>
      <c r="B613" s="27">
        <f>VLOOKUP(Table3032[[#This Row],[Month]],'DB Money Supply'!$A:$D,2)</f>
        <v/>
      </c>
      <c r="C613" s="65">
        <f>(Table3032[[#This Row],[Real M1 Money Stock]]-B601)/B601</f>
        <v/>
      </c>
    </row>
    <row r="614">
      <c r="A614" s="26" t="n">
        <v>40057</v>
      </c>
      <c r="B614" s="27">
        <f>VLOOKUP(Table3032[[#This Row],[Month]],'DB Money Supply'!$A:$D,2)</f>
        <v/>
      </c>
      <c r="C614" s="65">
        <f>(Table3032[[#This Row],[Real M1 Money Stock]]-B602)/B602</f>
        <v/>
      </c>
    </row>
    <row r="615">
      <c r="A615" s="26" t="n">
        <v>40087</v>
      </c>
      <c r="B615" s="27">
        <f>VLOOKUP(Table3032[[#This Row],[Month]],'DB Money Supply'!$A:$D,2)</f>
        <v/>
      </c>
      <c r="C615" s="65">
        <f>(Table3032[[#This Row],[Real M1 Money Stock]]-B603)/B603</f>
        <v/>
      </c>
    </row>
    <row r="616">
      <c r="A616" s="26" t="n">
        <v>40118</v>
      </c>
      <c r="B616" s="27">
        <f>VLOOKUP(Table3032[[#This Row],[Month]],'DB Money Supply'!$A:$D,2)</f>
        <v/>
      </c>
      <c r="C616" s="65">
        <f>(Table3032[[#This Row],[Real M1 Money Stock]]-B604)/B604</f>
        <v/>
      </c>
    </row>
    <row r="617">
      <c r="A617" s="26" t="n">
        <v>40148</v>
      </c>
      <c r="B617" s="27">
        <f>VLOOKUP(Table3032[[#This Row],[Month]],'DB Money Supply'!$A:$D,2)</f>
        <v/>
      </c>
      <c r="C617" s="65">
        <f>(Table3032[[#This Row],[Real M1 Money Stock]]-B605)/B605</f>
        <v/>
      </c>
    </row>
    <row r="618">
      <c r="A618" s="26" t="n">
        <v>40179</v>
      </c>
      <c r="B618" s="27">
        <f>VLOOKUP(Table3032[[#This Row],[Month]],'DB Money Supply'!$A:$D,2)</f>
        <v/>
      </c>
      <c r="C618" s="65">
        <f>(Table3032[[#This Row],[Real M1 Money Stock]]-B606)/B606</f>
        <v/>
      </c>
    </row>
    <row r="619">
      <c r="A619" s="26" t="n">
        <v>40210</v>
      </c>
      <c r="B619" s="27">
        <f>VLOOKUP(Table3032[[#This Row],[Month]],'DB Money Supply'!$A:$D,2)</f>
        <v/>
      </c>
      <c r="C619" s="65">
        <f>(Table3032[[#This Row],[Real M1 Money Stock]]-B607)/B607</f>
        <v/>
      </c>
    </row>
    <row r="620">
      <c r="A620" s="26" t="n">
        <v>40238</v>
      </c>
      <c r="B620" s="27">
        <f>VLOOKUP(Table3032[[#This Row],[Month]],'DB Money Supply'!$A:$D,2)</f>
        <v/>
      </c>
      <c r="C620" s="65">
        <f>(Table3032[[#This Row],[Real M1 Money Stock]]-B608)/B608</f>
        <v/>
      </c>
    </row>
    <row r="621">
      <c r="A621" s="26" t="n">
        <v>40269</v>
      </c>
      <c r="B621" s="27">
        <f>VLOOKUP(Table3032[[#This Row],[Month]],'DB Money Supply'!$A:$D,2)</f>
        <v/>
      </c>
      <c r="C621" s="65">
        <f>(Table3032[[#This Row],[Real M1 Money Stock]]-B609)/B609</f>
        <v/>
      </c>
    </row>
    <row r="622">
      <c r="A622" s="26" t="n">
        <v>40299</v>
      </c>
      <c r="B622" s="27">
        <f>VLOOKUP(Table3032[[#This Row],[Month]],'DB Money Supply'!$A:$D,2)</f>
        <v/>
      </c>
      <c r="C622" s="65">
        <f>(Table3032[[#This Row],[Real M1 Money Stock]]-B610)/B610</f>
        <v/>
      </c>
    </row>
    <row r="623">
      <c r="A623" s="26" t="n">
        <v>40330</v>
      </c>
      <c r="B623" s="27">
        <f>VLOOKUP(Table3032[[#This Row],[Month]],'DB Money Supply'!$A:$D,2)</f>
        <v/>
      </c>
      <c r="C623" s="65">
        <f>(Table3032[[#This Row],[Real M1 Money Stock]]-B611)/B611</f>
        <v/>
      </c>
    </row>
    <row r="624">
      <c r="A624" s="26" t="n">
        <v>40360</v>
      </c>
      <c r="B624" s="27">
        <f>VLOOKUP(Table3032[[#This Row],[Month]],'DB Money Supply'!$A:$D,2)</f>
        <v/>
      </c>
      <c r="C624" s="65">
        <f>(Table3032[[#This Row],[Real M1 Money Stock]]-B612)/B612</f>
        <v/>
      </c>
    </row>
    <row r="625">
      <c r="A625" s="26" t="n">
        <v>40391</v>
      </c>
      <c r="B625" s="27">
        <f>VLOOKUP(Table3032[[#This Row],[Month]],'DB Money Supply'!$A:$D,2)</f>
        <v/>
      </c>
      <c r="C625" s="65">
        <f>(Table3032[[#This Row],[Real M1 Money Stock]]-B613)/B613</f>
        <v/>
      </c>
    </row>
    <row r="626">
      <c r="A626" s="26" t="n">
        <v>40422</v>
      </c>
      <c r="B626" s="27">
        <f>VLOOKUP(Table3032[[#This Row],[Month]],'DB Money Supply'!$A:$D,2)</f>
        <v/>
      </c>
      <c r="C626" s="65">
        <f>(Table3032[[#This Row],[Real M1 Money Stock]]-B614)/B614</f>
        <v/>
      </c>
    </row>
    <row r="627">
      <c r="A627" s="26" t="n">
        <v>40452</v>
      </c>
      <c r="B627" s="27">
        <f>VLOOKUP(Table3032[[#This Row],[Month]],'DB Money Supply'!$A:$D,2)</f>
        <v/>
      </c>
      <c r="C627" s="65">
        <f>(Table3032[[#This Row],[Real M1 Money Stock]]-B615)/B615</f>
        <v/>
      </c>
    </row>
    <row r="628">
      <c r="A628" s="26" t="n">
        <v>40483</v>
      </c>
      <c r="B628" s="27">
        <f>VLOOKUP(Table3032[[#This Row],[Month]],'DB Money Supply'!$A:$D,2)</f>
        <v/>
      </c>
      <c r="C628" s="65">
        <f>(Table3032[[#This Row],[Real M1 Money Stock]]-B616)/B616</f>
        <v/>
      </c>
    </row>
    <row r="629">
      <c r="A629" s="26" t="n">
        <v>40513</v>
      </c>
      <c r="B629" s="27">
        <f>VLOOKUP(Table3032[[#This Row],[Month]],'DB Money Supply'!$A:$D,2)</f>
        <v/>
      </c>
      <c r="C629" s="65">
        <f>(Table3032[[#This Row],[Real M1 Money Stock]]-B617)/B617</f>
        <v/>
      </c>
    </row>
    <row r="630">
      <c r="A630" s="26" t="n">
        <v>40544</v>
      </c>
      <c r="B630" s="27">
        <f>VLOOKUP(Table3032[[#This Row],[Month]],'DB Money Supply'!$A:$D,2)</f>
        <v/>
      </c>
      <c r="C630" s="65">
        <f>(Table3032[[#This Row],[Real M1 Money Stock]]-B618)/B618</f>
        <v/>
      </c>
    </row>
    <row r="631">
      <c r="A631" s="26" t="n">
        <v>40575</v>
      </c>
      <c r="B631" s="27">
        <f>VLOOKUP(Table3032[[#This Row],[Month]],'DB Money Supply'!$A:$D,2)</f>
        <v/>
      </c>
      <c r="C631" s="65">
        <f>(Table3032[[#This Row],[Real M1 Money Stock]]-B619)/B619</f>
        <v/>
      </c>
    </row>
    <row r="632">
      <c r="A632" s="26" t="n">
        <v>40603</v>
      </c>
      <c r="B632" s="27">
        <f>VLOOKUP(Table3032[[#This Row],[Month]],'DB Money Supply'!$A:$D,2)</f>
        <v/>
      </c>
      <c r="C632" s="65">
        <f>(Table3032[[#This Row],[Real M1 Money Stock]]-B620)/B620</f>
        <v/>
      </c>
    </row>
    <row r="633">
      <c r="A633" s="26" t="n">
        <v>40634</v>
      </c>
      <c r="B633" s="27">
        <f>VLOOKUP(Table3032[[#This Row],[Month]],'DB Money Supply'!$A:$D,2)</f>
        <v/>
      </c>
      <c r="C633" s="65">
        <f>(Table3032[[#This Row],[Real M1 Money Stock]]-B621)/B621</f>
        <v/>
      </c>
    </row>
    <row r="634">
      <c r="A634" s="26" t="n">
        <v>40664</v>
      </c>
      <c r="B634" s="27">
        <f>VLOOKUP(Table3032[[#This Row],[Month]],'DB Money Supply'!$A:$D,2)</f>
        <v/>
      </c>
      <c r="C634" s="65">
        <f>(Table3032[[#This Row],[Real M1 Money Stock]]-B622)/B622</f>
        <v/>
      </c>
    </row>
    <row r="635">
      <c r="A635" s="26" t="n">
        <v>40695</v>
      </c>
      <c r="B635" s="27">
        <f>VLOOKUP(Table3032[[#This Row],[Month]],'DB Money Supply'!$A:$D,2)</f>
        <v/>
      </c>
      <c r="C635" s="65">
        <f>(Table3032[[#This Row],[Real M1 Money Stock]]-B623)/B623</f>
        <v/>
      </c>
    </row>
    <row r="636">
      <c r="A636" s="26" t="n">
        <v>40725</v>
      </c>
      <c r="B636" s="27">
        <f>VLOOKUP(Table3032[[#This Row],[Month]],'DB Money Supply'!$A:$D,2)</f>
        <v/>
      </c>
      <c r="C636" s="65">
        <f>(Table3032[[#This Row],[Real M1 Money Stock]]-B624)/B624</f>
        <v/>
      </c>
    </row>
    <row r="637">
      <c r="A637" s="26" t="n">
        <v>40756</v>
      </c>
      <c r="B637" s="27">
        <f>VLOOKUP(Table3032[[#This Row],[Month]],'DB Money Supply'!$A:$D,2)</f>
        <v/>
      </c>
      <c r="C637" s="65">
        <f>(Table3032[[#This Row],[Real M1 Money Stock]]-B625)/B625</f>
        <v/>
      </c>
    </row>
    <row r="638">
      <c r="A638" s="26" t="n">
        <v>40787</v>
      </c>
      <c r="B638" s="27">
        <f>VLOOKUP(Table3032[[#This Row],[Month]],'DB Money Supply'!$A:$D,2)</f>
        <v/>
      </c>
      <c r="C638" s="65">
        <f>(Table3032[[#This Row],[Real M1 Money Stock]]-B626)/B626</f>
        <v/>
      </c>
    </row>
    <row r="639">
      <c r="A639" s="26" t="n">
        <v>40817</v>
      </c>
      <c r="B639" s="27">
        <f>VLOOKUP(Table3032[[#This Row],[Month]],'DB Money Supply'!$A:$D,2)</f>
        <v/>
      </c>
      <c r="C639" s="65">
        <f>(Table3032[[#This Row],[Real M1 Money Stock]]-B627)/B627</f>
        <v/>
      </c>
    </row>
    <row r="640">
      <c r="A640" s="26" t="n">
        <v>40848</v>
      </c>
      <c r="B640" s="27">
        <f>VLOOKUP(Table3032[[#This Row],[Month]],'DB Money Supply'!$A:$D,2)</f>
        <v/>
      </c>
      <c r="C640" s="65">
        <f>(Table3032[[#This Row],[Real M1 Money Stock]]-B628)/B628</f>
        <v/>
      </c>
    </row>
    <row r="641">
      <c r="A641" s="26" t="n">
        <v>40878</v>
      </c>
      <c r="B641" s="27">
        <f>VLOOKUP(Table3032[[#This Row],[Month]],'DB Money Supply'!$A:$D,2)</f>
        <v/>
      </c>
      <c r="C641" s="65">
        <f>(Table3032[[#This Row],[Real M1 Money Stock]]-B629)/B629</f>
        <v/>
      </c>
    </row>
    <row r="642">
      <c r="A642" s="26" t="n">
        <v>40909</v>
      </c>
      <c r="B642" s="27">
        <f>VLOOKUP(Table3032[[#This Row],[Month]],'DB Money Supply'!$A:$D,2)</f>
        <v/>
      </c>
      <c r="C642" s="65">
        <f>(Table3032[[#This Row],[Real M1 Money Stock]]-B630)/B630</f>
        <v/>
      </c>
    </row>
    <row r="643">
      <c r="A643" s="26" t="n">
        <v>40940</v>
      </c>
      <c r="B643" s="27">
        <f>VLOOKUP(Table3032[[#This Row],[Month]],'DB Money Supply'!$A:$D,2)</f>
        <v/>
      </c>
      <c r="C643" s="65">
        <f>(Table3032[[#This Row],[Real M1 Money Stock]]-B631)/B631</f>
        <v/>
      </c>
    </row>
    <row r="644">
      <c r="A644" s="26" t="n">
        <v>40969</v>
      </c>
      <c r="B644" s="27">
        <f>VLOOKUP(Table3032[[#This Row],[Month]],'DB Money Supply'!$A:$D,2)</f>
        <v/>
      </c>
      <c r="C644" s="65">
        <f>(Table3032[[#This Row],[Real M1 Money Stock]]-B632)/B632</f>
        <v/>
      </c>
    </row>
    <row r="645">
      <c r="A645" s="26" t="n">
        <v>41000</v>
      </c>
      <c r="B645" s="27">
        <f>VLOOKUP(Table3032[[#This Row],[Month]],'DB Money Supply'!$A:$D,2)</f>
        <v/>
      </c>
      <c r="C645" s="65">
        <f>(Table3032[[#This Row],[Real M1 Money Stock]]-B633)/B633</f>
        <v/>
      </c>
    </row>
    <row r="646">
      <c r="A646" s="26" t="n">
        <v>41030</v>
      </c>
      <c r="B646" s="27">
        <f>VLOOKUP(Table3032[[#This Row],[Month]],'DB Money Supply'!$A:$D,2)</f>
        <v/>
      </c>
      <c r="C646" s="65">
        <f>(Table3032[[#This Row],[Real M1 Money Stock]]-B634)/B634</f>
        <v/>
      </c>
    </row>
    <row r="647">
      <c r="A647" s="26" t="n">
        <v>41061</v>
      </c>
      <c r="B647" s="27">
        <f>VLOOKUP(Table3032[[#This Row],[Month]],'DB Money Supply'!$A:$D,2)</f>
        <v/>
      </c>
      <c r="C647" s="65">
        <f>(Table3032[[#This Row],[Real M1 Money Stock]]-B635)/B635</f>
        <v/>
      </c>
    </row>
    <row r="648">
      <c r="A648" s="26" t="n">
        <v>41091</v>
      </c>
      <c r="B648" s="27">
        <f>VLOOKUP(Table3032[[#This Row],[Month]],'DB Money Supply'!$A:$D,2)</f>
        <v/>
      </c>
      <c r="C648" s="65">
        <f>(Table3032[[#This Row],[Real M1 Money Stock]]-B636)/B636</f>
        <v/>
      </c>
    </row>
    <row r="649">
      <c r="A649" s="26" t="n">
        <v>41122</v>
      </c>
      <c r="B649" s="27">
        <f>VLOOKUP(Table3032[[#This Row],[Month]],'DB Money Supply'!$A:$D,2)</f>
        <v/>
      </c>
      <c r="C649" s="65">
        <f>(Table3032[[#This Row],[Real M1 Money Stock]]-B637)/B637</f>
        <v/>
      </c>
    </row>
    <row r="650">
      <c r="A650" s="26" t="n">
        <v>41153</v>
      </c>
      <c r="B650" s="27">
        <f>VLOOKUP(Table3032[[#This Row],[Month]],'DB Money Supply'!$A:$D,2)</f>
        <v/>
      </c>
      <c r="C650" s="65">
        <f>(Table3032[[#This Row],[Real M1 Money Stock]]-B638)/B638</f>
        <v/>
      </c>
    </row>
    <row r="651">
      <c r="A651" s="26" t="n">
        <v>41183</v>
      </c>
      <c r="B651" s="27">
        <f>VLOOKUP(Table3032[[#This Row],[Month]],'DB Money Supply'!$A:$D,2)</f>
        <v/>
      </c>
      <c r="C651" s="65">
        <f>(Table3032[[#This Row],[Real M1 Money Stock]]-B639)/B639</f>
        <v/>
      </c>
    </row>
    <row r="652">
      <c r="A652" s="26" t="n">
        <v>41214</v>
      </c>
      <c r="B652" s="27">
        <f>VLOOKUP(Table3032[[#This Row],[Month]],'DB Money Supply'!$A:$D,2)</f>
        <v/>
      </c>
      <c r="C652" s="65">
        <f>(Table3032[[#This Row],[Real M1 Money Stock]]-B640)/B640</f>
        <v/>
      </c>
    </row>
    <row r="653">
      <c r="A653" s="26" t="n">
        <v>41244</v>
      </c>
      <c r="B653" s="27">
        <f>VLOOKUP(Table3032[[#This Row],[Month]],'DB Money Supply'!$A:$D,2)</f>
        <v/>
      </c>
      <c r="C653" s="65">
        <f>(Table3032[[#This Row],[Real M1 Money Stock]]-B641)/B641</f>
        <v/>
      </c>
    </row>
    <row r="654">
      <c r="A654" s="26" t="n">
        <v>41275</v>
      </c>
      <c r="B654" s="27">
        <f>VLOOKUP(Table3032[[#This Row],[Month]],'DB Money Supply'!$A:$D,2)</f>
        <v/>
      </c>
      <c r="C654" s="65">
        <f>(Table3032[[#This Row],[Real M1 Money Stock]]-B642)/B642</f>
        <v/>
      </c>
    </row>
    <row r="655">
      <c r="A655" s="26" t="n">
        <v>41306</v>
      </c>
      <c r="B655" s="27">
        <f>VLOOKUP(Table3032[[#This Row],[Month]],'DB Money Supply'!$A:$D,2)</f>
        <v/>
      </c>
      <c r="C655" s="65">
        <f>(Table3032[[#This Row],[Real M1 Money Stock]]-B643)/B643</f>
        <v/>
      </c>
    </row>
    <row r="656">
      <c r="A656" s="26" t="n">
        <v>41334</v>
      </c>
      <c r="B656" s="27">
        <f>VLOOKUP(Table3032[[#This Row],[Month]],'DB Money Supply'!$A:$D,2)</f>
        <v/>
      </c>
      <c r="C656" s="65">
        <f>(Table3032[[#This Row],[Real M1 Money Stock]]-B644)/B644</f>
        <v/>
      </c>
    </row>
    <row r="657">
      <c r="A657" s="26" t="n">
        <v>41365</v>
      </c>
      <c r="B657" s="27">
        <f>VLOOKUP(Table3032[[#This Row],[Month]],'DB Money Supply'!$A:$D,2)</f>
        <v/>
      </c>
      <c r="C657" s="65">
        <f>(Table3032[[#This Row],[Real M1 Money Stock]]-B645)/B645</f>
        <v/>
      </c>
    </row>
    <row r="658">
      <c r="A658" s="26" t="n">
        <v>41395</v>
      </c>
      <c r="B658" s="27">
        <f>VLOOKUP(Table3032[[#This Row],[Month]],'DB Money Supply'!$A:$D,2)</f>
        <v/>
      </c>
      <c r="C658" s="65">
        <f>(Table3032[[#This Row],[Real M1 Money Stock]]-B646)/B646</f>
        <v/>
      </c>
    </row>
    <row r="659">
      <c r="A659" s="26" t="n">
        <v>41426</v>
      </c>
      <c r="B659" s="27">
        <f>VLOOKUP(Table3032[[#This Row],[Month]],'DB Money Supply'!$A:$D,2)</f>
        <v/>
      </c>
      <c r="C659" s="65">
        <f>(Table3032[[#This Row],[Real M1 Money Stock]]-B647)/B647</f>
        <v/>
      </c>
    </row>
    <row r="660">
      <c r="A660" s="26" t="n">
        <v>41456</v>
      </c>
      <c r="B660" s="27">
        <f>VLOOKUP(Table3032[[#This Row],[Month]],'DB Money Supply'!$A:$D,2)</f>
        <v/>
      </c>
      <c r="C660" s="65">
        <f>(Table3032[[#This Row],[Real M1 Money Stock]]-B648)/B648</f>
        <v/>
      </c>
    </row>
    <row r="661">
      <c r="A661" s="26" t="n">
        <v>41487</v>
      </c>
      <c r="B661" s="27">
        <f>VLOOKUP(Table3032[[#This Row],[Month]],'DB Money Supply'!$A:$D,2)</f>
        <v/>
      </c>
      <c r="C661" s="65">
        <f>(Table3032[[#This Row],[Real M1 Money Stock]]-B649)/B649</f>
        <v/>
      </c>
    </row>
    <row r="662">
      <c r="A662" s="26" t="n">
        <v>41518</v>
      </c>
      <c r="B662" s="27">
        <f>VLOOKUP(Table3032[[#This Row],[Month]],'DB Money Supply'!$A:$D,2)</f>
        <v/>
      </c>
      <c r="C662" s="65">
        <f>(Table3032[[#This Row],[Real M1 Money Stock]]-B650)/B650</f>
        <v/>
      </c>
    </row>
    <row r="663">
      <c r="A663" s="26" t="n">
        <v>41548</v>
      </c>
      <c r="B663" s="27">
        <f>VLOOKUP(Table3032[[#This Row],[Month]],'DB Money Supply'!$A:$D,2)</f>
        <v/>
      </c>
      <c r="C663" s="65">
        <f>(Table3032[[#This Row],[Real M1 Money Stock]]-B651)/B651</f>
        <v/>
      </c>
    </row>
    <row r="664">
      <c r="A664" s="26" t="n">
        <v>41579</v>
      </c>
      <c r="B664" s="27">
        <f>VLOOKUP(Table3032[[#This Row],[Month]],'DB Money Supply'!$A:$D,2)</f>
        <v/>
      </c>
      <c r="C664" s="65">
        <f>(Table3032[[#This Row],[Real M1 Money Stock]]-B652)/B652</f>
        <v/>
      </c>
    </row>
    <row r="665">
      <c r="A665" s="26" t="n">
        <v>41609</v>
      </c>
      <c r="B665" s="27">
        <f>VLOOKUP(Table3032[[#This Row],[Month]],'DB Money Supply'!$A:$D,2)</f>
        <v/>
      </c>
      <c r="C665" s="65">
        <f>(Table3032[[#This Row],[Real M1 Money Stock]]-B653)/B653</f>
        <v/>
      </c>
    </row>
    <row r="666">
      <c r="A666" s="26" t="n">
        <v>41640</v>
      </c>
      <c r="B666" s="27">
        <f>VLOOKUP(Table3032[[#This Row],[Month]],'DB Money Supply'!$A:$D,2)</f>
        <v/>
      </c>
      <c r="C666" s="65">
        <f>(Table3032[[#This Row],[Real M1 Money Stock]]-B654)/B654</f>
        <v/>
      </c>
    </row>
    <row r="667">
      <c r="A667" s="26" t="n">
        <v>41671</v>
      </c>
      <c r="B667" s="27">
        <f>VLOOKUP(Table3032[[#This Row],[Month]],'DB Money Supply'!$A:$D,2)</f>
        <v/>
      </c>
      <c r="C667" s="65">
        <f>(Table3032[[#This Row],[Real M1 Money Stock]]-B655)/B655</f>
        <v/>
      </c>
    </row>
    <row r="668">
      <c r="A668" s="26" t="n">
        <v>41699</v>
      </c>
      <c r="B668" s="27">
        <f>VLOOKUP(Table3032[[#This Row],[Month]],'DB Money Supply'!$A:$D,2)</f>
        <v/>
      </c>
      <c r="C668" s="65">
        <f>(Table3032[[#This Row],[Real M1 Money Stock]]-B656)/B656</f>
        <v/>
      </c>
    </row>
    <row r="669">
      <c r="A669" s="26" t="n">
        <v>41730</v>
      </c>
      <c r="B669" s="27">
        <f>VLOOKUP(Table3032[[#This Row],[Month]],'DB Money Supply'!$A:$D,2)</f>
        <v/>
      </c>
      <c r="C669" s="65">
        <f>(Table3032[[#This Row],[Real M1 Money Stock]]-B657)/B657</f>
        <v/>
      </c>
    </row>
    <row r="670">
      <c r="A670" s="26" t="n">
        <v>41760</v>
      </c>
      <c r="B670" s="27">
        <f>VLOOKUP(Table3032[[#This Row],[Month]],'DB Money Supply'!$A:$D,2)</f>
        <v/>
      </c>
      <c r="C670" s="65">
        <f>(Table3032[[#This Row],[Real M1 Money Stock]]-B658)/B658</f>
        <v/>
      </c>
    </row>
    <row r="671">
      <c r="A671" s="26" t="n">
        <v>41791</v>
      </c>
      <c r="B671" s="27">
        <f>VLOOKUP(Table3032[[#This Row],[Month]],'DB Money Supply'!$A:$D,2)</f>
        <v/>
      </c>
      <c r="C671" s="65">
        <f>(Table3032[[#This Row],[Real M1 Money Stock]]-B659)/B659</f>
        <v/>
      </c>
    </row>
    <row r="672">
      <c r="A672" s="26" t="n">
        <v>41821</v>
      </c>
      <c r="B672" s="27">
        <f>VLOOKUP(Table3032[[#This Row],[Month]],'DB Money Supply'!$A:$D,2)</f>
        <v/>
      </c>
      <c r="C672" s="65">
        <f>(Table3032[[#This Row],[Real M1 Money Stock]]-B660)/B660</f>
        <v/>
      </c>
    </row>
    <row r="673">
      <c r="A673" s="26" t="n">
        <v>41852</v>
      </c>
      <c r="B673" s="27">
        <f>VLOOKUP(Table3032[[#This Row],[Month]],'DB Money Supply'!$A:$D,2)</f>
        <v/>
      </c>
      <c r="C673" s="65">
        <f>(Table3032[[#This Row],[Real M1 Money Stock]]-B661)/B661</f>
        <v/>
      </c>
    </row>
    <row r="674">
      <c r="A674" s="26" t="n">
        <v>41883</v>
      </c>
      <c r="B674" s="27">
        <f>VLOOKUP(Table3032[[#This Row],[Month]],'DB Money Supply'!$A:$D,2)</f>
        <v/>
      </c>
      <c r="C674" s="65">
        <f>(Table3032[[#This Row],[Real M1 Money Stock]]-B662)/B662</f>
        <v/>
      </c>
    </row>
    <row r="675">
      <c r="A675" s="26" t="n">
        <v>41913</v>
      </c>
      <c r="B675" s="27">
        <f>VLOOKUP(Table3032[[#This Row],[Month]],'DB Money Supply'!$A:$D,2)</f>
        <v/>
      </c>
      <c r="C675" s="65">
        <f>(Table3032[[#This Row],[Real M1 Money Stock]]-B663)/B663</f>
        <v/>
      </c>
    </row>
    <row r="676">
      <c r="A676" s="26" t="n">
        <v>41944</v>
      </c>
      <c r="B676" s="27">
        <f>VLOOKUP(Table3032[[#This Row],[Month]],'DB Money Supply'!$A:$D,2)</f>
        <v/>
      </c>
      <c r="C676" s="65">
        <f>(Table3032[[#This Row],[Real M1 Money Stock]]-B664)/B664</f>
        <v/>
      </c>
    </row>
    <row r="677">
      <c r="A677" s="26" t="n">
        <v>41974</v>
      </c>
      <c r="B677" s="27">
        <f>VLOOKUP(Table3032[[#This Row],[Month]],'DB Money Supply'!$A:$D,2)</f>
        <v/>
      </c>
      <c r="C677" s="65">
        <f>(Table3032[[#This Row],[Real M1 Money Stock]]-B665)/B665</f>
        <v/>
      </c>
    </row>
    <row r="678">
      <c r="A678" s="26" t="n">
        <v>42005</v>
      </c>
      <c r="B678" s="27">
        <f>VLOOKUP(Table3032[[#This Row],[Month]],'DB Money Supply'!$A:$D,2)</f>
        <v/>
      </c>
      <c r="C678" s="65">
        <f>(Table3032[[#This Row],[Real M1 Money Stock]]-B666)/B666</f>
        <v/>
      </c>
    </row>
    <row r="679">
      <c r="A679" s="26" t="n">
        <v>42036</v>
      </c>
      <c r="B679" s="27">
        <f>VLOOKUP(Table3032[[#This Row],[Month]],'DB Money Supply'!$A:$D,2)</f>
        <v/>
      </c>
      <c r="C679" s="65">
        <f>(Table3032[[#This Row],[Real M1 Money Stock]]-B667)/B667</f>
        <v/>
      </c>
    </row>
    <row r="680">
      <c r="A680" s="26" t="n">
        <v>42064</v>
      </c>
      <c r="B680" s="27">
        <f>VLOOKUP(Table3032[[#This Row],[Month]],'DB Money Supply'!$A:$D,2)</f>
        <v/>
      </c>
      <c r="C680" s="65">
        <f>(Table3032[[#This Row],[Real M1 Money Stock]]-B668)/B668</f>
        <v/>
      </c>
    </row>
    <row r="681">
      <c r="A681" s="26" t="n">
        <v>42095</v>
      </c>
      <c r="B681" s="27">
        <f>VLOOKUP(Table3032[[#This Row],[Month]],'DB Money Supply'!$A:$D,2)</f>
        <v/>
      </c>
      <c r="C681" s="65">
        <f>(Table3032[[#This Row],[Real M1 Money Stock]]-B669)/B669</f>
        <v/>
      </c>
    </row>
    <row r="682">
      <c r="A682" s="26" t="n">
        <v>42125</v>
      </c>
      <c r="B682" s="27">
        <f>VLOOKUP(Table3032[[#This Row],[Month]],'DB Money Supply'!$A:$D,2)</f>
        <v/>
      </c>
      <c r="C682" s="65">
        <f>(Table3032[[#This Row],[Real M1 Money Stock]]-B670)/B670</f>
        <v/>
      </c>
    </row>
    <row r="683">
      <c r="A683" s="26" t="n">
        <v>42156</v>
      </c>
      <c r="B683" s="27">
        <f>VLOOKUP(Table3032[[#This Row],[Month]],'DB Money Supply'!$A:$D,2)</f>
        <v/>
      </c>
      <c r="C683" s="65">
        <f>(Table3032[[#This Row],[Real M1 Money Stock]]-B671)/B671</f>
        <v/>
      </c>
    </row>
    <row r="684">
      <c r="A684" s="26" t="n">
        <v>42186</v>
      </c>
      <c r="B684" s="27">
        <f>VLOOKUP(Table3032[[#This Row],[Month]],'DB Money Supply'!$A:$D,2)</f>
        <v/>
      </c>
      <c r="C684" s="65">
        <f>(Table3032[[#This Row],[Real M1 Money Stock]]-B672)/B672</f>
        <v/>
      </c>
    </row>
    <row r="685">
      <c r="A685" s="26" t="n">
        <v>42217</v>
      </c>
      <c r="B685" s="27">
        <f>VLOOKUP(Table3032[[#This Row],[Month]],'DB Money Supply'!$A:$D,2)</f>
        <v/>
      </c>
      <c r="C685" s="65">
        <f>(Table3032[[#This Row],[Real M1 Money Stock]]-B673)/B673</f>
        <v/>
      </c>
    </row>
    <row r="686">
      <c r="A686" s="26" t="n">
        <v>42248</v>
      </c>
      <c r="B686" s="27">
        <f>VLOOKUP(Table3032[[#This Row],[Month]],'DB Money Supply'!$A:$D,2)</f>
        <v/>
      </c>
      <c r="C686" s="65">
        <f>(Table3032[[#This Row],[Real M1 Money Stock]]-B674)/B674</f>
        <v/>
      </c>
    </row>
    <row r="687">
      <c r="A687" s="26" t="n">
        <v>42278</v>
      </c>
      <c r="B687" s="27">
        <f>VLOOKUP(Table3032[[#This Row],[Month]],'DB Money Supply'!$A:$D,2)</f>
        <v/>
      </c>
      <c r="C687" s="65">
        <f>(Table3032[[#This Row],[Real M1 Money Stock]]-B675)/B675</f>
        <v/>
      </c>
    </row>
    <row r="688">
      <c r="A688" s="26" t="n">
        <v>42309</v>
      </c>
      <c r="B688" s="27">
        <f>VLOOKUP(Table3032[[#This Row],[Month]],'DB Money Supply'!$A:$D,2)</f>
        <v/>
      </c>
      <c r="C688" s="65">
        <f>(Table3032[[#This Row],[Real M1 Money Stock]]-B676)/B676</f>
        <v/>
      </c>
    </row>
    <row r="689">
      <c r="A689" s="26" t="n">
        <v>42339</v>
      </c>
      <c r="B689" s="27">
        <f>VLOOKUP(Table3032[[#This Row],[Month]],'DB Money Supply'!$A:$D,2)</f>
        <v/>
      </c>
      <c r="C689" s="65">
        <f>(Table3032[[#This Row],[Real M1 Money Stock]]-B677)/B677</f>
        <v/>
      </c>
    </row>
    <row r="690">
      <c r="A690" s="26" t="n">
        <v>42370</v>
      </c>
      <c r="B690" s="27">
        <f>VLOOKUP(Table3032[[#This Row],[Month]],'DB Money Supply'!$A:$D,2)</f>
        <v/>
      </c>
      <c r="C690" s="65">
        <f>(Table3032[[#This Row],[Real M1 Money Stock]]-B678)/B678</f>
        <v/>
      </c>
    </row>
    <row r="691">
      <c r="A691" s="26" t="n">
        <v>42401</v>
      </c>
      <c r="B691" s="27">
        <f>VLOOKUP(Table3032[[#This Row],[Month]],'DB Money Supply'!$A:$D,2)</f>
        <v/>
      </c>
      <c r="C691" s="65">
        <f>(Table3032[[#This Row],[Real M1 Money Stock]]-B679)/B679</f>
        <v/>
      </c>
    </row>
    <row r="692">
      <c r="A692" s="26" t="n">
        <v>42430</v>
      </c>
      <c r="B692" s="27">
        <f>VLOOKUP(Table3032[[#This Row],[Month]],'DB Money Supply'!$A:$D,2)</f>
        <v/>
      </c>
      <c r="C692" s="65">
        <f>(Table3032[[#This Row],[Real M1 Money Stock]]-B680)/B680</f>
        <v/>
      </c>
    </row>
    <row r="693">
      <c r="A693" s="26" t="n">
        <v>42461</v>
      </c>
      <c r="B693" s="27">
        <f>VLOOKUP(Table3032[[#This Row],[Month]],'DB Money Supply'!$A:$D,2)</f>
        <v/>
      </c>
      <c r="C693" s="65">
        <f>(Table3032[[#This Row],[Real M1 Money Stock]]-B681)/B681</f>
        <v/>
      </c>
    </row>
    <row r="694">
      <c r="A694" s="26" t="n">
        <v>42491</v>
      </c>
      <c r="B694" s="27">
        <f>VLOOKUP(Table3032[[#This Row],[Month]],'DB Money Supply'!$A:$D,2)</f>
        <v/>
      </c>
      <c r="C694" s="65">
        <f>(Table3032[[#This Row],[Real M1 Money Stock]]-B682)/B682</f>
        <v/>
      </c>
    </row>
    <row r="695">
      <c r="A695" s="26" t="n">
        <v>42522</v>
      </c>
      <c r="B695" s="27">
        <f>VLOOKUP(Table3032[[#This Row],[Month]],'DB Money Supply'!$A:$D,2)</f>
        <v/>
      </c>
      <c r="C695" s="65">
        <f>(Table3032[[#This Row],[Real M1 Money Stock]]-B683)/B683</f>
        <v/>
      </c>
    </row>
    <row r="696">
      <c r="A696" s="26" t="n">
        <v>42552</v>
      </c>
      <c r="B696" s="27">
        <f>VLOOKUP(Table3032[[#This Row],[Month]],'DB Money Supply'!$A:$D,2)</f>
        <v/>
      </c>
      <c r="C696" s="65">
        <f>(Table3032[[#This Row],[Real M1 Money Stock]]-B684)/B684</f>
        <v/>
      </c>
    </row>
    <row r="697">
      <c r="A697" s="26" t="n">
        <v>42583</v>
      </c>
      <c r="B697" s="27">
        <f>VLOOKUP(Table3032[[#This Row],[Month]],'DB Money Supply'!$A:$D,2)</f>
        <v/>
      </c>
      <c r="C697" s="65">
        <f>(Table3032[[#This Row],[Real M1 Money Stock]]-B685)/B685</f>
        <v/>
      </c>
    </row>
    <row r="698">
      <c r="A698" s="26" t="n">
        <v>42614</v>
      </c>
      <c r="B698" s="27">
        <f>VLOOKUP(Table3032[[#This Row],[Month]],'DB Money Supply'!$A:$D,2)</f>
        <v/>
      </c>
      <c r="C698" s="65">
        <f>(Table3032[[#This Row],[Real M1 Money Stock]]-B686)/B686</f>
        <v/>
      </c>
    </row>
    <row r="699">
      <c r="A699" s="26" t="n">
        <v>42644</v>
      </c>
      <c r="B699" s="27">
        <f>VLOOKUP(Table3032[[#This Row],[Month]],'DB Money Supply'!$A:$D,2)</f>
        <v/>
      </c>
      <c r="C699" s="65">
        <f>(Table3032[[#This Row],[Real M1 Money Stock]]-B687)/B687</f>
        <v/>
      </c>
    </row>
    <row r="700">
      <c r="A700" s="26" t="n">
        <v>42675</v>
      </c>
      <c r="B700" s="27">
        <f>VLOOKUP(Table3032[[#This Row],[Month]],'DB Money Supply'!$A:$D,2)</f>
        <v/>
      </c>
      <c r="C700" s="65">
        <f>(Table3032[[#This Row],[Real M1 Money Stock]]-B688)/B688</f>
        <v/>
      </c>
    </row>
    <row r="701">
      <c r="A701" s="26" t="n">
        <v>42705</v>
      </c>
      <c r="B701" s="27">
        <f>VLOOKUP(Table3032[[#This Row],[Month]],'DB Money Supply'!$A:$D,2)</f>
        <v/>
      </c>
      <c r="C701" s="65">
        <f>(Table3032[[#This Row],[Real M1 Money Stock]]-B689)/B689</f>
        <v/>
      </c>
    </row>
    <row r="702">
      <c r="A702" s="26" t="n">
        <v>42736</v>
      </c>
      <c r="B702" s="27">
        <f>VLOOKUP(Table3032[[#This Row],[Month]],'DB Money Supply'!$A:$D,2)</f>
        <v/>
      </c>
      <c r="C702" s="65">
        <f>(Table3032[[#This Row],[Real M1 Money Stock]]-B690)/B690</f>
        <v/>
      </c>
    </row>
    <row r="703">
      <c r="A703" s="26" t="n">
        <v>42767</v>
      </c>
      <c r="B703" s="27">
        <f>VLOOKUP(Table3032[[#This Row],[Month]],'DB Money Supply'!$A:$D,2)</f>
        <v/>
      </c>
      <c r="C703" s="65">
        <f>(Table3032[[#This Row],[Real M1 Money Stock]]-B691)/B691</f>
        <v/>
      </c>
    </row>
    <row r="704">
      <c r="A704" s="26" t="n">
        <v>42795</v>
      </c>
      <c r="B704" s="27">
        <f>VLOOKUP(Table3032[[#This Row],[Month]],'DB Money Supply'!$A:$D,2)</f>
        <v/>
      </c>
      <c r="C704" s="65">
        <f>(Table3032[[#This Row],[Real M1 Money Stock]]-B692)/B692</f>
        <v/>
      </c>
    </row>
    <row r="705">
      <c r="A705" s="26" t="n">
        <v>42826</v>
      </c>
      <c r="B705" s="27">
        <f>VLOOKUP(Table3032[[#This Row],[Month]],'DB Money Supply'!$A:$D,2)</f>
        <v/>
      </c>
      <c r="C705" s="65">
        <f>(Table3032[[#This Row],[Real M1 Money Stock]]-B693)/B693</f>
        <v/>
      </c>
    </row>
    <row r="706">
      <c r="A706" s="26" t="n">
        <v>42856</v>
      </c>
      <c r="B706" s="27">
        <f>VLOOKUP(Table3032[[#This Row],[Month]],'DB Money Supply'!$A:$D,2)</f>
        <v/>
      </c>
      <c r="C706" s="65">
        <f>(Table3032[[#This Row],[Real M1 Money Stock]]-B694)/B694</f>
        <v/>
      </c>
    </row>
    <row r="707">
      <c r="A707" s="26" t="n">
        <v>42887</v>
      </c>
      <c r="B707" s="27">
        <f>VLOOKUP(Table3032[[#This Row],[Month]],'DB Money Supply'!$A:$D,2)</f>
        <v/>
      </c>
      <c r="C707" s="65">
        <f>(Table3032[[#This Row],[Real M1 Money Stock]]-B695)/B695</f>
        <v/>
      </c>
    </row>
    <row r="708">
      <c r="A708" s="26" t="n">
        <v>42917</v>
      </c>
      <c r="B708" s="27">
        <f>VLOOKUP(Table3032[[#This Row],[Month]],'DB Money Supply'!$A:$D,2)</f>
        <v/>
      </c>
      <c r="C708" s="65">
        <f>(Table3032[[#This Row],[Real M1 Money Stock]]-B696)/B696</f>
        <v/>
      </c>
    </row>
    <row r="709">
      <c r="A709" s="26" t="n">
        <v>42948</v>
      </c>
      <c r="B709" s="27">
        <f>VLOOKUP(Table3032[[#This Row],[Month]],'DB Money Supply'!$A:$D,2)</f>
        <v/>
      </c>
      <c r="C709" s="65">
        <f>(Table3032[[#This Row],[Real M1 Money Stock]]-B697)/B697</f>
        <v/>
      </c>
    </row>
    <row r="710">
      <c r="A710" s="26" t="n">
        <v>42979</v>
      </c>
      <c r="B710" s="27">
        <f>VLOOKUP(Table3032[[#This Row],[Month]],'DB Money Supply'!$A:$D,2)</f>
        <v/>
      </c>
      <c r="C710" s="65">
        <f>(Table3032[[#This Row],[Real M1 Money Stock]]-B698)/B698</f>
        <v/>
      </c>
    </row>
    <row r="711">
      <c r="A711" s="26" t="n">
        <v>43009</v>
      </c>
      <c r="B711" s="27">
        <f>VLOOKUP(Table3032[[#This Row],[Month]],'DB Money Supply'!$A:$D,2)</f>
        <v/>
      </c>
      <c r="C711" s="65">
        <f>(Table3032[[#This Row],[Real M1 Money Stock]]-B699)/B699</f>
        <v/>
      </c>
    </row>
    <row r="712">
      <c r="A712" s="26" t="n">
        <v>43040</v>
      </c>
      <c r="B712" s="27">
        <f>VLOOKUP(Table3032[[#This Row],[Month]],'DB Money Supply'!$A:$D,2)</f>
        <v/>
      </c>
      <c r="C712" s="65">
        <f>(Table3032[[#This Row],[Real M1 Money Stock]]-B700)/B700</f>
        <v/>
      </c>
    </row>
    <row r="713">
      <c r="A713" s="26" t="n">
        <v>43070</v>
      </c>
      <c r="B713" s="27">
        <f>VLOOKUP(Table3032[[#This Row],[Month]],'DB Money Supply'!$A:$D,2)</f>
        <v/>
      </c>
      <c r="C713" s="65">
        <f>(Table3032[[#This Row],[Real M1 Money Stock]]-B701)/B701</f>
        <v/>
      </c>
    </row>
    <row r="714">
      <c r="A714" s="26" t="n">
        <v>43101</v>
      </c>
      <c r="B714" s="27">
        <f>VLOOKUP(Table3032[[#This Row],[Month]],'DB Money Supply'!$A:$D,2)</f>
        <v/>
      </c>
      <c r="C714" s="65">
        <f>(Table3032[[#This Row],[Real M1 Money Stock]]-B702)/B702</f>
        <v/>
      </c>
    </row>
    <row r="715">
      <c r="A715" s="26" t="n">
        <v>43132</v>
      </c>
      <c r="B715" s="27">
        <f>VLOOKUP(Table3032[[#This Row],[Month]],'DB Money Supply'!$A:$D,2)</f>
        <v/>
      </c>
      <c r="C715" s="65">
        <f>(Table3032[[#This Row],[Real M1 Money Stock]]-B703)/B703</f>
        <v/>
      </c>
    </row>
    <row r="716">
      <c r="A716" s="26" t="n">
        <v>43160</v>
      </c>
      <c r="B716" s="27">
        <f>VLOOKUP(Table3032[[#This Row],[Month]],'DB Money Supply'!$A:$D,2)</f>
        <v/>
      </c>
      <c r="C716" s="65">
        <f>(Table3032[[#This Row],[Real M1 Money Stock]]-B704)/B704</f>
        <v/>
      </c>
    </row>
    <row r="717">
      <c r="A717" s="26" t="n">
        <v>43191</v>
      </c>
      <c r="B717" s="27">
        <f>VLOOKUP(Table3032[[#This Row],[Month]],'DB Money Supply'!$A:$D,2)</f>
        <v/>
      </c>
      <c r="C717" s="65">
        <f>(Table3032[[#This Row],[Real M1 Money Stock]]-B705)/B705</f>
        <v/>
      </c>
    </row>
    <row r="718">
      <c r="A718" s="26" t="n">
        <v>43221</v>
      </c>
      <c r="B718" s="27">
        <f>VLOOKUP(Table3032[[#This Row],[Month]],'DB Money Supply'!$A:$D,2)</f>
        <v/>
      </c>
      <c r="C718" s="65">
        <f>(Table3032[[#This Row],[Real M1 Money Stock]]-B706)/B706</f>
        <v/>
      </c>
    </row>
    <row r="719">
      <c r="A719" s="26" t="n">
        <v>43252</v>
      </c>
      <c r="B719" s="27">
        <f>VLOOKUP(Table3032[[#This Row],[Month]],'DB Money Supply'!$A:$D,2)</f>
        <v/>
      </c>
      <c r="C719" s="65">
        <f>(Table3032[[#This Row],[Real M1 Money Stock]]-B707)/B707</f>
        <v/>
      </c>
    </row>
    <row r="720">
      <c r="A720" s="26" t="n">
        <v>43282</v>
      </c>
      <c r="B720" s="27">
        <f>VLOOKUP(Table3032[[#This Row],[Month]],'DB Money Supply'!$A:$D,2)</f>
        <v/>
      </c>
      <c r="C720" s="65">
        <f>(Table3032[[#This Row],[Real M1 Money Stock]]-B708)/B708</f>
        <v/>
      </c>
    </row>
    <row r="721">
      <c r="A721" s="26" t="n">
        <v>43313</v>
      </c>
      <c r="B721" s="27">
        <f>VLOOKUP(Table3032[[#This Row],[Month]],'DB Money Supply'!$A:$D,2)</f>
        <v/>
      </c>
      <c r="C721" s="65">
        <f>(Table3032[[#This Row],[Real M1 Money Stock]]-B709)/B709</f>
        <v/>
      </c>
    </row>
    <row r="722">
      <c r="A722" s="26" t="n">
        <v>43344</v>
      </c>
      <c r="B722" s="27">
        <f>VLOOKUP(Table3032[[#This Row],[Month]],'DB Money Supply'!$A:$D,2)</f>
        <v/>
      </c>
      <c r="C722" s="65">
        <f>(Table3032[[#This Row],[Real M1 Money Stock]]-B710)/B710</f>
        <v/>
      </c>
    </row>
    <row r="723">
      <c r="A723" s="26" t="n">
        <v>43374</v>
      </c>
      <c r="B723" s="27">
        <f>VLOOKUP(Table3032[[#This Row],[Month]],'DB Money Supply'!$A:$D,2)</f>
        <v/>
      </c>
      <c r="C723" s="65">
        <f>(Table3032[[#This Row],[Real M1 Money Stock]]-B711)/B711</f>
        <v/>
      </c>
    </row>
    <row r="724">
      <c r="A724" s="26" t="n">
        <v>43405</v>
      </c>
      <c r="B724" s="27">
        <f>VLOOKUP(Table3032[[#This Row],[Month]],'DB Money Supply'!$A:$D,2)</f>
        <v/>
      </c>
      <c r="C724" s="65">
        <f>(Table3032[[#This Row],[Real M1 Money Stock]]-B712)/B712</f>
        <v/>
      </c>
    </row>
    <row r="725">
      <c r="A725" s="26" t="n">
        <v>43435</v>
      </c>
      <c r="B725" s="27">
        <f>VLOOKUP(Table3032[[#This Row],[Month]],'DB Money Supply'!$A:$D,2)</f>
        <v/>
      </c>
      <c r="C725" s="65">
        <f>(Table3032[[#This Row],[Real M1 Money Stock]]-B713)/B713</f>
        <v/>
      </c>
    </row>
    <row r="726">
      <c r="A726" s="26" t="n">
        <v>43466</v>
      </c>
      <c r="B726" s="27">
        <f>VLOOKUP(Table3032[[#This Row],[Month]],'DB Money Supply'!$A:$D,2)</f>
        <v/>
      </c>
      <c r="C726" s="65">
        <f>(Table3032[[#This Row],[Real M1 Money Stock]]-B714)/B714</f>
        <v/>
      </c>
    </row>
    <row r="727">
      <c r="A727" s="26" t="n">
        <v>43497</v>
      </c>
      <c r="B727" s="27">
        <f>VLOOKUP(Table3032[[#This Row],[Month]],'DB Money Supply'!$A:$D,2)</f>
        <v/>
      </c>
      <c r="C727" s="65">
        <f>(Table3032[[#This Row],[Real M1 Money Stock]]-B715)/B715</f>
        <v/>
      </c>
    </row>
    <row r="728">
      <c r="A728" s="26" t="n">
        <v>43525</v>
      </c>
      <c r="B728" s="27">
        <f>VLOOKUP(Table3032[[#This Row],[Month]],'DB Money Supply'!$A:$D,2)</f>
        <v/>
      </c>
      <c r="C728" s="65">
        <f>(Table3032[[#This Row],[Real M1 Money Stock]]-B716)/B716</f>
        <v/>
      </c>
    </row>
    <row r="729">
      <c r="A729" s="26" t="n">
        <v>43556</v>
      </c>
      <c r="B729" s="27">
        <f>VLOOKUP(Table3032[[#This Row],[Month]],'DB Money Supply'!$A:$D,2)</f>
        <v/>
      </c>
      <c r="C729" s="65">
        <f>(Table3032[[#This Row],[Real M1 Money Stock]]-B717)/B717</f>
        <v/>
      </c>
    </row>
    <row r="730">
      <c r="A730" s="26" t="n">
        <v>43586</v>
      </c>
      <c r="B730" s="27">
        <f>VLOOKUP(Table3032[[#This Row],[Month]],'DB Money Supply'!$A:$D,2)</f>
        <v/>
      </c>
      <c r="C730" s="65">
        <f>(Table3032[[#This Row],[Real M1 Money Stock]]-B718)/B718</f>
        <v/>
      </c>
    </row>
    <row r="731">
      <c r="A731" s="26" t="n">
        <v>43617</v>
      </c>
      <c r="B731" s="27">
        <f>VLOOKUP(Table3032[[#This Row],[Month]],'DB Money Supply'!$A:$D,2)</f>
        <v/>
      </c>
      <c r="C731" s="65">
        <f>(Table3032[[#This Row],[Real M1 Money Stock]]-B719)/B719</f>
        <v/>
      </c>
    </row>
    <row r="732">
      <c r="A732" s="26" t="n">
        <v>43647</v>
      </c>
      <c r="B732" s="27">
        <f>VLOOKUP(Table3032[[#This Row],[Month]],'DB Money Supply'!$A:$D,2)</f>
        <v/>
      </c>
      <c r="C732" s="65">
        <f>(Table3032[[#This Row],[Real M1 Money Stock]]-B720)/B720</f>
        <v/>
      </c>
    </row>
    <row r="733">
      <c r="A733" s="26" t="n">
        <v>43678</v>
      </c>
      <c r="B733" s="27">
        <f>VLOOKUP(Table3032[[#This Row],[Month]],'DB Money Supply'!$A:$D,2)</f>
        <v/>
      </c>
      <c r="C733" s="65">
        <f>(Table3032[[#This Row],[Real M1 Money Stock]]-B721)/B721</f>
        <v/>
      </c>
    </row>
    <row r="734">
      <c r="A734" s="26" t="n">
        <v>43709</v>
      </c>
      <c r="B734" s="27">
        <f>VLOOKUP(Table3032[[#This Row],[Month]],'DB Money Supply'!$A:$D,2)</f>
        <v/>
      </c>
      <c r="C734" s="65">
        <f>(Table3032[[#This Row],[Real M1 Money Stock]]-B722)/B722</f>
        <v/>
      </c>
    </row>
    <row r="735">
      <c r="A735" s="26" t="n">
        <v>43739</v>
      </c>
      <c r="B735" s="27">
        <f>VLOOKUP(Table3032[[#This Row],[Month]],'DB Money Supply'!$A:$D,2)</f>
        <v/>
      </c>
      <c r="C735" s="65">
        <f>(Table3032[[#This Row],[Real M1 Money Stock]]-B723)/B723</f>
        <v/>
      </c>
    </row>
    <row r="736">
      <c r="A736" s="26" t="n">
        <v>43770</v>
      </c>
      <c r="B736" s="27">
        <f>VLOOKUP(Table3032[[#This Row],[Month]],'DB Money Supply'!$A:$D,2)</f>
        <v/>
      </c>
      <c r="C736" s="65">
        <f>(Table3032[[#This Row],[Real M1 Money Stock]]-B724)/B724</f>
        <v/>
      </c>
    </row>
    <row r="737">
      <c r="A737" s="26" t="n">
        <v>43800</v>
      </c>
      <c r="B737" s="27">
        <f>VLOOKUP(Table3032[[#This Row],[Month]],'DB Money Supply'!$A:$D,2)</f>
        <v/>
      </c>
      <c r="C737" s="65">
        <f>(Table3032[[#This Row],[Real M1 Money Stock]]-B725)/B725</f>
        <v/>
      </c>
    </row>
    <row r="738">
      <c r="A738" s="26" t="n">
        <v>43831</v>
      </c>
      <c r="B738" s="27">
        <f>VLOOKUP(Table3032[[#This Row],[Month]],'DB Money Supply'!$A:$D,2)</f>
        <v/>
      </c>
      <c r="C738" s="65">
        <f>(Table3032[[#This Row],[Real M1 Money Stock]]-B726)/B726</f>
        <v/>
      </c>
    </row>
    <row r="739">
      <c r="A739" s="26" t="n">
        <v>43862</v>
      </c>
      <c r="B739" s="27">
        <f>VLOOKUP(Table3032[[#This Row],[Month]],'DB Money Supply'!$A:$D,2)</f>
        <v/>
      </c>
      <c r="C739" s="65">
        <f>(Table3032[[#This Row],[Real M1 Money Stock]]-B727)/B727</f>
        <v/>
      </c>
    </row>
    <row r="740">
      <c r="A740" s="26" t="n">
        <v>43891</v>
      </c>
      <c r="B740" s="27">
        <f>VLOOKUP(Table3032[[#This Row],[Month]],'DB Money Supply'!$A:$D,2)</f>
        <v/>
      </c>
      <c r="C740" s="65">
        <f>(Table3032[[#This Row],[Real M1 Money Stock]]-B728)/B728</f>
        <v/>
      </c>
    </row>
    <row r="741">
      <c r="A741" s="26" t="n">
        <v>43922</v>
      </c>
      <c r="B741" s="27">
        <f>VLOOKUP(Table3032[[#This Row],[Month]],'DB Money Supply'!$A:$D,2)</f>
        <v/>
      </c>
      <c r="C741" s="65">
        <f>(Table3032[[#This Row],[Real M1 Money Stock]]-B729)/B729</f>
        <v/>
      </c>
    </row>
    <row r="742">
      <c r="A742" s="26" t="n">
        <v>43952</v>
      </c>
      <c r="B742" s="27">
        <f>VLOOKUP(Table3032[[#This Row],[Month]],'DB Money Supply'!$A:$D,2)</f>
        <v/>
      </c>
      <c r="C742" s="65">
        <f>(Table3032[[#This Row],[Real M1 Money Stock]]-B730)/B730</f>
        <v/>
      </c>
    </row>
    <row r="743">
      <c r="A743" s="26" t="n">
        <v>43983</v>
      </c>
      <c r="B743" s="27">
        <f>VLOOKUP(Table3032[[#This Row],[Month]],'DB Money Supply'!$A:$D,2)</f>
        <v/>
      </c>
      <c r="C743" s="65">
        <f>(Table3032[[#This Row],[Real M1 Money Stock]]-B731)/B731</f>
        <v/>
      </c>
    </row>
    <row r="744">
      <c r="A744" s="26" t="n">
        <v>44013</v>
      </c>
      <c r="B744" s="27">
        <f>VLOOKUP(Table3032[[#This Row],[Month]],'DB Money Supply'!$A:$D,2)</f>
        <v/>
      </c>
      <c r="C744" s="65">
        <f>(Table3032[[#This Row],[Real M1 Money Stock]]-B732)/B732</f>
        <v/>
      </c>
    </row>
    <row r="745">
      <c r="A745" s="26" t="n">
        <v>44044</v>
      </c>
      <c r="B745" s="27">
        <f>VLOOKUP(Table3032[[#This Row],[Month]],'DB Money Supply'!$A:$D,2)</f>
        <v/>
      </c>
      <c r="C745" s="65">
        <f>(Table3032[[#This Row],[Real M1 Money Stock]]-B733)/B733</f>
        <v/>
      </c>
    </row>
    <row r="746">
      <c r="A746" s="26" t="n">
        <v>44075</v>
      </c>
      <c r="B746" s="27">
        <f>VLOOKUP(Table3032[[#This Row],[Month]],'DB Money Supply'!$A:$D,2)</f>
        <v/>
      </c>
      <c r="C746" s="65">
        <f>(Table3032[[#This Row],[Real M1 Money Stock]]-B734)/B734</f>
        <v/>
      </c>
    </row>
    <row r="747">
      <c r="A747" s="26" t="n">
        <v>44105</v>
      </c>
      <c r="B747" s="27">
        <f>VLOOKUP(Table3032[[#This Row],[Month]],'DB Money Supply'!$A:$D,2)</f>
        <v/>
      </c>
      <c r="C747" s="65">
        <f>(Table3032[[#This Row],[Real M1 Money Stock]]-B735)/B735</f>
        <v/>
      </c>
    </row>
    <row r="748">
      <c r="A748" s="26" t="n">
        <v>44136</v>
      </c>
      <c r="B748" s="27">
        <f>VLOOKUP(Table3032[[#This Row],[Month]],'DB Money Supply'!$A:$D,2)</f>
        <v/>
      </c>
      <c r="C748" s="65">
        <f>(Table3032[[#This Row],[Real M1 Money Stock]]-B736)/B736</f>
        <v/>
      </c>
    </row>
    <row r="749">
      <c r="A749" s="26" t="n">
        <v>44166</v>
      </c>
      <c r="B749" s="27">
        <f>VLOOKUP(Table3032[[#This Row],[Month]],'DB Money Supply'!$A:$D,2)</f>
        <v/>
      </c>
      <c r="C749" s="65">
        <f>(Table3032[[#This Row],[Real M1 Money Stock]]-B737)/B737</f>
        <v/>
      </c>
    </row>
    <row r="750">
      <c r="A750" s="26" t="n">
        <v>44197</v>
      </c>
      <c r="B750" s="27">
        <f>VLOOKUP(Table3032[[#This Row],[Month]],'DB Money Supply'!$A:$D,2)</f>
        <v/>
      </c>
      <c r="C750" s="65">
        <f>(Table3032[[#This Row],[Real M1 Money Stock]]-B738)/B738</f>
        <v/>
      </c>
    </row>
    <row r="751">
      <c r="A751" s="26" t="n">
        <v>44228</v>
      </c>
      <c r="B751" s="27">
        <f>VLOOKUP(Table3032[[#This Row],[Month]],'DB Money Supply'!$A:$D,2)</f>
        <v/>
      </c>
      <c r="C751" s="65">
        <f>(Table3032[[#This Row],[Real M1 Money Stock]]-B739)/B739</f>
        <v/>
      </c>
    </row>
    <row r="752">
      <c r="A752" s="26" t="n">
        <v>44256</v>
      </c>
      <c r="B752" s="27">
        <f>VLOOKUP(Table3032[[#This Row],[Month]],'DB Money Supply'!$A:$D,2)</f>
        <v/>
      </c>
      <c r="C752" s="65">
        <f>(Table3032[[#This Row],[Real M1 Money Stock]]-B740)/B740</f>
        <v/>
      </c>
    </row>
    <row r="753">
      <c r="A753" s="26" t="n">
        <v>44287</v>
      </c>
      <c r="B753" s="27">
        <f>VLOOKUP(Table3032[[#This Row],[Month]],'DB Money Supply'!$A:$D,2)</f>
        <v/>
      </c>
      <c r="C753" s="65">
        <f>(Table3032[[#This Row],[Real M1 Money Stock]]-B741)/B741</f>
        <v/>
      </c>
    </row>
    <row r="754">
      <c r="A754" s="26" t="n">
        <v>44317</v>
      </c>
      <c r="B754" s="27">
        <f>VLOOKUP(Table3032[[#This Row],[Month]],'DB Money Supply'!$A:$D,2)</f>
        <v/>
      </c>
      <c r="C754" s="65">
        <f>(Table3032[[#This Row],[Real M1 Money Stock]]-B742)/B742</f>
        <v/>
      </c>
    </row>
    <row r="755">
      <c r="A755" s="26" t="n">
        <v>44348</v>
      </c>
      <c r="B755" s="27">
        <f>VLOOKUP(Table3032[[#This Row],[Month]],'DB Money Supply'!$A:$D,2)</f>
        <v/>
      </c>
      <c r="C755" s="65">
        <f>(Table3032[[#This Row],[Real M1 Money Stock]]-B743)/B743</f>
        <v/>
      </c>
    </row>
    <row r="756">
      <c r="A756" s="26" t="n">
        <v>44378</v>
      </c>
      <c r="B756" s="27">
        <f>VLOOKUP(Table3032[[#This Row],[Month]],'DB Money Supply'!$A:$D,2)</f>
        <v/>
      </c>
      <c r="C756" s="65">
        <f>(Table3032[[#This Row],[Real M1 Money Stock]]-B744)/B744</f>
        <v/>
      </c>
    </row>
    <row r="757">
      <c r="A757" s="26" t="n">
        <v>44409</v>
      </c>
      <c r="B757" s="27">
        <f>VLOOKUP(Table3032[[#This Row],[Month]],'DB Money Supply'!$A:$D,2)</f>
        <v/>
      </c>
      <c r="C757" s="65">
        <f>(Table3032[[#This Row],[Real M1 Money Stock]]-B745)/B745</f>
        <v/>
      </c>
    </row>
    <row r="758">
      <c r="A758" s="26" t="n">
        <v>44440</v>
      </c>
      <c r="B758" s="27">
        <f>VLOOKUP(Table3032[[#This Row],[Month]],'DB Money Supply'!$A:$D,2)</f>
        <v/>
      </c>
      <c r="C758" s="65">
        <f>(Table3032[[#This Row],[Real M1 Money Stock]]-B746)/B746</f>
        <v/>
      </c>
    </row>
    <row r="759">
      <c r="A759" s="26" t="n">
        <v>44470</v>
      </c>
      <c r="B759" s="27">
        <f>VLOOKUP(Table3032[[#This Row],[Month]],'DB Money Supply'!$A:$D,2)</f>
        <v/>
      </c>
      <c r="C759" s="65">
        <f>(Table3032[[#This Row],[Real M1 Money Stock]]-B747)/B747</f>
        <v/>
      </c>
    </row>
    <row r="760">
      <c r="A760" s="26" t="n">
        <v>44501</v>
      </c>
      <c r="B760" s="27">
        <f>VLOOKUP(Table3032[[#This Row],[Month]],'DB Money Supply'!$A:$D,2)</f>
        <v/>
      </c>
      <c r="C760" s="65">
        <f>(Table3032[[#This Row],[Real M1 Money Stock]]-B748)/B748</f>
        <v/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0"/>
  <sheetViews>
    <sheetView zoomScale="170" zoomScaleNormal="170" workbookViewId="0">
      <pane ySplit="5" topLeftCell="A731" activePane="bottomLeft" state="frozen"/>
      <selection pane="bottomLeft" activeCell="O752" sqref="O752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3" min="4" max="6"/>
    <col width="13.33203125" customWidth="1" style="83" min="7" max="7"/>
    <col width="9.1640625" customWidth="1" style="83" min="8" max="11"/>
    <col width="9.1640625" customWidth="1" style="83" min="12" max="16384"/>
  </cols>
  <sheetData>
    <row r="1">
      <c r="A1" s="1" t="inlineStr">
        <is>
          <t>https://fred.stlouisfed.org/series/M2REAL</t>
        </is>
      </c>
    </row>
    <row r="2">
      <c r="A2" s="83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77">
      <c r="A5" s="53" t="inlineStr">
        <is>
          <t>Month</t>
        </is>
      </c>
      <c r="B5" s="54" t="inlineStr">
        <is>
          <t>Real M2 Money Stock</t>
        </is>
      </c>
      <c r="C5" s="55" t="inlineStr">
        <is>
          <t>M2 Money Stock % yoy</t>
        </is>
      </c>
    </row>
    <row r="6">
      <c r="A6" s="23" t="n">
        <v>21551</v>
      </c>
      <c r="B6" s="25">
        <f>VLOOKUP(Table30[[#This Row],[Month]],'DB Money Supply'!$A:$D,3)</f>
        <v/>
      </c>
      <c r="C6" s="24" t="n"/>
    </row>
    <row r="7">
      <c r="A7" s="23" t="n">
        <v>21582</v>
      </c>
      <c r="B7" s="25">
        <f>VLOOKUP(Table30[[#This Row],[Month]],'DB Money Supply'!$A:$D,3)</f>
        <v/>
      </c>
      <c r="C7" s="24" t="n"/>
    </row>
    <row r="8">
      <c r="A8" s="23" t="n">
        <v>21610</v>
      </c>
      <c r="B8" s="25">
        <f>VLOOKUP(Table30[[#This Row],[Month]],'DB Money Supply'!$A:$D,3)</f>
        <v/>
      </c>
      <c r="C8" s="24" t="n"/>
    </row>
    <row r="9">
      <c r="A9" s="23" t="n">
        <v>21641</v>
      </c>
      <c r="B9" s="25">
        <f>VLOOKUP(Table30[[#This Row],[Month]],'DB Money Supply'!$A:$D,3)</f>
        <v/>
      </c>
      <c r="C9" s="24" t="n"/>
    </row>
    <row r="10">
      <c r="A10" s="23" t="n">
        <v>21671</v>
      </c>
      <c r="B10" s="25">
        <f>VLOOKUP(Table30[[#This Row],[Month]],'DB Money Supply'!$A:$D,3)</f>
        <v/>
      </c>
      <c r="C10" s="24" t="n"/>
    </row>
    <row r="11">
      <c r="A11" s="23" t="n">
        <v>21702</v>
      </c>
      <c r="B11" s="25">
        <f>VLOOKUP(Table30[[#This Row],[Month]],'DB Money Supply'!$A:$D,3)</f>
        <v/>
      </c>
      <c r="C11" s="24" t="n"/>
    </row>
    <row r="12">
      <c r="A12" s="23" t="n">
        <v>21732</v>
      </c>
      <c r="B12" s="25">
        <f>VLOOKUP(Table30[[#This Row],[Month]],'DB Money Supply'!$A:$D,3)</f>
        <v/>
      </c>
      <c r="C12" s="24" t="n"/>
    </row>
    <row r="13">
      <c r="A13" s="23" t="n">
        <v>21763</v>
      </c>
      <c r="B13" s="25">
        <f>VLOOKUP(Table30[[#This Row],[Month]],'DB Money Supply'!$A:$D,3)</f>
        <v/>
      </c>
      <c r="C13" s="24" t="n"/>
    </row>
    <row r="14">
      <c r="A14" s="23" t="n">
        <v>21794</v>
      </c>
      <c r="B14" s="25">
        <f>VLOOKUP(Table30[[#This Row],[Month]],'DB Money Supply'!$A:$D,3)</f>
        <v/>
      </c>
      <c r="C14" s="24" t="n"/>
    </row>
    <row r="15">
      <c r="A15" s="23" t="n">
        <v>21824</v>
      </c>
      <c r="B15" s="25">
        <f>VLOOKUP(Table30[[#This Row],[Month]],'DB Money Supply'!$A:$D,3)</f>
        <v/>
      </c>
      <c r="C15" s="24" t="n"/>
    </row>
    <row r="16">
      <c r="A16" s="23" t="n">
        <v>21855</v>
      </c>
      <c r="B16" s="25">
        <f>VLOOKUP(Table30[[#This Row],[Month]],'DB Money Supply'!$A:$D,3)</f>
        <v/>
      </c>
      <c r="C16" s="24" t="n"/>
    </row>
    <row r="17">
      <c r="A17" s="23" t="n">
        <v>21885</v>
      </c>
      <c r="B17" s="25">
        <f>VLOOKUP(Table30[[#This Row],[Month]],'DB Money Supply'!$A:$D,3)</f>
        <v/>
      </c>
      <c r="C17" s="24" t="n"/>
    </row>
    <row r="18">
      <c r="A18" s="23" t="n">
        <v>21916</v>
      </c>
      <c r="B18" s="25">
        <f>VLOOKUP(Table30[[#This Row],[Month]],'DB Money Supply'!$A:$D,3)</f>
        <v/>
      </c>
      <c r="C18" s="65">
        <f>(Table30[[#This Row],[Real M2 Money Stock]]-B6)/B6</f>
        <v/>
      </c>
    </row>
    <row r="19">
      <c r="A19" s="23" t="n">
        <v>21947</v>
      </c>
      <c r="B19" s="25">
        <f>VLOOKUP(Table30[[#This Row],[Month]],'DB Money Supply'!$A:$D,3)</f>
        <v/>
      </c>
      <c r="C19" s="65">
        <f>(Table30[[#This Row],[Real M2 Money Stock]]-B7)/B7</f>
        <v/>
      </c>
    </row>
    <row r="20">
      <c r="A20" s="23" t="n">
        <v>21976</v>
      </c>
      <c r="B20" s="25">
        <f>VLOOKUP(Table30[[#This Row],[Month]],'DB Money Supply'!$A:$D,3)</f>
        <v/>
      </c>
      <c r="C20" s="65">
        <f>(Table30[[#This Row],[Real M2 Money Stock]]-B8)/B8</f>
        <v/>
      </c>
    </row>
    <row r="21">
      <c r="A21" s="23" t="n">
        <v>22007</v>
      </c>
      <c r="B21" s="25">
        <f>VLOOKUP(Table30[[#This Row],[Month]],'DB Money Supply'!$A:$D,3)</f>
        <v/>
      </c>
      <c r="C21" s="65">
        <f>(Table30[[#This Row],[Real M2 Money Stock]]-B9)/B9</f>
        <v/>
      </c>
    </row>
    <row r="22">
      <c r="A22" s="23" t="n">
        <v>22037</v>
      </c>
      <c r="B22" s="25">
        <f>VLOOKUP(Table30[[#This Row],[Month]],'DB Money Supply'!$A:$D,3)</f>
        <v/>
      </c>
      <c r="C22" s="65">
        <f>(Table30[[#This Row],[Real M2 Money Stock]]-B10)/B10</f>
        <v/>
      </c>
    </row>
    <row r="23">
      <c r="A23" s="23" t="n">
        <v>22068</v>
      </c>
      <c r="B23" s="25">
        <f>VLOOKUP(Table30[[#This Row],[Month]],'DB Money Supply'!$A:$D,3)</f>
        <v/>
      </c>
      <c r="C23" s="65">
        <f>(Table30[[#This Row],[Real M2 Money Stock]]-B11)/B11</f>
        <v/>
      </c>
    </row>
    <row r="24">
      <c r="A24" s="23" t="n">
        <v>22098</v>
      </c>
      <c r="B24" s="25">
        <f>VLOOKUP(Table30[[#This Row],[Month]],'DB Money Supply'!$A:$D,3)</f>
        <v/>
      </c>
      <c r="C24" s="65">
        <f>(Table30[[#This Row],[Real M2 Money Stock]]-B12)/B12</f>
        <v/>
      </c>
    </row>
    <row r="25">
      <c r="A25" s="23" t="n">
        <v>22129</v>
      </c>
      <c r="B25" s="25">
        <f>VLOOKUP(Table30[[#This Row],[Month]],'DB Money Supply'!$A:$D,3)</f>
        <v/>
      </c>
      <c r="C25" s="65">
        <f>(Table30[[#This Row],[Real M2 Money Stock]]-B13)/B13</f>
        <v/>
      </c>
    </row>
    <row r="26">
      <c r="A26" s="23" t="n">
        <v>22160</v>
      </c>
      <c r="B26" s="25">
        <f>VLOOKUP(Table30[[#This Row],[Month]],'DB Money Supply'!$A:$D,3)</f>
        <v/>
      </c>
      <c r="C26" s="65">
        <f>(Table30[[#This Row],[Real M2 Money Stock]]-B14)/B14</f>
        <v/>
      </c>
    </row>
    <row r="27">
      <c r="A27" s="23" t="n">
        <v>22190</v>
      </c>
      <c r="B27" s="25">
        <f>VLOOKUP(Table30[[#This Row],[Month]],'DB Money Supply'!$A:$D,3)</f>
        <v/>
      </c>
      <c r="C27" s="65">
        <f>(Table30[[#This Row],[Real M2 Money Stock]]-B15)/B15</f>
        <v/>
      </c>
    </row>
    <row r="28">
      <c r="A28" s="23" t="n">
        <v>22221</v>
      </c>
      <c r="B28" s="25">
        <f>VLOOKUP(Table30[[#This Row],[Month]],'DB Money Supply'!$A:$D,3)</f>
        <v/>
      </c>
      <c r="C28" s="65">
        <f>(Table30[[#This Row],[Real M2 Money Stock]]-B16)/B16</f>
        <v/>
      </c>
    </row>
    <row r="29">
      <c r="A29" s="23" t="n">
        <v>22251</v>
      </c>
      <c r="B29" s="25">
        <f>VLOOKUP(Table30[[#This Row],[Month]],'DB Money Supply'!$A:$D,3)</f>
        <v/>
      </c>
      <c r="C29" s="65">
        <f>(Table30[[#This Row],[Real M2 Money Stock]]-B17)/B17</f>
        <v/>
      </c>
    </row>
    <row r="30">
      <c r="A30" s="23" t="n">
        <v>22282</v>
      </c>
      <c r="B30" s="25">
        <f>VLOOKUP(Table30[[#This Row],[Month]],'DB Money Supply'!$A:$D,3)</f>
        <v/>
      </c>
      <c r="C30" s="65">
        <f>(Table30[[#This Row],[Real M2 Money Stock]]-B18)/B18</f>
        <v/>
      </c>
    </row>
    <row r="31">
      <c r="A31" s="23" t="n">
        <v>22313</v>
      </c>
      <c r="B31" s="25">
        <f>VLOOKUP(Table30[[#This Row],[Month]],'DB Money Supply'!$A:$D,3)</f>
        <v/>
      </c>
      <c r="C31" s="65">
        <f>(Table30[[#This Row],[Real M2 Money Stock]]-B19)/B19</f>
        <v/>
      </c>
    </row>
    <row r="32">
      <c r="A32" s="23" t="n">
        <v>22341</v>
      </c>
      <c r="B32" s="25">
        <f>VLOOKUP(Table30[[#This Row],[Month]],'DB Money Supply'!$A:$D,3)</f>
        <v/>
      </c>
      <c r="C32" s="65">
        <f>(Table30[[#This Row],[Real M2 Money Stock]]-B20)/B20</f>
        <v/>
      </c>
    </row>
    <row r="33">
      <c r="A33" s="23" t="n">
        <v>22372</v>
      </c>
      <c r="B33" s="25">
        <f>VLOOKUP(Table30[[#This Row],[Month]],'DB Money Supply'!$A:$D,3)</f>
        <v/>
      </c>
      <c r="C33" s="65">
        <f>(Table30[[#This Row],[Real M2 Money Stock]]-B21)/B21</f>
        <v/>
      </c>
    </row>
    <row r="34">
      <c r="A34" s="23" t="n">
        <v>22402</v>
      </c>
      <c r="B34" s="25">
        <f>VLOOKUP(Table30[[#This Row],[Month]],'DB Money Supply'!$A:$D,3)</f>
        <v/>
      </c>
      <c r="C34" s="65">
        <f>(Table30[[#This Row],[Real M2 Money Stock]]-B22)/B22</f>
        <v/>
      </c>
    </row>
    <row r="35">
      <c r="A35" s="23" t="n">
        <v>22433</v>
      </c>
      <c r="B35" s="25">
        <f>VLOOKUP(Table30[[#This Row],[Month]],'DB Money Supply'!$A:$D,3)</f>
        <v/>
      </c>
      <c r="C35" s="65">
        <f>(Table30[[#This Row],[Real M2 Money Stock]]-B23)/B23</f>
        <v/>
      </c>
    </row>
    <row r="36">
      <c r="A36" s="23" t="n">
        <v>22463</v>
      </c>
      <c r="B36" s="25">
        <f>VLOOKUP(Table30[[#This Row],[Month]],'DB Money Supply'!$A:$D,3)</f>
        <v/>
      </c>
      <c r="C36" s="65">
        <f>(Table30[[#This Row],[Real M2 Money Stock]]-B24)/B24</f>
        <v/>
      </c>
    </row>
    <row r="37">
      <c r="A37" s="23" t="n">
        <v>22494</v>
      </c>
      <c r="B37" s="25">
        <f>VLOOKUP(Table30[[#This Row],[Month]],'DB Money Supply'!$A:$D,3)</f>
        <v/>
      </c>
      <c r="C37" s="65">
        <f>(Table30[[#This Row],[Real M2 Money Stock]]-B25)/B25</f>
        <v/>
      </c>
    </row>
    <row r="38">
      <c r="A38" s="23" t="n">
        <v>22525</v>
      </c>
      <c r="B38" s="25">
        <f>VLOOKUP(Table30[[#This Row],[Month]],'DB Money Supply'!$A:$D,3)</f>
        <v/>
      </c>
      <c r="C38" s="65">
        <f>(Table30[[#This Row],[Real M2 Money Stock]]-B26)/B26</f>
        <v/>
      </c>
    </row>
    <row r="39">
      <c r="A39" s="23" t="n">
        <v>22555</v>
      </c>
      <c r="B39" s="25">
        <f>VLOOKUP(Table30[[#This Row],[Month]],'DB Money Supply'!$A:$D,3)</f>
        <v/>
      </c>
      <c r="C39" s="65">
        <f>(Table30[[#This Row],[Real M2 Money Stock]]-B27)/B27</f>
        <v/>
      </c>
    </row>
    <row r="40">
      <c r="A40" s="23" t="n">
        <v>22586</v>
      </c>
      <c r="B40" s="25">
        <f>VLOOKUP(Table30[[#This Row],[Month]],'DB Money Supply'!$A:$D,3)</f>
        <v/>
      </c>
      <c r="C40" s="65">
        <f>(Table30[[#This Row],[Real M2 Money Stock]]-B28)/B28</f>
        <v/>
      </c>
    </row>
    <row r="41">
      <c r="A41" s="23" t="n">
        <v>22616</v>
      </c>
      <c r="B41" s="25">
        <f>VLOOKUP(Table30[[#This Row],[Month]],'DB Money Supply'!$A:$D,3)</f>
        <v/>
      </c>
      <c r="C41" s="65">
        <f>(Table30[[#This Row],[Real M2 Money Stock]]-B29)/B29</f>
        <v/>
      </c>
    </row>
    <row r="42">
      <c r="A42" s="23" t="n">
        <v>22647</v>
      </c>
      <c r="B42" s="25">
        <f>VLOOKUP(Table30[[#This Row],[Month]],'DB Money Supply'!$A:$D,3)</f>
        <v/>
      </c>
      <c r="C42" s="65">
        <f>(Table30[[#This Row],[Real M2 Money Stock]]-B30)/B30</f>
        <v/>
      </c>
    </row>
    <row r="43">
      <c r="A43" s="23" t="n">
        <v>22678</v>
      </c>
      <c r="B43" s="25">
        <f>VLOOKUP(Table30[[#This Row],[Month]],'DB Money Supply'!$A:$D,3)</f>
        <v/>
      </c>
      <c r="C43" s="65">
        <f>(Table30[[#This Row],[Real M2 Money Stock]]-B31)/B31</f>
        <v/>
      </c>
    </row>
    <row r="44">
      <c r="A44" s="23" t="n">
        <v>22706</v>
      </c>
      <c r="B44" s="25">
        <f>VLOOKUP(Table30[[#This Row],[Month]],'DB Money Supply'!$A:$D,3)</f>
        <v/>
      </c>
      <c r="C44" s="65">
        <f>(Table30[[#This Row],[Real M2 Money Stock]]-B32)/B32</f>
        <v/>
      </c>
    </row>
    <row r="45">
      <c r="A45" s="23" t="n">
        <v>22737</v>
      </c>
      <c r="B45" s="25">
        <f>VLOOKUP(Table30[[#This Row],[Month]],'DB Money Supply'!$A:$D,3)</f>
        <v/>
      </c>
      <c r="C45" s="65">
        <f>(Table30[[#This Row],[Real M2 Money Stock]]-B33)/B33</f>
        <v/>
      </c>
    </row>
    <row r="46">
      <c r="A46" s="23" t="n">
        <v>22767</v>
      </c>
      <c r="B46" s="25">
        <f>VLOOKUP(Table30[[#This Row],[Month]],'DB Money Supply'!$A:$D,3)</f>
        <v/>
      </c>
      <c r="C46" s="65">
        <f>(Table30[[#This Row],[Real M2 Money Stock]]-B34)/B34</f>
        <v/>
      </c>
    </row>
    <row r="47">
      <c r="A47" s="23" t="n">
        <v>22798</v>
      </c>
      <c r="B47" s="25">
        <f>VLOOKUP(Table30[[#This Row],[Month]],'DB Money Supply'!$A:$D,3)</f>
        <v/>
      </c>
      <c r="C47" s="65">
        <f>(Table30[[#This Row],[Real M2 Money Stock]]-B35)/B35</f>
        <v/>
      </c>
    </row>
    <row r="48">
      <c r="A48" s="23" t="n">
        <v>22828</v>
      </c>
      <c r="B48" s="25">
        <f>VLOOKUP(Table30[[#This Row],[Month]],'DB Money Supply'!$A:$D,3)</f>
        <v/>
      </c>
      <c r="C48" s="65">
        <f>(Table30[[#This Row],[Real M2 Money Stock]]-B36)/B36</f>
        <v/>
      </c>
    </row>
    <row r="49">
      <c r="A49" s="23" t="n">
        <v>22859</v>
      </c>
      <c r="B49" s="25">
        <f>VLOOKUP(Table30[[#This Row],[Month]],'DB Money Supply'!$A:$D,3)</f>
        <v/>
      </c>
      <c r="C49" s="65">
        <f>(Table30[[#This Row],[Real M2 Money Stock]]-B37)/B37</f>
        <v/>
      </c>
    </row>
    <row r="50">
      <c r="A50" s="23" t="n">
        <v>22890</v>
      </c>
      <c r="B50" s="25">
        <f>VLOOKUP(Table30[[#This Row],[Month]],'DB Money Supply'!$A:$D,3)</f>
        <v/>
      </c>
      <c r="C50" s="65">
        <f>(Table30[[#This Row],[Real M2 Money Stock]]-B38)/B38</f>
        <v/>
      </c>
    </row>
    <row r="51">
      <c r="A51" s="23" t="n">
        <v>22920</v>
      </c>
      <c r="B51" s="25">
        <f>VLOOKUP(Table30[[#This Row],[Month]],'DB Money Supply'!$A:$D,3)</f>
        <v/>
      </c>
      <c r="C51" s="65">
        <f>(Table30[[#This Row],[Real M2 Money Stock]]-B39)/B39</f>
        <v/>
      </c>
    </row>
    <row r="52">
      <c r="A52" s="23" t="n">
        <v>22951</v>
      </c>
      <c r="B52" s="25">
        <f>VLOOKUP(Table30[[#This Row],[Month]],'DB Money Supply'!$A:$D,3)</f>
        <v/>
      </c>
      <c r="C52" s="65">
        <f>(Table30[[#This Row],[Real M2 Money Stock]]-B40)/B40</f>
        <v/>
      </c>
    </row>
    <row r="53">
      <c r="A53" s="23" t="n">
        <v>22981</v>
      </c>
      <c r="B53" s="25">
        <f>VLOOKUP(Table30[[#This Row],[Month]],'DB Money Supply'!$A:$D,3)</f>
        <v/>
      </c>
      <c r="C53" s="65">
        <f>(Table30[[#This Row],[Real M2 Money Stock]]-B41)/B41</f>
        <v/>
      </c>
    </row>
    <row r="54">
      <c r="A54" s="23" t="n">
        <v>23012</v>
      </c>
      <c r="B54" s="25">
        <f>VLOOKUP(Table30[[#This Row],[Month]],'DB Money Supply'!$A:$D,3)</f>
        <v/>
      </c>
      <c r="C54" s="65">
        <f>(Table30[[#This Row],[Real M2 Money Stock]]-B42)/B42</f>
        <v/>
      </c>
    </row>
    <row r="55">
      <c r="A55" s="23" t="n">
        <v>23043</v>
      </c>
      <c r="B55" s="25">
        <f>VLOOKUP(Table30[[#This Row],[Month]],'DB Money Supply'!$A:$D,3)</f>
        <v/>
      </c>
      <c r="C55" s="65">
        <f>(Table30[[#This Row],[Real M2 Money Stock]]-B43)/B43</f>
        <v/>
      </c>
    </row>
    <row r="56">
      <c r="A56" s="23" t="n">
        <v>23071</v>
      </c>
      <c r="B56" s="25">
        <f>VLOOKUP(Table30[[#This Row],[Month]],'DB Money Supply'!$A:$D,3)</f>
        <v/>
      </c>
      <c r="C56" s="65">
        <f>(Table30[[#This Row],[Real M2 Money Stock]]-B44)/B44</f>
        <v/>
      </c>
    </row>
    <row r="57">
      <c r="A57" s="23" t="n">
        <v>23102</v>
      </c>
      <c r="B57" s="25">
        <f>VLOOKUP(Table30[[#This Row],[Month]],'DB Money Supply'!$A:$D,3)</f>
        <v/>
      </c>
      <c r="C57" s="65">
        <f>(Table30[[#This Row],[Real M2 Money Stock]]-B45)/B45</f>
        <v/>
      </c>
    </row>
    <row r="58">
      <c r="A58" s="23" t="n">
        <v>23132</v>
      </c>
      <c r="B58" s="25">
        <f>VLOOKUP(Table30[[#This Row],[Month]],'DB Money Supply'!$A:$D,3)</f>
        <v/>
      </c>
      <c r="C58" s="65">
        <f>(Table30[[#This Row],[Real M2 Money Stock]]-B46)/B46</f>
        <v/>
      </c>
    </row>
    <row r="59">
      <c r="A59" s="23" t="n">
        <v>23163</v>
      </c>
      <c r="B59" s="25">
        <f>VLOOKUP(Table30[[#This Row],[Month]],'DB Money Supply'!$A:$D,3)</f>
        <v/>
      </c>
      <c r="C59" s="65">
        <f>(Table30[[#This Row],[Real M2 Money Stock]]-B47)/B47</f>
        <v/>
      </c>
    </row>
    <row r="60">
      <c r="A60" s="23" t="n">
        <v>23193</v>
      </c>
      <c r="B60" s="25">
        <f>VLOOKUP(Table30[[#This Row],[Month]],'DB Money Supply'!$A:$D,3)</f>
        <v/>
      </c>
      <c r="C60" s="65">
        <f>(Table30[[#This Row],[Real M2 Money Stock]]-B48)/B48</f>
        <v/>
      </c>
    </row>
    <row r="61">
      <c r="A61" s="23" t="n">
        <v>23224</v>
      </c>
      <c r="B61" s="25">
        <f>VLOOKUP(Table30[[#This Row],[Month]],'DB Money Supply'!$A:$D,3)</f>
        <v/>
      </c>
      <c r="C61" s="65">
        <f>(Table30[[#This Row],[Real M2 Money Stock]]-B49)/B49</f>
        <v/>
      </c>
    </row>
    <row r="62">
      <c r="A62" s="23" t="n">
        <v>23255</v>
      </c>
      <c r="B62" s="25">
        <f>VLOOKUP(Table30[[#This Row],[Month]],'DB Money Supply'!$A:$D,3)</f>
        <v/>
      </c>
      <c r="C62" s="65">
        <f>(Table30[[#This Row],[Real M2 Money Stock]]-B50)/B50</f>
        <v/>
      </c>
    </row>
    <row r="63">
      <c r="A63" s="23" t="n">
        <v>23285</v>
      </c>
      <c r="B63" s="25">
        <f>VLOOKUP(Table30[[#This Row],[Month]],'DB Money Supply'!$A:$D,3)</f>
        <v/>
      </c>
      <c r="C63" s="65">
        <f>(Table30[[#This Row],[Real M2 Money Stock]]-B51)/B51</f>
        <v/>
      </c>
    </row>
    <row r="64">
      <c r="A64" s="23" t="n">
        <v>23316</v>
      </c>
      <c r="B64" s="25">
        <f>VLOOKUP(Table30[[#This Row],[Month]],'DB Money Supply'!$A:$D,3)</f>
        <v/>
      </c>
      <c r="C64" s="65">
        <f>(Table30[[#This Row],[Real M2 Money Stock]]-B52)/B52</f>
        <v/>
      </c>
    </row>
    <row r="65">
      <c r="A65" s="23" t="n">
        <v>23346</v>
      </c>
      <c r="B65" s="25">
        <f>VLOOKUP(Table30[[#This Row],[Month]],'DB Money Supply'!$A:$D,3)</f>
        <v/>
      </c>
      <c r="C65" s="65">
        <f>(Table30[[#This Row],[Real M2 Money Stock]]-B53)/B53</f>
        <v/>
      </c>
    </row>
    <row r="66">
      <c r="A66" s="23" t="n">
        <v>23377</v>
      </c>
      <c r="B66" s="25">
        <f>VLOOKUP(Table30[[#This Row],[Month]],'DB Money Supply'!$A:$D,3)</f>
        <v/>
      </c>
      <c r="C66" s="65">
        <f>(Table30[[#This Row],[Real M2 Money Stock]]-B54)/B54</f>
        <v/>
      </c>
    </row>
    <row r="67">
      <c r="A67" s="23" t="n">
        <v>23408</v>
      </c>
      <c r="B67" s="25">
        <f>VLOOKUP(Table30[[#This Row],[Month]],'DB Money Supply'!$A:$D,3)</f>
        <v/>
      </c>
      <c r="C67" s="65">
        <f>(Table30[[#This Row],[Real M2 Money Stock]]-B55)/B55</f>
        <v/>
      </c>
    </row>
    <row r="68">
      <c r="A68" s="23" t="n">
        <v>23437</v>
      </c>
      <c r="B68" s="25">
        <f>VLOOKUP(Table30[[#This Row],[Month]],'DB Money Supply'!$A:$D,3)</f>
        <v/>
      </c>
      <c r="C68" s="65">
        <f>(Table30[[#This Row],[Real M2 Money Stock]]-B56)/B56</f>
        <v/>
      </c>
    </row>
    <row r="69">
      <c r="A69" s="23" t="n">
        <v>23468</v>
      </c>
      <c r="B69" s="25">
        <f>VLOOKUP(Table30[[#This Row],[Month]],'DB Money Supply'!$A:$D,3)</f>
        <v/>
      </c>
      <c r="C69" s="65">
        <f>(Table30[[#This Row],[Real M2 Money Stock]]-B57)/B57</f>
        <v/>
      </c>
    </row>
    <row r="70">
      <c r="A70" s="23" t="n">
        <v>23498</v>
      </c>
      <c r="B70" s="25">
        <f>VLOOKUP(Table30[[#This Row],[Month]],'DB Money Supply'!$A:$D,3)</f>
        <v/>
      </c>
      <c r="C70" s="65">
        <f>(Table30[[#This Row],[Real M2 Money Stock]]-B58)/B58</f>
        <v/>
      </c>
    </row>
    <row r="71">
      <c r="A71" s="23" t="n">
        <v>23529</v>
      </c>
      <c r="B71" s="25">
        <f>VLOOKUP(Table30[[#This Row],[Month]],'DB Money Supply'!$A:$D,3)</f>
        <v/>
      </c>
      <c r="C71" s="65">
        <f>(Table30[[#This Row],[Real M2 Money Stock]]-B59)/B59</f>
        <v/>
      </c>
    </row>
    <row r="72">
      <c r="A72" s="23" t="n">
        <v>23559</v>
      </c>
      <c r="B72" s="25">
        <f>VLOOKUP(Table30[[#This Row],[Month]],'DB Money Supply'!$A:$D,3)</f>
        <v/>
      </c>
      <c r="C72" s="65">
        <f>(Table30[[#This Row],[Real M2 Money Stock]]-B60)/B60</f>
        <v/>
      </c>
    </row>
    <row r="73">
      <c r="A73" s="23" t="n">
        <v>23590</v>
      </c>
      <c r="B73" s="25">
        <f>VLOOKUP(Table30[[#This Row],[Month]],'DB Money Supply'!$A:$D,3)</f>
        <v/>
      </c>
      <c r="C73" s="65">
        <f>(Table30[[#This Row],[Real M2 Money Stock]]-B61)/B61</f>
        <v/>
      </c>
    </row>
    <row r="74">
      <c r="A74" s="23" t="n">
        <v>23621</v>
      </c>
      <c r="B74" s="25">
        <f>VLOOKUP(Table30[[#This Row],[Month]],'DB Money Supply'!$A:$D,3)</f>
        <v/>
      </c>
      <c r="C74" s="65">
        <f>(Table30[[#This Row],[Real M2 Money Stock]]-B62)/B62</f>
        <v/>
      </c>
    </row>
    <row r="75">
      <c r="A75" s="23" t="n">
        <v>23651</v>
      </c>
      <c r="B75" s="25">
        <f>VLOOKUP(Table30[[#This Row],[Month]],'DB Money Supply'!$A:$D,3)</f>
        <v/>
      </c>
      <c r="C75" s="65">
        <f>(Table30[[#This Row],[Real M2 Money Stock]]-B63)/B63</f>
        <v/>
      </c>
    </row>
    <row r="76">
      <c r="A76" s="23" t="n">
        <v>23682</v>
      </c>
      <c r="B76" s="25">
        <f>VLOOKUP(Table30[[#This Row],[Month]],'DB Money Supply'!$A:$D,3)</f>
        <v/>
      </c>
      <c r="C76" s="65">
        <f>(Table30[[#This Row],[Real M2 Money Stock]]-B64)/B64</f>
        <v/>
      </c>
    </row>
    <row r="77">
      <c r="A77" s="23" t="n">
        <v>23712</v>
      </c>
      <c r="B77" s="25">
        <f>VLOOKUP(Table30[[#This Row],[Month]],'DB Money Supply'!$A:$D,3)</f>
        <v/>
      </c>
      <c r="C77" s="65">
        <f>(Table30[[#This Row],[Real M2 Money Stock]]-B65)/B65</f>
        <v/>
      </c>
    </row>
    <row r="78">
      <c r="A78" s="23" t="n">
        <v>23743</v>
      </c>
      <c r="B78" s="25">
        <f>VLOOKUP(Table30[[#This Row],[Month]],'DB Money Supply'!$A:$D,3)</f>
        <v/>
      </c>
      <c r="C78" s="65">
        <f>(Table30[[#This Row],[Real M2 Money Stock]]-B66)/B66</f>
        <v/>
      </c>
    </row>
    <row r="79">
      <c r="A79" s="23" t="n">
        <v>23774</v>
      </c>
      <c r="B79" s="25">
        <f>VLOOKUP(Table30[[#This Row],[Month]],'DB Money Supply'!$A:$D,3)</f>
        <v/>
      </c>
      <c r="C79" s="65">
        <f>(Table30[[#This Row],[Real M2 Money Stock]]-B67)/B67</f>
        <v/>
      </c>
    </row>
    <row r="80">
      <c r="A80" s="23" t="n">
        <v>23802</v>
      </c>
      <c r="B80" s="25">
        <f>VLOOKUP(Table30[[#This Row],[Month]],'DB Money Supply'!$A:$D,3)</f>
        <v/>
      </c>
      <c r="C80" s="65">
        <f>(Table30[[#This Row],[Real M2 Money Stock]]-B68)/B68</f>
        <v/>
      </c>
    </row>
    <row r="81">
      <c r="A81" s="23" t="n">
        <v>23833</v>
      </c>
      <c r="B81" s="25">
        <f>VLOOKUP(Table30[[#This Row],[Month]],'DB Money Supply'!$A:$D,3)</f>
        <v/>
      </c>
      <c r="C81" s="65">
        <f>(Table30[[#This Row],[Real M2 Money Stock]]-B69)/B69</f>
        <v/>
      </c>
    </row>
    <row r="82">
      <c r="A82" s="23" t="n">
        <v>23863</v>
      </c>
      <c r="B82" s="25">
        <f>VLOOKUP(Table30[[#This Row],[Month]],'DB Money Supply'!$A:$D,3)</f>
        <v/>
      </c>
      <c r="C82" s="65">
        <f>(Table30[[#This Row],[Real M2 Money Stock]]-B70)/B70</f>
        <v/>
      </c>
    </row>
    <row r="83">
      <c r="A83" s="23" t="n">
        <v>23894</v>
      </c>
      <c r="B83" s="25">
        <f>VLOOKUP(Table30[[#This Row],[Month]],'DB Money Supply'!$A:$D,3)</f>
        <v/>
      </c>
      <c r="C83" s="65">
        <f>(Table30[[#This Row],[Real M2 Money Stock]]-B71)/B71</f>
        <v/>
      </c>
    </row>
    <row r="84">
      <c r="A84" s="23" t="n">
        <v>23924</v>
      </c>
      <c r="B84" s="25">
        <f>VLOOKUP(Table30[[#This Row],[Month]],'DB Money Supply'!$A:$D,3)</f>
        <v/>
      </c>
      <c r="C84" s="65">
        <f>(Table30[[#This Row],[Real M2 Money Stock]]-B72)/B72</f>
        <v/>
      </c>
    </row>
    <row r="85">
      <c r="A85" s="23" t="n">
        <v>23955</v>
      </c>
      <c r="B85" s="25">
        <f>VLOOKUP(Table30[[#This Row],[Month]],'DB Money Supply'!$A:$D,3)</f>
        <v/>
      </c>
      <c r="C85" s="65">
        <f>(Table30[[#This Row],[Real M2 Money Stock]]-B73)/B73</f>
        <v/>
      </c>
    </row>
    <row r="86">
      <c r="A86" s="23" t="n">
        <v>23986</v>
      </c>
      <c r="B86" s="25">
        <f>VLOOKUP(Table30[[#This Row],[Month]],'DB Money Supply'!$A:$D,3)</f>
        <v/>
      </c>
      <c r="C86" s="65">
        <f>(Table30[[#This Row],[Real M2 Money Stock]]-B74)/B74</f>
        <v/>
      </c>
    </row>
    <row r="87">
      <c r="A87" s="23" t="n">
        <v>24016</v>
      </c>
      <c r="B87" s="25">
        <f>VLOOKUP(Table30[[#This Row],[Month]],'DB Money Supply'!$A:$D,3)</f>
        <v/>
      </c>
      <c r="C87" s="65">
        <f>(Table30[[#This Row],[Real M2 Money Stock]]-B75)/B75</f>
        <v/>
      </c>
    </row>
    <row r="88">
      <c r="A88" s="23" t="n">
        <v>24047</v>
      </c>
      <c r="B88" s="25">
        <f>VLOOKUP(Table30[[#This Row],[Month]],'DB Money Supply'!$A:$D,3)</f>
        <v/>
      </c>
      <c r="C88" s="65">
        <f>(Table30[[#This Row],[Real M2 Money Stock]]-B76)/B76</f>
        <v/>
      </c>
    </row>
    <row r="89">
      <c r="A89" s="23" t="n">
        <v>24077</v>
      </c>
      <c r="B89" s="25">
        <f>VLOOKUP(Table30[[#This Row],[Month]],'DB Money Supply'!$A:$D,3)</f>
        <v/>
      </c>
      <c r="C89" s="65">
        <f>(Table30[[#This Row],[Real M2 Money Stock]]-B77)/B77</f>
        <v/>
      </c>
    </row>
    <row r="90">
      <c r="A90" s="23" t="n">
        <v>24108</v>
      </c>
      <c r="B90" s="25">
        <f>VLOOKUP(Table30[[#This Row],[Month]],'DB Money Supply'!$A:$D,3)</f>
        <v/>
      </c>
      <c r="C90" s="65">
        <f>(Table30[[#This Row],[Real M2 Money Stock]]-B78)/B78</f>
        <v/>
      </c>
    </row>
    <row r="91">
      <c r="A91" s="23" t="n">
        <v>24139</v>
      </c>
      <c r="B91" s="25">
        <f>VLOOKUP(Table30[[#This Row],[Month]],'DB Money Supply'!$A:$D,3)</f>
        <v/>
      </c>
      <c r="C91" s="65">
        <f>(Table30[[#This Row],[Real M2 Money Stock]]-B79)/B79</f>
        <v/>
      </c>
    </row>
    <row r="92">
      <c r="A92" s="23" t="n">
        <v>24167</v>
      </c>
      <c r="B92" s="25">
        <f>VLOOKUP(Table30[[#This Row],[Month]],'DB Money Supply'!$A:$D,3)</f>
        <v/>
      </c>
      <c r="C92" s="65">
        <f>(Table30[[#This Row],[Real M2 Money Stock]]-B80)/B80</f>
        <v/>
      </c>
    </row>
    <row r="93">
      <c r="A93" s="23" t="n">
        <v>24198</v>
      </c>
      <c r="B93" s="25">
        <f>VLOOKUP(Table30[[#This Row],[Month]],'DB Money Supply'!$A:$D,3)</f>
        <v/>
      </c>
      <c r="C93" s="65">
        <f>(Table30[[#This Row],[Real M2 Money Stock]]-B81)/B81</f>
        <v/>
      </c>
    </row>
    <row r="94">
      <c r="A94" s="23" t="n">
        <v>24228</v>
      </c>
      <c r="B94" s="25">
        <f>VLOOKUP(Table30[[#This Row],[Month]],'DB Money Supply'!$A:$D,3)</f>
        <v/>
      </c>
      <c r="C94" s="65">
        <f>(Table30[[#This Row],[Real M2 Money Stock]]-B82)/B82</f>
        <v/>
      </c>
    </row>
    <row r="95">
      <c r="A95" s="23" t="n">
        <v>24259</v>
      </c>
      <c r="B95" s="25">
        <f>VLOOKUP(Table30[[#This Row],[Month]],'DB Money Supply'!$A:$D,3)</f>
        <v/>
      </c>
      <c r="C95" s="65">
        <f>(Table30[[#This Row],[Real M2 Money Stock]]-B83)/B83</f>
        <v/>
      </c>
    </row>
    <row r="96">
      <c r="A96" s="23" t="n">
        <v>24289</v>
      </c>
      <c r="B96" s="25">
        <f>VLOOKUP(Table30[[#This Row],[Month]],'DB Money Supply'!$A:$D,3)</f>
        <v/>
      </c>
      <c r="C96" s="65">
        <f>(Table30[[#This Row],[Real M2 Money Stock]]-B84)/B84</f>
        <v/>
      </c>
    </row>
    <row r="97">
      <c r="A97" s="23" t="n">
        <v>24320</v>
      </c>
      <c r="B97" s="25">
        <f>VLOOKUP(Table30[[#This Row],[Month]],'DB Money Supply'!$A:$D,3)</f>
        <v/>
      </c>
      <c r="C97" s="65">
        <f>(Table30[[#This Row],[Real M2 Money Stock]]-B85)/B85</f>
        <v/>
      </c>
    </row>
    <row r="98">
      <c r="A98" s="23" t="n">
        <v>24351</v>
      </c>
      <c r="B98" s="25">
        <f>VLOOKUP(Table30[[#This Row],[Month]],'DB Money Supply'!$A:$D,3)</f>
        <v/>
      </c>
      <c r="C98" s="65">
        <f>(Table30[[#This Row],[Real M2 Money Stock]]-B86)/B86</f>
        <v/>
      </c>
    </row>
    <row r="99">
      <c r="A99" s="23" t="n">
        <v>24381</v>
      </c>
      <c r="B99" s="25">
        <f>VLOOKUP(Table30[[#This Row],[Month]],'DB Money Supply'!$A:$D,3)</f>
        <v/>
      </c>
      <c r="C99" s="65">
        <f>(Table30[[#This Row],[Real M2 Money Stock]]-B87)/B87</f>
        <v/>
      </c>
    </row>
    <row r="100">
      <c r="A100" s="23" t="n">
        <v>24412</v>
      </c>
      <c r="B100" s="25">
        <f>VLOOKUP(Table30[[#This Row],[Month]],'DB Money Supply'!$A:$D,3)</f>
        <v/>
      </c>
      <c r="C100" s="65">
        <f>(Table30[[#This Row],[Real M2 Money Stock]]-B88)/B88</f>
        <v/>
      </c>
    </row>
    <row r="101">
      <c r="A101" s="23" t="n">
        <v>24442</v>
      </c>
      <c r="B101" s="25">
        <f>VLOOKUP(Table30[[#This Row],[Month]],'DB Money Supply'!$A:$D,3)</f>
        <v/>
      </c>
      <c r="C101" s="65">
        <f>(Table30[[#This Row],[Real M2 Money Stock]]-B89)/B89</f>
        <v/>
      </c>
    </row>
    <row r="102">
      <c r="A102" s="23" t="n">
        <v>24473</v>
      </c>
      <c r="B102" s="25">
        <f>VLOOKUP(Table30[[#This Row],[Month]],'DB Money Supply'!$A:$D,3)</f>
        <v/>
      </c>
      <c r="C102" s="65">
        <f>(Table30[[#This Row],[Real M2 Money Stock]]-B90)/B90</f>
        <v/>
      </c>
    </row>
    <row r="103">
      <c r="A103" s="23" t="n">
        <v>24504</v>
      </c>
      <c r="B103" s="25">
        <f>VLOOKUP(Table30[[#This Row],[Month]],'DB Money Supply'!$A:$D,3)</f>
        <v/>
      </c>
      <c r="C103" s="65">
        <f>(Table30[[#This Row],[Real M2 Money Stock]]-B91)/B91</f>
        <v/>
      </c>
    </row>
    <row r="104">
      <c r="A104" s="23" t="n">
        <v>24532</v>
      </c>
      <c r="B104" s="25">
        <f>VLOOKUP(Table30[[#This Row],[Month]],'DB Money Supply'!$A:$D,3)</f>
        <v/>
      </c>
      <c r="C104" s="65">
        <f>(Table30[[#This Row],[Real M2 Money Stock]]-B92)/B92</f>
        <v/>
      </c>
    </row>
    <row r="105">
      <c r="A105" s="23" t="n">
        <v>24563</v>
      </c>
      <c r="B105" s="25">
        <f>VLOOKUP(Table30[[#This Row],[Month]],'DB Money Supply'!$A:$D,3)</f>
        <v/>
      </c>
      <c r="C105" s="65">
        <f>(Table30[[#This Row],[Real M2 Money Stock]]-B93)/B93</f>
        <v/>
      </c>
    </row>
    <row r="106">
      <c r="A106" s="23" t="n">
        <v>24593</v>
      </c>
      <c r="B106" s="25">
        <f>VLOOKUP(Table30[[#This Row],[Month]],'DB Money Supply'!$A:$D,3)</f>
        <v/>
      </c>
      <c r="C106" s="65">
        <f>(Table30[[#This Row],[Real M2 Money Stock]]-B94)/B94</f>
        <v/>
      </c>
    </row>
    <row r="107">
      <c r="A107" s="23" t="n">
        <v>24624</v>
      </c>
      <c r="B107" s="25">
        <f>VLOOKUP(Table30[[#This Row],[Month]],'DB Money Supply'!$A:$D,3)</f>
        <v/>
      </c>
      <c r="C107" s="65">
        <f>(Table30[[#This Row],[Real M2 Money Stock]]-B95)/B95</f>
        <v/>
      </c>
    </row>
    <row r="108">
      <c r="A108" s="23" t="n">
        <v>24654</v>
      </c>
      <c r="B108" s="25">
        <f>VLOOKUP(Table30[[#This Row],[Month]],'DB Money Supply'!$A:$D,3)</f>
        <v/>
      </c>
      <c r="C108" s="65">
        <f>(Table30[[#This Row],[Real M2 Money Stock]]-B96)/B96</f>
        <v/>
      </c>
    </row>
    <row r="109">
      <c r="A109" s="23" t="n">
        <v>24685</v>
      </c>
      <c r="B109" s="25">
        <f>VLOOKUP(Table30[[#This Row],[Month]],'DB Money Supply'!$A:$D,3)</f>
        <v/>
      </c>
      <c r="C109" s="65">
        <f>(Table30[[#This Row],[Real M2 Money Stock]]-B97)/B97</f>
        <v/>
      </c>
    </row>
    <row r="110">
      <c r="A110" s="23" t="n">
        <v>24716</v>
      </c>
      <c r="B110" s="25">
        <f>VLOOKUP(Table30[[#This Row],[Month]],'DB Money Supply'!$A:$D,3)</f>
        <v/>
      </c>
      <c r="C110" s="65">
        <f>(Table30[[#This Row],[Real M2 Money Stock]]-B98)/B98</f>
        <v/>
      </c>
    </row>
    <row r="111">
      <c r="A111" s="23" t="n">
        <v>24746</v>
      </c>
      <c r="B111" s="25">
        <f>VLOOKUP(Table30[[#This Row],[Month]],'DB Money Supply'!$A:$D,3)</f>
        <v/>
      </c>
      <c r="C111" s="65">
        <f>(Table30[[#This Row],[Real M2 Money Stock]]-B99)/B99</f>
        <v/>
      </c>
    </row>
    <row r="112">
      <c r="A112" s="23" t="n">
        <v>24777</v>
      </c>
      <c r="B112" s="25">
        <f>VLOOKUP(Table30[[#This Row],[Month]],'DB Money Supply'!$A:$D,3)</f>
        <v/>
      </c>
      <c r="C112" s="65">
        <f>(Table30[[#This Row],[Real M2 Money Stock]]-B100)/B100</f>
        <v/>
      </c>
    </row>
    <row r="113">
      <c r="A113" s="23" t="n">
        <v>24807</v>
      </c>
      <c r="B113" s="25">
        <f>VLOOKUP(Table30[[#This Row],[Month]],'DB Money Supply'!$A:$D,3)</f>
        <v/>
      </c>
      <c r="C113" s="65">
        <f>(Table30[[#This Row],[Real M2 Money Stock]]-B101)/B101</f>
        <v/>
      </c>
    </row>
    <row r="114">
      <c r="A114" s="23" t="n">
        <v>24838</v>
      </c>
      <c r="B114" s="25">
        <f>VLOOKUP(Table30[[#This Row],[Month]],'DB Money Supply'!$A:$D,3)</f>
        <v/>
      </c>
      <c r="C114" s="65">
        <f>(Table30[[#This Row],[Real M2 Money Stock]]-B102)/B102</f>
        <v/>
      </c>
    </row>
    <row r="115">
      <c r="A115" s="23" t="n">
        <v>24869</v>
      </c>
      <c r="B115" s="25">
        <f>VLOOKUP(Table30[[#This Row],[Month]],'DB Money Supply'!$A:$D,3)</f>
        <v/>
      </c>
      <c r="C115" s="65">
        <f>(Table30[[#This Row],[Real M2 Money Stock]]-B103)/B103</f>
        <v/>
      </c>
    </row>
    <row r="116">
      <c r="A116" s="23" t="n">
        <v>24898</v>
      </c>
      <c r="B116" s="25">
        <f>VLOOKUP(Table30[[#This Row],[Month]],'DB Money Supply'!$A:$D,3)</f>
        <v/>
      </c>
      <c r="C116" s="65">
        <f>(Table30[[#This Row],[Real M2 Money Stock]]-B104)/B104</f>
        <v/>
      </c>
    </row>
    <row r="117">
      <c r="A117" s="23" t="n">
        <v>24929</v>
      </c>
      <c r="B117" s="25">
        <f>VLOOKUP(Table30[[#This Row],[Month]],'DB Money Supply'!$A:$D,3)</f>
        <v/>
      </c>
      <c r="C117" s="65">
        <f>(Table30[[#This Row],[Real M2 Money Stock]]-B105)/B105</f>
        <v/>
      </c>
    </row>
    <row r="118">
      <c r="A118" s="23" t="n">
        <v>24959</v>
      </c>
      <c r="B118" s="25">
        <f>VLOOKUP(Table30[[#This Row],[Month]],'DB Money Supply'!$A:$D,3)</f>
        <v/>
      </c>
      <c r="C118" s="65">
        <f>(Table30[[#This Row],[Real M2 Money Stock]]-B106)/B106</f>
        <v/>
      </c>
    </row>
    <row r="119">
      <c r="A119" s="23" t="n">
        <v>24990</v>
      </c>
      <c r="B119" s="25">
        <f>VLOOKUP(Table30[[#This Row],[Month]],'DB Money Supply'!$A:$D,3)</f>
        <v/>
      </c>
      <c r="C119" s="65">
        <f>(Table30[[#This Row],[Real M2 Money Stock]]-B107)/B107</f>
        <v/>
      </c>
    </row>
    <row r="120">
      <c r="A120" s="23" t="n">
        <v>25020</v>
      </c>
      <c r="B120" s="25">
        <f>VLOOKUP(Table30[[#This Row],[Month]],'DB Money Supply'!$A:$D,3)</f>
        <v/>
      </c>
      <c r="C120" s="65">
        <f>(Table30[[#This Row],[Real M2 Money Stock]]-B108)/B108</f>
        <v/>
      </c>
    </row>
    <row r="121">
      <c r="A121" s="23" t="n">
        <v>25051</v>
      </c>
      <c r="B121" s="25">
        <f>VLOOKUP(Table30[[#This Row],[Month]],'DB Money Supply'!$A:$D,3)</f>
        <v/>
      </c>
      <c r="C121" s="65">
        <f>(Table30[[#This Row],[Real M2 Money Stock]]-B109)/B109</f>
        <v/>
      </c>
    </row>
    <row r="122">
      <c r="A122" s="23" t="n">
        <v>25082</v>
      </c>
      <c r="B122" s="25">
        <f>VLOOKUP(Table30[[#This Row],[Month]],'DB Money Supply'!$A:$D,3)</f>
        <v/>
      </c>
      <c r="C122" s="65">
        <f>(Table30[[#This Row],[Real M2 Money Stock]]-B110)/B110</f>
        <v/>
      </c>
    </row>
    <row r="123">
      <c r="A123" s="23" t="n">
        <v>25112</v>
      </c>
      <c r="B123" s="25">
        <f>VLOOKUP(Table30[[#This Row],[Month]],'DB Money Supply'!$A:$D,3)</f>
        <v/>
      </c>
      <c r="C123" s="65">
        <f>(Table30[[#This Row],[Real M2 Money Stock]]-B111)/B111</f>
        <v/>
      </c>
    </row>
    <row r="124">
      <c r="A124" s="23" t="n">
        <v>25143</v>
      </c>
      <c r="B124" s="25">
        <f>VLOOKUP(Table30[[#This Row],[Month]],'DB Money Supply'!$A:$D,3)</f>
        <v/>
      </c>
      <c r="C124" s="65">
        <f>(Table30[[#This Row],[Real M2 Money Stock]]-B112)/B112</f>
        <v/>
      </c>
    </row>
    <row r="125">
      <c r="A125" s="23" t="n">
        <v>25173</v>
      </c>
      <c r="B125" s="25">
        <f>VLOOKUP(Table30[[#This Row],[Month]],'DB Money Supply'!$A:$D,3)</f>
        <v/>
      </c>
      <c r="C125" s="65">
        <f>(Table30[[#This Row],[Real M2 Money Stock]]-B113)/B113</f>
        <v/>
      </c>
    </row>
    <row r="126">
      <c r="A126" s="23" t="n">
        <v>25204</v>
      </c>
      <c r="B126" s="25">
        <f>VLOOKUP(Table30[[#This Row],[Month]],'DB Money Supply'!$A:$D,3)</f>
        <v/>
      </c>
      <c r="C126" s="65">
        <f>(Table30[[#This Row],[Real M2 Money Stock]]-B114)/B114</f>
        <v/>
      </c>
    </row>
    <row r="127">
      <c r="A127" s="23" t="n">
        <v>25235</v>
      </c>
      <c r="B127" s="25">
        <f>VLOOKUP(Table30[[#This Row],[Month]],'DB Money Supply'!$A:$D,3)</f>
        <v/>
      </c>
      <c r="C127" s="65">
        <f>(Table30[[#This Row],[Real M2 Money Stock]]-B115)/B115</f>
        <v/>
      </c>
    </row>
    <row r="128">
      <c r="A128" s="23" t="n">
        <v>25263</v>
      </c>
      <c r="B128" s="25">
        <f>VLOOKUP(Table30[[#This Row],[Month]],'DB Money Supply'!$A:$D,3)</f>
        <v/>
      </c>
      <c r="C128" s="65">
        <f>(Table30[[#This Row],[Real M2 Money Stock]]-B116)/B116</f>
        <v/>
      </c>
    </row>
    <row r="129">
      <c r="A129" s="23" t="n">
        <v>25294</v>
      </c>
      <c r="B129" s="25">
        <f>VLOOKUP(Table30[[#This Row],[Month]],'DB Money Supply'!$A:$D,3)</f>
        <v/>
      </c>
      <c r="C129" s="65">
        <f>(Table30[[#This Row],[Real M2 Money Stock]]-B117)/B117</f>
        <v/>
      </c>
    </row>
    <row r="130">
      <c r="A130" s="23" t="n">
        <v>25324</v>
      </c>
      <c r="B130" s="25">
        <f>VLOOKUP(Table30[[#This Row],[Month]],'DB Money Supply'!$A:$D,3)</f>
        <v/>
      </c>
      <c r="C130" s="65">
        <f>(Table30[[#This Row],[Real M2 Money Stock]]-B118)/B118</f>
        <v/>
      </c>
    </row>
    <row r="131">
      <c r="A131" s="23" t="n">
        <v>25355</v>
      </c>
      <c r="B131" s="25">
        <f>VLOOKUP(Table30[[#This Row],[Month]],'DB Money Supply'!$A:$D,3)</f>
        <v/>
      </c>
      <c r="C131" s="65">
        <f>(Table30[[#This Row],[Real M2 Money Stock]]-B119)/B119</f>
        <v/>
      </c>
    </row>
    <row r="132">
      <c r="A132" s="23" t="n">
        <v>25385</v>
      </c>
      <c r="B132" s="25">
        <f>VLOOKUP(Table30[[#This Row],[Month]],'DB Money Supply'!$A:$D,3)</f>
        <v/>
      </c>
      <c r="C132" s="65">
        <f>(Table30[[#This Row],[Real M2 Money Stock]]-B120)/B120</f>
        <v/>
      </c>
    </row>
    <row r="133">
      <c r="A133" s="23" t="n">
        <v>25416</v>
      </c>
      <c r="B133" s="25">
        <f>VLOOKUP(Table30[[#This Row],[Month]],'DB Money Supply'!$A:$D,3)</f>
        <v/>
      </c>
      <c r="C133" s="65">
        <f>(Table30[[#This Row],[Real M2 Money Stock]]-B121)/B121</f>
        <v/>
      </c>
    </row>
    <row r="134">
      <c r="A134" s="23" t="n">
        <v>25447</v>
      </c>
      <c r="B134" s="25">
        <f>VLOOKUP(Table30[[#This Row],[Month]],'DB Money Supply'!$A:$D,3)</f>
        <v/>
      </c>
      <c r="C134" s="65">
        <f>(Table30[[#This Row],[Real M2 Money Stock]]-B122)/B122</f>
        <v/>
      </c>
    </row>
    <row r="135">
      <c r="A135" s="23" t="n">
        <v>25477</v>
      </c>
      <c r="B135" s="25">
        <f>VLOOKUP(Table30[[#This Row],[Month]],'DB Money Supply'!$A:$D,3)</f>
        <v/>
      </c>
      <c r="C135" s="65">
        <f>(Table30[[#This Row],[Real M2 Money Stock]]-B123)/B123</f>
        <v/>
      </c>
    </row>
    <row r="136">
      <c r="A136" s="23" t="n">
        <v>25508</v>
      </c>
      <c r="B136" s="25">
        <f>VLOOKUP(Table30[[#This Row],[Month]],'DB Money Supply'!$A:$D,3)</f>
        <v/>
      </c>
      <c r="C136" s="65">
        <f>(Table30[[#This Row],[Real M2 Money Stock]]-B124)/B124</f>
        <v/>
      </c>
    </row>
    <row r="137">
      <c r="A137" s="23" t="n">
        <v>25538</v>
      </c>
      <c r="B137" s="25">
        <f>VLOOKUP(Table30[[#This Row],[Month]],'DB Money Supply'!$A:$D,3)</f>
        <v/>
      </c>
      <c r="C137" s="65">
        <f>(Table30[[#This Row],[Real M2 Money Stock]]-B125)/B125</f>
        <v/>
      </c>
    </row>
    <row r="138">
      <c r="A138" s="23" t="n">
        <v>25569</v>
      </c>
      <c r="B138" s="25">
        <f>VLOOKUP(Table30[[#This Row],[Month]],'DB Money Supply'!$A:$D,3)</f>
        <v/>
      </c>
      <c r="C138" s="65">
        <f>(Table30[[#This Row],[Real M2 Money Stock]]-B126)/B126</f>
        <v/>
      </c>
    </row>
    <row r="139">
      <c r="A139" s="23" t="n">
        <v>25600</v>
      </c>
      <c r="B139" s="25">
        <f>VLOOKUP(Table30[[#This Row],[Month]],'DB Money Supply'!$A:$D,3)</f>
        <v/>
      </c>
      <c r="C139" s="65">
        <f>(Table30[[#This Row],[Real M2 Money Stock]]-B127)/B127</f>
        <v/>
      </c>
    </row>
    <row r="140">
      <c r="A140" s="23" t="n">
        <v>25628</v>
      </c>
      <c r="B140" s="25">
        <f>VLOOKUP(Table30[[#This Row],[Month]],'DB Money Supply'!$A:$D,3)</f>
        <v/>
      </c>
      <c r="C140" s="65">
        <f>(Table30[[#This Row],[Real M2 Money Stock]]-B128)/B128</f>
        <v/>
      </c>
    </row>
    <row r="141">
      <c r="A141" s="23" t="n">
        <v>25659</v>
      </c>
      <c r="B141" s="25">
        <f>VLOOKUP(Table30[[#This Row],[Month]],'DB Money Supply'!$A:$D,3)</f>
        <v/>
      </c>
      <c r="C141" s="65">
        <f>(Table30[[#This Row],[Real M2 Money Stock]]-B129)/B129</f>
        <v/>
      </c>
    </row>
    <row r="142">
      <c r="A142" s="23" t="n">
        <v>25689</v>
      </c>
      <c r="B142" s="25">
        <f>VLOOKUP(Table30[[#This Row],[Month]],'DB Money Supply'!$A:$D,3)</f>
        <v/>
      </c>
      <c r="C142" s="65">
        <f>(Table30[[#This Row],[Real M2 Money Stock]]-B130)/B130</f>
        <v/>
      </c>
    </row>
    <row r="143">
      <c r="A143" s="23" t="n">
        <v>25720</v>
      </c>
      <c r="B143" s="25">
        <f>VLOOKUP(Table30[[#This Row],[Month]],'DB Money Supply'!$A:$D,3)</f>
        <v/>
      </c>
      <c r="C143" s="65">
        <f>(Table30[[#This Row],[Real M2 Money Stock]]-B131)/B131</f>
        <v/>
      </c>
    </row>
    <row r="144">
      <c r="A144" s="23" t="n">
        <v>25750</v>
      </c>
      <c r="B144" s="25">
        <f>VLOOKUP(Table30[[#This Row],[Month]],'DB Money Supply'!$A:$D,3)</f>
        <v/>
      </c>
      <c r="C144" s="65">
        <f>(Table30[[#This Row],[Real M2 Money Stock]]-B132)/B132</f>
        <v/>
      </c>
    </row>
    <row r="145">
      <c r="A145" s="23" t="n">
        <v>25781</v>
      </c>
      <c r="B145" s="25">
        <f>VLOOKUP(Table30[[#This Row],[Month]],'DB Money Supply'!$A:$D,3)</f>
        <v/>
      </c>
      <c r="C145" s="65">
        <f>(Table30[[#This Row],[Real M2 Money Stock]]-B133)/B133</f>
        <v/>
      </c>
    </row>
    <row r="146">
      <c r="A146" s="23" t="n">
        <v>25812</v>
      </c>
      <c r="B146" s="25">
        <f>VLOOKUP(Table30[[#This Row],[Month]],'DB Money Supply'!$A:$D,3)</f>
        <v/>
      </c>
      <c r="C146" s="65">
        <f>(Table30[[#This Row],[Real M2 Money Stock]]-B134)/B134</f>
        <v/>
      </c>
    </row>
    <row r="147">
      <c r="A147" s="23" t="n">
        <v>25842</v>
      </c>
      <c r="B147" s="25">
        <f>VLOOKUP(Table30[[#This Row],[Month]],'DB Money Supply'!$A:$D,3)</f>
        <v/>
      </c>
      <c r="C147" s="65">
        <f>(Table30[[#This Row],[Real M2 Money Stock]]-B135)/B135</f>
        <v/>
      </c>
    </row>
    <row r="148">
      <c r="A148" s="23" t="n">
        <v>25873</v>
      </c>
      <c r="B148" s="25">
        <f>VLOOKUP(Table30[[#This Row],[Month]],'DB Money Supply'!$A:$D,3)</f>
        <v/>
      </c>
      <c r="C148" s="65">
        <f>(Table30[[#This Row],[Real M2 Money Stock]]-B136)/B136</f>
        <v/>
      </c>
    </row>
    <row r="149">
      <c r="A149" s="23" t="n">
        <v>25903</v>
      </c>
      <c r="B149" s="25">
        <f>VLOOKUP(Table30[[#This Row],[Month]],'DB Money Supply'!$A:$D,3)</f>
        <v/>
      </c>
      <c r="C149" s="65">
        <f>(Table30[[#This Row],[Real M2 Money Stock]]-B137)/B137</f>
        <v/>
      </c>
    </row>
    <row r="150">
      <c r="A150" s="23" t="n">
        <v>25934</v>
      </c>
      <c r="B150" s="25">
        <f>VLOOKUP(Table30[[#This Row],[Month]],'DB Money Supply'!$A:$D,3)</f>
        <v/>
      </c>
      <c r="C150" s="65">
        <f>(Table30[[#This Row],[Real M2 Money Stock]]-B138)/B138</f>
        <v/>
      </c>
    </row>
    <row r="151">
      <c r="A151" s="23" t="n">
        <v>25965</v>
      </c>
      <c r="B151" s="25">
        <f>VLOOKUP(Table30[[#This Row],[Month]],'DB Money Supply'!$A:$D,3)</f>
        <v/>
      </c>
      <c r="C151" s="65">
        <f>(Table30[[#This Row],[Real M2 Money Stock]]-B139)/B139</f>
        <v/>
      </c>
    </row>
    <row r="152">
      <c r="A152" s="23" t="n">
        <v>25993</v>
      </c>
      <c r="B152" s="25">
        <f>VLOOKUP(Table30[[#This Row],[Month]],'DB Money Supply'!$A:$D,3)</f>
        <v/>
      </c>
      <c r="C152" s="65">
        <f>(Table30[[#This Row],[Real M2 Money Stock]]-B140)/B140</f>
        <v/>
      </c>
    </row>
    <row r="153">
      <c r="A153" s="23" t="n">
        <v>26024</v>
      </c>
      <c r="B153" s="25">
        <f>VLOOKUP(Table30[[#This Row],[Month]],'DB Money Supply'!$A:$D,3)</f>
        <v/>
      </c>
      <c r="C153" s="65">
        <f>(Table30[[#This Row],[Real M2 Money Stock]]-B141)/B141</f>
        <v/>
      </c>
    </row>
    <row r="154">
      <c r="A154" s="23" t="n">
        <v>26054</v>
      </c>
      <c r="B154" s="25">
        <f>VLOOKUP(Table30[[#This Row],[Month]],'DB Money Supply'!$A:$D,3)</f>
        <v/>
      </c>
      <c r="C154" s="65">
        <f>(Table30[[#This Row],[Real M2 Money Stock]]-B142)/B142</f>
        <v/>
      </c>
    </row>
    <row r="155">
      <c r="A155" s="23" t="n">
        <v>26085</v>
      </c>
      <c r="B155" s="25">
        <f>VLOOKUP(Table30[[#This Row],[Month]],'DB Money Supply'!$A:$D,3)</f>
        <v/>
      </c>
      <c r="C155" s="65">
        <f>(Table30[[#This Row],[Real M2 Money Stock]]-B143)/B143</f>
        <v/>
      </c>
    </row>
    <row r="156">
      <c r="A156" s="23" t="n">
        <v>26115</v>
      </c>
      <c r="B156" s="25">
        <f>VLOOKUP(Table30[[#This Row],[Month]],'DB Money Supply'!$A:$D,3)</f>
        <v/>
      </c>
      <c r="C156" s="65">
        <f>(Table30[[#This Row],[Real M2 Money Stock]]-B144)/B144</f>
        <v/>
      </c>
    </row>
    <row r="157">
      <c r="A157" s="23" t="n">
        <v>26146</v>
      </c>
      <c r="B157" s="25">
        <f>VLOOKUP(Table30[[#This Row],[Month]],'DB Money Supply'!$A:$D,3)</f>
        <v/>
      </c>
      <c r="C157" s="65">
        <f>(Table30[[#This Row],[Real M2 Money Stock]]-B145)/B145</f>
        <v/>
      </c>
    </row>
    <row r="158">
      <c r="A158" s="23" t="n">
        <v>26177</v>
      </c>
      <c r="B158" s="25">
        <f>VLOOKUP(Table30[[#This Row],[Month]],'DB Money Supply'!$A:$D,3)</f>
        <v/>
      </c>
      <c r="C158" s="65">
        <f>(Table30[[#This Row],[Real M2 Money Stock]]-B146)/B146</f>
        <v/>
      </c>
    </row>
    <row r="159">
      <c r="A159" s="23" t="n">
        <v>26207</v>
      </c>
      <c r="B159" s="25">
        <f>VLOOKUP(Table30[[#This Row],[Month]],'DB Money Supply'!$A:$D,3)</f>
        <v/>
      </c>
      <c r="C159" s="65">
        <f>(Table30[[#This Row],[Real M2 Money Stock]]-B147)/B147</f>
        <v/>
      </c>
    </row>
    <row r="160">
      <c r="A160" s="23" t="n">
        <v>26238</v>
      </c>
      <c r="B160" s="25">
        <f>VLOOKUP(Table30[[#This Row],[Month]],'DB Money Supply'!$A:$D,3)</f>
        <v/>
      </c>
      <c r="C160" s="65">
        <f>(Table30[[#This Row],[Real M2 Money Stock]]-B148)/B148</f>
        <v/>
      </c>
    </row>
    <row r="161">
      <c r="A161" s="23" t="n">
        <v>26268</v>
      </c>
      <c r="B161" s="25">
        <f>VLOOKUP(Table30[[#This Row],[Month]],'DB Money Supply'!$A:$D,3)</f>
        <v/>
      </c>
      <c r="C161" s="65">
        <f>(Table30[[#This Row],[Real M2 Money Stock]]-B149)/B149</f>
        <v/>
      </c>
    </row>
    <row r="162">
      <c r="A162" s="23" t="n">
        <v>26299</v>
      </c>
      <c r="B162" s="25">
        <f>VLOOKUP(Table30[[#This Row],[Month]],'DB Money Supply'!$A:$D,3)</f>
        <v/>
      </c>
      <c r="C162" s="65">
        <f>(Table30[[#This Row],[Real M2 Money Stock]]-B150)/B150</f>
        <v/>
      </c>
    </row>
    <row r="163">
      <c r="A163" s="23" t="n">
        <v>26330</v>
      </c>
      <c r="B163" s="25">
        <f>VLOOKUP(Table30[[#This Row],[Month]],'DB Money Supply'!$A:$D,3)</f>
        <v/>
      </c>
      <c r="C163" s="65">
        <f>(Table30[[#This Row],[Real M2 Money Stock]]-B151)/B151</f>
        <v/>
      </c>
    </row>
    <row r="164">
      <c r="A164" s="23" t="n">
        <v>26359</v>
      </c>
      <c r="B164" s="25">
        <f>VLOOKUP(Table30[[#This Row],[Month]],'DB Money Supply'!$A:$D,3)</f>
        <v/>
      </c>
      <c r="C164" s="65">
        <f>(Table30[[#This Row],[Real M2 Money Stock]]-B152)/B152</f>
        <v/>
      </c>
    </row>
    <row r="165">
      <c r="A165" s="23" t="n">
        <v>26390</v>
      </c>
      <c r="B165" s="25">
        <f>VLOOKUP(Table30[[#This Row],[Month]],'DB Money Supply'!$A:$D,3)</f>
        <v/>
      </c>
      <c r="C165" s="65">
        <f>(Table30[[#This Row],[Real M2 Money Stock]]-B153)/B153</f>
        <v/>
      </c>
    </row>
    <row r="166">
      <c r="A166" s="23" t="n">
        <v>26420</v>
      </c>
      <c r="B166" s="25">
        <f>VLOOKUP(Table30[[#This Row],[Month]],'DB Money Supply'!$A:$D,3)</f>
        <v/>
      </c>
      <c r="C166" s="65">
        <f>(Table30[[#This Row],[Real M2 Money Stock]]-B154)/B154</f>
        <v/>
      </c>
    </row>
    <row r="167">
      <c r="A167" s="23" t="n">
        <v>26451</v>
      </c>
      <c r="B167" s="25">
        <f>VLOOKUP(Table30[[#This Row],[Month]],'DB Money Supply'!$A:$D,3)</f>
        <v/>
      </c>
      <c r="C167" s="65">
        <f>(Table30[[#This Row],[Real M2 Money Stock]]-B155)/B155</f>
        <v/>
      </c>
    </row>
    <row r="168">
      <c r="A168" s="23" t="n">
        <v>26481</v>
      </c>
      <c r="B168" s="25">
        <f>VLOOKUP(Table30[[#This Row],[Month]],'DB Money Supply'!$A:$D,3)</f>
        <v/>
      </c>
      <c r="C168" s="65">
        <f>(Table30[[#This Row],[Real M2 Money Stock]]-B156)/B156</f>
        <v/>
      </c>
    </row>
    <row r="169">
      <c r="A169" s="23" t="n">
        <v>26512</v>
      </c>
      <c r="B169" s="25">
        <f>VLOOKUP(Table30[[#This Row],[Month]],'DB Money Supply'!$A:$D,3)</f>
        <v/>
      </c>
      <c r="C169" s="65">
        <f>(Table30[[#This Row],[Real M2 Money Stock]]-B157)/B157</f>
        <v/>
      </c>
    </row>
    <row r="170">
      <c r="A170" s="23" t="n">
        <v>26543</v>
      </c>
      <c r="B170" s="25">
        <f>VLOOKUP(Table30[[#This Row],[Month]],'DB Money Supply'!$A:$D,3)</f>
        <v/>
      </c>
      <c r="C170" s="65">
        <f>(Table30[[#This Row],[Real M2 Money Stock]]-B158)/B158</f>
        <v/>
      </c>
    </row>
    <row r="171">
      <c r="A171" s="23" t="n">
        <v>26573</v>
      </c>
      <c r="B171" s="25">
        <f>VLOOKUP(Table30[[#This Row],[Month]],'DB Money Supply'!$A:$D,3)</f>
        <v/>
      </c>
      <c r="C171" s="65">
        <f>(Table30[[#This Row],[Real M2 Money Stock]]-B159)/B159</f>
        <v/>
      </c>
    </row>
    <row r="172">
      <c r="A172" s="23" t="n">
        <v>26604</v>
      </c>
      <c r="B172" s="25">
        <f>VLOOKUP(Table30[[#This Row],[Month]],'DB Money Supply'!$A:$D,3)</f>
        <v/>
      </c>
      <c r="C172" s="65">
        <f>(Table30[[#This Row],[Real M2 Money Stock]]-B160)/B160</f>
        <v/>
      </c>
    </row>
    <row r="173">
      <c r="A173" s="23" t="n">
        <v>26634</v>
      </c>
      <c r="B173" s="25">
        <f>VLOOKUP(Table30[[#This Row],[Month]],'DB Money Supply'!$A:$D,3)</f>
        <v/>
      </c>
      <c r="C173" s="65">
        <f>(Table30[[#This Row],[Real M2 Money Stock]]-B161)/B161</f>
        <v/>
      </c>
    </row>
    <row r="174">
      <c r="A174" s="23" t="n">
        <v>26665</v>
      </c>
      <c r="B174" s="25">
        <f>VLOOKUP(Table30[[#This Row],[Month]],'DB Money Supply'!$A:$D,3)</f>
        <v/>
      </c>
      <c r="C174" s="65">
        <f>(Table30[[#This Row],[Real M2 Money Stock]]-B162)/B162</f>
        <v/>
      </c>
    </row>
    <row r="175">
      <c r="A175" s="23" t="n">
        <v>26696</v>
      </c>
      <c r="B175" s="25">
        <f>VLOOKUP(Table30[[#This Row],[Month]],'DB Money Supply'!$A:$D,3)</f>
        <v/>
      </c>
      <c r="C175" s="65">
        <f>(Table30[[#This Row],[Real M2 Money Stock]]-B163)/B163</f>
        <v/>
      </c>
    </row>
    <row r="176">
      <c r="A176" s="23" t="n">
        <v>26724</v>
      </c>
      <c r="B176" s="25">
        <f>VLOOKUP(Table30[[#This Row],[Month]],'DB Money Supply'!$A:$D,3)</f>
        <v/>
      </c>
      <c r="C176" s="65">
        <f>(Table30[[#This Row],[Real M2 Money Stock]]-B164)/B164</f>
        <v/>
      </c>
    </row>
    <row r="177">
      <c r="A177" s="23" t="n">
        <v>26755</v>
      </c>
      <c r="B177" s="25">
        <f>VLOOKUP(Table30[[#This Row],[Month]],'DB Money Supply'!$A:$D,3)</f>
        <v/>
      </c>
      <c r="C177" s="65">
        <f>(Table30[[#This Row],[Real M2 Money Stock]]-B165)/B165</f>
        <v/>
      </c>
    </row>
    <row r="178">
      <c r="A178" s="23" t="n">
        <v>26785</v>
      </c>
      <c r="B178" s="25">
        <f>VLOOKUP(Table30[[#This Row],[Month]],'DB Money Supply'!$A:$D,3)</f>
        <v/>
      </c>
      <c r="C178" s="65">
        <f>(Table30[[#This Row],[Real M2 Money Stock]]-B166)/B166</f>
        <v/>
      </c>
    </row>
    <row r="179">
      <c r="A179" s="23" t="n">
        <v>26816</v>
      </c>
      <c r="B179" s="25">
        <f>VLOOKUP(Table30[[#This Row],[Month]],'DB Money Supply'!$A:$D,3)</f>
        <v/>
      </c>
      <c r="C179" s="65">
        <f>(Table30[[#This Row],[Real M2 Money Stock]]-B167)/B167</f>
        <v/>
      </c>
    </row>
    <row r="180">
      <c r="A180" s="23" t="n">
        <v>26846</v>
      </c>
      <c r="B180" s="25">
        <f>VLOOKUP(Table30[[#This Row],[Month]],'DB Money Supply'!$A:$D,3)</f>
        <v/>
      </c>
      <c r="C180" s="65">
        <f>(Table30[[#This Row],[Real M2 Money Stock]]-B168)/B168</f>
        <v/>
      </c>
    </row>
    <row r="181">
      <c r="A181" s="23" t="n">
        <v>26877</v>
      </c>
      <c r="B181" s="25">
        <f>VLOOKUP(Table30[[#This Row],[Month]],'DB Money Supply'!$A:$D,3)</f>
        <v/>
      </c>
      <c r="C181" s="65">
        <f>(Table30[[#This Row],[Real M2 Money Stock]]-B169)/B169</f>
        <v/>
      </c>
    </row>
    <row r="182">
      <c r="A182" s="23" t="n">
        <v>26908</v>
      </c>
      <c r="B182" s="25">
        <f>VLOOKUP(Table30[[#This Row],[Month]],'DB Money Supply'!$A:$D,3)</f>
        <v/>
      </c>
      <c r="C182" s="65">
        <f>(Table30[[#This Row],[Real M2 Money Stock]]-B170)/B170</f>
        <v/>
      </c>
    </row>
    <row r="183">
      <c r="A183" s="23" t="n">
        <v>26938</v>
      </c>
      <c r="B183" s="25">
        <f>VLOOKUP(Table30[[#This Row],[Month]],'DB Money Supply'!$A:$D,3)</f>
        <v/>
      </c>
      <c r="C183" s="65">
        <f>(Table30[[#This Row],[Real M2 Money Stock]]-B171)/B171</f>
        <v/>
      </c>
    </row>
    <row r="184">
      <c r="A184" s="23" t="n">
        <v>26969</v>
      </c>
      <c r="B184" s="25">
        <f>VLOOKUP(Table30[[#This Row],[Month]],'DB Money Supply'!$A:$D,3)</f>
        <v/>
      </c>
      <c r="C184" s="65">
        <f>(Table30[[#This Row],[Real M2 Money Stock]]-B172)/B172</f>
        <v/>
      </c>
    </row>
    <row r="185">
      <c r="A185" s="23" t="n">
        <v>26999</v>
      </c>
      <c r="B185" s="25">
        <f>VLOOKUP(Table30[[#This Row],[Month]],'DB Money Supply'!$A:$D,3)</f>
        <v/>
      </c>
      <c r="C185" s="65">
        <f>(Table30[[#This Row],[Real M2 Money Stock]]-B173)/B173</f>
        <v/>
      </c>
    </row>
    <row r="186">
      <c r="A186" s="23" t="n">
        <v>27030</v>
      </c>
      <c r="B186" s="25">
        <f>VLOOKUP(Table30[[#This Row],[Month]],'DB Money Supply'!$A:$D,3)</f>
        <v/>
      </c>
      <c r="C186" s="65">
        <f>(Table30[[#This Row],[Real M2 Money Stock]]-B174)/B174</f>
        <v/>
      </c>
    </row>
    <row r="187">
      <c r="A187" s="23" t="n">
        <v>27061</v>
      </c>
      <c r="B187" s="25">
        <f>VLOOKUP(Table30[[#This Row],[Month]],'DB Money Supply'!$A:$D,3)</f>
        <v/>
      </c>
      <c r="C187" s="65">
        <f>(Table30[[#This Row],[Real M2 Money Stock]]-B175)/B175</f>
        <v/>
      </c>
    </row>
    <row r="188">
      <c r="A188" s="23" t="n">
        <v>27089</v>
      </c>
      <c r="B188" s="25">
        <f>VLOOKUP(Table30[[#This Row],[Month]],'DB Money Supply'!$A:$D,3)</f>
        <v/>
      </c>
      <c r="C188" s="65">
        <f>(Table30[[#This Row],[Real M2 Money Stock]]-B176)/B176</f>
        <v/>
      </c>
    </row>
    <row r="189">
      <c r="A189" s="23" t="n">
        <v>27120</v>
      </c>
      <c r="B189" s="25">
        <f>VLOOKUP(Table30[[#This Row],[Month]],'DB Money Supply'!$A:$D,3)</f>
        <v/>
      </c>
      <c r="C189" s="65">
        <f>(Table30[[#This Row],[Real M2 Money Stock]]-B177)/B177</f>
        <v/>
      </c>
    </row>
    <row r="190">
      <c r="A190" s="23" t="n">
        <v>27150</v>
      </c>
      <c r="B190" s="25">
        <f>VLOOKUP(Table30[[#This Row],[Month]],'DB Money Supply'!$A:$D,3)</f>
        <v/>
      </c>
      <c r="C190" s="65">
        <f>(Table30[[#This Row],[Real M2 Money Stock]]-B178)/B178</f>
        <v/>
      </c>
    </row>
    <row r="191">
      <c r="A191" s="23" t="n">
        <v>27181</v>
      </c>
      <c r="B191" s="25">
        <f>VLOOKUP(Table30[[#This Row],[Month]],'DB Money Supply'!$A:$D,3)</f>
        <v/>
      </c>
      <c r="C191" s="65">
        <f>(Table30[[#This Row],[Real M2 Money Stock]]-B179)/B179</f>
        <v/>
      </c>
    </row>
    <row r="192">
      <c r="A192" s="23" t="n">
        <v>27211</v>
      </c>
      <c r="B192" s="25">
        <f>VLOOKUP(Table30[[#This Row],[Month]],'DB Money Supply'!$A:$D,3)</f>
        <v/>
      </c>
      <c r="C192" s="65">
        <f>(Table30[[#This Row],[Real M2 Money Stock]]-B180)/B180</f>
        <v/>
      </c>
    </row>
    <row r="193">
      <c r="A193" s="23" t="n">
        <v>27242</v>
      </c>
      <c r="B193" s="25">
        <f>VLOOKUP(Table30[[#This Row],[Month]],'DB Money Supply'!$A:$D,3)</f>
        <v/>
      </c>
      <c r="C193" s="65">
        <f>(Table30[[#This Row],[Real M2 Money Stock]]-B181)/B181</f>
        <v/>
      </c>
    </row>
    <row r="194">
      <c r="A194" s="23" t="n">
        <v>27273</v>
      </c>
      <c r="B194" s="25">
        <f>VLOOKUP(Table30[[#This Row],[Month]],'DB Money Supply'!$A:$D,3)</f>
        <v/>
      </c>
      <c r="C194" s="65">
        <f>(Table30[[#This Row],[Real M2 Money Stock]]-B182)/B182</f>
        <v/>
      </c>
    </row>
    <row r="195">
      <c r="A195" s="23" t="n">
        <v>27303</v>
      </c>
      <c r="B195" s="25">
        <f>VLOOKUP(Table30[[#This Row],[Month]],'DB Money Supply'!$A:$D,3)</f>
        <v/>
      </c>
      <c r="C195" s="65">
        <f>(Table30[[#This Row],[Real M2 Money Stock]]-B183)/B183</f>
        <v/>
      </c>
    </row>
    <row r="196">
      <c r="A196" s="23" t="n">
        <v>27334</v>
      </c>
      <c r="B196" s="25">
        <f>VLOOKUP(Table30[[#This Row],[Month]],'DB Money Supply'!$A:$D,3)</f>
        <v/>
      </c>
      <c r="C196" s="65">
        <f>(Table30[[#This Row],[Real M2 Money Stock]]-B184)/B184</f>
        <v/>
      </c>
    </row>
    <row r="197">
      <c r="A197" s="23" t="n">
        <v>27364</v>
      </c>
      <c r="B197" s="25">
        <f>VLOOKUP(Table30[[#This Row],[Month]],'DB Money Supply'!$A:$D,3)</f>
        <v/>
      </c>
      <c r="C197" s="65">
        <f>(Table30[[#This Row],[Real M2 Money Stock]]-B185)/B185</f>
        <v/>
      </c>
    </row>
    <row r="198">
      <c r="A198" s="23" t="n">
        <v>27395</v>
      </c>
      <c r="B198" s="25">
        <f>VLOOKUP(Table30[[#This Row],[Month]],'DB Money Supply'!$A:$D,3)</f>
        <v/>
      </c>
      <c r="C198" s="65">
        <f>(Table30[[#This Row],[Real M2 Money Stock]]-B186)/B186</f>
        <v/>
      </c>
    </row>
    <row r="199">
      <c r="A199" s="23" t="n">
        <v>27426</v>
      </c>
      <c r="B199" s="25">
        <f>VLOOKUP(Table30[[#This Row],[Month]],'DB Money Supply'!$A:$D,3)</f>
        <v/>
      </c>
      <c r="C199" s="65">
        <f>(Table30[[#This Row],[Real M2 Money Stock]]-B187)/B187</f>
        <v/>
      </c>
    </row>
    <row r="200">
      <c r="A200" s="23" t="n">
        <v>27454</v>
      </c>
      <c r="B200" s="25">
        <f>VLOOKUP(Table30[[#This Row],[Month]],'DB Money Supply'!$A:$D,3)</f>
        <v/>
      </c>
      <c r="C200" s="65">
        <f>(Table30[[#This Row],[Real M2 Money Stock]]-B188)/B188</f>
        <v/>
      </c>
    </row>
    <row r="201">
      <c r="A201" s="23" t="n">
        <v>27485</v>
      </c>
      <c r="B201" s="25">
        <f>VLOOKUP(Table30[[#This Row],[Month]],'DB Money Supply'!$A:$D,3)</f>
        <v/>
      </c>
      <c r="C201" s="65">
        <f>(Table30[[#This Row],[Real M2 Money Stock]]-B189)/B189</f>
        <v/>
      </c>
    </row>
    <row r="202">
      <c r="A202" s="23" t="n">
        <v>27515</v>
      </c>
      <c r="B202" s="25">
        <f>VLOOKUP(Table30[[#This Row],[Month]],'DB Money Supply'!$A:$D,3)</f>
        <v/>
      </c>
      <c r="C202" s="65">
        <f>(Table30[[#This Row],[Real M2 Money Stock]]-B190)/B190</f>
        <v/>
      </c>
    </row>
    <row r="203">
      <c r="A203" s="23" t="n">
        <v>27546</v>
      </c>
      <c r="B203" s="25">
        <f>VLOOKUP(Table30[[#This Row],[Month]],'DB Money Supply'!$A:$D,3)</f>
        <v/>
      </c>
      <c r="C203" s="65">
        <f>(Table30[[#This Row],[Real M2 Money Stock]]-B191)/B191</f>
        <v/>
      </c>
    </row>
    <row r="204">
      <c r="A204" s="23" t="n">
        <v>27576</v>
      </c>
      <c r="B204" s="25">
        <f>VLOOKUP(Table30[[#This Row],[Month]],'DB Money Supply'!$A:$D,3)</f>
        <v/>
      </c>
      <c r="C204" s="65">
        <f>(Table30[[#This Row],[Real M2 Money Stock]]-B192)/B192</f>
        <v/>
      </c>
    </row>
    <row r="205">
      <c r="A205" s="23" t="n">
        <v>27607</v>
      </c>
      <c r="B205" s="25">
        <f>VLOOKUP(Table30[[#This Row],[Month]],'DB Money Supply'!$A:$D,3)</f>
        <v/>
      </c>
      <c r="C205" s="65">
        <f>(Table30[[#This Row],[Real M2 Money Stock]]-B193)/B193</f>
        <v/>
      </c>
    </row>
    <row r="206">
      <c r="A206" s="23" t="n">
        <v>27638</v>
      </c>
      <c r="B206" s="25">
        <f>VLOOKUP(Table30[[#This Row],[Month]],'DB Money Supply'!$A:$D,3)</f>
        <v/>
      </c>
      <c r="C206" s="65">
        <f>(Table30[[#This Row],[Real M2 Money Stock]]-B194)/B194</f>
        <v/>
      </c>
    </row>
    <row r="207">
      <c r="A207" s="23" t="n">
        <v>27668</v>
      </c>
      <c r="B207" s="25">
        <f>VLOOKUP(Table30[[#This Row],[Month]],'DB Money Supply'!$A:$D,3)</f>
        <v/>
      </c>
      <c r="C207" s="65">
        <f>(Table30[[#This Row],[Real M2 Money Stock]]-B195)/B195</f>
        <v/>
      </c>
    </row>
    <row r="208">
      <c r="A208" s="23" t="n">
        <v>27699</v>
      </c>
      <c r="B208" s="25">
        <f>VLOOKUP(Table30[[#This Row],[Month]],'DB Money Supply'!$A:$D,3)</f>
        <v/>
      </c>
      <c r="C208" s="65">
        <f>(Table30[[#This Row],[Real M2 Money Stock]]-B196)/B196</f>
        <v/>
      </c>
    </row>
    <row r="209">
      <c r="A209" s="23" t="n">
        <v>27729</v>
      </c>
      <c r="B209" s="25">
        <f>VLOOKUP(Table30[[#This Row],[Month]],'DB Money Supply'!$A:$D,3)</f>
        <v/>
      </c>
      <c r="C209" s="65">
        <f>(Table30[[#This Row],[Real M2 Money Stock]]-B197)/B197</f>
        <v/>
      </c>
    </row>
    <row r="210">
      <c r="A210" s="23" t="n">
        <v>27760</v>
      </c>
      <c r="B210" s="25">
        <f>VLOOKUP(Table30[[#This Row],[Month]],'DB Money Supply'!$A:$D,3)</f>
        <v/>
      </c>
      <c r="C210" s="65">
        <f>(Table30[[#This Row],[Real M2 Money Stock]]-B198)/B198</f>
        <v/>
      </c>
    </row>
    <row r="211">
      <c r="A211" s="23" t="n">
        <v>27791</v>
      </c>
      <c r="B211" s="25">
        <f>VLOOKUP(Table30[[#This Row],[Month]],'DB Money Supply'!$A:$D,3)</f>
        <v/>
      </c>
      <c r="C211" s="65">
        <f>(Table30[[#This Row],[Real M2 Money Stock]]-B199)/B199</f>
        <v/>
      </c>
    </row>
    <row r="212">
      <c r="A212" s="23" t="n">
        <v>27820</v>
      </c>
      <c r="B212" s="25">
        <f>VLOOKUP(Table30[[#This Row],[Month]],'DB Money Supply'!$A:$D,3)</f>
        <v/>
      </c>
      <c r="C212" s="65">
        <f>(Table30[[#This Row],[Real M2 Money Stock]]-B200)/B200</f>
        <v/>
      </c>
    </row>
    <row r="213">
      <c r="A213" s="23" t="n">
        <v>27851</v>
      </c>
      <c r="B213" s="25">
        <f>VLOOKUP(Table30[[#This Row],[Month]],'DB Money Supply'!$A:$D,3)</f>
        <v/>
      </c>
      <c r="C213" s="65">
        <f>(Table30[[#This Row],[Real M2 Money Stock]]-B201)/B201</f>
        <v/>
      </c>
    </row>
    <row r="214">
      <c r="A214" s="23" t="n">
        <v>27881</v>
      </c>
      <c r="B214" s="25">
        <f>VLOOKUP(Table30[[#This Row],[Month]],'DB Money Supply'!$A:$D,3)</f>
        <v/>
      </c>
      <c r="C214" s="65">
        <f>(Table30[[#This Row],[Real M2 Money Stock]]-B202)/B202</f>
        <v/>
      </c>
    </row>
    <row r="215">
      <c r="A215" s="23" t="n">
        <v>27912</v>
      </c>
      <c r="B215" s="25">
        <f>VLOOKUP(Table30[[#This Row],[Month]],'DB Money Supply'!$A:$D,3)</f>
        <v/>
      </c>
      <c r="C215" s="65">
        <f>(Table30[[#This Row],[Real M2 Money Stock]]-B203)/B203</f>
        <v/>
      </c>
    </row>
    <row r="216">
      <c r="A216" s="23" t="n">
        <v>27942</v>
      </c>
      <c r="B216" s="25">
        <f>VLOOKUP(Table30[[#This Row],[Month]],'DB Money Supply'!$A:$D,3)</f>
        <v/>
      </c>
      <c r="C216" s="65">
        <f>(Table30[[#This Row],[Real M2 Money Stock]]-B204)/B204</f>
        <v/>
      </c>
    </row>
    <row r="217">
      <c r="A217" s="23" t="n">
        <v>27973</v>
      </c>
      <c r="B217" s="25">
        <f>VLOOKUP(Table30[[#This Row],[Month]],'DB Money Supply'!$A:$D,3)</f>
        <v/>
      </c>
      <c r="C217" s="65">
        <f>(Table30[[#This Row],[Real M2 Money Stock]]-B205)/B205</f>
        <v/>
      </c>
    </row>
    <row r="218">
      <c r="A218" s="23" t="n">
        <v>28004</v>
      </c>
      <c r="B218" s="25">
        <f>VLOOKUP(Table30[[#This Row],[Month]],'DB Money Supply'!$A:$D,3)</f>
        <v/>
      </c>
      <c r="C218" s="65">
        <f>(Table30[[#This Row],[Real M2 Money Stock]]-B206)/B206</f>
        <v/>
      </c>
    </row>
    <row r="219">
      <c r="A219" s="23" t="n">
        <v>28034</v>
      </c>
      <c r="B219" s="25">
        <f>VLOOKUP(Table30[[#This Row],[Month]],'DB Money Supply'!$A:$D,3)</f>
        <v/>
      </c>
      <c r="C219" s="65">
        <f>(Table30[[#This Row],[Real M2 Money Stock]]-B207)/B207</f>
        <v/>
      </c>
    </row>
    <row r="220">
      <c r="A220" s="23" t="n">
        <v>28065</v>
      </c>
      <c r="B220" s="25">
        <f>VLOOKUP(Table30[[#This Row],[Month]],'DB Money Supply'!$A:$D,3)</f>
        <v/>
      </c>
      <c r="C220" s="65">
        <f>(Table30[[#This Row],[Real M2 Money Stock]]-B208)/B208</f>
        <v/>
      </c>
    </row>
    <row r="221">
      <c r="A221" s="23" t="n">
        <v>28095</v>
      </c>
      <c r="B221" s="25">
        <f>VLOOKUP(Table30[[#This Row],[Month]],'DB Money Supply'!$A:$D,3)</f>
        <v/>
      </c>
      <c r="C221" s="65">
        <f>(Table30[[#This Row],[Real M2 Money Stock]]-B209)/B209</f>
        <v/>
      </c>
    </row>
    <row r="222">
      <c r="A222" s="23" t="n">
        <v>28126</v>
      </c>
      <c r="B222" s="25">
        <f>VLOOKUP(Table30[[#This Row],[Month]],'DB Money Supply'!$A:$D,3)</f>
        <v/>
      </c>
      <c r="C222" s="65">
        <f>(Table30[[#This Row],[Real M2 Money Stock]]-B210)/B210</f>
        <v/>
      </c>
    </row>
    <row r="223">
      <c r="A223" s="23" t="n">
        <v>28157</v>
      </c>
      <c r="B223" s="25">
        <f>VLOOKUP(Table30[[#This Row],[Month]],'DB Money Supply'!$A:$D,3)</f>
        <v/>
      </c>
      <c r="C223" s="65">
        <f>(Table30[[#This Row],[Real M2 Money Stock]]-B211)/B211</f>
        <v/>
      </c>
    </row>
    <row r="224">
      <c r="A224" s="23" t="n">
        <v>28185</v>
      </c>
      <c r="B224" s="25">
        <f>VLOOKUP(Table30[[#This Row],[Month]],'DB Money Supply'!$A:$D,3)</f>
        <v/>
      </c>
      <c r="C224" s="65">
        <f>(Table30[[#This Row],[Real M2 Money Stock]]-B212)/B212</f>
        <v/>
      </c>
    </row>
    <row r="225">
      <c r="A225" s="23" t="n">
        <v>28216</v>
      </c>
      <c r="B225" s="25">
        <f>VLOOKUP(Table30[[#This Row],[Month]],'DB Money Supply'!$A:$D,3)</f>
        <v/>
      </c>
      <c r="C225" s="65">
        <f>(Table30[[#This Row],[Real M2 Money Stock]]-B213)/B213</f>
        <v/>
      </c>
    </row>
    <row r="226">
      <c r="A226" s="23" t="n">
        <v>28246</v>
      </c>
      <c r="B226" s="25">
        <f>VLOOKUP(Table30[[#This Row],[Month]],'DB Money Supply'!$A:$D,3)</f>
        <v/>
      </c>
      <c r="C226" s="65">
        <f>(Table30[[#This Row],[Real M2 Money Stock]]-B214)/B214</f>
        <v/>
      </c>
    </row>
    <row r="227">
      <c r="A227" s="23" t="n">
        <v>28277</v>
      </c>
      <c r="B227" s="25">
        <f>VLOOKUP(Table30[[#This Row],[Month]],'DB Money Supply'!$A:$D,3)</f>
        <v/>
      </c>
      <c r="C227" s="65">
        <f>(Table30[[#This Row],[Real M2 Money Stock]]-B215)/B215</f>
        <v/>
      </c>
    </row>
    <row r="228">
      <c r="A228" s="23" t="n">
        <v>28307</v>
      </c>
      <c r="B228" s="25">
        <f>VLOOKUP(Table30[[#This Row],[Month]],'DB Money Supply'!$A:$D,3)</f>
        <v/>
      </c>
      <c r="C228" s="65">
        <f>(Table30[[#This Row],[Real M2 Money Stock]]-B216)/B216</f>
        <v/>
      </c>
    </row>
    <row r="229">
      <c r="A229" s="23" t="n">
        <v>28338</v>
      </c>
      <c r="B229" s="25">
        <f>VLOOKUP(Table30[[#This Row],[Month]],'DB Money Supply'!$A:$D,3)</f>
        <v/>
      </c>
      <c r="C229" s="65">
        <f>(Table30[[#This Row],[Real M2 Money Stock]]-B217)/B217</f>
        <v/>
      </c>
    </row>
    <row r="230">
      <c r="A230" s="23" t="n">
        <v>28369</v>
      </c>
      <c r="B230" s="25">
        <f>VLOOKUP(Table30[[#This Row],[Month]],'DB Money Supply'!$A:$D,3)</f>
        <v/>
      </c>
      <c r="C230" s="65">
        <f>(Table30[[#This Row],[Real M2 Money Stock]]-B218)/B218</f>
        <v/>
      </c>
    </row>
    <row r="231">
      <c r="A231" s="23" t="n">
        <v>28399</v>
      </c>
      <c r="B231" s="25">
        <f>VLOOKUP(Table30[[#This Row],[Month]],'DB Money Supply'!$A:$D,3)</f>
        <v/>
      </c>
      <c r="C231" s="65">
        <f>(Table30[[#This Row],[Real M2 Money Stock]]-B219)/B219</f>
        <v/>
      </c>
    </row>
    <row r="232">
      <c r="A232" s="23" t="n">
        <v>28430</v>
      </c>
      <c r="B232" s="25">
        <f>VLOOKUP(Table30[[#This Row],[Month]],'DB Money Supply'!$A:$D,3)</f>
        <v/>
      </c>
      <c r="C232" s="65">
        <f>(Table30[[#This Row],[Real M2 Money Stock]]-B220)/B220</f>
        <v/>
      </c>
    </row>
    <row r="233">
      <c r="A233" s="23" t="n">
        <v>28460</v>
      </c>
      <c r="B233" s="25">
        <f>VLOOKUP(Table30[[#This Row],[Month]],'DB Money Supply'!$A:$D,3)</f>
        <v/>
      </c>
      <c r="C233" s="65">
        <f>(Table30[[#This Row],[Real M2 Money Stock]]-B221)/B221</f>
        <v/>
      </c>
    </row>
    <row r="234">
      <c r="A234" s="23" t="n">
        <v>28491</v>
      </c>
      <c r="B234" s="25">
        <f>VLOOKUP(Table30[[#This Row],[Month]],'DB Money Supply'!$A:$D,3)</f>
        <v/>
      </c>
      <c r="C234" s="65">
        <f>(Table30[[#This Row],[Real M2 Money Stock]]-B222)/B222</f>
        <v/>
      </c>
    </row>
    <row r="235">
      <c r="A235" s="23" t="n">
        <v>28522</v>
      </c>
      <c r="B235" s="25">
        <f>VLOOKUP(Table30[[#This Row],[Month]],'DB Money Supply'!$A:$D,3)</f>
        <v/>
      </c>
      <c r="C235" s="65">
        <f>(Table30[[#This Row],[Real M2 Money Stock]]-B223)/B223</f>
        <v/>
      </c>
    </row>
    <row r="236">
      <c r="A236" s="23" t="n">
        <v>28550</v>
      </c>
      <c r="B236" s="25">
        <f>VLOOKUP(Table30[[#This Row],[Month]],'DB Money Supply'!$A:$D,3)</f>
        <v/>
      </c>
      <c r="C236" s="65">
        <f>(Table30[[#This Row],[Real M2 Money Stock]]-B224)/B224</f>
        <v/>
      </c>
    </row>
    <row r="237">
      <c r="A237" s="23" t="n">
        <v>28581</v>
      </c>
      <c r="B237" s="25">
        <f>VLOOKUP(Table30[[#This Row],[Month]],'DB Money Supply'!$A:$D,3)</f>
        <v/>
      </c>
      <c r="C237" s="65">
        <f>(Table30[[#This Row],[Real M2 Money Stock]]-B225)/B225</f>
        <v/>
      </c>
    </row>
    <row r="238">
      <c r="A238" s="23" t="n">
        <v>28611</v>
      </c>
      <c r="B238" s="25">
        <f>VLOOKUP(Table30[[#This Row],[Month]],'DB Money Supply'!$A:$D,3)</f>
        <v/>
      </c>
      <c r="C238" s="65">
        <f>(Table30[[#This Row],[Real M2 Money Stock]]-B226)/B226</f>
        <v/>
      </c>
    </row>
    <row r="239">
      <c r="A239" s="23" t="n">
        <v>28642</v>
      </c>
      <c r="B239" s="25">
        <f>VLOOKUP(Table30[[#This Row],[Month]],'DB Money Supply'!$A:$D,3)</f>
        <v/>
      </c>
      <c r="C239" s="65">
        <f>(Table30[[#This Row],[Real M2 Money Stock]]-B227)/B227</f>
        <v/>
      </c>
    </row>
    <row r="240">
      <c r="A240" s="23" t="n">
        <v>28672</v>
      </c>
      <c r="B240" s="25">
        <f>VLOOKUP(Table30[[#This Row],[Month]],'DB Money Supply'!$A:$D,3)</f>
        <v/>
      </c>
      <c r="C240" s="65">
        <f>(Table30[[#This Row],[Real M2 Money Stock]]-B228)/B228</f>
        <v/>
      </c>
    </row>
    <row r="241">
      <c r="A241" s="23" t="n">
        <v>28703</v>
      </c>
      <c r="B241" s="25">
        <f>VLOOKUP(Table30[[#This Row],[Month]],'DB Money Supply'!$A:$D,3)</f>
        <v/>
      </c>
      <c r="C241" s="65">
        <f>(Table30[[#This Row],[Real M2 Money Stock]]-B229)/B229</f>
        <v/>
      </c>
    </row>
    <row r="242">
      <c r="A242" s="23" t="n">
        <v>28734</v>
      </c>
      <c r="B242" s="25">
        <f>VLOOKUP(Table30[[#This Row],[Month]],'DB Money Supply'!$A:$D,3)</f>
        <v/>
      </c>
      <c r="C242" s="65">
        <f>(Table30[[#This Row],[Real M2 Money Stock]]-B230)/B230</f>
        <v/>
      </c>
    </row>
    <row r="243">
      <c r="A243" s="23" t="n">
        <v>28764</v>
      </c>
      <c r="B243" s="25">
        <f>VLOOKUP(Table30[[#This Row],[Month]],'DB Money Supply'!$A:$D,3)</f>
        <v/>
      </c>
      <c r="C243" s="65">
        <f>(Table30[[#This Row],[Real M2 Money Stock]]-B231)/B231</f>
        <v/>
      </c>
    </row>
    <row r="244">
      <c r="A244" s="23" t="n">
        <v>28795</v>
      </c>
      <c r="B244" s="25">
        <f>VLOOKUP(Table30[[#This Row],[Month]],'DB Money Supply'!$A:$D,3)</f>
        <v/>
      </c>
      <c r="C244" s="65">
        <f>(Table30[[#This Row],[Real M2 Money Stock]]-B232)/B232</f>
        <v/>
      </c>
    </row>
    <row r="245">
      <c r="A245" s="23" t="n">
        <v>28825</v>
      </c>
      <c r="B245" s="25">
        <f>VLOOKUP(Table30[[#This Row],[Month]],'DB Money Supply'!$A:$D,3)</f>
        <v/>
      </c>
      <c r="C245" s="65">
        <f>(Table30[[#This Row],[Real M2 Money Stock]]-B233)/B233</f>
        <v/>
      </c>
    </row>
    <row r="246">
      <c r="A246" s="23" t="n">
        <v>28856</v>
      </c>
      <c r="B246" s="25">
        <f>VLOOKUP(Table30[[#This Row],[Month]],'DB Money Supply'!$A:$D,3)</f>
        <v/>
      </c>
      <c r="C246" s="65">
        <f>(Table30[[#This Row],[Real M2 Money Stock]]-B234)/B234</f>
        <v/>
      </c>
    </row>
    <row r="247">
      <c r="A247" s="23" t="n">
        <v>28887</v>
      </c>
      <c r="B247" s="25">
        <f>VLOOKUP(Table30[[#This Row],[Month]],'DB Money Supply'!$A:$D,3)</f>
        <v/>
      </c>
      <c r="C247" s="65">
        <f>(Table30[[#This Row],[Real M2 Money Stock]]-B235)/B235</f>
        <v/>
      </c>
    </row>
    <row r="248">
      <c r="A248" s="23" t="n">
        <v>28915</v>
      </c>
      <c r="B248" s="25">
        <f>VLOOKUP(Table30[[#This Row],[Month]],'DB Money Supply'!$A:$D,3)</f>
        <v/>
      </c>
      <c r="C248" s="65">
        <f>(Table30[[#This Row],[Real M2 Money Stock]]-B236)/B236</f>
        <v/>
      </c>
    </row>
    <row r="249">
      <c r="A249" s="23" t="n">
        <v>28946</v>
      </c>
      <c r="B249" s="25">
        <f>VLOOKUP(Table30[[#This Row],[Month]],'DB Money Supply'!$A:$D,3)</f>
        <v/>
      </c>
      <c r="C249" s="65">
        <f>(Table30[[#This Row],[Real M2 Money Stock]]-B237)/B237</f>
        <v/>
      </c>
    </row>
    <row r="250">
      <c r="A250" s="23" t="n">
        <v>28976</v>
      </c>
      <c r="B250" s="25">
        <f>VLOOKUP(Table30[[#This Row],[Month]],'DB Money Supply'!$A:$D,3)</f>
        <v/>
      </c>
      <c r="C250" s="65">
        <f>(Table30[[#This Row],[Real M2 Money Stock]]-B238)/B238</f>
        <v/>
      </c>
    </row>
    <row r="251">
      <c r="A251" s="23" t="n">
        <v>29007</v>
      </c>
      <c r="B251" s="25">
        <f>VLOOKUP(Table30[[#This Row],[Month]],'DB Money Supply'!$A:$D,3)</f>
        <v/>
      </c>
      <c r="C251" s="65">
        <f>(Table30[[#This Row],[Real M2 Money Stock]]-B239)/B239</f>
        <v/>
      </c>
    </row>
    <row r="252">
      <c r="A252" s="23" t="n">
        <v>29037</v>
      </c>
      <c r="B252" s="25">
        <f>VLOOKUP(Table30[[#This Row],[Month]],'DB Money Supply'!$A:$D,3)</f>
        <v/>
      </c>
      <c r="C252" s="65">
        <f>(Table30[[#This Row],[Real M2 Money Stock]]-B240)/B240</f>
        <v/>
      </c>
    </row>
    <row r="253">
      <c r="A253" s="23" t="n">
        <v>29068</v>
      </c>
      <c r="B253" s="25">
        <f>VLOOKUP(Table30[[#This Row],[Month]],'DB Money Supply'!$A:$D,3)</f>
        <v/>
      </c>
      <c r="C253" s="65">
        <f>(Table30[[#This Row],[Real M2 Money Stock]]-B241)/B241</f>
        <v/>
      </c>
    </row>
    <row r="254">
      <c r="A254" s="23" t="n">
        <v>29099</v>
      </c>
      <c r="B254" s="25">
        <f>VLOOKUP(Table30[[#This Row],[Month]],'DB Money Supply'!$A:$D,3)</f>
        <v/>
      </c>
      <c r="C254" s="65">
        <f>(Table30[[#This Row],[Real M2 Money Stock]]-B242)/B242</f>
        <v/>
      </c>
    </row>
    <row r="255">
      <c r="A255" s="23" t="n">
        <v>29129</v>
      </c>
      <c r="B255" s="25">
        <f>VLOOKUP(Table30[[#This Row],[Month]],'DB Money Supply'!$A:$D,3)</f>
        <v/>
      </c>
      <c r="C255" s="65">
        <f>(Table30[[#This Row],[Real M2 Money Stock]]-B243)/B243</f>
        <v/>
      </c>
    </row>
    <row r="256">
      <c r="A256" s="23" t="n">
        <v>29160</v>
      </c>
      <c r="B256" s="25">
        <f>VLOOKUP(Table30[[#This Row],[Month]],'DB Money Supply'!$A:$D,3)</f>
        <v/>
      </c>
      <c r="C256" s="65">
        <f>(Table30[[#This Row],[Real M2 Money Stock]]-B244)/B244</f>
        <v/>
      </c>
    </row>
    <row r="257">
      <c r="A257" s="23" t="n">
        <v>29190</v>
      </c>
      <c r="B257" s="25">
        <f>VLOOKUP(Table30[[#This Row],[Month]],'DB Money Supply'!$A:$D,3)</f>
        <v/>
      </c>
      <c r="C257" s="65">
        <f>(Table30[[#This Row],[Real M2 Money Stock]]-B245)/B245</f>
        <v/>
      </c>
    </row>
    <row r="258">
      <c r="A258" s="23" t="n">
        <v>29221</v>
      </c>
      <c r="B258" s="25">
        <f>VLOOKUP(Table30[[#This Row],[Month]],'DB Money Supply'!$A:$D,3)</f>
        <v/>
      </c>
      <c r="C258" s="65">
        <f>(Table30[[#This Row],[Real M2 Money Stock]]-B246)/B246</f>
        <v/>
      </c>
    </row>
    <row r="259">
      <c r="A259" s="23" t="n">
        <v>29252</v>
      </c>
      <c r="B259" s="25">
        <f>VLOOKUP(Table30[[#This Row],[Month]],'DB Money Supply'!$A:$D,3)</f>
        <v/>
      </c>
      <c r="C259" s="65">
        <f>(Table30[[#This Row],[Real M2 Money Stock]]-B247)/B247</f>
        <v/>
      </c>
    </row>
    <row r="260">
      <c r="A260" s="23" t="n">
        <v>29281</v>
      </c>
      <c r="B260" s="25">
        <f>VLOOKUP(Table30[[#This Row],[Month]],'DB Money Supply'!$A:$D,3)</f>
        <v/>
      </c>
      <c r="C260" s="65">
        <f>(Table30[[#This Row],[Real M2 Money Stock]]-B248)/B248</f>
        <v/>
      </c>
    </row>
    <row r="261">
      <c r="A261" s="23" t="n">
        <v>29312</v>
      </c>
      <c r="B261" s="25">
        <f>VLOOKUP(Table30[[#This Row],[Month]],'DB Money Supply'!$A:$D,3)</f>
        <v/>
      </c>
      <c r="C261" s="65">
        <f>(Table30[[#This Row],[Real M2 Money Stock]]-B249)/B249</f>
        <v/>
      </c>
    </row>
    <row r="262">
      <c r="A262" s="23" t="n">
        <v>29342</v>
      </c>
      <c r="B262" s="25">
        <f>VLOOKUP(Table30[[#This Row],[Month]],'DB Money Supply'!$A:$D,3)</f>
        <v/>
      </c>
      <c r="C262" s="65">
        <f>(Table30[[#This Row],[Real M2 Money Stock]]-B250)/B250</f>
        <v/>
      </c>
    </row>
    <row r="263">
      <c r="A263" s="23" t="n">
        <v>29373</v>
      </c>
      <c r="B263" s="25">
        <f>VLOOKUP(Table30[[#This Row],[Month]],'DB Money Supply'!$A:$D,3)</f>
        <v/>
      </c>
      <c r="C263" s="65">
        <f>(Table30[[#This Row],[Real M2 Money Stock]]-B251)/B251</f>
        <v/>
      </c>
    </row>
    <row r="264">
      <c r="A264" s="23" t="n">
        <v>29403</v>
      </c>
      <c r="B264" s="25">
        <f>VLOOKUP(Table30[[#This Row],[Month]],'DB Money Supply'!$A:$D,3)</f>
        <v/>
      </c>
      <c r="C264" s="65">
        <f>(Table30[[#This Row],[Real M2 Money Stock]]-B252)/B252</f>
        <v/>
      </c>
    </row>
    <row r="265">
      <c r="A265" s="23" t="n">
        <v>29434</v>
      </c>
      <c r="B265" s="25">
        <f>VLOOKUP(Table30[[#This Row],[Month]],'DB Money Supply'!$A:$D,3)</f>
        <v/>
      </c>
      <c r="C265" s="65">
        <f>(Table30[[#This Row],[Real M2 Money Stock]]-B253)/B253</f>
        <v/>
      </c>
    </row>
    <row r="266">
      <c r="A266" s="23" t="n">
        <v>29465</v>
      </c>
      <c r="B266" s="25">
        <f>VLOOKUP(Table30[[#This Row],[Month]],'DB Money Supply'!$A:$D,3)</f>
        <v/>
      </c>
      <c r="C266" s="65">
        <f>(Table30[[#This Row],[Real M2 Money Stock]]-B254)/B254</f>
        <v/>
      </c>
    </row>
    <row r="267">
      <c r="A267" s="23" t="n">
        <v>29495</v>
      </c>
      <c r="B267" s="25">
        <f>VLOOKUP(Table30[[#This Row],[Month]],'DB Money Supply'!$A:$D,3)</f>
        <v/>
      </c>
      <c r="C267" s="65">
        <f>(Table30[[#This Row],[Real M2 Money Stock]]-B255)/B255</f>
        <v/>
      </c>
    </row>
    <row r="268">
      <c r="A268" s="23" t="n">
        <v>29526</v>
      </c>
      <c r="B268" s="25">
        <f>VLOOKUP(Table30[[#This Row],[Month]],'DB Money Supply'!$A:$D,3)</f>
        <v/>
      </c>
      <c r="C268" s="65">
        <f>(Table30[[#This Row],[Real M2 Money Stock]]-B256)/B256</f>
        <v/>
      </c>
    </row>
    <row r="269">
      <c r="A269" s="23" t="n">
        <v>29556</v>
      </c>
      <c r="B269" s="25">
        <f>VLOOKUP(Table30[[#This Row],[Month]],'DB Money Supply'!$A:$D,3)</f>
        <v/>
      </c>
      <c r="C269" s="65">
        <f>(Table30[[#This Row],[Real M2 Money Stock]]-B257)/B257</f>
        <v/>
      </c>
    </row>
    <row r="270">
      <c r="A270" s="23" t="n">
        <v>29587</v>
      </c>
      <c r="B270" s="25">
        <f>VLOOKUP(Table30[[#This Row],[Month]],'DB Money Supply'!$A:$D,3)</f>
        <v/>
      </c>
      <c r="C270" s="65">
        <f>(Table30[[#This Row],[Real M2 Money Stock]]-B258)/B258</f>
        <v/>
      </c>
    </row>
    <row r="271">
      <c r="A271" s="23" t="n">
        <v>29618</v>
      </c>
      <c r="B271" s="25">
        <f>VLOOKUP(Table30[[#This Row],[Month]],'DB Money Supply'!$A:$D,3)</f>
        <v/>
      </c>
      <c r="C271" s="65">
        <f>(Table30[[#This Row],[Real M2 Money Stock]]-B259)/B259</f>
        <v/>
      </c>
    </row>
    <row r="272">
      <c r="A272" s="23" t="n">
        <v>29646</v>
      </c>
      <c r="B272" s="25">
        <f>VLOOKUP(Table30[[#This Row],[Month]],'DB Money Supply'!$A:$D,3)</f>
        <v/>
      </c>
      <c r="C272" s="65">
        <f>(Table30[[#This Row],[Real M2 Money Stock]]-B260)/B260</f>
        <v/>
      </c>
    </row>
    <row r="273">
      <c r="A273" s="23" t="n">
        <v>29677</v>
      </c>
      <c r="B273" s="25">
        <f>VLOOKUP(Table30[[#This Row],[Month]],'DB Money Supply'!$A:$D,3)</f>
        <v/>
      </c>
      <c r="C273" s="65">
        <f>(Table30[[#This Row],[Real M2 Money Stock]]-B261)/B261</f>
        <v/>
      </c>
    </row>
    <row r="274">
      <c r="A274" s="23" t="n">
        <v>29707</v>
      </c>
      <c r="B274" s="25">
        <f>VLOOKUP(Table30[[#This Row],[Month]],'DB Money Supply'!$A:$D,3)</f>
        <v/>
      </c>
      <c r="C274" s="65">
        <f>(Table30[[#This Row],[Real M2 Money Stock]]-B262)/B262</f>
        <v/>
      </c>
    </row>
    <row r="275">
      <c r="A275" s="23" t="n">
        <v>29738</v>
      </c>
      <c r="B275" s="25">
        <f>VLOOKUP(Table30[[#This Row],[Month]],'DB Money Supply'!$A:$D,3)</f>
        <v/>
      </c>
      <c r="C275" s="65">
        <f>(Table30[[#This Row],[Real M2 Money Stock]]-B263)/B263</f>
        <v/>
      </c>
    </row>
    <row r="276">
      <c r="A276" s="23" t="n">
        <v>29768</v>
      </c>
      <c r="B276" s="25">
        <f>VLOOKUP(Table30[[#This Row],[Month]],'DB Money Supply'!$A:$D,3)</f>
        <v/>
      </c>
      <c r="C276" s="65">
        <f>(Table30[[#This Row],[Real M2 Money Stock]]-B264)/B264</f>
        <v/>
      </c>
    </row>
    <row r="277">
      <c r="A277" s="23" t="n">
        <v>29799</v>
      </c>
      <c r="B277" s="25">
        <f>VLOOKUP(Table30[[#This Row],[Month]],'DB Money Supply'!$A:$D,3)</f>
        <v/>
      </c>
      <c r="C277" s="65">
        <f>(Table30[[#This Row],[Real M2 Money Stock]]-B265)/B265</f>
        <v/>
      </c>
    </row>
    <row r="278">
      <c r="A278" s="23" t="n">
        <v>29830</v>
      </c>
      <c r="B278" s="25">
        <f>VLOOKUP(Table30[[#This Row],[Month]],'DB Money Supply'!$A:$D,3)</f>
        <v/>
      </c>
      <c r="C278" s="65">
        <f>(Table30[[#This Row],[Real M2 Money Stock]]-B266)/B266</f>
        <v/>
      </c>
    </row>
    <row r="279">
      <c r="A279" s="23" t="n">
        <v>29860</v>
      </c>
      <c r="B279" s="25">
        <f>VLOOKUP(Table30[[#This Row],[Month]],'DB Money Supply'!$A:$D,3)</f>
        <v/>
      </c>
      <c r="C279" s="65">
        <f>(Table30[[#This Row],[Real M2 Money Stock]]-B267)/B267</f>
        <v/>
      </c>
    </row>
    <row r="280">
      <c r="A280" s="23" t="n">
        <v>29891</v>
      </c>
      <c r="B280" s="25">
        <f>VLOOKUP(Table30[[#This Row],[Month]],'DB Money Supply'!$A:$D,3)</f>
        <v/>
      </c>
      <c r="C280" s="65">
        <f>(Table30[[#This Row],[Real M2 Money Stock]]-B268)/B268</f>
        <v/>
      </c>
    </row>
    <row r="281">
      <c r="A281" s="23" t="n">
        <v>29921</v>
      </c>
      <c r="B281" s="25">
        <f>VLOOKUP(Table30[[#This Row],[Month]],'DB Money Supply'!$A:$D,3)</f>
        <v/>
      </c>
      <c r="C281" s="65">
        <f>(Table30[[#This Row],[Real M2 Money Stock]]-B269)/B269</f>
        <v/>
      </c>
    </row>
    <row r="282">
      <c r="A282" s="23" t="n">
        <v>29952</v>
      </c>
      <c r="B282" s="25">
        <f>VLOOKUP(Table30[[#This Row],[Month]],'DB Money Supply'!$A:$D,3)</f>
        <v/>
      </c>
      <c r="C282" s="65">
        <f>(Table30[[#This Row],[Real M2 Money Stock]]-B270)/B270</f>
        <v/>
      </c>
    </row>
    <row r="283">
      <c r="A283" s="23" t="n">
        <v>29983</v>
      </c>
      <c r="B283" s="25">
        <f>VLOOKUP(Table30[[#This Row],[Month]],'DB Money Supply'!$A:$D,3)</f>
        <v/>
      </c>
      <c r="C283" s="65">
        <f>(Table30[[#This Row],[Real M2 Money Stock]]-B271)/B271</f>
        <v/>
      </c>
    </row>
    <row r="284">
      <c r="A284" s="23" t="n">
        <v>30011</v>
      </c>
      <c r="B284" s="25">
        <f>VLOOKUP(Table30[[#This Row],[Month]],'DB Money Supply'!$A:$D,3)</f>
        <v/>
      </c>
      <c r="C284" s="65">
        <f>(Table30[[#This Row],[Real M2 Money Stock]]-B272)/B272</f>
        <v/>
      </c>
    </row>
    <row r="285">
      <c r="A285" s="23" t="n">
        <v>30042</v>
      </c>
      <c r="B285" s="25">
        <f>VLOOKUP(Table30[[#This Row],[Month]],'DB Money Supply'!$A:$D,3)</f>
        <v/>
      </c>
      <c r="C285" s="65">
        <f>(Table30[[#This Row],[Real M2 Money Stock]]-B273)/B273</f>
        <v/>
      </c>
    </row>
    <row r="286">
      <c r="A286" s="23" t="n">
        <v>30072</v>
      </c>
      <c r="B286" s="25">
        <f>VLOOKUP(Table30[[#This Row],[Month]],'DB Money Supply'!$A:$D,3)</f>
        <v/>
      </c>
      <c r="C286" s="65">
        <f>(Table30[[#This Row],[Real M2 Money Stock]]-B274)/B274</f>
        <v/>
      </c>
    </row>
    <row r="287">
      <c r="A287" s="23" t="n">
        <v>30103</v>
      </c>
      <c r="B287" s="25">
        <f>VLOOKUP(Table30[[#This Row],[Month]],'DB Money Supply'!$A:$D,3)</f>
        <v/>
      </c>
      <c r="C287" s="65">
        <f>(Table30[[#This Row],[Real M2 Money Stock]]-B275)/B275</f>
        <v/>
      </c>
    </row>
    <row r="288">
      <c r="A288" s="23" t="n">
        <v>30133</v>
      </c>
      <c r="B288" s="25">
        <f>VLOOKUP(Table30[[#This Row],[Month]],'DB Money Supply'!$A:$D,3)</f>
        <v/>
      </c>
      <c r="C288" s="65">
        <f>(Table30[[#This Row],[Real M2 Money Stock]]-B276)/B276</f>
        <v/>
      </c>
    </row>
    <row r="289">
      <c r="A289" s="23" t="n">
        <v>30164</v>
      </c>
      <c r="B289" s="25">
        <f>VLOOKUP(Table30[[#This Row],[Month]],'DB Money Supply'!$A:$D,3)</f>
        <v/>
      </c>
      <c r="C289" s="65">
        <f>(Table30[[#This Row],[Real M2 Money Stock]]-B277)/B277</f>
        <v/>
      </c>
    </row>
    <row r="290">
      <c r="A290" s="23" t="n">
        <v>30195</v>
      </c>
      <c r="B290" s="25">
        <f>VLOOKUP(Table30[[#This Row],[Month]],'DB Money Supply'!$A:$D,3)</f>
        <v/>
      </c>
      <c r="C290" s="65">
        <f>(Table30[[#This Row],[Real M2 Money Stock]]-B278)/B278</f>
        <v/>
      </c>
    </row>
    <row r="291">
      <c r="A291" s="23" t="n">
        <v>30225</v>
      </c>
      <c r="B291" s="25">
        <f>VLOOKUP(Table30[[#This Row],[Month]],'DB Money Supply'!$A:$D,3)</f>
        <v/>
      </c>
      <c r="C291" s="65">
        <f>(Table30[[#This Row],[Real M2 Money Stock]]-B279)/B279</f>
        <v/>
      </c>
    </row>
    <row r="292">
      <c r="A292" s="23" t="n">
        <v>30256</v>
      </c>
      <c r="B292" s="25">
        <f>VLOOKUP(Table30[[#This Row],[Month]],'DB Money Supply'!$A:$D,3)</f>
        <v/>
      </c>
      <c r="C292" s="65">
        <f>(Table30[[#This Row],[Real M2 Money Stock]]-B280)/B280</f>
        <v/>
      </c>
    </row>
    <row r="293">
      <c r="A293" s="23" t="n">
        <v>30286</v>
      </c>
      <c r="B293" s="25">
        <f>VLOOKUP(Table30[[#This Row],[Month]],'DB Money Supply'!$A:$D,3)</f>
        <v/>
      </c>
      <c r="C293" s="65">
        <f>(Table30[[#This Row],[Real M2 Money Stock]]-B281)/B281</f>
        <v/>
      </c>
    </row>
    <row r="294">
      <c r="A294" s="23" t="n">
        <v>30317</v>
      </c>
      <c r="B294" s="25">
        <f>VLOOKUP(Table30[[#This Row],[Month]],'DB Money Supply'!$A:$D,3)</f>
        <v/>
      </c>
      <c r="C294" s="65">
        <f>(Table30[[#This Row],[Real M2 Money Stock]]-B282)/B282</f>
        <v/>
      </c>
    </row>
    <row r="295">
      <c r="A295" s="23" t="n">
        <v>30348</v>
      </c>
      <c r="B295" s="25">
        <f>VLOOKUP(Table30[[#This Row],[Month]],'DB Money Supply'!$A:$D,3)</f>
        <v/>
      </c>
      <c r="C295" s="65">
        <f>(Table30[[#This Row],[Real M2 Money Stock]]-B283)/B283</f>
        <v/>
      </c>
    </row>
    <row r="296">
      <c r="A296" s="23" t="n">
        <v>30376</v>
      </c>
      <c r="B296" s="25">
        <f>VLOOKUP(Table30[[#This Row],[Month]],'DB Money Supply'!$A:$D,3)</f>
        <v/>
      </c>
      <c r="C296" s="65">
        <f>(Table30[[#This Row],[Real M2 Money Stock]]-B284)/B284</f>
        <v/>
      </c>
    </row>
    <row r="297">
      <c r="A297" s="23" t="n">
        <v>30407</v>
      </c>
      <c r="B297" s="25">
        <f>VLOOKUP(Table30[[#This Row],[Month]],'DB Money Supply'!$A:$D,3)</f>
        <v/>
      </c>
      <c r="C297" s="65">
        <f>(Table30[[#This Row],[Real M2 Money Stock]]-B285)/B285</f>
        <v/>
      </c>
    </row>
    <row r="298">
      <c r="A298" s="23" t="n">
        <v>30437</v>
      </c>
      <c r="B298" s="25">
        <f>VLOOKUP(Table30[[#This Row],[Month]],'DB Money Supply'!$A:$D,3)</f>
        <v/>
      </c>
      <c r="C298" s="65">
        <f>(Table30[[#This Row],[Real M2 Money Stock]]-B286)/B286</f>
        <v/>
      </c>
    </row>
    <row r="299">
      <c r="A299" s="23" t="n">
        <v>30468</v>
      </c>
      <c r="B299" s="25">
        <f>VLOOKUP(Table30[[#This Row],[Month]],'DB Money Supply'!$A:$D,3)</f>
        <v/>
      </c>
      <c r="C299" s="65">
        <f>(Table30[[#This Row],[Real M2 Money Stock]]-B287)/B287</f>
        <v/>
      </c>
    </row>
    <row r="300">
      <c r="A300" s="23" t="n">
        <v>30498</v>
      </c>
      <c r="B300" s="25">
        <f>VLOOKUP(Table30[[#This Row],[Month]],'DB Money Supply'!$A:$D,3)</f>
        <v/>
      </c>
      <c r="C300" s="65">
        <f>(Table30[[#This Row],[Real M2 Money Stock]]-B288)/B288</f>
        <v/>
      </c>
    </row>
    <row r="301">
      <c r="A301" s="23" t="n">
        <v>30529</v>
      </c>
      <c r="B301" s="25">
        <f>VLOOKUP(Table30[[#This Row],[Month]],'DB Money Supply'!$A:$D,3)</f>
        <v/>
      </c>
      <c r="C301" s="65">
        <f>(Table30[[#This Row],[Real M2 Money Stock]]-B289)/B289</f>
        <v/>
      </c>
    </row>
    <row r="302">
      <c r="A302" s="23" t="n">
        <v>30560</v>
      </c>
      <c r="B302" s="25">
        <f>VLOOKUP(Table30[[#This Row],[Month]],'DB Money Supply'!$A:$D,3)</f>
        <v/>
      </c>
      <c r="C302" s="65">
        <f>(Table30[[#This Row],[Real M2 Money Stock]]-B290)/B290</f>
        <v/>
      </c>
    </row>
    <row r="303">
      <c r="A303" s="23" t="n">
        <v>30590</v>
      </c>
      <c r="B303" s="25">
        <f>VLOOKUP(Table30[[#This Row],[Month]],'DB Money Supply'!$A:$D,3)</f>
        <v/>
      </c>
      <c r="C303" s="65">
        <f>(Table30[[#This Row],[Real M2 Money Stock]]-B291)/B291</f>
        <v/>
      </c>
    </row>
    <row r="304">
      <c r="A304" s="23" t="n">
        <v>30621</v>
      </c>
      <c r="B304" s="25">
        <f>VLOOKUP(Table30[[#This Row],[Month]],'DB Money Supply'!$A:$D,3)</f>
        <v/>
      </c>
      <c r="C304" s="65">
        <f>(Table30[[#This Row],[Real M2 Money Stock]]-B292)/B292</f>
        <v/>
      </c>
    </row>
    <row r="305">
      <c r="A305" s="23" t="n">
        <v>30651</v>
      </c>
      <c r="B305" s="25">
        <f>VLOOKUP(Table30[[#This Row],[Month]],'DB Money Supply'!$A:$D,3)</f>
        <v/>
      </c>
      <c r="C305" s="65">
        <f>(Table30[[#This Row],[Real M2 Money Stock]]-B293)/B293</f>
        <v/>
      </c>
    </row>
    <row r="306">
      <c r="A306" s="23" t="n">
        <v>30682</v>
      </c>
      <c r="B306" s="25">
        <f>VLOOKUP(Table30[[#This Row],[Month]],'DB Money Supply'!$A:$D,3)</f>
        <v/>
      </c>
      <c r="C306" s="65">
        <f>(Table30[[#This Row],[Real M2 Money Stock]]-B294)/B294</f>
        <v/>
      </c>
    </row>
    <row r="307">
      <c r="A307" s="23" t="n">
        <v>30713</v>
      </c>
      <c r="B307" s="25">
        <f>VLOOKUP(Table30[[#This Row],[Month]],'DB Money Supply'!$A:$D,3)</f>
        <v/>
      </c>
      <c r="C307" s="65">
        <f>(Table30[[#This Row],[Real M2 Money Stock]]-B295)/B295</f>
        <v/>
      </c>
    </row>
    <row r="308">
      <c r="A308" s="23" t="n">
        <v>30742</v>
      </c>
      <c r="B308" s="25">
        <f>VLOOKUP(Table30[[#This Row],[Month]],'DB Money Supply'!$A:$D,3)</f>
        <v/>
      </c>
      <c r="C308" s="65">
        <f>(Table30[[#This Row],[Real M2 Money Stock]]-B296)/B296</f>
        <v/>
      </c>
    </row>
    <row r="309">
      <c r="A309" s="23" t="n">
        <v>30773</v>
      </c>
      <c r="B309" s="25">
        <f>VLOOKUP(Table30[[#This Row],[Month]],'DB Money Supply'!$A:$D,3)</f>
        <v/>
      </c>
      <c r="C309" s="65">
        <f>(Table30[[#This Row],[Real M2 Money Stock]]-B297)/B297</f>
        <v/>
      </c>
    </row>
    <row r="310">
      <c r="A310" s="23" t="n">
        <v>30803</v>
      </c>
      <c r="B310" s="25">
        <f>VLOOKUP(Table30[[#This Row],[Month]],'DB Money Supply'!$A:$D,3)</f>
        <v/>
      </c>
      <c r="C310" s="65">
        <f>(Table30[[#This Row],[Real M2 Money Stock]]-B298)/B298</f>
        <v/>
      </c>
    </row>
    <row r="311">
      <c r="A311" s="23" t="n">
        <v>30834</v>
      </c>
      <c r="B311" s="25">
        <f>VLOOKUP(Table30[[#This Row],[Month]],'DB Money Supply'!$A:$D,3)</f>
        <v/>
      </c>
      <c r="C311" s="65">
        <f>(Table30[[#This Row],[Real M2 Money Stock]]-B299)/B299</f>
        <v/>
      </c>
    </row>
    <row r="312">
      <c r="A312" s="23" t="n">
        <v>30864</v>
      </c>
      <c r="B312" s="25">
        <f>VLOOKUP(Table30[[#This Row],[Month]],'DB Money Supply'!$A:$D,3)</f>
        <v/>
      </c>
      <c r="C312" s="65">
        <f>(Table30[[#This Row],[Real M2 Money Stock]]-B300)/B300</f>
        <v/>
      </c>
    </row>
    <row r="313">
      <c r="A313" s="23" t="n">
        <v>30895</v>
      </c>
      <c r="B313" s="25">
        <f>VLOOKUP(Table30[[#This Row],[Month]],'DB Money Supply'!$A:$D,3)</f>
        <v/>
      </c>
      <c r="C313" s="65">
        <f>(Table30[[#This Row],[Real M2 Money Stock]]-B301)/B301</f>
        <v/>
      </c>
    </row>
    <row r="314">
      <c r="A314" s="23" t="n">
        <v>30926</v>
      </c>
      <c r="B314" s="25">
        <f>VLOOKUP(Table30[[#This Row],[Month]],'DB Money Supply'!$A:$D,3)</f>
        <v/>
      </c>
      <c r="C314" s="65">
        <f>(Table30[[#This Row],[Real M2 Money Stock]]-B302)/B302</f>
        <v/>
      </c>
    </row>
    <row r="315">
      <c r="A315" s="23" t="n">
        <v>30956</v>
      </c>
      <c r="B315" s="25">
        <f>VLOOKUP(Table30[[#This Row],[Month]],'DB Money Supply'!$A:$D,3)</f>
        <v/>
      </c>
      <c r="C315" s="65">
        <f>(Table30[[#This Row],[Real M2 Money Stock]]-B303)/B303</f>
        <v/>
      </c>
    </row>
    <row r="316">
      <c r="A316" s="23" t="n">
        <v>30987</v>
      </c>
      <c r="B316" s="25">
        <f>VLOOKUP(Table30[[#This Row],[Month]],'DB Money Supply'!$A:$D,3)</f>
        <v/>
      </c>
      <c r="C316" s="65">
        <f>(Table30[[#This Row],[Real M2 Money Stock]]-B304)/B304</f>
        <v/>
      </c>
    </row>
    <row r="317">
      <c r="A317" s="23" t="n">
        <v>31017</v>
      </c>
      <c r="B317" s="25">
        <f>VLOOKUP(Table30[[#This Row],[Month]],'DB Money Supply'!$A:$D,3)</f>
        <v/>
      </c>
      <c r="C317" s="65">
        <f>(Table30[[#This Row],[Real M2 Money Stock]]-B305)/B305</f>
        <v/>
      </c>
    </row>
    <row r="318">
      <c r="A318" s="23" t="n">
        <v>31048</v>
      </c>
      <c r="B318" s="25">
        <f>VLOOKUP(Table30[[#This Row],[Month]],'DB Money Supply'!$A:$D,3)</f>
        <v/>
      </c>
      <c r="C318" s="65">
        <f>(Table30[[#This Row],[Real M2 Money Stock]]-B306)/B306</f>
        <v/>
      </c>
    </row>
    <row r="319">
      <c r="A319" s="23" t="n">
        <v>31079</v>
      </c>
      <c r="B319" s="25">
        <f>VLOOKUP(Table30[[#This Row],[Month]],'DB Money Supply'!$A:$D,3)</f>
        <v/>
      </c>
      <c r="C319" s="65">
        <f>(Table30[[#This Row],[Real M2 Money Stock]]-B307)/B307</f>
        <v/>
      </c>
    </row>
    <row r="320">
      <c r="A320" s="23" t="n">
        <v>31107</v>
      </c>
      <c r="B320" s="25">
        <f>VLOOKUP(Table30[[#This Row],[Month]],'DB Money Supply'!$A:$D,3)</f>
        <v/>
      </c>
      <c r="C320" s="65">
        <f>(Table30[[#This Row],[Real M2 Money Stock]]-B308)/B308</f>
        <v/>
      </c>
    </row>
    <row r="321">
      <c r="A321" s="23" t="n">
        <v>31138</v>
      </c>
      <c r="B321" s="25">
        <f>VLOOKUP(Table30[[#This Row],[Month]],'DB Money Supply'!$A:$D,3)</f>
        <v/>
      </c>
      <c r="C321" s="65">
        <f>(Table30[[#This Row],[Real M2 Money Stock]]-B309)/B309</f>
        <v/>
      </c>
    </row>
    <row r="322">
      <c r="A322" s="23" t="n">
        <v>31168</v>
      </c>
      <c r="B322" s="25">
        <f>VLOOKUP(Table30[[#This Row],[Month]],'DB Money Supply'!$A:$D,3)</f>
        <v/>
      </c>
      <c r="C322" s="65">
        <f>(Table30[[#This Row],[Real M2 Money Stock]]-B310)/B310</f>
        <v/>
      </c>
    </row>
    <row r="323">
      <c r="A323" s="23" t="n">
        <v>31199</v>
      </c>
      <c r="B323" s="25">
        <f>VLOOKUP(Table30[[#This Row],[Month]],'DB Money Supply'!$A:$D,3)</f>
        <v/>
      </c>
      <c r="C323" s="65">
        <f>(Table30[[#This Row],[Real M2 Money Stock]]-B311)/B311</f>
        <v/>
      </c>
    </row>
    <row r="324">
      <c r="A324" s="23" t="n">
        <v>31229</v>
      </c>
      <c r="B324" s="25">
        <f>VLOOKUP(Table30[[#This Row],[Month]],'DB Money Supply'!$A:$D,3)</f>
        <v/>
      </c>
      <c r="C324" s="65">
        <f>(Table30[[#This Row],[Real M2 Money Stock]]-B312)/B312</f>
        <v/>
      </c>
    </row>
    <row r="325">
      <c r="A325" s="23" t="n">
        <v>31260</v>
      </c>
      <c r="B325" s="25">
        <f>VLOOKUP(Table30[[#This Row],[Month]],'DB Money Supply'!$A:$D,3)</f>
        <v/>
      </c>
      <c r="C325" s="65">
        <f>(Table30[[#This Row],[Real M2 Money Stock]]-B313)/B313</f>
        <v/>
      </c>
    </row>
    <row r="326">
      <c r="A326" s="23" t="n">
        <v>31291</v>
      </c>
      <c r="B326" s="25">
        <f>VLOOKUP(Table30[[#This Row],[Month]],'DB Money Supply'!$A:$D,3)</f>
        <v/>
      </c>
      <c r="C326" s="65">
        <f>(Table30[[#This Row],[Real M2 Money Stock]]-B314)/B314</f>
        <v/>
      </c>
    </row>
    <row r="327">
      <c r="A327" s="23" t="n">
        <v>31321</v>
      </c>
      <c r="B327" s="25">
        <f>VLOOKUP(Table30[[#This Row],[Month]],'DB Money Supply'!$A:$D,3)</f>
        <v/>
      </c>
      <c r="C327" s="65">
        <f>(Table30[[#This Row],[Real M2 Money Stock]]-B315)/B315</f>
        <v/>
      </c>
    </row>
    <row r="328">
      <c r="A328" s="23" t="n">
        <v>31352</v>
      </c>
      <c r="B328" s="25">
        <f>VLOOKUP(Table30[[#This Row],[Month]],'DB Money Supply'!$A:$D,3)</f>
        <v/>
      </c>
      <c r="C328" s="65">
        <f>(Table30[[#This Row],[Real M2 Money Stock]]-B316)/B316</f>
        <v/>
      </c>
    </row>
    <row r="329">
      <c r="A329" s="23" t="n">
        <v>31382</v>
      </c>
      <c r="B329" s="25">
        <f>VLOOKUP(Table30[[#This Row],[Month]],'DB Money Supply'!$A:$D,3)</f>
        <v/>
      </c>
      <c r="C329" s="65">
        <f>(Table30[[#This Row],[Real M2 Money Stock]]-B317)/B317</f>
        <v/>
      </c>
    </row>
    <row r="330">
      <c r="A330" s="23" t="n">
        <v>31413</v>
      </c>
      <c r="B330" s="25">
        <f>VLOOKUP(Table30[[#This Row],[Month]],'DB Money Supply'!$A:$D,3)</f>
        <v/>
      </c>
      <c r="C330" s="65">
        <f>(Table30[[#This Row],[Real M2 Money Stock]]-B318)/B318</f>
        <v/>
      </c>
    </row>
    <row r="331">
      <c r="A331" s="23" t="n">
        <v>31444</v>
      </c>
      <c r="B331" s="25">
        <f>VLOOKUP(Table30[[#This Row],[Month]],'DB Money Supply'!$A:$D,3)</f>
        <v/>
      </c>
      <c r="C331" s="65">
        <f>(Table30[[#This Row],[Real M2 Money Stock]]-B319)/B319</f>
        <v/>
      </c>
    </row>
    <row r="332">
      <c r="A332" s="23" t="n">
        <v>31472</v>
      </c>
      <c r="B332" s="25">
        <f>VLOOKUP(Table30[[#This Row],[Month]],'DB Money Supply'!$A:$D,3)</f>
        <v/>
      </c>
      <c r="C332" s="65">
        <f>(Table30[[#This Row],[Real M2 Money Stock]]-B320)/B320</f>
        <v/>
      </c>
    </row>
    <row r="333">
      <c r="A333" s="23" t="n">
        <v>31503</v>
      </c>
      <c r="B333" s="25">
        <f>VLOOKUP(Table30[[#This Row],[Month]],'DB Money Supply'!$A:$D,3)</f>
        <v/>
      </c>
      <c r="C333" s="65">
        <f>(Table30[[#This Row],[Real M2 Money Stock]]-B321)/B321</f>
        <v/>
      </c>
    </row>
    <row r="334">
      <c r="A334" s="23" t="n">
        <v>31533</v>
      </c>
      <c r="B334" s="25">
        <f>VLOOKUP(Table30[[#This Row],[Month]],'DB Money Supply'!$A:$D,3)</f>
        <v/>
      </c>
      <c r="C334" s="65">
        <f>(Table30[[#This Row],[Real M2 Money Stock]]-B322)/B322</f>
        <v/>
      </c>
    </row>
    <row r="335">
      <c r="A335" s="23" t="n">
        <v>31564</v>
      </c>
      <c r="B335" s="25">
        <f>VLOOKUP(Table30[[#This Row],[Month]],'DB Money Supply'!$A:$D,3)</f>
        <v/>
      </c>
      <c r="C335" s="65">
        <f>(Table30[[#This Row],[Real M2 Money Stock]]-B323)/B323</f>
        <v/>
      </c>
    </row>
    <row r="336">
      <c r="A336" s="23" t="n">
        <v>31594</v>
      </c>
      <c r="B336" s="25">
        <f>VLOOKUP(Table30[[#This Row],[Month]],'DB Money Supply'!$A:$D,3)</f>
        <v/>
      </c>
      <c r="C336" s="65">
        <f>(Table30[[#This Row],[Real M2 Money Stock]]-B324)/B324</f>
        <v/>
      </c>
    </row>
    <row r="337">
      <c r="A337" s="23" t="n">
        <v>31625</v>
      </c>
      <c r="B337" s="25">
        <f>VLOOKUP(Table30[[#This Row],[Month]],'DB Money Supply'!$A:$D,3)</f>
        <v/>
      </c>
      <c r="C337" s="65">
        <f>(Table30[[#This Row],[Real M2 Money Stock]]-B325)/B325</f>
        <v/>
      </c>
    </row>
    <row r="338">
      <c r="A338" s="23" t="n">
        <v>31656</v>
      </c>
      <c r="B338" s="25">
        <f>VLOOKUP(Table30[[#This Row],[Month]],'DB Money Supply'!$A:$D,3)</f>
        <v/>
      </c>
      <c r="C338" s="65">
        <f>(Table30[[#This Row],[Real M2 Money Stock]]-B326)/B326</f>
        <v/>
      </c>
    </row>
    <row r="339">
      <c r="A339" s="23" t="n">
        <v>31686</v>
      </c>
      <c r="B339" s="25">
        <f>VLOOKUP(Table30[[#This Row],[Month]],'DB Money Supply'!$A:$D,3)</f>
        <v/>
      </c>
      <c r="C339" s="65">
        <f>(Table30[[#This Row],[Real M2 Money Stock]]-B327)/B327</f>
        <v/>
      </c>
    </row>
    <row r="340">
      <c r="A340" s="23" t="n">
        <v>31717</v>
      </c>
      <c r="B340" s="25">
        <f>VLOOKUP(Table30[[#This Row],[Month]],'DB Money Supply'!$A:$D,3)</f>
        <v/>
      </c>
      <c r="C340" s="65">
        <f>(Table30[[#This Row],[Real M2 Money Stock]]-B328)/B328</f>
        <v/>
      </c>
    </row>
    <row r="341">
      <c r="A341" s="23" t="n">
        <v>31747</v>
      </c>
      <c r="B341" s="25">
        <f>VLOOKUP(Table30[[#This Row],[Month]],'DB Money Supply'!$A:$D,3)</f>
        <v/>
      </c>
      <c r="C341" s="65">
        <f>(Table30[[#This Row],[Real M2 Money Stock]]-B329)/B329</f>
        <v/>
      </c>
    </row>
    <row r="342">
      <c r="A342" s="23" t="n">
        <v>31778</v>
      </c>
      <c r="B342" s="25">
        <f>VLOOKUP(Table30[[#This Row],[Month]],'DB Money Supply'!$A:$D,3)</f>
        <v/>
      </c>
      <c r="C342" s="65">
        <f>(Table30[[#This Row],[Real M2 Money Stock]]-B330)/B330</f>
        <v/>
      </c>
    </row>
    <row r="343">
      <c r="A343" s="23" t="n">
        <v>31809</v>
      </c>
      <c r="B343" s="25">
        <f>VLOOKUP(Table30[[#This Row],[Month]],'DB Money Supply'!$A:$D,3)</f>
        <v/>
      </c>
      <c r="C343" s="65">
        <f>(Table30[[#This Row],[Real M2 Money Stock]]-B331)/B331</f>
        <v/>
      </c>
    </row>
    <row r="344">
      <c r="A344" s="23" t="n">
        <v>31837</v>
      </c>
      <c r="B344" s="25">
        <f>VLOOKUP(Table30[[#This Row],[Month]],'DB Money Supply'!$A:$D,3)</f>
        <v/>
      </c>
      <c r="C344" s="65">
        <f>(Table30[[#This Row],[Real M2 Money Stock]]-B332)/B332</f>
        <v/>
      </c>
    </row>
    <row r="345">
      <c r="A345" s="23" t="n">
        <v>31868</v>
      </c>
      <c r="B345" s="25">
        <f>VLOOKUP(Table30[[#This Row],[Month]],'DB Money Supply'!$A:$D,3)</f>
        <v/>
      </c>
      <c r="C345" s="65">
        <f>(Table30[[#This Row],[Real M2 Money Stock]]-B333)/B333</f>
        <v/>
      </c>
    </row>
    <row r="346">
      <c r="A346" s="23" t="n">
        <v>31898</v>
      </c>
      <c r="B346" s="25">
        <f>VLOOKUP(Table30[[#This Row],[Month]],'DB Money Supply'!$A:$D,3)</f>
        <v/>
      </c>
      <c r="C346" s="65">
        <f>(Table30[[#This Row],[Real M2 Money Stock]]-B334)/B334</f>
        <v/>
      </c>
    </row>
    <row r="347">
      <c r="A347" s="23" t="n">
        <v>31929</v>
      </c>
      <c r="B347" s="25">
        <f>VLOOKUP(Table30[[#This Row],[Month]],'DB Money Supply'!$A:$D,3)</f>
        <v/>
      </c>
      <c r="C347" s="65">
        <f>(Table30[[#This Row],[Real M2 Money Stock]]-B335)/B335</f>
        <v/>
      </c>
    </row>
    <row r="348">
      <c r="A348" s="23" t="n">
        <v>31959</v>
      </c>
      <c r="B348" s="25">
        <f>VLOOKUP(Table30[[#This Row],[Month]],'DB Money Supply'!$A:$D,3)</f>
        <v/>
      </c>
      <c r="C348" s="65">
        <f>(Table30[[#This Row],[Real M2 Money Stock]]-B336)/B336</f>
        <v/>
      </c>
    </row>
    <row r="349">
      <c r="A349" s="23" t="n">
        <v>31990</v>
      </c>
      <c r="B349" s="25">
        <f>VLOOKUP(Table30[[#This Row],[Month]],'DB Money Supply'!$A:$D,3)</f>
        <v/>
      </c>
      <c r="C349" s="65">
        <f>(Table30[[#This Row],[Real M2 Money Stock]]-B337)/B337</f>
        <v/>
      </c>
    </row>
    <row r="350">
      <c r="A350" s="23" t="n">
        <v>32021</v>
      </c>
      <c r="B350" s="25">
        <f>VLOOKUP(Table30[[#This Row],[Month]],'DB Money Supply'!$A:$D,3)</f>
        <v/>
      </c>
      <c r="C350" s="65">
        <f>(Table30[[#This Row],[Real M2 Money Stock]]-B338)/B338</f>
        <v/>
      </c>
    </row>
    <row r="351">
      <c r="A351" s="23" t="n">
        <v>32051</v>
      </c>
      <c r="B351" s="25">
        <f>VLOOKUP(Table30[[#This Row],[Month]],'DB Money Supply'!$A:$D,3)</f>
        <v/>
      </c>
      <c r="C351" s="65">
        <f>(Table30[[#This Row],[Real M2 Money Stock]]-B339)/B339</f>
        <v/>
      </c>
    </row>
    <row r="352">
      <c r="A352" s="23" t="n">
        <v>32082</v>
      </c>
      <c r="B352" s="25">
        <f>VLOOKUP(Table30[[#This Row],[Month]],'DB Money Supply'!$A:$D,3)</f>
        <v/>
      </c>
      <c r="C352" s="65">
        <f>(Table30[[#This Row],[Real M2 Money Stock]]-B340)/B340</f>
        <v/>
      </c>
    </row>
    <row r="353">
      <c r="A353" s="23" t="n">
        <v>32112</v>
      </c>
      <c r="B353" s="25">
        <f>VLOOKUP(Table30[[#This Row],[Month]],'DB Money Supply'!$A:$D,3)</f>
        <v/>
      </c>
      <c r="C353" s="65">
        <f>(Table30[[#This Row],[Real M2 Money Stock]]-B341)/B341</f>
        <v/>
      </c>
    </row>
    <row r="354">
      <c r="A354" s="23" t="n">
        <v>32143</v>
      </c>
      <c r="B354" s="25">
        <f>VLOOKUP(Table30[[#This Row],[Month]],'DB Money Supply'!$A:$D,3)</f>
        <v/>
      </c>
      <c r="C354" s="65">
        <f>(Table30[[#This Row],[Real M2 Money Stock]]-B342)/B342</f>
        <v/>
      </c>
    </row>
    <row r="355">
      <c r="A355" s="23" t="n">
        <v>32174</v>
      </c>
      <c r="B355" s="25">
        <f>VLOOKUP(Table30[[#This Row],[Month]],'DB Money Supply'!$A:$D,3)</f>
        <v/>
      </c>
      <c r="C355" s="65">
        <f>(Table30[[#This Row],[Real M2 Money Stock]]-B343)/B343</f>
        <v/>
      </c>
    </row>
    <row r="356">
      <c r="A356" s="23" t="n">
        <v>32203</v>
      </c>
      <c r="B356" s="25">
        <f>VLOOKUP(Table30[[#This Row],[Month]],'DB Money Supply'!$A:$D,3)</f>
        <v/>
      </c>
      <c r="C356" s="65">
        <f>(Table30[[#This Row],[Real M2 Money Stock]]-B344)/B344</f>
        <v/>
      </c>
    </row>
    <row r="357">
      <c r="A357" s="23" t="n">
        <v>32234</v>
      </c>
      <c r="B357" s="25">
        <f>VLOOKUP(Table30[[#This Row],[Month]],'DB Money Supply'!$A:$D,3)</f>
        <v/>
      </c>
      <c r="C357" s="65">
        <f>(Table30[[#This Row],[Real M2 Money Stock]]-B345)/B345</f>
        <v/>
      </c>
    </row>
    <row r="358">
      <c r="A358" s="23" t="n">
        <v>32264</v>
      </c>
      <c r="B358" s="25">
        <f>VLOOKUP(Table30[[#This Row],[Month]],'DB Money Supply'!$A:$D,3)</f>
        <v/>
      </c>
      <c r="C358" s="65">
        <f>(Table30[[#This Row],[Real M2 Money Stock]]-B346)/B346</f>
        <v/>
      </c>
    </row>
    <row r="359">
      <c r="A359" s="23" t="n">
        <v>32295</v>
      </c>
      <c r="B359" s="25">
        <f>VLOOKUP(Table30[[#This Row],[Month]],'DB Money Supply'!$A:$D,3)</f>
        <v/>
      </c>
      <c r="C359" s="65">
        <f>(Table30[[#This Row],[Real M2 Money Stock]]-B347)/B347</f>
        <v/>
      </c>
    </row>
    <row r="360">
      <c r="A360" s="23" t="n">
        <v>32325</v>
      </c>
      <c r="B360" s="25">
        <f>VLOOKUP(Table30[[#This Row],[Month]],'DB Money Supply'!$A:$D,3)</f>
        <v/>
      </c>
      <c r="C360" s="65">
        <f>(Table30[[#This Row],[Real M2 Money Stock]]-B348)/B348</f>
        <v/>
      </c>
    </row>
    <row r="361">
      <c r="A361" s="23" t="n">
        <v>32356</v>
      </c>
      <c r="B361" s="25">
        <f>VLOOKUP(Table30[[#This Row],[Month]],'DB Money Supply'!$A:$D,3)</f>
        <v/>
      </c>
      <c r="C361" s="65">
        <f>(Table30[[#This Row],[Real M2 Money Stock]]-B349)/B349</f>
        <v/>
      </c>
    </row>
    <row r="362">
      <c r="A362" s="23" t="n">
        <v>32387</v>
      </c>
      <c r="B362" s="25">
        <f>VLOOKUP(Table30[[#This Row],[Month]],'DB Money Supply'!$A:$D,3)</f>
        <v/>
      </c>
      <c r="C362" s="65">
        <f>(Table30[[#This Row],[Real M2 Money Stock]]-B350)/B350</f>
        <v/>
      </c>
    </row>
    <row r="363">
      <c r="A363" s="23" t="n">
        <v>32417</v>
      </c>
      <c r="B363" s="25">
        <f>VLOOKUP(Table30[[#This Row],[Month]],'DB Money Supply'!$A:$D,3)</f>
        <v/>
      </c>
      <c r="C363" s="65">
        <f>(Table30[[#This Row],[Real M2 Money Stock]]-B351)/B351</f>
        <v/>
      </c>
    </row>
    <row r="364">
      <c r="A364" s="23" t="n">
        <v>32448</v>
      </c>
      <c r="B364" s="25">
        <f>VLOOKUP(Table30[[#This Row],[Month]],'DB Money Supply'!$A:$D,3)</f>
        <v/>
      </c>
      <c r="C364" s="65">
        <f>(Table30[[#This Row],[Real M2 Money Stock]]-B352)/B352</f>
        <v/>
      </c>
    </row>
    <row r="365">
      <c r="A365" s="23" t="n">
        <v>32478</v>
      </c>
      <c r="B365" s="25">
        <f>VLOOKUP(Table30[[#This Row],[Month]],'DB Money Supply'!$A:$D,3)</f>
        <v/>
      </c>
      <c r="C365" s="65">
        <f>(Table30[[#This Row],[Real M2 Money Stock]]-B353)/B353</f>
        <v/>
      </c>
    </row>
    <row r="366">
      <c r="A366" s="23" t="n">
        <v>32509</v>
      </c>
      <c r="B366" s="25">
        <f>VLOOKUP(Table30[[#This Row],[Month]],'DB Money Supply'!$A:$D,3)</f>
        <v/>
      </c>
      <c r="C366" s="65">
        <f>(Table30[[#This Row],[Real M2 Money Stock]]-B354)/B354</f>
        <v/>
      </c>
    </row>
    <row r="367">
      <c r="A367" s="23" t="n">
        <v>32540</v>
      </c>
      <c r="B367" s="25">
        <f>VLOOKUP(Table30[[#This Row],[Month]],'DB Money Supply'!$A:$D,3)</f>
        <v/>
      </c>
      <c r="C367" s="65">
        <f>(Table30[[#This Row],[Real M2 Money Stock]]-B355)/B355</f>
        <v/>
      </c>
    </row>
    <row r="368">
      <c r="A368" s="23" t="n">
        <v>32568</v>
      </c>
      <c r="B368" s="25">
        <f>VLOOKUP(Table30[[#This Row],[Month]],'DB Money Supply'!$A:$D,3)</f>
        <v/>
      </c>
      <c r="C368" s="65">
        <f>(Table30[[#This Row],[Real M2 Money Stock]]-B356)/B356</f>
        <v/>
      </c>
    </row>
    <row r="369">
      <c r="A369" s="23" t="n">
        <v>32599</v>
      </c>
      <c r="B369" s="25">
        <f>VLOOKUP(Table30[[#This Row],[Month]],'DB Money Supply'!$A:$D,3)</f>
        <v/>
      </c>
      <c r="C369" s="65">
        <f>(Table30[[#This Row],[Real M2 Money Stock]]-B357)/B357</f>
        <v/>
      </c>
    </row>
    <row r="370">
      <c r="A370" s="23" t="n">
        <v>32629</v>
      </c>
      <c r="B370" s="25">
        <f>VLOOKUP(Table30[[#This Row],[Month]],'DB Money Supply'!$A:$D,3)</f>
        <v/>
      </c>
      <c r="C370" s="65">
        <f>(Table30[[#This Row],[Real M2 Money Stock]]-B358)/B358</f>
        <v/>
      </c>
    </row>
    <row r="371">
      <c r="A371" s="23" t="n">
        <v>32660</v>
      </c>
      <c r="B371" s="25">
        <f>VLOOKUP(Table30[[#This Row],[Month]],'DB Money Supply'!$A:$D,3)</f>
        <v/>
      </c>
      <c r="C371" s="65">
        <f>(Table30[[#This Row],[Real M2 Money Stock]]-B359)/B359</f>
        <v/>
      </c>
    </row>
    <row r="372">
      <c r="A372" s="23" t="n">
        <v>32690</v>
      </c>
      <c r="B372" s="25">
        <f>VLOOKUP(Table30[[#This Row],[Month]],'DB Money Supply'!$A:$D,3)</f>
        <v/>
      </c>
      <c r="C372" s="65">
        <f>(Table30[[#This Row],[Real M2 Money Stock]]-B360)/B360</f>
        <v/>
      </c>
    </row>
    <row r="373">
      <c r="A373" s="23" t="n">
        <v>32721</v>
      </c>
      <c r="B373" s="25">
        <f>VLOOKUP(Table30[[#This Row],[Month]],'DB Money Supply'!$A:$D,3)</f>
        <v/>
      </c>
      <c r="C373" s="65">
        <f>(Table30[[#This Row],[Real M2 Money Stock]]-B361)/B361</f>
        <v/>
      </c>
    </row>
    <row r="374">
      <c r="A374" s="23" t="n">
        <v>32752</v>
      </c>
      <c r="B374" s="25">
        <f>VLOOKUP(Table30[[#This Row],[Month]],'DB Money Supply'!$A:$D,3)</f>
        <v/>
      </c>
      <c r="C374" s="65">
        <f>(Table30[[#This Row],[Real M2 Money Stock]]-B362)/B362</f>
        <v/>
      </c>
    </row>
    <row r="375">
      <c r="A375" s="23" t="n">
        <v>32782</v>
      </c>
      <c r="B375" s="25">
        <f>VLOOKUP(Table30[[#This Row],[Month]],'DB Money Supply'!$A:$D,3)</f>
        <v/>
      </c>
      <c r="C375" s="65">
        <f>(Table30[[#This Row],[Real M2 Money Stock]]-B363)/B363</f>
        <v/>
      </c>
    </row>
    <row r="376">
      <c r="A376" s="23" t="n">
        <v>32813</v>
      </c>
      <c r="B376" s="25">
        <f>VLOOKUP(Table30[[#This Row],[Month]],'DB Money Supply'!$A:$D,3)</f>
        <v/>
      </c>
      <c r="C376" s="65">
        <f>(Table30[[#This Row],[Real M2 Money Stock]]-B364)/B364</f>
        <v/>
      </c>
    </row>
    <row r="377">
      <c r="A377" s="23" t="n">
        <v>32843</v>
      </c>
      <c r="B377" s="25">
        <f>VLOOKUP(Table30[[#This Row],[Month]],'DB Money Supply'!$A:$D,3)</f>
        <v/>
      </c>
      <c r="C377" s="65">
        <f>(Table30[[#This Row],[Real M2 Money Stock]]-B365)/B365</f>
        <v/>
      </c>
    </row>
    <row r="378">
      <c r="A378" s="23" t="n">
        <v>32874</v>
      </c>
      <c r="B378" s="25">
        <f>VLOOKUP(Table30[[#This Row],[Month]],'DB Money Supply'!$A:$D,3)</f>
        <v/>
      </c>
      <c r="C378" s="65">
        <f>(Table30[[#This Row],[Real M2 Money Stock]]-B366)/B366</f>
        <v/>
      </c>
    </row>
    <row r="379">
      <c r="A379" s="23" t="n">
        <v>32905</v>
      </c>
      <c r="B379" s="25">
        <f>VLOOKUP(Table30[[#This Row],[Month]],'DB Money Supply'!$A:$D,3)</f>
        <v/>
      </c>
      <c r="C379" s="65">
        <f>(Table30[[#This Row],[Real M2 Money Stock]]-B367)/B367</f>
        <v/>
      </c>
    </row>
    <row r="380">
      <c r="A380" s="23" t="n">
        <v>32933</v>
      </c>
      <c r="B380" s="25">
        <f>VLOOKUP(Table30[[#This Row],[Month]],'DB Money Supply'!$A:$D,3)</f>
        <v/>
      </c>
      <c r="C380" s="65">
        <f>(Table30[[#This Row],[Real M2 Money Stock]]-B368)/B368</f>
        <v/>
      </c>
    </row>
    <row r="381">
      <c r="A381" s="23" t="n">
        <v>32964</v>
      </c>
      <c r="B381" s="25">
        <f>VLOOKUP(Table30[[#This Row],[Month]],'DB Money Supply'!$A:$D,3)</f>
        <v/>
      </c>
      <c r="C381" s="65">
        <f>(Table30[[#This Row],[Real M2 Money Stock]]-B369)/B369</f>
        <v/>
      </c>
    </row>
    <row r="382">
      <c r="A382" s="23" t="n">
        <v>32994</v>
      </c>
      <c r="B382" s="25">
        <f>VLOOKUP(Table30[[#This Row],[Month]],'DB Money Supply'!$A:$D,3)</f>
        <v/>
      </c>
      <c r="C382" s="65">
        <f>(Table30[[#This Row],[Real M2 Money Stock]]-B370)/B370</f>
        <v/>
      </c>
    </row>
    <row r="383">
      <c r="A383" s="23" t="n">
        <v>33025</v>
      </c>
      <c r="B383" s="25">
        <f>VLOOKUP(Table30[[#This Row],[Month]],'DB Money Supply'!$A:$D,3)</f>
        <v/>
      </c>
      <c r="C383" s="65">
        <f>(Table30[[#This Row],[Real M2 Money Stock]]-B371)/B371</f>
        <v/>
      </c>
    </row>
    <row r="384">
      <c r="A384" s="23" t="n">
        <v>33055</v>
      </c>
      <c r="B384" s="25">
        <f>VLOOKUP(Table30[[#This Row],[Month]],'DB Money Supply'!$A:$D,3)</f>
        <v/>
      </c>
      <c r="C384" s="65">
        <f>(Table30[[#This Row],[Real M2 Money Stock]]-B372)/B372</f>
        <v/>
      </c>
    </row>
    <row r="385">
      <c r="A385" s="23" t="n">
        <v>33086</v>
      </c>
      <c r="B385" s="25">
        <f>VLOOKUP(Table30[[#This Row],[Month]],'DB Money Supply'!$A:$D,3)</f>
        <v/>
      </c>
      <c r="C385" s="65">
        <f>(Table30[[#This Row],[Real M2 Money Stock]]-B373)/B373</f>
        <v/>
      </c>
    </row>
    <row r="386">
      <c r="A386" s="23" t="n">
        <v>33117</v>
      </c>
      <c r="B386" s="25">
        <f>VLOOKUP(Table30[[#This Row],[Month]],'DB Money Supply'!$A:$D,3)</f>
        <v/>
      </c>
      <c r="C386" s="65">
        <f>(Table30[[#This Row],[Real M2 Money Stock]]-B374)/B374</f>
        <v/>
      </c>
    </row>
    <row r="387">
      <c r="A387" s="23" t="n">
        <v>33147</v>
      </c>
      <c r="B387" s="25">
        <f>VLOOKUP(Table30[[#This Row],[Month]],'DB Money Supply'!$A:$D,3)</f>
        <v/>
      </c>
      <c r="C387" s="65">
        <f>(Table30[[#This Row],[Real M2 Money Stock]]-B375)/B375</f>
        <v/>
      </c>
    </row>
    <row r="388">
      <c r="A388" s="23" t="n">
        <v>33178</v>
      </c>
      <c r="B388" s="25">
        <f>VLOOKUP(Table30[[#This Row],[Month]],'DB Money Supply'!$A:$D,3)</f>
        <v/>
      </c>
      <c r="C388" s="65">
        <f>(Table30[[#This Row],[Real M2 Money Stock]]-B376)/B376</f>
        <v/>
      </c>
    </row>
    <row r="389">
      <c r="A389" s="23" t="n">
        <v>33208</v>
      </c>
      <c r="B389" s="25">
        <f>VLOOKUP(Table30[[#This Row],[Month]],'DB Money Supply'!$A:$D,3)</f>
        <v/>
      </c>
      <c r="C389" s="65">
        <f>(Table30[[#This Row],[Real M2 Money Stock]]-B377)/B377</f>
        <v/>
      </c>
    </row>
    <row r="390">
      <c r="A390" s="23" t="n">
        <v>33239</v>
      </c>
      <c r="B390" s="25">
        <f>VLOOKUP(Table30[[#This Row],[Month]],'DB Money Supply'!$A:$D,3)</f>
        <v/>
      </c>
      <c r="C390" s="65">
        <f>(Table30[[#This Row],[Real M2 Money Stock]]-B378)/B378</f>
        <v/>
      </c>
    </row>
    <row r="391">
      <c r="A391" s="23" t="n">
        <v>33270</v>
      </c>
      <c r="B391" s="25">
        <f>VLOOKUP(Table30[[#This Row],[Month]],'DB Money Supply'!$A:$D,3)</f>
        <v/>
      </c>
      <c r="C391" s="65">
        <f>(Table30[[#This Row],[Real M2 Money Stock]]-B379)/B379</f>
        <v/>
      </c>
    </row>
    <row r="392">
      <c r="A392" s="23" t="n">
        <v>33298</v>
      </c>
      <c r="B392" s="25">
        <f>VLOOKUP(Table30[[#This Row],[Month]],'DB Money Supply'!$A:$D,3)</f>
        <v/>
      </c>
      <c r="C392" s="65">
        <f>(Table30[[#This Row],[Real M2 Money Stock]]-B380)/B380</f>
        <v/>
      </c>
    </row>
    <row r="393">
      <c r="A393" s="23" t="n">
        <v>33329</v>
      </c>
      <c r="B393" s="25">
        <f>VLOOKUP(Table30[[#This Row],[Month]],'DB Money Supply'!$A:$D,3)</f>
        <v/>
      </c>
      <c r="C393" s="65">
        <f>(Table30[[#This Row],[Real M2 Money Stock]]-B381)/B381</f>
        <v/>
      </c>
    </row>
    <row r="394">
      <c r="A394" s="23" t="n">
        <v>33359</v>
      </c>
      <c r="B394" s="25">
        <f>VLOOKUP(Table30[[#This Row],[Month]],'DB Money Supply'!$A:$D,3)</f>
        <v/>
      </c>
      <c r="C394" s="65">
        <f>(Table30[[#This Row],[Real M2 Money Stock]]-B382)/B382</f>
        <v/>
      </c>
    </row>
    <row r="395">
      <c r="A395" s="23" t="n">
        <v>33390</v>
      </c>
      <c r="B395" s="25">
        <f>VLOOKUP(Table30[[#This Row],[Month]],'DB Money Supply'!$A:$D,3)</f>
        <v/>
      </c>
      <c r="C395" s="65">
        <f>(Table30[[#This Row],[Real M2 Money Stock]]-B383)/B383</f>
        <v/>
      </c>
    </row>
    <row r="396">
      <c r="A396" s="23" t="n">
        <v>33420</v>
      </c>
      <c r="B396" s="25">
        <f>VLOOKUP(Table30[[#This Row],[Month]],'DB Money Supply'!$A:$D,3)</f>
        <v/>
      </c>
      <c r="C396" s="65">
        <f>(Table30[[#This Row],[Real M2 Money Stock]]-B384)/B384</f>
        <v/>
      </c>
    </row>
    <row r="397">
      <c r="A397" s="23" t="n">
        <v>33451</v>
      </c>
      <c r="B397" s="25">
        <f>VLOOKUP(Table30[[#This Row],[Month]],'DB Money Supply'!$A:$D,3)</f>
        <v/>
      </c>
      <c r="C397" s="65">
        <f>(Table30[[#This Row],[Real M2 Money Stock]]-B385)/B385</f>
        <v/>
      </c>
    </row>
    <row r="398">
      <c r="A398" s="23" t="n">
        <v>33482</v>
      </c>
      <c r="B398" s="25">
        <f>VLOOKUP(Table30[[#This Row],[Month]],'DB Money Supply'!$A:$D,3)</f>
        <v/>
      </c>
      <c r="C398" s="65">
        <f>(Table30[[#This Row],[Real M2 Money Stock]]-B386)/B386</f>
        <v/>
      </c>
    </row>
    <row r="399">
      <c r="A399" s="23" t="n">
        <v>33512</v>
      </c>
      <c r="B399" s="25">
        <f>VLOOKUP(Table30[[#This Row],[Month]],'DB Money Supply'!$A:$D,3)</f>
        <v/>
      </c>
      <c r="C399" s="65">
        <f>(Table30[[#This Row],[Real M2 Money Stock]]-B387)/B387</f>
        <v/>
      </c>
    </row>
    <row r="400">
      <c r="A400" s="23" t="n">
        <v>33543</v>
      </c>
      <c r="B400" s="25">
        <f>VLOOKUP(Table30[[#This Row],[Month]],'DB Money Supply'!$A:$D,3)</f>
        <v/>
      </c>
      <c r="C400" s="65">
        <f>(Table30[[#This Row],[Real M2 Money Stock]]-B388)/B388</f>
        <v/>
      </c>
    </row>
    <row r="401">
      <c r="A401" s="23" t="n">
        <v>33573</v>
      </c>
      <c r="B401" s="25">
        <f>VLOOKUP(Table30[[#This Row],[Month]],'DB Money Supply'!$A:$D,3)</f>
        <v/>
      </c>
      <c r="C401" s="65">
        <f>(Table30[[#This Row],[Real M2 Money Stock]]-B389)/B389</f>
        <v/>
      </c>
    </row>
    <row r="402">
      <c r="A402" s="23" t="n">
        <v>33604</v>
      </c>
      <c r="B402" s="25">
        <f>VLOOKUP(Table30[[#This Row],[Month]],'DB Money Supply'!$A:$D,3)</f>
        <v/>
      </c>
      <c r="C402" s="65">
        <f>(Table30[[#This Row],[Real M2 Money Stock]]-B390)/B390</f>
        <v/>
      </c>
    </row>
    <row r="403">
      <c r="A403" s="23" t="n">
        <v>33635</v>
      </c>
      <c r="B403" s="25">
        <f>VLOOKUP(Table30[[#This Row],[Month]],'DB Money Supply'!$A:$D,3)</f>
        <v/>
      </c>
      <c r="C403" s="65">
        <f>(Table30[[#This Row],[Real M2 Money Stock]]-B391)/B391</f>
        <v/>
      </c>
    </row>
    <row r="404">
      <c r="A404" s="23" t="n">
        <v>33664</v>
      </c>
      <c r="B404" s="25">
        <f>VLOOKUP(Table30[[#This Row],[Month]],'DB Money Supply'!$A:$D,3)</f>
        <v/>
      </c>
      <c r="C404" s="65">
        <f>(Table30[[#This Row],[Real M2 Money Stock]]-B392)/B392</f>
        <v/>
      </c>
    </row>
    <row r="405">
      <c r="A405" s="23" t="n">
        <v>33695</v>
      </c>
      <c r="B405" s="25">
        <f>VLOOKUP(Table30[[#This Row],[Month]],'DB Money Supply'!$A:$D,3)</f>
        <v/>
      </c>
      <c r="C405" s="65">
        <f>(Table30[[#This Row],[Real M2 Money Stock]]-B393)/B393</f>
        <v/>
      </c>
    </row>
    <row r="406">
      <c r="A406" s="23" t="n">
        <v>33725</v>
      </c>
      <c r="B406" s="25">
        <f>VLOOKUP(Table30[[#This Row],[Month]],'DB Money Supply'!$A:$D,3)</f>
        <v/>
      </c>
      <c r="C406" s="65">
        <f>(Table30[[#This Row],[Real M2 Money Stock]]-B394)/B394</f>
        <v/>
      </c>
    </row>
    <row r="407">
      <c r="A407" s="23" t="n">
        <v>33756</v>
      </c>
      <c r="B407" s="25">
        <f>VLOOKUP(Table30[[#This Row],[Month]],'DB Money Supply'!$A:$D,3)</f>
        <v/>
      </c>
      <c r="C407" s="65">
        <f>(Table30[[#This Row],[Real M2 Money Stock]]-B395)/B395</f>
        <v/>
      </c>
    </row>
    <row r="408">
      <c r="A408" s="23" t="n">
        <v>33786</v>
      </c>
      <c r="B408" s="25">
        <f>VLOOKUP(Table30[[#This Row],[Month]],'DB Money Supply'!$A:$D,3)</f>
        <v/>
      </c>
      <c r="C408" s="65">
        <f>(Table30[[#This Row],[Real M2 Money Stock]]-B396)/B396</f>
        <v/>
      </c>
    </row>
    <row r="409">
      <c r="A409" s="23" t="n">
        <v>33817</v>
      </c>
      <c r="B409" s="25">
        <f>VLOOKUP(Table30[[#This Row],[Month]],'DB Money Supply'!$A:$D,3)</f>
        <v/>
      </c>
      <c r="C409" s="65">
        <f>(Table30[[#This Row],[Real M2 Money Stock]]-B397)/B397</f>
        <v/>
      </c>
    </row>
    <row r="410">
      <c r="A410" s="23" t="n">
        <v>33848</v>
      </c>
      <c r="B410" s="25">
        <f>VLOOKUP(Table30[[#This Row],[Month]],'DB Money Supply'!$A:$D,3)</f>
        <v/>
      </c>
      <c r="C410" s="65">
        <f>(Table30[[#This Row],[Real M2 Money Stock]]-B398)/B398</f>
        <v/>
      </c>
    </row>
    <row r="411">
      <c r="A411" s="23" t="n">
        <v>33878</v>
      </c>
      <c r="B411" s="25">
        <f>VLOOKUP(Table30[[#This Row],[Month]],'DB Money Supply'!$A:$D,3)</f>
        <v/>
      </c>
      <c r="C411" s="65">
        <f>(Table30[[#This Row],[Real M2 Money Stock]]-B399)/B399</f>
        <v/>
      </c>
    </row>
    <row r="412">
      <c r="A412" s="23" t="n">
        <v>33909</v>
      </c>
      <c r="B412" s="25">
        <f>VLOOKUP(Table30[[#This Row],[Month]],'DB Money Supply'!$A:$D,3)</f>
        <v/>
      </c>
      <c r="C412" s="65">
        <f>(Table30[[#This Row],[Real M2 Money Stock]]-B400)/B400</f>
        <v/>
      </c>
    </row>
    <row r="413">
      <c r="A413" s="23" t="n">
        <v>33939</v>
      </c>
      <c r="B413" s="25">
        <f>VLOOKUP(Table30[[#This Row],[Month]],'DB Money Supply'!$A:$D,3)</f>
        <v/>
      </c>
      <c r="C413" s="65">
        <f>(Table30[[#This Row],[Real M2 Money Stock]]-B401)/B401</f>
        <v/>
      </c>
    </row>
    <row r="414">
      <c r="A414" s="23" t="n">
        <v>33970</v>
      </c>
      <c r="B414" s="25">
        <f>VLOOKUP(Table30[[#This Row],[Month]],'DB Money Supply'!$A:$D,3)</f>
        <v/>
      </c>
      <c r="C414" s="65">
        <f>(Table30[[#This Row],[Real M2 Money Stock]]-B402)/B402</f>
        <v/>
      </c>
    </row>
    <row r="415">
      <c r="A415" s="23" t="n">
        <v>34001</v>
      </c>
      <c r="B415" s="25">
        <f>VLOOKUP(Table30[[#This Row],[Month]],'DB Money Supply'!$A:$D,3)</f>
        <v/>
      </c>
      <c r="C415" s="65">
        <f>(Table30[[#This Row],[Real M2 Money Stock]]-B403)/B403</f>
        <v/>
      </c>
    </row>
    <row r="416">
      <c r="A416" s="23" t="n">
        <v>34029</v>
      </c>
      <c r="B416" s="25">
        <f>VLOOKUP(Table30[[#This Row],[Month]],'DB Money Supply'!$A:$D,3)</f>
        <v/>
      </c>
      <c r="C416" s="65">
        <f>(Table30[[#This Row],[Real M2 Money Stock]]-B404)/B404</f>
        <v/>
      </c>
    </row>
    <row r="417">
      <c r="A417" s="23" t="n">
        <v>34060</v>
      </c>
      <c r="B417" s="25">
        <f>VLOOKUP(Table30[[#This Row],[Month]],'DB Money Supply'!$A:$D,3)</f>
        <v/>
      </c>
      <c r="C417" s="65">
        <f>(Table30[[#This Row],[Real M2 Money Stock]]-B405)/B405</f>
        <v/>
      </c>
    </row>
    <row r="418">
      <c r="A418" s="23" t="n">
        <v>34090</v>
      </c>
      <c r="B418" s="25">
        <f>VLOOKUP(Table30[[#This Row],[Month]],'DB Money Supply'!$A:$D,3)</f>
        <v/>
      </c>
      <c r="C418" s="65">
        <f>(Table30[[#This Row],[Real M2 Money Stock]]-B406)/B406</f>
        <v/>
      </c>
    </row>
    <row r="419">
      <c r="A419" s="23" t="n">
        <v>34121</v>
      </c>
      <c r="B419" s="25">
        <f>VLOOKUP(Table30[[#This Row],[Month]],'DB Money Supply'!$A:$D,3)</f>
        <v/>
      </c>
      <c r="C419" s="65">
        <f>(Table30[[#This Row],[Real M2 Money Stock]]-B407)/B407</f>
        <v/>
      </c>
    </row>
    <row r="420">
      <c r="A420" s="23" t="n">
        <v>34151</v>
      </c>
      <c r="B420" s="25">
        <f>VLOOKUP(Table30[[#This Row],[Month]],'DB Money Supply'!$A:$D,3)</f>
        <v/>
      </c>
      <c r="C420" s="65">
        <f>(Table30[[#This Row],[Real M2 Money Stock]]-B408)/B408</f>
        <v/>
      </c>
    </row>
    <row r="421">
      <c r="A421" s="23" t="n">
        <v>34182</v>
      </c>
      <c r="B421" s="25">
        <f>VLOOKUP(Table30[[#This Row],[Month]],'DB Money Supply'!$A:$D,3)</f>
        <v/>
      </c>
      <c r="C421" s="65">
        <f>(Table30[[#This Row],[Real M2 Money Stock]]-B409)/B409</f>
        <v/>
      </c>
    </row>
    <row r="422">
      <c r="A422" s="23" t="n">
        <v>34213</v>
      </c>
      <c r="B422" s="25">
        <f>VLOOKUP(Table30[[#This Row],[Month]],'DB Money Supply'!$A:$D,3)</f>
        <v/>
      </c>
      <c r="C422" s="65">
        <f>(Table30[[#This Row],[Real M2 Money Stock]]-B410)/B410</f>
        <v/>
      </c>
    </row>
    <row r="423">
      <c r="A423" s="23" t="n">
        <v>34243</v>
      </c>
      <c r="B423" s="25">
        <f>VLOOKUP(Table30[[#This Row],[Month]],'DB Money Supply'!$A:$D,3)</f>
        <v/>
      </c>
      <c r="C423" s="65">
        <f>(Table30[[#This Row],[Real M2 Money Stock]]-B411)/B411</f>
        <v/>
      </c>
    </row>
    <row r="424">
      <c r="A424" s="23" t="n">
        <v>34274</v>
      </c>
      <c r="B424" s="25">
        <f>VLOOKUP(Table30[[#This Row],[Month]],'DB Money Supply'!$A:$D,3)</f>
        <v/>
      </c>
      <c r="C424" s="65">
        <f>(Table30[[#This Row],[Real M2 Money Stock]]-B412)/B412</f>
        <v/>
      </c>
    </row>
    <row r="425">
      <c r="A425" s="23" t="n">
        <v>34304</v>
      </c>
      <c r="B425" s="25">
        <f>VLOOKUP(Table30[[#This Row],[Month]],'DB Money Supply'!$A:$D,3)</f>
        <v/>
      </c>
      <c r="C425" s="65">
        <f>(Table30[[#This Row],[Real M2 Money Stock]]-B413)/B413</f>
        <v/>
      </c>
    </row>
    <row r="426">
      <c r="A426" s="23" t="n">
        <v>34335</v>
      </c>
      <c r="B426" s="25">
        <f>VLOOKUP(Table30[[#This Row],[Month]],'DB Money Supply'!$A:$D,3)</f>
        <v/>
      </c>
      <c r="C426" s="65">
        <f>(Table30[[#This Row],[Real M2 Money Stock]]-B414)/B414</f>
        <v/>
      </c>
    </row>
    <row r="427">
      <c r="A427" s="23" t="n">
        <v>34366</v>
      </c>
      <c r="B427" s="25">
        <f>VLOOKUP(Table30[[#This Row],[Month]],'DB Money Supply'!$A:$D,3)</f>
        <v/>
      </c>
      <c r="C427" s="65">
        <f>(Table30[[#This Row],[Real M2 Money Stock]]-B415)/B415</f>
        <v/>
      </c>
    </row>
    <row r="428">
      <c r="A428" s="23" t="n">
        <v>34394</v>
      </c>
      <c r="B428" s="25">
        <f>VLOOKUP(Table30[[#This Row],[Month]],'DB Money Supply'!$A:$D,3)</f>
        <v/>
      </c>
      <c r="C428" s="65">
        <f>(Table30[[#This Row],[Real M2 Money Stock]]-B416)/B416</f>
        <v/>
      </c>
    </row>
    <row r="429">
      <c r="A429" s="23" t="n">
        <v>34425</v>
      </c>
      <c r="B429" s="25">
        <f>VLOOKUP(Table30[[#This Row],[Month]],'DB Money Supply'!$A:$D,3)</f>
        <v/>
      </c>
      <c r="C429" s="65">
        <f>(Table30[[#This Row],[Real M2 Money Stock]]-B417)/B417</f>
        <v/>
      </c>
    </row>
    <row r="430">
      <c r="A430" s="23" t="n">
        <v>34455</v>
      </c>
      <c r="B430" s="25">
        <f>VLOOKUP(Table30[[#This Row],[Month]],'DB Money Supply'!$A:$D,3)</f>
        <v/>
      </c>
      <c r="C430" s="65">
        <f>(Table30[[#This Row],[Real M2 Money Stock]]-B418)/B418</f>
        <v/>
      </c>
    </row>
    <row r="431">
      <c r="A431" s="23" t="n">
        <v>34486</v>
      </c>
      <c r="B431" s="25">
        <f>VLOOKUP(Table30[[#This Row],[Month]],'DB Money Supply'!$A:$D,3)</f>
        <v/>
      </c>
      <c r="C431" s="65">
        <f>(Table30[[#This Row],[Real M2 Money Stock]]-B419)/B419</f>
        <v/>
      </c>
    </row>
    <row r="432">
      <c r="A432" s="23" t="n">
        <v>34516</v>
      </c>
      <c r="B432" s="25">
        <f>VLOOKUP(Table30[[#This Row],[Month]],'DB Money Supply'!$A:$D,3)</f>
        <v/>
      </c>
      <c r="C432" s="65">
        <f>(Table30[[#This Row],[Real M2 Money Stock]]-B420)/B420</f>
        <v/>
      </c>
    </row>
    <row r="433">
      <c r="A433" s="23" t="n">
        <v>34547</v>
      </c>
      <c r="B433" s="25">
        <f>VLOOKUP(Table30[[#This Row],[Month]],'DB Money Supply'!$A:$D,3)</f>
        <v/>
      </c>
      <c r="C433" s="65">
        <f>(Table30[[#This Row],[Real M2 Money Stock]]-B421)/B421</f>
        <v/>
      </c>
    </row>
    <row r="434">
      <c r="A434" s="23" t="n">
        <v>34578</v>
      </c>
      <c r="B434" s="25">
        <f>VLOOKUP(Table30[[#This Row],[Month]],'DB Money Supply'!$A:$D,3)</f>
        <v/>
      </c>
      <c r="C434" s="65">
        <f>(Table30[[#This Row],[Real M2 Money Stock]]-B422)/B422</f>
        <v/>
      </c>
    </row>
    <row r="435">
      <c r="A435" s="23" t="n">
        <v>34608</v>
      </c>
      <c r="B435" s="25">
        <f>VLOOKUP(Table30[[#This Row],[Month]],'DB Money Supply'!$A:$D,3)</f>
        <v/>
      </c>
      <c r="C435" s="65">
        <f>(Table30[[#This Row],[Real M2 Money Stock]]-B423)/B423</f>
        <v/>
      </c>
    </row>
    <row r="436">
      <c r="A436" s="23" t="n">
        <v>34639</v>
      </c>
      <c r="B436" s="25">
        <f>VLOOKUP(Table30[[#This Row],[Month]],'DB Money Supply'!$A:$D,3)</f>
        <v/>
      </c>
      <c r="C436" s="65">
        <f>(Table30[[#This Row],[Real M2 Money Stock]]-B424)/B424</f>
        <v/>
      </c>
    </row>
    <row r="437">
      <c r="A437" s="23" t="n">
        <v>34669</v>
      </c>
      <c r="B437" s="25">
        <f>VLOOKUP(Table30[[#This Row],[Month]],'DB Money Supply'!$A:$D,3)</f>
        <v/>
      </c>
      <c r="C437" s="65">
        <f>(Table30[[#This Row],[Real M2 Money Stock]]-B425)/B425</f>
        <v/>
      </c>
    </row>
    <row r="438">
      <c r="A438" s="23" t="n">
        <v>34700</v>
      </c>
      <c r="B438" s="25">
        <f>VLOOKUP(Table30[[#This Row],[Month]],'DB Money Supply'!$A:$D,3)</f>
        <v/>
      </c>
      <c r="C438" s="65">
        <f>(Table30[[#This Row],[Real M2 Money Stock]]-B426)/B426</f>
        <v/>
      </c>
    </row>
    <row r="439">
      <c r="A439" s="23" t="n">
        <v>34731</v>
      </c>
      <c r="B439" s="25">
        <f>VLOOKUP(Table30[[#This Row],[Month]],'DB Money Supply'!$A:$D,3)</f>
        <v/>
      </c>
      <c r="C439" s="65">
        <f>(Table30[[#This Row],[Real M2 Money Stock]]-B427)/B427</f>
        <v/>
      </c>
    </row>
    <row r="440">
      <c r="A440" s="23" t="n">
        <v>34759</v>
      </c>
      <c r="B440" s="25">
        <f>VLOOKUP(Table30[[#This Row],[Month]],'DB Money Supply'!$A:$D,3)</f>
        <v/>
      </c>
      <c r="C440" s="65">
        <f>(Table30[[#This Row],[Real M2 Money Stock]]-B428)/B428</f>
        <v/>
      </c>
    </row>
    <row r="441">
      <c r="A441" s="23" t="n">
        <v>34790</v>
      </c>
      <c r="B441" s="25">
        <f>VLOOKUP(Table30[[#This Row],[Month]],'DB Money Supply'!$A:$D,3)</f>
        <v/>
      </c>
      <c r="C441" s="65">
        <f>(Table30[[#This Row],[Real M2 Money Stock]]-B429)/B429</f>
        <v/>
      </c>
    </row>
    <row r="442">
      <c r="A442" s="23" t="n">
        <v>34820</v>
      </c>
      <c r="B442" s="25">
        <f>VLOOKUP(Table30[[#This Row],[Month]],'DB Money Supply'!$A:$D,3)</f>
        <v/>
      </c>
      <c r="C442" s="65">
        <f>(Table30[[#This Row],[Real M2 Money Stock]]-B430)/B430</f>
        <v/>
      </c>
    </row>
    <row r="443">
      <c r="A443" s="23" t="n">
        <v>34851</v>
      </c>
      <c r="B443" s="25">
        <f>VLOOKUP(Table30[[#This Row],[Month]],'DB Money Supply'!$A:$D,3)</f>
        <v/>
      </c>
      <c r="C443" s="65">
        <f>(Table30[[#This Row],[Real M2 Money Stock]]-B431)/B431</f>
        <v/>
      </c>
    </row>
    <row r="444">
      <c r="A444" s="23" t="n">
        <v>34881</v>
      </c>
      <c r="B444" s="25">
        <f>VLOOKUP(Table30[[#This Row],[Month]],'DB Money Supply'!$A:$D,3)</f>
        <v/>
      </c>
      <c r="C444" s="65">
        <f>(Table30[[#This Row],[Real M2 Money Stock]]-B432)/B432</f>
        <v/>
      </c>
    </row>
    <row r="445">
      <c r="A445" s="23" t="n">
        <v>34912</v>
      </c>
      <c r="B445" s="25">
        <f>VLOOKUP(Table30[[#This Row],[Month]],'DB Money Supply'!$A:$D,3)</f>
        <v/>
      </c>
      <c r="C445" s="65">
        <f>(Table30[[#This Row],[Real M2 Money Stock]]-B433)/B433</f>
        <v/>
      </c>
    </row>
    <row r="446">
      <c r="A446" s="23" t="n">
        <v>34943</v>
      </c>
      <c r="B446" s="25">
        <f>VLOOKUP(Table30[[#This Row],[Month]],'DB Money Supply'!$A:$D,3)</f>
        <v/>
      </c>
      <c r="C446" s="65">
        <f>(Table30[[#This Row],[Real M2 Money Stock]]-B434)/B434</f>
        <v/>
      </c>
    </row>
    <row r="447">
      <c r="A447" s="23" t="n">
        <v>34973</v>
      </c>
      <c r="B447" s="25">
        <f>VLOOKUP(Table30[[#This Row],[Month]],'DB Money Supply'!$A:$D,3)</f>
        <v/>
      </c>
      <c r="C447" s="65">
        <f>(Table30[[#This Row],[Real M2 Money Stock]]-B435)/B435</f>
        <v/>
      </c>
    </row>
    <row r="448">
      <c r="A448" s="23" t="n">
        <v>35004</v>
      </c>
      <c r="B448" s="25">
        <f>VLOOKUP(Table30[[#This Row],[Month]],'DB Money Supply'!$A:$D,3)</f>
        <v/>
      </c>
      <c r="C448" s="65">
        <f>(Table30[[#This Row],[Real M2 Money Stock]]-B436)/B436</f>
        <v/>
      </c>
    </row>
    <row r="449">
      <c r="A449" s="23" t="n">
        <v>35034</v>
      </c>
      <c r="B449" s="25">
        <f>VLOOKUP(Table30[[#This Row],[Month]],'DB Money Supply'!$A:$D,3)</f>
        <v/>
      </c>
      <c r="C449" s="65">
        <f>(Table30[[#This Row],[Real M2 Money Stock]]-B437)/B437</f>
        <v/>
      </c>
    </row>
    <row r="450">
      <c r="A450" s="23" t="n">
        <v>35065</v>
      </c>
      <c r="B450" s="25">
        <f>VLOOKUP(Table30[[#This Row],[Month]],'DB Money Supply'!$A:$D,3)</f>
        <v/>
      </c>
      <c r="C450" s="65">
        <f>(Table30[[#This Row],[Real M2 Money Stock]]-B438)/B438</f>
        <v/>
      </c>
    </row>
    <row r="451">
      <c r="A451" s="23" t="n">
        <v>35096</v>
      </c>
      <c r="B451" s="25">
        <f>VLOOKUP(Table30[[#This Row],[Month]],'DB Money Supply'!$A:$D,3)</f>
        <v/>
      </c>
      <c r="C451" s="65">
        <f>(Table30[[#This Row],[Real M2 Money Stock]]-B439)/B439</f>
        <v/>
      </c>
    </row>
    <row r="452">
      <c r="A452" s="23" t="n">
        <v>35125</v>
      </c>
      <c r="B452" s="25">
        <f>VLOOKUP(Table30[[#This Row],[Month]],'DB Money Supply'!$A:$D,3)</f>
        <v/>
      </c>
      <c r="C452" s="65">
        <f>(Table30[[#This Row],[Real M2 Money Stock]]-B440)/B440</f>
        <v/>
      </c>
    </row>
    <row r="453">
      <c r="A453" s="23" t="n">
        <v>35156</v>
      </c>
      <c r="B453" s="25">
        <f>VLOOKUP(Table30[[#This Row],[Month]],'DB Money Supply'!$A:$D,3)</f>
        <v/>
      </c>
      <c r="C453" s="65">
        <f>(Table30[[#This Row],[Real M2 Money Stock]]-B441)/B441</f>
        <v/>
      </c>
    </row>
    <row r="454">
      <c r="A454" s="23" t="n">
        <v>35186</v>
      </c>
      <c r="B454" s="25">
        <f>VLOOKUP(Table30[[#This Row],[Month]],'DB Money Supply'!$A:$D,3)</f>
        <v/>
      </c>
      <c r="C454" s="65">
        <f>(Table30[[#This Row],[Real M2 Money Stock]]-B442)/B442</f>
        <v/>
      </c>
    </row>
    <row r="455">
      <c r="A455" s="23" t="n">
        <v>35217</v>
      </c>
      <c r="B455" s="25">
        <f>VLOOKUP(Table30[[#This Row],[Month]],'DB Money Supply'!$A:$D,3)</f>
        <v/>
      </c>
      <c r="C455" s="65">
        <f>(Table30[[#This Row],[Real M2 Money Stock]]-B443)/B443</f>
        <v/>
      </c>
    </row>
    <row r="456">
      <c r="A456" s="23" t="n">
        <v>35247</v>
      </c>
      <c r="B456" s="25">
        <f>VLOOKUP(Table30[[#This Row],[Month]],'DB Money Supply'!$A:$D,3)</f>
        <v/>
      </c>
      <c r="C456" s="65">
        <f>(Table30[[#This Row],[Real M2 Money Stock]]-B444)/B444</f>
        <v/>
      </c>
    </row>
    <row r="457">
      <c r="A457" s="23" t="n">
        <v>35278</v>
      </c>
      <c r="B457" s="25">
        <f>VLOOKUP(Table30[[#This Row],[Month]],'DB Money Supply'!$A:$D,3)</f>
        <v/>
      </c>
      <c r="C457" s="65">
        <f>(Table30[[#This Row],[Real M2 Money Stock]]-B445)/B445</f>
        <v/>
      </c>
    </row>
    <row r="458">
      <c r="A458" s="23" t="n">
        <v>35309</v>
      </c>
      <c r="B458" s="25">
        <f>VLOOKUP(Table30[[#This Row],[Month]],'DB Money Supply'!$A:$D,3)</f>
        <v/>
      </c>
      <c r="C458" s="65">
        <f>(Table30[[#This Row],[Real M2 Money Stock]]-B446)/B446</f>
        <v/>
      </c>
    </row>
    <row r="459">
      <c r="A459" s="23" t="n">
        <v>35339</v>
      </c>
      <c r="B459" s="25">
        <f>VLOOKUP(Table30[[#This Row],[Month]],'DB Money Supply'!$A:$D,3)</f>
        <v/>
      </c>
      <c r="C459" s="65">
        <f>(Table30[[#This Row],[Real M2 Money Stock]]-B447)/B447</f>
        <v/>
      </c>
    </row>
    <row r="460">
      <c r="A460" s="23" t="n">
        <v>35370</v>
      </c>
      <c r="B460" s="25">
        <f>VLOOKUP(Table30[[#This Row],[Month]],'DB Money Supply'!$A:$D,3)</f>
        <v/>
      </c>
      <c r="C460" s="65">
        <f>(Table30[[#This Row],[Real M2 Money Stock]]-B448)/B448</f>
        <v/>
      </c>
    </row>
    <row r="461">
      <c r="A461" s="23" t="n">
        <v>35400</v>
      </c>
      <c r="B461" s="25">
        <f>VLOOKUP(Table30[[#This Row],[Month]],'DB Money Supply'!$A:$D,3)</f>
        <v/>
      </c>
      <c r="C461" s="65">
        <f>(Table30[[#This Row],[Real M2 Money Stock]]-B449)/B449</f>
        <v/>
      </c>
    </row>
    <row r="462">
      <c r="A462" s="23" t="n">
        <v>35431</v>
      </c>
      <c r="B462" s="25">
        <f>VLOOKUP(Table30[[#This Row],[Month]],'DB Money Supply'!$A:$D,3)</f>
        <v/>
      </c>
      <c r="C462" s="65">
        <f>(Table30[[#This Row],[Real M2 Money Stock]]-B450)/B450</f>
        <v/>
      </c>
    </row>
    <row r="463">
      <c r="A463" s="23" t="n">
        <v>35462</v>
      </c>
      <c r="B463" s="25">
        <f>VLOOKUP(Table30[[#This Row],[Month]],'DB Money Supply'!$A:$D,3)</f>
        <v/>
      </c>
      <c r="C463" s="65">
        <f>(Table30[[#This Row],[Real M2 Money Stock]]-B451)/B451</f>
        <v/>
      </c>
    </row>
    <row r="464">
      <c r="A464" s="23" t="n">
        <v>35490</v>
      </c>
      <c r="B464" s="25">
        <f>VLOOKUP(Table30[[#This Row],[Month]],'DB Money Supply'!$A:$D,3)</f>
        <v/>
      </c>
      <c r="C464" s="65">
        <f>(Table30[[#This Row],[Real M2 Money Stock]]-B452)/B452</f>
        <v/>
      </c>
    </row>
    <row r="465">
      <c r="A465" s="23" t="n">
        <v>35521</v>
      </c>
      <c r="B465" s="25">
        <f>VLOOKUP(Table30[[#This Row],[Month]],'DB Money Supply'!$A:$D,3)</f>
        <v/>
      </c>
      <c r="C465" s="65">
        <f>(Table30[[#This Row],[Real M2 Money Stock]]-B453)/B453</f>
        <v/>
      </c>
    </row>
    <row r="466">
      <c r="A466" s="23" t="n">
        <v>35551</v>
      </c>
      <c r="B466" s="25">
        <f>VLOOKUP(Table30[[#This Row],[Month]],'DB Money Supply'!$A:$D,3)</f>
        <v/>
      </c>
      <c r="C466" s="65">
        <f>(Table30[[#This Row],[Real M2 Money Stock]]-B454)/B454</f>
        <v/>
      </c>
    </row>
    <row r="467">
      <c r="A467" s="23" t="n">
        <v>35582</v>
      </c>
      <c r="B467" s="25">
        <f>VLOOKUP(Table30[[#This Row],[Month]],'DB Money Supply'!$A:$D,3)</f>
        <v/>
      </c>
      <c r="C467" s="65">
        <f>(Table30[[#This Row],[Real M2 Money Stock]]-B455)/B455</f>
        <v/>
      </c>
    </row>
    <row r="468">
      <c r="A468" s="23" t="n">
        <v>35612</v>
      </c>
      <c r="B468" s="25">
        <f>VLOOKUP(Table30[[#This Row],[Month]],'DB Money Supply'!$A:$D,3)</f>
        <v/>
      </c>
      <c r="C468" s="65">
        <f>(Table30[[#This Row],[Real M2 Money Stock]]-B456)/B456</f>
        <v/>
      </c>
    </row>
    <row r="469">
      <c r="A469" s="23" t="n">
        <v>35643</v>
      </c>
      <c r="B469" s="25">
        <f>VLOOKUP(Table30[[#This Row],[Month]],'DB Money Supply'!$A:$D,3)</f>
        <v/>
      </c>
      <c r="C469" s="65">
        <f>(Table30[[#This Row],[Real M2 Money Stock]]-B457)/B457</f>
        <v/>
      </c>
    </row>
    <row r="470">
      <c r="A470" s="23" t="n">
        <v>35674</v>
      </c>
      <c r="B470" s="25">
        <f>VLOOKUP(Table30[[#This Row],[Month]],'DB Money Supply'!$A:$D,3)</f>
        <v/>
      </c>
      <c r="C470" s="65">
        <f>(Table30[[#This Row],[Real M2 Money Stock]]-B458)/B458</f>
        <v/>
      </c>
    </row>
    <row r="471">
      <c r="A471" s="23" t="n">
        <v>35704</v>
      </c>
      <c r="B471" s="25">
        <f>VLOOKUP(Table30[[#This Row],[Month]],'DB Money Supply'!$A:$D,3)</f>
        <v/>
      </c>
      <c r="C471" s="65">
        <f>(Table30[[#This Row],[Real M2 Money Stock]]-B459)/B459</f>
        <v/>
      </c>
    </row>
    <row r="472">
      <c r="A472" s="23" t="n">
        <v>35735</v>
      </c>
      <c r="B472" s="25">
        <f>VLOOKUP(Table30[[#This Row],[Month]],'DB Money Supply'!$A:$D,3)</f>
        <v/>
      </c>
      <c r="C472" s="65">
        <f>(Table30[[#This Row],[Real M2 Money Stock]]-B460)/B460</f>
        <v/>
      </c>
    </row>
    <row r="473">
      <c r="A473" s="23" t="n">
        <v>35765</v>
      </c>
      <c r="B473" s="25">
        <f>VLOOKUP(Table30[[#This Row],[Month]],'DB Money Supply'!$A:$D,3)</f>
        <v/>
      </c>
      <c r="C473" s="65">
        <f>(Table30[[#This Row],[Real M2 Money Stock]]-B461)/B461</f>
        <v/>
      </c>
    </row>
    <row r="474">
      <c r="A474" s="23" t="n">
        <v>35796</v>
      </c>
      <c r="B474" s="25">
        <f>VLOOKUP(Table30[[#This Row],[Month]],'DB Money Supply'!$A:$D,3)</f>
        <v/>
      </c>
      <c r="C474" s="65">
        <f>(Table30[[#This Row],[Real M2 Money Stock]]-B462)/B462</f>
        <v/>
      </c>
    </row>
    <row r="475">
      <c r="A475" s="23" t="n">
        <v>35827</v>
      </c>
      <c r="B475" s="25">
        <f>VLOOKUP(Table30[[#This Row],[Month]],'DB Money Supply'!$A:$D,3)</f>
        <v/>
      </c>
      <c r="C475" s="65">
        <f>(Table30[[#This Row],[Real M2 Money Stock]]-B463)/B463</f>
        <v/>
      </c>
    </row>
    <row r="476">
      <c r="A476" s="23" t="n">
        <v>35855</v>
      </c>
      <c r="B476" s="25">
        <f>VLOOKUP(Table30[[#This Row],[Month]],'DB Money Supply'!$A:$D,3)</f>
        <v/>
      </c>
      <c r="C476" s="65">
        <f>(Table30[[#This Row],[Real M2 Money Stock]]-B464)/B464</f>
        <v/>
      </c>
    </row>
    <row r="477">
      <c r="A477" s="23" t="n">
        <v>35886</v>
      </c>
      <c r="B477" s="25">
        <f>VLOOKUP(Table30[[#This Row],[Month]],'DB Money Supply'!$A:$D,3)</f>
        <v/>
      </c>
      <c r="C477" s="65">
        <f>(Table30[[#This Row],[Real M2 Money Stock]]-B465)/B465</f>
        <v/>
      </c>
    </row>
    <row r="478">
      <c r="A478" s="23" t="n">
        <v>35916</v>
      </c>
      <c r="B478" s="25">
        <f>VLOOKUP(Table30[[#This Row],[Month]],'DB Money Supply'!$A:$D,3)</f>
        <v/>
      </c>
      <c r="C478" s="65">
        <f>(Table30[[#This Row],[Real M2 Money Stock]]-B466)/B466</f>
        <v/>
      </c>
    </row>
    <row r="479">
      <c r="A479" s="23" t="n">
        <v>35947</v>
      </c>
      <c r="B479" s="25">
        <f>VLOOKUP(Table30[[#This Row],[Month]],'DB Money Supply'!$A:$D,3)</f>
        <v/>
      </c>
      <c r="C479" s="65">
        <f>(Table30[[#This Row],[Real M2 Money Stock]]-B467)/B467</f>
        <v/>
      </c>
    </row>
    <row r="480">
      <c r="A480" s="23" t="n">
        <v>35977</v>
      </c>
      <c r="B480" s="25">
        <f>VLOOKUP(Table30[[#This Row],[Month]],'DB Money Supply'!$A:$D,3)</f>
        <v/>
      </c>
      <c r="C480" s="65">
        <f>(Table30[[#This Row],[Real M2 Money Stock]]-B468)/B468</f>
        <v/>
      </c>
    </row>
    <row r="481">
      <c r="A481" s="23" t="n">
        <v>36008</v>
      </c>
      <c r="B481" s="25">
        <f>VLOOKUP(Table30[[#This Row],[Month]],'DB Money Supply'!$A:$D,3)</f>
        <v/>
      </c>
      <c r="C481" s="65">
        <f>(Table30[[#This Row],[Real M2 Money Stock]]-B469)/B469</f>
        <v/>
      </c>
    </row>
    <row r="482">
      <c r="A482" s="23" t="n">
        <v>36039</v>
      </c>
      <c r="B482" s="25">
        <f>VLOOKUP(Table30[[#This Row],[Month]],'DB Money Supply'!$A:$D,3)</f>
        <v/>
      </c>
      <c r="C482" s="65">
        <f>(Table30[[#This Row],[Real M2 Money Stock]]-B470)/B470</f>
        <v/>
      </c>
    </row>
    <row r="483">
      <c r="A483" s="23" t="n">
        <v>36069</v>
      </c>
      <c r="B483" s="25">
        <f>VLOOKUP(Table30[[#This Row],[Month]],'DB Money Supply'!$A:$D,3)</f>
        <v/>
      </c>
      <c r="C483" s="65">
        <f>(Table30[[#This Row],[Real M2 Money Stock]]-B471)/B471</f>
        <v/>
      </c>
    </row>
    <row r="484">
      <c r="A484" s="23" t="n">
        <v>36100</v>
      </c>
      <c r="B484" s="25">
        <f>VLOOKUP(Table30[[#This Row],[Month]],'DB Money Supply'!$A:$D,3)</f>
        <v/>
      </c>
      <c r="C484" s="65">
        <f>(Table30[[#This Row],[Real M2 Money Stock]]-B472)/B472</f>
        <v/>
      </c>
    </row>
    <row r="485">
      <c r="A485" s="23" t="n">
        <v>36130</v>
      </c>
      <c r="B485" s="25">
        <f>VLOOKUP(Table30[[#This Row],[Month]],'DB Money Supply'!$A:$D,3)</f>
        <v/>
      </c>
      <c r="C485" s="65">
        <f>(Table30[[#This Row],[Real M2 Money Stock]]-B473)/B473</f>
        <v/>
      </c>
    </row>
    <row r="486">
      <c r="A486" s="23" t="n">
        <v>36161</v>
      </c>
      <c r="B486" s="25">
        <f>VLOOKUP(Table30[[#This Row],[Month]],'DB Money Supply'!$A:$D,3)</f>
        <v/>
      </c>
      <c r="C486" s="65">
        <f>(Table30[[#This Row],[Real M2 Money Stock]]-B474)/B474</f>
        <v/>
      </c>
    </row>
    <row r="487">
      <c r="A487" s="23" t="n">
        <v>36192</v>
      </c>
      <c r="B487" s="25">
        <f>VLOOKUP(Table30[[#This Row],[Month]],'DB Money Supply'!$A:$D,3)</f>
        <v/>
      </c>
      <c r="C487" s="65">
        <f>(Table30[[#This Row],[Real M2 Money Stock]]-B475)/B475</f>
        <v/>
      </c>
    </row>
    <row r="488">
      <c r="A488" s="23" t="n">
        <v>36220</v>
      </c>
      <c r="B488" s="25">
        <f>VLOOKUP(Table30[[#This Row],[Month]],'DB Money Supply'!$A:$D,3)</f>
        <v/>
      </c>
      <c r="C488" s="65">
        <f>(Table30[[#This Row],[Real M2 Money Stock]]-B476)/B476</f>
        <v/>
      </c>
    </row>
    <row r="489">
      <c r="A489" s="23" t="n">
        <v>36251</v>
      </c>
      <c r="B489" s="25">
        <f>VLOOKUP(Table30[[#This Row],[Month]],'DB Money Supply'!$A:$D,3)</f>
        <v/>
      </c>
      <c r="C489" s="65">
        <f>(Table30[[#This Row],[Real M2 Money Stock]]-B477)/B477</f>
        <v/>
      </c>
    </row>
    <row r="490">
      <c r="A490" s="23" t="n">
        <v>36281</v>
      </c>
      <c r="B490" s="25">
        <f>VLOOKUP(Table30[[#This Row],[Month]],'DB Money Supply'!$A:$D,3)</f>
        <v/>
      </c>
      <c r="C490" s="65">
        <f>(Table30[[#This Row],[Real M2 Money Stock]]-B478)/B478</f>
        <v/>
      </c>
    </row>
    <row r="491">
      <c r="A491" s="23" t="n">
        <v>36312</v>
      </c>
      <c r="B491" s="25">
        <f>VLOOKUP(Table30[[#This Row],[Month]],'DB Money Supply'!$A:$D,3)</f>
        <v/>
      </c>
      <c r="C491" s="65">
        <f>(Table30[[#This Row],[Real M2 Money Stock]]-B479)/B479</f>
        <v/>
      </c>
    </row>
    <row r="492">
      <c r="A492" s="23" t="n">
        <v>36342</v>
      </c>
      <c r="B492" s="25">
        <f>VLOOKUP(Table30[[#This Row],[Month]],'DB Money Supply'!$A:$D,3)</f>
        <v/>
      </c>
      <c r="C492" s="65">
        <f>(Table30[[#This Row],[Real M2 Money Stock]]-B480)/B480</f>
        <v/>
      </c>
    </row>
    <row r="493">
      <c r="A493" s="23" t="n">
        <v>36373</v>
      </c>
      <c r="B493" s="25">
        <f>VLOOKUP(Table30[[#This Row],[Month]],'DB Money Supply'!$A:$D,3)</f>
        <v/>
      </c>
      <c r="C493" s="65">
        <f>(Table30[[#This Row],[Real M2 Money Stock]]-B481)/B481</f>
        <v/>
      </c>
    </row>
    <row r="494">
      <c r="A494" s="23" t="n">
        <v>36404</v>
      </c>
      <c r="B494" s="25">
        <f>VLOOKUP(Table30[[#This Row],[Month]],'DB Money Supply'!$A:$D,3)</f>
        <v/>
      </c>
      <c r="C494" s="65">
        <f>(Table30[[#This Row],[Real M2 Money Stock]]-B482)/B482</f>
        <v/>
      </c>
    </row>
    <row r="495">
      <c r="A495" s="23" t="n">
        <v>36434</v>
      </c>
      <c r="B495" s="25">
        <f>VLOOKUP(Table30[[#This Row],[Month]],'DB Money Supply'!$A:$D,3)</f>
        <v/>
      </c>
      <c r="C495" s="65">
        <f>(Table30[[#This Row],[Real M2 Money Stock]]-B483)/B483</f>
        <v/>
      </c>
    </row>
    <row r="496">
      <c r="A496" s="23" t="n">
        <v>36465</v>
      </c>
      <c r="B496" s="25">
        <f>VLOOKUP(Table30[[#This Row],[Month]],'DB Money Supply'!$A:$D,3)</f>
        <v/>
      </c>
      <c r="C496" s="65">
        <f>(Table30[[#This Row],[Real M2 Money Stock]]-B484)/B484</f>
        <v/>
      </c>
    </row>
    <row r="497">
      <c r="A497" s="23" t="n">
        <v>36495</v>
      </c>
      <c r="B497" s="25">
        <f>VLOOKUP(Table30[[#This Row],[Month]],'DB Money Supply'!$A:$D,3)</f>
        <v/>
      </c>
      <c r="C497" s="65">
        <f>(Table30[[#This Row],[Real M2 Money Stock]]-B485)/B485</f>
        <v/>
      </c>
    </row>
    <row r="498">
      <c r="A498" s="23" t="n">
        <v>36526</v>
      </c>
      <c r="B498" s="25">
        <f>VLOOKUP(Table30[[#This Row],[Month]],'DB Money Supply'!$A:$D,3)</f>
        <v/>
      </c>
      <c r="C498" s="65">
        <f>(Table30[[#This Row],[Real M2 Money Stock]]-B486)/B486</f>
        <v/>
      </c>
    </row>
    <row r="499">
      <c r="A499" s="23" t="n">
        <v>36557</v>
      </c>
      <c r="B499" s="25">
        <f>VLOOKUP(Table30[[#This Row],[Month]],'DB Money Supply'!$A:$D,3)</f>
        <v/>
      </c>
      <c r="C499" s="65">
        <f>(Table30[[#This Row],[Real M2 Money Stock]]-B487)/B487</f>
        <v/>
      </c>
    </row>
    <row r="500">
      <c r="A500" s="23" t="n">
        <v>36586</v>
      </c>
      <c r="B500" s="25">
        <f>VLOOKUP(Table30[[#This Row],[Month]],'DB Money Supply'!$A:$D,3)</f>
        <v/>
      </c>
      <c r="C500" s="65">
        <f>(Table30[[#This Row],[Real M2 Money Stock]]-B488)/B488</f>
        <v/>
      </c>
    </row>
    <row r="501">
      <c r="A501" s="23" t="n">
        <v>36617</v>
      </c>
      <c r="B501" s="25">
        <f>VLOOKUP(Table30[[#This Row],[Month]],'DB Money Supply'!$A:$D,3)</f>
        <v/>
      </c>
      <c r="C501" s="65">
        <f>(Table30[[#This Row],[Real M2 Money Stock]]-B489)/B489</f>
        <v/>
      </c>
    </row>
    <row r="502">
      <c r="A502" s="23" t="n">
        <v>36647</v>
      </c>
      <c r="B502" s="25">
        <f>VLOOKUP(Table30[[#This Row],[Month]],'DB Money Supply'!$A:$D,3)</f>
        <v/>
      </c>
      <c r="C502" s="65">
        <f>(Table30[[#This Row],[Real M2 Money Stock]]-B490)/B490</f>
        <v/>
      </c>
    </row>
    <row r="503">
      <c r="A503" s="23" t="n">
        <v>36678</v>
      </c>
      <c r="B503" s="25">
        <f>VLOOKUP(Table30[[#This Row],[Month]],'DB Money Supply'!$A:$D,3)</f>
        <v/>
      </c>
      <c r="C503" s="65">
        <f>(Table30[[#This Row],[Real M2 Money Stock]]-B491)/B491</f>
        <v/>
      </c>
    </row>
    <row r="504">
      <c r="A504" s="23" t="n">
        <v>36708</v>
      </c>
      <c r="B504" s="25">
        <f>VLOOKUP(Table30[[#This Row],[Month]],'DB Money Supply'!$A:$D,3)</f>
        <v/>
      </c>
      <c r="C504" s="65">
        <f>(Table30[[#This Row],[Real M2 Money Stock]]-B492)/B492</f>
        <v/>
      </c>
    </row>
    <row r="505">
      <c r="A505" s="23" t="n">
        <v>36739</v>
      </c>
      <c r="B505" s="25">
        <f>VLOOKUP(Table30[[#This Row],[Month]],'DB Money Supply'!$A:$D,3)</f>
        <v/>
      </c>
      <c r="C505" s="65">
        <f>(Table30[[#This Row],[Real M2 Money Stock]]-B493)/B493</f>
        <v/>
      </c>
    </row>
    <row r="506">
      <c r="A506" s="23" t="n">
        <v>36770</v>
      </c>
      <c r="B506" s="25">
        <f>VLOOKUP(Table30[[#This Row],[Month]],'DB Money Supply'!$A:$D,3)</f>
        <v/>
      </c>
      <c r="C506" s="65">
        <f>(Table30[[#This Row],[Real M2 Money Stock]]-B494)/B494</f>
        <v/>
      </c>
    </row>
    <row r="507">
      <c r="A507" s="23" t="n">
        <v>36800</v>
      </c>
      <c r="B507" s="25">
        <f>VLOOKUP(Table30[[#This Row],[Month]],'DB Money Supply'!$A:$D,3)</f>
        <v/>
      </c>
      <c r="C507" s="65">
        <f>(Table30[[#This Row],[Real M2 Money Stock]]-B495)/B495</f>
        <v/>
      </c>
    </row>
    <row r="508">
      <c r="A508" s="23" t="n">
        <v>36831</v>
      </c>
      <c r="B508" s="25">
        <f>VLOOKUP(Table30[[#This Row],[Month]],'DB Money Supply'!$A:$D,3)</f>
        <v/>
      </c>
      <c r="C508" s="65">
        <f>(Table30[[#This Row],[Real M2 Money Stock]]-B496)/B496</f>
        <v/>
      </c>
    </row>
    <row r="509">
      <c r="A509" s="23" t="n">
        <v>36861</v>
      </c>
      <c r="B509" s="25">
        <f>VLOOKUP(Table30[[#This Row],[Month]],'DB Money Supply'!$A:$D,3)</f>
        <v/>
      </c>
      <c r="C509" s="65">
        <f>(Table30[[#This Row],[Real M2 Money Stock]]-B497)/B497</f>
        <v/>
      </c>
    </row>
    <row r="510">
      <c r="A510" s="23" t="n">
        <v>36892</v>
      </c>
      <c r="B510" s="25">
        <f>VLOOKUP(Table30[[#This Row],[Month]],'DB Money Supply'!$A:$D,3)</f>
        <v/>
      </c>
      <c r="C510" s="65">
        <f>(Table30[[#This Row],[Real M2 Money Stock]]-B498)/B498</f>
        <v/>
      </c>
    </row>
    <row r="511">
      <c r="A511" s="23" t="n">
        <v>36923</v>
      </c>
      <c r="B511" s="25">
        <f>VLOOKUP(Table30[[#This Row],[Month]],'DB Money Supply'!$A:$D,3)</f>
        <v/>
      </c>
      <c r="C511" s="65">
        <f>(Table30[[#This Row],[Real M2 Money Stock]]-B499)/B499</f>
        <v/>
      </c>
    </row>
    <row r="512">
      <c r="A512" s="23" t="n">
        <v>36951</v>
      </c>
      <c r="B512" s="25">
        <f>VLOOKUP(Table30[[#This Row],[Month]],'DB Money Supply'!$A:$D,3)</f>
        <v/>
      </c>
      <c r="C512" s="65">
        <f>(Table30[[#This Row],[Real M2 Money Stock]]-B500)/B500</f>
        <v/>
      </c>
    </row>
    <row r="513">
      <c r="A513" s="23" t="n">
        <v>36982</v>
      </c>
      <c r="B513" s="25">
        <f>VLOOKUP(Table30[[#This Row],[Month]],'DB Money Supply'!$A:$D,3)</f>
        <v/>
      </c>
      <c r="C513" s="65">
        <f>(Table30[[#This Row],[Real M2 Money Stock]]-B501)/B501</f>
        <v/>
      </c>
    </row>
    <row r="514">
      <c r="A514" s="23" t="n">
        <v>37012</v>
      </c>
      <c r="B514" s="25">
        <f>VLOOKUP(Table30[[#This Row],[Month]],'DB Money Supply'!$A:$D,3)</f>
        <v/>
      </c>
      <c r="C514" s="65">
        <f>(Table30[[#This Row],[Real M2 Money Stock]]-B502)/B502</f>
        <v/>
      </c>
    </row>
    <row r="515">
      <c r="A515" s="23" t="n">
        <v>37043</v>
      </c>
      <c r="B515" s="25">
        <f>VLOOKUP(Table30[[#This Row],[Month]],'DB Money Supply'!$A:$D,3)</f>
        <v/>
      </c>
      <c r="C515" s="65">
        <f>(Table30[[#This Row],[Real M2 Money Stock]]-B503)/B503</f>
        <v/>
      </c>
    </row>
    <row r="516">
      <c r="A516" s="23" t="n">
        <v>37073</v>
      </c>
      <c r="B516" s="25">
        <f>VLOOKUP(Table30[[#This Row],[Month]],'DB Money Supply'!$A:$D,3)</f>
        <v/>
      </c>
      <c r="C516" s="65">
        <f>(Table30[[#This Row],[Real M2 Money Stock]]-B504)/B504</f>
        <v/>
      </c>
    </row>
    <row r="517">
      <c r="A517" s="23" t="n">
        <v>37104</v>
      </c>
      <c r="B517" s="25">
        <f>VLOOKUP(Table30[[#This Row],[Month]],'DB Money Supply'!$A:$D,3)</f>
        <v/>
      </c>
      <c r="C517" s="65">
        <f>(Table30[[#This Row],[Real M2 Money Stock]]-B505)/B505</f>
        <v/>
      </c>
    </row>
    <row r="518">
      <c r="A518" s="23" t="n">
        <v>37135</v>
      </c>
      <c r="B518" s="25">
        <f>VLOOKUP(Table30[[#This Row],[Month]],'DB Money Supply'!$A:$D,3)</f>
        <v/>
      </c>
      <c r="C518" s="65">
        <f>(Table30[[#This Row],[Real M2 Money Stock]]-B506)/B506</f>
        <v/>
      </c>
    </row>
    <row r="519">
      <c r="A519" s="23" t="n">
        <v>37165</v>
      </c>
      <c r="B519" s="25">
        <f>VLOOKUP(Table30[[#This Row],[Month]],'DB Money Supply'!$A:$D,3)</f>
        <v/>
      </c>
      <c r="C519" s="65">
        <f>(Table30[[#This Row],[Real M2 Money Stock]]-B507)/B507</f>
        <v/>
      </c>
    </row>
    <row r="520">
      <c r="A520" s="23" t="n">
        <v>37196</v>
      </c>
      <c r="B520" s="25">
        <f>VLOOKUP(Table30[[#This Row],[Month]],'DB Money Supply'!$A:$D,3)</f>
        <v/>
      </c>
      <c r="C520" s="65">
        <f>(Table30[[#This Row],[Real M2 Money Stock]]-B508)/B508</f>
        <v/>
      </c>
    </row>
    <row r="521">
      <c r="A521" s="23" t="n">
        <v>37226</v>
      </c>
      <c r="B521" s="25">
        <f>VLOOKUP(Table30[[#This Row],[Month]],'DB Money Supply'!$A:$D,3)</f>
        <v/>
      </c>
      <c r="C521" s="65">
        <f>(Table30[[#This Row],[Real M2 Money Stock]]-B509)/B509</f>
        <v/>
      </c>
    </row>
    <row r="522">
      <c r="A522" s="23" t="n">
        <v>37257</v>
      </c>
      <c r="B522" s="25">
        <f>VLOOKUP(Table30[[#This Row],[Month]],'DB Money Supply'!$A:$D,3)</f>
        <v/>
      </c>
      <c r="C522" s="65">
        <f>(Table30[[#This Row],[Real M2 Money Stock]]-B510)/B510</f>
        <v/>
      </c>
    </row>
    <row r="523">
      <c r="A523" s="23" t="n">
        <v>37288</v>
      </c>
      <c r="B523" s="25">
        <f>VLOOKUP(Table30[[#This Row],[Month]],'DB Money Supply'!$A:$D,3)</f>
        <v/>
      </c>
      <c r="C523" s="65">
        <f>(Table30[[#This Row],[Real M2 Money Stock]]-B511)/B511</f>
        <v/>
      </c>
    </row>
    <row r="524">
      <c r="A524" s="23" t="n">
        <v>37316</v>
      </c>
      <c r="B524" s="25">
        <f>VLOOKUP(Table30[[#This Row],[Month]],'DB Money Supply'!$A:$D,3)</f>
        <v/>
      </c>
      <c r="C524" s="65">
        <f>(Table30[[#This Row],[Real M2 Money Stock]]-B512)/B512</f>
        <v/>
      </c>
    </row>
    <row r="525">
      <c r="A525" s="23" t="n">
        <v>37347</v>
      </c>
      <c r="B525" s="25">
        <f>VLOOKUP(Table30[[#This Row],[Month]],'DB Money Supply'!$A:$D,3)</f>
        <v/>
      </c>
      <c r="C525" s="65">
        <f>(Table30[[#This Row],[Real M2 Money Stock]]-B513)/B513</f>
        <v/>
      </c>
    </row>
    <row r="526">
      <c r="A526" s="23" t="n">
        <v>37377</v>
      </c>
      <c r="B526" s="25">
        <f>VLOOKUP(Table30[[#This Row],[Month]],'DB Money Supply'!$A:$D,3)</f>
        <v/>
      </c>
      <c r="C526" s="65">
        <f>(Table30[[#This Row],[Real M2 Money Stock]]-B514)/B514</f>
        <v/>
      </c>
    </row>
    <row r="527">
      <c r="A527" s="23" t="n">
        <v>37408</v>
      </c>
      <c r="B527" s="25">
        <f>VLOOKUP(Table30[[#This Row],[Month]],'DB Money Supply'!$A:$D,3)</f>
        <v/>
      </c>
      <c r="C527" s="65">
        <f>(Table30[[#This Row],[Real M2 Money Stock]]-B515)/B515</f>
        <v/>
      </c>
    </row>
    <row r="528">
      <c r="A528" s="23" t="n">
        <v>37438</v>
      </c>
      <c r="B528" s="25">
        <f>VLOOKUP(Table30[[#This Row],[Month]],'DB Money Supply'!$A:$D,3)</f>
        <v/>
      </c>
      <c r="C528" s="65">
        <f>(Table30[[#This Row],[Real M2 Money Stock]]-B516)/B516</f>
        <v/>
      </c>
    </row>
    <row r="529">
      <c r="A529" s="23" t="n">
        <v>37469</v>
      </c>
      <c r="B529" s="25">
        <f>VLOOKUP(Table30[[#This Row],[Month]],'DB Money Supply'!$A:$D,3)</f>
        <v/>
      </c>
      <c r="C529" s="65">
        <f>(Table30[[#This Row],[Real M2 Money Stock]]-B517)/B517</f>
        <v/>
      </c>
    </row>
    <row r="530">
      <c r="A530" s="23" t="n">
        <v>37500</v>
      </c>
      <c r="B530" s="25">
        <f>VLOOKUP(Table30[[#This Row],[Month]],'DB Money Supply'!$A:$D,3)</f>
        <v/>
      </c>
      <c r="C530" s="65">
        <f>(Table30[[#This Row],[Real M2 Money Stock]]-B518)/B518</f>
        <v/>
      </c>
    </row>
    <row r="531">
      <c r="A531" s="23" t="n">
        <v>37530</v>
      </c>
      <c r="B531" s="25">
        <f>VLOOKUP(Table30[[#This Row],[Month]],'DB Money Supply'!$A:$D,3)</f>
        <v/>
      </c>
      <c r="C531" s="65">
        <f>(Table30[[#This Row],[Real M2 Money Stock]]-B519)/B519</f>
        <v/>
      </c>
    </row>
    <row r="532">
      <c r="A532" s="23" t="n">
        <v>37561</v>
      </c>
      <c r="B532" s="25">
        <f>VLOOKUP(Table30[[#This Row],[Month]],'DB Money Supply'!$A:$D,3)</f>
        <v/>
      </c>
      <c r="C532" s="65">
        <f>(Table30[[#This Row],[Real M2 Money Stock]]-B520)/B520</f>
        <v/>
      </c>
    </row>
    <row r="533">
      <c r="A533" s="23" t="n">
        <v>37591</v>
      </c>
      <c r="B533" s="25">
        <f>VLOOKUP(Table30[[#This Row],[Month]],'DB Money Supply'!$A:$D,3)</f>
        <v/>
      </c>
      <c r="C533" s="65">
        <f>(Table30[[#This Row],[Real M2 Money Stock]]-B521)/B521</f>
        <v/>
      </c>
    </row>
    <row r="534">
      <c r="A534" s="23" t="n">
        <v>37622</v>
      </c>
      <c r="B534" s="25">
        <f>VLOOKUP(Table30[[#This Row],[Month]],'DB Money Supply'!$A:$D,3)</f>
        <v/>
      </c>
      <c r="C534" s="65">
        <f>(Table30[[#This Row],[Real M2 Money Stock]]-B522)/B522</f>
        <v/>
      </c>
    </row>
    <row r="535">
      <c r="A535" s="23" t="n">
        <v>37653</v>
      </c>
      <c r="B535" s="25">
        <f>VLOOKUP(Table30[[#This Row],[Month]],'DB Money Supply'!$A:$D,3)</f>
        <v/>
      </c>
      <c r="C535" s="65">
        <f>(Table30[[#This Row],[Real M2 Money Stock]]-B523)/B523</f>
        <v/>
      </c>
    </row>
    <row r="536">
      <c r="A536" s="23" t="n">
        <v>37681</v>
      </c>
      <c r="B536" s="25">
        <f>VLOOKUP(Table30[[#This Row],[Month]],'DB Money Supply'!$A:$D,3)</f>
        <v/>
      </c>
      <c r="C536" s="65">
        <f>(Table30[[#This Row],[Real M2 Money Stock]]-B524)/B524</f>
        <v/>
      </c>
    </row>
    <row r="537">
      <c r="A537" s="23" t="n">
        <v>37712</v>
      </c>
      <c r="B537" s="25">
        <f>VLOOKUP(Table30[[#This Row],[Month]],'DB Money Supply'!$A:$D,3)</f>
        <v/>
      </c>
      <c r="C537" s="65">
        <f>(Table30[[#This Row],[Real M2 Money Stock]]-B525)/B525</f>
        <v/>
      </c>
    </row>
    <row r="538">
      <c r="A538" s="23" t="n">
        <v>37742</v>
      </c>
      <c r="B538" s="25">
        <f>VLOOKUP(Table30[[#This Row],[Month]],'DB Money Supply'!$A:$D,3)</f>
        <v/>
      </c>
      <c r="C538" s="65">
        <f>(Table30[[#This Row],[Real M2 Money Stock]]-B526)/B526</f>
        <v/>
      </c>
    </row>
    <row r="539">
      <c r="A539" s="23" t="n">
        <v>37773</v>
      </c>
      <c r="B539" s="25">
        <f>VLOOKUP(Table30[[#This Row],[Month]],'DB Money Supply'!$A:$D,3)</f>
        <v/>
      </c>
      <c r="C539" s="65">
        <f>(Table30[[#This Row],[Real M2 Money Stock]]-B527)/B527</f>
        <v/>
      </c>
    </row>
    <row r="540">
      <c r="A540" s="23" t="n">
        <v>37803</v>
      </c>
      <c r="B540" s="25">
        <f>VLOOKUP(Table30[[#This Row],[Month]],'DB Money Supply'!$A:$D,3)</f>
        <v/>
      </c>
      <c r="C540" s="65">
        <f>(Table30[[#This Row],[Real M2 Money Stock]]-B528)/B528</f>
        <v/>
      </c>
    </row>
    <row r="541">
      <c r="A541" s="23" t="n">
        <v>37834</v>
      </c>
      <c r="B541" s="25">
        <f>VLOOKUP(Table30[[#This Row],[Month]],'DB Money Supply'!$A:$D,3)</f>
        <v/>
      </c>
      <c r="C541" s="65">
        <f>(Table30[[#This Row],[Real M2 Money Stock]]-B529)/B529</f>
        <v/>
      </c>
    </row>
    <row r="542">
      <c r="A542" s="23" t="n">
        <v>37865</v>
      </c>
      <c r="B542" s="25">
        <f>VLOOKUP(Table30[[#This Row],[Month]],'DB Money Supply'!$A:$D,3)</f>
        <v/>
      </c>
      <c r="C542" s="65">
        <f>(Table30[[#This Row],[Real M2 Money Stock]]-B530)/B530</f>
        <v/>
      </c>
    </row>
    <row r="543">
      <c r="A543" s="23" t="n">
        <v>37895</v>
      </c>
      <c r="B543" s="25">
        <f>VLOOKUP(Table30[[#This Row],[Month]],'DB Money Supply'!$A:$D,3)</f>
        <v/>
      </c>
      <c r="C543" s="65">
        <f>(Table30[[#This Row],[Real M2 Money Stock]]-B531)/B531</f>
        <v/>
      </c>
    </row>
    <row r="544">
      <c r="A544" s="23" t="n">
        <v>37926</v>
      </c>
      <c r="B544" s="25">
        <f>VLOOKUP(Table30[[#This Row],[Month]],'DB Money Supply'!$A:$D,3)</f>
        <v/>
      </c>
      <c r="C544" s="65">
        <f>(Table30[[#This Row],[Real M2 Money Stock]]-B532)/B532</f>
        <v/>
      </c>
    </row>
    <row r="545">
      <c r="A545" s="23" t="n">
        <v>37956</v>
      </c>
      <c r="B545" s="25">
        <f>VLOOKUP(Table30[[#This Row],[Month]],'DB Money Supply'!$A:$D,3)</f>
        <v/>
      </c>
      <c r="C545" s="65">
        <f>(Table30[[#This Row],[Real M2 Money Stock]]-B533)/B533</f>
        <v/>
      </c>
    </row>
    <row r="546">
      <c r="A546" s="23" t="n">
        <v>37987</v>
      </c>
      <c r="B546" s="25">
        <f>VLOOKUP(Table30[[#This Row],[Month]],'DB Money Supply'!$A:$D,3)</f>
        <v/>
      </c>
      <c r="C546" s="65">
        <f>(Table30[[#This Row],[Real M2 Money Stock]]-B534)/B534</f>
        <v/>
      </c>
    </row>
    <row r="547">
      <c r="A547" s="23" t="n">
        <v>38018</v>
      </c>
      <c r="B547" s="25">
        <f>VLOOKUP(Table30[[#This Row],[Month]],'DB Money Supply'!$A:$D,3)</f>
        <v/>
      </c>
      <c r="C547" s="65">
        <f>(Table30[[#This Row],[Real M2 Money Stock]]-B535)/B535</f>
        <v/>
      </c>
    </row>
    <row r="548">
      <c r="A548" s="23" t="n">
        <v>38047</v>
      </c>
      <c r="B548" s="25">
        <f>VLOOKUP(Table30[[#This Row],[Month]],'DB Money Supply'!$A:$D,3)</f>
        <v/>
      </c>
      <c r="C548" s="65">
        <f>(Table30[[#This Row],[Real M2 Money Stock]]-B536)/B536</f>
        <v/>
      </c>
    </row>
    <row r="549">
      <c r="A549" s="23" t="n">
        <v>38078</v>
      </c>
      <c r="B549" s="25">
        <f>VLOOKUP(Table30[[#This Row],[Month]],'DB Money Supply'!$A:$D,3)</f>
        <v/>
      </c>
      <c r="C549" s="65">
        <f>(Table30[[#This Row],[Real M2 Money Stock]]-B537)/B537</f>
        <v/>
      </c>
    </row>
    <row r="550">
      <c r="A550" s="23" t="n">
        <v>38108</v>
      </c>
      <c r="B550" s="25">
        <f>VLOOKUP(Table30[[#This Row],[Month]],'DB Money Supply'!$A:$D,3)</f>
        <v/>
      </c>
      <c r="C550" s="65">
        <f>(Table30[[#This Row],[Real M2 Money Stock]]-B538)/B538</f>
        <v/>
      </c>
    </row>
    <row r="551">
      <c r="A551" s="23" t="n">
        <v>38139</v>
      </c>
      <c r="B551" s="25">
        <f>VLOOKUP(Table30[[#This Row],[Month]],'DB Money Supply'!$A:$D,3)</f>
        <v/>
      </c>
      <c r="C551" s="65">
        <f>(Table30[[#This Row],[Real M2 Money Stock]]-B539)/B539</f>
        <v/>
      </c>
    </row>
    <row r="552">
      <c r="A552" s="23" t="n">
        <v>38169</v>
      </c>
      <c r="B552" s="25">
        <f>VLOOKUP(Table30[[#This Row],[Month]],'DB Money Supply'!$A:$D,3)</f>
        <v/>
      </c>
      <c r="C552" s="65">
        <f>(Table30[[#This Row],[Real M2 Money Stock]]-B540)/B540</f>
        <v/>
      </c>
    </row>
    <row r="553">
      <c r="A553" s="23" t="n">
        <v>38200</v>
      </c>
      <c r="B553" s="25">
        <f>VLOOKUP(Table30[[#This Row],[Month]],'DB Money Supply'!$A:$D,3)</f>
        <v/>
      </c>
      <c r="C553" s="65">
        <f>(Table30[[#This Row],[Real M2 Money Stock]]-B541)/B541</f>
        <v/>
      </c>
    </row>
    <row r="554">
      <c r="A554" s="23" t="n">
        <v>38231</v>
      </c>
      <c r="B554" s="25">
        <f>VLOOKUP(Table30[[#This Row],[Month]],'DB Money Supply'!$A:$D,3)</f>
        <v/>
      </c>
      <c r="C554" s="65">
        <f>(Table30[[#This Row],[Real M2 Money Stock]]-B542)/B542</f>
        <v/>
      </c>
    </row>
    <row r="555">
      <c r="A555" s="23" t="n">
        <v>38261</v>
      </c>
      <c r="B555" s="25">
        <f>VLOOKUP(Table30[[#This Row],[Month]],'DB Money Supply'!$A:$D,3)</f>
        <v/>
      </c>
      <c r="C555" s="65">
        <f>(Table30[[#This Row],[Real M2 Money Stock]]-B543)/B543</f>
        <v/>
      </c>
    </row>
    <row r="556">
      <c r="A556" s="23" t="n">
        <v>38292</v>
      </c>
      <c r="B556" s="25">
        <f>VLOOKUP(Table30[[#This Row],[Month]],'DB Money Supply'!$A:$D,3)</f>
        <v/>
      </c>
      <c r="C556" s="65">
        <f>(Table30[[#This Row],[Real M2 Money Stock]]-B544)/B544</f>
        <v/>
      </c>
    </row>
    <row r="557">
      <c r="A557" s="23" t="n">
        <v>38322</v>
      </c>
      <c r="B557" s="25">
        <f>VLOOKUP(Table30[[#This Row],[Month]],'DB Money Supply'!$A:$D,3)</f>
        <v/>
      </c>
      <c r="C557" s="65">
        <f>(Table30[[#This Row],[Real M2 Money Stock]]-B545)/B545</f>
        <v/>
      </c>
    </row>
    <row r="558">
      <c r="A558" s="23" t="n">
        <v>38353</v>
      </c>
      <c r="B558" s="25">
        <f>VLOOKUP(Table30[[#This Row],[Month]],'DB Money Supply'!$A:$D,3)</f>
        <v/>
      </c>
      <c r="C558" s="65">
        <f>(Table30[[#This Row],[Real M2 Money Stock]]-B546)/B546</f>
        <v/>
      </c>
    </row>
    <row r="559">
      <c r="A559" s="23" t="n">
        <v>38384</v>
      </c>
      <c r="B559" s="25">
        <f>VLOOKUP(Table30[[#This Row],[Month]],'DB Money Supply'!$A:$D,3)</f>
        <v/>
      </c>
      <c r="C559" s="65">
        <f>(Table30[[#This Row],[Real M2 Money Stock]]-B547)/B547</f>
        <v/>
      </c>
    </row>
    <row r="560">
      <c r="A560" s="23" t="n">
        <v>38412</v>
      </c>
      <c r="B560" s="25">
        <f>VLOOKUP(Table30[[#This Row],[Month]],'DB Money Supply'!$A:$D,3)</f>
        <v/>
      </c>
      <c r="C560" s="65">
        <f>(Table30[[#This Row],[Real M2 Money Stock]]-B548)/B548</f>
        <v/>
      </c>
    </row>
    <row r="561">
      <c r="A561" s="23" t="n">
        <v>38443</v>
      </c>
      <c r="B561" s="25">
        <f>VLOOKUP(Table30[[#This Row],[Month]],'DB Money Supply'!$A:$D,3)</f>
        <v/>
      </c>
      <c r="C561" s="65">
        <f>(Table30[[#This Row],[Real M2 Money Stock]]-B549)/B549</f>
        <v/>
      </c>
    </row>
    <row r="562">
      <c r="A562" s="23" t="n">
        <v>38473</v>
      </c>
      <c r="B562" s="25">
        <f>VLOOKUP(Table30[[#This Row],[Month]],'DB Money Supply'!$A:$D,3)</f>
        <v/>
      </c>
      <c r="C562" s="65">
        <f>(Table30[[#This Row],[Real M2 Money Stock]]-B550)/B550</f>
        <v/>
      </c>
    </row>
    <row r="563">
      <c r="A563" s="23" t="n">
        <v>38504</v>
      </c>
      <c r="B563" s="25">
        <f>VLOOKUP(Table30[[#This Row],[Month]],'DB Money Supply'!$A:$D,3)</f>
        <v/>
      </c>
      <c r="C563" s="65">
        <f>(Table30[[#This Row],[Real M2 Money Stock]]-B551)/B551</f>
        <v/>
      </c>
    </row>
    <row r="564">
      <c r="A564" s="23" t="n">
        <v>38534</v>
      </c>
      <c r="B564" s="25">
        <f>VLOOKUP(Table30[[#This Row],[Month]],'DB Money Supply'!$A:$D,3)</f>
        <v/>
      </c>
      <c r="C564" s="65">
        <f>(Table30[[#This Row],[Real M2 Money Stock]]-B552)/B552</f>
        <v/>
      </c>
    </row>
    <row r="565">
      <c r="A565" s="23" t="n">
        <v>38565</v>
      </c>
      <c r="B565" s="25">
        <f>VLOOKUP(Table30[[#This Row],[Month]],'DB Money Supply'!$A:$D,3)</f>
        <v/>
      </c>
      <c r="C565" s="65">
        <f>(Table30[[#This Row],[Real M2 Money Stock]]-B553)/B553</f>
        <v/>
      </c>
    </row>
    <row r="566">
      <c r="A566" s="23" t="n">
        <v>38596</v>
      </c>
      <c r="B566" s="25">
        <f>VLOOKUP(Table30[[#This Row],[Month]],'DB Money Supply'!$A:$D,3)</f>
        <v/>
      </c>
      <c r="C566" s="65">
        <f>(Table30[[#This Row],[Real M2 Money Stock]]-B554)/B554</f>
        <v/>
      </c>
    </row>
    <row r="567">
      <c r="A567" s="23" t="n">
        <v>38626</v>
      </c>
      <c r="B567" s="25">
        <f>VLOOKUP(Table30[[#This Row],[Month]],'DB Money Supply'!$A:$D,3)</f>
        <v/>
      </c>
      <c r="C567" s="65">
        <f>(Table30[[#This Row],[Real M2 Money Stock]]-B555)/B555</f>
        <v/>
      </c>
    </row>
    <row r="568">
      <c r="A568" s="23" t="n">
        <v>38657</v>
      </c>
      <c r="B568" s="25">
        <f>VLOOKUP(Table30[[#This Row],[Month]],'DB Money Supply'!$A:$D,3)</f>
        <v/>
      </c>
      <c r="C568" s="65">
        <f>(Table30[[#This Row],[Real M2 Money Stock]]-B556)/B556</f>
        <v/>
      </c>
    </row>
    <row r="569">
      <c r="A569" s="23" t="n">
        <v>38687</v>
      </c>
      <c r="B569" s="25">
        <f>VLOOKUP(Table30[[#This Row],[Month]],'DB Money Supply'!$A:$D,3)</f>
        <v/>
      </c>
      <c r="C569" s="65">
        <f>(Table30[[#This Row],[Real M2 Money Stock]]-B557)/B557</f>
        <v/>
      </c>
    </row>
    <row r="570">
      <c r="A570" s="23" t="n">
        <v>38718</v>
      </c>
      <c r="B570" s="25">
        <f>VLOOKUP(Table30[[#This Row],[Month]],'DB Money Supply'!$A:$D,3)</f>
        <v/>
      </c>
      <c r="C570" s="65">
        <f>(Table30[[#This Row],[Real M2 Money Stock]]-B558)/B558</f>
        <v/>
      </c>
    </row>
    <row r="571">
      <c r="A571" s="23" t="n">
        <v>38749</v>
      </c>
      <c r="B571" s="25">
        <f>VLOOKUP(Table30[[#This Row],[Month]],'DB Money Supply'!$A:$D,3)</f>
        <v/>
      </c>
      <c r="C571" s="65">
        <f>(Table30[[#This Row],[Real M2 Money Stock]]-B559)/B559</f>
        <v/>
      </c>
    </row>
    <row r="572">
      <c r="A572" s="23" t="n">
        <v>38777</v>
      </c>
      <c r="B572" s="25">
        <f>VLOOKUP(Table30[[#This Row],[Month]],'DB Money Supply'!$A:$D,3)</f>
        <v/>
      </c>
      <c r="C572" s="65">
        <f>(Table30[[#This Row],[Real M2 Money Stock]]-B560)/B560</f>
        <v/>
      </c>
    </row>
    <row r="573">
      <c r="A573" s="23" t="n">
        <v>38808</v>
      </c>
      <c r="B573" s="25">
        <f>VLOOKUP(Table30[[#This Row],[Month]],'DB Money Supply'!$A:$D,3)</f>
        <v/>
      </c>
      <c r="C573" s="65">
        <f>(Table30[[#This Row],[Real M2 Money Stock]]-B561)/B561</f>
        <v/>
      </c>
    </row>
    <row r="574">
      <c r="A574" s="23" t="n">
        <v>38838</v>
      </c>
      <c r="B574" s="25">
        <f>VLOOKUP(Table30[[#This Row],[Month]],'DB Money Supply'!$A:$D,3)</f>
        <v/>
      </c>
      <c r="C574" s="65">
        <f>(Table30[[#This Row],[Real M2 Money Stock]]-B562)/B562</f>
        <v/>
      </c>
    </row>
    <row r="575">
      <c r="A575" s="23" t="n">
        <v>38869</v>
      </c>
      <c r="B575" s="25">
        <f>VLOOKUP(Table30[[#This Row],[Month]],'DB Money Supply'!$A:$D,3)</f>
        <v/>
      </c>
      <c r="C575" s="65">
        <f>(Table30[[#This Row],[Real M2 Money Stock]]-B563)/B563</f>
        <v/>
      </c>
    </row>
    <row r="576">
      <c r="A576" s="23" t="n">
        <v>38899</v>
      </c>
      <c r="B576" s="25">
        <f>VLOOKUP(Table30[[#This Row],[Month]],'DB Money Supply'!$A:$D,3)</f>
        <v/>
      </c>
      <c r="C576" s="65">
        <f>(Table30[[#This Row],[Real M2 Money Stock]]-B564)/B564</f>
        <v/>
      </c>
    </row>
    <row r="577">
      <c r="A577" s="23" t="n">
        <v>38930</v>
      </c>
      <c r="B577" s="25">
        <f>VLOOKUP(Table30[[#This Row],[Month]],'DB Money Supply'!$A:$D,3)</f>
        <v/>
      </c>
      <c r="C577" s="65">
        <f>(Table30[[#This Row],[Real M2 Money Stock]]-B565)/B565</f>
        <v/>
      </c>
    </row>
    <row r="578">
      <c r="A578" s="23" t="n">
        <v>38961</v>
      </c>
      <c r="B578" s="25">
        <f>VLOOKUP(Table30[[#This Row],[Month]],'DB Money Supply'!$A:$D,3)</f>
        <v/>
      </c>
      <c r="C578" s="65">
        <f>(Table30[[#This Row],[Real M2 Money Stock]]-B566)/B566</f>
        <v/>
      </c>
    </row>
    <row r="579">
      <c r="A579" s="23" t="n">
        <v>38991</v>
      </c>
      <c r="B579" s="25">
        <f>VLOOKUP(Table30[[#This Row],[Month]],'DB Money Supply'!$A:$D,3)</f>
        <v/>
      </c>
      <c r="C579" s="65">
        <f>(Table30[[#This Row],[Real M2 Money Stock]]-B567)/B567</f>
        <v/>
      </c>
    </row>
    <row r="580">
      <c r="A580" s="23" t="n">
        <v>39022</v>
      </c>
      <c r="B580" s="25">
        <f>VLOOKUP(Table30[[#This Row],[Month]],'DB Money Supply'!$A:$D,3)</f>
        <v/>
      </c>
      <c r="C580" s="65">
        <f>(Table30[[#This Row],[Real M2 Money Stock]]-B568)/B568</f>
        <v/>
      </c>
    </row>
    <row r="581">
      <c r="A581" s="23" t="n">
        <v>39052</v>
      </c>
      <c r="B581" s="25">
        <f>VLOOKUP(Table30[[#This Row],[Month]],'DB Money Supply'!$A:$D,3)</f>
        <v/>
      </c>
      <c r="C581" s="65">
        <f>(Table30[[#This Row],[Real M2 Money Stock]]-B569)/B569</f>
        <v/>
      </c>
    </row>
    <row r="582">
      <c r="A582" s="23" t="n">
        <v>39083</v>
      </c>
      <c r="B582" s="25">
        <f>VLOOKUP(Table30[[#This Row],[Month]],'DB Money Supply'!$A:$D,3)</f>
        <v/>
      </c>
      <c r="C582" s="65">
        <f>(Table30[[#This Row],[Real M2 Money Stock]]-B570)/B570</f>
        <v/>
      </c>
    </row>
    <row r="583">
      <c r="A583" s="23" t="n">
        <v>39114</v>
      </c>
      <c r="B583" s="25">
        <f>VLOOKUP(Table30[[#This Row],[Month]],'DB Money Supply'!$A:$D,3)</f>
        <v/>
      </c>
      <c r="C583" s="65">
        <f>(Table30[[#This Row],[Real M2 Money Stock]]-B571)/B571</f>
        <v/>
      </c>
    </row>
    <row r="584">
      <c r="A584" s="23" t="n">
        <v>39142</v>
      </c>
      <c r="B584" s="25">
        <f>VLOOKUP(Table30[[#This Row],[Month]],'DB Money Supply'!$A:$D,3)</f>
        <v/>
      </c>
      <c r="C584" s="65">
        <f>(Table30[[#This Row],[Real M2 Money Stock]]-B572)/B572</f>
        <v/>
      </c>
    </row>
    <row r="585">
      <c r="A585" s="23" t="n">
        <v>39173</v>
      </c>
      <c r="B585" s="25">
        <f>VLOOKUP(Table30[[#This Row],[Month]],'DB Money Supply'!$A:$D,3)</f>
        <v/>
      </c>
      <c r="C585" s="65">
        <f>(Table30[[#This Row],[Real M2 Money Stock]]-B573)/B573</f>
        <v/>
      </c>
    </row>
    <row r="586">
      <c r="A586" s="23" t="n">
        <v>39203</v>
      </c>
      <c r="B586" s="25">
        <f>VLOOKUP(Table30[[#This Row],[Month]],'DB Money Supply'!$A:$D,3)</f>
        <v/>
      </c>
      <c r="C586" s="65">
        <f>(Table30[[#This Row],[Real M2 Money Stock]]-B574)/B574</f>
        <v/>
      </c>
    </row>
    <row r="587">
      <c r="A587" s="23" t="n">
        <v>39234</v>
      </c>
      <c r="B587" s="25">
        <f>VLOOKUP(Table30[[#This Row],[Month]],'DB Money Supply'!$A:$D,3)</f>
        <v/>
      </c>
      <c r="C587" s="65">
        <f>(Table30[[#This Row],[Real M2 Money Stock]]-B575)/B575</f>
        <v/>
      </c>
    </row>
    <row r="588">
      <c r="A588" s="23" t="n">
        <v>39264</v>
      </c>
      <c r="B588" s="25">
        <f>VLOOKUP(Table30[[#This Row],[Month]],'DB Money Supply'!$A:$D,3)</f>
        <v/>
      </c>
      <c r="C588" s="65">
        <f>(Table30[[#This Row],[Real M2 Money Stock]]-B576)/B576</f>
        <v/>
      </c>
    </row>
    <row r="589">
      <c r="A589" s="23" t="n">
        <v>39295</v>
      </c>
      <c r="B589" s="25">
        <f>VLOOKUP(Table30[[#This Row],[Month]],'DB Money Supply'!$A:$D,3)</f>
        <v/>
      </c>
      <c r="C589" s="65">
        <f>(Table30[[#This Row],[Real M2 Money Stock]]-B577)/B577</f>
        <v/>
      </c>
    </row>
    <row r="590">
      <c r="A590" s="23" t="n">
        <v>39326</v>
      </c>
      <c r="B590" s="25">
        <f>VLOOKUP(Table30[[#This Row],[Month]],'DB Money Supply'!$A:$D,3)</f>
        <v/>
      </c>
      <c r="C590" s="65">
        <f>(Table30[[#This Row],[Real M2 Money Stock]]-B578)/B578</f>
        <v/>
      </c>
    </row>
    <row r="591">
      <c r="A591" s="23" t="n">
        <v>39356</v>
      </c>
      <c r="B591" s="25">
        <f>VLOOKUP(Table30[[#This Row],[Month]],'DB Money Supply'!$A:$D,3)</f>
        <v/>
      </c>
      <c r="C591" s="65">
        <f>(Table30[[#This Row],[Real M2 Money Stock]]-B579)/B579</f>
        <v/>
      </c>
    </row>
    <row r="592">
      <c r="A592" s="23" t="n">
        <v>39387</v>
      </c>
      <c r="B592" s="25">
        <f>VLOOKUP(Table30[[#This Row],[Month]],'DB Money Supply'!$A:$D,3)</f>
        <v/>
      </c>
      <c r="C592" s="65">
        <f>(Table30[[#This Row],[Real M2 Money Stock]]-B580)/B580</f>
        <v/>
      </c>
    </row>
    <row r="593">
      <c r="A593" s="23" t="n">
        <v>39417</v>
      </c>
      <c r="B593" s="25">
        <f>VLOOKUP(Table30[[#This Row],[Month]],'DB Money Supply'!$A:$D,3)</f>
        <v/>
      </c>
      <c r="C593" s="65">
        <f>(Table30[[#This Row],[Real M2 Money Stock]]-B581)/B581</f>
        <v/>
      </c>
    </row>
    <row r="594">
      <c r="A594" s="23" t="n">
        <v>39448</v>
      </c>
      <c r="B594" s="25">
        <f>VLOOKUP(Table30[[#This Row],[Month]],'DB Money Supply'!$A:$D,3)</f>
        <v/>
      </c>
      <c r="C594" s="65">
        <f>(Table30[[#This Row],[Real M2 Money Stock]]-B582)/B582</f>
        <v/>
      </c>
    </row>
    <row r="595">
      <c r="A595" s="23" t="n">
        <v>39479</v>
      </c>
      <c r="B595" s="25">
        <f>VLOOKUP(Table30[[#This Row],[Month]],'DB Money Supply'!$A:$D,3)</f>
        <v/>
      </c>
      <c r="C595" s="65">
        <f>(Table30[[#This Row],[Real M2 Money Stock]]-B583)/B583</f>
        <v/>
      </c>
    </row>
    <row r="596">
      <c r="A596" s="23" t="n">
        <v>39508</v>
      </c>
      <c r="B596" s="25">
        <f>VLOOKUP(Table30[[#This Row],[Month]],'DB Money Supply'!$A:$D,3)</f>
        <v/>
      </c>
      <c r="C596" s="65">
        <f>(Table30[[#This Row],[Real M2 Money Stock]]-B584)/B584</f>
        <v/>
      </c>
    </row>
    <row r="597">
      <c r="A597" s="23" t="n">
        <v>39539</v>
      </c>
      <c r="B597" s="25">
        <f>VLOOKUP(Table30[[#This Row],[Month]],'DB Money Supply'!$A:$D,3)</f>
        <v/>
      </c>
      <c r="C597" s="65">
        <f>(Table30[[#This Row],[Real M2 Money Stock]]-B585)/B585</f>
        <v/>
      </c>
    </row>
    <row r="598">
      <c r="A598" s="23" t="n">
        <v>39569</v>
      </c>
      <c r="B598" s="25">
        <f>VLOOKUP(Table30[[#This Row],[Month]],'DB Money Supply'!$A:$D,3)</f>
        <v/>
      </c>
      <c r="C598" s="65">
        <f>(Table30[[#This Row],[Real M2 Money Stock]]-B586)/B586</f>
        <v/>
      </c>
    </row>
    <row r="599">
      <c r="A599" s="23" t="n">
        <v>39600</v>
      </c>
      <c r="B599" s="25">
        <f>VLOOKUP(Table30[[#This Row],[Month]],'DB Money Supply'!$A:$D,3)</f>
        <v/>
      </c>
      <c r="C599" s="65">
        <f>(Table30[[#This Row],[Real M2 Money Stock]]-B587)/B587</f>
        <v/>
      </c>
    </row>
    <row r="600">
      <c r="A600" s="23" t="n">
        <v>39630</v>
      </c>
      <c r="B600" s="25">
        <f>VLOOKUP(Table30[[#This Row],[Month]],'DB Money Supply'!$A:$D,3)</f>
        <v/>
      </c>
      <c r="C600" s="65">
        <f>(Table30[[#This Row],[Real M2 Money Stock]]-B588)/B588</f>
        <v/>
      </c>
    </row>
    <row r="601">
      <c r="A601" s="23" t="n">
        <v>39661</v>
      </c>
      <c r="B601" s="25">
        <f>VLOOKUP(Table30[[#This Row],[Month]],'DB Money Supply'!$A:$D,3)</f>
        <v/>
      </c>
      <c r="C601" s="65">
        <f>(Table30[[#This Row],[Real M2 Money Stock]]-B589)/B589</f>
        <v/>
      </c>
    </row>
    <row r="602">
      <c r="A602" s="23" t="n">
        <v>39692</v>
      </c>
      <c r="B602" s="25">
        <f>VLOOKUP(Table30[[#This Row],[Month]],'DB Money Supply'!$A:$D,3)</f>
        <v/>
      </c>
      <c r="C602" s="65">
        <f>(Table30[[#This Row],[Real M2 Money Stock]]-B590)/B590</f>
        <v/>
      </c>
    </row>
    <row r="603">
      <c r="A603" s="23" t="n">
        <v>39722</v>
      </c>
      <c r="B603" s="25">
        <f>VLOOKUP(Table30[[#This Row],[Month]],'DB Money Supply'!$A:$D,3)</f>
        <v/>
      </c>
      <c r="C603" s="65">
        <f>(Table30[[#This Row],[Real M2 Money Stock]]-B591)/B591</f>
        <v/>
      </c>
    </row>
    <row r="604">
      <c r="A604" s="23" t="n">
        <v>39753</v>
      </c>
      <c r="B604" s="25">
        <f>VLOOKUP(Table30[[#This Row],[Month]],'DB Money Supply'!$A:$D,3)</f>
        <v/>
      </c>
      <c r="C604" s="65">
        <f>(Table30[[#This Row],[Real M2 Money Stock]]-B592)/B592</f>
        <v/>
      </c>
    </row>
    <row r="605">
      <c r="A605" s="23" t="n">
        <v>39783</v>
      </c>
      <c r="B605" s="25">
        <f>VLOOKUP(Table30[[#This Row],[Month]],'DB Money Supply'!$A:$D,3)</f>
        <v/>
      </c>
      <c r="C605" s="65">
        <f>(Table30[[#This Row],[Real M2 Money Stock]]-B593)/B593</f>
        <v/>
      </c>
    </row>
    <row r="606">
      <c r="A606" s="23" t="n">
        <v>39814</v>
      </c>
      <c r="B606" s="25">
        <f>VLOOKUP(Table30[[#This Row],[Month]],'DB Money Supply'!$A:$D,3)</f>
        <v/>
      </c>
      <c r="C606" s="65">
        <f>(Table30[[#This Row],[Real M2 Money Stock]]-B594)/B594</f>
        <v/>
      </c>
    </row>
    <row r="607">
      <c r="A607" s="23" t="n">
        <v>39845</v>
      </c>
      <c r="B607" s="25">
        <f>VLOOKUP(Table30[[#This Row],[Month]],'DB Money Supply'!$A:$D,3)</f>
        <v/>
      </c>
      <c r="C607" s="65">
        <f>(Table30[[#This Row],[Real M2 Money Stock]]-B595)/B595</f>
        <v/>
      </c>
    </row>
    <row r="608">
      <c r="A608" s="23" t="n">
        <v>39873</v>
      </c>
      <c r="B608" s="25">
        <f>VLOOKUP(Table30[[#This Row],[Month]],'DB Money Supply'!$A:$D,3)</f>
        <v/>
      </c>
      <c r="C608" s="65">
        <f>(Table30[[#This Row],[Real M2 Money Stock]]-B596)/B596</f>
        <v/>
      </c>
    </row>
    <row r="609">
      <c r="A609" s="23" t="n">
        <v>39904</v>
      </c>
      <c r="B609" s="25">
        <f>VLOOKUP(Table30[[#This Row],[Month]],'DB Money Supply'!$A:$D,3)</f>
        <v/>
      </c>
      <c r="C609" s="65">
        <f>(Table30[[#This Row],[Real M2 Money Stock]]-B597)/B597</f>
        <v/>
      </c>
    </row>
    <row r="610">
      <c r="A610" s="23" t="n">
        <v>39934</v>
      </c>
      <c r="B610" s="25">
        <f>VLOOKUP(Table30[[#This Row],[Month]],'DB Money Supply'!$A:$D,3)</f>
        <v/>
      </c>
      <c r="C610" s="65">
        <f>(Table30[[#This Row],[Real M2 Money Stock]]-B598)/B598</f>
        <v/>
      </c>
    </row>
    <row r="611">
      <c r="A611" s="23" t="n">
        <v>39965</v>
      </c>
      <c r="B611" s="25">
        <f>VLOOKUP(Table30[[#This Row],[Month]],'DB Money Supply'!$A:$D,3)</f>
        <v/>
      </c>
      <c r="C611" s="65">
        <f>(Table30[[#This Row],[Real M2 Money Stock]]-B599)/B599</f>
        <v/>
      </c>
    </row>
    <row r="612">
      <c r="A612" s="23" t="n">
        <v>39995</v>
      </c>
      <c r="B612" s="25">
        <f>VLOOKUP(Table30[[#This Row],[Month]],'DB Money Supply'!$A:$D,3)</f>
        <v/>
      </c>
      <c r="C612" s="65">
        <f>(Table30[[#This Row],[Real M2 Money Stock]]-B600)/B600</f>
        <v/>
      </c>
    </row>
    <row r="613">
      <c r="A613" s="23" t="n">
        <v>40026</v>
      </c>
      <c r="B613" s="25">
        <f>VLOOKUP(Table30[[#This Row],[Month]],'DB Money Supply'!$A:$D,3)</f>
        <v/>
      </c>
      <c r="C613" s="65">
        <f>(Table30[[#This Row],[Real M2 Money Stock]]-B601)/B601</f>
        <v/>
      </c>
    </row>
    <row r="614">
      <c r="A614" s="23" t="n">
        <v>40057</v>
      </c>
      <c r="B614" s="25">
        <f>VLOOKUP(Table30[[#This Row],[Month]],'DB Money Supply'!$A:$D,3)</f>
        <v/>
      </c>
      <c r="C614" s="65">
        <f>(Table30[[#This Row],[Real M2 Money Stock]]-B602)/B602</f>
        <v/>
      </c>
    </row>
    <row r="615">
      <c r="A615" s="23" t="n">
        <v>40087</v>
      </c>
      <c r="B615" s="25">
        <f>VLOOKUP(Table30[[#This Row],[Month]],'DB Money Supply'!$A:$D,3)</f>
        <v/>
      </c>
      <c r="C615" s="65">
        <f>(Table30[[#This Row],[Real M2 Money Stock]]-B603)/B603</f>
        <v/>
      </c>
    </row>
    <row r="616">
      <c r="A616" s="23" t="n">
        <v>40118</v>
      </c>
      <c r="B616" s="25">
        <f>VLOOKUP(Table30[[#This Row],[Month]],'DB Money Supply'!$A:$D,3)</f>
        <v/>
      </c>
      <c r="C616" s="65">
        <f>(Table30[[#This Row],[Real M2 Money Stock]]-B604)/B604</f>
        <v/>
      </c>
    </row>
    <row r="617">
      <c r="A617" s="23" t="n">
        <v>40148</v>
      </c>
      <c r="B617" s="25">
        <f>VLOOKUP(Table30[[#This Row],[Month]],'DB Money Supply'!$A:$D,3)</f>
        <v/>
      </c>
      <c r="C617" s="65">
        <f>(Table30[[#This Row],[Real M2 Money Stock]]-B605)/B605</f>
        <v/>
      </c>
    </row>
    <row r="618">
      <c r="A618" s="23" t="n">
        <v>40179</v>
      </c>
      <c r="B618" s="25">
        <f>VLOOKUP(Table30[[#This Row],[Month]],'DB Money Supply'!$A:$D,3)</f>
        <v/>
      </c>
      <c r="C618" s="65">
        <f>(Table30[[#This Row],[Real M2 Money Stock]]-B606)/B606</f>
        <v/>
      </c>
    </row>
    <row r="619">
      <c r="A619" s="23" t="n">
        <v>40210</v>
      </c>
      <c r="B619" s="25">
        <f>VLOOKUP(Table30[[#This Row],[Month]],'DB Money Supply'!$A:$D,3)</f>
        <v/>
      </c>
      <c r="C619" s="65">
        <f>(Table30[[#This Row],[Real M2 Money Stock]]-B607)/B607</f>
        <v/>
      </c>
    </row>
    <row r="620">
      <c r="A620" s="23" t="n">
        <v>40238</v>
      </c>
      <c r="B620" s="25">
        <f>VLOOKUP(Table30[[#This Row],[Month]],'DB Money Supply'!$A:$D,3)</f>
        <v/>
      </c>
      <c r="C620" s="65">
        <f>(Table30[[#This Row],[Real M2 Money Stock]]-B608)/B608</f>
        <v/>
      </c>
    </row>
    <row r="621">
      <c r="A621" s="23" t="n">
        <v>40269</v>
      </c>
      <c r="B621" s="25">
        <f>VLOOKUP(Table30[[#This Row],[Month]],'DB Money Supply'!$A:$D,3)</f>
        <v/>
      </c>
      <c r="C621" s="65">
        <f>(Table30[[#This Row],[Real M2 Money Stock]]-B609)/B609</f>
        <v/>
      </c>
    </row>
    <row r="622">
      <c r="A622" s="23" t="n">
        <v>40299</v>
      </c>
      <c r="B622" s="25">
        <f>VLOOKUP(Table30[[#This Row],[Month]],'DB Money Supply'!$A:$D,3)</f>
        <v/>
      </c>
      <c r="C622" s="65">
        <f>(Table30[[#This Row],[Real M2 Money Stock]]-B610)/B610</f>
        <v/>
      </c>
    </row>
    <row r="623">
      <c r="A623" s="23" t="n">
        <v>40330</v>
      </c>
      <c r="B623" s="25">
        <f>VLOOKUP(Table30[[#This Row],[Month]],'DB Money Supply'!$A:$D,3)</f>
        <v/>
      </c>
      <c r="C623" s="65">
        <f>(Table30[[#This Row],[Real M2 Money Stock]]-B611)/B611</f>
        <v/>
      </c>
    </row>
    <row r="624">
      <c r="A624" s="23" t="n">
        <v>40360</v>
      </c>
      <c r="B624" s="25">
        <f>VLOOKUP(Table30[[#This Row],[Month]],'DB Money Supply'!$A:$D,3)</f>
        <v/>
      </c>
      <c r="C624" s="65">
        <f>(Table30[[#This Row],[Real M2 Money Stock]]-B612)/B612</f>
        <v/>
      </c>
    </row>
    <row r="625">
      <c r="A625" s="23" t="n">
        <v>40391</v>
      </c>
      <c r="B625" s="25">
        <f>VLOOKUP(Table30[[#This Row],[Month]],'DB Money Supply'!$A:$D,3)</f>
        <v/>
      </c>
      <c r="C625" s="65">
        <f>(Table30[[#This Row],[Real M2 Money Stock]]-B613)/B613</f>
        <v/>
      </c>
    </row>
    <row r="626">
      <c r="A626" s="23" t="n">
        <v>40422</v>
      </c>
      <c r="B626" s="25">
        <f>VLOOKUP(Table30[[#This Row],[Month]],'DB Money Supply'!$A:$D,3)</f>
        <v/>
      </c>
      <c r="C626" s="65">
        <f>(Table30[[#This Row],[Real M2 Money Stock]]-B614)/B614</f>
        <v/>
      </c>
    </row>
    <row r="627">
      <c r="A627" s="23" t="n">
        <v>40452</v>
      </c>
      <c r="B627" s="25">
        <f>VLOOKUP(Table30[[#This Row],[Month]],'DB Money Supply'!$A:$D,3)</f>
        <v/>
      </c>
      <c r="C627" s="65">
        <f>(Table30[[#This Row],[Real M2 Money Stock]]-B615)/B615</f>
        <v/>
      </c>
    </row>
    <row r="628">
      <c r="A628" s="23" t="n">
        <v>40483</v>
      </c>
      <c r="B628" s="25">
        <f>VLOOKUP(Table30[[#This Row],[Month]],'DB Money Supply'!$A:$D,3)</f>
        <v/>
      </c>
      <c r="C628" s="65">
        <f>(Table30[[#This Row],[Real M2 Money Stock]]-B616)/B616</f>
        <v/>
      </c>
    </row>
    <row r="629">
      <c r="A629" s="23" t="n">
        <v>40513</v>
      </c>
      <c r="B629" s="25">
        <f>VLOOKUP(Table30[[#This Row],[Month]],'DB Money Supply'!$A:$D,3)</f>
        <v/>
      </c>
      <c r="C629" s="65">
        <f>(Table30[[#This Row],[Real M2 Money Stock]]-B617)/B617</f>
        <v/>
      </c>
    </row>
    <row r="630">
      <c r="A630" s="23" t="n">
        <v>40544</v>
      </c>
      <c r="B630" s="25">
        <f>VLOOKUP(Table30[[#This Row],[Month]],'DB Money Supply'!$A:$D,3)</f>
        <v/>
      </c>
      <c r="C630" s="65">
        <f>(Table30[[#This Row],[Real M2 Money Stock]]-B618)/B618</f>
        <v/>
      </c>
    </row>
    <row r="631">
      <c r="A631" s="23" t="n">
        <v>40575</v>
      </c>
      <c r="B631" s="25">
        <f>VLOOKUP(Table30[[#This Row],[Month]],'DB Money Supply'!$A:$D,3)</f>
        <v/>
      </c>
      <c r="C631" s="65">
        <f>(Table30[[#This Row],[Real M2 Money Stock]]-B619)/B619</f>
        <v/>
      </c>
    </row>
    <row r="632">
      <c r="A632" s="23" t="n">
        <v>40603</v>
      </c>
      <c r="B632" s="25">
        <f>VLOOKUP(Table30[[#This Row],[Month]],'DB Money Supply'!$A:$D,3)</f>
        <v/>
      </c>
      <c r="C632" s="65">
        <f>(Table30[[#This Row],[Real M2 Money Stock]]-B620)/B620</f>
        <v/>
      </c>
    </row>
    <row r="633">
      <c r="A633" s="23" t="n">
        <v>40634</v>
      </c>
      <c r="B633" s="25">
        <f>VLOOKUP(Table30[[#This Row],[Month]],'DB Money Supply'!$A:$D,3)</f>
        <v/>
      </c>
      <c r="C633" s="65">
        <f>(Table30[[#This Row],[Real M2 Money Stock]]-B621)/B621</f>
        <v/>
      </c>
    </row>
    <row r="634">
      <c r="A634" s="23" t="n">
        <v>40664</v>
      </c>
      <c r="B634" s="25">
        <f>VLOOKUP(Table30[[#This Row],[Month]],'DB Money Supply'!$A:$D,3)</f>
        <v/>
      </c>
      <c r="C634" s="65">
        <f>(Table30[[#This Row],[Real M2 Money Stock]]-B622)/B622</f>
        <v/>
      </c>
    </row>
    <row r="635">
      <c r="A635" s="23" t="n">
        <v>40695</v>
      </c>
      <c r="B635" s="25">
        <f>VLOOKUP(Table30[[#This Row],[Month]],'DB Money Supply'!$A:$D,3)</f>
        <v/>
      </c>
      <c r="C635" s="65">
        <f>(Table30[[#This Row],[Real M2 Money Stock]]-B623)/B623</f>
        <v/>
      </c>
    </row>
    <row r="636">
      <c r="A636" s="23" t="n">
        <v>40725</v>
      </c>
      <c r="B636" s="25">
        <f>VLOOKUP(Table30[[#This Row],[Month]],'DB Money Supply'!$A:$D,3)</f>
        <v/>
      </c>
      <c r="C636" s="65">
        <f>(Table30[[#This Row],[Real M2 Money Stock]]-B624)/B624</f>
        <v/>
      </c>
    </row>
    <row r="637">
      <c r="A637" s="23" t="n">
        <v>40756</v>
      </c>
      <c r="B637" s="25">
        <f>VLOOKUP(Table30[[#This Row],[Month]],'DB Money Supply'!$A:$D,3)</f>
        <v/>
      </c>
      <c r="C637" s="65">
        <f>(Table30[[#This Row],[Real M2 Money Stock]]-B625)/B625</f>
        <v/>
      </c>
    </row>
    <row r="638">
      <c r="A638" s="23" t="n">
        <v>40787</v>
      </c>
      <c r="B638" s="25">
        <f>VLOOKUP(Table30[[#This Row],[Month]],'DB Money Supply'!$A:$D,3)</f>
        <v/>
      </c>
      <c r="C638" s="65">
        <f>(Table30[[#This Row],[Real M2 Money Stock]]-B626)/B626</f>
        <v/>
      </c>
    </row>
    <row r="639">
      <c r="A639" s="23" t="n">
        <v>40817</v>
      </c>
      <c r="B639" s="25">
        <f>VLOOKUP(Table30[[#This Row],[Month]],'DB Money Supply'!$A:$D,3)</f>
        <v/>
      </c>
      <c r="C639" s="65">
        <f>(Table30[[#This Row],[Real M2 Money Stock]]-B627)/B627</f>
        <v/>
      </c>
    </row>
    <row r="640">
      <c r="A640" s="23" t="n">
        <v>40848</v>
      </c>
      <c r="B640" s="25">
        <f>VLOOKUP(Table30[[#This Row],[Month]],'DB Money Supply'!$A:$D,3)</f>
        <v/>
      </c>
      <c r="C640" s="65">
        <f>(Table30[[#This Row],[Real M2 Money Stock]]-B628)/B628</f>
        <v/>
      </c>
    </row>
    <row r="641">
      <c r="A641" s="23" t="n">
        <v>40878</v>
      </c>
      <c r="B641" s="25">
        <f>VLOOKUP(Table30[[#This Row],[Month]],'DB Money Supply'!$A:$D,3)</f>
        <v/>
      </c>
      <c r="C641" s="65">
        <f>(Table30[[#This Row],[Real M2 Money Stock]]-B629)/B629</f>
        <v/>
      </c>
    </row>
    <row r="642">
      <c r="A642" s="23" t="n">
        <v>40909</v>
      </c>
      <c r="B642" s="25">
        <f>VLOOKUP(Table30[[#This Row],[Month]],'DB Money Supply'!$A:$D,3)</f>
        <v/>
      </c>
      <c r="C642" s="65">
        <f>(Table30[[#This Row],[Real M2 Money Stock]]-B630)/B630</f>
        <v/>
      </c>
    </row>
    <row r="643">
      <c r="A643" s="23" t="n">
        <v>40940</v>
      </c>
      <c r="B643" s="25">
        <f>VLOOKUP(Table30[[#This Row],[Month]],'DB Money Supply'!$A:$D,3)</f>
        <v/>
      </c>
      <c r="C643" s="65">
        <f>(Table30[[#This Row],[Real M2 Money Stock]]-B631)/B631</f>
        <v/>
      </c>
    </row>
    <row r="644">
      <c r="A644" s="23" t="n">
        <v>40969</v>
      </c>
      <c r="B644" s="25">
        <f>VLOOKUP(Table30[[#This Row],[Month]],'DB Money Supply'!$A:$D,3)</f>
        <v/>
      </c>
      <c r="C644" s="65">
        <f>(Table30[[#This Row],[Real M2 Money Stock]]-B632)/B632</f>
        <v/>
      </c>
    </row>
    <row r="645">
      <c r="A645" s="23" t="n">
        <v>41000</v>
      </c>
      <c r="B645" s="25">
        <f>VLOOKUP(Table30[[#This Row],[Month]],'DB Money Supply'!$A:$D,3)</f>
        <v/>
      </c>
      <c r="C645" s="65">
        <f>(Table30[[#This Row],[Real M2 Money Stock]]-B633)/B633</f>
        <v/>
      </c>
    </row>
    <row r="646">
      <c r="A646" s="23" t="n">
        <v>41030</v>
      </c>
      <c r="B646" s="25">
        <f>VLOOKUP(Table30[[#This Row],[Month]],'DB Money Supply'!$A:$D,3)</f>
        <v/>
      </c>
      <c r="C646" s="65">
        <f>(Table30[[#This Row],[Real M2 Money Stock]]-B634)/B634</f>
        <v/>
      </c>
    </row>
    <row r="647">
      <c r="A647" s="23" t="n">
        <v>41061</v>
      </c>
      <c r="B647" s="25">
        <f>VLOOKUP(Table30[[#This Row],[Month]],'DB Money Supply'!$A:$D,3)</f>
        <v/>
      </c>
      <c r="C647" s="65">
        <f>(Table30[[#This Row],[Real M2 Money Stock]]-B635)/B635</f>
        <v/>
      </c>
    </row>
    <row r="648">
      <c r="A648" s="23" t="n">
        <v>41091</v>
      </c>
      <c r="B648" s="25">
        <f>VLOOKUP(Table30[[#This Row],[Month]],'DB Money Supply'!$A:$D,3)</f>
        <v/>
      </c>
      <c r="C648" s="65">
        <f>(Table30[[#This Row],[Real M2 Money Stock]]-B636)/B636</f>
        <v/>
      </c>
    </row>
    <row r="649">
      <c r="A649" s="23" t="n">
        <v>41122</v>
      </c>
      <c r="B649" s="25">
        <f>VLOOKUP(Table30[[#This Row],[Month]],'DB Money Supply'!$A:$D,3)</f>
        <v/>
      </c>
      <c r="C649" s="65">
        <f>(Table30[[#This Row],[Real M2 Money Stock]]-B637)/B637</f>
        <v/>
      </c>
    </row>
    <row r="650">
      <c r="A650" s="23" t="n">
        <v>41153</v>
      </c>
      <c r="B650" s="25">
        <f>VLOOKUP(Table30[[#This Row],[Month]],'DB Money Supply'!$A:$D,3)</f>
        <v/>
      </c>
      <c r="C650" s="65">
        <f>(Table30[[#This Row],[Real M2 Money Stock]]-B638)/B638</f>
        <v/>
      </c>
    </row>
    <row r="651">
      <c r="A651" s="23" t="n">
        <v>41183</v>
      </c>
      <c r="B651" s="25">
        <f>VLOOKUP(Table30[[#This Row],[Month]],'DB Money Supply'!$A:$D,3)</f>
        <v/>
      </c>
      <c r="C651" s="65">
        <f>(Table30[[#This Row],[Real M2 Money Stock]]-B639)/B639</f>
        <v/>
      </c>
    </row>
    <row r="652">
      <c r="A652" s="23" t="n">
        <v>41214</v>
      </c>
      <c r="B652" s="25">
        <f>VLOOKUP(Table30[[#This Row],[Month]],'DB Money Supply'!$A:$D,3)</f>
        <v/>
      </c>
      <c r="C652" s="65">
        <f>(Table30[[#This Row],[Real M2 Money Stock]]-B640)/B640</f>
        <v/>
      </c>
    </row>
    <row r="653">
      <c r="A653" s="23" t="n">
        <v>41244</v>
      </c>
      <c r="B653" s="25">
        <f>VLOOKUP(Table30[[#This Row],[Month]],'DB Money Supply'!$A:$D,3)</f>
        <v/>
      </c>
      <c r="C653" s="65">
        <f>(Table30[[#This Row],[Real M2 Money Stock]]-B641)/B641</f>
        <v/>
      </c>
    </row>
    <row r="654">
      <c r="A654" s="23" t="n">
        <v>41275</v>
      </c>
      <c r="B654" s="25">
        <f>VLOOKUP(Table30[[#This Row],[Month]],'DB Money Supply'!$A:$D,3)</f>
        <v/>
      </c>
      <c r="C654" s="65">
        <f>(Table30[[#This Row],[Real M2 Money Stock]]-B642)/B642</f>
        <v/>
      </c>
    </row>
    <row r="655">
      <c r="A655" s="23" t="n">
        <v>41306</v>
      </c>
      <c r="B655" s="25">
        <f>VLOOKUP(Table30[[#This Row],[Month]],'DB Money Supply'!$A:$D,3)</f>
        <v/>
      </c>
      <c r="C655" s="65">
        <f>(Table30[[#This Row],[Real M2 Money Stock]]-B643)/B643</f>
        <v/>
      </c>
    </row>
    <row r="656">
      <c r="A656" s="23" t="n">
        <v>41334</v>
      </c>
      <c r="B656" s="25">
        <f>VLOOKUP(Table30[[#This Row],[Month]],'DB Money Supply'!$A:$D,3)</f>
        <v/>
      </c>
      <c r="C656" s="65">
        <f>(Table30[[#This Row],[Real M2 Money Stock]]-B644)/B644</f>
        <v/>
      </c>
    </row>
    <row r="657">
      <c r="A657" s="23" t="n">
        <v>41365</v>
      </c>
      <c r="B657" s="25">
        <f>VLOOKUP(Table30[[#This Row],[Month]],'DB Money Supply'!$A:$D,3)</f>
        <v/>
      </c>
      <c r="C657" s="65">
        <f>(Table30[[#This Row],[Real M2 Money Stock]]-B645)/B645</f>
        <v/>
      </c>
    </row>
    <row r="658">
      <c r="A658" s="23" t="n">
        <v>41395</v>
      </c>
      <c r="B658" s="25">
        <f>VLOOKUP(Table30[[#This Row],[Month]],'DB Money Supply'!$A:$D,3)</f>
        <v/>
      </c>
      <c r="C658" s="65">
        <f>(Table30[[#This Row],[Real M2 Money Stock]]-B646)/B646</f>
        <v/>
      </c>
    </row>
    <row r="659">
      <c r="A659" s="23" t="n">
        <v>41426</v>
      </c>
      <c r="B659" s="25">
        <f>VLOOKUP(Table30[[#This Row],[Month]],'DB Money Supply'!$A:$D,3)</f>
        <v/>
      </c>
      <c r="C659" s="65">
        <f>(Table30[[#This Row],[Real M2 Money Stock]]-B647)/B647</f>
        <v/>
      </c>
    </row>
    <row r="660">
      <c r="A660" s="23" t="n">
        <v>41456</v>
      </c>
      <c r="B660" s="25">
        <f>VLOOKUP(Table30[[#This Row],[Month]],'DB Money Supply'!$A:$D,3)</f>
        <v/>
      </c>
      <c r="C660" s="65">
        <f>(Table30[[#This Row],[Real M2 Money Stock]]-B648)/B648</f>
        <v/>
      </c>
    </row>
    <row r="661">
      <c r="A661" s="23" t="n">
        <v>41487</v>
      </c>
      <c r="B661" s="25">
        <f>VLOOKUP(Table30[[#This Row],[Month]],'DB Money Supply'!$A:$D,3)</f>
        <v/>
      </c>
      <c r="C661" s="65">
        <f>(Table30[[#This Row],[Real M2 Money Stock]]-B649)/B649</f>
        <v/>
      </c>
    </row>
    <row r="662">
      <c r="A662" s="23" t="n">
        <v>41518</v>
      </c>
      <c r="B662" s="25">
        <f>VLOOKUP(Table30[[#This Row],[Month]],'DB Money Supply'!$A:$D,3)</f>
        <v/>
      </c>
      <c r="C662" s="65">
        <f>(Table30[[#This Row],[Real M2 Money Stock]]-B650)/B650</f>
        <v/>
      </c>
    </row>
    <row r="663">
      <c r="A663" s="23" t="n">
        <v>41548</v>
      </c>
      <c r="B663" s="25">
        <f>VLOOKUP(Table30[[#This Row],[Month]],'DB Money Supply'!$A:$D,3)</f>
        <v/>
      </c>
      <c r="C663" s="65">
        <f>(Table30[[#This Row],[Real M2 Money Stock]]-B651)/B651</f>
        <v/>
      </c>
    </row>
    <row r="664">
      <c r="A664" s="23" t="n">
        <v>41579</v>
      </c>
      <c r="B664" s="25">
        <f>VLOOKUP(Table30[[#This Row],[Month]],'DB Money Supply'!$A:$D,3)</f>
        <v/>
      </c>
      <c r="C664" s="65">
        <f>(Table30[[#This Row],[Real M2 Money Stock]]-B652)/B652</f>
        <v/>
      </c>
    </row>
    <row r="665">
      <c r="A665" s="23" t="n">
        <v>41609</v>
      </c>
      <c r="B665" s="25">
        <f>VLOOKUP(Table30[[#This Row],[Month]],'DB Money Supply'!$A:$D,3)</f>
        <v/>
      </c>
      <c r="C665" s="65">
        <f>(Table30[[#This Row],[Real M2 Money Stock]]-B653)/B653</f>
        <v/>
      </c>
    </row>
    <row r="666">
      <c r="A666" s="23" t="n">
        <v>41640</v>
      </c>
      <c r="B666" s="25">
        <f>VLOOKUP(Table30[[#This Row],[Month]],'DB Money Supply'!$A:$D,3)</f>
        <v/>
      </c>
      <c r="C666" s="65">
        <f>(Table30[[#This Row],[Real M2 Money Stock]]-B654)/B654</f>
        <v/>
      </c>
    </row>
    <row r="667">
      <c r="A667" s="23" t="n">
        <v>41671</v>
      </c>
      <c r="B667" s="25">
        <f>VLOOKUP(Table30[[#This Row],[Month]],'DB Money Supply'!$A:$D,3)</f>
        <v/>
      </c>
      <c r="C667" s="65">
        <f>(Table30[[#This Row],[Real M2 Money Stock]]-B655)/B655</f>
        <v/>
      </c>
    </row>
    <row r="668">
      <c r="A668" s="23" t="n">
        <v>41699</v>
      </c>
      <c r="B668" s="25">
        <f>VLOOKUP(Table30[[#This Row],[Month]],'DB Money Supply'!$A:$D,3)</f>
        <v/>
      </c>
      <c r="C668" s="65">
        <f>(Table30[[#This Row],[Real M2 Money Stock]]-B656)/B656</f>
        <v/>
      </c>
    </row>
    <row r="669">
      <c r="A669" s="23" t="n">
        <v>41730</v>
      </c>
      <c r="B669" s="25">
        <f>VLOOKUP(Table30[[#This Row],[Month]],'DB Money Supply'!$A:$D,3)</f>
        <v/>
      </c>
      <c r="C669" s="65">
        <f>(Table30[[#This Row],[Real M2 Money Stock]]-B657)/B657</f>
        <v/>
      </c>
    </row>
    <row r="670">
      <c r="A670" s="23" t="n">
        <v>41760</v>
      </c>
      <c r="B670" s="25">
        <f>VLOOKUP(Table30[[#This Row],[Month]],'DB Money Supply'!$A:$D,3)</f>
        <v/>
      </c>
      <c r="C670" s="65">
        <f>(Table30[[#This Row],[Real M2 Money Stock]]-B658)/B658</f>
        <v/>
      </c>
    </row>
    <row r="671">
      <c r="A671" s="23" t="n">
        <v>41791</v>
      </c>
      <c r="B671" s="25">
        <f>VLOOKUP(Table30[[#This Row],[Month]],'DB Money Supply'!$A:$D,3)</f>
        <v/>
      </c>
      <c r="C671" s="65">
        <f>(Table30[[#This Row],[Real M2 Money Stock]]-B659)/B659</f>
        <v/>
      </c>
    </row>
    <row r="672">
      <c r="A672" s="23" t="n">
        <v>41821</v>
      </c>
      <c r="B672" s="25">
        <f>VLOOKUP(Table30[[#This Row],[Month]],'DB Money Supply'!$A:$D,3)</f>
        <v/>
      </c>
      <c r="C672" s="65">
        <f>(Table30[[#This Row],[Real M2 Money Stock]]-B660)/B660</f>
        <v/>
      </c>
    </row>
    <row r="673">
      <c r="A673" s="23" t="n">
        <v>41852</v>
      </c>
      <c r="B673" s="25">
        <f>VLOOKUP(Table30[[#This Row],[Month]],'DB Money Supply'!$A:$D,3)</f>
        <v/>
      </c>
      <c r="C673" s="65">
        <f>(Table30[[#This Row],[Real M2 Money Stock]]-B661)/B661</f>
        <v/>
      </c>
    </row>
    <row r="674">
      <c r="A674" s="23" t="n">
        <v>41883</v>
      </c>
      <c r="B674" s="25">
        <f>VLOOKUP(Table30[[#This Row],[Month]],'DB Money Supply'!$A:$D,3)</f>
        <v/>
      </c>
      <c r="C674" s="65">
        <f>(Table30[[#This Row],[Real M2 Money Stock]]-B662)/B662</f>
        <v/>
      </c>
    </row>
    <row r="675">
      <c r="A675" s="23" t="n">
        <v>41913</v>
      </c>
      <c r="B675" s="25">
        <f>VLOOKUP(Table30[[#This Row],[Month]],'DB Money Supply'!$A:$D,3)</f>
        <v/>
      </c>
      <c r="C675" s="65">
        <f>(Table30[[#This Row],[Real M2 Money Stock]]-B663)/B663</f>
        <v/>
      </c>
    </row>
    <row r="676">
      <c r="A676" s="23" t="n">
        <v>41944</v>
      </c>
      <c r="B676" s="25">
        <f>VLOOKUP(Table30[[#This Row],[Month]],'DB Money Supply'!$A:$D,3)</f>
        <v/>
      </c>
      <c r="C676" s="65">
        <f>(Table30[[#This Row],[Real M2 Money Stock]]-B664)/B664</f>
        <v/>
      </c>
    </row>
    <row r="677">
      <c r="A677" s="23" t="n">
        <v>41974</v>
      </c>
      <c r="B677" s="25">
        <f>VLOOKUP(Table30[[#This Row],[Month]],'DB Money Supply'!$A:$D,3)</f>
        <v/>
      </c>
      <c r="C677" s="65">
        <f>(Table30[[#This Row],[Real M2 Money Stock]]-B665)/B665</f>
        <v/>
      </c>
    </row>
    <row r="678">
      <c r="A678" s="23" t="n">
        <v>42005</v>
      </c>
      <c r="B678" s="25">
        <f>VLOOKUP(Table30[[#This Row],[Month]],'DB Money Supply'!$A:$D,3)</f>
        <v/>
      </c>
      <c r="C678" s="65">
        <f>(Table30[[#This Row],[Real M2 Money Stock]]-B666)/B666</f>
        <v/>
      </c>
    </row>
    <row r="679">
      <c r="A679" s="23" t="n">
        <v>42036</v>
      </c>
      <c r="B679" s="25">
        <f>VLOOKUP(Table30[[#This Row],[Month]],'DB Money Supply'!$A:$D,3)</f>
        <v/>
      </c>
      <c r="C679" s="65">
        <f>(Table30[[#This Row],[Real M2 Money Stock]]-B667)/B667</f>
        <v/>
      </c>
    </row>
    <row r="680">
      <c r="A680" s="23" t="n">
        <v>42064</v>
      </c>
      <c r="B680" s="25">
        <f>VLOOKUP(Table30[[#This Row],[Month]],'DB Money Supply'!$A:$D,3)</f>
        <v/>
      </c>
      <c r="C680" s="65">
        <f>(Table30[[#This Row],[Real M2 Money Stock]]-B668)/B668</f>
        <v/>
      </c>
    </row>
    <row r="681">
      <c r="A681" s="23" t="n">
        <v>42095</v>
      </c>
      <c r="B681" s="25">
        <f>VLOOKUP(Table30[[#This Row],[Month]],'DB Money Supply'!$A:$D,3)</f>
        <v/>
      </c>
      <c r="C681" s="65">
        <f>(Table30[[#This Row],[Real M2 Money Stock]]-B669)/B669</f>
        <v/>
      </c>
    </row>
    <row r="682">
      <c r="A682" s="23" t="n">
        <v>42125</v>
      </c>
      <c r="B682" s="25">
        <f>VLOOKUP(Table30[[#This Row],[Month]],'DB Money Supply'!$A:$D,3)</f>
        <v/>
      </c>
      <c r="C682" s="65">
        <f>(Table30[[#This Row],[Real M2 Money Stock]]-B670)/B670</f>
        <v/>
      </c>
    </row>
    <row r="683">
      <c r="A683" s="23" t="n">
        <v>42156</v>
      </c>
      <c r="B683" s="25">
        <f>VLOOKUP(Table30[[#This Row],[Month]],'DB Money Supply'!$A:$D,3)</f>
        <v/>
      </c>
      <c r="C683" s="65">
        <f>(Table30[[#This Row],[Real M2 Money Stock]]-B671)/B671</f>
        <v/>
      </c>
    </row>
    <row r="684">
      <c r="A684" s="23" t="n">
        <v>42186</v>
      </c>
      <c r="B684" s="25">
        <f>VLOOKUP(Table30[[#This Row],[Month]],'DB Money Supply'!$A:$D,3)</f>
        <v/>
      </c>
      <c r="C684" s="65">
        <f>(Table30[[#This Row],[Real M2 Money Stock]]-B672)/B672</f>
        <v/>
      </c>
    </row>
    <row r="685">
      <c r="A685" s="23" t="n">
        <v>42217</v>
      </c>
      <c r="B685" s="25">
        <f>VLOOKUP(Table30[[#This Row],[Month]],'DB Money Supply'!$A:$D,3)</f>
        <v/>
      </c>
      <c r="C685" s="65">
        <f>(Table30[[#This Row],[Real M2 Money Stock]]-B673)/B673</f>
        <v/>
      </c>
    </row>
    <row r="686">
      <c r="A686" s="23" t="n">
        <v>42248</v>
      </c>
      <c r="B686" s="25">
        <f>VLOOKUP(Table30[[#This Row],[Month]],'DB Money Supply'!$A:$D,3)</f>
        <v/>
      </c>
      <c r="C686" s="65">
        <f>(Table30[[#This Row],[Real M2 Money Stock]]-B674)/B674</f>
        <v/>
      </c>
    </row>
    <row r="687">
      <c r="A687" s="23" t="n">
        <v>42278</v>
      </c>
      <c r="B687" s="25">
        <f>VLOOKUP(Table30[[#This Row],[Month]],'DB Money Supply'!$A:$D,3)</f>
        <v/>
      </c>
      <c r="C687" s="65">
        <f>(Table30[[#This Row],[Real M2 Money Stock]]-B675)/B675</f>
        <v/>
      </c>
    </row>
    <row r="688">
      <c r="A688" s="23" t="n">
        <v>42309</v>
      </c>
      <c r="B688" s="25">
        <f>VLOOKUP(Table30[[#This Row],[Month]],'DB Money Supply'!$A:$D,3)</f>
        <v/>
      </c>
      <c r="C688" s="65">
        <f>(Table30[[#This Row],[Real M2 Money Stock]]-B676)/B676</f>
        <v/>
      </c>
    </row>
    <row r="689">
      <c r="A689" s="23" t="n">
        <v>42339</v>
      </c>
      <c r="B689" s="25">
        <f>VLOOKUP(Table30[[#This Row],[Month]],'DB Money Supply'!$A:$D,3)</f>
        <v/>
      </c>
      <c r="C689" s="65">
        <f>(Table30[[#This Row],[Real M2 Money Stock]]-B677)/B677</f>
        <v/>
      </c>
    </row>
    <row r="690">
      <c r="A690" s="23" t="n">
        <v>42370</v>
      </c>
      <c r="B690" s="25">
        <f>VLOOKUP(Table30[[#This Row],[Month]],'DB Money Supply'!$A:$D,3)</f>
        <v/>
      </c>
      <c r="C690" s="65">
        <f>(Table30[[#This Row],[Real M2 Money Stock]]-B678)/B678</f>
        <v/>
      </c>
    </row>
    <row r="691">
      <c r="A691" s="23" t="n">
        <v>42401</v>
      </c>
      <c r="B691" s="25">
        <f>VLOOKUP(Table30[[#This Row],[Month]],'DB Money Supply'!$A:$D,3)</f>
        <v/>
      </c>
      <c r="C691" s="65">
        <f>(Table30[[#This Row],[Real M2 Money Stock]]-B679)/B679</f>
        <v/>
      </c>
    </row>
    <row r="692">
      <c r="A692" s="23" t="n">
        <v>42430</v>
      </c>
      <c r="B692" s="25">
        <f>VLOOKUP(Table30[[#This Row],[Month]],'DB Money Supply'!$A:$D,3)</f>
        <v/>
      </c>
      <c r="C692" s="65">
        <f>(Table30[[#This Row],[Real M2 Money Stock]]-B680)/B680</f>
        <v/>
      </c>
    </row>
    <row r="693">
      <c r="A693" s="23" t="n">
        <v>42461</v>
      </c>
      <c r="B693" s="25">
        <f>VLOOKUP(Table30[[#This Row],[Month]],'DB Money Supply'!$A:$D,3)</f>
        <v/>
      </c>
      <c r="C693" s="65">
        <f>(Table30[[#This Row],[Real M2 Money Stock]]-B681)/B681</f>
        <v/>
      </c>
    </row>
    <row r="694">
      <c r="A694" s="23" t="n">
        <v>42491</v>
      </c>
      <c r="B694" s="25">
        <f>VLOOKUP(Table30[[#This Row],[Month]],'DB Money Supply'!$A:$D,3)</f>
        <v/>
      </c>
      <c r="C694" s="65">
        <f>(Table30[[#This Row],[Real M2 Money Stock]]-B682)/B682</f>
        <v/>
      </c>
    </row>
    <row r="695">
      <c r="A695" s="23" t="n">
        <v>42522</v>
      </c>
      <c r="B695" s="25">
        <f>VLOOKUP(Table30[[#This Row],[Month]],'DB Money Supply'!$A:$D,3)</f>
        <v/>
      </c>
      <c r="C695" s="65">
        <f>(Table30[[#This Row],[Real M2 Money Stock]]-B683)/B683</f>
        <v/>
      </c>
    </row>
    <row r="696">
      <c r="A696" s="23" t="n">
        <v>42552</v>
      </c>
      <c r="B696" s="25">
        <f>VLOOKUP(Table30[[#This Row],[Month]],'DB Money Supply'!$A:$D,3)</f>
        <v/>
      </c>
      <c r="C696" s="65">
        <f>(Table30[[#This Row],[Real M2 Money Stock]]-B684)/B684</f>
        <v/>
      </c>
    </row>
    <row r="697">
      <c r="A697" s="23" t="n">
        <v>42583</v>
      </c>
      <c r="B697" s="25">
        <f>VLOOKUP(Table30[[#This Row],[Month]],'DB Money Supply'!$A:$D,3)</f>
        <v/>
      </c>
      <c r="C697" s="65">
        <f>(Table30[[#This Row],[Real M2 Money Stock]]-B685)/B685</f>
        <v/>
      </c>
    </row>
    <row r="698">
      <c r="A698" s="23" t="n">
        <v>42614</v>
      </c>
      <c r="B698" s="25">
        <f>VLOOKUP(Table30[[#This Row],[Month]],'DB Money Supply'!$A:$D,3)</f>
        <v/>
      </c>
      <c r="C698" s="65">
        <f>(Table30[[#This Row],[Real M2 Money Stock]]-B686)/B686</f>
        <v/>
      </c>
    </row>
    <row r="699">
      <c r="A699" s="23" t="n">
        <v>42644</v>
      </c>
      <c r="B699" s="25">
        <f>VLOOKUP(Table30[[#This Row],[Month]],'DB Money Supply'!$A:$D,3)</f>
        <v/>
      </c>
      <c r="C699" s="65">
        <f>(Table30[[#This Row],[Real M2 Money Stock]]-B687)/B687</f>
        <v/>
      </c>
    </row>
    <row r="700">
      <c r="A700" s="23" t="n">
        <v>42675</v>
      </c>
      <c r="B700" s="25">
        <f>VLOOKUP(Table30[[#This Row],[Month]],'DB Money Supply'!$A:$D,3)</f>
        <v/>
      </c>
      <c r="C700" s="65">
        <f>(Table30[[#This Row],[Real M2 Money Stock]]-B688)/B688</f>
        <v/>
      </c>
    </row>
    <row r="701">
      <c r="A701" s="23" t="n">
        <v>42705</v>
      </c>
      <c r="B701" s="25">
        <f>VLOOKUP(Table30[[#This Row],[Month]],'DB Money Supply'!$A:$D,3)</f>
        <v/>
      </c>
      <c r="C701" s="65">
        <f>(Table30[[#This Row],[Real M2 Money Stock]]-B689)/B689</f>
        <v/>
      </c>
    </row>
    <row r="702">
      <c r="A702" s="23" t="n">
        <v>42736</v>
      </c>
      <c r="B702" s="25">
        <f>VLOOKUP(Table30[[#This Row],[Month]],'DB Money Supply'!$A:$D,3)</f>
        <v/>
      </c>
      <c r="C702" s="65">
        <f>(Table30[[#This Row],[Real M2 Money Stock]]-B690)/B690</f>
        <v/>
      </c>
    </row>
    <row r="703">
      <c r="A703" s="23" t="n">
        <v>42767</v>
      </c>
      <c r="B703" s="25">
        <f>VLOOKUP(Table30[[#This Row],[Month]],'DB Money Supply'!$A:$D,3)</f>
        <v/>
      </c>
      <c r="C703" s="65">
        <f>(Table30[[#This Row],[Real M2 Money Stock]]-B691)/B691</f>
        <v/>
      </c>
    </row>
    <row r="704">
      <c r="A704" s="23" t="n">
        <v>42795</v>
      </c>
      <c r="B704" s="25">
        <f>VLOOKUP(Table30[[#This Row],[Month]],'DB Money Supply'!$A:$D,3)</f>
        <v/>
      </c>
      <c r="C704" s="65">
        <f>(Table30[[#This Row],[Real M2 Money Stock]]-B692)/B692</f>
        <v/>
      </c>
    </row>
    <row r="705">
      <c r="A705" s="23" t="n">
        <v>42826</v>
      </c>
      <c r="B705" s="25">
        <f>VLOOKUP(Table30[[#This Row],[Month]],'DB Money Supply'!$A:$D,3)</f>
        <v/>
      </c>
      <c r="C705" s="65">
        <f>(Table30[[#This Row],[Real M2 Money Stock]]-B693)/B693</f>
        <v/>
      </c>
    </row>
    <row r="706">
      <c r="A706" s="23" t="n">
        <v>42856</v>
      </c>
      <c r="B706" s="25">
        <f>VLOOKUP(Table30[[#This Row],[Month]],'DB Money Supply'!$A:$D,3)</f>
        <v/>
      </c>
      <c r="C706" s="65">
        <f>(Table30[[#This Row],[Real M2 Money Stock]]-B694)/B694</f>
        <v/>
      </c>
    </row>
    <row r="707">
      <c r="A707" s="23" t="n">
        <v>42887</v>
      </c>
      <c r="B707" s="25">
        <f>VLOOKUP(Table30[[#This Row],[Month]],'DB Money Supply'!$A:$D,3)</f>
        <v/>
      </c>
      <c r="C707" s="65">
        <f>(Table30[[#This Row],[Real M2 Money Stock]]-B695)/B695</f>
        <v/>
      </c>
    </row>
    <row r="708">
      <c r="A708" s="23" t="n">
        <v>42917</v>
      </c>
      <c r="B708" s="25">
        <f>VLOOKUP(Table30[[#This Row],[Month]],'DB Money Supply'!$A:$D,3)</f>
        <v/>
      </c>
      <c r="C708" s="65">
        <f>(Table30[[#This Row],[Real M2 Money Stock]]-B696)/B696</f>
        <v/>
      </c>
    </row>
    <row r="709">
      <c r="A709" s="23" t="n">
        <v>42948</v>
      </c>
      <c r="B709" s="25">
        <f>VLOOKUP(Table30[[#This Row],[Month]],'DB Money Supply'!$A:$D,3)</f>
        <v/>
      </c>
      <c r="C709" s="65">
        <f>(Table30[[#This Row],[Real M2 Money Stock]]-B697)/B697</f>
        <v/>
      </c>
    </row>
    <row r="710">
      <c r="A710" s="23" t="n">
        <v>42979</v>
      </c>
      <c r="B710" s="25">
        <f>VLOOKUP(Table30[[#This Row],[Month]],'DB Money Supply'!$A:$D,3)</f>
        <v/>
      </c>
      <c r="C710" s="65">
        <f>(Table30[[#This Row],[Real M2 Money Stock]]-B698)/B698</f>
        <v/>
      </c>
    </row>
    <row r="711">
      <c r="A711" s="23" t="n">
        <v>43009</v>
      </c>
      <c r="B711" s="25">
        <f>VLOOKUP(Table30[[#This Row],[Month]],'DB Money Supply'!$A:$D,3)</f>
        <v/>
      </c>
      <c r="C711" s="65">
        <f>(Table30[[#This Row],[Real M2 Money Stock]]-B699)/B699</f>
        <v/>
      </c>
    </row>
    <row r="712">
      <c r="A712" s="23" t="n">
        <v>43040</v>
      </c>
      <c r="B712" s="25">
        <f>VLOOKUP(Table30[[#This Row],[Month]],'DB Money Supply'!$A:$D,3)</f>
        <v/>
      </c>
      <c r="C712" s="65">
        <f>(Table30[[#This Row],[Real M2 Money Stock]]-B700)/B700</f>
        <v/>
      </c>
    </row>
    <row r="713">
      <c r="A713" s="23" t="n">
        <v>43070</v>
      </c>
      <c r="B713" s="25">
        <f>VLOOKUP(Table30[[#This Row],[Month]],'DB Money Supply'!$A:$D,3)</f>
        <v/>
      </c>
      <c r="C713" s="65">
        <f>(Table30[[#This Row],[Real M2 Money Stock]]-B701)/B701</f>
        <v/>
      </c>
    </row>
    <row r="714">
      <c r="A714" s="23" t="n">
        <v>43101</v>
      </c>
      <c r="B714" s="25">
        <f>VLOOKUP(Table30[[#This Row],[Month]],'DB Money Supply'!$A:$D,3)</f>
        <v/>
      </c>
      <c r="C714" s="65">
        <f>(Table30[[#This Row],[Real M2 Money Stock]]-B702)/B702</f>
        <v/>
      </c>
    </row>
    <row r="715">
      <c r="A715" s="23" t="n">
        <v>43132</v>
      </c>
      <c r="B715" s="25">
        <f>VLOOKUP(Table30[[#This Row],[Month]],'DB Money Supply'!$A:$D,3)</f>
        <v/>
      </c>
      <c r="C715" s="65">
        <f>(Table30[[#This Row],[Real M2 Money Stock]]-B703)/B703</f>
        <v/>
      </c>
    </row>
    <row r="716">
      <c r="A716" s="23" t="n">
        <v>43160</v>
      </c>
      <c r="B716" s="25">
        <f>VLOOKUP(Table30[[#This Row],[Month]],'DB Money Supply'!$A:$D,3)</f>
        <v/>
      </c>
      <c r="C716" s="65">
        <f>(Table30[[#This Row],[Real M2 Money Stock]]-B704)/B704</f>
        <v/>
      </c>
    </row>
    <row r="717">
      <c r="A717" s="23" t="n">
        <v>43191</v>
      </c>
      <c r="B717" s="25">
        <f>VLOOKUP(Table30[[#This Row],[Month]],'DB Money Supply'!$A:$D,3)</f>
        <v/>
      </c>
      <c r="C717" s="65">
        <f>(Table30[[#This Row],[Real M2 Money Stock]]-B705)/B705</f>
        <v/>
      </c>
    </row>
    <row r="718">
      <c r="A718" s="23" t="n">
        <v>43221</v>
      </c>
      <c r="B718" s="25">
        <f>VLOOKUP(Table30[[#This Row],[Month]],'DB Money Supply'!$A:$D,3)</f>
        <v/>
      </c>
      <c r="C718" s="65">
        <f>(Table30[[#This Row],[Real M2 Money Stock]]-B706)/B706</f>
        <v/>
      </c>
    </row>
    <row r="719">
      <c r="A719" s="23" t="n">
        <v>43252</v>
      </c>
      <c r="B719" s="25">
        <f>VLOOKUP(Table30[[#This Row],[Month]],'DB Money Supply'!$A:$D,3)</f>
        <v/>
      </c>
      <c r="C719" s="65">
        <f>(Table30[[#This Row],[Real M2 Money Stock]]-B707)/B707</f>
        <v/>
      </c>
    </row>
    <row r="720">
      <c r="A720" s="23" t="n">
        <v>43282</v>
      </c>
      <c r="B720" s="25">
        <f>VLOOKUP(Table30[[#This Row],[Month]],'DB Money Supply'!$A:$D,3)</f>
        <v/>
      </c>
      <c r="C720" s="65">
        <f>(Table30[[#This Row],[Real M2 Money Stock]]-B708)/B708</f>
        <v/>
      </c>
    </row>
    <row r="721">
      <c r="A721" s="23" t="n">
        <v>43313</v>
      </c>
      <c r="B721" s="25">
        <f>VLOOKUP(Table30[[#This Row],[Month]],'DB Money Supply'!$A:$D,3)</f>
        <v/>
      </c>
      <c r="C721" s="65">
        <f>(Table30[[#This Row],[Real M2 Money Stock]]-B709)/B709</f>
        <v/>
      </c>
    </row>
    <row r="722">
      <c r="A722" s="23" t="n">
        <v>43344</v>
      </c>
      <c r="B722" s="25">
        <f>VLOOKUP(Table30[[#This Row],[Month]],'DB Money Supply'!$A:$D,3)</f>
        <v/>
      </c>
      <c r="C722" s="65">
        <f>(Table30[[#This Row],[Real M2 Money Stock]]-B710)/B710</f>
        <v/>
      </c>
    </row>
    <row r="723">
      <c r="A723" s="23" t="n">
        <v>43374</v>
      </c>
      <c r="B723" s="25">
        <f>VLOOKUP(Table30[[#This Row],[Month]],'DB Money Supply'!$A:$D,3)</f>
        <v/>
      </c>
      <c r="C723" s="65">
        <f>(Table30[[#This Row],[Real M2 Money Stock]]-B711)/B711</f>
        <v/>
      </c>
    </row>
    <row r="724">
      <c r="A724" s="23" t="n">
        <v>43405</v>
      </c>
      <c r="B724" s="25">
        <f>VLOOKUP(Table30[[#This Row],[Month]],'DB Money Supply'!$A:$D,3)</f>
        <v/>
      </c>
      <c r="C724" s="65">
        <f>(Table30[[#This Row],[Real M2 Money Stock]]-B712)/B712</f>
        <v/>
      </c>
    </row>
    <row r="725">
      <c r="A725" s="23" t="n">
        <v>43435</v>
      </c>
      <c r="B725" s="25">
        <f>VLOOKUP(Table30[[#This Row],[Month]],'DB Money Supply'!$A:$D,3)</f>
        <v/>
      </c>
      <c r="C725" s="65">
        <f>(Table30[[#This Row],[Real M2 Money Stock]]-B713)/B713</f>
        <v/>
      </c>
    </row>
    <row r="726">
      <c r="A726" s="23" t="n">
        <v>43466</v>
      </c>
      <c r="B726" s="25">
        <f>VLOOKUP(Table30[[#This Row],[Month]],'DB Money Supply'!$A:$D,3)</f>
        <v/>
      </c>
      <c r="C726" s="65">
        <f>(Table30[[#This Row],[Real M2 Money Stock]]-B714)/B714</f>
        <v/>
      </c>
    </row>
    <row r="727">
      <c r="A727" s="23" t="n">
        <v>43497</v>
      </c>
      <c r="B727" s="25">
        <f>VLOOKUP(Table30[[#This Row],[Month]],'DB Money Supply'!$A:$D,3)</f>
        <v/>
      </c>
      <c r="C727" s="65">
        <f>(Table30[[#This Row],[Real M2 Money Stock]]-B715)/B715</f>
        <v/>
      </c>
    </row>
    <row r="728">
      <c r="A728" s="23" t="n">
        <v>43525</v>
      </c>
      <c r="B728" s="25">
        <f>VLOOKUP(Table30[[#This Row],[Month]],'DB Money Supply'!$A:$D,3)</f>
        <v/>
      </c>
      <c r="C728" s="65">
        <f>(Table30[[#This Row],[Real M2 Money Stock]]-B716)/B716</f>
        <v/>
      </c>
    </row>
    <row r="729">
      <c r="A729" s="23" t="n">
        <v>43556</v>
      </c>
      <c r="B729" s="25">
        <f>VLOOKUP(Table30[[#This Row],[Month]],'DB Money Supply'!$A:$D,3)</f>
        <v/>
      </c>
      <c r="C729" s="65">
        <f>(Table30[[#This Row],[Real M2 Money Stock]]-B717)/B717</f>
        <v/>
      </c>
    </row>
    <row r="730">
      <c r="A730" s="29" t="n">
        <v>43586</v>
      </c>
      <c r="B730" s="25">
        <f>VLOOKUP(Table30[[#This Row],[Month]],'DB Money Supply'!$A:$D,3)</f>
        <v/>
      </c>
      <c r="C730" s="28">
        <f>(Table30[[#This Row],[Real M2 Money Stock]]-B718)/B718</f>
        <v/>
      </c>
    </row>
    <row r="731">
      <c r="A731" s="23" t="n">
        <v>43617</v>
      </c>
      <c r="B731" s="25">
        <f>VLOOKUP(Table30[[#This Row],[Month]],'DB Money Supply'!$A:$D,3)</f>
        <v/>
      </c>
      <c r="C731" s="65">
        <f>(Table30[[#This Row],[Real M2 Money Stock]]-B719)/B719</f>
        <v/>
      </c>
    </row>
    <row r="732">
      <c r="A732" s="23" t="n">
        <v>43647</v>
      </c>
      <c r="B732" s="25">
        <f>VLOOKUP(Table30[[#This Row],[Month]],'DB Money Supply'!$A:$D,3)</f>
        <v/>
      </c>
      <c r="C732" s="28">
        <f>(Table30[[#This Row],[Real M2 Money Stock]]-B720)/B720</f>
        <v/>
      </c>
    </row>
    <row r="733">
      <c r="A733" s="23" t="n">
        <v>43678</v>
      </c>
      <c r="B733" s="25">
        <f>VLOOKUP(Table30[[#This Row],[Month]],'DB Money Supply'!$A:$D,3)</f>
        <v/>
      </c>
      <c r="C733" s="65">
        <f>(Table30[[#This Row],[Real M2 Money Stock]]-B721)/B721</f>
        <v/>
      </c>
    </row>
    <row r="734">
      <c r="A734" s="23" t="n">
        <v>43709</v>
      </c>
      <c r="B734" s="25">
        <f>VLOOKUP(Table30[[#This Row],[Month]],'DB Money Supply'!$A:$D,3)</f>
        <v/>
      </c>
      <c r="C734" s="65">
        <f>(Table30[[#This Row],[Real M2 Money Stock]]-B722)/B722</f>
        <v/>
      </c>
    </row>
    <row r="735">
      <c r="A735" s="23" t="n">
        <v>43739</v>
      </c>
      <c r="B735" s="25">
        <f>VLOOKUP(Table30[[#This Row],[Month]],'DB Money Supply'!$A:$D,3)</f>
        <v/>
      </c>
      <c r="C735" s="65">
        <f>(Table30[[#This Row],[Real M2 Money Stock]]-B723)/B723</f>
        <v/>
      </c>
    </row>
    <row r="736">
      <c r="A736" s="23" t="n">
        <v>43770</v>
      </c>
      <c r="B736" s="25">
        <f>VLOOKUP(Table30[[#This Row],[Month]],'DB Money Supply'!$A:$D,3)</f>
        <v/>
      </c>
      <c r="C736" s="65">
        <f>(Table30[[#This Row],[Real M2 Money Stock]]-B724)/B724</f>
        <v/>
      </c>
    </row>
    <row r="737">
      <c r="A737" s="23" t="n">
        <v>43800</v>
      </c>
      <c r="B737" s="25">
        <f>VLOOKUP(Table30[[#This Row],[Month]],'DB Money Supply'!$A:$D,3)</f>
        <v/>
      </c>
      <c r="C737" s="65">
        <f>(Table30[[#This Row],[Real M2 Money Stock]]-B725)/B725</f>
        <v/>
      </c>
    </row>
    <row r="738">
      <c r="A738" s="23" t="n">
        <v>43831</v>
      </c>
      <c r="B738" s="25">
        <f>VLOOKUP(Table30[[#This Row],[Month]],'DB Money Supply'!$A:$D,3)</f>
        <v/>
      </c>
      <c r="C738" s="65">
        <f>(Table30[[#This Row],[Real M2 Money Stock]]-B726)/B726</f>
        <v/>
      </c>
    </row>
    <row r="739">
      <c r="A739" s="23" t="n">
        <v>43862</v>
      </c>
      <c r="B739" s="25">
        <f>VLOOKUP(Table30[[#This Row],[Month]],'DB Money Supply'!$A:$D,3)</f>
        <v/>
      </c>
      <c r="C739" s="65">
        <f>(Table30[[#This Row],[Real M2 Money Stock]]-B727)/B727</f>
        <v/>
      </c>
    </row>
    <row r="740">
      <c r="A740" s="23" t="n">
        <v>43891</v>
      </c>
      <c r="B740" s="25">
        <f>VLOOKUP(Table30[[#This Row],[Month]],'DB Money Supply'!$A:$D,3)</f>
        <v/>
      </c>
      <c r="C740" s="65">
        <f>(Table30[[#This Row],[Real M2 Money Stock]]-B728)/B728</f>
        <v/>
      </c>
    </row>
    <row r="741">
      <c r="A741" s="23" t="n">
        <v>43922</v>
      </c>
      <c r="B741" s="25">
        <f>VLOOKUP(Table30[[#This Row],[Month]],'DB Money Supply'!$A:$D,3)</f>
        <v/>
      </c>
      <c r="C741" s="65">
        <f>(Table30[[#This Row],[Real M2 Money Stock]]-B729)/B729</f>
        <v/>
      </c>
    </row>
    <row r="742">
      <c r="A742" s="23" t="n">
        <v>43952</v>
      </c>
      <c r="B742" s="25">
        <f>VLOOKUP(Table30[[#This Row],[Month]],'DB Money Supply'!$A:$D,3)</f>
        <v/>
      </c>
      <c r="C742" s="65">
        <f>(Table30[[#This Row],[Real M2 Money Stock]]-B730)/B730</f>
        <v/>
      </c>
    </row>
    <row r="743">
      <c r="A743" s="23" t="n">
        <v>43983</v>
      </c>
      <c r="B743" s="25">
        <f>VLOOKUP(Table30[[#This Row],[Month]],'DB Money Supply'!$A:$D,3)</f>
        <v/>
      </c>
      <c r="C743" s="65">
        <f>(Table30[[#This Row],[Real M2 Money Stock]]-B731)/B731</f>
        <v/>
      </c>
    </row>
    <row r="744">
      <c r="A744" s="23" t="n">
        <v>44013</v>
      </c>
      <c r="B744" s="25">
        <f>VLOOKUP(Table30[[#This Row],[Month]],'DB Money Supply'!$A:$D,3)</f>
        <v/>
      </c>
      <c r="C744" s="65">
        <f>(Table30[[#This Row],[Real M2 Money Stock]]-B732)/B732</f>
        <v/>
      </c>
    </row>
    <row r="745">
      <c r="A745" s="29" t="n">
        <v>44044</v>
      </c>
      <c r="B745" s="25">
        <f>VLOOKUP(Table30[[#This Row],[Month]],'DB Money Supply'!$A:$D,3)</f>
        <v/>
      </c>
      <c r="C745" s="28">
        <f>(Table30[[#This Row],[Real M2 Money Stock]]-B733)/B733</f>
        <v/>
      </c>
    </row>
    <row r="746">
      <c r="A746" s="23" t="n">
        <v>44075</v>
      </c>
      <c r="B746" s="25">
        <f>VLOOKUP(Table30[[#This Row],[Month]],'DB Money Supply'!$A:$D,3)</f>
        <v/>
      </c>
      <c r="C746" s="65">
        <f>(Table30[[#This Row],[Real M2 Money Stock]]-B734)/B734</f>
        <v/>
      </c>
    </row>
    <row r="747">
      <c r="A747" s="23" t="n">
        <v>44105</v>
      </c>
      <c r="B747" s="25">
        <f>VLOOKUP(Table30[[#This Row],[Month]],'DB Money Supply'!$A:$D,3)</f>
        <v/>
      </c>
      <c r="C747" s="28">
        <f>(Table30[[#This Row],[Real M2 Money Stock]]-B735)/B735</f>
        <v/>
      </c>
    </row>
    <row r="748">
      <c r="A748" s="23" t="n">
        <v>44136</v>
      </c>
      <c r="B748" s="25">
        <f>VLOOKUP(Table30[[#This Row],[Month]],'DB Money Supply'!$A:$D,3)</f>
        <v/>
      </c>
      <c r="C748" s="65">
        <f>(Table30[[#This Row],[Real M2 Money Stock]]-B736)/B736</f>
        <v/>
      </c>
    </row>
    <row r="749">
      <c r="A749" s="23" t="n">
        <v>44166</v>
      </c>
      <c r="B749" s="25">
        <f>VLOOKUP(Table30[[#This Row],[Month]],'DB Money Supply'!$A:$D,3)</f>
        <v/>
      </c>
      <c r="C749" s="65">
        <f>(Table30[[#This Row],[Real M2 Money Stock]]-B737)/B737</f>
        <v/>
      </c>
    </row>
    <row r="750">
      <c r="A750" s="23" t="n">
        <v>44197</v>
      </c>
      <c r="B750" s="25">
        <f>VLOOKUP(Table30[[#This Row],[Month]],'DB Money Supply'!$A:$D,3)</f>
        <v/>
      </c>
      <c r="C750" s="65">
        <f>(Table30[[#This Row],[Real M2 Money Stock]]-B738)/B738</f>
        <v/>
      </c>
    </row>
    <row r="751">
      <c r="A751" s="23" t="n">
        <v>44228</v>
      </c>
      <c r="B751" s="25">
        <f>VLOOKUP(Table30[[#This Row],[Month]],'DB Money Supply'!$A:$D,3)</f>
        <v/>
      </c>
      <c r="C751" s="65">
        <f>(Table30[[#This Row],[Real M2 Money Stock]]-B739)/B739</f>
        <v/>
      </c>
    </row>
    <row r="752">
      <c r="A752" s="23" t="n">
        <v>44256</v>
      </c>
      <c r="B752" s="25">
        <f>VLOOKUP(Table30[[#This Row],[Month]],'DB Money Supply'!$A:$D,3)</f>
        <v/>
      </c>
      <c r="C752" s="65">
        <f>(Table30[[#This Row],[Real M2 Money Stock]]-B740)/B740</f>
        <v/>
      </c>
    </row>
    <row r="753">
      <c r="A753" s="23" t="n">
        <v>44287</v>
      </c>
      <c r="B753" s="25">
        <f>VLOOKUP(Table30[[#This Row],[Month]],'DB Money Supply'!$A:$D,3)</f>
        <v/>
      </c>
      <c r="C753" s="65">
        <f>(Table30[[#This Row],[Real M2 Money Stock]]-B741)/B741</f>
        <v/>
      </c>
    </row>
    <row r="754">
      <c r="A754" s="23" t="n">
        <v>44317</v>
      </c>
      <c r="B754" s="25">
        <f>VLOOKUP(Table30[[#This Row],[Month]],'DB Money Supply'!$A:$D,3)</f>
        <v/>
      </c>
      <c r="C754" s="65">
        <f>(Table30[[#This Row],[Real M2 Money Stock]]-B742)/B742</f>
        <v/>
      </c>
    </row>
    <row r="755">
      <c r="A755" s="29" t="n">
        <v>44348</v>
      </c>
      <c r="B755" s="25">
        <f>VLOOKUP(Table30[[#This Row],[Month]],'DB Money Supply'!$A:$D,3)</f>
        <v/>
      </c>
      <c r="C755" s="28">
        <f>(Table30[[#This Row],[Real M2 Money Stock]]-B743)/B743</f>
        <v/>
      </c>
    </row>
    <row r="756">
      <c r="A756" s="23" t="n">
        <v>44378</v>
      </c>
      <c r="B756" s="25">
        <f>VLOOKUP(Table30[[#This Row],[Month]],'DB Money Supply'!$A:$D,3)</f>
        <v/>
      </c>
      <c r="C756" s="65">
        <f>(Table30[[#This Row],[Real M2 Money Stock]]-B744)/B744</f>
        <v/>
      </c>
    </row>
    <row r="757">
      <c r="A757" s="23" t="n">
        <v>44409</v>
      </c>
      <c r="B757" s="25">
        <f>VLOOKUP(Table30[[#This Row],[Month]],'DB Money Supply'!$A:$D,3)</f>
        <v/>
      </c>
      <c r="C757" s="28">
        <f>(Table30[[#This Row],[Real M2 Money Stock]]-B745)/B745</f>
        <v/>
      </c>
    </row>
    <row r="758">
      <c r="A758" s="23" t="n">
        <v>44440</v>
      </c>
      <c r="B758" s="25">
        <f>VLOOKUP(Table30[[#This Row],[Month]],'DB Money Supply'!$A:$D,3)</f>
        <v/>
      </c>
      <c r="C758" s="65">
        <f>(Table30[[#This Row],[Real M2 Money Stock]]-B746)/B746</f>
        <v/>
      </c>
    </row>
    <row r="759">
      <c r="A759" s="23" t="n">
        <v>44470</v>
      </c>
      <c r="B759" s="25">
        <f>VLOOKUP(Table30[[#This Row],[Month]],'DB Money Supply'!$A:$D,3)</f>
        <v/>
      </c>
      <c r="C759" s="65">
        <f>(Table30[[#This Row],[Real M2 Money Stock]]-B747)/B747</f>
        <v/>
      </c>
    </row>
    <row r="760">
      <c r="A760" s="23" t="n">
        <v>44501</v>
      </c>
      <c r="B760" s="25">
        <f>VLOOKUP(Table30[[#This Row],[Month]],'DB Money Supply'!$A:$D,3)</f>
        <v/>
      </c>
      <c r="C760" s="65">
        <f>(Table30[[#This Row],[Real M2 Money Stock]]-B748)/B748</f>
        <v/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81" activePane="bottomLeft" state="frozen"/>
      <selection pane="bottomLeft" activeCell="R2393" sqref="R2393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83" min="4" max="4"/>
    <col width="9.1640625" customWidth="1" style="83" min="5" max="8"/>
    <col width="9.1640625" customWidth="1" style="83" min="9" max="16384"/>
  </cols>
  <sheetData>
    <row r="1">
      <c r="A1" s="92" t="inlineStr">
        <is>
          <t>https://fred.stlouisfed.org/series/M1</t>
        </is>
      </c>
    </row>
    <row r="3">
      <c r="H3" s="17" t="n"/>
    </row>
    <row r="4" ht="16" customHeight="1" s="77" thickBot="1">
      <c r="H4" s="17" t="n"/>
    </row>
    <row r="5" ht="39.75" customHeight="1" s="77">
      <c r="A5" s="50" t="inlineStr">
        <is>
          <t>Date</t>
        </is>
      </c>
      <c r="B5" s="56" t="inlineStr">
        <is>
          <t>M1 Money Stock, Billions of Dollars, Weekly, Seasonally Adjusted</t>
        </is>
      </c>
      <c r="C5" s="51" t="inlineStr">
        <is>
          <t>Weekly change</t>
        </is>
      </c>
      <c r="D5" s="51" t="inlineStr">
        <is>
          <t>Annualized Change</t>
        </is>
      </c>
      <c r="E5" s="51" t="inlineStr">
        <is>
          <t>4 weeks average</t>
        </is>
      </c>
      <c r="F5" s="52" t="inlineStr">
        <is>
          <t>% YoY change</t>
        </is>
      </c>
    </row>
    <row r="6">
      <c r="A6" s="23" t="n">
        <v>27400</v>
      </c>
      <c r="B6" s="25">
        <f>VLOOKUP(Table2634[[#This Row],[Date]],'DB Money Supply'!$A:$D,4)</f>
        <v/>
      </c>
      <c r="C6" s="30" t="n"/>
      <c r="D6" s="30" t="n"/>
      <c r="E6" s="25" t="n"/>
      <c r="F6" s="30" t="n"/>
    </row>
    <row r="7">
      <c r="A7" s="23" t="n">
        <v>27407</v>
      </c>
      <c r="B7" s="25">
        <f>VLOOKUP(Table2634[[#This Row],[Date]],'DB Money Supply'!$A:$D,4)</f>
        <v/>
      </c>
      <c r="C7" s="31">
        <f>(Table2634[[#This Row],[M1 Money Stock, Billions of Dollars, Weekly, Seasonally Adjusted]]-B6)/B6</f>
        <v/>
      </c>
      <c r="D7" s="35">
        <f>((1+Table2634[[#This Row],[Weekly change]])^52)-1</f>
        <v/>
      </c>
      <c r="E7" s="25" t="n"/>
      <c r="F7" s="30" t="n"/>
    </row>
    <row r="8">
      <c r="A8" s="23" t="n">
        <v>27414</v>
      </c>
      <c r="B8" s="25">
        <f>VLOOKUP(Table2634[[#This Row],[Date]],'DB Money Supply'!$A:$D,4)</f>
        <v/>
      </c>
      <c r="C8" s="31">
        <f>(Table2634[[#This Row],[M1 Money Stock, Billions of Dollars, Weekly, Seasonally Adjusted]]-B7)/B7</f>
        <v/>
      </c>
      <c r="D8" s="35">
        <f>((1+Table2634[[#This Row],[Weekly change]])^52)-1</f>
        <v/>
      </c>
      <c r="E8" s="25" t="n"/>
      <c r="F8" s="30" t="n"/>
    </row>
    <row r="9">
      <c r="A9" s="23" t="n">
        <v>27421</v>
      </c>
      <c r="B9" s="25">
        <f>VLOOKUP(Table2634[[#This Row],[Date]],'DB Money Supply'!$A:$D,4)</f>
        <v/>
      </c>
      <c r="C9" s="31">
        <f>(Table2634[[#This Row],[M1 Money Stock, Billions of Dollars, Weekly, Seasonally Adjusted]]-B8)/B8</f>
        <v/>
      </c>
      <c r="D9" s="35">
        <f>((1+Table2634[[#This Row],[Weekly change]])^52)-1</f>
        <v/>
      </c>
      <c r="E9" s="25">
        <f>AVERAGE(B6:B9)</f>
        <v/>
      </c>
      <c r="F9" s="30" t="n"/>
    </row>
    <row r="10">
      <c r="A10" s="23" t="n">
        <v>27428</v>
      </c>
      <c r="B10" s="25">
        <f>VLOOKUP(Table2634[[#This Row],[Date]],'DB Money Supply'!$A:$D,4)</f>
        <v/>
      </c>
      <c r="C10" s="31">
        <f>(Table2634[[#This Row],[M1 Money Stock, Billions of Dollars, Weekly, Seasonally Adjusted]]-B9)/B9</f>
        <v/>
      </c>
      <c r="D10" s="35">
        <f>((1+Table2634[[#This Row],[Weekly change]])^52)-1</f>
        <v/>
      </c>
      <c r="E10" s="25">
        <f>AVERAGE(B7:B10)</f>
        <v/>
      </c>
      <c r="F10" s="30" t="n"/>
    </row>
    <row r="11">
      <c r="A11" s="23" t="n">
        <v>27435</v>
      </c>
      <c r="B11" s="25">
        <f>VLOOKUP(Table2634[[#This Row],[Date]],'DB Money Supply'!$A:$D,4)</f>
        <v/>
      </c>
      <c r="C11" s="31">
        <f>(Table2634[[#This Row],[M1 Money Stock, Billions of Dollars, Weekly, Seasonally Adjusted]]-B10)/B10</f>
        <v/>
      </c>
      <c r="D11" s="35">
        <f>((1+Table2634[[#This Row],[Weekly change]])^52)-1</f>
        <v/>
      </c>
      <c r="E11" s="25">
        <f>AVERAGE(B8:B11)</f>
        <v/>
      </c>
      <c r="F11" s="30" t="n"/>
    </row>
    <row r="12">
      <c r="A12" s="23" t="n">
        <v>27442</v>
      </c>
      <c r="B12" s="25">
        <f>VLOOKUP(Table2634[[#This Row],[Date]],'DB Money Supply'!$A:$D,4)</f>
        <v/>
      </c>
      <c r="C12" s="31">
        <f>(Table2634[[#This Row],[M1 Money Stock, Billions of Dollars, Weekly, Seasonally Adjusted]]-B11)/B11</f>
        <v/>
      </c>
      <c r="D12" s="35">
        <f>((1+Table2634[[#This Row],[Weekly change]])^52)-1</f>
        <v/>
      </c>
      <c r="E12" s="25">
        <f>AVERAGE(B9:B12)</f>
        <v/>
      </c>
      <c r="F12" s="30" t="n"/>
    </row>
    <row r="13">
      <c r="A13" s="23" t="n">
        <v>27449</v>
      </c>
      <c r="B13" s="25">
        <f>VLOOKUP(Table2634[[#This Row],[Date]],'DB Money Supply'!$A:$D,4)</f>
        <v/>
      </c>
      <c r="C13" s="31">
        <f>(Table2634[[#This Row],[M1 Money Stock, Billions of Dollars, Weekly, Seasonally Adjusted]]-B12)/B12</f>
        <v/>
      </c>
      <c r="D13" s="35">
        <f>((1+Table2634[[#This Row],[Weekly change]])^52)-1</f>
        <v/>
      </c>
      <c r="E13" s="25">
        <f>AVERAGE(B10:B13)</f>
        <v/>
      </c>
      <c r="F13" s="30" t="n"/>
    </row>
    <row r="14">
      <c r="A14" s="23" t="n">
        <v>27456</v>
      </c>
      <c r="B14" s="25">
        <f>VLOOKUP(Table2634[[#This Row],[Date]],'DB Money Supply'!$A:$D,4)</f>
        <v/>
      </c>
      <c r="C14" s="31">
        <f>(Table2634[[#This Row],[M1 Money Stock, Billions of Dollars, Weekly, Seasonally Adjusted]]-B13)/B13</f>
        <v/>
      </c>
      <c r="D14" s="35">
        <f>((1+Table2634[[#This Row],[Weekly change]])^52)-1</f>
        <v/>
      </c>
      <c r="E14" s="25">
        <f>AVERAGE(B11:B14)</f>
        <v/>
      </c>
      <c r="F14" s="30" t="n"/>
    </row>
    <row r="15">
      <c r="A15" s="23" t="n">
        <v>27463</v>
      </c>
      <c r="B15" s="25">
        <f>VLOOKUP(Table2634[[#This Row],[Date]],'DB Money Supply'!$A:$D,4)</f>
        <v/>
      </c>
      <c r="C15" s="31">
        <f>(Table2634[[#This Row],[M1 Money Stock, Billions of Dollars, Weekly, Seasonally Adjusted]]-B14)/B14</f>
        <v/>
      </c>
      <c r="D15" s="35">
        <f>((1+Table2634[[#This Row],[Weekly change]])^52)-1</f>
        <v/>
      </c>
      <c r="E15" s="25">
        <f>AVERAGE(B12:B15)</f>
        <v/>
      </c>
      <c r="F15" s="30" t="n"/>
    </row>
    <row r="16">
      <c r="A16" s="23" t="n">
        <v>27470</v>
      </c>
      <c r="B16" s="25">
        <f>VLOOKUP(Table2634[[#This Row],[Date]],'DB Money Supply'!$A:$D,4)</f>
        <v/>
      </c>
      <c r="C16" s="31">
        <f>(Table2634[[#This Row],[M1 Money Stock, Billions of Dollars, Weekly, Seasonally Adjusted]]-B15)/B15</f>
        <v/>
      </c>
      <c r="D16" s="35">
        <f>((1+Table2634[[#This Row],[Weekly change]])^52)-1</f>
        <v/>
      </c>
      <c r="E16" s="25">
        <f>AVERAGE(B13:B16)</f>
        <v/>
      </c>
      <c r="F16" s="30" t="n"/>
    </row>
    <row r="17">
      <c r="A17" s="23" t="n">
        <v>27477</v>
      </c>
      <c r="B17" s="25">
        <f>VLOOKUP(Table2634[[#This Row],[Date]],'DB Money Supply'!$A:$D,4)</f>
        <v/>
      </c>
      <c r="C17" s="31">
        <f>(Table2634[[#This Row],[M1 Money Stock, Billions of Dollars, Weekly, Seasonally Adjusted]]-B16)/B16</f>
        <v/>
      </c>
      <c r="D17" s="35">
        <f>((1+Table2634[[#This Row],[Weekly change]])^52)-1</f>
        <v/>
      </c>
      <c r="E17" s="25">
        <f>AVERAGE(B14:B17)</f>
        <v/>
      </c>
      <c r="F17" s="30" t="n"/>
    </row>
    <row r="18">
      <c r="A18" s="23" t="n">
        <v>27484</v>
      </c>
      <c r="B18" s="25">
        <f>VLOOKUP(Table2634[[#This Row],[Date]],'DB Money Supply'!$A:$D,4)</f>
        <v/>
      </c>
      <c r="C18" s="31">
        <f>(Table2634[[#This Row],[M1 Money Stock, Billions of Dollars, Weekly, Seasonally Adjusted]]-B17)/B17</f>
        <v/>
      </c>
      <c r="D18" s="35">
        <f>((1+Table2634[[#This Row],[Weekly change]])^52)-1</f>
        <v/>
      </c>
      <c r="E18" s="25">
        <f>AVERAGE(B15:B18)</f>
        <v/>
      </c>
      <c r="F18" s="30" t="n"/>
    </row>
    <row r="19">
      <c r="A19" s="23" t="n">
        <v>27491</v>
      </c>
      <c r="B19" s="25">
        <f>VLOOKUP(Table2634[[#This Row],[Date]],'DB Money Supply'!$A:$D,4)</f>
        <v/>
      </c>
      <c r="C19" s="31">
        <f>(Table2634[[#This Row],[M1 Money Stock, Billions of Dollars, Weekly, Seasonally Adjusted]]-B18)/B18</f>
        <v/>
      </c>
      <c r="D19" s="35">
        <f>((1+Table2634[[#This Row],[Weekly change]])^52)-1</f>
        <v/>
      </c>
      <c r="E19" s="25">
        <f>AVERAGE(B16:B19)</f>
        <v/>
      </c>
      <c r="F19" s="30" t="n"/>
    </row>
    <row r="20">
      <c r="A20" s="23" t="n">
        <v>27498</v>
      </c>
      <c r="B20" s="25">
        <f>VLOOKUP(Table2634[[#This Row],[Date]],'DB Money Supply'!$A:$D,4)</f>
        <v/>
      </c>
      <c r="C20" s="31">
        <f>(Table2634[[#This Row],[M1 Money Stock, Billions of Dollars, Weekly, Seasonally Adjusted]]-B19)/B19</f>
        <v/>
      </c>
      <c r="D20" s="35">
        <f>((1+Table2634[[#This Row],[Weekly change]])^52)-1</f>
        <v/>
      </c>
      <c r="E20" s="25">
        <f>AVERAGE(B17:B20)</f>
        <v/>
      </c>
      <c r="F20" s="30" t="n"/>
    </row>
    <row r="21">
      <c r="A21" s="23" t="n">
        <v>27505</v>
      </c>
      <c r="B21" s="25">
        <f>VLOOKUP(Table2634[[#This Row],[Date]],'DB Money Supply'!$A:$D,4)</f>
        <v/>
      </c>
      <c r="C21" s="31">
        <f>(Table2634[[#This Row],[M1 Money Stock, Billions of Dollars, Weekly, Seasonally Adjusted]]-B20)/B20</f>
        <v/>
      </c>
      <c r="D21" s="35">
        <f>((1+Table2634[[#This Row],[Weekly change]])^52)-1</f>
        <v/>
      </c>
      <c r="E21" s="25">
        <f>AVERAGE(B18:B21)</f>
        <v/>
      </c>
      <c r="F21" s="30" t="n"/>
    </row>
    <row r="22">
      <c r="A22" s="23" t="n">
        <v>27512</v>
      </c>
      <c r="B22" s="25">
        <f>VLOOKUP(Table2634[[#This Row],[Date]],'DB Money Supply'!$A:$D,4)</f>
        <v/>
      </c>
      <c r="C22" s="31">
        <f>(Table2634[[#This Row],[M1 Money Stock, Billions of Dollars, Weekly, Seasonally Adjusted]]-B21)/B21</f>
        <v/>
      </c>
      <c r="D22" s="35">
        <f>((1+Table2634[[#This Row],[Weekly change]])^52)-1</f>
        <v/>
      </c>
      <c r="E22" s="25">
        <f>AVERAGE(B19:B22)</f>
        <v/>
      </c>
      <c r="F22" s="30" t="n"/>
    </row>
    <row r="23">
      <c r="A23" s="23" t="n">
        <v>27519</v>
      </c>
      <c r="B23" s="25">
        <f>VLOOKUP(Table2634[[#This Row],[Date]],'DB Money Supply'!$A:$D,4)</f>
        <v/>
      </c>
      <c r="C23" s="31">
        <f>(Table2634[[#This Row],[M1 Money Stock, Billions of Dollars, Weekly, Seasonally Adjusted]]-B22)/B22</f>
        <v/>
      </c>
      <c r="D23" s="35">
        <f>((1+Table2634[[#This Row],[Weekly change]])^52)-1</f>
        <v/>
      </c>
      <c r="E23" s="25">
        <f>AVERAGE(B20:B23)</f>
        <v/>
      </c>
      <c r="F23" s="30" t="n"/>
    </row>
    <row r="24">
      <c r="A24" s="23" t="n">
        <v>27526</v>
      </c>
      <c r="B24" s="25">
        <f>VLOOKUP(Table2634[[#This Row],[Date]],'DB Money Supply'!$A:$D,4)</f>
        <v/>
      </c>
      <c r="C24" s="31">
        <f>(Table2634[[#This Row],[M1 Money Stock, Billions of Dollars, Weekly, Seasonally Adjusted]]-B23)/B23</f>
        <v/>
      </c>
      <c r="D24" s="35">
        <f>((1+Table2634[[#This Row],[Weekly change]])^52)-1</f>
        <v/>
      </c>
      <c r="E24" s="25">
        <f>AVERAGE(B21:B24)</f>
        <v/>
      </c>
      <c r="F24" s="30" t="n"/>
    </row>
    <row r="25">
      <c r="A25" s="23" t="n">
        <v>27533</v>
      </c>
      <c r="B25" s="25">
        <f>VLOOKUP(Table2634[[#This Row],[Date]],'DB Money Supply'!$A:$D,4)</f>
        <v/>
      </c>
      <c r="C25" s="31">
        <f>(Table2634[[#This Row],[M1 Money Stock, Billions of Dollars, Weekly, Seasonally Adjusted]]-B24)/B24</f>
        <v/>
      </c>
      <c r="D25" s="35">
        <f>((1+Table2634[[#This Row],[Weekly change]])^52)-1</f>
        <v/>
      </c>
      <c r="E25" s="25">
        <f>AVERAGE(B22:B25)</f>
        <v/>
      </c>
      <c r="F25" s="30" t="n"/>
    </row>
    <row r="26">
      <c r="A26" s="23" t="n">
        <v>27540</v>
      </c>
      <c r="B26" s="25">
        <f>VLOOKUP(Table2634[[#This Row],[Date]],'DB Money Supply'!$A:$D,4)</f>
        <v/>
      </c>
      <c r="C26" s="31">
        <f>(Table2634[[#This Row],[M1 Money Stock, Billions of Dollars, Weekly, Seasonally Adjusted]]-B25)/B25</f>
        <v/>
      </c>
      <c r="D26" s="35">
        <f>((1+Table2634[[#This Row],[Weekly change]])^52)-1</f>
        <v/>
      </c>
      <c r="E26" s="25">
        <f>AVERAGE(B23:B26)</f>
        <v/>
      </c>
      <c r="F26" s="30" t="n"/>
    </row>
    <row r="27">
      <c r="A27" s="23" t="n">
        <v>27547</v>
      </c>
      <c r="B27" s="25">
        <f>VLOOKUP(Table2634[[#This Row],[Date]],'DB Money Supply'!$A:$D,4)</f>
        <v/>
      </c>
      <c r="C27" s="31">
        <f>(Table2634[[#This Row],[M1 Money Stock, Billions of Dollars, Weekly, Seasonally Adjusted]]-B26)/B26</f>
        <v/>
      </c>
      <c r="D27" s="35">
        <f>((1+Table2634[[#This Row],[Weekly change]])^52)-1</f>
        <v/>
      </c>
      <c r="E27" s="25">
        <f>AVERAGE(B24:B27)</f>
        <v/>
      </c>
      <c r="F27" s="30" t="n"/>
    </row>
    <row r="28">
      <c r="A28" s="23" t="n">
        <v>27554</v>
      </c>
      <c r="B28" s="25">
        <f>VLOOKUP(Table2634[[#This Row],[Date]],'DB Money Supply'!$A:$D,4)</f>
        <v/>
      </c>
      <c r="C28" s="31">
        <f>(Table2634[[#This Row],[M1 Money Stock, Billions of Dollars, Weekly, Seasonally Adjusted]]-B27)/B27</f>
        <v/>
      </c>
      <c r="D28" s="35">
        <f>((1+Table2634[[#This Row],[Weekly change]])^52)-1</f>
        <v/>
      </c>
      <c r="E28" s="25">
        <f>AVERAGE(B25:B28)</f>
        <v/>
      </c>
      <c r="F28" s="30" t="n"/>
    </row>
    <row r="29">
      <c r="A29" s="23" t="n">
        <v>27561</v>
      </c>
      <c r="B29" s="25">
        <f>VLOOKUP(Table2634[[#This Row],[Date]],'DB Money Supply'!$A:$D,4)</f>
        <v/>
      </c>
      <c r="C29" s="31">
        <f>(Table2634[[#This Row],[M1 Money Stock, Billions of Dollars, Weekly, Seasonally Adjusted]]-B28)/B28</f>
        <v/>
      </c>
      <c r="D29" s="35">
        <f>((1+Table2634[[#This Row],[Weekly change]])^52)-1</f>
        <v/>
      </c>
      <c r="E29" s="25">
        <f>AVERAGE(B26:B29)</f>
        <v/>
      </c>
      <c r="F29" s="30" t="n"/>
    </row>
    <row r="30">
      <c r="A30" s="23" t="n">
        <v>27568</v>
      </c>
      <c r="B30" s="25">
        <f>VLOOKUP(Table2634[[#This Row],[Date]],'DB Money Supply'!$A:$D,4)</f>
        <v/>
      </c>
      <c r="C30" s="31">
        <f>(Table2634[[#This Row],[M1 Money Stock, Billions of Dollars, Weekly, Seasonally Adjusted]]-B29)/B29</f>
        <v/>
      </c>
      <c r="D30" s="35">
        <f>((1+Table2634[[#This Row],[Weekly change]])^52)-1</f>
        <v/>
      </c>
      <c r="E30" s="25">
        <f>AVERAGE(B27:B30)</f>
        <v/>
      </c>
      <c r="F30" s="30" t="n"/>
    </row>
    <row r="31">
      <c r="A31" s="23" t="n">
        <v>27575</v>
      </c>
      <c r="B31" s="25">
        <f>VLOOKUP(Table2634[[#This Row],[Date]],'DB Money Supply'!$A:$D,4)</f>
        <v/>
      </c>
      <c r="C31" s="31">
        <f>(Table2634[[#This Row],[M1 Money Stock, Billions of Dollars, Weekly, Seasonally Adjusted]]-B30)/B30</f>
        <v/>
      </c>
      <c r="D31" s="35">
        <f>((1+Table2634[[#This Row],[Weekly change]])^52)-1</f>
        <v/>
      </c>
      <c r="E31" s="25">
        <f>AVERAGE(B28:B31)</f>
        <v/>
      </c>
      <c r="F31" s="30" t="n"/>
    </row>
    <row r="32">
      <c r="A32" s="23" t="n">
        <v>27582</v>
      </c>
      <c r="B32" s="25">
        <f>VLOOKUP(Table2634[[#This Row],[Date]],'DB Money Supply'!$A:$D,4)</f>
        <v/>
      </c>
      <c r="C32" s="31">
        <f>(Table2634[[#This Row],[M1 Money Stock, Billions of Dollars, Weekly, Seasonally Adjusted]]-B31)/B31</f>
        <v/>
      </c>
      <c r="D32" s="35">
        <f>((1+Table2634[[#This Row],[Weekly change]])^52)-1</f>
        <v/>
      </c>
      <c r="E32" s="25">
        <f>AVERAGE(B29:B32)</f>
        <v/>
      </c>
      <c r="F32" s="30" t="n"/>
    </row>
    <row r="33">
      <c r="A33" s="23" t="n">
        <v>27589</v>
      </c>
      <c r="B33" s="25">
        <f>VLOOKUP(Table2634[[#This Row],[Date]],'DB Money Supply'!$A:$D,4)</f>
        <v/>
      </c>
      <c r="C33" s="31">
        <f>(Table2634[[#This Row],[M1 Money Stock, Billions of Dollars, Weekly, Seasonally Adjusted]]-B32)/B32</f>
        <v/>
      </c>
      <c r="D33" s="35">
        <f>((1+Table2634[[#This Row],[Weekly change]])^52)-1</f>
        <v/>
      </c>
      <c r="E33" s="25">
        <f>AVERAGE(B30:B33)</f>
        <v/>
      </c>
      <c r="F33" s="30" t="n"/>
    </row>
    <row r="34">
      <c r="A34" s="23" t="n">
        <v>27596</v>
      </c>
      <c r="B34" s="25">
        <f>VLOOKUP(Table2634[[#This Row],[Date]],'DB Money Supply'!$A:$D,4)</f>
        <v/>
      </c>
      <c r="C34" s="31">
        <f>(Table2634[[#This Row],[M1 Money Stock, Billions of Dollars, Weekly, Seasonally Adjusted]]-B33)/B33</f>
        <v/>
      </c>
      <c r="D34" s="35">
        <f>((1+Table2634[[#This Row],[Weekly change]])^52)-1</f>
        <v/>
      </c>
      <c r="E34" s="25">
        <f>AVERAGE(B31:B34)</f>
        <v/>
      </c>
      <c r="F34" s="30" t="n"/>
    </row>
    <row r="35">
      <c r="A35" s="23" t="n">
        <v>27603</v>
      </c>
      <c r="B35" s="25">
        <f>VLOOKUP(Table2634[[#This Row],[Date]],'DB Money Supply'!$A:$D,4)</f>
        <v/>
      </c>
      <c r="C35" s="31">
        <f>(Table2634[[#This Row],[M1 Money Stock, Billions of Dollars, Weekly, Seasonally Adjusted]]-B34)/B34</f>
        <v/>
      </c>
      <c r="D35" s="35">
        <f>((1+Table2634[[#This Row],[Weekly change]])^52)-1</f>
        <v/>
      </c>
      <c r="E35" s="25">
        <f>AVERAGE(B32:B35)</f>
        <v/>
      </c>
      <c r="F35" s="30" t="n"/>
    </row>
    <row r="36">
      <c r="A36" s="23" t="n">
        <v>27610</v>
      </c>
      <c r="B36" s="25">
        <f>VLOOKUP(Table2634[[#This Row],[Date]],'DB Money Supply'!$A:$D,4)</f>
        <v/>
      </c>
      <c r="C36" s="31">
        <f>(Table2634[[#This Row],[M1 Money Stock, Billions of Dollars, Weekly, Seasonally Adjusted]]-B35)/B35</f>
        <v/>
      </c>
      <c r="D36" s="35">
        <f>((1+Table2634[[#This Row],[Weekly change]])^52)-1</f>
        <v/>
      </c>
      <c r="E36" s="25">
        <f>AVERAGE(B33:B36)</f>
        <v/>
      </c>
      <c r="F36" s="30" t="n"/>
    </row>
    <row r="37">
      <c r="A37" s="23" t="n">
        <v>27617</v>
      </c>
      <c r="B37" s="25">
        <f>VLOOKUP(Table2634[[#This Row],[Date]],'DB Money Supply'!$A:$D,4)</f>
        <v/>
      </c>
      <c r="C37" s="31">
        <f>(Table2634[[#This Row],[M1 Money Stock, Billions of Dollars, Weekly, Seasonally Adjusted]]-B36)/B36</f>
        <v/>
      </c>
      <c r="D37" s="35">
        <f>((1+Table2634[[#This Row],[Weekly change]])^52)-1</f>
        <v/>
      </c>
      <c r="E37" s="25">
        <f>AVERAGE(B34:B37)</f>
        <v/>
      </c>
      <c r="F37" s="30" t="n"/>
    </row>
    <row r="38">
      <c r="A38" s="23" t="n">
        <v>27624</v>
      </c>
      <c r="B38" s="25">
        <f>VLOOKUP(Table2634[[#This Row],[Date]],'DB Money Supply'!$A:$D,4)</f>
        <v/>
      </c>
      <c r="C38" s="31">
        <f>(Table2634[[#This Row],[M1 Money Stock, Billions of Dollars, Weekly, Seasonally Adjusted]]-B37)/B37</f>
        <v/>
      </c>
      <c r="D38" s="35">
        <f>((1+Table2634[[#This Row],[Weekly change]])^52)-1</f>
        <v/>
      </c>
      <c r="E38" s="25">
        <f>AVERAGE(B35:B38)</f>
        <v/>
      </c>
      <c r="F38" s="30" t="n"/>
    </row>
    <row r="39">
      <c r="A39" s="23" t="n">
        <v>27631</v>
      </c>
      <c r="B39" s="25">
        <f>VLOOKUP(Table2634[[#This Row],[Date]],'DB Money Supply'!$A:$D,4)</f>
        <v/>
      </c>
      <c r="C39" s="31">
        <f>(Table2634[[#This Row],[M1 Money Stock, Billions of Dollars, Weekly, Seasonally Adjusted]]-B38)/B38</f>
        <v/>
      </c>
      <c r="D39" s="35">
        <f>((1+Table2634[[#This Row],[Weekly change]])^52)-1</f>
        <v/>
      </c>
      <c r="E39" s="25">
        <f>AVERAGE(B36:B39)</f>
        <v/>
      </c>
      <c r="F39" s="30" t="n"/>
    </row>
    <row r="40">
      <c r="A40" s="23" t="n">
        <v>27638</v>
      </c>
      <c r="B40" s="25">
        <f>VLOOKUP(Table2634[[#This Row],[Date]],'DB Money Supply'!$A:$D,4)</f>
        <v/>
      </c>
      <c r="C40" s="31">
        <f>(Table2634[[#This Row],[M1 Money Stock, Billions of Dollars, Weekly, Seasonally Adjusted]]-B39)/B39</f>
        <v/>
      </c>
      <c r="D40" s="35">
        <f>((1+Table2634[[#This Row],[Weekly change]])^52)-1</f>
        <v/>
      </c>
      <c r="E40" s="25">
        <f>AVERAGE(B37:B40)</f>
        <v/>
      </c>
      <c r="F40" s="30" t="n"/>
    </row>
    <row r="41">
      <c r="A41" s="23" t="n">
        <v>27645</v>
      </c>
      <c r="B41" s="25">
        <f>VLOOKUP(Table2634[[#This Row],[Date]],'DB Money Supply'!$A:$D,4)</f>
        <v/>
      </c>
      <c r="C41" s="31">
        <f>(Table2634[[#This Row],[M1 Money Stock, Billions of Dollars, Weekly, Seasonally Adjusted]]-B40)/B40</f>
        <v/>
      </c>
      <c r="D41" s="35">
        <f>((1+Table2634[[#This Row],[Weekly change]])^52)-1</f>
        <v/>
      </c>
      <c r="E41" s="25">
        <f>AVERAGE(B38:B41)</f>
        <v/>
      </c>
      <c r="F41" s="30" t="n"/>
    </row>
    <row r="42">
      <c r="A42" s="23" t="n">
        <v>27652</v>
      </c>
      <c r="B42" s="25">
        <f>VLOOKUP(Table2634[[#This Row],[Date]],'DB Money Supply'!$A:$D,4)</f>
        <v/>
      </c>
      <c r="C42" s="31">
        <f>(Table2634[[#This Row],[M1 Money Stock, Billions of Dollars, Weekly, Seasonally Adjusted]]-B41)/B41</f>
        <v/>
      </c>
      <c r="D42" s="35">
        <f>((1+Table2634[[#This Row],[Weekly change]])^52)-1</f>
        <v/>
      </c>
      <c r="E42" s="25">
        <f>AVERAGE(B39:B42)</f>
        <v/>
      </c>
      <c r="F42" s="30" t="n"/>
    </row>
    <row r="43">
      <c r="A43" s="23" t="n">
        <v>27659</v>
      </c>
      <c r="B43" s="25">
        <f>VLOOKUP(Table2634[[#This Row],[Date]],'DB Money Supply'!$A:$D,4)</f>
        <v/>
      </c>
      <c r="C43" s="31">
        <f>(Table2634[[#This Row],[M1 Money Stock, Billions of Dollars, Weekly, Seasonally Adjusted]]-B42)/B42</f>
        <v/>
      </c>
      <c r="D43" s="35">
        <f>((1+Table2634[[#This Row],[Weekly change]])^52)-1</f>
        <v/>
      </c>
      <c r="E43" s="25">
        <f>AVERAGE(B40:B43)</f>
        <v/>
      </c>
      <c r="F43" s="30" t="n"/>
    </row>
    <row r="44">
      <c r="A44" s="23" t="n">
        <v>27666</v>
      </c>
      <c r="B44" s="25">
        <f>VLOOKUP(Table2634[[#This Row],[Date]],'DB Money Supply'!$A:$D,4)</f>
        <v/>
      </c>
      <c r="C44" s="31">
        <f>(Table2634[[#This Row],[M1 Money Stock, Billions of Dollars, Weekly, Seasonally Adjusted]]-B43)/B43</f>
        <v/>
      </c>
      <c r="D44" s="35">
        <f>((1+Table2634[[#This Row],[Weekly change]])^52)-1</f>
        <v/>
      </c>
      <c r="E44" s="25">
        <f>AVERAGE(B41:B44)</f>
        <v/>
      </c>
      <c r="F44" s="30" t="n"/>
    </row>
    <row r="45">
      <c r="A45" s="23" t="n">
        <v>27673</v>
      </c>
      <c r="B45" s="25">
        <f>VLOOKUP(Table2634[[#This Row],[Date]],'DB Money Supply'!$A:$D,4)</f>
        <v/>
      </c>
      <c r="C45" s="31">
        <f>(Table2634[[#This Row],[M1 Money Stock, Billions of Dollars, Weekly, Seasonally Adjusted]]-B44)/B44</f>
        <v/>
      </c>
      <c r="D45" s="35">
        <f>((1+Table2634[[#This Row],[Weekly change]])^52)-1</f>
        <v/>
      </c>
      <c r="E45" s="25">
        <f>AVERAGE(B42:B45)</f>
        <v/>
      </c>
      <c r="F45" s="30" t="n"/>
    </row>
    <row r="46">
      <c r="A46" s="23" t="n">
        <v>27680</v>
      </c>
      <c r="B46" s="25">
        <f>VLOOKUP(Table2634[[#This Row],[Date]],'DB Money Supply'!$A:$D,4)</f>
        <v/>
      </c>
      <c r="C46" s="31">
        <f>(Table2634[[#This Row],[M1 Money Stock, Billions of Dollars, Weekly, Seasonally Adjusted]]-B45)/B45</f>
        <v/>
      </c>
      <c r="D46" s="35">
        <f>((1+Table2634[[#This Row],[Weekly change]])^52)-1</f>
        <v/>
      </c>
      <c r="E46" s="25">
        <f>AVERAGE(B43:B46)</f>
        <v/>
      </c>
      <c r="F46" s="30" t="n"/>
    </row>
    <row r="47">
      <c r="A47" s="23" t="n">
        <v>27687</v>
      </c>
      <c r="B47" s="25">
        <f>VLOOKUP(Table2634[[#This Row],[Date]],'DB Money Supply'!$A:$D,4)</f>
        <v/>
      </c>
      <c r="C47" s="31">
        <f>(Table2634[[#This Row],[M1 Money Stock, Billions of Dollars, Weekly, Seasonally Adjusted]]-B46)/B46</f>
        <v/>
      </c>
      <c r="D47" s="35">
        <f>((1+Table2634[[#This Row],[Weekly change]])^52)-1</f>
        <v/>
      </c>
      <c r="E47" s="25">
        <f>AVERAGE(B44:B47)</f>
        <v/>
      </c>
      <c r="F47" s="30" t="n"/>
    </row>
    <row r="48">
      <c r="A48" s="23" t="n">
        <v>27694</v>
      </c>
      <c r="B48" s="25">
        <f>VLOOKUP(Table2634[[#This Row],[Date]],'DB Money Supply'!$A:$D,4)</f>
        <v/>
      </c>
      <c r="C48" s="31">
        <f>(Table2634[[#This Row],[M1 Money Stock, Billions of Dollars, Weekly, Seasonally Adjusted]]-B47)/B47</f>
        <v/>
      </c>
      <c r="D48" s="35">
        <f>((1+Table2634[[#This Row],[Weekly change]])^52)-1</f>
        <v/>
      </c>
      <c r="E48" s="25">
        <f>AVERAGE(B45:B48)</f>
        <v/>
      </c>
      <c r="F48" s="30" t="n"/>
    </row>
    <row r="49">
      <c r="A49" s="23" t="n">
        <v>27701</v>
      </c>
      <c r="B49" s="25">
        <f>VLOOKUP(Table2634[[#This Row],[Date]],'DB Money Supply'!$A:$D,4)</f>
        <v/>
      </c>
      <c r="C49" s="31">
        <f>(Table2634[[#This Row],[M1 Money Stock, Billions of Dollars, Weekly, Seasonally Adjusted]]-B48)/B48</f>
        <v/>
      </c>
      <c r="D49" s="35">
        <f>((1+Table2634[[#This Row],[Weekly change]])^52)-1</f>
        <v/>
      </c>
      <c r="E49" s="25">
        <f>AVERAGE(B46:B49)</f>
        <v/>
      </c>
      <c r="F49" s="30" t="n"/>
    </row>
    <row r="50">
      <c r="A50" s="23" t="n">
        <v>27708</v>
      </c>
      <c r="B50" s="25">
        <f>VLOOKUP(Table2634[[#This Row],[Date]],'DB Money Supply'!$A:$D,4)</f>
        <v/>
      </c>
      <c r="C50" s="31">
        <f>(Table2634[[#This Row],[M1 Money Stock, Billions of Dollars, Weekly, Seasonally Adjusted]]-B49)/B49</f>
        <v/>
      </c>
      <c r="D50" s="35">
        <f>((1+Table2634[[#This Row],[Weekly change]])^52)-1</f>
        <v/>
      </c>
      <c r="E50" s="25">
        <f>AVERAGE(B47:B50)</f>
        <v/>
      </c>
      <c r="F50" s="30" t="n"/>
    </row>
    <row r="51">
      <c r="A51" s="23" t="n">
        <v>27715</v>
      </c>
      <c r="B51" s="25">
        <f>VLOOKUP(Table2634[[#This Row],[Date]],'DB Money Supply'!$A:$D,4)</f>
        <v/>
      </c>
      <c r="C51" s="31">
        <f>(Table2634[[#This Row],[M1 Money Stock, Billions of Dollars, Weekly, Seasonally Adjusted]]-B50)/B50</f>
        <v/>
      </c>
      <c r="D51" s="35">
        <f>((1+Table2634[[#This Row],[Weekly change]])^52)-1</f>
        <v/>
      </c>
      <c r="E51" s="25">
        <f>AVERAGE(B48:B51)</f>
        <v/>
      </c>
      <c r="F51" s="30" t="n"/>
    </row>
    <row r="52">
      <c r="A52" s="23" t="n">
        <v>27722</v>
      </c>
      <c r="B52" s="25">
        <f>VLOOKUP(Table2634[[#This Row],[Date]],'DB Money Supply'!$A:$D,4)</f>
        <v/>
      </c>
      <c r="C52" s="31">
        <f>(Table2634[[#This Row],[M1 Money Stock, Billions of Dollars, Weekly, Seasonally Adjusted]]-B51)/B51</f>
        <v/>
      </c>
      <c r="D52" s="35">
        <f>((1+Table2634[[#This Row],[Weekly change]])^52)-1</f>
        <v/>
      </c>
      <c r="E52" s="25">
        <f>AVERAGE(B49:B52)</f>
        <v/>
      </c>
      <c r="F52" s="30" t="n"/>
    </row>
    <row r="53">
      <c r="A53" s="23" t="n">
        <v>27729</v>
      </c>
      <c r="B53" s="25">
        <f>VLOOKUP(Table2634[[#This Row],[Date]],'DB Money Supply'!$A:$D,4)</f>
        <v/>
      </c>
      <c r="C53" s="31">
        <f>(Table2634[[#This Row],[M1 Money Stock, Billions of Dollars, Weekly, Seasonally Adjusted]]-B52)/B52</f>
        <v/>
      </c>
      <c r="D53" s="35">
        <f>((1+Table2634[[#This Row],[Weekly change]])^52)-1</f>
        <v/>
      </c>
      <c r="E53" s="25">
        <f>AVERAGE(B50:B53)</f>
        <v/>
      </c>
      <c r="F53" s="30" t="n"/>
    </row>
    <row r="54">
      <c r="A54" s="23" t="n">
        <v>27736</v>
      </c>
      <c r="B54" s="25">
        <f>VLOOKUP(Table2634[[#This Row],[Date]],'DB Money Supply'!$A:$D,4)</f>
        <v/>
      </c>
      <c r="C54" s="31">
        <f>(Table2634[[#This Row],[M1 Money Stock, Billions of Dollars, Weekly, Seasonally Adjusted]]-B53)/B53</f>
        <v/>
      </c>
      <c r="D54" s="35">
        <f>((1+Table2634[[#This Row],[Weekly change]])^52)-1</f>
        <v/>
      </c>
      <c r="E54" s="25">
        <f>AVERAGE(B51:B54)</f>
        <v/>
      </c>
      <c r="F54" s="30" t="n"/>
    </row>
    <row r="55">
      <c r="A55" s="23" t="n">
        <v>27743</v>
      </c>
      <c r="B55" s="25">
        <f>VLOOKUP(Table2634[[#This Row],[Date]],'DB Money Supply'!$A:$D,4)</f>
        <v/>
      </c>
      <c r="C55" s="31">
        <f>(Table2634[[#This Row],[M1 Money Stock, Billions of Dollars, Weekly, Seasonally Adjusted]]-B54)/B54</f>
        <v/>
      </c>
      <c r="D55" s="35">
        <f>((1+Table2634[[#This Row],[Weekly change]])^52)-1</f>
        <v/>
      </c>
      <c r="E55" s="25">
        <f>AVERAGE(B52:B55)</f>
        <v/>
      </c>
      <c r="F55" s="30" t="n"/>
    </row>
    <row r="56">
      <c r="A56" s="23" t="n">
        <v>27750</v>
      </c>
      <c r="B56" s="25">
        <f>VLOOKUP(Table2634[[#This Row],[Date]],'DB Money Supply'!$A:$D,4)</f>
        <v/>
      </c>
      <c r="C56" s="31">
        <f>(Table2634[[#This Row],[M1 Money Stock, Billions of Dollars, Weekly, Seasonally Adjusted]]-B55)/B55</f>
        <v/>
      </c>
      <c r="D56" s="35">
        <f>((1+Table2634[[#This Row],[Weekly change]])^52)-1</f>
        <v/>
      </c>
      <c r="E56" s="25">
        <f>AVERAGE(B53:B56)</f>
        <v/>
      </c>
      <c r="F56" s="30" t="n"/>
    </row>
    <row r="57">
      <c r="A57" s="23" t="n">
        <v>27757</v>
      </c>
      <c r="B57" s="25">
        <f>VLOOKUP(Table2634[[#This Row],[Date]],'DB Money Supply'!$A:$D,4)</f>
        <v/>
      </c>
      <c r="C57" s="31">
        <f>(Table2634[[#This Row],[M1 Money Stock, Billions of Dollars, Weekly, Seasonally Adjusted]]-B56)/B56</f>
        <v/>
      </c>
      <c r="D57" s="35">
        <f>((1+Table2634[[#This Row],[Weekly change]])^52)-1</f>
        <v/>
      </c>
      <c r="E57" s="25">
        <f>AVERAGE(B54:B57)</f>
        <v/>
      </c>
      <c r="F57" s="30" t="n"/>
    </row>
    <row r="58">
      <c r="A58" s="23" t="n">
        <v>27764</v>
      </c>
      <c r="B58" s="25">
        <f>VLOOKUP(Table2634[[#This Row],[Date]],'DB Money Supply'!$A:$D,4)</f>
        <v/>
      </c>
      <c r="C58" s="31">
        <f>(Table2634[[#This Row],[M1 Money Stock, Billions of Dollars, Weekly, Seasonally Adjusted]]-B57)/B57</f>
        <v/>
      </c>
      <c r="D58" s="35">
        <f>((1+Table2634[[#This Row],[Weekly change]])^52)-1</f>
        <v/>
      </c>
      <c r="E58" s="25">
        <f>AVERAGE(B55:B58)</f>
        <v/>
      </c>
      <c r="F58" s="33">
        <f>(Table2634[[#This Row],[4 weeks average]]-B6)/B6</f>
        <v/>
      </c>
    </row>
    <row r="59">
      <c r="A59" s="23" t="n">
        <v>27771</v>
      </c>
      <c r="B59" s="25">
        <f>VLOOKUP(Table2634[[#This Row],[Date]],'DB Money Supply'!$A:$D,4)</f>
        <v/>
      </c>
      <c r="C59" s="31">
        <f>(Table2634[[#This Row],[M1 Money Stock, Billions of Dollars, Weekly, Seasonally Adjusted]]-B58)/B58</f>
        <v/>
      </c>
      <c r="D59" s="35">
        <f>((1+Table2634[[#This Row],[Weekly change]])^52)-1</f>
        <v/>
      </c>
      <c r="E59" s="25">
        <f>AVERAGE(B56:B59)</f>
        <v/>
      </c>
      <c r="F59" s="33">
        <f>(Table2634[[#This Row],[4 weeks average]]-B7)/B7</f>
        <v/>
      </c>
    </row>
    <row r="60">
      <c r="A60" s="23" t="n">
        <v>27778</v>
      </c>
      <c r="B60" s="25">
        <f>VLOOKUP(Table2634[[#This Row],[Date]],'DB Money Supply'!$A:$D,4)</f>
        <v/>
      </c>
      <c r="C60" s="31">
        <f>(Table2634[[#This Row],[M1 Money Stock, Billions of Dollars, Weekly, Seasonally Adjusted]]-B59)/B59</f>
        <v/>
      </c>
      <c r="D60" s="35">
        <f>((1+Table2634[[#This Row],[Weekly change]])^52)-1</f>
        <v/>
      </c>
      <c r="E60" s="25">
        <f>AVERAGE(B57:B60)</f>
        <v/>
      </c>
      <c r="F60" s="33">
        <f>(Table2634[[#This Row],[4 weeks average]]-B8)/B8</f>
        <v/>
      </c>
    </row>
    <row r="61">
      <c r="A61" s="23" t="n">
        <v>27785</v>
      </c>
      <c r="B61" s="25">
        <f>VLOOKUP(Table2634[[#This Row],[Date]],'DB Money Supply'!$A:$D,4)</f>
        <v/>
      </c>
      <c r="C61" s="31">
        <f>(Table2634[[#This Row],[M1 Money Stock, Billions of Dollars, Weekly, Seasonally Adjusted]]-B60)/B60</f>
        <v/>
      </c>
      <c r="D61" s="35">
        <f>((1+Table2634[[#This Row],[Weekly change]])^52)-1</f>
        <v/>
      </c>
      <c r="E61" s="25">
        <f>AVERAGE(B58:B61)</f>
        <v/>
      </c>
      <c r="F61" s="33">
        <f>(Table2634[[#This Row],[4 weeks average]]-B9)/B9</f>
        <v/>
      </c>
    </row>
    <row r="62">
      <c r="A62" s="23" t="n">
        <v>27792</v>
      </c>
      <c r="B62" s="25">
        <f>VLOOKUP(Table2634[[#This Row],[Date]],'DB Money Supply'!$A:$D,4)</f>
        <v/>
      </c>
      <c r="C62" s="31">
        <f>(Table2634[[#This Row],[M1 Money Stock, Billions of Dollars, Weekly, Seasonally Adjusted]]-B61)/B61</f>
        <v/>
      </c>
      <c r="D62" s="35">
        <f>((1+Table2634[[#This Row],[Weekly change]])^52)-1</f>
        <v/>
      </c>
      <c r="E62" s="25">
        <f>AVERAGE(B59:B62)</f>
        <v/>
      </c>
      <c r="F62" s="33">
        <f>(Table2634[[#This Row],[4 weeks average]]-B10)/B10</f>
        <v/>
      </c>
    </row>
    <row r="63">
      <c r="A63" s="23" t="n">
        <v>27799</v>
      </c>
      <c r="B63" s="25">
        <f>VLOOKUP(Table2634[[#This Row],[Date]],'DB Money Supply'!$A:$D,4)</f>
        <v/>
      </c>
      <c r="C63" s="31">
        <f>(Table2634[[#This Row],[M1 Money Stock, Billions of Dollars, Weekly, Seasonally Adjusted]]-B62)/B62</f>
        <v/>
      </c>
      <c r="D63" s="35">
        <f>((1+Table2634[[#This Row],[Weekly change]])^52)-1</f>
        <v/>
      </c>
      <c r="E63" s="25">
        <f>AVERAGE(B60:B63)</f>
        <v/>
      </c>
      <c r="F63" s="33">
        <f>(Table2634[[#This Row],[4 weeks average]]-B11)/B11</f>
        <v/>
      </c>
    </row>
    <row r="64">
      <c r="A64" s="23" t="n">
        <v>27806</v>
      </c>
      <c r="B64" s="25">
        <f>VLOOKUP(Table2634[[#This Row],[Date]],'DB Money Supply'!$A:$D,4)</f>
        <v/>
      </c>
      <c r="C64" s="31">
        <f>(Table2634[[#This Row],[M1 Money Stock, Billions of Dollars, Weekly, Seasonally Adjusted]]-B63)/B63</f>
        <v/>
      </c>
      <c r="D64" s="35">
        <f>((1+Table2634[[#This Row],[Weekly change]])^52)-1</f>
        <v/>
      </c>
      <c r="E64" s="25">
        <f>AVERAGE(B61:B64)</f>
        <v/>
      </c>
      <c r="F64" s="33">
        <f>(Table2634[[#This Row],[4 weeks average]]-B12)/B12</f>
        <v/>
      </c>
    </row>
    <row r="65">
      <c r="A65" s="23" t="n">
        <v>27813</v>
      </c>
      <c r="B65" s="25">
        <f>VLOOKUP(Table2634[[#This Row],[Date]],'DB Money Supply'!$A:$D,4)</f>
        <v/>
      </c>
      <c r="C65" s="31">
        <f>(Table2634[[#This Row],[M1 Money Stock, Billions of Dollars, Weekly, Seasonally Adjusted]]-B64)/B64</f>
        <v/>
      </c>
      <c r="D65" s="35">
        <f>((1+Table2634[[#This Row],[Weekly change]])^52)-1</f>
        <v/>
      </c>
      <c r="E65" s="25">
        <f>AVERAGE(B62:B65)</f>
        <v/>
      </c>
      <c r="F65" s="33">
        <f>(Table2634[[#This Row],[4 weeks average]]-B13)/B13</f>
        <v/>
      </c>
    </row>
    <row r="66">
      <c r="A66" s="23" t="n">
        <v>27820</v>
      </c>
      <c r="B66" s="25">
        <f>VLOOKUP(Table2634[[#This Row],[Date]],'DB Money Supply'!$A:$D,4)</f>
        <v/>
      </c>
      <c r="C66" s="31">
        <f>(Table2634[[#This Row],[M1 Money Stock, Billions of Dollars, Weekly, Seasonally Adjusted]]-B65)/B65</f>
        <v/>
      </c>
      <c r="D66" s="35">
        <f>((1+Table2634[[#This Row],[Weekly change]])^52)-1</f>
        <v/>
      </c>
      <c r="E66" s="25">
        <f>AVERAGE(B63:B66)</f>
        <v/>
      </c>
      <c r="F66" s="33">
        <f>(Table2634[[#This Row],[4 weeks average]]-B14)/B14</f>
        <v/>
      </c>
    </row>
    <row r="67">
      <c r="A67" s="23" t="n">
        <v>27827</v>
      </c>
      <c r="B67" s="25">
        <f>VLOOKUP(Table2634[[#This Row],[Date]],'DB Money Supply'!$A:$D,4)</f>
        <v/>
      </c>
      <c r="C67" s="31">
        <f>(Table2634[[#This Row],[M1 Money Stock, Billions of Dollars, Weekly, Seasonally Adjusted]]-B66)/B66</f>
        <v/>
      </c>
      <c r="D67" s="35">
        <f>((1+Table2634[[#This Row],[Weekly change]])^52)-1</f>
        <v/>
      </c>
      <c r="E67" s="25">
        <f>AVERAGE(B64:B67)</f>
        <v/>
      </c>
      <c r="F67" s="33">
        <f>(Table2634[[#This Row],[4 weeks average]]-B15)/B15</f>
        <v/>
      </c>
    </row>
    <row r="68">
      <c r="A68" s="23" t="n">
        <v>27834</v>
      </c>
      <c r="B68" s="25">
        <f>VLOOKUP(Table2634[[#This Row],[Date]],'DB Money Supply'!$A:$D,4)</f>
        <v/>
      </c>
      <c r="C68" s="31">
        <f>(Table2634[[#This Row],[M1 Money Stock, Billions of Dollars, Weekly, Seasonally Adjusted]]-B67)/B67</f>
        <v/>
      </c>
      <c r="D68" s="35">
        <f>((1+Table2634[[#This Row],[Weekly change]])^52)-1</f>
        <v/>
      </c>
      <c r="E68" s="25">
        <f>AVERAGE(B65:B68)</f>
        <v/>
      </c>
      <c r="F68" s="33">
        <f>(Table2634[[#This Row],[4 weeks average]]-B16)/B16</f>
        <v/>
      </c>
    </row>
    <row r="69">
      <c r="A69" s="23" t="n">
        <v>27841</v>
      </c>
      <c r="B69" s="25">
        <f>VLOOKUP(Table2634[[#This Row],[Date]],'DB Money Supply'!$A:$D,4)</f>
        <v/>
      </c>
      <c r="C69" s="31">
        <f>(Table2634[[#This Row],[M1 Money Stock, Billions of Dollars, Weekly, Seasonally Adjusted]]-B68)/B68</f>
        <v/>
      </c>
      <c r="D69" s="35">
        <f>((1+Table2634[[#This Row],[Weekly change]])^52)-1</f>
        <v/>
      </c>
      <c r="E69" s="25">
        <f>AVERAGE(B66:B69)</f>
        <v/>
      </c>
      <c r="F69" s="33">
        <f>(Table2634[[#This Row],[4 weeks average]]-B17)/B17</f>
        <v/>
      </c>
    </row>
    <row r="70">
      <c r="A70" s="23" t="n">
        <v>27848</v>
      </c>
      <c r="B70" s="25">
        <f>VLOOKUP(Table2634[[#This Row],[Date]],'DB Money Supply'!$A:$D,4)</f>
        <v/>
      </c>
      <c r="C70" s="31">
        <f>(Table2634[[#This Row],[M1 Money Stock, Billions of Dollars, Weekly, Seasonally Adjusted]]-B69)/B69</f>
        <v/>
      </c>
      <c r="D70" s="35">
        <f>((1+Table2634[[#This Row],[Weekly change]])^52)-1</f>
        <v/>
      </c>
      <c r="E70" s="25">
        <f>AVERAGE(B67:B70)</f>
        <v/>
      </c>
      <c r="F70" s="33">
        <f>(Table2634[[#This Row],[4 weeks average]]-B18)/B18</f>
        <v/>
      </c>
    </row>
    <row r="71">
      <c r="A71" s="23" t="n">
        <v>27855</v>
      </c>
      <c r="B71" s="25">
        <f>VLOOKUP(Table2634[[#This Row],[Date]],'DB Money Supply'!$A:$D,4)</f>
        <v/>
      </c>
      <c r="C71" s="31">
        <f>(Table2634[[#This Row],[M1 Money Stock, Billions of Dollars, Weekly, Seasonally Adjusted]]-B70)/B70</f>
        <v/>
      </c>
      <c r="D71" s="35">
        <f>((1+Table2634[[#This Row],[Weekly change]])^52)-1</f>
        <v/>
      </c>
      <c r="E71" s="25">
        <f>AVERAGE(B68:B71)</f>
        <v/>
      </c>
      <c r="F71" s="33">
        <f>(Table2634[[#This Row],[4 weeks average]]-B19)/B19</f>
        <v/>
      </c>
    </row>
    <row r="72">
      <c r="A72" s="23" t="n">
        <v>27862</v>
      </c>
      <c r="B72" s="25">
        <f>VLOOKUP(Table2634[[#This Row],[Date]],'DB Money Supply'!$A:$D,4)</f>
        <v/>
      </c>
      <c r="C72" s="31">
        <f>(Table2634[[#This Row],[M1 Money Stock, Billions of Dollars, Weekly, Seasonally Adjusted]]-B71)/B71</f>
        <v/>
      </c>
      <c r="D72" s="35">
        <f>((1+Table2634[[#This Row],[Weekly change]])^52)-1</f>
        <v/>
      </c>
      <c r="E72" s="25">
        <f>AVERAGE(B69:B72)</f>
        <v/>
      </c>
      <c r="F72" s="33">
        <f>(Table2634[[#This Row],[4 weeks average]]-B20)/B20</f>
        <v/>
      </c>
    </row>
    <row r="73">
      <c r="A73" s="23" t="n">
        <v>27869</v>
      </c>
      <c r="B73" s="25">
        <f>VLOOKUP(Table2634[[#This Row],[Date]],'DB Money Supply'!$A:$D,4)</f>
        <v/>
      </c>
      <c r="C73" s="31">
        <f>(Table2634[[#This Row],[M1 Money Stock, Billions of Dollars, Weekly, Seasonally Adjusted]]-B72)/B72</f>
        <v/>
      </c>
      <c r="D73" s="35">
        <f>((1+Table2634[[#This Row],[Weekly change]])^52)-1</f>
        <v/>
      </c>
      <c r="E73" s="25">
        <f>AVERAGE(B70:B73)</f>
        <v/>
      </c>
      <c r="F73" s="33">
        <f>(Table2634[[#This Row],[4 weeks average]]-B21)/B21</f>
        <v/>
      </c>
    </row>
    <row r="74">
      <c r="A74" s="23" t="n">
        <v>27876</v>
      </c>
      <c r="B74" s="25">
        <f>VLOOKUP(Table2634[[#This Row],[Date]],'DB Money Supply'!$A:$D,4)</f>
        <v/>
      </c>
      <c r="C74" s="31">
        <f>(Table2634[[#This Row],[M1 Money Stock, Billions of Dollars, Weekly, Seasonally Adjusted]]-B73)/B73</f>
        <v/>
      </c>
      <c r="D74" s="35">
        <f>((1+Table2634[[#This Row],[Weekly change]])^52)-1</f>
        <v/>
      </c>
      <c r="E74" s="25">
        <f>AVERAGE(B71:B74)</f>
        <v/>
      </c>
      <c r="F74" s="33">
        <f>(Table2634[[#This Row],[4 weeks average]]-B22)/B22</f>
        <v/>
      </c>
    </row>
    <row r="75">
      <c r="A75" s="23" t="n">
        <v>27883</v>
      </c>
      <c r="B75" s="25">
        <f>VLOOKUP(Table2634[[#This Row],[Date]],'DB Money Supply'!$A:$D,4)</f>
        <v/>
      </c>
      <c r="C75" s="31">
        <f>(Table2634[[#This Row],[M1 Money Stock, Billions of Dollars, Weekly, Seasonally Adjusted]]-B74)/B74</f>
        <v/>
      </c>
      <c r="D75" s="35">
        <f>((1+Table2634[[#This Row],[Weekly change]])^52)-1</f>
        <v/>
      </c>
      <c r="E75" s="25">
        <f>AVERAGE(B72:B75)</f>
        <v/>
      </c>
      <c r="F75" s="33">
        <f>(Table2634[[#This Row],[4 weeks average]]-B23)/B23</f>
        <v/>
      </c>
    </row>
    <row r="76">
      <c r="A76" s="23" t="n">
        <v>27890</v>
      </c>
      <c r="B76" s="25">
        <f>VLOOKUP(Table2634[[#This Row],[Date]],'DB Money Supply'!$A:$D,4)</f>
        <v/>
      </c>
      <c r="C76" s="31">
        <f>(Table2634[[#This Row],[M1 Money Stock, Billions of Dollars, Weekly, Seasonally Adjusted]]-B75)/B75</f>
        <v/>
      </c>
      <c r="D76" s="35">
        <f>((1+Table2634[[#This Row],[Weekly change]])^52)-1</f>
        <v/>
      </c>
      <c r="E76" s="25">
        <f>AVERAGE(B73:B76)</f>
        <v/>
      </c>
      <c r="F76" s="33">
        <f>(Table2634[[#This Row],[4 weeks average]]-B24)/B24</f>
        <v/>
      </c>
    </row>
    <row r="77">
      <c r="A77" s="23" t="n">
        <v>27897</v>
      </c>
      <c r="B77" s="25">
        <f>VLOOKUP(Table2634[[#This Row],[Date]],'DB Money Supply'!$A:$D,4)</f>
        <v/>
      </c>
      <c r="C77" s="31">
        <f>(Table2634[[#This Row],[M1 Money Stock, Billions of Dollars, Weekly, Seasonally Adjusted]]-B76)/B76</f>
        <v/>
      </c>
      <c r="D77" s="35">
        <f>((1+Table2634[[#This Row],[Weekly change]])^52)-1</f>
        <v/>
      </c>
      <c r="E77" s="25">
        <f>AVERAGE(B74:B77)</f>
        <v/>
      </c>
      <c r="F77" s="33">
        <f>(Table2634[[#This Row],[4 weeks average]]-B25)/B25</f>
        <v/>
      </c>
    </row>
    <row r="78">
      <c r="A78" s="23" t="n">
        <v>27904</v>
      </c>
      <c r="B78" s="25">
        <f>VLOOKUP(Table2634[[#This Row],[Date]],'DB Money Supply'!$A:$D,4)</f>
        <v/>
      </c>
      <c r="C78" s="31">
        <f>(Table2634[[#This Row],[M1 Money Stock, Billions of Dollars, Weekly, Seasonally Adjusted]]-B77)/B77</f>
        <v/>
      </c>
      <c r="D78" s="35">
        <f>((1+Table2634[[#This Row],[Weekly change]])^52)-1</f>
        <v/>
      </c>
      <c r="E78" s="25">
        <f>AVERAGE(B75:B78)</f>
        <v/>
      </c>
      <c r="F78" s="33">
        <f>(Table2634[[#This Row],[4 weeks average]]-B26)/B26</f>
        <v/>
      </c>
    </row>
    <row r="79">
      <c r="A79" s="23" t="n">
        <v>27911</v>
      </c>
      <c r="B79" s="25">
        <f>VLOOKUP(Table2634[[#This Row],[Date]],'DB Money Supply'!$A:$D,4)</f>
        <v/>
      </c>
      <c r="C79" s="31">
        <f>(Table2634[[#This Row],[M1 Money Stock, Billions of Dollars, Weekly, Seasonally Adjusted]]-B78)/B78</f>
        <v/>
      </c>
      <c r="D79" s="35">
        <f>((1+Table2634[[#This Row],[Weekly change]])^52)-1</f>
        <v/>
      </c>
      <c r="E79" s="25">
        <f>AVERAGE(B76:B79)</f>
        <v/>
      </c>
      <c r="F79" s="33">
        <f>(Table2634[[#This Row],[4 weeks average]]-B27)/B27</f>
        <v/>
      </c>
    </row>
    <row r="80">
      <c r="A80" s="23" t="n">
        <v>27918</v>
      </c>
      <c r="B80" s="25">
        <f>VLOOKUP(Table2634[[#This Row],[Date]],'DB Money Supply'!$A:$D,4)</f>
        <v/>
      </c>
      <c r="C80" s="31">
        <f>(Table2634[[#This Row],[M1 Money Stock, Billions of Dollars, Weekly, Seasonally Adjusted]]-B79)/B79</f>
        <v/>
      </c>
      <c r="D80" s="35">
        <f>((1+Table2634[[#This Row],[Weekly change]])^52)-1</f>
        <v/>
      </c>
      <c r="E80" s="25">
        <f>AVERAGE(B77:B80)</f>
        <v/>
      </c>
      <c r="F80" s="33">
        <f>(Table2634[[#This Row],[4 weeks average]]-B28)/B28</f>
        <v/>
      </c>
    </row>
    <row r="81">
      <c r="A81" s="23" t="n">
        <v>27925</v>
      </c>
      <c r="B81" s="25">
        <f>VLOOKUP(Table2634[[#This Row],[Date]],'DB Money Supply'!$A:$D,4)</f>
        <v/>
      </c>
      <c r="C81" s="31">
        <f>(Table2634[[#This Row],[M1 Money Stock, Billions of Dollars, Weekly, Seasonally Adjusted]]-B80)/B80</f>
        <v/>
      </c>
      <c r="D81" s="35">
        <f>((1+Table2634[[#This Row],[Weekly change]])^52)-1</f>
        <v/>
      </c>
      <c r="E81" s="25">
        <f>AVERAGE(B78:B81)</f>
        <v/>
      </c>
      <c r="F81" s="33">
        <f>(Table2634[[#This Row],[4 weeks average]]-B29)/B29</f>
        <v/>
      </c>
    </row>
    <row r="82">
      <c r="A82" s="23" t="n">
        <v>27932</v>
      </c>
      <c r="B82" s="25">
        <f>VLOOKUP(Table2634[[#This Row],[Date]],'DB Money Supply'!$A:$D,4)</f>
        <v/>
      </c>
      <c r="C82" s="31">
        <f>(Table2634[[#This Row],[M1 Money Stock, Billions of Dollars, Weekly, Seasonally Adjusted]]-B81)/B81</f>
        <v/>
      </c>
      <c r="D82" s="35">
        <f>((1+Table2634[[#This Row],[Weekly change]])^52)-1</f>
        <v/>
      </c>
      <c r="E82" s="25">
        <f>AVERAGE(B79:B82)</f>
        <v/>
      </c>
      <c r="F82" s="33">
        <f>(Table2634[[#This Row],[4 weeks average]]-B30)/B30</f>
        <v/>
      </c>
    </row>
    <row r="83">
      <c r="A83" s="23" t="n">
        <v>27939</v>
      </c>
      <c r="B83" s="25">
        <f>VLOOKUP(Table2634[[#This Row],[Date]],'DB Money Supply'!$A:$D,4)</f>
        <v/>
      </c>
      <c r="C83" s="31">
        <f>(Table2634[[#This Row],[M1 Money Stock, Billions of Dollars, Weekly, Seasonally Adjusted]]-B82)/B82</f>
        <v/>
      </c>
      <c r="D83" s="35">
        <f>((1+Table2634[[#This Row],[Weekly change]])^52)-1</f>
        <v/>
      </c>
      <c r="E83" s="25">
        <f>AVERAGE(B80:B83)</f>
        <v/>
      </c>
      <c r="F83" s="33">
        <f>(Table2634[[#This Row],[4 weeks average]]-B31)/B31</f>
        <v/>
      </c>
    </row>
    <row r="84">
      <c r="A84" s="23" t="n">
        <v>27946</v>
      </c>
      <c r="B84" s="25">
        <f>VLOOKUP(Table2634[[#This Row],[Date]],'DB Money Supply'!$A:$D,4)</f>
        <v/>
      </c>
      <c r="C84" s="31">
        <f>(Table2634[[#This Row],[M1 Money Stock, Billions of Dollars, Weekly, Seasonally Adjusted]]-B83)/B83</f>
        <v/>
      </c>
      <c r="D84" s="35">
        <f>((1+Table2634[[#This Row],[Weekly change]])^52)-1</f>
        <v/>
      </c>
      <c r="E84" s="25">
        <f>AVERAGE(B81:B84)</f>
        <v/>
      </c>
      <c r="F84" s="33">
        <f>(Table2634[[#This Row],[4 weeks average]]-B32)/B32</f>
        <v/>
      </c>
    </row>
    <row r="85">
      <c r="A85" s="23" t="n">
        <v>27953</v>
      </c>
      <c r="B85" s="25">
        <f>VLOOKUP(Table2634[[#This Row],[Date]],'DB Money Supply'!$A:$D,4)</f>
        <v/>
      </c>
      <c r="C85" s="31">
        <f>(Table2634[[#This Row],[M1 Money Stock, Billions of Dollars, Weekly, Seasonally Adjusted]]-B84)/B84</f>
        <v/>
      </c>
      <c r="D85" s="35">
        <f>((1+Table2634[[#This Row],[Weekly change]])^52)-1</f>
        <v/>
      </c>
      <c r="E85" s="25">
        <f>AVERAGE(B82:B85)</f>
        <v/>
      </c>
      <c r="F85" s="33">
        <f>(Table2634[[#This Row],[4 weeks average]]-B33)/B33</f>
        <v/>
      </c>
    </row>
    <row r="86">
      <c r="A86" s="23" t="n">
        <v>27960</v>
      </c>
      <c r="B86" s="25">
        <f>VLOOKUP(Table2634[[#This Row],[Date]],'DB Money Supply'!$A:$D,4)</f>
        <v/>
      </c>
      <c r="C86" s="31">
        <f>(Table2634[[#This Row],[M1 Money Stock, Billions of Dollars, Weekly, Seasonally Adjusted]]-B85)/B85</f>
        <v/>
      </c>
      <c r="D86" s="35">
        <f>((1+Table2634[[#This Row],[Weekly change]])^52)-1</f>
        <v/>
      </c>
      <c r="E86" s="25">
        <f>AVERAGE(B83:B86)</f>
        <v/>
      </c>
      <c r="F86" s="33">
        <f>(Table2634[[#This Row],[4 weeks average]]-B34)/B34</f>
        <v/>
      </c>
    </row>
    <row r="87">
      <c r="A87" s="23" t="n">
        <v>27967</v>
      </c>
      <c r="B87" s="25">
        <f>VLOOKUP(Table2634[[#This Row],[Date]],'DB Money Supply'!$A:$D,4)</f>
        <v/>
      </c>
      <c r="C87" s="31">
        <f>(Table2634[[#This Row],[M1 Money Stock, Billions of Dollars, Weekly, Seasonally Adjusted]]-B86)/B86</f>
        <v/>
      </c>
      <c r="D87" s="35">
        <f>((1+Table2634[[#This Row],[Weekly change]])^52)-1</f>
        <v/>
      </c>
      <c r="E87" s="25">
        <f>AVERAGE(B84:B87)</f>
        <v/>
      </c>
      <c r="F87" s="33">
        <f>(Table2634[[#This Row],[4 weeks average]]-B35)/B35</f>
        <v/>
      </c>
    </row>
    <row r="88">
      <c r="A88" s="23" t="n">
        <v>27974</v>
      </c>
      <c r="B88" s="25">
        <f>VLOOKUP(Table2634[[#This Row],[Date]],'DB Money Supply'!$A:$D,4)</f>
        <v/>
      </c>
      <c r="C88" s="31">
        <f>(Table2634[[#This Row],[M1 Money Stock, Billions of Dollars, Weekly, Seasonally Adjusted]]-B87)/B87</f>
        <v/>
      </c>
      <c r="D88" s="35">
        <f>((1+Table2634[[#This Row],[Weekly change]])^52)-1</f>
        <v/>
      </c>
      <c r="E88" s="25">
        <f>AVERAGE(B85:B88)</f>
        <v/>
      </c>
      <c r="F88" s="33">
        <f>(Table2634[[#This Row],[4 weeks average]]-B36)/B36</f>
        <v/>
      </c>
    </row>
    <row r="89">
      <c r="A89" s="23" t="n">
        <v>27981</v>
      </c>
      <c r="B89" s="25">
        <f>VLOOKUP(Table2634[[#This Row],[Date]],'DB Money Supply'!$A:$D,4)</f>
        <v/>
      </c>
      <c r="C89" s="31">
        <f>(Table2634[[#This Row],[M1 Money Stock, Billions of Dollars, Weekly, Seasonally Adjusted]]-B88)/B88</f>
        <v/>
      </c>
      <c r="D89" s="35">
        <f>((1+Table2634[[#This Row],[Weekly change]])^52)-1</f>
        <v/>
      </c>
      <c r="E89" s="25">
        <f>AVERAGE(B86:B89)</f>
        <v/>
      </c>
      <c r="F89" s="33">
        <f>(Table2634[[#This Row],[4 weeks average]]-B37)/B37</f>
        <v/>
      </c>
    </row>
    <row r="90">
      <c r="A90" s="23" t="n">
        <v>27988</v>
      </c>
      <c r="B90" s="25">
        <f>VLOOKUP(Table2634[[#This Row],[Date]],'DB Money Supply'!$A:$D,4)</f>
        <v/>
      </c>
      <c r="C90" s="31">
        <f>(Table2634[[#This Row],[M1 Money Stock, Billions of Dollars, Weekly, Seasonally Adjusted]]-B89)/B89</f>
        <v/>
      </c>
      <c r="D90" s="35">
        <f>((1+Table2634[[#This Row],[Weekly change]])^52)-1</f>
        <v/>
      </c>
      <c r="E90" s="25">
        <f>AVERAGE(B87:B90)</f>
        <v/>
      </c>
      <c r="F90" s="33">
        <f>(Table2634[[#This Row],[4 weeks average]]-B38)/B38</f>
        <v/>
      </c>
    </row>
    <row r="91">
      <c r="A91" s="23" t="n">
        <v>27995</v>
      </c>
      <c r="B91" s="25">
        <f>VLOOKUP(Table2634[[#This Row],[Date]],'DB Money Supply'!$A:$D,4)</f>
        <v/>
      </c>
      <c r="C91" s="31">
        <f>(Table2634[[#This Row],[M1 Money Stock, Billions of Dollars, Weekly, Seasonally Adjusted]]-B90)/B90</f>
        <v/>
      </c>
      <c r="D91" s="35">
        <f>((1+Table2634[[#This Row],[Weekly change]])^52)-1</f>
        <v/>
      </c>
      <c r="E91" s="25">
        <f>AVERAGE(B88:B91)</f>
        <v/>
      </c>
      <c r="F91" s="33">
        <f>(Table2634[[#This Row],[4 weeks average]]-B39)/B39</f>
        <v/>
      </c>
    </row>
    <row r="92">
      <c r="A92" s="23" t="n">
        <v>28002</v>
      </c>
      <c r="B92" s="25">
        <f>VLOOKUP(Table2634[[#This Row],[Date]],'DB Money Supply'!$A:$D,4)</f>
        <v/>
      </c>
      <c r="C92" s="31">
        <f>(Table2634[[#This Row],[M1 Money Stock, Billions of Dollars, Weekly, Seasonally Adjusted]]-B91)/B91</f>
        <v/>
      </c>
      <c r="D92" s="35">
        <f>((1+Table2634[[#This Row],[Weekly change]])^52)-1</f>
        <v/>
      </c>
      <c r="E92" s="25">
        <f>AVERAGE(B89:B92)</f>
        <v/>
      </c>
      <c r="F92" s="33">
        <f>(Table2634[[#This Row],[4 weeks average]]-B40)/B40</f>
        <v/>
      </c>
    </row>
    <row r="93">
      <c r="A93" s="23" t="n">
        <v>28009</v>
      </c>
      <c r="B93" s="25">
        <f>VLOOKUP(Table2634[[#This Row],[Date]],'DB Money Supply'!$A:$D,4)</f>
        <v/>
      </c>
      <c r="C93" s="31">
        <f>(Table2634[[#This Row],[M1 Money Stock, Billions of Dollars, Weekly, Seasonally Adjusted]]-B92)/B92</f>
        <v/>
      </c>
      <c r="D93" s="35">
        <f>((1+Table2634[[#This Row],[Weekly change]])^52)-1</f>
        <v/>
      </c>
      <c r="E93" s="25">
        <f>AVERAGE(B90:B93)</f>
        <v/>
      </c>
      <c r="F93" s="33">
        <f>(Table2634[[#This Row],[4 weeks average]]-B41)/B41</f>
        <v/>
      </c>
    </row>
    <row r="94">
      <c r="A94" s="23" t="n">
        <v>28016</v>
      </c>
      <c r="B94" s="25">
        <f>VLOOKUP(Table2634[[#This Row],[Date]],'DB Money Supply'!$A:$D,4)</f>
        <v/>
      </c>
      <c r="C94" s="31">
        <f>(Table2634[[#This Row],[M1 Money Stock, Billions of Dollars, Weekly, Seasonally Adjusted]]-B93)/B93</f>
        <v/>
      </c>
      <c r="D94" s="35">
        <f>((1+Table2634[[#This Row],[Weekly change]])^52)-1</f>
        <v/>
      </c>
      <c r="E94" s="25">
        <f>AVERAGE(B91:B94)</f>
        <v/>
      </c>
      <c r="F94" s="33">
        <f>(Table2634[[#This Row],[4 weeks average]]-B42)/B42</f>
        <v/>
      </c>
    </row>
    <row r="95">
      <c r="A95" s="23" t="n">
        <v>28023</v>
      </c>
      <c r="B95" s="25">
        <f>VLOOKUP(Table2634[[#This Row],[Date]],'DB Money Supply'!$A:$D,4)</f>
        <v/>
      </c>
      <c r="C95" s="31">
        <f>(Table2634[[#This Row],[M1 Money Stock, Billions of Dollars, Weekly, Seasonally Adjusted]]-B94)/B94</f>
        <v/>
      </c>
      <c r="D95" s="35">
        <f>((1+Table2634[[#This Row],[Weekly change]])^52)-1</f>
        <v/>
      </c>
      <c r="E95" s="25">
        <f>AVERAGE(B92:B95)</f>
        <v/>
      </c>
      <c r="F95" s="33">
        <f>(Table2634[[#This Row],[4 weeks average]]-B43)/B43</f>
        <v/>
      </c>
    </row>
    <row r="96">
      <c r="A96" s="23" t="n">
        <v>28030</v>
      </c>
      <c r="B96" s="25">
        <f>VLOOKUP(Table2634[[#This Row],[Date]],'DB Money Supply'!$A:$D,4)</f>
        <v/>
      </c>
      <c r="C96" s="31">
        <f>(Table2634[[#This Row],[M1 Money Stock, Billions of Dollars, Weekly, Seasonally Adjusted]]-B95)/B95</f>
        <v/>
      </c>
      <c r="D96" s="35">
        <f>((1+Table2634[[#This Row],[Weekly change]])^52)-1</f>
        <v/>
      </c>
      <c r="E96" s="25">
        <f>AVERAGE(B93:B96)</f>
        <v/>
      </c>
      <c r="F96" s="33">
        <f>(Table2634[[#This Row],[4 weeks average]]-B44)/B44</f>
        <v/>
      </c>
    </row>
    <row r="97">
      <c r="A97" s="23" t="n">
        <v>28037</v>
      </c>
      <c r="B97" s="25">
        <f>VLOOKUP(Table2634[[#This Row],[Date]],'DB Money Supply'!$A:$D,4)</f>
        <v/>
      </c>
      <c r="C97" s="31">
        <f>(Table2634[[#This Row],[M1 Money Stock, Billions of Dollars, Weekly, Seasonally Adjusted]]-B96)/B96</f>
        <v/>
      </c>
      <c r="D97" s="35">
        <f>((1+Table2634[[#This Row],[Weekly change]])^52)-1</f>
        <v/>
      </c>
      <c r="E97" s="25">
        <f>AVERAGE(B94:B97)</f>
        <v/>
      </c>
      <c r="F97" s="33">
        <f>(Table2634[[#This Row],[4 weeks average]]-B45)/B45</f>
        <v/>
      </c>
    </row>
    <row r="98">
      <c r="A98" s="23" t="n">
        <v>28044</v>
      </c>
      <c r="B98" s="25">
        <f>VLOOKUP(Table2634[[#This Row],[Date]],'DB Money Supply'!$A:$D,4)</f>
        <v/>
      </c>
      <c r="C98" s="31">
        <f>(Table2634[[#This Row],[M1 Money Stock, Billions of Dollars, Weekly, Seasonally Adjusted]]-B97)/B97</f>
        <v/>
      </c>
      <c r="D98" s="35">
        <f>((1+Table2634[[#This Row],[Weekly change]])^52)-1</f>
        <v/>
      </c>
      <c r="E98" s="25">
        <f>AVERAGE(B95:B98)</f>
        <v/>
      </c>
      <c r="F98" s="33">
        <f>(Table2634[[#This Row],[4 weeks average]]-B46)/B46</f>
        <v/>
      </c>
    </row>
    <row r="99">
      <c r="A99" s="23" t="n">
        <v>28051</v>
      </c>
      <c r="B99" s="25">
        <f>VLOOKUP(Table2634[[#This Row],[Date]],'DB Money Supply'!$A:$D,4)</f>
        <v/>
      </c>
      <c r="C99" s="31">
        <f>(Table2634[[#This Row],[M1 Money Stock, Billions of Dollars, Weekly, Seasonally Adjusted]]-B98)/B98</f>
        <v/>
      </c>
      <c r="D99" s="35">
        <f>((1+Table2634[[#This Row],[Weekly change]])^52)-1</f>
        <v/>
      </c>
      <c r="E99" s="25">
        <f>AVERAGE(B96:B99)</f>
        <v/>
      </c>
      <c r="F99" s="33">
        <f>(Table2634[[#This Row],[4 weeks average]]-B47)/B47</f>
        <v/>
      </c>
    </row>
    <row r="100">
      <c r="A100" s="23" t="n">
        <v>28058</v>
      </c>
      <c r="B100" s="25">
        <f>VLOOKUP(Table2634[[#This Row],[Date]],'DB Money Supply'!$A:$D,4)</f>
        <v/>
      </c>
      <c r="C100" s="31">
        <f>(Table2634[[#This Row],[M1 Money Stock, Billions of Dollars, Weekly, Seasonally Adjusted]]-B99)/B99</f>
        <v/>
      </c>
      <c r="D100" s="35">
        <f>((1+Table2634[[#This Row],[Weekly change]])^52)-1</f>
        <v/>
      </c>
      <c r="E100" s="25">
        <f>AVERAGE(B97:B100)</f>
        <v/>
      </c>
      <c r="F100" s="33">
        <f>(Table2634[[#This Row],[4 weeks average]]-B48)/B48</f>
        <v/>
      </c>
    </row>
    <row r="101">
      <c r="A101" s="23" t="n">
        <v>28065</v>
      </c>
      <c r="B101" s="25">
        <f>VLOOKUP(Table2634[[#This Row],[Date]],'DB Money Supply'!$A:$D,4)</f>
        <v/>
      </c>
      <c r="C101" s="31">
        <f>(Table2634[[#This Row],[M1 Money Stock, Billions of Dollars, Weekly, Seasonally Adjusted]]-B100)/B100</f>
        <v/>
      </c>
      <c r="D101" s="35">
        <f>((1+Table2634[[#This Row],[Weekly change]])^52)-1</f>
        <v/>
      </c>
      <c r="E101" s="25">
        <f>AVERAGE(B98:B101)</f>
        <v/>
      </c>
      <c r="F101" s="33">
        <f>(Table2634[[#This Row],[4 weeks average]]-B49)/B49</f>
        <v/>
      </c>
    </row>
    <row r="102">
      <c r="A102" s="23" t="n">
        <v>28072</v>
      </c>
      <c r="B102" s="25">
        <f>VLOOKUP(Table2634[[#This Row],[Date]],'DB Money Supply'!$A:$D,4)</f>
        <v/>
      </c>
      <c r="C102" s="31">
        <f>(Table2634[[#This Row],[M1 Money Stock, Billions of Dollars, Weekly, Seasonally Adjusted]]-B101)/B101</f>
        <v/>
      </c>
      <c r="D102" s="35">
        <f>((1+Table2634[[#This Row],[Weekly change]])^52)-1</f>
        <v/>
      </c>
      <c r="E102" s="25">
        <f>AVERAGE(B99:B102)</f>
        <v/>
      </c>
      <c r="F102" s="33">
        <f>(Table2634[[#This Row],[4 weeks average]]-B50)/B50</f>
        <v/>
      </c>
    </row>
    <row r="103">
      <c r="A103" s="23" t="n">
        <v>28079</v>
      </c>
      <c r="B103" s="25">
        <f>VLOOKUP(Table2634[[#This Row],[Date]],'DB Money Supply'!$A:$D,4)</f>
        <v/>
      </c>
      <c r="C103" s="31">
        <f>(Table2634[[#This Row],[M1 Money Stock, Billions of Dollars, Weekly, Seasonally Adjusted]]-B102)/B102</f>
        <v/>
      </c>
      <c r="D103" s="35">
        <f>((1+Table2634[[#This Row],[Weekly change]])^52)-1</f>
        <v/>
      </c>
      <c r="E103" s="25">
        <f>AVERAGE(B100:B103)</f>
        <v/>
      </c>
      <c r="F103" s="33">
        <f>(Table2634[[#This Row],[4 weeks average]]-B51)/B51</f>
        <v/>
      </c>
    </row>
    <row r="104">
      <c r="A104" s="23" t="n">
        <v>28086</v>
      </c>
      <c r="B104" s="25">
        <f>VLOOKUP(Table2634[[#This Row],[Date]],'DB Money Supply'!$A:$D,4)</f>
        <v/>
      </c>
      <c r="C104" s="31">
        <f>(Table2634[[#This Row],[M1 Money Stock, Billions of Dollars, Weekly, Seasonally Adjusted]]-B103)/B103</f>
        <v/>
      </c>
      <c r="D104" s="35">
        <f>((1+Table2634[[#This Row],[Weekly change]])^52)-1</f>
        <v/>
      </c>
      <c r="E104" s="25">
        <f>AVERAGE(B101:B104)</f>
        <v/>
      </c>
      <c r="F104" s="33">
        <f>(Table2634[[#This Row],[4 weeks average]]-B52)/B52</f>
        <v/>
      </c>
    </row>
    <row r="105">
      <c r="A105" s="23" t="n">
        <v>28093</v>
      </c>
      <c r="B105" s="25">
        <f>VLOOKUP(Table2634[[#This Row],[Date]],'DB Money Supply'!$A:$D,4)</f>
        <v/>
      </c>
      <c r="C105" s="31">
        <f>(Table2634[[#This Row],[M1 Money Stock, Billions of Dollars, Weekly, Seasonally Adjusted]]-B104)/B104</f>
        <v/>
      </c>
      <c r="D105" s="35">
        <f>((1+Table2634[[#This Row],[Weekly change]])^52)-1</f>
        <v/>
      </c>
      <c r="E105" s="25">
        <f>AVERAGE(B102:B105)</f>
        <v/>
      </c>
      <c r="F105" s="33">
        <f>(Table2634[[#This Row],[4 weeks average]]-B53)/B53</f>
        <v/>
      </c>
    </row>
    <row r="106">
      <c r="A106" s="23" t="n">
        <v>28100</v>
      </c>
      <c r="B106" s="25">
        <f>VLOOKUP(Table2634[[#This Row],[Date]],'DB Money Supply'!$A:$D,4)</f>
        <v/>
      </c>
      <c r="C106" s="31">
        <f>(Table2634[[#This Row],[M1 Money Stock, Billions of Dollars, Weekly, Seasonally Adjusted]]-B105)/B105</f>
        <v/>
      </c>
      <c r="D106" s="35">
        <f>((1+Table2634[[#This Row],[Weekly change]])^52)-1</f>
        <v/>
      </c>
      <c r="E106" s="25">
        <f>AVERAGE(B103:B106)</f>
        <v/>
      </c>
      <c r="F106" s="33">
        <f>(Table2634[[#This Row],[4 weeks average]]-B54)/B54</f>
        <v/>
      </c>
    </row>
    <row r="107">
      <c r="A107" s="23" t="n">
        <v>28107</v>
      </c>
      <c r="B107" s="25">
        <f>VLOOKUP(Table2634[[#This Row],[Date]],'DB Money Supply'!$A:$D,4)</f>
        <v/>
      </c>
      <c r="C107" s="31">
        <f>(Table2634[[#This Row],[M1 Money Stock, Billions of Dollars, Weekly, Seasonally Adjusted]]-B106)/B106</f>
        <v/>
      </c>
      <c r="D107" s="35">
        <f>((1+Table2634[[#This Row],[Weekly change]])^52)-1</f>
        <v/>
      </c>
      <c r="E107" s="25">
        <f>AVERAGE(B104:B107)</f>
        <v/>
      </c>
      <c r="F107" s="33">
        <f>(Table2634[[#This Row],[4 weeks average]]-B55)/B55</f>
        <v/>
      </c>
    </row>
    <row r="108">
      <c r="A108" s="23" t="n">
        <v>28114</v>
      </c>
      <c r="B108" s="25">
        <f>VLOOKUP(Table2634[[#This Row],[Date]],'DB Money Supply'!$A:$D,4)</f>
        <v/>
      </c>
      <c r="C108" s="31">
        <f>(Table2634[[#This Row],[M1 Money Stock, Billions of Dollars, Weekly, Seasonally Adjusted]]-B107)/B107</f>
        <v/>
      </c>
      <c r="D108" s="35">
        <f>((1+Table2634[[#This Row],[Weekly change]])^52)-1</f>
        <v/>
      </c>
      <c r="E108" s="25">
        <f>AVERAGE(B105:B108)</f>
        <v/>
      </c>
      <c r="F108" s="33">
        <f>(Table2634[[#This Row],[4 weeks average]]-B56)/B56</f>
        <v/>
      </c>
    </row>
    <row r="109">
      <c r="A109" s="23" t="n">
        <v>28121</v>
      </c>
      <c r="B109" s="25">
        <f>VLOOKUP(Table2634[[#This Row],[Date]],'DB Money Supply'!$A:$D,4)</f>
        <v/>
      </c>
      <c r="C109" s="31">
        <f>(Table2634[[#This Row],[M1 Money Stock, Billions of Dollars, Weekly, Seasonally Adjusted]]-B108)/B108</f>
        <v/>
      </c>
      <c r="D109" s="35">
        <f>((1+Table2634[[#This Row],[Weekly change]])^52)-1</f>
        <v/>
      </c>
      <c r="E109" s="25">
        <f>AVERAGE(B106:B109)</f>
        <v/>
      </c>
      <c r="F109" s="33">
        <f>(Table2634[[#This Row],[4 weeks average]]-B57)/B57</f>
        <v/>
      </c>
    </row>
    <row r="110">
      <c r="A110" s="23" t="n">
        <v>28128</v>
      </c>
      <c r="B110" s="25">
        <f>VLOOKUP(Table2634[[#This Row],[Date]],'DB Money Supply'!$A:$D,4)</f>
        <v/>
      </c>
      <c r="C110" s="31">
        <f>(Table2634[[#This Row],[M1 Money Stock, Billions of Dollars, Weekly, Seasonally Adjusted]]-B109)/B109</f>
        <v/>
      </c>
      <c r="D110" s="35">
        <f>((1+Table2634[[#This Row],[Weekly change]])^52)-1</f>
        <v/>
      </c>
      <c r="E110" s="25">
        <f>AVERAGE(B107:B110)</f>
        <v/>
      </c>
      <c r="F110" s="33">
        <f>(Table2634[[#This Row],[4 weeks average]]-B58)/B58</f>
        <v/>
      </c>
    </row>
    <row r="111">
      <c r="A111" s="23" t="n">
        <v>28135</v>
      </c>
      <c r="B111" s="25">
        <f>VLOOKUP(Table2634[[#This Row],[Date]],'DB Money Supply'!$A:$D,4)</f>
        <v/>
      </c>
      <c r="C111" s="31">
        <f>(Table2634[[#This Row],[M1 Money Stock, Billions of Dollars, Weekly, Seasonally Adjusted]]-B110)/B110</f>
        <v/>
      </c>
      <c r="D111" s="35">
        <f>((1+Table2634[[#This Row],[Weekly change]])^52)-1</f>
        <v/>
      </c>
      <c r="E111" s="25">
        <f>AVERAGE(B108:B111)</f>
        <v/>
      </c>
      <c r="F111" s="33">
        <f>(Table2634[[#This Row],[4 weeks average]]-B59)/B59</f>
        <v/>
      </c>
    </row>
    <row r="112">
      <c r="A112" s="23" t="n">
        <v>28142</v>
      </c>
      <c r="B112" s="25">
        <f>VLOOKUP(Table2634[[#This Row],[Date]],'DB Money Supply'!$A:$D,4)</f>
        <v/>
      </c>
      <c r="C112" s="31">
        <f>(Table2634[[#This Row],[M1 Money Stock, Billions of Dollars, Weekly, Seasonally Adjusted]]-B111)/B111</f>
        <v/>
      </c>
      <c r="D112" s="35">
        <f>((1+Table2634[[#This Row],[Weekly change]])^52)-1</f>
        <v/>
      </c>
      <c r="E112" s="25">
        <f>AVERAGE(B109:B112)</f>
        <v/>
      </c>
      <c r="F112" s="33">
        <f>(Table2634[[#This Row],[4 weeks average]]-B60)/B60</f>
        <v/>
      </c>
    </row>
    <row r="113">
      <c r="A113" s="23" t="n">
        <v>28149</v>
      </c>
      <c r="B113" s="25">
        <f>VLOOKUP(Table2634[[#This Row],[Date]],'DB Money Supply'!$A:$D,4)</f>
        <v/>
      </c>
      <c r="C113" s="31">
        <f>(Table2634[[#This Row],[M1 Money Stock, Billions of Dollars, Weekly, Seasonally Adjusted]]-B112)/B112</f>
        <v/>
      </c>
      <c r="D113" s="35">
        <f>((1+Table2634[[#This Row],[Weekly change]])^52)-1</f>
        <v/>
      </c>
      <c r="E113" s="25">
        <f>AVERAGE(B110:B113)</f>
        <v/>
      </c>
      <c r="F113" s="33">
        <f>(Table2634[[#This Row],[4 weeks average]]-B61)/B61</f>
        <v/>
      </c>
    </row>
    <row r="114">
      <c r="A114" s="23" t="n">
        <v>28156</v>
      </c>
      <c r="B114" s="25">
        <f>VLOOKUP(Table2634[[#This Row],[Date]],'DB Money Supply'!$A:$D,4)</f>
        <v/>
      </c>
      <c r="C114" s="31">
        <f>(Table2634[[#This Row],[M1 Money Stock, Billions of Dollars, Weekly, Seasonally Adjusted]]-B113)/B113</f>
        <v/>
      </c>
      <c r="D114" s="35">
        <f>((1+Table2634[[#This Row],[Weekly change]])^52)-1</f>
        <v/>
      </c>
      <c r="E114" s="25">
        <f>AVERAGE(B111:B114)</f>
        <v/>
      </c>
      <c r="F114" s="33">
        <f>(Table2634[[#This Row],[4 weeks average]]-B62)/B62</f>
        <v/>
      </c>
    </row>
    <row r="115">
      <c r="A115" s="23" t="n">
        <v>28163</v>
      </c>
      <c r="B115" s="25">
        <f>VLOOKUP(Table2634[[#This Row],[Date]],'DB Money Supply'!$A:$D,4)</f>
        <v/>
      </c>
      <c r="C115" s="31">
        <f>(Table2634[[#This Row],[M1 Money Stock, Billions of Dollars, Weekly, Seasonally Adjusted]]-B114)/B114</f>
        <v/>
      </c>
      <c r="D115" s="35">
        <f>((1+Table2634[[#This Row],[Weekly change]])^52)-1</f>
        <v/>
      </c>
      <c r="E115" s="25">
        <f>AVERAGE(B112:B115)</f>
        <v/>
      </c>
      <c r="F115" s="33">
        <f>(Table2634[[#This Row],[4 weeks average]]-B63)/B63</f>
        <v/>
      </c>
    </row>
    <row r="116">
      <c r="A116" s="23" t="n">
        <v>28170</v>
      </c>
      <c r="B116" s="25">
        <f>VLOOKUP(Table2634[[#This Row],[Date]],'DB Money Supply'!$A:$D,4)</f>
        <v/>
      </c>
      <c r="C116" s="31">
        <f>(Table2634[[#This Row],[M1 Money Stock, Billions of Dollars, Weekly, Seasonally Adjusted]]-B115)/B115</f>
        <v/>
      </c>
      <c r="D116" s="35">
        <f>((1+Table2634[[#This Row],[Weekly change]])^52)-1</f>
        <v/>
      </c>
      <c r="E116" s="25">
        <f>AVERAGE(B113:B116)</f>
        <v/>
      </c>
      <c r="F116" s="33">
        <f>(Table2634[[#This Row],[4 weeks average]]-B64)/B64</f>
        <v/>
      </c>
    </row>
    <row r="117">
      <c r="A117" s="23" t="n">
        <v>28177</v>
      </c>
      <c r="B117" s="25">
        <f>VLOOKUP(Table2634[[#This Row],[Date]],'DB Money Supply'!$A:$D,4)</f>
        <v/>
      </c>
      <c r="C117" s="31">
        <f>(Table2634[[#This Row],[M1 Money Stock, Billions of Dollars, Weekly, Seasonally Adjusted]]-B116)/B116</f>
        <v/>
      </c>
      <c r="D117" s="35">
        <f>((1+Table2634[[#This Row],[Weekly change]])^52)-1</f>
        <v/>
      </c>
      <c r="E117" s="25">
        <f>AVERAGE(B114:B117)</f>
        <v/>
      </c>
      <c r="F117" s="33">
        <f>(Table2634[[#This Row],[4 weeks average]]-B65)/B65</f>
        <v/>
      </c>
    </row>
    <row r="118">
      <c r="A118" s="23" t="n">
        <v>28184</v>
      </c>
      <c r="B118" s="25">
        <f>VLOOKUP(Table2634[[#This Row],[Date]],'DB Money Supply'!$A:$D,4)</f>
        <v/>
      </c>
      <c r="C118" s="31">
        <f>(Table2634[[#This Row],[M1 Money Stock, Billions of Dollars, Weekly, Seasonally Adjusted]]-B117)/B117</f>
        <v/>
      </c>
      <c r="D118" s="35">
        <f>((1+Table2634[[#This Row],[Weekly change]])^52)-1</f>
        <v/>
      </c>
      <c r="E118" s="25">
        <f>AVERAGE(B115:B118)</f>
        <v/>
      </c>
      <c r="F118" s="33">
        <f>(Table2634[[#This Row],[4 weeks average]]-B66)/B66</f>
        <v/>
      </c>
    </row>
    <row r="119">
      <c r="A119" s="23" t="n">
        <v>28191</v>
      </c>
      <c r="B119" s="25">
        <f>VLOOKUP(Table2634[[#This Row],[Date]],'DB Money Supply'!$A:$D,4)</f>
        <v/>
      </c>
      <c r="C119" s="31">
        <f>(Table2634[[#This Row],[M1 Money Stock, Billions of Dollars, Weekly, Seasonally Adjusted]]-B118)/B118</f>
        <v/>
      </c>
      <c r="D119" s="35">
        <f>((1+Table2634[[#This Row],[Weekly change]])^52)-1</f>
        <v/>
      </c>
      <c r="E119" s="25">
        <f>AVERAGE(B116:B119)</f>
        <v/>
      </c>
      <c r="F119" s="33">
        <f>(Table2634[[#This Row],[4 weeks average]]-B67)/B67</f>
        <v/>
      </c>
    </row>
    <row r="120">
      <c r="A120" s="23" t="n">
        <v>28198</v>
      </c>
      <c r="B120" s="25">
        <f>VLOOKUP(Table2634[[#This Row],[Date]],'DB Money Supply'!$A:$D,4)</f>
        <v/>
      </c>
      <c r="C120" s="31">
        <f>(Table2634[[#This Row],[M1 Money Stock, Billions of Dollars, Weekly, Seasonally Adjusted]]-B119)/B119</f>
        <v/>
      </c>
      <c r="D120" s="35">
        <f>((1+Table2634[[#This Row],[Weekly change]])^52)-1</f>
        <v/>
      </c>
      <c r="E120" s="25">
        <f>AVERAGE(B117:B120)</f>
        <v/>
      </c>
      <c r="F120" s="33">
        <f>(Table2634[[#This Row],[4 weeks average]]-B68)/B68</f>
        <v/>
      </c>
    </row>
    <row r="121">
      <c r="A121" s="23" t="n">
        <v>28205</v>
      </c>
      <c r="B121" s="25">
        <f>VLOOKUP(Table2634[[#This Row],[Date]],'DB Money Supply'!$A:$D,4)</f>
        <v/>
      </c>
      <c r="C121" s="31">
        <f>(Table2634[[#This Row],[M1 Money Stock, Billions of Dollars, Weekly, Seasonally Adjusted]]-B120)/B120</f>
        <v/>
      </c>
      <c r="D121" s="35">
        <f>((1+Table2634[[#This Row],[Weekly change]])^52)-1</f>
        <v/>
      </c>
      <c r="E121" s="25">
        <f>AVERAGE(B118:B121)</f>
        <v/>
      </c>
      <c r="F121" s="33">
        <f>(Table2634[[#This Row],[4 weeks average]]-B69)/B69</f>
        <v/>
      </c>
    </row>
    <row r="122">
      <c r="A122" s="23" t="n">
        <v>28212</v>
      </c>
      <c r="B122" s="25">
        <f>VLOOKUP(Table2634[[#This Row],[Date]],'DB Money Supply'!$A:$D,4)</f>
        <v/>
      </c>
      <c r="C122" s="31">
        <f>(Table2634[[#This Row],[M1 Money Stock, Billions of Dollars, Weekly, Seasonally Adjusted]]-B121)/B121</f>
        <v/>
      </c>
      <c r="D122" s="35">
        <f>((1+Table2634[[#This Row],[Weekly change]])^52)-1</f>
        <v/>
      </c>
      <c r="E122" s="25">
        <f>AVERAGE(B119:B122)</f>
        <v/>
      </c>
      <c r="F122" s="33">
        <f>(Table2634[[#This Row],[4 weeks average]]-B70)/B70</f>
        <v/>
      </c>
    </row>
    <row r="123">
      <c r="A123" s="23" t="n">
        <v>28219</v>
      </c>
      <c r="B123" s="25">
        <f>VLOOKUP(Table2634[[#This Row],[Date]],'DB Money Supply'!$A:$D,4)</f>
        <v/>
      </c>
      <c r="C123" s="31">
        <f>(Table2634[[#This Row],[M1 Money Stock, Billions of Dollars, Weekly, Seasonally Adjusted]]-B122)/B122</f>
        <v/>
      </c>
      <c r="D123" s="35">
        <f>((1+Table2634[[#This Row],[Weekly change]])^52)-1</f>
        <v/>
      </c>
      <c r="E123" s="25">
        <f>AVERAGE(B120:B123)</f>
        <v/>
      </c>
      <c r="F123" s="33">
        <f>(Table2634[[#This Row],[4 weeks average]]-B71)/B71</f>
        <v/>
      </c>
    </row>
    <row r="124">
      <c r="A124" s="23" t="n">
        <v>28226</v>
      </c>
      <c r="B124" s="25">
        <f>VLOOKUP(Table2634[[#This Row],[Date]],'DB Money Supply'!$A:$D,4)</f>
        <v/>
      </c>
      <c r="C124" s="31">
        <f>(Table2634[[#This Row],[M1 Money Stock, Billions of Dollars, Weekly, Seasonally Adjusted]]-B123)/B123</f>
        <v/>
      </c>
      <c r="D124" s="35">
        <f>((1+Table2634[[#This Row],[Weekly change]])^52)-1</f>
        <v/>
      </c>
      <c r="E124" s="25">
        <f>AVERAGE(B121:B124)</f>
        <v/>
      </c>
      <c r="F124" s="33">
        <f>(Table2634[[#This Row],[4 weeks average]]-B72)/B72</f>
        <v/>
      </c>
    </row>
    <row r="125">
      <c r="A125" s="23" t="n">
        <v>28233</v>
      </c>
      <c r="B125" s="25">
        <f>VLOOKUP(Table2634[[#This Row],[Date]],'DB Money Supply'!$A:$D,4)</f>
        <v/>
      </c>
      <c r="C125" s="31">
        <f>(Table2634[[#This Row],[M1 Money Stock, Billions of Dollars, Weekly, Seasonally Adjusted]]-B124)/B124</f>
        <v/>
      </c>
      <c r="D125" s="35">
        <f>((1+Table2634[[#This Row],[Weekly change]])^52)-1</f>
        <v/>
      </c>
      <c r="E125" s="25">
        <f>AVERAGE(B122:B125)</f>
        <v/>
      </c>
      <c r="F125" s="33">
        <f>(Table2634[[#This Row],[4 weeks average]]-B73)/B73</f>
        <v/>
      </c>
    </row>
    <row r="126">
      <c r="A126" s="23" t="n">
        <v>28240</v>
      </c>
      <c r="B126" s="25">
        <f>VLOOKUP(Table2634[[#This Row],[Date]],'DB Money Supply'!$A:$D,4)</f>
        <v/>
      </c>
      <c r="C126" s="31">
        <f>(Table2634[[#This Row],[M1 Money Stock, Billions of Dollars, Weekly, Seasonally Adjusted]]-B125)/B125</f>
        <v/>
      </c>
      <c r="D126" s="35">
        <f>((1+Table2634[[#This Row],[Weekly change]])^52)-1</f>
        <v/>
      </c>
      <c r="E126" s="25">
        <f>AVERAGE(B123:B126)</f>
        <v/>
      </c>
      <c r="F126" s="33">
        <f>(Table2634[[#This Row],[4 weeks average]]-B74)/B74</f>
        <v/>
      </c>
    </row>
    <row r="127">
      <c r="A127" s="23" t="n">
        <v>28247</v>
      </c>
      <c r="B127" s="25">
        <f>VLOOKUP(Table2634[[#This Row],[Date]],'DB Money Supply'!$A:$D,4)</f>
        <v/>
      </c>
      <c r="C127" s="31">
        <f>(Table2634[[#This Row],[M1 Money Stock, Billions of Dollars, Weekly, Seasonally Adjusted]]-B126)/B126</f>
        <v/>
      </c>
      <c r="D127" s="35">
        <f>((1+Table2634[[#This Row],[Weekly change]])^52)-1</f>
        <v/>
      </c>
      <c r="E127" s="25">
        <f>AVERAGE(B124:B127)</f>
        <v/>
      </c>
      <c r="F127" s="33">
        <f>(Table2634[[#This Row],[4 weeks average]]-B75)/B75</f>
        <v/>
      </c>
    </row>
    <row r="128">
      <c r="A128" s="23" t="n">
        <v>28254</v>
      </c>
      <c r="B128" s="25">
        <f>VLOOKUP(Table2634[[#This Row],[Date]],'DB Money Supply'!$A:$D,4)</f>
        <v/>
      </c>
      <c r="C128" s="31">
        <f>(Table2634[[#This Row],[M1 Money Stock, Billions of Dollars, Weekly, Seasonally Adjusted]]-B127)/B127</f>
        <v/>
      </c>
      <c r="D128" s="35">
        <f>((1+Table2634[[#This Row],[Weekly change]])^52)-1</f>
        <v/>
      </c>
      <c r="E128" s="25">
        <f>AVERAGE(B125:B128)</f>
        <v/>
      </c>
      <c r="F128" s="33">
        <f>(Table2634[[#This Row],[4 weeks average]]-B76)/B76</f>
        <v/>
      </c>
    </row>
    <row r="129">
      <c r="A129" s="23" t="n">
        <v>28261</v>
      </c>
      <c r="B129" s="25">
        <f>VLOOKUP(Table2634[[#This Row],[Date]],'DB Money Supply'!$A:$D,4)</f>
        <v/>
      </c>
      <c r="C129" s="31">
        <f>(Table2634[[#This Row],[M1 Money Stock, Billions of Dollars, Weekly, Seasonally Adjusted]]-B128)/B128</f>
        <v/>
      </c>
      <c r="D129" s="35">
        <f>((1+Table2634[[#This Row],[Weekly change]])^52)-1</f>
        <v/>
      </c>
      <c r="E129" s="25">
        <f>AVERAGE(B126:B129)</f>
        <v/>
      </c>
      <c r="F129" s="33">
        <f>(Table2634[[#This Row],[4 weeks average]]-B77)/B77</f>
        <v/>
      </c>
    </row>
    <row r="130">
      <c r="A130" s="23" t="n">
        <v>28268</v>
      </c>
      <c r="B130" s="25">
        <f>VLOOKUP(Table2634[[#This Row],[Date]],'DB Money Supply'!$A:$D,4)</f>
        <v/>
      </c>
      <c r="C130" s="31">
        <f>(Table2634[[#This Row],[M1 Money Stock, Billions of Dollars, Weekly, Seasonally Adjusted]]-B129)/B129</f>
        <v/>
      </c>
      <c r="D130" s="35">
        <f>((1+Table2634[[#This Row],[Weekly change]])^52)-1</f>
        <v/>
      </c>
      <c r="E130" s="25">
        <f>AVERAGE(B127:B130)</f>
        <v/>
      </c>
      <c r="F130" s="33">
        <f>(Table2634[[#This Row],[4 weeks average]]-B78)/B78</f>
        <v/>
      </c>
    </row>
    <row r="131">
      <c r="A131" s="23" t="n">
        <v>28275</v>
      </c>
      <c r="B131" s="25">
        <f>VLOOKUP(Table2634[[#This Row],[Date]],'DB Money Supply'!$A:$D,4)</f>
        <v/>
      </c>
      <c r="C131" s="31">
        <f>(Table2634[[#This Row],[M1 Money Stock, Billions of Dollars, Weekly, Seasonally Adjusted]]-B130)/B130</f>
        <v/>
      </c>
      <c r="D131" s="35">
        <f>((1+Table2634[[#This Row],[Weekly change]])^52)-1</f>
        <v/>
      </c>
      <c r="E131" s="25">
        <f>AVERAGE(B128:B131)</f>
        <v/>
      </c>
      <c r="F131" s="33">
        <f>(Table2634[[#This Row],[4 weeks average]]-B79)/B79</f>
        <v/>
      </c>
    </row>
    <row r="132">
      <c r="A132" s="23" t="n">
        <v>28282</v>
      </c>
      <c r="B132" s="25">
        <f>VLOOKUP(Table2634[[#This Row],[Date]],'DB Money Supply'!$A:$D,4)</f>
        <v/>
      </c>
      <c r="C132" s="31">
        <f>(Table2634[[#This Row],[M1 Money Stock, Billions of Dollars, Weekly, Seasonally Adjusted]]-B131)/B131</f>
        <v/>
      </c>
      <c r="D132" s="35">
        <f>((1+Table2634[[#This Row],[Weekly change]])^52)-1</f>
        <v/>
      </c>
      <c r="E132" s="25">
        <f>AVERAGE(B129:B132)</f>
        <v/>
      </c>
      <c r="F132" s="33">
        <f>(Table2634[[#This Row],[4 weeks average]]-B80)/B80</f>
        <v/>
      </c>
    </row>
    <row r="133">
      <c r="A133" s="23" t="n">
        <v>28289</v>
      </c>
      <c r="B133" s="25">
        <f>VLOOKUP(Table2634[[#This Row],[Date]],'DB Money Supply'!$A:$D,4)</f>
        <v/>
      </c>
      <c r="C133" s="31">
        <f>(Table2634[[#This Row],[M1 Money Stock, Billions of Dollars, Weekly, Seasonally Adjusted]]-B132)/B132</f>
        <v/>
      </c>
      <c r="D133" s="35">
        <f>((1+Table2634[[#This Row],[Weekly change]])^52)-1</f>
        <v/>
      </c>
      <c r="E133" s="25">
        <f>AVERAGE(B130:B133)</f>
        <v/>
      </c>
      <c r="F133" s="33">
        <f>(Table2634[[#This Row],[4 weeks average]]-B81)/B81</f>
        <v/>
      </c>
    </row>
    <row r="134">
      <c r="A134" s="23" t="n">
        <v>28296</v>
      </c>
      <c r="B134" s="25">
        <f>VLOOKUP(Table2634[[#This Row],[Date]],'DB Money Supply'!$A:$D,4)</f>
        <v/>
      </c>
      <c r="C134" s="31">
        <f>(Table2634[[#This Row],[M1 Money Stock, Billions of Dollars, Weekly, Seasonally Adjusted]]-B133)/B133</f>
        <v/>
      </c>
      <c r="D134" s="35">
        <f>((1+Table2634[[#This Row],[Weekly change]])^52)-1</f>
        <v/>
      </c>
      <c r="E134" s="25">
        <f>AVERAGE(B131:B134)</f>
        <v/>
      </c>
      <c r="F134" s="33">
        <f>(Table2634[[#This Row],[4 weeks average]]-B82)/B82</f>
        <v/>
      </c>
    </row>
    <row r="135">
      <c r="A135" s="23" t="n">
        <v>28303</v>
      </c>
      <c r="B135" s="25">
        <f>VLOOKUP(Table2634[[#This Row],[Date]],'DB Money Supply'!$A:$D,4)</f>
        <v/>
      </c>
      <c r="C135" s="31">
        <f>(Table2634[[#This Row],[M1 Money Stock, Billions of Dollars, Weekly, Seasonally Adjusted]]-B134)/B134</f>
        <v/>
      </c>
      <c r="D135" s="35">
        <f>((1+Table2634[[#This Row],[Weekly change]])^52)-1</f>
        <v/>
      </c>
      <c r="E135" s="25">
        <f>AVERAGE(B132:B135)</f>
        <v/>
      </c>
      <c r="F135" s="33">
        <f>(Table2634[[#This Row],[4 weeks average]]-B83)/B83</f>
        <v/>
      </c>
    </row>
    <row r="136">
      <c r="A136" s="23" t="n">
        <v>28310</v>
      </c>
      <c r="B136" s="25">
        <f>VLOOKUP(Table2634[[#This Row],[Date]],'DB Money Supply'!$A:$D,4)</f>
        <v/>
      </c>
      <c r="C136" s="31">
        <f>(Table2634[[#This Row],[M1 Money Stock, Billions of Dollars, Weekly, Seasonally Adjusted]]-B135)/B135</f>
        <v/>
      </c>
      <c r="D136" s="35">
        <f>((1+Table2634[[#This Row],[Weekly change]])^52)-1</f>
        <v/>
      </c>
      <c r="E136" s="25">
        <f>AVERAGE(B133:B136)</f>
        <v/>
      </c>
      <c r="F136" s="33">
        <f>(Table2634[[#This Row],[4 weeks average]]-B84)/B84</f>
        <v/>
      </c>
    </row>
    <row r="137">
      <c r="A137" s="23" t="n">
        <v>28317</v>
      </c>
      <c r="B137" s="25">
        <f>VLOOKUP(Table2634[[#This Row],[Date]],'DB Money Supply'!$A:$D,4)</f>
        <v/>
      </c>
      <c r="C137" s="31">
        <f>(Table2634[[#This Row],[M1 Money Stock, Billions of Dollars, Weekly, Seasonally Adjusted]]-B136)/B136</f>
        <v/>
      </c>
      <c r="D137" s="35">
        <f>((1+Table2634[[#This Row],[Weekly change]])^52)-1</f>
        <v/>
      </c>
      <c r="E137" s="25">
        <f>AVERAGE(B134:B137)</f>
        <v/>
      </c>
      <c r="F137" s="33">
        <f>(Table2634[[#This Row],[4 weeks average]]-B85)/B85</f>
        <v/>
      </c>
    </row>
    <row r="138">
      <c r="A138" s="23" t="n">
        <v>28324</v>
      </c>
      <c r="B138" s="25">
        <f>VLOOKUP(Table2634[[#This Row],[Date]],'DB Money Supply'!$A:$D,4)</f>
        <v/>
      </c>
      <c r="C138" s="31">
        <f>(Table2634[[#This Row],[M1 Money Stock, Billions of Dollars, Weekly, Seasonally Adjusted]]-B137)/B137</f>
        <v/>
      </c>
      <c r="D138" s="35">
        <f>((1+Table2634[[#This Row],[Weekly change]])^52)-1</f>
        <v/>
      </c>
      <c r="E138" s="25">
        <f>AVERAGE(B135:B138)</f>
        <v/>
      </c>
      <c r="F138" s="33">
        <f>(Table2634[[#This Row],[4 weeks average]]-B86)/B86</f>
        <v/>
      </c>
    </row>
    <row r="139">
      <c r="A139" s="23" t="n">
        <v>28331</v>
      </c>
      <c r="B139" s="25">
        <f>VLOOKUP(Table2634[[#This Row],[Date]],'DB Money Supply'!$A:$D,4)</f>
        <v/>
      </c>
      <c r="C139" s="31">
        <f>(Table2634[[#This Row],[M1 Money Stock, Billions of Dollars, Weekly, Seasonally Adjusted]]-B138)/B138</f>
        <v/>
      </c>
      <c r="D139" s="35">
        <f>((1+Table2634[[#This Row],[Weekly change]])^52)-1</f>
        <v/>
      </c>
      <c r="E139" s="25">
        <f>AVERAGE(B136:B139)</f>
        <v/>
      </c>
      <c r="F139" s="33">
        <f>(Table2634[[#This Row],[4 weeks average]]-B87)/B87</f>
        <v/>
      </c>
    </row>
    <row r="140">
      <c r="A140" s="23" t="n">
        <v>28338</v>
      </c>
      <c r="B140" s="25">
        <f>VLOOKUP(Table2634[[#This Row],[Date]],'DB Money Supply'!$A:$D,4)</f>
        <v/>
      </c>
      <c r="C140" s="31">
        <f>(Table2634[[#This Row],[M1 Money Stock, Billions of Dollars, Weekly, Seasonally Adjusted]]-B139)/B139</f>
        <v/>
      </c>
      <c r="D140" s="35">
        <f>((1+Table2634[[#This Row],[Weekly change]])^52)-1</f>
        <v/>
      </c>
      <c r="E140" s="25">
        <f>AVERAGE(B137:B140)</f>
        <v/>
      </c>
      <c r="F140" s="33">
        <f>(Table2634[[#This Row],[4 weeks average]]-B88)/B88</f>
        <v/>
      </c>
    </row>
    <row r="141">
      <c r="A141" s="23" t="n">
        <v>28345</v>
      </c>
      <c r="B141" s="25">
        <f>VLOOKUP(Table2634[[#This Row],[Date]],'DB Money Supply'!$A:$D,4)</f>
        <v/>
      </c>
      <c r="C141" s="31">
        <f>(Table2634[[#This Row],[M1 Money Stock, Billions of Dollars, Weekly, Seasonally Adjusted]]-B140)/B140</f>
        <v/>
      </c>
      <c r="D141" s="35">
        <f>((1+Table2634[[#This Row],[Weekly change]])^52)-1</f>
        <v/>
      </c>
      <c r="E141" s="25">
        <f>AVERAGE(B138:B141)</f>
        <v/>
      </c>
      <c r="F141" s="33">
        <f>(Table2634[[#This Row],[4 weeks average]]-B89)/B89</f>
        <v/>
      </c>
    </row>
    <row r="142">
      <c r="A142" s="23" t="n">
        <v>28352</v>
      </c>
      <c r="B142" s="25">
        <f>VLOOKUP(Table2634[[#This Row],[Date]],'DB Money Supply'!$A:$D,4)</f>
        <v/>
      </c>
      <c r="C142" s="31">
        <f>(Table2634[[#This Row],[M1 Money Stock, Billions of Dollars, Weekly, Seasonally Adjusted]]-B141)/B141</f>
        <v/>
      </c>
      <c r="D142" s="35">
        <f>((1+Table2634[[#This Row],[Weekly change]])^52)-1</f>
        <v/>
      </c>
      <c r="E142" s="25">
        <f>AVERAGE(B139:B142)</f>
        <v/>
      </c>
      <c r="F142" s="33">
        <f>(Table2634[[#This Row],[4 weeks average]]-B90)/B90</f>
        <v/>
      </c>
    </row>
    <row r="143">
      <c r="A143" s="23" t="n">
        <v>28359</v>
      </c>
      <c r="B143" s="25">
        <f>VLOOKUP(Table2634[[#This Row],[Date]],'DB Money Supply'!$A:$D,4)</f>
        <v/>
      </c>
      <c r="C143" s="31">
        <f>(Table2634[[#This Row],[M1 Money Stock, Billions of Dollars, Weekly, Seasonally Adjusted]]-B142)/B142</f>
        <v/>
      </c>
      <c r="D143" s="35">
        <f>((1+Table2634[[#This Row],[Weekly change]])^52)-1</f>
        <v/>
      </c>
      <c r="E143" s="25">
        <f>AVERAGE(B140:B143)</f>
        <v/>
      </c>
      <c r="F143" s="33">
        <f>(Table2634[[#This Row],[4 weeks average]]-B91)/B91</f>
        <v/>
      </c>
    </row>
    <row r="144">
      <c r="A144" s="23" t="n">
        <v>28366</v>
      </c>
      <c r="B144" s="25">
        <f>VLOOKUP(Table2634[[#This Row],[Date]],'DB Money Supply'!$A:$D,4)</f>
        <v/>
      </c>
      <c r="C144" s="31">
        <f>(Table2634[[#This Row],[M1 Money Stock, Billions of Dollars, Weekly, Seasonally Adjusted]]-B143)/B143</f>
        <v/>
      </c>
      <c r="D144" s="35">
        <f>((1+Table2634[[#This Row],[Weekly change]])^52)-1</f>
        <v/>
      </c>
      <c r="E144" s="25">
        <f>AVERAGE(B141:B144)</f>
        <v/>
      </c>
      <c r="F144" s="33">
        <f>(Table2634[[#This Row],[4 weeks average]]-B92)/B92</f>
        <v/>
      </c>
    </row>
    <row r="145">
      <c r="A145" s="23" t="n">
        <v>28373</v>
      </c>
      <c r="B145" s="25">
        <f>VLOOKUP(Table2634[[#This Row],[Date]],'DB Money Supply'!$A:$D,4)</f>
        <v/>
      </c>
      <c r="C145" s="31">
        <f>(Table2634[[#This Row],[M1 Money Stock, Billions of Dollars, Weekly, Seasonally Adjusted]]-B144)/B144</f>
        <v/>
      </c>
      <c r="D145" s="35">
        <f>((1+Table2634[[#This Row],[Weekly change]])^52)-1</f>
        <v/>
      </c>
      <c r="E145" s="25">
        <f>AVERAGE(B142:B145)</f>
        <v/>
      </c>
      <c r="F145" s="33">
        <f>(Table2634[[#This Row],[4 weeks average]]-B93)/B93</f>
        <v/>
      </c>
    </row>
    <row r="146">
      <c r="A146" s="23" t="n">
        <v>28380</v>
      </c>
      <c r="B146" s="25">
        <f>VLOOKUP(Table2634[[#This Row],[Date]],'DB Money Supply'!$A:$D,4)</f>
        <v/>
      </c>
      <c r="C146" s="31">
        <f>(Table2634[[#This Row],[M1 Money Stock, Billions of Dollars, Weekly, Seasonally Adjusted]]-B145)/B145</f>
        <v/>
      </c>
      <c r="D146" s="35">
        <f>((1+Table2634[[#This Row],[Weekly change]])^52)-1</f>
        <v/>
      </c>
      <c r="E146" s="25">
        <f>AVERAGE(B143:B146)</f>
        <v/>
      </c>
      <c r="F146" s="33">
        <f>(Table2634[[#This Row],[4 weeks average]]-B94)/B94</f>
        <v/>
      </c>
    </row>
    <row r="147">
      <c r="A147" s="23" t="n">
        <v>28387</v>
      </c>
      <c r="B147" s="25">
        <f>VLOOKUP(Table2634[[#This Row],[Date]],'DB Money Supply'!$A:$D,4)</f>
        <v/>
      </c>
      <c r="C147" s="31">
        <f>(Table2634[[#This Row],[M1 Money Stock, Billions of Dollars, Weekly, Seasonally Adjusted]]-B146)/B146</f>
        <v/>
      </c>
      <c r="D147" s="35">
        <f>((1+Table2634[[#This Row],[Weekly change]])^52)-1</f>
        <v/>
      </c>
      <c r="E147" s="25">
        <f>AVERAGE(B144:B147)</f>
        <v/>
      </c>
      <c r="F147" s="33">
        <f>(Table2634[[#This Row],[4 weeks average]]-B95)/B95</f>
        <v/>
      </c>
    </row>
    <row r="148">
      <c r="A148" s="23" t="n">
        <v>28394</v>
      </c>
      <c r="B148" s="25">
        <f>VLOOKUP(Table2634[[#This Row],[Date]],'DB Money Supply'!$A:$D,4)</f>
        <v/>
      </c>
      <c r="C148" s="31">
        <f>(Table2634[[#This Row],[M1 Money Stock, Billions of Dollars, Weekly, Seasonally Adjusted]]-B147)/B147</f>
        <v/>
      </c>
      <c r="D148" s="35">
        <f>((1+Table2634[[#This Row],[Weekly change]])^52)-1</f>
        <v/>
      </c>
      <c r="E148" s="25">
        <f>AVERAGE(B145:B148)</f>
        <v/>
      </c>
      <c r="F148" s="33">
        <f>(Table2634[[#This Row],[4 weeks average]]-B96)/B96</f>
        <v/>
      </c>
    </row>
    <row r="149">
      <c r="A149" s="23" t="n">
        <v>28401</v>
      </c>
      <c r="B149" s="25">
        <f>VLOOKUP(Table2634[[#This Row],[Date]],'DB Money Supply'!$A:$D,4)</f>
        <v/>
      </c>
      <c r="C149" s="31">
        <f>(Table2634[[#This Row],[M1 Money Stock, Billions of Dollars, Weekly, Seasonally Adjusted]]-B148)/B148</f>
        <v/>
      </c>
      <c r="D149" s="35">
        <f>((1+Table2634[[#This Row],[Weekly change]])^52)-1</f>
        <v/>
      </c>
      <c r="E149" s="25">
        <f>AVERAGE(B146:B149)</f>
        <v/>
      </c>
      <c r="F149" s="33">
        <f>(Table2634[[#This Row],[4 weeks average]]-B97)/B97</f>
        <v/>
      </c>
    </row>
    <row r="150">
      <c r="A150" s="23" t="n">
        <v>28408</v>
      </c>
      <c r="B150" s="25">
        <f>VLOOKUP(Table2634[[#This Row],[Date]],'DB Money Supply'!$A:$D,4)</f>
        <v/>
      </c>
      <c r="C150" s="31">
        <f>(Table2634[[#This Row],[M1 Money Stock, Billions of Dollars, Weekly, Seasonally Adjusted]]-B149)/B149</f>
        <v/>
      </c>
      <c r="D150" s="35">
        <f>((1+Table2634[[#This Row],[Weekly change]])^52)-1</f>
        <v/>
      </c>
      <c r="E150" s="25">
        <f>AVERAGE(B147:B150)</f>
        <v/>
      </c>
      <c r="F150" s="33">
        <f>(Table2634[[#This Row],[4 weeks average]]-B98)/B98</f>
        <v/>
      </c>
    </row>
    <row r="151">
      <c r="A151" s="23" t="n">
        <v>28415</v>
      </c>
      <c r="B151" s="25">
        <f>VLOOKUP(Table2634[[#This Row],[Date]],'DB Money Supply'!$A:$D,4)</f>
        <v/>
      </c>
      <c r="C151" s="31">
        <f>(Table2634[[#This Row],[M1 Money Stock, Billions of Dollars, Weekly, Seasonally Adjusted]]-B150)/B150</f>
        <v/>
      </c>
      <c r="D151" s="35">
        <f>((1+Table2634[[#This Row],[Weekly change]])^52)-1</f>
        <v/>
      </c>
      <c r="E151" s="25">
        <f>AVERAGE(B148:B151)</f>
        <v/>
      </c>
      <c r="F151" s="33">
        <f>(Table2634[[#This Row],[4 weeks average]]-B99)/B99</f>
        <v/>
      </c>
    </row>
    <row r="152">
      <c r="A152" s="23" t="n">
        <v>28422</v>
      </c>
      <c r="B152" s="25">
        <f>VLOOKUP(Table2634[[#This Row],[Date]],'DB Money Supply'!$A:$D,4)</f>
        <v/>
      </c>
      <c r="C152" s="31">
        <f>(Table2634[[#This Row],[M1 Money Stock, Billions of Dollars, Weekly, Seasonally Adjusted]]-B151)/B151</f>
        <v/>
      </c>
      <c r="D152" s="35">
        <f>((1+Table2634[[#This Row],[Weekly change]])^52)-1</f>
        <v/>
      </c>
      <c r="E152" s="25">
        <f>AVERAGE(B149:B152)</f>
        <v/>
      </c>
      <c r="F152" s="33">
        <f>(Table2634[[#This Row],[4 weeks average]]-B100)/B100</f>
        <v/>
      </c>
    </row>
    <row r="153">
      <c r="A153" s="23" t="n">
        <v>28429</v>
      </c>
      <c r="B153" s="25">
        <f>VLOOKUP(Table2634[[#This Row],[Date]],'DB Money Supply'!$A:$D,4)</f>
        <v/>
      </c>
      <c r="C153" s="31">
        <f>(Table2634[[#This Row],[M1 Money Stock, Billions of Dollars, Weekly, Seasonally Adjusted]]-B152)/B152</f>
        <v/>
      </c>
      <c r="D153" s="35">
        <f>((1+Table2634[[#This Row],[Weekly change]])^52)-1</f>
        <v/>
      </c>
      <c r="E153" s="25">
        <f>AVERAGE(B150:B153)</f>
        <v/>
      </c>
      <c r="F153" s="33">
        <f>(Table2634[[#This Row],[4 weeks average]]-B101)/B101</f>
        <v/>
      </c>
    </row>
    <row r="154">
      <c r="A154" s="23" t="n">
        <v>28436</v>
      </c>
      <c r="B154" s="25">
        <f>VLOOKUP(Table2634[[#This Row],[Date]],'DB Money Supply'!$A:$D,4)</f>
        <v/>
      </c>
      <c r="C154" s="31">
        <f>(Table2634[[#This Row],[M1 Money Stock, Billions of Dollars, Weekly, Seasonally Adjusted]]-B153)/B153</f>
        <v/>
      </c>
      <c r="D154" s="35">
        <f>((1+Table2634[[#This Row],[Weekly change]])^52)-1</f>
        <v/>
      </c>
      <c r="E154" s="25">
        <f>AVERAGE(B151:B154)</f>
        <v/>
      </c>
      <c r="F154" s="33">
        <f>(Table2634[[#This Row],[4 weeks average]]-B102)/B102</f>
        <v/>
      </c>
    </row>
    <row r="155">
      <c r="A155" s="23" t="n">
        <v>28443</v>
      </c>
      <c r="B155" s="25">
        <f>VLOOKUP(Table2634[[#This Row],[Date]],'DB Money Supply'!$A:$D,4)</f>
        <v/>
      </c>
      <c r="C155" s="31">
        <f>(Table2634[[#This Row],[M1 Money Stock, Billions of Dollars, Weekly, Seasonally Adjusted]]-B154)/B154</f>
        <v/>
      </c>
      <c r="D155" s="35">
        <f>((1+Table2634[[#This Row],[Weekly change]])^52)-1</f>
        <v/>
      </c>
      <c r="E155" s="25">
        <f>AVERAGE(B152:B155)</f>
        <v/>
      </c>
      <c r="F155" s="33">
        <f>(Table2634[[#This Row],[4 weeks average]]-B103)/B103</f>
        <v/>
      </c>
    </row>
    <row r="156">
      <c r="A156" s="23" t="n">
        <v>28450</v>
      </c>
      <c r="B156" s="25">
        <f>VLOOKUP(Table2634[[#This Row],[Date]],'DB Money Supply'!$A:$D,4)</f>
        <v/>
      </c>
      <c r="C156" s="31">
        <f>(Table2634[[#This Row],[M1 Money Stock, Billions of Dollars, Weekly, Seasonally Adjusted]]-B155)/B155</f>
        <v/>
      </c>
      <c r="D156" s="35">
        <f>((1+Table2634[[#This Row],[Weekly change]])^52)-1</f>
        <v/>
      </c>
      <c r="E156" s="25">
        <f>AVERAGE(B153:B156)</f>
        <v/>
      </c>
      <c r="F156" s="33">
        <f>(Table2634[[#This Row],[4 weeks average]]-B104)/B104</f>
        <v/>
      </c>
    </row>
    <row r="157">
      <c r="A157" s="23" t="n">
        <v>28457</v>
      </c>
      <c r="B157" s="25">
        <f>VLOOKUP(Table2634[[#This Row],[Date]],'DB Money Supply'!$A:$D,4)</f>
        <v/>
      </c>
      <c r="C157" s="31">
        <f>(Table2634[[#This Row],[M1 Money Stock, Billions of Dollars, Weekly, Seasonally Adjusted]]-B156)/B156</f>
        <v/>
      </c>
      <c r="D157" s="35">
        <f>((1+Table2634[[#This Row],[Weekly change]])^52)-1</f>
        <v/>
      </c>
      <c r="E157" s="25">
        <f>AVERAGE(B154:B157)</f>
        <v/>
      </c>
      <c r="F157" s="33">
        <f>(Table2634[[#This Row],[4 weeks average]]-B105)/B105</f>
        <v/>
      </c>
    </row>
    <row r="158">
      <c r="A158" s="23" t="n">
        <v>28464</v>
      </c>
      <c r="B158" s="25">
        <f>VLOOKUP(Table2634[[#This Row],[Date]],'DB Money Supply'!$A:$D,4)</f>
        <v/>
      </c>
      <c r="C158" s="31">
        <f>(Table2634[[#This Row],[M1 Money Stock, Billions of Dollars, Weekly, Seasonally Adjusted]]-B157)/B157</f>
        <v/>
      </c>
      <c r="D158" s="35">
        <f>((1+Table2634[[#This Row],[Weekly change]])^52)-1</f>
        <v/>
      </c>
      <c r="E158" s="25">
        <f>AVERAGE(B155:B158)</f>
        <v/>
      </c>
      <c r="F158" s="33">
        <f>(Table2634[[#This Row],[4 weeks average]]-B106)/B106</f>
        <v/>
      </c>
    </row>
    <row r="159">
      <c r="A159" s="23" t="n">
        <v>28471</v>
      </c>
      <c r="B159" s="25">
        <f>VLOOKUP(Table2634[[#This Row],[Date]],'DB Money Supply'!$A:$D,4)</f>
        <v/>
      </c>
      <c r="C159" s="31">
        <f>(Table2634[[#This Row],[M1 Money Stock, Billions of Dollars, Weekly, Seasonally Adjusted]]-B158)/B158</f>
        <v/>
      </c>
      <c r="D159" s="35">
        <f>((1+Table2634[[#This Row],[Weekly change]])^52)-1</f>
        <v/>
      </c>
      <c r="E159" s="25">
        <f>AVERAGE(B156:B159)</f>
        <v/>
      </c>
      <c r="F159" s="33">
        <f>(Table2634[[#This Row],[4 weeks average]]-B107)/B107</f>
        <v/>
      </c>
    </row>
    <row r="160">
      <c r="A160" s="23" t="n">
        <v>28478</v>
      </c>
      <c r="B160" s="25">
        <f>VLOOKUP(Table2634[[#This Row],[Date]],'DB Money Supply'!$A:$D,4)</f>
        <v/>
      </c>
      <c r="C160" s="31">
        <f>(Table2634[[#This Row],[M1 Money Stock, Billions of Dollars, Weekly, Seasonally Adjusted]]-B159)/B159</f>
        <v/>
      </c>
      <c r="D160" s="35">
        <f>((1+Table2634[[#This Row],[Weekly change]])^52)-1</f>
        <v/>
      </c>
      <c r="E160" s="25">
        <f>AVERAGE(B157:B160)</f>
        <v/>
      </c>
      <c r="F160" s="33">
        <f>(Table2634[[#This Row],[4 weeks average]]-B108)/B108</f>
        <v/>
      </c>
    </row>
    <row r="161">
      <c r="A161" s="23" t="n">
        <v>28485</v>
      </c>
      <c r="B161" s="25">
        <f>VLOOKUP(Table2634[[#This Row],[Date]],'DB Money Supply'!$A:$D,4)</f>
        <v/>
      </c>
      <c r="C161" s="31">
        <f>(Table2634[[#This Row],[M1 Money Stock, Billions of Dollars, Weekly, Seasonally Adjusted]]-B160)/B160</f>
        <v/>
      </c>
      <c r="D161" s="35">
        <f>((1+Table2634[[#This Row],[Weekly change]])^52)-1</f>
        <v/>
      </c>
      <c r="E161" s="25">
        <f>AVERAGE(B158:B161)</f>
        <v/>
      </c>
      <c r="F161" s="33">
        <f>(Table2634[[#This Row],[4 weeks average]]-B109)/B109</f>
        <v/>
      </c>
    </row>
    <row r="162">
      <c r="A162" s="23" t="n">
        <v>28492</v>
      </c>
      <c r="B162" s="25">
        <f>VLOOKUP(Table2634[[#This Row],[Date]],'DB Money Supply'!$A:$D,4)</f>
        <v/>
      </c>
      <c r="C162" s="31">
        <f>(Table2634[[#This Row],[M1 Money Stock, Billions of Dollars, Weekly, Seasonally Adjusted]]-B161)/B161</f>
        <v/>
      </c>
      <c r="D162" s="35">
        <f>((1+Table2634[[#This Row],[Weekly change]])^52)-1</f>
        <v/>
      </c>
      <c r="E162" s="25">
        <f>AVERAGE(B159:B162)</f>
        <v/>
      </c>
      <c r="F162" s="33">
        <f>(Table2634[[#This Row],[4 weeks average]]-B110)/B110</f>
        <v/>
      </c>
    </row>
    <row r="163">
      <c r="A163" s="23" t="n">
        <v>28499</v>
      </c>
      <c r="B163" s="25">
        <f>VLOOKUP(Table2634[[#This Row],[Date]],'DB Money Supply'!$A:$D,4)</f>
        <v/>
      </c>
      <c r="C163" s="31">
        <f>(Table2634[[#This Row],[M1 Money Stock, Billions of Dollars, Weekly, Seasonally Adjusted]]-B162)/B162</f>
        <v/>
      </c>
      <c r="D163" s="35">
        <f>((1+Table2634[[#This Row],[Weekly change]])^52)-1</f>
        <v/>
      </c>
      <c r="E163" s="25">
        <f>AVERAGE(B160:B163)</f>
        <v/>
      </c>
      <c r="F163" s="33">
        <f>(Table2634[[#This Row],[4 weeks average]]-B111)/B111</f>
        <v/>
      </c>
    </row>
    <row r="164">
      <c r="A164" s="23" t="n">
        <v>28506</v>
      </c>
      <c r="B164" s="25">
        <f>VLOOKUP(Table2634[[#This Row],[Date]],'DB Money Supply'!$A:$D,4)</f>
        <v/>
      </c>
      <c r="C164" s="31">
        <f>(Table2634[[#This Row],[M1 Money Stock, Billions of Dollars, Weekly, Seasonally Adjusted]]-B163)/B163</f>
        <v/>
      </c>
      <c r="D164" s="35">
        <f>((1+Table2634[[#This Row],[Weekly change]])^52)-1</f>
        <v/>
      </c>
      <c r="E164" s="25">
        <f>AVERAGE(B161:B164)</f>
        <v/>
      </c>
      <c r="F164" s="33">
        <f>(Table2634[[#This Row],[4 weeks average]]-B112)/B112</f>
        <v/>
      </c>
    </row>
    <row r="165">
      <c r="A165" s="23" t="n">
        <v>28513</v>
      </c>
      <c r="B165" s="25">
        <f>VLOOKUP(Table2634[[#This Row],[Date]],'DB Money Supply'!$A:$D,4)</f>
        <v/>
      </c>
      <c r="C165" s="31">
        <f>(Table2634[[#This Row],[M1 Money Stock, Billions of Dollars, Weekly, Seasonally Adjusted]]-B164)/B164</f>
        <v/>
      </c>
      <c r="D165" s="35">
        <f>((1+Table2634[[#This Row],[Weekly change]])^52)-1</f>
        <v/>
      </c>
      <c r="E165" s="25">
        <f>AVERAGE(B162:B165)</f>
        <v/>
      </c>
      <c r="F165" s="33">
        <f>(Table2634[[#This Row],[4 weeks average]]-B113)/B113</f>
        <v/>
      </c>
    </row>
    <row r="166">
      <c r="A166" s="23" t="n">
        <v>28520</v>
      </c>
      <c r="B166" s="25">
        <f>VLOOKUP(Table2634[[#This Row],[Date]],'DB Money Supply'!$A:$D,4)</f>
        <v/>
      </c>
      <c r="C166" s="31">
        <f>(Table2634[[#This Row],[M1 Money Stock, Billions of Dollars, Weekly, Seasonally Adjusted]]-B165)/B165</f>
        <v/>
      </c>
      <c r="D166" s="35">
        <f>((1+Table2634[[#This Row],[Weekly change]])^52)-1</f>
        <v/>
      </c>
      <c r="E166" s="25">
        <f>AVERAGE(B163:B166)</f>
        <v/>
      </c>
      <c r="F166" s="33">
        <f>(Table2634[[#This Row],[4 weeks average]]-B114)/B114</f>
        <v/>
      </c>
    </row>
    <row r="167">
      <c r="A167" s="23" t="n">
        <v>28527</v>
      </c>
      <c r="B167" s="25">
        <f>VLOOKUP(Table2634[[#This Row],[Date]],'DB Money Supply'!$A:$D,4)</f>
        <v/>
      </c>
      <c r="C167" s="31">
        <f>(Table2634[[#This Row],[M1 Money Stock, Billions of Dollars, Weekly, Seasonally Adjusted]]-B166)/B166</f>
        <v/>
      </c>
      <c r="D167" s="35">
        <f>((1+Table2634[[#This Row],[Weekly change]])^52)-1</f>
        <v/>
      </c>
      <c r="E167" s="25">
        <f>AVERAGE(B164:B167)</f>
        <v/>
      </c>
      <c r="F167" s="33">
        <f>(Table2634[[#This Row],[4 weeks average]]-B115)/B115</f>
        <v/>
      </c>
    </row>
    <row r="168">
      <c r="A168" s="23" t="n">
        <v>28534</v>
      </c>
      <c r="B168" s="25">
        <f>VLOOKUP(Table2634[[#This Row],[Date]],'DB Money Supply'!$A:$D,4)</f>
        <v/>
      </c>
      <c r="C168" s="31">
        <f>(Table2634[[#This Row],[M1 Money Stock, Billions of Dollars, Weekly, Seasonally Adjusted]]-B167)/B167</f>
        <v/>
      </c>
      <c r="D168" s="35">
        <f>((1+Table2634[[#This Row],[Weekly change]])^52)-1</f>
        <v/>
      </c>
      <c r="E168" s="25">
        <f>AVERAGE(B165:B168)</f>
        <v/>
      </c>
      <c r="F168" s="33">
        <f>(Table2634[[#This Row],[4 weeks average]]-B116)/B116</f>
        <v/>
      </c>
    </row>
    <row r="169">
      <c r="A169" s="23" t="n">
        <v>28541</v>
      </c>
      <c r="B169" s="25">
        <f>VLOOKUP(Table2634[[#This Row],[Date]],'DB Money Supply'!$A:$D,4)</f>
        <v/>
      </c>
      <c r="C169" s="31">
        <f>(Table2634[[#This Row],[M1 Money Stock, Billions of Dollars, Weekly, Seasonally Adjusted]]-B168)/B168</f>
        <v/>
      </c>
      <c r="D169" s="35">
        <f>((1+Table2634[[#This Row],[Weekly change]])^52)-1</f>
        <v/>
      </c>
      <c r="E169" s="25">
        <f>AVERAGE(B166:B169)</f>
        <v/>
      </c>
      <c r="F169" s="33">
        <f>(Table2634[[#This Row],[4 weeks average]]-B117)/B117</f>
        <v/>
      </c>
    </row>
    <row r="170">
      <c r="A170" s="23" t="n">
        <v>28548</v>
      </c>
      <c r="B170" s="25">
        <f>VLOOKUP(Table2634[[#This Row],[Date]],'DB Money Supply'!$A:$D,4)</f>
        <v/>
      </c>
      <c r="C170" s="31">
        <f>(Table2634[[#This Row],[M1 Money Stock, Billions of Dollars, Weekly, Seasonally Adjusted]]-B169)/B169</f>
        <v/>
      </c>
      <c r="D170" s="35">
        <f>((1+Table2634[[#This Row],[Weekly change]])^52)-1</f>
        <v/>
      </c>
      <c r="E170" s="25">
        <f>AVERAGE(B167:B170)</f>
        <v/>
      </c>
      <c r="F170" s="33">
        <f>(Table2634[[#This Row],[4 weeks average]]-B118)/B118</f>
        <v/>
      </c>
    </row>
    <row r="171">
      <c r="A171" s="23" t="n">
        <v>28555</v>
      </c>
      <c r="B171" s="25">
        <f>VLOOKUP(Table2634[[#This Row],[Date]],'DB Money Supply'!$A:$D,4)</f>
        <v/>
      </c>
      <c r="C171" s="31">
        <f>(Table2634[[#This Row],[M1 Money Stock, Billions of Dollars, Weekly, Seasonally Adjusted]]-B170)/B170</f>
        <v/>
      </c>
      <c r="D171" s="35">
        <f>((1+Table2634[[#This Row],[Weekly change]])^52)-1</f>
        <v/>
      </c>
      <c r="E171" s="25">
        <f>AVERAGE(B168:B171)</f>
        <v/>
      </c>
      <c r="F171" s="33">
        <f>(Table2634[[#This Row],[4 weeks average]]-B119)/B119</f>
        <v/>
      </c>
    </row>
    <row r="172">
      <c r="A172" s="23" t="n">
        <v>28562</v>
      </c>
      <c r="B172" s="25">
        <f>VLOOKUP(Table2634[[#This Row],[Date]],'DB Money Supply'!$A:$D,4)</f>
        <v/>
      </c>
      <c r="C172" s="31">
        <f>(Table2634[[#This Row],[M1 Money Stock, Billions of Dollars, Weekly, Seasonally Adjusted]]-B171)/B171</f>
        <v/>
      </c>
      <c r="D172" s="35">
        <f>((1+Table2634[[#This Row],[Weekly change]])^52)-1</f>
        <v/>
      </c>
      <c r="E172" s="25">
        <f>AVERAGE(B169:B172)</f>
        <v/>
      </c>
      <c r="F172" s="33">
        <f>(Table2634[[#This Row],[4 weeks average]]-B120)/B120</f>
        <v/>
      </c>
    </row>
    <row r="173">
      <c r="A173" s="23" t="n">
        <v>28569</v>
      </c>
      <c r="B173" s="25">
        <f>VLOOKUP(Table2634[[#This Row],[Date]],'DB Money Supply'!$A:$D,4)</f>
        <v/>
      </c>
      <c r="C173" s="31">
        <f>(Table2634[[#This Row],[M1 Money Stock, Billions of Dollars, Weekly, Seasonally Adjusted]]-B172)/B172</f>
        <v/>
      </c>
      <c r="D173" s="35">
        <f>((1+Table2634[[#This Row],[Weekly change]])^52)-1</f>
        <v/>
      </c>
      <c r="E173" s="25">
        <f>AVERAGE(B170:B173)</f>
        <v/>
      </c>
      <c r="F173" s="33">
        <f>(Table2634[[#This Row],[4 weeks average]]-B121)/B121</f>
        <v/>
      </c>
    </row>
    <row r="174">
      <c r="A174" s="23" t="n">
        <v>28576</v>
      </c>
      <c r="B174" s="25">
        <f>VLOOKUP(Table2634[[#This Row],[Date]],'DB Money Supply'!$A:$D,4)</f>
        <v/>
      </c>
      <c r="C174" s="31">
        <f>(Table2634[[#This Row],[M1 Money Stock, Billions of Dollars, Weekly, Seasonally Adjusted]]-B173)/B173</f>
        <v/>
      </c>
      <c r="D174" s="35">
        <f>((1+Table2634[[#This Row],[Weekly change]])^52)-1</f>
        <v/>
      </c>
      <c r="E174" s="25">
        <f>AVERAGE(B171:B174)</f>
        <v/>
      </c>
      <c r="F174" s="33">
        <f>(Table2634[[#This Row],[4 weeks average]]-B122)/B122</f>
        <v/>
      </c>
    </row>
    <row r="175">
      <c r="A175" s="23" t="n">
        <v>28583</v>
      </c>
      <c r="B175" s="25">
        <f>VLOOKUP(Table2634[[#This Row],[Date]],'DB Money Supply'!$A:$D,4)</f>
        <v/>
      </c>
      <c r="C175" s="31">
        <f>(Table2634[[#This Row],[M1 Money Stock, Billions of Dollars, Weekly, Seasonally Adjusted]]-B174)/B174</f>
        <v/>
      </c>
      <c r="D175" s="35">
        <f>((1+Table2634[[#This Row],[Weekly change]])^52)-1</f>
        <v/>
      </c>
      <c r="E175" s="25">
        <f>AVERAGE(B172:B175)</f>
        <v/>
      </c>
      <c r="F175" s="33">
        <f>(Table2634[[#This Row],[4 weeks average]]-B123)/B123</f>
        <v/>
      </c>
    </row>
    <row r="176">
      <c r="A176" s="23" t="n">
        <v>28590</v>
      </c>
      <c r="B176" s="25">
        <f>VLOOKUP(Table2634[[#This Row],[Date]],'DB Money Supply'!$A:$D,4)</f>
        <v/>
      </c>
      <c r="C176" s="31">
        <f>(Table2634[[#This Row],[M1 Money Stock, Billions of Dollars, Weekly, Seasonally Adjusted]]-B175)/B175</f>
        <v/>
      </c>
      <c r="D176" s="35">
        <f>((1+Table2634[[#This Row],[Weekly change]])^52)-1</f>
        <v/>
      </c>
      <c r="E176" s="25">
        <f>AVERAGE(B173:B176)</f>
        <v/>
      </c>
      <c r="F176" s="33">
        <f>(Table2634[[#This Row],[4 weeks average]]-B124)/B124</f>
        <v/>
      </c>
    </row>
    <row r="177">
      <c r="A177" s="23" t="n">
        <v>28597</v>
      </c>
      <c r="B177" s="25">
        <f>VLOOKUP(Table2634[[#This Row],[Date]],'DB Money Supply'!$A:$D,4)</f>
        <v/>
      </c>
      <c r="C177" s="31">
        <f>(Table2634[[#This Row],[M1 Money Stock, Billions of Dollars, Weekly, Seasonally Adjusted]]-B176)/B176</f>
        <v/>
      </c>
      <c r="D177" s="35">
        <f>((1+Table2634[[#This Row],[Weekly change]])^52)-1</f>
        <v/>
      </c>
      <c r="E177" s="25">
        <f>AVERAGE(B174:B177)</f>
        <v/>
      </c>
      <c r="F177" s="33">
        <f>(Table2634[[#This Row],[4 weeks average]]-B125)/B125</f>
        <v/>
      </c>
    </row>
    <row r="178">
      <c r="A178" s="23" t="n">
        <v>28604</v>
      </c>
      <c r="B178" s="25">
        <f>VLOOKUP(Table2634[[#This Row],[Date]],'DB Money Supply'!$A:$D,4)</f>
        <v/>
      </c>
      <c r="C178" s="31">
        <f>(Table2634[[#This Row],[M1 Money Stock, Billions of Dollars, Weekly, Seasonally Adjusted]]-B177)/B177</f>
        <v/>
      </c>
      <c r="D178" s="35">
        <f>((1+Table2634[[#This Row],[Weekly change]])^52)-1</f>
        <v/>
      </c>
      <c r="E178" s="25">
        <f>AVERAGE(B175:B178)</f>
        <v/>
      </c>
      <c r="F178" s="33">
        <f>(Table2634[[#This Row],[4 weeks average]]-B126)/B126</f>
        <v/>
      </c>
    </row>
    <row r="179">
      <c r="A179" s="23" t="n">
        <v>28611</v>
      </c>
      <c r="B179" s="25">
        <f>VLOOKUP(Table2634[[#This Row],[Date]],'DB Money Supply'!$A:$D,4)</f>
        <v/>
      </c>
      <c r="C179" s="31">
        <f>(Table2634[[#This Row],[M1 Money Stock, Billions of Dollars, Weekly, Seasonally Adjusted]]-B178)/B178</f>
        <v/>
      </c>
      <c r="D179" s="35">
        <f>((1+Table2634[[#This Row],[Weekly change]])^52)-1</f>
        <v/>
      </c>
      <c r="E179" s="25">
        <f>AVERAGE(B176:B179)</f>
        <v/>
      </c>
      <c r="F179" s="33">
        <f>(Table2634[[#This Row],[4 weeks average]]-B127)/B127</f>
        <v/>
      </c>
    </row>
    <row r="180">
      <c r="A180" s="23" t="n">
        <v>28618</v>
      </c>
      <c r="B180" s="25">
        <f>VLOOKUP(Table2634[[#This Row],[Date]],'DB Money Supply'!$A:$D,4)</f>
        <v/>
      </c>
      <c r="C180" s="31">
        <f>(Table2634[[#This Row],[M1 Money Stock, Billions of Dollars, Weekly, Seasonally Adjusted]]-B179)/B179</f>
        <v/>
      </c>
      <c r="D180" s="35">
        <f>((1+Table2634[[#This Row],[Weekly change]])^52)-1</f>
        <v/>
      </c>
      <c r="E180" s="25">
        <f>AVERAGE(B177:B180)</f>
        <v/>
      </c>
      <c r="F180" s="33">
        <f>(Table2634[[#This Row],[4 weeks average]]-B128)/B128</f>
        <v/>
      </c>
    </row>
    <row r="181">
      <c r="A181" s="23" t="n">
        <v>28625</v>
      </c>
      <c r="B181" s="25">
        <f>VLOOKUP(Table2634[[#This Row],[Date]],'DB Money Supply'!$A:$D,4)</f>
        <v/>
      </c>
      <c r="C181" s="31">
        <f>(Table2634[[#This Row],[M1 Money Stock, Billions of Dollars, Weekly, Seasonally Adjusted]]-B180)/B180</f>
        <v/>
      </c>
      <c r="D181" s="35">
        <f>((1+Table2634[[#This Row],[Weekly change]])^52)-1</f>
        <v/>
      </c>
      <c r="E181" s="25">
        <f>AVERAGE(B178:B181)</f>
        <v/>
      </c>
      <c r="F181" s="33">
        <f>(Table2634[[#This Row],[4 weeks average]]-B129)/B129</f>
        <v/>
      </c>
    </row>
    <row r="182">
      <c r="A182" s="23" t="n">
        <v>28632</v>
      </c>
      <c r="B182" s="25">
        <f>VLOOKUP(Table2634[[#This Row],[Date]],'DB Money Supply'!$A:$D,4)</f>
        <v/>
      </c>
      <c r="C182" s="31">
        <f>(Table2634[[#This Row],[M1 Money Stock, Billions of Dollars, Weekly, Seasonally Adjusted]]-B181)/B181</f>
        <v/>
      </c>
      <c r="D182" s="35">
        <f>((1+Table2634[[#This Row],[Weekly change]])^52)-1</f>
        <v/>
      </c>
      <c r="E182" s="25">
        <f>AVERAGE(B179:B182)</f>
        <v/>
      </c>
      <c r="F182" s="33">
        <f>(Table2634[[#This Row],[4 weeks average]]-B130)/B130</f>
        <v/>
      </c>
    </row>
    <row r="183">
      <c r="A183" s="23" t="n">
        <v>28639</v>
      </c>
      <c r="B183" s="25">
        <f>VLOOKUP(Table2634[[#This Row],[Date]],'DB Money Supply'!$A:$D,4)</f>
        <v/>
      </c>
      <c r="C183" s="31">
        <f>(Table2634[[#This Row],[M1 Money Stock, Billions of Dollars, Weekly, Seasonally Adjusted]]-B182)/B182</f>
        <v/>
      </c>
      <c r="D183" s="35">
        <f>((1+Table2634[[#This Row],[Weekly change]])^52)-1</f>
        <v/>
      </c>
      <c r="E183" s="25">
        <f>AVERAGE(B180:B183)</f>
        <v/>
      </c>
      <c r="F183" s="33">
        <f>(Table2634[[#This Row],[4 weeks average]]-B131)/B131</f>
        <v/>
      </c>
    </row>
    <row r="184">
      <c r="A184" s="23" t="n">
        <v>28646</v>
      </c>
      <c r="B184" s="25">
        <f>VLOOKUP(Table2634[[#This Row],[Date]],'DB Money Supply'!$A:$D,4)</f>
        <v/>
      </c>
      <c r="C184" s="31">
        <f>(Table2634[[#This Row],[M1 Money Stock, Billions of Dollars, Weekly, Seasonally Adjusted]]-B183)/B183</f>
        <v/>
      </c>
      <c r="D184" s="35">
        <f>((1+Table2634[[#This Row],[Weekly change]])^52)-1</f>
        <v/>
      </c>
      <c r="E184" s="25">
        <f>AVERAGE(B181:B184)</f>
        <v/>
      </c>
      <c r="F184" s="33">
        <f>(Table2634[[#This Row],[4 weeks average]]-B132)/B132</f>
        <v/>
      </c>
    </row>
    <row r="185">
      <c r="A185" s="23" t="n">
        <v>28653</v>
      </c>
      <c r="B185" s="25">
        <f>VLOOKUP(Table2634[[#This Row],[Date]],'DB Money Supply'!$A:$D,4)</f>
        <v/>
      </c>
      <c r="C185" s="31">
        <f>(Table2634[[#This Row],[M1 Money Stock, Billions of Dollars, Weekly, Seasonally Adjusted]]-B184)/B184</f>
        <v/>
      </c>
      <c r="D185" s="35">
        <f>((1+Table2634[[#This Row],[Weekly change]])^52)-1</f>
        <v/>
      </c>
      <c r="E185" s="25">
        <f>AVERAGE(B182:B185)</f>
        <v/>
      </c>
      <c r="F185" s="33">
        <f>(Table2634[[#This Row],[4 weeks average]]-B133)/B133</f>
        <v/>
      </c>
    </row>
    <row r="186">
      <c r="A186" s="23" t="n">
        <v>28660</v>
      </c>
      <c r="B186" s="25">
        <f>VLOOKUP(Table2634[[#This Row],[Date]],'DB Money Supply'!$A:$D,4)</f>
        <v/>
      </c>
      <c r="C186" s="31">
        <f>(Table2634[[#This Row],[M1 Money Stock, Billions of Dollars, Weekly, Seasonally Adjusted]]-B185)/B185</f>
        <v/>
      </c>
      <c r="D186" s="35">
        <f>((1+Table2634[[#This Row],[Weekly change]])^52)-1</f>
        <v/>
      </c>
      <c r="E186" s="25">
        <f>AVERAGE(B183:B186)</f>
        <v/>
      </c>
      <c r="F186" s="33">
        <f>(Table2634[[#This Row],[4 weeks average]]-B134)/B134</f>
        <v/>
      </c>
    </row>
    <row r="187">
      <c r="A187" s="23" t="n">
        <v>28667</v>
      </c>
      <c r="B187" s="25">
        <f>VLOOKUP(Table2634[[#This Row],[Date]],'DB Money Supply'!$A:$D,4)</f>
        <v/>
      </c>
      <c r="C187" s="31">
        <f>(Table2634[[#This Row],[M1 Money Stock, Billions of Dollars, Weekly, Seasonally Adjusted]]-B186)/B186</f>
        <v/>
      </c>
      <c r="D187" s="35">
        <f>((1+Table2634[[#This Row],[Weekly change]])^52)-1</f>
        <v/>
      </c>
      <c r="E187" s="25">
        <f>AVERAGE(B184:B187)</f>
        <v/>
      </c>
      <c r="F187" s="33">
        <f>(Table2634[[#This Row],[4 weeks average]]-B135)/B135</f>
        <v/>
      </c>
    </row>
    <row r="188">
      <c r="A188" s="23" t="n">
        <v>28674</v>
      </c>
      <c r="B188" s="25">
        <f>VLOOKUP(Table2634[[#This Row],[Date]],'DB Money Supply'!$A:$D,4)</f>
        <v/>
      </c>
      <c r="C188" s="31">
        <f>(Table2634[[#This Row],[M1 Money Stock, Billions of Dollars, Weekly, Seasonally Adjusted]]-B187)/B187</f>
        <v/>
      </c>
      <c r="D188" s="35">
        <f>((1+Table2634[[#This Row],[Weekly change]])^52)-1</f>
        <v/>
      </c>
      <c r="E188" s="25">
        <f>AVERAGE(B185:B188)</f>
        <v/>
      </c>
      <c r="F188" s="33">
        <f>(Table2634[[#This Row],[4 weeks average]]-B136)/B136</f>
        <v/>
      </c>
    </row>
    <row r="189">
      <c r="A189" s="23" t="n">
        <v>28681</v>
      </c>
      <c r="B189" s="25">
        <f>VLOOKUP(Table2634[[#This Row],[Date]],'DB Money Supply'!$A:$D,4)</f>
        <v/>
      </c>
      <c r="C189" s="31">
        <f>(Table2634[[#This Row],[M1 Money Stock, Billions of Dollars, Weekly, Seasonally Adjusted]]-B188)/B188</f>
        <v/>
      </c>
      <c r="D189" s="35">
        <f>((1+Table2634[[#This Row],[Weekly change]])^52)-1</f>
        <v/>
      </c>
      <c r="E189" s="25">
        <f>AVERAGE(B186:B189)</f>
        <v/>
      </c>
      <c r="F189" s="33">
        <f>(Table2634[[#This Row],[4 weeks average]]-B137)/B137</f>
        <v/>
      </c>
    </row>
    <row r="190">
      <c r="A190" s="23" t="n">
        <v>28688</v>
      </c>
      <c r="B190" s="25">
        <f>VLOOKUP(Table2634[[#This Row],[Date]],'DB Money Supply'!$A:$D,4)</f>
        <v/>
      </c>
      <c r="C190" s="31">
        <f>(Table2634[[#This Row],[M1 Money Stock, Billions of Dollars, Weekly, Seasonally Adjusted]]-B189)/B189</f>
        <v/>
      </c>
      <c r="D190" s="35">
        <f>((1+Table2634[[#This Row],[Weekly change]])^52)-1</f>
        <v/>
      </c>
      <c r="E190" s="25">
        <f>AVERAGE(B187:B190)</f>
        <v/>
      </c>
      <c r="F190" s="33">
        <f>(Table2634[[#This Row],[4 weeks average]]-B138)/B138</f>
        <v/>
      </c>
    </row>
    <row r="191">
      <c r="A191" s="23" t="n">
        <v>28695</v>
      </c>
      <c r="B191" s="25">
        <f>VLOOKUP(Table2634[[#This Row],[Date]],'DB Money Supply'!$A:$D,4)</f>
        <v/>
      </c>
      <c r="C191" s="31">
        <f>(Table2634[[#This Row],[M1 Money Stock, Billions of Dollars, Weekly, Seasonally Adjusted]]-B190)/B190</f>
        <v/>
      </c>
      <c r="D191" s="35">
        <f>((1+Table2634[[#This Row],[Weekly change]])^52)-1</f>
        <v/>
      </c>
      <c r="E191" s="25">
        <f>AVERAGE(B188:B191)</f>
        <v/>
      </c>
      <c r="F191" s="33">
        <f>(Table2634[[#This Row],[4 weeks average]]-B139)/B139</f>
        <v/>
      </c>
    </row>
    <row r="192">
      <c r="A192" s="23" t="n">
        <v>28702</v>
      </c>
      <c r="B192" s="25">
        <f>VLOOKUP(Table2634[[#This Row],[Date]],'DB Money Supply'!$A:$D,4)</f>
        <v/>
      </c>
      <c r="C192" s="31">
        <f>(Table2634[[#This Row],[M1 Money Stock, Billions of Dollars, Weekly, Seasonally Adjusted]]-B191)/B191</f>
        <v/>
      </c>
      <c r="D192" s="35">
        <f>((1+Table2634[[#This Row],[Weekly change]])^52)-1</f>
        <v/>
      </c>
      <c r="E192" s="25">
        <f>AVERAGE(B189:B192)</f>
        <v/>
      </c>
      <c r="F192" s="33">
        <f>(Table2634[[#This Row],[4 weeks average]]-B140)/B140</f>
        <v/>
      </c>
    </row>
    <row r="193">
      <c r="A193" s="23" t="n">
        <v>28709</v>
      </c>
      <c r="B193" s="25">
        <f>VLOOKUP(Table2634[[#This Row],[Date]],'DB Money Supply'!$A:$D,4)</f>
        <v/>
      </c>
      <c r="C193" s="31">
        <f>(Table2634[[#This Row],[M1 Money Stock, Billions of Dollars, Weekly, Seasonally Adjusted]]-B192)/B192</f>
        <v/>
      </c>
      <c r="D193" s="35">
        <f>((1+Table2634[[#This Row],[Weekly change]])^52)-1</f>
        <v/>
      </c>
      <c r="E193" s="25">
        <f>AVERAGE(B190:B193)</f>
        <v/>
      </c>
      <c r="F193" s="33">
        <f>(Table2634[[#This Row],[4 weeks average]]-B141)/B141</f>
        <v/>
      </c>
    </row>
    <row r="194">
      <c r="A194" s="23" t="n">
        <v>28716</v>
      </c>
      <c r="B194" s="25">
        <f>VLOOKUP(Table2634[[#This Row],[Date]],'DB Money Supply'!$A:$D,4)</f>
        <v/>
      </c>
      <c r="C194" s="31">
        <f>(Table2634[[#This Row],[M1 Money Stock, Billions of Dollars, Weekly, Seasonally Adjusted]]-B193)/B193</f>
        <v/>
      </c>
      <c r="D194" s="35">
        <f>((1+Table2634[[#This Row],[Weekly change]])^52)-1</f>
        <v/>
      </c>
      <c r="E194" s="25">
        <f>AVERAGE(B191:B194)</f>
        <v/>
      </c>
      <c r="F194" s="33">
        <f>(Table2634[[#This Row],[4 weeks average]]-B142)/B142</f>
        <v/>
      </c>
    </row>
    <row r="195">
      <c r="A195" s="23" t="n">
        <v>28723</v>
      </c>
      <c r="B195" s="25">
        <f>VLOOKUP(Table2634[[#This Row],[Date]],'DB Money Supply'!$A:$D,4)</f>
        <v/>
      </c>
      <c r="C195" s="31">
        <f>(Table2634[[#This Row],[M1 Money Stock, Billions of Dollars, Weekly, Seasonally Adjusted]]-B194)/B194</f>
        <v/>
      </c>
      <c r="D195" s="35">
        <f>((1+Table2634[[#This Row],[Weekly change]])^52)-1</f>
        <v/>
      </c>
      <c r="E195" s="25">
        <f>AVERAGE(B192:B195)</f>
        <v/>
      </c>
      <c r="F195" s="33">
        <f>(Table2634[[#This Row],[4 weeks average]]-B143)/B143</f>
        <v/>
      </c>
    </row>
    <row r="196">
      <c r="A196" s="23" t="n">
        <v>28730</v>
      </c>
      <c r="B196" s="25">
        <f>VLOOKUP(Table2634[[#This Row],[Date]],'DB Money Supply'!$A:$D,4)</f>
        <v/>
      </c>
      <c r="C196" s="31">
        <f>(Table2634[[#This Row],[M1 Money Stock, Billions of Dollars, Weekly, Seasonally Adjusted]]-B195)/B195</f>
        <v/>
      </c>
      <c r="D196" s="35">
        <f>((1+Table2634[[#This Row],[Weekly change]])^52)-1</f>
        <v/>
      </c>
      <c r="E196" s="25">
        <f>AVERAGE(B193:B196)</f>
        <v/>
      </c>
      <c r="F196" s="33">
        <f>(Table2634[[#This Row],[4 weeks average]]-B144)/B144</f>
        <v/>
      </c>
    </row>
    <row r="197">
      <c r="A197" s="23" t="n">
        <v>28737</v>
      </c>
      <c r="B197" s="25">
        <f>VLOOKUP(Table2634[[#This Row],[Date]],'DB Money Supply'!$A:$D,4)</f>
        <v/>
      </c>
      <c r="C197" s="31">
        <f>(Table2634[[#This Row],[M1 Money Stock, Billions of Dollars, Weekly, Seasonally Adjusted]]-B196)/B196</f>
        <v/>
      </c>
      <c r="D197" s="35">
        <f>((1+Table2634[[#This Row],[Weekly change]])^52)-1</f>
        <v/>
      </c>
      <c r="E197" s="25">
        <f>AVERAGE(B194:B197)</f>
        <v/>
      </c>
      <c r="F197" s="33">
        <f>(Table2634[[#This Row],[4 weeks average]]-B145)/B145</f>
        <v/>
      </c>
    </row>
    <row r="198">
      <c r="A198" s="23" t="n">
        <v>28744</v>
      </c>
      <c r="B198" s="25">
        <f>VLOOKUP(Table2634[[#This Row],[Date]],'DB Money Supply'!$A:$D,4)</f>
        <v/>
      </c>
      <c r="C198" s="31">
        <f>(Table2634[[#This Row],[M1 Money Stock, Billions of Dollars, Weekly, Seasonally Adjusted]]-B197)/B197</f>
        <v/>
      </c>
      <c r="D198" s="35">
        <f>((1+Table2634[[#This Row],[Weekly change]])^52)-1</f>
        <v/>
      </c>
      <c r="E198" s="25">
        <f>AVERAGE(B195:B198)</f>
        <v/>
      </c>
      <c r="F198" s="33">
        <f>(Table2634[[#This Row],[4 weeks average]]-B146)/B146</f>
        <v/>
      </c>
    </row>
    <row r="199">
      <c r="A199" s="23" t="n">
        <v>28751</v>
      </c>
      <c r="B199" s="25">
        <f>VLOOKUP(Table2634[[#This Row],[Date]],'DB Money Supply'!$A:$D,4)</f>
        <v/>
      </c>
      <c r="C199" s="31">
        <f>(Table2634[[#This Row],[M1 Money Stock, Billions of Dollars, Weekly, Seasonally Adjusted]]-B198)/B198</f>
        <v/>
      </c>
      <c r="D199" s="35">
        <f>((1+Table2634[[#This Row],[Weekly change]])^52)-1</f>
        <v/>
      </c>
      <c r="E199" s="25">
        <f>AVERAGE(B196:B199)</f>
        <v/>
      </c>
      <c r="F199" s="33">
        <f>(Table2634[[#This Row],[4 weeks average]]-B147)/B147</f>
        <v/>
      </c>
    </row>
    <row r="200">
      <c r="A200" s="23" t="n">
        <v>28758</v>
      </c>
      <c r="B200" s="25">
        <f>VLOOKUP(Table2634[[#This Row],[Date]],'DB Money Supply'!$A:$D,4)</f>
        <v/>
      </c>
      <c r="C200" s="31">
        <f>(Table2634[[#This Row],[M1 Money Stock, Billions of Dollars, Weekly, Seasonally Adjusted]]-B199)/B199</f>
        <v/>
      </c>
      <c r="D200" s="35">
        <f>((1+Table2634[[#This Row],[Weekly change]])^52)-1</f>
        <v/>
      </c>
      <c r="E200" s="25">
        <f>AVERAGE(B197:B200)</f>
        <v/>
      </c>
      <c r="F200" s="33">
        <f>(Table2634[[#This Row],[4 weeks average]]-B148)/B148</f>
        <v/>
      </c>
    </row>
    <row r="201">
      <c r="A201" s="23" t="n">
        <v>28765</v>
      </c>
      <c r="B201" s="25">
        <f>VLOOKUP(Table2634[[#This Row],[Date]],'DB Money Supply'!$A:$D,4)</f>
        <v/>
      </c>
      <c r="C201" s="31">
        <f>(Table2634[[#This Row],[M1 Money Stock, Billions of Dollars, Weekly, Seasonally Adjusted]]-B200)/B200</f>
        <v/>
      </c>
      <c r="D201" s="35">
        <f>((1+Table2634[[#This Row],[Weekly change]])^52)-1</f>
        <v/>
      </c>
      <c r="E201" s="25">
        <f>AVERAGE(B198:B201)</f>
        <v/>
      </c>
      <c r="F201" s="33">
        <f>(Table2634[[#This Row],[4 weeks average]]-B149)/B149</f>
        <v/>
      </c>
    </row>
    <row r="202">
      <c r="A202" s="23" t="n">
        <v>28772</v>
      </c>
      <c r="B202" s="25">
        <f>VLOOKUP(Table2634[[#This Row],[Date]],'DB Money Supply'!$A:$D,4)</f>
        <v/>
      </c>
      <c r="C202" s="31">
        <f>(Table2634[[#This Row],[M1 Money Stock, Billions of Dollars, Weekly, Seasonally Adjusted]]-B201)/B201</f>
        <v/>
      </c>
      <c r="D202" s="35">
        <f>((1+Table2634[[#This Row],[Weekly change]])^52)-1</f>
        <v/>
      </c>
      <c r="E202" s="25">
        <f>AVERAGE(B199:B202)</f>
        <v/>
      </c>
      <c r="F202" s="33">
        <f>(Table2634[[#This Row],[4 weeks average]]-B150)/B150</f>
        <v/>
      </c>
    </row>
    <row r="203">
      <c r="A203" s="23" t="n">
        <v>28779</v>
      </c>
      <c r="B203" s="25">
        <f>VLOOKUP(Table2634[[#This Row],[Date]],'DB Money Supply'!$A:$D,4)</f>
        <v/>
      </c>
      <c r="C203" s="31">
        <f>(Table2634[[#This Row],[M1 Money Stock, Billions of Dollars, Weekly, Seasonally Adjusted]]-B202)/B202</f>
        <v/>
      </c>
      <c r="D203" s="35">
        <f>((1+Table2634[[#This Row],[Weekly change]])^52)-1</f>
        <v/>
      </c>
      <c r="E203" s="25">
        <f>AVERAGE(B200:B203)</f>
        <v/>
      </c>
      <c r="F203" s="33">
        <f>(Table2634[[#This Row],[4 weeks average]]-B151)/B151</f>
        <v/>
      </c>
    </row>
    <row r="204">
      <c r="A204" s="23" t="n">
        <v>28786</v>
      </c>
      <c r="B204" s="25">
        <f>VLOOKUP(Table2634[[#This Row],[Date]],'DB Money Supply'!$A:$D,4)</f>
        <v/>
      </c>
      <c r="C204" s="31">
        <f>(Table2634[[#This Row],[M1 Money Stock, Billions of Dollars, Weekly, Seasonally Adjusted]]-B203)/B203</f>
        <v/>
      </c>
      <c r="D204" s="35">
        <f>((1+Table2634[[#This Row],[Weekly change]])^52)-1</f>
        <v/>
      </c>
      <c r="E204" s="25">
        <f>AVERAGE(B201:B204)</f>
        <v/>
      </c>
      <c r="F204" s="33">
        <f>(Table2634[[#This Row],[4 weeks average]]-B152)/B152</f>
        <v/>
      </c>
    </row>
    <row r="205">
      <c r="A205" s="23" t="n">
        <v>28793</v>
      </c>
      <c r="B205" s="25">
        <f>VLOOKUP(Table2634[[#This Row],[Date]],'DB Money Supply'!$A:$D,4)</f>
        <v/>
      </c>
      <c r="C205" s="31">
        <f>(Table2634[[#This Row],[M1 Money Stock, Billions of Dollars, Weekly, Seasonally Adjusted]]-B204)/B204</f>
        <v/>
      </c>
      <c r="D205" s="35">
        <f>((1+Table2634[[#This Row],[Weekly change]])^52)-1</f>
        <v/>
      </c>
      <c r="E205" s="25">
        <f>AVERAGE(B202:B205)</f>
        <v/>
      </c>
      <c r="F205" s="33">
        <f>(Table2634[[#This Row],[4 weeks average]]-B153)/B153</f>
        <v/>
      </c>
    </row>
    <row r="206">
      <c r="A206" s="23" t="n">
        <v>28800</v>
      </c>
      <c r="B206" s="25">
        <f>VLOOKUP(Table2634[[#This Row],[Date]],'DB Money Supply'!$A:$D,4)</f>
        <v/>
      </c>
      <c r="C206" s="31">
        <f>(Table2634[[#This Row],[M1 Money Stock, Billions of Dollars, Weekly, Seasonally Adjusted]]-B205)/B205</f>
        <v/>
      </c>
      <c r="D206" s="35">
        <f>((1+Table2634[[#This Row],[Weekly change]])^52)-1</f>
        <v/>
      </c>
      <c r="E206" s="25">
        <f>AVERAGE(B203:B206)</f>
        <v/>
      </c>
      <c r="F206" s="33">
        <f>(Table2634[[#This Row],[4 weeks average]]-B154)/B154</f>
        <v/>
      </c>
    </row>
    <row r="207">
      <c r="A207" s="23" t="n">
        <v>28807</v>
      </c>
      <c r="B207" s="25">
        <f>VLOOKUP(Table2634[[#This Row],[Date]],'DB Money Supply'!$A:$D,4)</f>
        <v/>
      </c>
      <c r="C207" s="31">
        <f>(Table2634[[#This Row],[M1 Money Stock, Billions of Dollars, Weekly, Seasonally Adjusted]]-B206)/B206</f>
        <v/>
      </c>
      <c r="D207" s="35">
        <f>((1+Table2634[[#This Row],[Weekly change]])^52)-1</f>
        <v/>
      </c>
      <c r="E207" s="25">
        <f>AVERAGE(B204:B207)</f>
        <v/>
      </c>
      <c r="F207" s="33">
        <f>(Table2634[[#This Row],[4 weeks average]]-B155)/B155</f>
        <v/>
      </c>
    </row>
    <row r="208">
      <c r="A208" s="23" t="n">
        <v>28814</v>
      </c>
      <c r="B208" s="25">
        <f>VLOOKUP(Table2634[[#This Row],[Date]],'DB Money Supply'!$A:$D,4)</f>
        <v/>
      </c>
      <c r="C208" s="31">
        <f>(Table2634[[#This Row],[M1 Money Stock, Billions of Dollars, Weekly, Seasonally Adjusted]]-B207)/B207</f>
        <v/>
      </c>
      <c r="D208" s="35">
        <f>((1+Table2634[[#This Row],[Weekly change]])^52)-1</f>
        <v/>
      </c>
      <c r="E208" s="25">
        <f>AVERAGE(B205:B208)</f>
        <v/>
      </c>
      <c r="F208" s="33">
        <f>(Table2634[[#This Row],[4 weeks average]]-B156)/B156</f>
        <v/>
      </c>
    </row>
    <row r="209">
      <c r="A209" s="23" t="n">
        <v>28821</v>
      </c>
      <c r="B209" s="25">
        <f>VLOOKUP(Table2634[[#This Row],[Date]],'DB Money Supply'!$A:$D,4)</f>
        <v/>
      </c>
      <c r="C209" s="31">
        <f>(Table2634[[#This Row],[M1 Money Stock, Billions of Dollars, Weekly, Seasonally Adjusted]]-B208)/B208</f>
        <v/>
      </c>
      <c r="D209" s="35">
        <f>((1+Table2634[[#This Row],[Weekly change]])^52)-1</f>
        <v/>
      </c>
      <c r="E209" s="25">
        <f>AVERAGE(B206:B209)</f>
        <v/>
      </c>
      <c r="F209" s="33">
        <f>(Table2634[[#This Row],[4 weeks average]]-B157)/B157</f>
        <v/>
      </c>
    </row>
    <row r="210">
      <c r="A210" s="23" t="n">
        <v>28828</v>
      </c>
      <c r="B210" s="25">
        <f>VLOOKUP(Table2634[[#This Row],[Date]],'DB Money Supply'!$A:$D,4)</f>
        <v/>
      </c>
      <c r="C210" s="31">
        <f>(Table2634[[#This Row],[M1 Money Stock, Billions of Dollars, Weekly, Seasonally Adjusted]]-B209)/B209</f>
        <v/>
      </c>
      <c r="D210" s="35">
        <f>((1+Table2634[[#This Row],[Weekly change]])^52)-1</f>
        <v/>
      </c>
      <c r="E210" s="25">
        <f>AVERAGE(B207:B210)</f>
        <v/>
      </c>
      <c r="F210" s="33">
        <f>(Table2634[[#This Row],[4 weeks average]]-B158)/B158</f>
        <v/>
      </c>
    </row>
    <row r="211">
      <c r="A211" s="23" t="n">
        <v>28835</v>
      </c>
      <c r="B211" s="25">
        <f>VLOOKUP(Table2634[[#This Row],[Date]],'DB Money Supply'!$A:$D,4)</f>
        <v/>
      </c>
      <c r="C211" s="31">
        <f>(Table2634[[#This Row],[M1 Money Stock, Billions of Dollars, Weekly, Seasonally Adjusted]]-B210)/B210</f>
        <v/>
      </c>
      <c r="D211" s="35">
        <f>((1+Table2634[[#This Row],[Weekly change]])^52)-1</f>
        <v/>
      </c>
      <c r="E211" s="25">
        <f>AVERAGE(B208:B211)</f>
        <v/>
      </c>
      <c r="F211" s="33">
        <f>(Table2634[[#This Row],[4 weeks average]]-B159)/B159</f>
        <v/>
      </c>
    </row>
    <row r="212">
      <c r="A212" s="23" t="n">
        <v>28842</v>
      </c>
      <c r="B212" s="25">
        <f>VLOOKUP(Table2634[[#This Row],[Date]],'DB Money Supply'!$A:$D,4)</f>
        <v/>
      </c>
      <c r="C212" s="31">
        <f>(Table2634[[#This Row],[M1 Money Stock, Billions of Dollars, Weekly, Seasonally Adjusted]]-B211)/B211</f>
        <v/>
      </c>
      <c r="D212" s="35">
        <f>((1+Table2634[[#This Row],[Weekly change]])^52)-1</f>
        <v/>
      </c>
      <c r="E212" s="25">
        <f>AVERAGE(B209:B212)</f>
        <v/>
      </c>
      <c r="F212" s="33">
        <f>(Table2634[[#This Row],[4 weeks average]]-B160)/B160</f>
        <v/>
      </c>
    </row>
    <row r="213">
      <c r="A213" s="23" t="n">
        <v>28849</v>
      </c>
      <c r="B213" s="25">
        <f>VLOOKUP(Table2634[[#This Row],[Date]],'DB Money Supply'!$A:$D,4)</f>
        <v/>
      </c>
      <c r="C213" s="31">
        <f>(Table2634[[#This Row],[M1 Money Stock, Billions of Dollars, Weekly, Seasonally Adjusted]]-B212)/B212</f>
        <v/>
      </c>
      <c r="D213" s="35">
        <f>((1+Table2634[[#This Row],[Weekly change]])^52)-1</f>
        <v/>
      </c>
      <c r="E213" s="25">
        <f>AVERAGE(B210:B213)</f>
        <v/>
      </c>
      <c r="F213" s="33">
        <f>(Table2634[[#This Row],[4 weeks average]]-B161)/B161</f>
        <v/>
      </c>
    </row>
    <row r="214">
      <c r="A214" s="23" t="n">
        <v>28856</v>
      </c>
      <c r="B214" s="25">
        <f>VLOOKUP(Table2634[[#This Row],[Date]],'DB Money Supply'!$A:$D,4)</f>
        <v/>
      </c>
      <c r="C214" s="31">
        <f>(Table2634[[#This Row],[M1 Money Stock, Billions of Dollars, Weekly, Seasonally Adjusted]]-B213)/B213</f>
        <v/>
      </c>
      <c r="D214" s="35">
        <f>((1+Table2634[[#This Row],[Weekly change]])^52)-1</f>
        <v/>
      </c>
      <c r="E214" s="25">
        <f>AVERAGE(B211:B214)</f>
        <v/>
      </c>
      <c r="F214" s="33">
        <f>(Table2634[[#This Row],[4 weeks average]]-B162)/B162</f>
        <v/>
      </c>
    </row>
    <row r="215">
      <c r="A215" s="23" t="n">
        <v>28863</v>
      </c>
      <c r="B215" s="25">
        <f>VLOOKUP(Table2634[[#This Row],[Date]],'DB Money Supply'!$A:$D,4)</f>
        <v/>
      </c>
      <c r="C215" s="31">
        <f>(Table2634[[#This Row],[M1 Money Stock, Billions of Dollars, Weekly, Seasonally Adjusted]]-B214)/B214</f>
        <v/>
      </c>
      <c r="D215" s="35">
        <f>((1+Table2634[[#This Row],[Weekly change]])^52)-1</f>
        <v/>
      </c>
      <c r="E215" s="25">
        <f>AVERAGE(B212:B215)</f>
        <v/>
      </c>
      <c r="F215" s="33">
        <f>(Table2634[[#This Row],[4 weeks average]]-B163)/B163</f>
        <v/>
      </c>
    </row>
    <row r="216">
      <c r="A216" s="23" t="n">
        <v>28870</v>
      </c>
      <c r="B216" s="25">
        <f>VLOOKUP(Table2634[[#This Row],[Date]],'DB Money Supply'!$A:$D,4)</f>
        <v/>
      </c>
      <c r="C216" s="31">
        <f>(Table2634[[#This Row],[M1 Money Stock, Billions of Dollars, Weekly, Seasonally Adjusted]]-B215)/B215</f>
        <v/>
      </c>
      <c r="D216" s="35">
        <f>((1+Table2634[[#This Row],[Weekly change]])^52)-1</f>
        <v/>
      </c>
      <c r="E216" s="25">
        <f>AVERAGE(B213:B216)</f>
        <v/>
      </c>
      <c r="F216" s="33">
        <f>(Table2634[[#This Row],[4 weeks average]]-B164)/B164</f>
        <v/>
      </c>
    </row>
    <row r="217">
      <c r="A217" s="23" t="n">
        <v>28877</v>
      </c>
      <c r="B217" s="25">
        <f>VLOOKUP(Table2634[[#This Row],[Date]],'DB Money Supply'!$A:$D,4)</f>
        <v/>
      </c>
      <c r="C217" s="31">
        <f>(Table2634[[#This Row],[M1 Money Stock, Billions of Dollars, Weekly, Seasonally Adjusted]]-B216)/B216</f>
        <v/>
      </c>
      <c r="D217" s="35">
        <f>((1+Table2634[[#This Row],[Weekly change]])^52)-1</f>
        <v/>
      </c>
      <c r="E217" s="25">
        <f>AVERAGE(B214:B217)</f>
        <v/>
      </c>
      <c r="F217" s="33">
        <f>(Table2634[[#This Row],[4 weeks average]]-B165)/B165</f>
        <v/>
      </c>
    </row>
    <row r="218">
      <c r="A218" s="23" t="n">
        <v>28884</v>
      </c>
      <c r="B218" s="25">
        <f>VLOOKUP(Table2634[[#This Row],[Date]],'DB Money Supply'!$A:$D,4)</f>
        <v/>
      </c>
      <c r="C218" s="31">
        <f>(Table2634[[#This Row],[M1 Money Stock, Billions of Dollars, Weekly, Seasonally Adjusted]]-B217)/B217</f>
        <v/>
      </c>
      <c r="D218" s="35">
        <f>((1+Table2634[[#This Row],[Weekly change]])^52)-1</f>
        <v/>
      </c>
      <c r="E218" s="25">
        <f>AVERAGE(B215:B218)</f>
        <v/>
      </c>
      <c r="F218" s="33">
        <f>(Table2634[[#This Row],[4 weeks average]]-B166)/B166</f>
        <v/>
      </c>
    </row>
    <row r="219">
      <c r="A219" s="23" t="n">
        <v>28891</v>
      </c>
      <c r="B219" s="25">
        <f>VLOOKUP(Table2634[[#This Row],[Date]],'DB Money Supply'!$A:$D,4)</f>
        <v/>
      </c>
      <c r="C219" s="31">
        <f>(Table2634[[#This Row],[M1 Money Stock, Billions of Dollars, Weekly, Seasonally Adjusted]]-B218)/B218</f>
        <v/>
      </c>
      <c r="D219" s="35">
        <f>((1+Table2634[[#This Row],[Weekly change]])^52)-1</f>
        <v/>
      </c>
      <c r="E219" s="25">
        <f>AVERAGE(B216:B219)</f>
        <v/>
      </c>
      <c r="F219" s="33">
        <f>(Table2634[[#This Row],[4 weeks average]]-B167)/B167</f>
        <v/>
      </c>
    </row>
    <row r="220">
      <c r="A220" s="23" t="n">
        <v>28898</v>
      </c>
      <c r="B220" s="25">
        <f>VLOOKUP(Table2634[[#This Row],[Date]],'DB Money Supply'!$A:$D,4)</f>
        <v/>
      </c>
      <c r="C220" s="31">
        <f>(Table2634[[#This Row],[M1 Money Stock, Billions of Dollars, Weekly, Seasonally Adjusted]]-B219)/B219</f>
        <v/>
      </c>
      <c r="D220" s="35">
        <f>((1+Table2634[[#This Row],[Weekly change]])^52)-1</f>
        <v/>
      </c>
      <c r="E220" s="25">
        <f>AVERAGE(B217:B220)</f>
        <v/>
      </c>
      <c r="F220" s="33">
        <f>(Table2634[[#This Row],[4 weeks average]]-B168)/B168</f>
        <v/>
      </c>
    </row>
    <row r="221">
      <c r="A221" s="23" t="n">
        <v>28905</v>
      </c>
      <c r="B221" s="25">
        <f>VLOOKUP(Table2634[[#This Row],[Date]],'DB Money Supply'!$A:$D,4)</f>
        <v/>
      </c>
      <c r="C221" s="31">
        <f>(Table2634[[#This Row],[M1 Money Stock, Billions of Dollars, Weekly, Seasonally Adjusted]]-B220)/B220</f>
        <v/>
      </c>
      <c r="D221" s="35">
        <f>((1+Table2634[[#This Row],[Weekly change]])^52)-1</f>
        <v/>
      </c>
      <c r="E221" s="25">
        <f>AVERAGE(B218:B221)</f>
        <v/>
      </c>
      <c r="F221" s="33">
        <f>(Table2634[[#This Row],[4 weeks average]]-B169)/B169</f>
        <v/>
      </c>
    </row>
    <row r="222">
      <c r="A222" s="23" t="n">
        <v>28912</v>
      </c>
      <c r="B222" s="25">
        <f>VLOOKUP(Table2634[[#This Row],[Date]],'DB Money Supply'!$A:$D,4)</f>
        <v/>
      </c>
      <c r="C222" s="31">
        <f>(Table2634[[#This Row],[M1 Money Stock, Billions of Dollars, Weekly, Seasonally Adjusted]]-B221)/B221</f>
        <v/>
      </c>
      <c r="D222" s="35">
        <f>((1+Table2634[[#This Row],[Weekly change]])^52)-1</f>
        <v/>
      </c>
      <c r="E222" s="25">
        <f>AVERAGE(B219:B222)</f>
        <v/>
      </c>
      <c r="F222" s="33">
        <f>(Table2634[[#This Row],[4 weeks average]]-B170)/B170</f>
        <v/>
      </c>
    </row>
    <row r="223">
      <c r="A223" s="23" t="n">
        <v>28919</v>
      </c>
      <c r="B223" s="25">
        <f>VLOOKUP(Table2634[[#This Row],[Date]],'DB Money Supply'!$A:$D,4)</f>
        <v/>
      </c>
      <c r="C223" s="31">
        <f>(Table2634[[#This Row],[M1 Money Stock, Billions of Dollars, Weekly, Seasonally Adjusted]]-B222)/B222</f>
        <v/>
      </c>
      <c r="D223" s="35">
        <f>((1+Table2634[[#This Row],[Weekly change]])^52)-1</f>
        <v/>
      </c>
      <c r="E223" s="25">
        <f>AVERAGE(B220:B223)</f>
        <v/>
      </c>
      <c r="F223" s="33">
        <f>(Table2634[[#This Row],[4 weeks average]]-B171)/B171</f>
        <v/>
      </c>
    </row>
    <row r="224">
      <c r="A224" s="23" t="n">
        <v>28926</v>
      </c>
      <c r="B224" s="25">
        <f>VLOOKUP(Table2634[[#This Row],[Date]],'DB Money Supply'!$A:$D,4)</f>
        <v/>
      </c>
      <c r="C224" s="31">
        <f>(Table2634[[#This Row],[M1 Money Stock, Billions of Dollars, Weekly, Seasonally Adjusted]]-B223)/B223</f>
        <v/>
      </c>
      <c r="D224" s="35">
        <f>((1+Table2634[[#This Row],[Weekly change]])^52)-1</f>
        <v/>
      </c>
      <c r="E224" s="25">
        <f>AVERAGE(B221:B224)</f>
        <v/>
      </c>
      <c r="F224" s="33">
        <f>(Table2634[[#This Row],[4 weeks average]]-B172)/B172</f>
        <v/>
      </c>
    </row>
    <row r="225">
      <c r="A225" s="23" t="n">
        <v>28933</v>
      </c>
      <c r="B225" s="25">
        <f>VLOOKUP(Table2634[[#This Row],[Date]],'DB Money Supply'!$A:$D,4)</f>
        <v/>
      </c>
      <c r="C225" s="31">
        <f>(Table2634[[#This Row],[M1 Money Stock, Billions of Dollars, Weekly, Seasonally Adjusted]]-B224)/B224</f>
        <v/>
      </c>
      <c r="D225" s="35">
        <f>((1+Table2634[[#This Row],[Weekly change]])^52)-1</f>
        <v/>
      </c>
      <c r="E225" s="25">
        <f>AVERAGE(B222:B225)</f>
        <v/>
      </c>
      <c r="F225" s="33">
        <f>(Table2634[[#This Row],[4 weeks average]]-B173)/B173</f>
        <v/>
      </c>
    </row>
    <row r="226">
      <c r="A226" s="23" t="n">
        <v>28940</v>
      </c>
      <c r="B226" s="25">
        <f>VLOOKUP(Table2634[[#This Row],[Date]],'DB Money Supply'!$A:$D,4)</f>
        <v/>
      </c>
      <c r="C226" s="31">
        <f>(Table2634[[#This Row],[M1 Money Stock, Billions of Dollars, Weekly, Seasonally Adjusted]]-B225)/B225</f>
        <v/>
      </c>
      <c r="D226" s="35">
        <f>((1+Table2634[[#This Row],[Weekly change]])^52)-1</f>
        <v/>
      </c>
      <c r="E226" s="25">
        <f>AVERAGE(B223:B226)</f>
        <v/>
      </c>
      <c r="F226" s="33">
        <f>(Table2634[[#This Row],[4 weeks average]]-B174)/B174</f>
        <v/>
      </c>
    </row>
    <row r="227">
      <c r="A227" s="23" t="n">
        <v>28947</v>
      </c>
      <c r="B227" s="25">
        <f>VLOOKUP(Table2634[[#This Row],[Date]],'DB Money Supply'!$A:$D,4)</f>
        <v/>
      </c>
      <c r="C227" s="31">
        <f>(Table2634[[#This Row],[M1 Money Stock, Billions of Dollars, Weekly, Seasonally Adjusted]]-B226)/B226</f>
        <v/>
      </c>
      <c r="D227" s="35">
        <f>((1+Table2634[[#This Row],[Weekly change]])^52)-1</f>
        <v/>
      </c>
      <c r="E227" s="25">
        <f>AVERAGE(B224:B227)</f>
        <v/>
      </c>
      <c r="F227" s="33">
        <f>(Table2634[[#This Row],[4 weeks average]]-B175)/B175</f>
        <v/>
      </c>
    </row>
    <row r="228">
      <c r="A228" s="23" t="n">
        <v>28954</v>
      </c>
      <c r="B228" s="25">
        <f>VLOOKUP(Table2634[[#This Row],[Date]],'DB Money Supply'!$A:$D,4)</f>
        <v/>
      </c>
      <c r="C228" s="31">
        <f>(Table2634[[#This Row],[M1 Money Stock, Billions of Dollars, Weekly, Seasonally Adjusted]]-B227)/B227</f>
        <v/>
      </c>
      <c r="D228" s="35">
        <f>((1+Table2634[[#This Row],[Weekly change]])^52)-1</f>
        <v/>
      </c>
      <c r="E228" s="25">
        <f>AVERAGE(B225:B228)</f>
        <v/>
      </c>
      <c r="F228" s="33">
        <f>(Table2634[[#This Row],[4 weeks average]]-B176)/B176</f>
        <v/>
      </c>
    </row>
    <row r="229">
      <c r="A229" s="23" t="n">
        <v>28961</v>
      </c>
      <c r="B229" s="25">
        <f>VLOOKUP(Table2634[[#This Row],[Date]],'DB Money Supply'!$A:$D,4)</f>
        <v/>
      </c>
      <c r="C229" s="31">
        <f>(Table2634[[#This Row],[M1 Money Stock, Billions of Dollars, Weekly, Seasonally Adjusted]]-B228)/B228</f>
        <v/>
      </c>
      <c r="D229" s="35">
        <f>((1+Table2634[[#This Row],[Weekly change]])^52)-1</f>
        <v/>
      </c>
      <c r="E229" s="25">
        <f>AVERAGE(B226:B229)</f>
        <v/>
      </c>
      <c r="F229" s="33">
        <f>(Table2634[[#This Row],[4 weeks average]]-B177)/B177</f>
        <v/>
      </c>
    </row>
    <row r="230">
      <c r="A230" s="23" t="n">
        <v>28968</v>
      </c>
      <c r="B230" s="25">
        <f>VLOOKUP(Table2634[[#This Row],[Date]],'DB Money Supply'!$A:$D,4)</f>
        <v/>
      </c>
      <c r="C230" s="31">
        <f>(Table2634[[#This Row],[M1 Money Stock, Billions of Dollars, Weekly, Seasonally Adjusted]]-B229)/B229</f>
        <v/>
      </c>
      <c r="D230" s="35">
        <f>((1+Table2634[[#This Row],[Weekly change]])^52)-1</f>
        <v/>
      </c>
      <c r="E230" s="25">
        <f>AVERAGE(B227:B230)</f>
        <v/>
      </c>
      <c r="F230" s="33">
        <f>(Table2634[[#This Row],[4 weeks average]]-B178)/B178</f>
        <v/>
      </c>
    </row>
    <row r="231">
      <c r="A231" s="23" t="n">
        <v>28975</v>
      </c>
      <c r="B231" s="25">
        <f>VLOOKUP(Table2634[[#This Row],[Date]],'DB Money Supply'!$A:$D,4)</f>
        <v/>
      </c>
      <c r="C231" s="31">
        <f>(Table2634[[#This Row],[M1 Money Stock, Billions of Dollars, Weekly, Seasonally Adjusted]]-B230)/B230</f>
        <v/>
      </c>
      <c r="D231" s="35">
        <f>((1+Table2634[[#This Row],[Weekly change]])^52)-1</f>
        <v/>
      </c>
      <c r="E231" s="25">
        <f>AVERAGE(B228:B231)</f>
        <v/>
      </c>
      <c r="F231" s="33">
        <f>(Table2634[[#This Row],[4 weeks average]]-B179)/B179</f>
        <v/>
      </c>
    </row>
    <row r="232">
      <c r="A232" s="23" t="n">
        <v>28982</v>
      </c>
      <c r="B232" s="25">
        <f>VLOOKUP(Table2634[[#This Row],[Date]],'DB Money Supply'!$A:$D,4)</f>
        <v/>
      </c>
      <c r="C232" s="31">
        <f>(Table2634[[#This Row],[M1 Money Stock, Billions of Dollars, Weekly, Seasonally Adjusted]]-B231)/B231</f>
        <v/>
      </c>
      <c r="D232" s="35">
        <f>((1+Table2634[[#This Row],[Weekly change]])^52)-1</f>
        <v/>
      </c>
      <c r="E232" s="25">
        <f>AVERAGE(B229:B232)</f>
        <v/>
      </c>
      <c r="F232" s="33">
        <f>(Table2634[[#This Row],[4 weeks average]]-B180)/B180</f>
        <v/>
      </c>
    </row>
    <row r="233">
      <c r="A233" s="23" t="n">
        <v>28989</v>
      </c>
      <c r="B233" s="25">
        <f>VLOOKUP(Table2634[[#This Row],[Date]],'DB Money Supply'!$A:$D,4)</f>
        <v/>
      </c>
      <c r="C233" s="31">
        <f>(Table2634[[#This Row],[M1 Money Stock, Billions of Dollars, Weekly, Seasonally Adjusted]]-B232)/B232</f>
        <v/>
      </c>
      <c r="D233" s="35">
        <f>((1+Table2634[[#This Row],[Weekly change]])^52)-1</f>
        <v/>
      </c>
      <c r="E233" s="25">
        <f>AVERAGE(B230:B233)</f>
        <v/>
      </c>
      <c r="F233" s="33">
        <f>(Table2634[[#This Row],[4 weeks average]]-B181)/B181</f>
        <v/>
      </c>
    </row>
    <row r="234">
      <c r="A234" s="23" t="n">
        <v>28996</v>
      </c>
      <c r="B234" s="25">
        <f>VLOOKUP(Table2634[[#This Row],[Date]],'DB Money Supply'!$A:$D,4)</f>
        <v/>
      </c>
      <c r="C234" s="31">
        <f>(Table2634[[#This Row],[M1 Money Stock, Billions of Dollars, Weekly, Seasonally Adjusted]]-B233)/B233</f>
        <v/>
      </c>
      <c r="D234" s="35">
        <f>((1+Table2634[[#This Row],[Weekly change]])^52)-1</f>
        <v/>
      </c>
      <c r="E234" s="25">
        <f>AVERAGE(B231:B234)</f>
        <v/>
      </c>
      <c r="F234" s="33">
        <f>(Table2634[[#This Row],[4 weeks average]]-B182)/B182</f>
        <v/>
      </c>
    </row>
    <row r="235">
      <c r="A235" s="23" t="n">
        <v>29003</v>
      </c>
      <c r="B235" s="25">
        <f>VLOOKUP(Table2634[[#This Row],[Date]],'DB Money Supply'!$A:$D,4)</f>
        <v/>
      </c>
      <c r="C235" s="31">
        <f>(Table2634[[#This Row],[M1 Money Stock, Billions of Dollars, Weekly, Seasonally Adjusted]]-B234)/B234</f>
        <v/>
      </c>
      <c r="D235" s="35">
        <f>((1+Table2634[[#This Row],[Weekly change]])^52)-1</f>
        <v/>
      </c>
      <c r="E235" s="25">
        <f>AVERAGE(B232:B235)</f>
        <v/>
      </c>
      <c r="F235" s="33">
        <f>(Table2634[[#This Row],[4 weeks average]]-B183)/B183</f>
        <v/>
      </c>
    </row>
    <row r="236">
      <c r="A236" s="23" t="n">
        <v>29010</v>
      </c>
      <c r="B236" s="25">
        <f>VLOOKUP(Table2634[[#This Row],[Date]],'DB Money Supply'!$A:$D,4)</f>
        <v/>
      </c>
      <c r="C236" s="31">
        <f>(Table2634[[#This Row],[M1 Money Stock, Billions of Dollars, Weekly, Seasonally Adjusted]]-B235)/B235</f>
        <v/>
      </c>
      <c r="D236" s="35">
        <f>((1+Table2634[[#This Row],[Weekly change]])^52)-1</f>
        <v/>
      </c>
      <c r="E236" s="25">
        <f>AVERAGE(B233:B236)</f>
        <v/>
      </c>
      <c r="F236" s="33">
        <f>(Table2634[[#This Row],[4 weeks average]]-B184)/B184</f>
        <v/>
      </c>
    </row>
    <row r="237">
      <c r="A237" s="23" t="n">
        <v>29017</v>
      </c>
      <c r="B237" s="25">
        <f>VLOOKUP(Table2634[[#This Row],[Date]],'DB Money Supply'!$A:$D,4)</f>
        <v/>
      </c>
      <c r="C237" s="31">
        <f>(Table2634[[#This Row],[M1 Money Stock, Billions of Dollars, Weekly, Seasonally Adjusted]]-B236)/B236</f>
        <v/>
      </c>
      <c r="D237" s="35">
        <f>((1+Table2634[[#This Row],[Weekly change]])^52)-1</f>
        <v/>
      </c>
      <c r="E237" s="25">
        <f>AVERAGE(B234:B237)</f>
        <v/>
      </c>
      <c r="F237" s="33">
        <f>(Table2634[[#This Row],[4 weeks average]]-B185)/B185</f>
        <v/>
      </c>
    </row>
    <row r="238">
      <c r="A238" s="23" t="n">
        <v>29024</v>
      </c>
      <c r="B238" s="25">
        <f>VLOOKUP(Table2634[[#This Row],[Date]],'DB Money Supply'!$A:$D,4)</f>
        <v/>
      </c>
      <c r="C238" s="31">
        <f>(Table2634[[#This Row],[M1 Money Stock, Billions of Dollars, Weekly, Seasonally Adjusted]]-B237)/B237</f>
        <v/>
      </c>
      <c r="D238" s="35">
        <f>((1+Table2634[[#This Row],[Weekly change]])^52)-1</f>
        <v/>
      </c>
      <c r="E238" s="25">
        <f>AVERAGE(B235:B238)</f>
        <v/>
      </c>
      <c r="F238" s="33">
        <f>(Table2634[[#This Row],[4 weeks average]]-B186)/B186</f>
        <v/>
      </c>
    </row>
    <row r="239">
      <c r="A239" s="23" t="n">
        <v>29031</v>
      </c>
      <c r="B239" s="25">
        <f>VLOOKUP(Table2634[[#This Row],[Date]],'DB Money Supply'!$A:$D,4)</f>
        <v/>
      </c>
      <c r="C239" s="31">
        <f>(Table2634[[#This Row],[M1 Money Stock, Billions of Dollars, Weekly, Seasonally Adjusted]]-B238)/B238</f>
        <v/>
      </c>
      <c r="D239" s="35">
        <f>((1+Table2634[[#This Row],[Weekly change]])^52)-1</f>
        <v/>
      </c>
      <c r="E239" s="25">
        <f>AVERAGE(B236:B239)</f>
        <v/>
      </c>
      <c r="F239" s="33">
        <f>(Table2634[[#This Row],[4 weeks average]]-B187)/B187</f>
        <v/>
      </c>
    </row>
    <row r="240">
      <c r="A240" s="23" t="n">
        <v>29038</v>
      </c>
      <c r="B240" s="25">
        <f>VLOOKUP(Table2634[[#This Row],[Date]],'DB Money Supply'!$A:$D,4)</f>
        <v/>
      </c>
      <c r="C240" s="31">
        <f>(Table2634[[#This Row],[M1 Money Stock, Billions of Dollars, Weekly, Seasonally Adjusted]]-B239)/B239</f>
        <v/>
      </c>
      <c r="D240" s="35">
        <f>((1+Table2634[[#This Row],[Weekly change]])^52)-1</f>
        <v/>
      </c>
      <c r="E240" s="25">
        <f>AVERAGE(B237:B240)</f>
        <v/>
      </c>
      <c r="F240" s="33">
        <f>(Table2634[[#This Row],[4 weeks average]]-B188)/B188</f>
        <v/>
      </c>
    </row>
    <row r="241">
      <c r="A241" s="23" t="n">
        <v>29045</v>
      </c>
      <c r="B241" s="25">
        <f>VLOOKUP(Table2634[[#This Row],[Date]],'DB Money Supply'!$A:$D,4)</f>
        <v/>
      </c>
      <c r="C241" s="31">
        <f>(Table2634[[#This Row],[M1 Money Stock, Billions of Dollars, Weekly, Seasonally Adjusted]]-B240)/B240</f>
        <v/>
      </c>
      <c r="D241" s="35">
        <f>((1+Table2634[[#This Row],[Weekly change]])^52)-1</f>
        <v/>
      </c>
      <c r="E241" s="25">
        <f>AVERAGE(B238:B241)</f>
        <v/>
      </c>
      <c r="F241" s="33">
        <f>(Table2634[[#This Row],[4 weeks average]]-B189)/B189</f>
        <v/>
      </c>
    </row>
    <row r="242">
      <c r="A242" s="23" t="n">
        <v>29052</v>
      </c>
      <c r="B242" s="25">
        <f>VLOOKUP(Table2634[[#This Row],[Date]],'DB Money Supply'!$A:$D,4)</f>
        <v/>
      </c>
      <c r="C242" s="31">
        <f>(Table2634[[#This Row],[M1 Money Stock, Billions of Dollars, Weekly, Seasonally Adjusted]]-B241)/B241</f>
        <v/>
      </c>
      <c r="D242" s="35">
        <f>((1+Table2634[[#This Row],[Weekly change]])^52)-1</f>
        <v/>
      </c>
      <c r="E242" s="25">
        <f>AVERAGE(B239:B242)</f>
        <v/>
      </c>
      <c r="F242" s="33">
        <f>(Table2634[[#This Row],[4 weeks average]]-B190)/B190</f>
        <v/>
      </c>
    </row>
    <row r="243">
      <c r="A243" s="23" t="n">
        <v>29059</v>
      </c>
      <c r="B243" s="25">
        <f>VLOOKUP(Table2634[[#This Row],[Date]],'DB Money Supply'!$A:$D,4)</f>
        <v/>
      </c>
      <c r="C243" s="31">
        <f>(Table2634[[#This Row],[M1 Money Stock, Billions of Dollars, Weekly, Seasonally Adjusted]]-B242)/B242</f>
        <v/>
      </c>
      <c r="D243" s="35">
        <f>((1+Table2634[[#This Row],[Weekly change]])^52)-1</f>
        <v/>
      </c>
      <c r="E243" s="25">
        <f>AVERAGE(B240:B243)</f>
        <v/>
      </c>
      <c r="F243" s="33">
        <f>(Table2634[[#This Row],[4 weeks average]]-B191)/B191</f>
        <v/>
      </c>
    </row>
    <row r="244">
      <c r="A244" s="23" t="n">
        <v>29066</v>
      </c>
      <c r="B244" s="25">
        <f>VLOOKUP(Table2634[[#This Row],[Date]],'DB Money Supply'!$A:$D,4)</f>
        <v/>
      </c>
      <c r="C244" s="31">
        <f>(Table2634[[#This Row],[M1 Money Stock, Billions of Dollars, Weekly, Seasonally Adjusted]]-B243)/B243</f>
        <v/>
      </c>
      <c r="D244" s="35">
        <f>((1+Table2634[[#This Row],[Weekly change]])^52)-1</f>
        <v/>
      </c>
      <c r="E244" s="25">
        <f>AVERAGE(B241:B244)</f>
        <v/>
      </c>
      <c r="F244" s="33">
        <f>(Table2634[[#This Row],[4 weeks average]]-B192)/B192</f>
        <v/>
      </c>
    </row>
    <row r="245">
      <c r="A245" s="23" t="n">
        <v>29073</v>
      </c>
      <c r="B245" s="25">
        <f>VLOOKUP(Table2634[[#This Row],[Date]],'DB Money Supply'!$A:$D,4)</f>
        <v/>
      </c>
      <c r="C245" s="31">
        <f>(Table2634[[#This Row],[M1 Money Stock, Billions of Dollars, Weekly, Seasonally Adjusted]]-B244)/B244</f>
        <v/>
      </c>
      <c r="D245" s="35">
        <f>((1+Table2634[[#This Row],[Weekly change]])^52)-1</f>
        <v/>
      </c>
      <c r="E245" s="25">
        <f>AVERAGE(B242:B245)</f>
        <v/>
      </c>
      <c r="F245" s="33">
        <f>(Table2634[[#This Row],[4 weeks average]]-B193)/B193</f>
        <v/>
      </c>
    </row>
    <row r="246">
      <c r="A246" s="23" t="n">
        <v>29080</v>
      </c>
      <c r="B246" s="25">
        <f>VLOOKUP(Table2634[[#This Row],[Date]],'DB Money Supply'!$A:$D,4)</f>
        <v/>
      </c>
      <c r="C246" s="31">
        <f>(Table2634[[#This Row],[M1 Money Stock, Billions of Dollars, Weekly, Seasonally Adjusted]]-B245)/B245</f>
        <v/>
      </c>
      <c r="D246" s="35">
        <f>((1+Table2634[[#This Row],[Weekly change]])^52)-1</f>
        <v/>
      </c>
      <c r="E246" s="25">
        <f>AVERAGE(B243:B246)</f>
        <v/>
      </c>
      <c r="F246" s="33">
        <f>(Table2634[[#This Row],[4 weeks average]]-B194)/B194</f>
        <v/>
      </c>
    </row>
    <row r="247">
      <c r="A247" s="23" t="n">
        <v>29087</v>
      </c>
      <c r="B247" s="25">
        <f>VLOOKUP(Table2634[[#This Row],[Date]],'DB Money Supply'!$A:$D,4)</f>
        <v/>
      </c>
      <c r="C247" s="31">
        <f>(Table2634[[#This Row],[M1 Money Stock, Billions of Dollars, Weekly, Seasonally Adjusted]]-B246)/B246</f>
        <v/>
      </c>
      <c r="D247" s="35">
        <f>((1+Table2634[[#This Row],[Weekly change]])^52)-1</f>
        <v/>
      </c>
      <c r="E247" s="25">
        <f>AVERAGE(B244:B247)</f>
        <v/>
      </c>
      <c r="F247" s="33">
        <f>(Table2634[[#This Row],[4 weeks average]]-B195)/B195</f>
        <v/>
      </c>
    </row>
    <row r="248">
      <c r="A248" s="23" t="n">
        <v>29094</v>
      </c>
      <c r="B248" s="25">
        <f>VLOOKUP(Table2634[[#This Row],[Date]],'DB Money Supply'!$A:$D,4)</f>
        <v/>
      </c>
      <c r="C248" s="31">
        <f>(Table2634[[#This Row],[M1 Money Stock, Billions of Dollars, Weekly, Seasonally Adjusted]]-B247)/B247</f>
        <v/>
      </c>
      <c r="D248" s="35">
        <f>((1+Table2634[[#This Row],[Weekly change]])^52)-1</f>
        <v/>
      </c>
      <c r="E248" s="25">
        <f>AVERAGE(B245:B248)</f>
        <v/>
      </c>
      <c r="F248" s="33">
        <f>(Table2634[[#This Row],[4 weeks average]]-B196)/B196</f>
        <v/>
      </c>
    </row>
    <row r="249">
      <c r="A249" s="23" t="n">
        <v>29101</v>
      </c>
      <c r="B249" s="25">
        <f>VLOOKUP(Table2634[[#This Row],[Date]],'DB Money Supply'!$A:$D,4)</f>
        <v/>
      </c>
      <c r="C249" s="31">
        <f>(Table2634[[#This Row],[M1 Money Stock, Billions of Dollars, Weekly, Seasonally Adjusted]]-B248)/B248</f>
        <v/>
      </c>
      <c r="D249" s="35">
        <f>((1+Table2634[[#This Row],[Weekly change]])^52)-1</f>
        <v/>
      </c>
      <c r="E249" s="25">
        <f>AVERAGE(B246:B249)</f>
        <v/>
      </c>
      <c r="F249" s="33">
        <f>(Table2634[[#This Row],[4 weeks average]]-B197)/B197</f>
        <v/>
      </c>
    </row>
    <row r="250">
      <c r="A250" s="23" t="n">
        <v>29108</v>
      </c>
      <c r="B250" s="25">
        <f>VLOOKUP(Table2634[[#This Row],[Date]],'DB Money Supply'!$A:$D,4)</f>
        <v/>
      </c>
      <c r="C250" s="31">
        <f>(Table2634[[#This Row],[M1 Money Stock, Billions of Dollars, Weekly, Seasonally Adjusted]]-B249)/B249</f>
        <v/>
      </c>
      <c r="D250" s="35">
        <f>((1+Table2634[[#This Row],[Weekly change]])^52)-1</f>
        <v/>
      </c>
      <c r="E250" s="25">
        <f>AVERAGE(B247:B250)</f>
        <v/>
      </c>
      <c r="F250" s="33">
        <f>(Table2634[[#This Row],[4 weeks average]]-B198)/B198</f>
        <v/>
      </c>
    </row>
    <row r="251">
      <c r="A251" s="23" t="n">
        <v>29115</v>
      </c>
      <c r="B251" s="25">
        <f>VLOOKUP(Table2634[[#This Row],[Date]],'DB Money Supply'!$A:$D,4)</f>
        <v/>
      </c>
      <c r="C251" s="31">
        <f>(Table2634[[#This Row],[M1 Money Stock, Billions of Dollars, Weekly, Seasonally Adjusted]]-B250)/B250</f>
        <v/>
      </c>
      <c r="D251" s="35">
        <f>((1+Table2634[[#This Row],[Weekly change]])^52)-1</f>
        <v/>
      </c>
      <c r="E251" s="25">
        <f>AVERAGE(B248:B251)</f>
        <v/>
      </c>
      <c r="F251" s="33">
        <f>(Table2634[[#This Row],[4 weeks average]]-B199)/B199</f>
        <v/>
      </c>
    </row>
    <row r="252">
      <c r="A252" s="23" t="n">
        <v>29122</v>
      </c>
      <c r="B252" s="25">
        <f>VLOOKUP(Table2634[[#This Row],[Date]],'DB Money Supply'!$A:$D,4)</f>
        <v/>
      </c>
      <c r="C252" s="31">
        <f>(Table2634[[#This Row],[M1 Money Stock, Billions of Dollars, Weekly, Seasonally Adjusted]]-B251)/B251</f>
        <v/>
      </c>
      <c r="D252" s="35">
        <f>((1+Table2634[[#This Row],[Weekly change]])^52)-1</f>
        <v/>
      </c>
      <c r="E252" s="25">
        <f>AVERAGE(B249:B252)</f>
        <v/>
      </c>
      <c r="F252" s="33">
        <f>(Table2634[[#This Row],[4 weeks average]]-B200)/B200</f>
        <v/>
      </c>
    </row>
    <row r="253">
      <c r="A253" s="23" t="n">
        <v>29129</v>
      </c>
      <c r="B253" s="25">
        <f>VLOOKUP(Table2634[[#This Row],[Date]],'DB Money Supply'!$A:$D,4)</f>
        <v/>
      </c>
      <c r="C253" s="31">
        <f>(Table2634[[#This Row],[M1 Money Stock, Billions of Dollars, Weekly, Seasonally Adjusted]]-B252)/B252</f>
        <v/>
      </c>
      <c r="D253" s="35">
        <f>((1+Table2634[[#This Row],[Weekly change]])^52)-1</f>
        <v/>
      </c>
      <c r="E253" s="25">
        <f>AVERAGE(B250:B253)</f>
        <v/>
      </c>
      <c r="F253" s="33">
        <f>(Table2634[[#This Row],[4 weeks average]]-B201)/B201</f>
        <v/>
      </c>
    </row>
    <row r="254">
      <c r="A254" s="23" t="n">
        <v>29136</v>
      </c>
      <c r="B254" s="25">
        <f>VLOOKUP(Table2634[[#This Row],[Date]],'DB Money Supply'!$A:$D,4)</f>
        <v/>
      </c>
      <c r="C254" s="31">
        <f>(Table2634[[#This Row],[M1 Money Stock, Billions of Dollars, Weekly, Seasonally Adjusted]]-B253)/B253</f>
        <v/>
      </c>
      <c r="D254" s="35">
        <f>((1+Table2634[[#This Row],[Weekly change]])^52)-1</f>
        <v/>
      </c>
      <c r="E254" s="25">
        <f>AVERAGE(B251:B254)</f>
        <v/>
      </c>
      <c r="F254" s="33">
        <f>(Table2634[[#This Row],[4 weeks average]]-B202)/B202</f>
        <v/>
      </c>
    </row>
    <row r="255">
      <c r="A255" s="23" t="n">
        <v>29143</v>
      </c>
      <c r="B255" s="25">
        <f>VLOOKUP(Table2634[[#This Row],[Date]],'DB Money Supply'!$A:$D,4)</f>
        <v/>
      </c>
      <c r="C255" s="31">
        <f>(Table2634[[#This Row],[M1 Money Stock, Billions of Dollars, Weekly, Seasonally Adjusted]]-B254)/B254</f>
        <v/>
      </c>
      <c r="D255" s="35">
        <f>((1+Table2634[[#This Row],[Weekly change]])^52)-1</f>
        <v/>
      </c>
      <c r="E255" s="25">
        <f>AVERAGE(B252:B255)</f>
        <v/>
      </c>
      <c r="F255" s="33">
        <f>(Table2634[[#This Row],[4 weeks average]]-B203)/B203</f>
        <v/>
      </c>
    </row>
    <row r="256">
      <c r="A256" s="23" t="n">
        <v>29150</v>
      </c>
      <c r="B256" s="25">
        <f>VLOOKUP(Table2634[[#This Row],[Date]],'DB Money Supply'!$A:$D,4)</f>
        <v/>
      </c>
      <c r="C256" s="31">
        <f>(Table2634[[#This Row],[M1 Money Stock, Billions of Dollars, Weekly, Seasonally Adjusted]]-B255)/B255</f>
        <v/>
      </c>
      <c r="D256" s="35">
        <f>((1+Table2634[[#This Row],[Weekly change]])^52)-1</f>
        <v/>
      </c>
      <c r="E256" s="25">
        <f>AVERAGE(B253:B256)</f>
        <v/>
      </c>
      <c r="F256" s="33">
        <f>(Table2634[[#This Row],[4 weeks average]]-B204)/B204</f>
        <v/>
      </c>
    </row>
    <row r="257">
      <c r="A257" s="23" t="n">
        <v>29157</v>
      </c>
      <c r="B257" s="25">
        <f>VLOOKUP(Table2634[[#This Row],[Date]],'DB Money Supply'!$A:$D,4)</f>
        <v/>
      </c>
      <c r="C257" s="31">
        <f>(Table2634[[#This Row],[M1 Money Stock, Billions of Dollars, Weekly, Seasonally Adjusted]]-B256)/B256</f>
        <v/>
      </c>
      <c r="D257" s="35">
        <f>((1+Table2634[[#This Row],[Weekly change]])^52)-1</f>
        <v/>
      </c>
      <c r="E257" s="25">
        <f>AVERAGE(B254:B257)</f>
        <v/>
      </c>
      <c r="F257" s="33">
        <f>(Table2634[[#This Row],[4 weeks average]]-B205)/B205</f>
        <v/>
      </c>
    </row>
    <row r="258">
      <c r="A258" s="23" t="n">
        <v>29164</v>
      </c>
      <c r="B258" s="25">
        <f>VLOOKUP(Table2634[[#This Row],[Date]],'DB Money Supply'!$A:$D,4)</f>
        <v/>
      </c>
      <c r="C258" s="31">
        <f>(Table2634[[#This Row],[M1 Money Stock, Billions of Dollars, Weekly, Seasonally Adjusted]]-B257)/B257</f>
        <v/>
      </c>
      <c r="D258" s="35">
        <f>((1+Table2634[[#This Row],[Weekly change]])^52)-1</f>
        <v/>
      </c>
      <c r="E258" s="25">
        <f>AVERAGE(B255:B258)</f>
        <v/>
      </c>
      <c r="F258" s="33">
        <f>(Table2634[[#This Row],[4 weeks average]]-B206)/B206</f>
        <v/>
      </c>
    </row>
    <row r="259">
      <c r="A259" s="23" t="n">
        <v>29171</v>
      </c>
      <c r="B259" s="25">
        <f>VLOOKUP(Table2634[[#This Row],[Date]],'DB Money Supply'!$A:$D,4)</f>
        <v/>
      </c>
      <c r="C259" s="31">
        <f>(Table2634[[#This Row],[M1 Money Stock, Billions of Dollars, Weekly, Seasonally Adjusted]]-B258)/B258</f>
        <v/>
      </c>
      <c r="D259" s="35">
        <f>((1+Table2634[[#This Row],[Weekly change]])^52)-1</f>
        <v/>
      </c>
      <c r="E259" s="25">
        <f>AVERAGE(B256:B259)</f>
        <v/>
      </c>
      <c r="F259" s="33">
        <f>(Table2634[[#This Row],[4 weeks average]]-B207)/B207</f>
        <v/>
      </c>
    </row>
    <row r="260">
      <c r="A260" s="23" t="n">
        <v>29178</v>
      </c>
      <c r="B260" s="25">
        <f>VLOOKUP(Table2634[[#This Row],[Date]],'DB Money Supply'!$A:$D,4)</f>
        <v/>
      </c>
      <c r="C260" s="31">
        <f>(Table2634[[#This Row],[M1 Money Stock, Billions of Dollars, Weekly, Seasonally Adjusted]]-B259)/B259</f>
        <v/>
      </c>
      <c r="D260" s="35">
        <f>((1+Table2634[[#This Row],[Weekly change]])^52)-1</f>
        <v/>
      </c>
      <c r="E260" s="25">
        <f>AVERAGE(B257:B260)</f>
        <v/>
      </c>
      <c r="F260" s="33">
        <f>(Table2634[[#This Row],[4 weeks average]]-B208)/B208</f>
        <v/>
      </c>
    </row>
    <row r="261">
      <c r="A261" s="23" t="n">
        <v>29185</v>
      </c>
      <c r="B261" s="25">
        <f>VLOOKUP(Table2634[[#This Row],[Date]],'DB Money Supply'!$A:$D,4)</f>
        <v/>
      </c>
      <c r="C261" s="31">
        <f>(Table2634[[#This Row],[M1 Money Stock, Billions of Dollars, Weekly, Seasonally Adjusted]]-B260)/B260</f>
        <v/>
      </c>
      <c r="D261" s="35">
        <f>((1+Table2634[[#This Row],[Weekly change]])^52)-1</f>
        <v/>
      </c>
      <c r="E261" s="25">
        <f>AVERAGE(B258:B261)</f>
        <v/>
      </c>
      <c r="F261" s="33">
        <f>(Table2634[[#This Row],[4 weeks average]]-B209)/B209</f>
        <v/>
      </c>
    </row>
    <row r="262">
      <c r="A262" s="23" t="n">
        <v>29192</v>
      </c>
      <c r="B262" s="25">
        <f>VLOOKUP(Table2634[[#This Row],[Date]],'DB Money Supply'!$A:$D,4)</f>
        <v/>
      </c>
      <c r="C262" s="31">
        <f>(Table2634[[#This Row],[M1 Money Stock, Billions of Dollars, Weekly, Seasonally Adjusted]]-B261)/B261</f>
        <v/>
      </c>
      <c r="D262" s="35">
        <f>((1+Table2634[[#This Row],[Weekly change]])^52)-1</f>
        <v/>
      </c>
      <c r="E262" s="25">
        <f>AVERAGE(B259:B262)</f>
        <v/>
      </c>
      <c r="F262" s="33">
        <f>(Table2634[[#This Row],[4 weeks average]]-B210)/B210</f>
        <v/>
      </c>
    </row>
    <row r="263">
      <c r="A263" s="23" t="n">
        <v>29199</v>
      </c>
      <c r="B263" s="25">
        <f>VLOOKUP(Table2634[[#This Row],[Date]],'DB Money Supply'!$A:$D,4)</f>
        <v/>
      </c>
      <c r="C263" s="31">
        <f>(Table2634[[#This Row],[M1 Money Stock, Billions of Dollars, Weekly, Seasonally Adjusted]]-B262)/B262</f>
        <v/>
      </c>
      <c r="D263" s="35">
        <f>((1+Table2634[[#This Row],[Weekly change]])^52)-1</f>
        <v/>
      </c>
      <c r="E263" s="25">
        <f>AVERAGE(B260:B263)</f>
        <v/>
      </c>
      <c r="F263" s="33">
        <f>(Table2634[[#This Row],[4 weeks average]]-B211)/B211</f>
        <v/>
      </c>
    </row>
    <row r="264">
      <c r="A264" s="23" t="n">
        <v>29206</v>
      </c>
      <c r="B264" s="25">
        <f>VLOOKUP(Table2634[[#This Row],[Date]],'DB Money Supply'!$A:$D,4)</f>
        <v/>
      </c>
      <c r="C264" s="31">
        <f>(Table2634[[#This Row],[M1 Money Stock, Billions of Dollars, Weekly, Seasonally Adjusted]]-B263)/B263</f>
        <v/>
      </c>
      <c r="D264" s="35">
        <f>((1+Table2634[[#This Row],[Weekly change]])^52)-1</f>
        <v/>
      </c>
      <c r="E264" s="25">
        <f>AVERAGE(B261:B264)</f>
        <v/>
      </c>
      <c r="F264" s="33">
        <f>(Table2634[[#This Row],[4 weeks average]]-B212)/B212</f>
        <v/>
      </c>
    </row>
    <row r="265">
      <c r="A265" s="23" t="n">
        <v>29213</v>
      </c>
      <c r="B265" s="25">
        <f>VLOOKUP(Table2634[[#This Row],[Date]],'DB Money Supply'!$A:$D,4)</f>
        <v/>
      </c>
      <c r="C265" s="31">
        <f>(Table2634[[#This Row],[M1 Money Stock, Billions of Dollars, Weekly, Seasonally Adjusted]]-B264)/B264</f>
        <v/>
      </c>
      <c r="D265" s="35">
        <f>((1+Table2634[[#This Row],[Weekly change]])^52)-1</f>
        <v/>
      </c>
      <c r="E265" s="25">
        <f>AVERAGE(B262:B265)</f>
        <v/>
      </c>
      <c r="F265" s="33">
        <f>(Table2634[[#This Row],[4 weeks average]]-B213)/B213</f>
        <v/>
      </c>
    </row>
    <row r="266">
      <c r="A266" s="23" t="n">
        <v>29220</v>
      </c>
      <c r="B266" s="25">
        <f>VLOOKUP(Table2634[[#This Row],[Date]],'DB Money Supply'!$A:$D,4)</f>
        <v/>
      </c>
      <c r="C266" s="31">
        <f>(Table2634[[#This Row],[M1 Money Stock, Billions of Dollars, Weekly, Seasonally Adjusted]]-B265)/B265</f>
        <v/>
      </c>
      <c r="D266" s="35">
        <f>((1+Table2634[[#This Row],[Weekly change]])^52)-1</f>
        <v/>
      </c>
      <c r="E266" s="25">
        <f>AVERAGE(B263:B266)</f>
        <v/>
      </c>
      <c r="F266" s="33">
        <f>(Table2634[[#This Row],[4 weeks average]]-B214)/B214</f>
        <v/>
      </c>
    </row>
    <row r="267">
      <c r="A267" s="23" t="n">
        <v>29227</v>
      </c>
      <c r="B267" s="25">
        <f>VLOOKUP(Table2634[[#This Row],[Date]],'DB Money Supply'!$A:$D,4)</f>
        <v/>
      </c>
      <c r="C267" s="31">
        <f>(Table2634[[#This Row],[M1 Money Stock, Billions of Dollars, Weekly, Seasonally Adjusted]]-B266)/B266</f>
        <v/>
      </c>
      <c r="D267" s="35">
        <f>((1+Table2634[[#This Row],[Weekly change]])^52)-1</f>
        <v/>
      </c>
      <c r="E267" s="25">
        <f>AVERAGE(B264:B267)</f>
        <v/>
      </c>
      <c r="F267" s="33">
        <f>(Table2634[[#This Row],[4 weeks average]]-B215)/B215</f>
        <v/>
      </c>
    </row>
    <row r="268">
      <c r="A268" s="23" t="n">
        <v>29234</v>
      </c>
      <c r="B268" s="25">
        <f>VLOOKUP(Table2634[[#This Row],[Date]],'DB Money Supply'!$A:$D,4)</f>
        <v/>
      </c>
      <c r="C268" s="31">
        <f>(Table2634[[#This Row],[M1 Money Stock, Billions of Dollars, Weekly, Seasonally Adjusted]]-B267)/B267</f>
        <v/>
      </c>
      <c r="D268" s="35">
        <f>((1+Table2634[[#This Row],[Weekly change]])^52)-1</f>
        <v/>
      </c>
      <c r="E268" s="25">
        <f>AVERAGE(B265:B268)</f>
        <v/>
      </c>
      <c r="F268" s="33">
        <f>(Table2634[[#This Row],[4 weeks average]]-B216)/B216</f>
        <v/>
      </c>
    </row>
    <row r="269">
      <c r="A269" s="23" t="n">
        <v>29241</v>
      </c>
      <c r="B269" s="25">
        <f>VLOOKUP(Table2634[[#This Row],[Date]],'DB Money Supply'!$A:$D,4)</f>
        <v/>
      </c>
      <c r="C269" s="31">
        <f>(Table2634[[#This Row],[M1 Money Stock, Billions of Dollars, Weekly, Seasonally Adjusted]]-B268)/B268</f>
        <v/>
      </c>
      <c r="D269" s="35">
        <f>((1+Table2634[[#This Row],[Weekly change]])^52)-1</f>
        <v/>
      </c>
      <c r="E269" s="25">
        <f>AVERAGE(B266:B269)</f>
        <v/>
      </c>
      <c r="F269" s="33">
        <f>(Table2634[[#This Row],[4 weeks average]]-B217)/B217</f>
        <v/>
      </c>
    </row>
    <row r="270">
      <c r="A270" s="23" t="n">
        <v>29248</v>
      </c>
      <c r="B270" s="25">
        <f>VLOOKUP(Table2634[[#This Row],[Date]],'DB Money Supply'!$A:$D,4)</f>
        <v/>
      </c>
      <c r="C270" s="31">
        <f>(Table2634[[#This Row],[M1 Money Stock, Billions of Dollars, Weekly, Seasonally Adjusted]]-B269)/B269</f>
        <v/>
      </c>
      <c r="D270" s="35">
        <f>((1+Table2634[[#This Row],[Weekly change]])^52)-1</f>
        <v/>
      </c>
      <c r="E270" s="25">
        <f>AVERAGE(B267:B270)</f>
        <v/>
      </c>
      <c r="F270" s="33">
        <f>(Table2634[[#This Row],[4 weeks average]]-B218)/B218</f>
        <v/>
      </c>
    </row>
    <row r="271">
      <c r="A271" s="23" t="n">
        <v>29255</v>
      </c>
      <c r="B271" s="25">
        <f>VLOOKUP(Table2634[[#This Row],[Date]],'DB Money Supply'!$A:$D,4)</f>
        <v/>
      </c>
      <c r="C271" s="31">
        <f>(Table2634[[#This Row],[M1 Money Stock, Billions of Dollars, Weekly, Seasonally Adjusted]]-B270)/B270</f>
        <v/>
      </c>
      <c r="D271" s="35">
        <f>((1+Table2634[[#This Row],[Weekly change]])^52)-1</f>
        <v/>
      </c>
      <c r="E271" s="25">
        <f>AVERAGE(B268:B271)</f>
        <v/>
      </c>
      <c r="F271" s="33">
        <f>(Table2634[[#This Row],[4 weeks average]]-B219)/B219</f>
        <v/>
      </c>
    </row>
    <row r="272">
      <c r="A272" s="23" t="n">
        <v>29262</v>
      </c>
      <c r="B272" s="25">
        <f>VLOOKUP(Table2634[[#This Row],[Date]],'DB Money Supply'!$A:$D,4)</f>
        <v/>
      </c>
      <c r="C272" s="31">
        <f>(Table2634[[#This Row],[M1 Money Stock, Billions of Dollars, Weekly, Seasonally Adjusted]]-B271)/B271</f>
        <v/>
      </c>
      <c r="D272" s="35">
        <f>((1+Table2634[[#This Row],[Weekly change]])^52)-1</f>
        <v/>
      </c>
      <c r="E272" s="25">
        <f>AVERAGE(B269:B272)</f>
        <v/>
      </c>
      <c r="F272" s="33">
        <f>(Table2634[[#This Row],[4 weeks average]]-B220)/B220</f>
        <v/>
      </c>
    </row>
    <row r="273">
      <c r="A273" s="23" t="n">
        <v>29269</v>
      </c>
      <c r="B273" s="25">
        <f>VLOOKUP(Table2634[[#This Row],[Date]],'DB Money Supply'!$A:$D,4)</f>
        <v/>
      </c>
      <c r="C273" s="31">
        <f>(Table2634[[#This Row],[M1 Money Stock, Billions of Dollars, Weekly, Seasonally Adjusted]]-B272)/B272</f>
        <v/>
      </c>
      <c r="D273" s="35">
        <f>((1+Table2634[[#This Row],[Weekly change]])^52)-1</f>
        <v/>
      </c>
      <c r="E273" s="25">
        <f>AVERAGE(B270:B273)</f>
        <v/>
      </c>
      <c r="F273" s="33">
        <f>(Table2634[[#This Row],[4 weeks average]]-B221)/B221</f>
        <v/>
      </c>
    </row>
    <row r="274">
      <c r="A274" s="23" t="n">
        <v>29276</v>
      </c>
      <c r="B274" s="25">
        <f>VLOOKUP(Table2634[[#This Row],[Date]],'DB Money Supply'!$A:$D,4)</f>
        <v/>
      </c>
      <c r="C274" s="31">
        <f>(Table2634[[#This Row],[M1 Money Stock, Billions of Dollars, Weekly, Seasonally Adjusted]]-B273)/B273</f>
        <v/>
      </c>
      <c r="D274" s="35">
        <f>((1+Table2634[[#This Row],[Weekly change]])^52)-1</f>
        <v/>
      </c>
      <c r="E274" s="25">
        <f>AVERAGE(B271:B274)</f>
        <v/>
      </c>
      <c r="F274" s="33">
        <f>(Table2634[[#This Row],[4 weeks average]]-B222)/B222</f>
        <v/>
      </c>
    </row>
    <row r="275">
      <c r="A275" s="23" t="n">
        <v>29283</v>
      </c>
      <c r="B275" s="25">
        <f>VLOOKUP(Table2634[[#This Row],[Date]],'DB Money Supply'!$A:$D,4)</f>
        <v/>
      </c>
      <c r="C275" s="31">
        <f>(Table2634[[#This Row],[M1 Money Stock, Billions of Dollars, Weekly, Seasonally Adjusted]]-B274)/B274</f>
        <v/>
      </c>
      <c r="D275" s="35">
        <f>((1+Table2634[[#This Row],[Weekly change]])^52)-1</f>
        <v/>
      </c>
      <c r="E275" s="25">
        <f>AVERAGE(B272:B275)</f>
        <v/>
      </c>
      <c r="F275" s="33">
        <f>(Table2634[[#This Row],[4 weeks average]]-B223)/B223</f>
        <v/>
      </c>
    </row>
    <row r="276">
      <c r="A276" s="23" t="n">
        <v>29290</v>
      </c>
      <c r="B276" s="25">
        <f>VLOOKUP(Table2634[[#This Row],[Date]],'DB Money Supply'!$A:$D,4)</f>
        <v/>
      </c>
      <c r="C276" s="31">
        <f>(Table2634[[#This Row],[M1 Money Stock, Billions of Dollars, Weekly, Seasonally Adjusted]]-B275)/B275</f>
        <v/>
      </c>
      <c r="D276" s="35">
        <f>((1+Table2634[[#This Row],[Weekly change]])^52)-1</f>
        <v/>
      </c>
      <c r="E276" s="25">
        <f>AVERAGE(B273:B276)</f>
        <v/>
      </c>
      <c r="F276" s="33">
        <f>(Table2634[[#This Row],[4 weeks average]]-B224)/B224</f>
        <v/>
      </c>
    </row>
    <row r="277">
      <c r="A277" s="23" t="n">
        <v>29297</v>
      </c>
      <c r="B277" s="25">
        <f>VLOOKUP(Table2634[[#This Row],[Date]],'DB Money Supply'!$A:$D,4)</f>
        <v/>
      </c>
      <c r="C277" s="31">
        <f>(Table2634[[#This Row],[M1 Money Stock, Billions of Dollars, Weekly, Seasonally Adjusted]]-B276)/B276</f>
        <v/>
      </c>
      <c r="D277" s="35">
        <f>((1+Table2634[[#This Row],[Weekly change]])^52)-1</f>
        <v/>
      </c>
      <c r="E277" s="25">
        <f>AVERAGE(B274:B277)</f>
        <v/>
      </c>
      <c r="F277" s="33">
        <f>(Table2634[[#This Row],[4 weeks average]]-B225)/B225</f>
        <v/>
      </c>
    </row>
    <row r="278">
      <c r="A278" s="23" t="n">
        <v>29304</v>
      </c>
      <c r="B278" s="25">
        <f>VLOOKUP(Table2634[[#This Row],[Date]],'DB Money Supply'!$A:$D,4)</f>
        <v/>
      </c>
      <c r="C278" s="31">
        <f>(Table2634[[#This Row],[M1 Money Stock, Billions of Dollars, Weekly, Seasonally Adjusted]]-B277)/B277</f>
        <v/>
      </c>
      <c r="D278" s="35">
        <f>((1+Table2634[[#This Row],[Weekly change]])^52)-1</f>
        <v/>
      </c>
      <c r="E278" s="25">
        <f>AVERAGE(B275:B278)</f>
        <v/>
      </c>
      <c r="F278" s="33">
        <f>(Table2634[[#This Row],[4 weeks average]]-B226)/B226</f>
        <v/>
      </c>
    </row>
    <row r="279">
      <c r="A279" s="23" t="n">
        <v>29311</v>
      </c>
      <c r="B279" s="25">
        <f>VLOOKUP(Table2634[[#This Row],[Date]],'DB Money Supply'!$A:$D,4)</f>
        <v/>
      </c>
      <c r="C279" s="31">
        <f>(Table2634[[#This Row],[M1 Money Stock, Billions of Dollars, Weekly, Seasonally Adjusted]]-B278)/B278</f>
        <v/>
      </c>
      <c r="D279" s="35">
        <f>((1+Table2634[[#This Row],[Weekly change]])^52)-1</f>
        <v/>
      </c>
      <c r="E279" s="25">
        <f>AVERAGE(B276:B279)</f>
        <v/>
      </c>
      <c r="F279" s="33">
        <f>(Table2634[[#This Row],[4 weeks average]]-B227)/B227</f>
        <v/>
      </c>
    </row>
    <row r="280">
      <c r="A280" s="23" t="n">
        <v>29318</v>
      </c>
      <c r="B280" s="25">
        <f>VLOOKUP(Table2634[[#This Row],[Date]],'DB Money Supply'!$A:$D,4)</f>
        <v/>
      </c>
      <c r="C280" s="31">
        <f>(Table2634[[#This Row],[M1 Money Stock, Billions of Dollars, Weekly, Seasonally Adjusted]]-B279)/B279</f>
        <v/>
      </c>
      <c r="D280" s="35">
        <f>((1+Table2634[[#This Row],[Weekly change]])^52)-1</f>
        <v/>
      </c>
      <c r="E280" s="25">
        <f>AVERAGE(B277:B280)</f>
        <v/>
      </c>
      <c r="F280" s="33">
        <f>(Table2634[[#This Row],[4 weeks average]]-B228)/B228</f>
        <v/>
      </c>
    </row>
    <row r="281">
      <c r="A281" s="23" t="n">
        <v>29325</v>
      </c>
      <c r="B281" s="25">
        <f>VLOOKUP(Table2634[[#This Row],[Date]],'DB Money Supply'!$A:$D,4)</f>
        <v/>
      </c>
      <c r="C281" s="31">
        <f>(Table2634[[#This Row],[M1 Money Stock, Billions of Dollars, Weekly, Seasonally Adjusted]]-B280)/B280</f>
        <v/>
      </c>
      <c r="D281" s="35">
        <f>((1+Table2634[[#This Row],[Weekly change]])^52)-1</f>
        <v/>
      </c>
      <c r="E281" s="25">
        <f>AVERAGE(B278:B281)</f>
        <v/>
      </c>
      <c r="F281" s="33">
        <f>(Table2634[[#This Row],[4 weeks average]]-B229)/B229</f>
        <v/>
      </c>
    </row>
    <row r="282">
      <c r="A282" s="23" t="n">
        <v>29332</v>
      </c>
      <c r="B282" s="25">
        <f>VLOOKUP(Table2634[[#This Row],[Date]],'DB Money Supply'!$A:$D,4)</f>
        <v/>
      </c>
      <c r="C282" s="31">
        <f>(Table2634[[#This Row],[M1 Money Stock, Billions of Dollars, Weekly, Seasonally Adjusted]]-B281)/B281</f>
        <v/>
      </c>
      <c r="D282" s="35">
        <f>((1+Table2634[[#This Row],[Weekly change]])^52)-1</f>
        <v/>
      </c>
      <c r="E282" s="25">
        <f>AVERAGE(B279:B282)</f>
        <v/>
      </c>
      <c r="F282" s="33">
        <f>(Table2634[[#This Row],[4 weeks average]]-B230)/B230</f>
        <v/>
      </c>
    </row>
    <row r="283">
      <c r="A283" s="23" t="n">
        <v>29339</v>
      </c>
      <c r="B283" s="25">
        <f>VLOOKUP(Table2634[[#This Row],[Date]],'DB Money Supply'!$A:$D,4)</f>
        <v/>
      </c>
      <c r="C283" s="31">
        <f>(Table2634[[#This Row],[M1 Money Stock, Billions of Dollars, Weekly, Seasonally Adjusted]]-B282)/B282</f>
        <v/>
      </c>
      <c r="D283" s="35">
        <f>((1+Table2634[[#This Row],[Weekly change]])^52)-1</f>
        <v/>
      </c>
      <c r="E283" s="25">
        <f>AVERAGE(B280:B283)</f>
        <v/>
      </c>
      <c r="F283" s="33">
        <f>(Table2634[[#This Row],[4 weeks average]]-B231)/B231</f>
        <v/>
      </c>
    </row>
    <row r="284">
      <c r="A284" s="23" t="n">
        <v>29346</v>
      </c>
      <c r="B284" s="25">
        <f>VLOOKUP(Table2634[[#This Row],[Date]],'DB Money Supply'!$A:$D,4)</f>
        <v/>
      </c>
      <c r="C284" s="31">
        <f>(Table2634[[#This Row],[M1 Money Stock, Billions of Dollars, Weekly, Seasonally Adjusted]]-B283)/B283</f>
        <v/>
      </c>
      <c r="D284" s="35">
        <f>((1+Table2634[[#This Row],[Weekly change]])^52)-1</f>
        <v/>
      </c>
      <c r="E284" s="25">
        <f>AVERAGE(B281:B284)</f>
        <v/>
      </c>
      <c r="F284" s="33">
        <f>(Table2634[[#This Row],[4 weeks average]]-B232)/B232</f>
        <v/>
      </c>
    </row>
    <row r="285">
      <c r="A285" s="23" t="n">
        <v>29353</v>
      </c>
      <c r="B285" s="25">
        <f>VLOOKUP(Table2634[[#This Row],[Date]],'DB Money Supply'!$A:$D,4)</f>
        <v/>
      </c>
      <c r="C285" s="31">
        <f>(Table2634[[#This Row],[M1 Money Stock, Billions of Dollars, Weekly, Seasonally Adjusted]]-B284)/B284</f>
        <v/>
      </c>
      <c r="D285" s="35">
        <f>((1+Table2634[[#This Row],[Weekly change]])^52)-1</f>
        <v/>
      </c>
      <c r="E285" s="25">
        <f>AVERAGE(B282:B285)</f>
        <v/>
      </c>
      <c r="F285" s="33">
        <f>(Table2634[[#This Row],[4 weeks average]]-B233)/B233</f>
        <v/>
      </c>
    </row>
    <row r="286">
      <c r="A286" s="23" t="n">
        <v>29360</v>
      </c>
      <c r="B286" s="25">
        <f>VLOOKUP(Table2634[[#This Row],[Date]],'DB Money Supply'!$A:$D,4)</f>
        <v/>
      </c>
      <c r="C286" s="31">
        <f>(Table2634[[#This Row],[M1 Money Stock, Billions of Dollars, Weekly, Seasonally Adjusted]]-B285)/B285</f>
        <v/>
      </c>
      <c r="D286" s="35">
        <f>((1+Table2634[[#This Row],[Weekly change]])^52)-1</f>
        <v/>
      </c>
      <c r="E286" s="25">
        <f>AVERAGE(B283:B286)</f>
        <v/>
      </c>
      <c r="F286" s="33">
        <f>(Table2634[[#This Row],[4 weeks average]]-B234)/B234</f>
        <v/>
      </c>
    </row>
    <row r="287">
      <c r="A287" s="23" t="n">
        <v>29367</v>
      </c>
      <c r="B287" s="25">
        <f>VLOOKUP(Table2634[[#This Row],[Date]],'DB Money Supply'!$A:$D,4)</f>
        <v/>
      </c>
      <c r="C287" s="31">
        <f>(Table2634[[#This Row],[M1 Money Stock, Billions of Dollars, Weekly, Seasonally Adjusted]]-B286)/B286</f>
        <v/>
      </c>
      <c r="D287" s="35">
        <f>((1+Table2634[[#This Row],[Weekly change]])^52)-1</f>
        <v/>
      </c>
      <c r="E287" s="25">
        <f>AVERAGE(B284:B287)</f>
        <v/>
      </c>
      <c r="F287" s="33">
        <f>(Table2634[[#This Row],[4 weeks average]]-B235)/B235</f>
        <v/>
      </c>
    </row>
    <row r="288">
      <c r="A288" s="23" t="n">
        <v>29374</v>
      </c>
      <c r="B288" s="25">
        <f>VLOOKUP(Table2634[[#This Row],[Date]],'DB Money Supply'!$A:$D,4)</f>
        <v/>
      </c>
      <c r="C288" s="31">
        <f>(Table2634[[#This Row],[M1 Money Stock, Billions of Dollars, Weekly, Seasonally Adjusted]]-B287)/B287</f>
        <v/>
      </c>
      <c r="D288" s="35">
        <f>((1+Table2634[[#This Row],[Weekly change]])^52)-1</f>
        <v/>
      </c>
      <c r="E288" s="25">
        <f>AVERAGE(B285:B288)</f>
        <v/>
      </c>
      <c r="F288" s="33">
        <f>(Table2634[[#This Row],[4 weeks average]]-B236)/B236</f>
        <v/>
      </c>
    </row>
    <row r="289">
      <c r="A289" s="23" t="n">
        <v>29381</v>
      </c>
      <c r="B289" s="25">
        <f>VLOOKUP(Table2634[[#This Row],[Date]],'DB Money Supply'!$A:$D,4)</f>
        <v/>
      </c>
      <c r="C289" s="31">
        <f>(Table2634[[#This Row],[M1 Money Stock, Billions of Dollars, Weekly, Seasonally Adjusted]]-B288)/B288</f>
        <v/>
      </c>
      <c r="D289" s="35">
        <f>((1+Table2634[[#This Row],[Weekly change]])^52)-1</f>
        <v/>
      </c>
      <c r="E289" s="25">
        <f>AVERAGE(B286:B289)</f>
        <v/>
      </c>
      <c r="F289" s="33">
        <f>(Table2634[[#This Row],[4 weeks average]]-B237)/B237</f>
        <v/>
      </c>
    </row>
    <row r="290">
      <c r="A290" s="23" t="n">
        <v>29388</v>
      </c>
      <c r="B290" s="25">
        <f>VLOOKUP(Table2634[[#This Row],[Date]],'DB Money Supply'!$A:$D,4)</f>
        <v/>
      </c>
      <c r="C290" s="31">
        <f>(Table2634[[#This Row],[M1 Money Stock, Billions of Dollars, Weekly, Seasonally Adjusted]]-B289)/B289</f>
        <v/>
      </c>
      <c r="D290" s="35">
        <f>((1+Table2634[[#This Row],[Weekly change]])^52)-1</f>
        <v/>
      </c>
      <c r="E290" s="25">
        <f>AVERAGE(B287:B290)</f>
        <v/>
      </c>
      <c r="F290" s="33">
        <f>(Table2634[[#This Row],[4 weeks average]]-B238)/B238</f>
        <v/>
      </c>
    </row>
    <row r="291">
      <c r="A291" s="23" t="n">
        <v>29395</v>
      </c>
      <c r="B291" s="25">
        <f>VLOOKUP(Table2634[[#This Row],[Date]],'DB Money Supply'!$A:$D,4)</f>
        <v/>
      </c>
      <c r="C291" s="31">
        <f>(Table2634[[#This Row],[M1 Money Stock, Billions of Dollars, Weekly, Seasonally Adjusted]]-B290)/B290</f>
        <v/>
      </c>
      <c r="D291" s="35">
        <f>((1+Table2634[[#This Row],[Weekly change]])^52)-1</f>
        <v/>
      </c>
      <c r="E291" s="25">
        <f>AVERAGE(B288:B291)</f>
        <v/>
      </c>
      <c r="F291" s="33">
        <f>(Table2634[[#This Row],[4 weeks average]]-B239)/B239</f>
        <v/>
      </c>
    </row>
    <row r="292">
      <c r="A292" s="23" t="n">
        <v>29402</v>
      </c>
      <c r="B292" s="25">
        <f>VLOOKUP(Table2634[[#This Row],[Date]],'DB Money Supply'!$A:$D,4)</f>
        <v/>
      </c>
      <c r="C292" s="31">
        <f>(Table2634[[#This Row],[M1 Money Stock, Billions of Dollars, Weekly, Seasonally Adjusted]]-B291)/B291</f>
        <v/>
      </c>
      <c r="D292" s="35">
        <f>((1+Table2634[[#This Row],[Weekly change]])^52)-1</f>
        <v/>
      </c>
      <c r="E292" s="25">
        <f>AVERAGE(B289:B292)</f>
        <v/>
      </c>
      <c r="F292" s="33">
        <f>(Table2634[[#This Row],[4 weeks average]]-B240)/B240</f>
        <v/>
      </c>
    </row>
    <row r="293">
      <c r="A293" s="23" t="n">
        <v>29409</v>
      </c>
      <c r="B293" s="25">
        <f>VLOOKUP(Table2634[[#This Row],[Date]],'DB Money Supply'!$A:$D,4)</f>
        <v/>
      </c>
      <c r="C293" s="31">
        <f>(Table2634[[#This Row],[M1 Money Stock, Billions of Dollars, Weekly, Seasonally Adjusted]]-B292)/B292</f>
        <v/>
      </c>
      <c r="D293" s="35">
        <f>((1+Table2634[[#This Row],[Weekly change]])^52)-1</f>
        <v/>
      </c>
      <c r="E293" s="25">
        <f>AVERAGE(B290:B293)</f>
        <v/>
      </c>
      <c r="F293" s="33">
        <f>(Table2634[[#This Row],[4 weeks average]]-B241)/B241</f>
        <v/>
      </c>
    </row>
    <row r="294">
      <c r="A294" s="23" t="n">
        <v>29416</v>
      </c>
      <c r="B294" s="25">
        <f>VLOOKUP(Table2634[[#This Row],[Date]],'DB Money Supply'!$A:$D,4)</f>
        <v/>
      </c>
      <c r="C294" s="31">
        <f>(Table2634[[#This Row],[M1 Money Stock, Billions of Dollars, Weekly, Seasonally Adjusted]]-B293)/B293</f>
        <v/>
      </c>
      <c r="D294" s="35">
        <f>((1+Table2634[[#This Row],[Weekly change]])^52)-1</f>
        <v/>
      </c>
      <c r="E294" s="25">
        <f>AVERAGE(B291:B294)</f>
        <v/>
      </c>
      <c r="F294" s="33">
        <f>(Table2634[[#This Row],[4 weeks average]]-B242)/B242</f>
        <v/>
      </c>
    </row>
    <row r="295">
      <c r="A295" s="23" t="n">
        <v>29423</v>
      </c>
      <c r="B295" s="25">
        <f>VLOOKUP(Table2634[[#This Row],[Date]],'DB Money Supply'!$A:$D,4)</f>
        <v/>
      </c>
      <c r="C295" s="31">
        <f>(Table2634[[#This Row],[M1 Money Stock, Billions of Dollars, Weekly, Seasonally Adjusted]]-B294)/B294</f>
        <v/>
      </c>
      <c r="D295" s="35">
        <f>((1+Table2634[[#This Row],[Weekly change]])^52)-1</f>
        <v/>
      </c>
      <c r="E295" s="25">
        <f>AVERAGE(B292:B295)</f>
        <v/>
      </c>
      <c r="F295" s="33">
        <f>(Table2634[[#This Row],[4 weeks average]]-B243)/B243</f>
        <v/>
      </c>
    </row>
    <row r="296">
      <c r="A296" s="23" t="n">
        <v>29430</v>
      </c>
      <c r="B296" s="25">
        <f>VLOOKUP(Table2634[[#This Row],[Date]],'DB Money Supply'!$A:$D,4)</f>
        <v/>
      </c>
      <c r="C296" s="31">
        <f>(Table2634[[#This Row],[M1 Money Stock, Billions of Dollars, Weekly, Seasonally Adjusted]]-B295)/B295</f>
        <v/>
      </c>
      <c r="D296" s="35">
        <f>((1+Table2634[[#This Row],[Weekly change]])^52)-1</f>
        <v/>
      </c>
      <c r="E296" s="25">
        <f>AVERAGE(B293:B296)</f>
        <v/>
      </c>
      <c r="F296" s="33">
        <f>(Table2634[[#This Row],[4 weeks average]]-B244)/B244</f>
        <v/>
      </c>
    </row>
    <row r="297">
      <c r="A297" s="23" t="n">
        <v>29437</v>
      </c>
      <c r="B297" s="25">
        <f>VLOOKUP(Table2634[[#This Row],[Date]],'DB Money Supply'!$A:$D,4)</f>
        <v/>
      </c>
      <c r="C297" s="31">
        <f>(Table2634[[#This Row],[M1 Money Stock, Billions of Dollars, Weekly, Seasonally Adjusted]]-B296)/B296</f>
        <v/>
      </c>
      <c r="D297" s="35">
        <f>((1+Table2634[[#This Row],[Weekly change]])^52)-1</f>
        <v/>
      </c>
      <c r="E297" s="25">
        <f>AVERAGE(B294:B297)</f>
        <v/>
      </c>
      <c r="F297" s="33">
        <f>(Table2634[[#This Row],[4 weeks average]]-B245)/B245</f>
        <v/>
      </c>
    </row>
    <row r="298">
      <c r="A298" s="23" t="n">
        <v>29444</v>
      </c>
      <c r="B298" s="25">
        <f>VLOOKUP(Table2634[[#This Row],[Date]],'DB Money Supply'!$A:$D,4)</f>
        <v/>
      </c>
      <c r="C298" s="31">
        <f>(Table2634[[#This Row],[M1 Money Stock, Billions of Dollars, Weekly, Seasonally Adjusted]]-B297)/B297</f>
        <v/>
      </c>
      <c r="D298" s="35">
        <f>((1+Table2634[[#This Row],[Weekly change]])^52)-1</f>
        <v/>
      </c>
      <c r="E298" s="25">
        <f>AVERAGE(B295:B298)</f>
        <v/>
      </c>
      <c r="F298" s="33">
        <f>(Table2634[[#This Row],[4 weeks average]]-B246)/B246</f>
        <v/>
      </c>
    </row>
    <row r="299">
      <c r="A299" s="23" t="n">
        <v>29451</v>
      </c>
      <c r="B299" s="25">
        <f>VLOOKUP(Table2634[[#This Row],[Date]],'DB Money Supply'!$A:$D,4)</f>
        <v/>
      </c>
      <c r="C299" s="31">
        <f>(Table2634[[#This Row],[M1 Money Stock, Billions of Dollars, Weekly, Seasonally Adjusted]]-B298)/B298</f>
        <v/>
      </c>
      <c r="D299" s="35">
        <f>((1+Table2634[[#This Row],[Weekly change]])^52)-1</f>
        <v/>
      </c>
      <c r="E299" s="25">
        <f>AVERAGE(B296:B299)</f>
        <v/>
      </c>
      <c r="F299" s="33">
        <f>(Table2634[[#This Row],[4 weeks average]]-B247)/B247</f>
        <v/>
      </c>
    </row>
    <row r="300">
      <c r="A300" s="23" t="n">
        <v>29458</v>
      </c>
      <c r="B300" s="25">
        <f>VLOOKUP(Table2634[[#This Row],[Date]],'DB Money Supply'!$A:$D,4)</f>
        <v/>
      </c>
      <c r="C300" s="31">
        <f>(Table2634[[#This Row],[M1 Money Stock, Billions of Dollars, Weekly, Seasonally Adjusted]]-B299)/B299</f>
        <v/>
      </c>
      <c r="D300" s="35">
        <f>((1+Table2634[[#This Row],[Weekly change]])^52)-1</f>
        <v/>
      </c>
      <c r="E300" s="25">
        <f>AVERAGE(B297:B300)</f>
        <v/>
      </c>
      <c r="F300" s="33">
        <f>(Table2634[[#This Row],[4 weeks average]]-B248)/B248</f>
        <v/>
      </c>
    </row>
    <row r="301">
      <c r="A301" s="23" t="n">
        <v>29465</v>
      </c>
      <c r="B301" s="25">
        <f>VLOOKUP(Table2634[[#This Row],[Date]],'DB Money Supply'!$A:$D,4)</f>
        <v/>
      </c>
      <c r="C301" s="31">
        <f>(Table2634[[#This Row],[M1 Money Stock, Billions of Dollars, Weekly, Seasonally Adjusted]]-B300)/B300</f>
        <v/>
      </c>
      <c r="D301" s="35">
        <f>((1+Table2634[[#This Row],[Weekly change]])^52)-1</f>
        <v/>
      </c>
      <c r="E301" s="25">
        <f>AVERAGE(B298:B301)</f>
        <v/>
      </c>
      <c r="F301" s="33">
        <f>(Table2634[[#This Row],[4 weeks average]]-B249)/B249</f>
        <v/>
      </c>
    </row>
    <row r="302">
      <c r="A302" s="23" t="n">
        <v>29472</v>
      </c>
      <c r="B302" s="25">
        <f>VLOOKUP(Table2634[[#This Row],[Date]],'DB Money Supply'!$A:$D,4)</f>
        <v/>
      </c>
      <c r="C302" s="31">
        <f>(Table2634[[#This Row],[M1 Money Stock, Billions of Dollars, Weekly, Seasonally Adjusted]]-B301)/B301</f>
        <v/>
      </c>
      <c r="D302" s="35">
        <f>((1+Table2634[[#This Row],[Weekly change]])^52)-1</f>
        <v/>
      </c>
      <c r="E302" s="25">
        <f>AVERAGE(B299:B302)</f>
        <v/>
      </c>
      <c r="F302" s="33">
        <f>(Table2634[[#This Row],[4 weeks average]]-B250)/B250</f>
        <v/>
      </c>
    </row>
    <row r="303">
      <c r="A303" s="23" t="n">
        <v>29479</v>
      </c>
      <c r="B303" s="25">
        <f>VLOOKUP(Table2634[[#This Row],[Date]],'DB Money Supply'!$A:$D,4)</f>
        <v/>
      </c>
      <c r="C303" s="31">
        <f>(Table2634[[#This Row],[M1 Money Stock, Billions of Dollars, Weekly, Seasonally Adjusted]]-B302)/B302</f>
        <v/>
      </c>
      <c r="D303" s="35">
        <f>((1+Table2634[[#This Row],[Weekly change]])^52)-1</f>
        <v/>
      </c>
      <c r="E303" s="25">
        <f>AVERAGE(B300:B303)</f>
        <v/>
      </c>
      <c r="F303" s="33">
        <f>(Table2634[[#This Row],[4 weeks average]]-B251)/B251</f>
        <v/>
      </c>
    </row>
    <row r="304">
      <c r="A304" s="23" t="n">
        <v>29486</v>
      </c>
      <c r="B304" s="25">
        <f>VLOOKUP(Table2634[[#This Row],[Date]],'DB Money Supply'!$A:$D,4)</f>
        <v/>
      </c>
      <c r="C304" s="31">
        <f>(Table2634[[#This Row],[M1 Money Stock, Billions of Dollars, Weekly, Seasonally Adjusted]]-B303)/B303</f>
        <v/>
      </c>
      <c r="D304" s="35">
        <f>((1+Table2634[[#This Row],[Weekly change]])^52)-1</f>
        <v/>
      </c>
      <c r="E304" s="25">
        <f>AVERAGE(B301:B304)</f>
        <v/>
      </c>
      <c r="F304" s="33">
        <f>(Table2634[[#This Row],[4 weeks average]]-B252)/B252</f>
        <v/>
      </c>
    </row>
    <row r="305">
      <c r="A305" s="23" t="n">
        <v>29493</v>
      </c>
      <c r="B305" s="25">
        <f>VLOOKUP(Table2634[[#This Row],[Date]],'DB Money Supply'!$A:$D,4)</f>
        <v/>
      </c>
      <c r="C305" s="31">
        <f>(Table2634[[#This Row],[M1 Money Stock, Billions of Dollars, Weekly, Seasonally Adjusted]]-B304)/B304</f>
        <v/>
      </c>
      <c r="D305" s="35">
        <f>((1+Table2634[[#This Row],[Weekly change]])^52)-1</f>
        <v/>
      </c>
      <c r="E305" s="25">
        <f>AVERAGE(B302:B305)</f>
        <v/>
      </c>
      <c r="F305" s="33">
        <f>(Table2634[[#This Row],[4 weeks average]]-B253)/B253</f>
        <v/>
      </c>
    </row>
    <row r="306">
      <c r="A306" s="23" t="n">
        <v>29500</v>
      </c>
      <c r="B306" s="25">
        <f>VLOOKUP(Table2634[[#This Row],[Date]],'DB Money Supply'!$A:$D,4)</f>
        <v/>
      </c>
      <c r="C306" s="31">
        <f>(Table2634[[#This Row],[M1 Money Stock, Billions of Dollars, Weekly, Seasonally Adjusted]]-B305)/B305</f>
        <v/>
      </c>
      <c r="D306" s="35">
        <f>((1+Table2634[[#This Row],[Weekly change]])^52)-1</f>
        <v/>
      </c>
      <c r="E306" s="25">
        <f>AVERAGE(B303:B306)</f>
        <v/>
      </c>
      <c r="F306" s="33">
        <f>(Table2634[[#This Row],[4 weeks average]]-B254)/B254</f>
        <v/>
      </c>
    </row>
    <row r="307">
      <c r="A307" s="23" t="n">
        <v>29507</v>
      </c>
      <c r="B307" s="25">
        <f>VLOOKUP(Table2634[[#This Row],[Date]],'DB Money Supply'!$A:$D,4)</f>
        <v/>
      </c>
      <c r="C307" s="31">
        <f>(Table2634[[#This Row],[M1 Money Stock, Billions of Dollars, Weekly, Seasonally Adjusted]]-B306)/B306</f>
        <v/>
      </c>
      <c r="D307" s="35">
        <f>((1+Table2634[[#This Row],[Weekly change]])^52)-1</f>
        <v/>
      </c>
      <c r="E307" s="25">
        <f>AVERAGE(B304:B307)</f>
        <v/>
      </c>
      <c r="F307" s="33">
        <f>(Table2634[[#This Row],[4 weeks average]]-B255)/B255</f>
        <v/>
      </c>
    </row>
    <row r="308">
      <c r="A308" s="23" t="n">
        <v>29514</v>
      </c>
      <c r="B308" s="25">
        <f>VLOOKUP(Table2634[[#This Row],[Date]],'DB Money Supply'!$A:$D,4)</f>
        <v/>
      </c>
      <c r="C308" s="31">
        <f>(Table2634[[#This Row],[M1 Money Stock, Billions of Dollars, Weekly, Seasonally Adjusted]]-B307)/B307</f>
        <v/>
      </c>
      <c r="D308" s="35">
        <f>((1+Table2634[[#This Row],[Weekly change]])^52)-1</f>
        <v/>
      </c>
      <c r="E308" s="25">
        <f>AVERAGE(B305:B308)</f>
        <v/>
      </c>
      <c r="F308" s="33">
        <f>(Table2634[[#This Row],[4 weeks average]]-B256)/B256</f>
        <v/>
      </c>
    </row>
    <row r="309">
      <c r="A309" s="23" t="n">
        <v>29521</v>
      </c>
      <c r="B309" s="25">
        <f>VLOOKUP(Table2634[[#This Row],[Date]],'DB Money Supply'!$A:$D,4)</f>
        <v/>
      </c>
      <c r="C309" s="31">
        <f>(Table2634[[#This Row],[M1 Money Stock, Billions of Dollars, Weekly, Seasonally Adjusted]]-B308)/B308</f>
        <v/>
      </c>
      <c r="D309" s="35">
        <f>((1+Table2634[[#This Row],[Weekly change]])^52)-1</f>
        <v/>
      </c>
      <c r="E309" s="25">
        <f>AVERAGE(B306:B309)</f>
        <v/>
      </c>
      <c r="F309" s="33">
        <f>(Table2634[[#This Row],[4 weeks average]]-B257)/B257</f>
        <v/>
      </c>
    </row>
    <row r="310">
      <c r="A310" s="23" t="n">
        <v>29528</v>
      </c>
      <c r="B310" s="25">
        <f>VLOOKUP(Table2634[[#This Row],[Date]],'DB Money Supply'!$A:$D,4)</f>
        <v/>
      </c>
      <c r="C310" s="31">
        <f>(Table2634[[#This Row],[M1 Money Stock, Billions of Dollars, Weekly, Seasonally Adjusted]]-B309)/B309</f>
        <v/>
      </c>
      <c r="D310" s="35">
        <f>((1+Table2634[[#This Row],[Weekly change]])^52)-1</f>
        <v/>
      </c>
      <c r="E310" s="25">
        <f>AVERAGE(B307:B310)</f>
        <v/>
      </c>
      <c r="F310" s="33">
        <f>(Table2634[[#This Row],[4 weeks average]]-B258)/B258</f>
        <v/>
      </c>
    </row>
    <row r="311">
      <c r="A311" s="23" t="n">
        <v>29535</v>
      </c>
      <c r="B311" s="25">
        <f>VLOOKUP(Table2634[[#This Row],[Date]],'DB Money Supply'!$A:$D,4)</f>
        <v/>
      </c>
      <c r="C311" s="31">
        <f>(Table2634[[#This Row],[M1 Money Stock, Billions of Dollars, Weekly, Seasonally Adjusted]]-B310)/B310</f>
        <v/>
      </c>
      <c r="D311" s="35">
        <f>((1+Table2634[[#This Row],[Weekly change]])^52)-1</f>
        <v/>
      </c>
      <c r="E311" s="25">
        <f>AVERAGE(B308:B311)</f>
        <v/>
      </c>
      <c r="F311" s="33">
        <f>(Table2634[[#This Row],[4 weeks average]]-B259)/B259</f>
        <v/>
      </c>
    </row>
    <row r="312">
      <c r="A312" s="23" t="n">
        <v>29542</v>
      </c>
      <c r="B312" s="25">
        <f>VLOOKUP(Table2634[[#This Row],[Date]],'DB Money Supply'!$A:$D,4)</f>
        <v/>
      </c>
      <c r="C312" s="31">
        <f>(Table2634[[#This Row],[M1 Money Stock, Billions of Dollars, Weekly, Seasonally Adjusted]]-B311)/B311</f>
        <v/>
      </c>
      <c r="D312" s="35">
        <f>((1+Table2634[[#This Row],[Weekly change]])^52)-1</f>
        <v/>
      </c>
      <c r="E312" s="25">
        <f>AVERAGE(B309:B312)</f>
        <v/>
      </c>
      <c r="F312" s="33">
        <f>(Table2634[[#This Row],[4 weeks average]]-B260)/B260</f>
        <v/>
      </c>
    </row>
    <row r="313">
      <c r="A313" s="23" t="n">
        <v>29549</v>
      </c>
      <c r="B313" s="25">
        <f>VLOOKUP(Table2634[[#This Row],[Date]],'DB Money Supply'!$A:$D,4)</f>
        <v/>
      </c>
      <c r="C313" s="31">
        <f>(Table2634[[#This Row],[M1 Money Stock, Billions of Dollars, Weekly, Seasonally Adjusted]]-B312)/B312</f>
        <v/>
      </c>
      <c r="D313" s="35">
        <f>((1+Table2634[[#This Row],[Weekly change]])^52)-1</f>
        <v/>
      </c>
      <c r="E313" s="25">
        <f>AVERAGE(B310:B313)</f>
        <v/>
      </c>
      <c r="F313" s="33">
        <f>(Table2634[[#This Row],[4 weeks average]]-B261)/B261</f>
        <v/>
      </c>
    </row>
    <row r="314">
      <c r="A314" s="23" t="n">
        <v>29556</v>
      </c>
      <c r="B314" s="25">
        <f>VLOOKUP(Table2634[[#This Row],[Date]],'DB Money Supply'!$A:$D,4)</f>
        <v/>
      </c>
      <c r="C314" s="31">
        <f>(Table2634[[#This Row],[M1 Money Stock, Billions of Dollars, Weekly, Seasonally Adjusted]]-B313)/B313</f>
        <v/>
      </c>
      <c r="D314" s="35">
        <f>((1+Table2634[[#This Row],[Weekly change]])^52)-1</f>
        <v/>
      </c>
      <c r="E314" s="25">
        <f>AVERAGE(B311:B314)</f>
        <v/>
      </c>
      <c r="F314" s="33">
        <f>(Table2634[[#This Row],[4 weeks average]]-B262)/B262</f>
        <v/>
      </c>
    </row>
    <row r="315">
      <c r="A315" s="23" t="n">
        <v>29563</v>
      </c>
      <c r="B315" s="25">
        <f>VLOOKUP(Table2634[[#This Row],[Date]],'DB Money Supply'!$A:$D,4)</f>
        <v/>
      </c>
      <c r="C315" s="31">
        <f>(Table2634[[#This Row],[M1 Money Stock, Billions of Dollars, Weekly, Seasonally Adjusted]]-B314)/B314</f>
        <v/>
      </c>
      <c r="D315" s="35">
        <f>((1+Table2634[[#This Row],[Weekly change]])^52)-1</f>
        <v/>
      </c>
      <c r="E315" s="25">
        <f>AVERAGE(B312:B315)</f>
        <v/>
      </c>
      <c r="F315" s="33">
        <f>(Table2634[[#This Row],[4 weeks average]]-B263)/B263</f>
        <v/>
      </c>
    </row>
    <row r="316">
      <c r="A316" s="23" t="n">
        <v>29570</v>
      </c>
      <c r="B316" s="25">
        <f>VLOOKUP(Table2634[[#This Row],[Date]],'DB Money Supply'!$A:$D,4)</f>
        <v/>
      </c>
      <c r="C316" s="31">
        <f>(Table2634[[#This Row],[M1 Money Stock, Billions of Dollars, Weekly, Seasonally Adjusted]]-B315)/B315</f>
        <v/>
      </c>
      <c r="D316" s="35">
        <f>((1+Table2634[[#This Row],[Weekly change]])^52)-1</f>
        <v/>
      </c>
      <c r="E316" s="25">
        <f>AVERAGE(B313:B316)</f>
        <v/>
      </c>
      <c r="F316" s="33">
        <f>(Table2634[[#This Row],[4 weeks average]]-B264)/B264</f>
        <v/>
      </c>
    </row>
    <row r="317">
      <c r="A317" s="23" t="n">
        <v>29577</v>
      </c>
      <c r="B317" s="25">
        <f>VLOOKUP(Table2634[[#This Row],[Date]],'DB Money Supply'!$A:$D,4)</f>
        <v/>
      </c>
      <c r="C317" s="31">
        <f>(Table2634[[#This Row],[M1 Money Stock, Billions of Dollars, Weekly, Seasonally Adjusted]]-B316)/B316</f>
        <v/>
      </c>
      <c r="D317" s="35">
        <f>((1+Table2634[[#This Row],[Weekly change]])^52)-1</f>
        <v/>
      </c>
      <c r="E317" s="25">
        <f>AVERAGE(B314:B317)</f>
        <v/>
      </c>
      <c r="F317" s="33">
        <f>(Table2634[[#This Row],[4 weeks average]]-B265)/B265</f>
        <v/>
      </c>
    </row>
    <row r="318">
      <c r="A318" s="23" t="n">
        <v>29584</v>
      </c>
      <c r="B318" s="25">
        <f>VLOOKUP(Table2634[[#This Row],[Date]],'DB Money Supply'!$A:$D,4)</f>
        <v/>
      </c>
      <c r="C318" s="31">
        <f>(Table2634[[#This Row],[M1 Money Stock, Billions of Dollars, Weekly, Seasonally Adjusted]]-B317)/B317</f>
        <v/>
      </c>
      <c r="D318" s="35">
        <f>((1+Table2634[[#This Row],[Weekly change]])^52)-1</f>
        <v/>
      </c>
      <c r="E318" s="25">
        <f>AVERAGE(B315:B318)</f>
        <v/>
      </c>
      <c r="F318" s="33">
        <f>(Table2634[[#This Row],[4 weeks average]]-B266)/B266</f>
        <v/>
      </c>
    </row>
    <row r="319">
      <c r="A319" s="23" t="n">
        <v>29591</v>
      </c>
      <c r="B319" s="25">
        <f>VLOOKUP(Table2634[[#This Row],[Date]],'DB Money Supply'!$A:$D,4)</f>
        <v/>
      </c>
      <c r="C319" s="31">
        <f>(Table2634[[#This Row],[M1 Money Stock, Billions of Dollars, Weekly, Seasonally Adjusted]]-B318)/B318</f>
        <v/>
      </c>
      <c r="D319" s="35">
        <f>((1+Table2634[[#This Row],[Weekly change]])^52)-1</f>
        <v/>
      </c>
      <c r="E319" s="25">
        <f>AVERAGE(B316:B319)</f>
        <v/>
      </c>
      <c r="F319" s="33">
        <f>(Table2634[[#This Row],[4 weeks average]]-B267)/B267</f>
        <v/>
      </c>
    </row>
    <row r="320">
      <c r="A320" s="23" t="n">
        <v>29598</v>
      </c>
      <c r="B320" s="25">
        <f>VLOOKUP(Table2634[[#This Row],[Date]],'DB Money Supply'!$A:$D,4)</f>
        <v/>
      </c>
      <c r="C320" s="31">
        <f>(Table2634[[#This Row],[M1 Money Stock, Billions of Dollars, Weekly, Seasonally Adjusted]]-B319)/B319</f>
        <v/>
      </c>
      <c r="D320" s="35">
        <f>((1+Table2634[[#This Row],[Weekly change]])^52)-1</f>
        <v/>
      </c>
      <c r="E320" s="25">
        <f>AVERAGE(B317:B320)</f>
        <v/>
      </c>
      <c r="F320" s="33">
        <f>(Table2634[[#This Row],[4 weeks average]]-B268)/B268</f>
        <v/>
      </c>
    </row>
    <row r="321">
      <c r="A321" s="23" t="n">
        <v>29605</v>
      </c>
      <c r="B321" s="25">
        <f>VLOOKUP(Table2634[[#This Row],[Date]],'DB Money Supply'!$A:$D,4)</f>
        <v/>
      </c>
      <c r="C321" s="31">
        <f>(Table2634[[#This Row],[M1 Money Stock, Billions of Dollars, Weekly, Seasonally Adjusted]]-B320)/B320</f>
        <v/>
      </c>
      <c r="D321" s="35">
        <f>((1+Table2634[[#This Row],[Weekly change]])^52)-1</f>
        <v/>
      </c>
      <c r="E321" s="25">
        <f>AVERAGE(B318:B321)</f>
        <v/>
      </c>
      <c r="F321" s="33">
        <f>(Table2634[[#This Row],[4 weeks average]]-B269)/B269</f>
        <v/>
      </c>
    </row>
    <row r="322">
      <c r="A322" s="23" t="n">
        <v>29612</v>
      </c>
      <c r="B322" s="25">
        <f>VLOOKUP(Table2634[[#This Row],[Date]],'DB Money Supply'!$A:$D,4)</f>
        <v/>
      </c>
      <c r="C322" s="31">
        <f>(Table2634[[#This Row],[M1 Money Stock, Billions of Dollars, Weekly, Seasonally Adjusted]]-B321)/B321</f>
        <v/>
      </c>
      <c r="D322" s="35">
        <f>((1+Table2634[[#This Row],[Weekly change]])^52)-1</f>
        <v/>
      </c>
      <c r="E322" s="25">
        <f>AVERAGE(B319:B322)</f>
        <v/>
      </c>
      <c r="F322" s="33">
        <f>(Table2634[[#This Row],[4 weeks average]]-B270)/B270</f>
        <v/>
      </c>
    </row>
    <row r="323">
      <c r="A323" s="23" t="n">
        <v>29619</v>
      </c>
      <c r="B323" s="25">
        <f>VLOOKUP(Table2634[[#This Row],[Date]],'DB Money Supply'!$A:$D,4)</f>
        <v/>
      </c>
      <c r="C323" s="31">
        <f>(Table2634[[#This Row],[M1 Money Stock, Billions of Dollars, Weekly, Seasonally Adjusted]]-B322)/B322</f>
        <v/>
      </c>
      <c r="D323" s="35">
        <f>((1+Table2634[[#This Row],[Weekly change]])^52)-1</f>
        <v/>
      </c>
      <c r="E323" s="25">
        <f>AVERAGE(B320:B323)</f>
        <v/>
      </c>
      <c r="F323" s="33">
        <f>(Table2634[[#This Row],[4 weeks average]]-B271)/B271</f>
        <v/>
      </c>
    </row>
    <row r="324">
      <c r="A324" s="23" t="n">
        <v>29626</v>
      </c>
      <c r="B324" s="25">
        <f>VLOOKUP(Table2634[[#This Row],[Date]],'DB Money Supply'!$A:$D,4)</f>
        <v/>
      </c>
      <c r="C324" s="31">
        <f>(Table2634[[#This Row],[M1 Money Stock, Billions of Dollars, Weekly, Seasonally Adjusted]]-B323)/B323</f>
        <v/>
      </c>
      <c r="D324" s="35">
        <f>((1+Table2634[[#This Row],[Weekly change]])^52)-1</f>
        <v/>
      </c>
      <c r="E324" s="25">
        <f>AVERAGE(B321:B324)</f>
        <v/>
      </c>
      <c r="F324" s="33">
        <f>(Table2634[[#This Row],[4 weeks average]]-B272)/B272</f>
        <v/>
      </c>
    </row>
    <row r="325">
      <c r="A325" s="23" t="n">
        <v>29633</v>
      </c>
      <c r="B325" s="25">
        <f>VLOOKUP(Table2634[[#This Row],[Date]],'DB Money Supply'!$A:$D,4)</f>
        <v/>
      </c>
      <c r="C325" s="31">
        <f>(Table2634[[#This Row],[M1 Money Stock, Billions of Dollars, Weekly, Seasonally Adjusted]]-B324)/B324</f>
        <v/>
      </c>
      <c r="D325" s="35">
        <f>((1+Table2634[[#This Row],[Weekly change]])^52)-1</f>
        <v/>
      </c>
      <c r="E325" s="25">
        <f>AVERAGE(B322:B325)</f>
        <v/>
      </c>
      <c r="F325" s="33">
        <f>(Table2634[[#This Row],[4 weeks average]]-B273)/B273</f>
        <v/>
      </c>
    </row>
    <row r="326">
      <c r="A326" s="23" t="n">
        <v>29640</v>
      </c>
      <c r="B326" s="25">
        <f>VLOOKUP(Table2634[[#This Row],[Date]],'DB Money Supply'!$A:$D,4)</f>
        <v/>
      </c>
      <c r="C326" s="31">
        <f>(Table2634[[#This Row],[M1 Money Stock, Billions of Dollars, Weekly, Seasonally Adjusted]]-B325)/B325</f>
        <v/>
      </c>
      <c r="D326" s="35">
        <f>((1+Table2634[[#This Row],[Weekly change]])^52)-1</f>
        <v/>
      </c>
      <c r="E326" s="25">
        <f>AVERAGE(B323:B326)</f>
        <v/>
      </c>
      <c r="F326" s="33">
        <f>(Table2634[[#This Row],[4 weeks average]]-B274)/B274</f>
        <v/>
      </c>
    </row>
    <row r="327">
      <c r="A327" s="23" t="n">
        <v>29647</v>
      </c>
      <c r="B327" s="25">
        <f>VLOOKUP(Table2634[[#This Row],[Date]],'DB Money Supply'!$A:$D,4)</f>
        <v/>
      </c>
      <c r="C327" s="31">
        <f>(Table2634[[#This Row],[M1 Money Stock, Billions of Dollars, Weekly, Seasonally Adjusted]]-B326)/B326</f>
        <v/>
      </c>
      <c r="D327" s="35">
        <f>((1+Table2634[[#This Row],[Weekly change]])^52)-1</f>
        <v/>
      </c>
      <c r="E327" s="25">
        <f>AVERAGE(B324:B327)</f>
        <v/>
      </c>
      <c r="F327" s="33">
        <f>(Table2634[[#This Row],[4 weeks average]]-B275)/B275</f>
        <v/>
      </c>
    </row>
    <row r="328">
      <c r="A328" s="23" t="n">
        <v>29654</v>
      </c>
      <c r="B328" s="25">
        <f>VLOOKUP(Table2634[[#This Row],[Date]],'DB Money Supply'!$A:$D,4)</f>
        <v/>
      </c>
      <c r="C328" s="31">
        <f>(Table2634[[#This Row],[M1 Money Stock, Billions of Dollars, Weekly, Seasonally Adjusted]]-B327)/B327</f>
        <v/>
      </c>
      <c r="D328" s="35">
        <f>((1+Table2634[[#This Row],[Weekly change]])^52)-1</f>
        <v/>
      </c>
      <c r="E328" s="25">
        <f>AVERAGE(B325:B328)</f>
        <v/>
      </c>
      <c r="F328" s="33">
        <f>(Table2634[[#This Row],[4 weeks average]]-B276)/B276</f>
        <v/>
      </c>
    </row>
    <row r="329">
      <c r="A329" s="23" t="n">
        <v>29661</v>
      </c>
      <c r="B329" s="25">
        <f>VLOOKUP(Table2634[[#This Row],[Date]],'DB Money Supply'!$A:$D,4)</f>
        <v/>
      </c>
      <c r="C329" s="31">
        <f>(Table2634[[#This Row],[M1 Money Stock, Billions of Dollars, Weekly, Seasonally Adjusted]]-B328)/B328</f>
        <v/>
      </c>
      <c r="D329" s="35">
        <f>((1+Table2634[[#This Row],[Weekly change]])^52)-1</f>
        <v/>
      </c>
      <c r="E329" s="25">
        <f>AVERAGE(B326:B329)</f>
        <v/>
      </c>
      <c r="F329" s="33">
        <f>(Table2634[[#This Row],[4 weeks average]]-B277)/B277</f>
        <v/>
      </c>
    </row>
    <row r="330">
      <c r="A330" s="23" t="n">
        <v>29668</v>
      </c>
      <c r="B330" s="25">
        <f>VLOOKUP(Table2634[[#This Row],[Date]],'DB Money Supply'!$A:$D,4)</f>
        <v/>
      </c>
      <c r="C330" s="31">
        <f>(Table2634[[#This Row],[M1 Money Stock, Billions of Dollars, Weekly, Seasonally Adjusted]]-B329)/B329</f>
        <v/>
      </c>
      <c r="D330" s="35">
        <f>((1+Table2634[[#This Row],[Weekly change]])^52)-1</f>
        <v/>
      </c>
      <c r="E330" s="25">
        <f>AVERAGE(B327:B330)</f>
        <v/>
      </c>
      <c r="F330" s="33">
        <f>(Table2634[[#This Row],[4 weeks average]]-B278)/B278</f>
        <v/>
      </c>
    </row>
    <row r="331">
      <c r="A331" s="23" t="n">
        <v>29675</v>
      </c>
      <c r="B331" s="25">
        <f>VLOOKUP(Table2634[[#This Row],[Date]],'DB Money Supply'!$A:$D,4)</f>
        <v/>
      </c>
      <c r="C331" s="31">
        <f>(Table2634[[#This Row],[M1 Money Stock, Billions of Dollars, Weekly, Seasonally Adjusted]]-B330)/B330</f>
        <v/>
      </c>
      <c r="D331" s="35">
        <f>((1+Table2634[[#This Row],[Weekly change]])^52)-1</f>
        <v/>
      </c>
      <c r="E331" s="25">
        <f>AVERAGE(B328:B331)</f>
        <v/>
      </c>
      <c r="F331" s="33">
        <f>(Table2634[[#This Row],[4 weeks average]]-B279)/B279</f>
        <v/>
      </c>
    </row>
    <row r="332">
      <c r="A332" s="23" t="n">
        <v>29682</v>
      </c>
      <c r="B332" s="25">
        <f>VLOOKUP(Table2634[[#This Row],[Date]],'DB Money Supply'!$A:$D,4)</f>
        <v/>
      </c>
      <c r="C332" s="31">
        <f>(Table2634[[#This Row],[M1 Money Stock, Billions of Dollars, Weekly, Seasonally Adjusted]]-B331)/B331</f>
        <v/>
      </c>
      <c r="D332" s="35">
        <f>((1+Table2634[[#This Row],[Weekly change]])^52)-1</f>
        <v/>
      </c>
      <c r="E332" s="25">
        <f>AVERAGE(B329:B332)</f>
        <v/>
      </c>
      <c r="F332" s="33">
        <f>(Table2634[[#This Row],[4 weeks average]]-B280)/B280</f>
        <v/>
      </c>
    </row>
    <row r="333">
      <c r="A333" s="23" t="n">
        <v>29689</v>
      </c>
      <c r="B333" s="25">
        <f>VLOOKUP(Table2634[[#This Row],[Date]],'DB Money Supply'!$A:$D,4)</f>
        <v/>
      </c>
      <c r="C333" s="31">
        <f>(Table2634[[#This Row],[M1 Money Stock, Billions of Dollars, Weekly, Seasonally Adjusted]]-B332)/B332</f>
        <v/>
      </c>
      <c r="D333" s="35">
        <f>((1+Table2634[[#This Row],[Weekly change]])^52)-1</f>
        <v/>
      </c>
      <c r="E333" s="25">
        <f>AVERAGE(B330:B333)</f>
        <v/>
      </c>
      <c r="F333" s="33">
        <f>(Table2634[[#This Row],[4 weeks average]]-B281)/B281</f>
        <v/>
      </c>
    </row>
    <row r="334">
      <c r="A334" s="23" t="n">
        <v>29696</v>
      </c>
      <c r="B334" s="25">
        <f>VLOOKUP(Table2634[[#This Row],[Date]],'DB Money Supply'!$A:$D,4)</f>
        <v/>
      </c>
      <c r="C334" s="31">
        <f>(Table2634[[#This Row],[M1 Money Stock, Billions of Dollars, Weekly, Seasonally Adjusted]]-B333)/B333</f>
        <v/>
      </c>
      <c r="D334" s="35">
        <f>((1+Table2634[[#This Row],[Weekly change]])^52)-1</f>
        <v/>
      </c>
      <c r="E334" s="25">
        <f>AVERAGE(B331:B334)</f>
        <v/>
      </c>
      <c r="F334" s="33">
        <f>(Table2634[[#This Row],[4 weeks average]]-B282)/B282</f>
        <v/>
      </c>
    </row>
    <row r="335">
      <c r="A335" s="23" t="n">
        <v>29703</v>
      </c>
      <c r="B335" s="25">
        <f>VLOOKUP(Table2634[[#This Row],[Date]],'DB Money Supply'!$A:$D,4)</f>
        <v/>
      </c>
      <c r="C335" s="31">
        <f>(Table2634[[#This Row],[M1 Money Stock, Billions of Dollars, Weekly, Seasonally Adjusted]]-B334)/B334</f>
        <v/>
      </c>
      <c r="D335" s="35">
        <f>((1+Table2634[[#This Row],[Weekly change]])^52)-1</f>
        <v/>
      </c>
      <c r="E335" s="25">
        <f>AVERAGE(B332:B335)</f>
        <v/>
      </c>
      <c r="F335" s="33">
        <f>(Table2634[[#This Row],[4 weeks average]]-B283)/B283</f>
        <v/>
      </c>
    </row>
    <row r="336">
      <c r="A336" s="23" t="n">
        <v>29710</v>
      </c>
      <c r="B336" s="25">
        <f>VLOOKUP(Table2634[[#This Row],[Date]],'DB Money Supply'!$A:$D,4)</f>
        <v/>
      </c>
      <c r="C336" s="31">
        <f>(Table2634[[#This Row],[M1 Money Stock, Billions of Dollars, Weekly, Seasonally Adjusted]]-B335)/B335</f>
        <v/>
      </c>
      <c r="D336" s="35">
        <f>((1+Table2634[[#This Row],[Weekly change]])^52)-1</f>
        <v/>
      </c>
      <c r="E336" s="25">
        <f>AVERAGE(B333:B336)</f>
        <v/>
      </c>
      <c r="F336" s="33">
        <f>(Table2634[[#This Row],[4 weeks average]]-B284)/B284</f>
        <v/>
      </c>
    </row>
    <row r="337">
      <c r="A337" s="23" t="n">
        <v>29717</v>
      </c>
      <c r="B337" s="25">
        <f>VLOOKUP(Table2634[[#This Row],[Date]],'DB Money Supply'!$A:$D,4)</f>
        <v/>
      </c>
      <c r="C337" s="31">
        <f>(Table2634[[#This Row],[M1 Money Stock, Billions of Dollars, Weekly, Seasonally Adjusted]]-B336)/B336</f>
        <v/>
      </c>
      <c r="D337" s="35">
        <f>((1+Table2634[[#This Row],[Weekly change]])^52)-1</f>
        <v/>
      </c>
      <c r="E337" s="25">
        <f>AVERAGE(B334:B337)</f>
        <v/>
      </c>
      <c r="F337" s="33">
        <f>(Table2634[[#This Row],[4 weeks average]]-B285)/B285</f>
        <v/>
      </c>
    </row>
    <row r="338">
      <c r="A338" s="23" t="n">
        <v>29724</v>
      </c>
      <c r="B338" s="25">
        <f>VLOOKUP(Table2634[[#This Row],[Date]],'DB Money Supply'!$A:$D,4)</f>
        <v/>
      </c>
      <c r="C338" s="31">
        <f>(Table2634[[#This Row],[M1 Money Stock, Billions of Dollars, Weekly, Seasonally Adjusted]]-B337)/B337</f>
        <v/>
      </c>
      <c r="D338" s="35">
        <f>((1+Table2634[[#This Row],[Weekly change]])^52)-1</f>
        <v/>
      </c>
      <c r="E338" s="25">
        <f>AVERAGE(B335:B338)</f>
        <v/>
      </c>
      <c r="F338" s="33">
        <f>(Table2634[[#This Row],[4 weeks average]]-B286)/B286</f>
        <v/>
      </c>
    </row>
    <row r="339">
      <c r="A339" s="23" t="n">
        <v>29731</v>
      </c>
      <c r="B339" s="25">
        <f>VLOOKUP(Table2634[[#This Row],[Date]],'DB Money Supply'!$A:$D,4)</f>
        <v/>
      </c>
      <c r="C339" s="31">
        <f>(Table2634[[#This Row],[M1 Money Stock, Billions of Dollars, Weekly, Seasonally Adjusted]]-B338)/B338</f>
        <v/>
      </c>
      <c r="D339" s="35">
        <f>((1+Table2634[[#This Row],[Weekly change]])^52)-1</f>
        <v/>
      </c>
      <c r="E339" s="25">
        <f>AVERAGE(B336:B339)</f>
        <v/>
      </c>
      <c r="F339" s="33">
        <f>(Table2634[[#This Row],[4 weeks average]]-B287)/B287</f>
        <v/>
      </c>
    </row>
    <row r="340">
      <c r="A340" s="23" t="n">
        <v>29738</v>
      </c>
      <c r="B340" s="25">
        <f>VLOOKUP(Table2634[[#This Row],[Date]],'DB Money Supply'!$A:$D,4)</f>
        <v/>
      </c>
      <c r="C340" s="31">
        <f>(Table2634[[#This Row],[M1 Money Stock, Billions of Dollars, Weekly, Seasonally Adjusted]]-B339)/B339</f>
        <v/>
      </c>
      <c r="D340" s="35">
        <f>((1+Table2634[[#This Row],[Weekly change]])^52)-1</f>
        <v/>
      </c>
      <c r="E340" s="25">
        <f>AVERAGE(B337:B340)</f>
        <v/>
      </c>
      <c r="F340" s="33">
        <f>(Table2634[[#This Row],[4 weeks average]]-B288)/B288</f>
        <v/>
      </c>
    </row>
    <row r="341">
      <c r="A341" s="23" t="n">
        <v>29745</v>
      </c>
      <c r="B341" s="25">
        <f>VLOOKUP(Table2634[[#This Row],[Date]],'DB Money Supply'!$A:$D,4)</f>
        <v/>
      </c>
      <c r="C341" s="31">
        <f>(Table2634[[#This Row],[M1 Money Stock, Billions of Dollars, Weekly, Seasonally Adjusted]]-B340)/B340</f>
        <v/>
      </c>
      <c r="D341" s="35">
        <f>((1+Table2634[[#This Row],[Weekly change]])^52)-1</f>
        <v/>
      </c>
      <c r="E341" s="25">
        <f>AVERAGE(B338:B341)</f>
        <v/>
      </c>
      <c r="F341" s="33">
        <f>(Table2634[[#This Row],[4 weeks average]]-B289)/B289</f>
        <v/>
      </c>
    </row>
    <row r="342">
      <c r="A342" s="23" t="n">
        <v>29752</v>
      </c>
      <c r="B342" s="25">
        <f>VLOOKUP(Table2634[[#This Row],[Date]],'DB Money Supply'!$A:$D,4)</f>
        <v/>
      </c>
      <c r="C342" s="31">
        <f>(Table2634[[#This Row],[M1 Money Stock, Billions of Dollars, Weekly, Seasonally Adjusted]]-B341)/B341</f>
        <v/>
      </c>
      <c r="D342" s="35">
        <f>((1+Table2634[[#This Row],[Weekly change]])^52)-1</f>
        <v/>
      </c>
      <c r="E342" s="25">
        <f>AVERAGE(B339:B342)</f>
        <v/>
      </c>
      <c r="F342" s="33">
        <f>(Table2634[[#This Row],[4 weeks average]]-B290)/B290</f>
        <v/>
      </c>
    </row>
    <row r="343">
      <c r="A343" s="23" t="n">
        <v>29759</v>
      </c>
      <c r="B343" s="25">
        <f>VLOOKUP(Table2634[[#This Row],[Date]],'DB Money Supply'!$A:$D,4)</f>
        <v/>
      </c>
      <c r="C343" s="31">
        <f>(Table2634[[#This Row],[M1 Money Stock, Billions of Dollars, Weekly, Seasonally Adjusted]]-B342)/B342</f>
        <v/>
      </c>
      <c r="D343" s="35">
        <f>((1+Table2634[[#This Row],[Weekly change]])^52)-1</f>
        <v/>
      </c>
      <c r="E343" s="25">
        <f>AVERAGE(B340:B343)</f>
        <v/>
      </c>
      <c r="F343" s="33">
        <f>(Table2634[[#This Row],[4 weeks average]]-B291)/B291</f>
        <v/>
      </c>
    </row>
    <row r="344">
      <c r="A344" s="23" t="n">
        <v>29766</v>
      </c>
      <c r="B344" s="25">
        <f>VLOOKUP(Table2634[[#This Row],[Date]],'DB Money Supply'!$A:$D,4)</f>
        <v/>
      </c>
      <c r="C344" s="31">
        <f>(Table2634[[#This Row],[M1 Money Stock, Billions of Dollars, Weekly, Seasonally Adjusted]]-B343)/B343</f>
        <v/>
      </c>
      <c r="D344" s="35">
        <f>((1+Table2634[[#This Row],[Weekly change]])^52)-1</f>
        <v/>
      </c>
      <c r="E344" s="25">
        <f>AVERAGE(B341:B344)</f>
        <v/>
      </c>
      <c r="F344" s="33">
        <f>(Table2634[[#This Row],[4 weeks average]]-B292)/B292</f>
        <v/>
      </c>
    </row>
    <row r="345">
      <c r="A345" s="23" t="n">
        <v>29773</v>
      </c>
      <c r="B345" s="25">
        <f>VLOOKUP(Table2634[[#This Row],[Date]],'DB Money Supply'!$A:$D,4)</f>
        <v/>
      </c>
      <c r="C345" s="31">
        <f>(Table2634[[#This Row],[M1 Money Stock, Billions of Dollars, Weekly, Seasonally Adjusted]]-B344)/B344</f>
        <v/>
      </c>
      <c r="D345" s="35">
        <f>((1+Table2634[[#This Row],[Weekly change]])^52)-1</f>
        <v/>
      </c>
      <c r="E345" s="25">
        <f>AVERAGE(B342:B345)</f>
        <v/>
      </c>
      <c r="F345" s="33">
        <f>(Table2634[[#This Row],[4 weeks average]]-B293)/B293</f>
        <v/>
      </c>
    </row>
    <row r="346">
      <c r="A346" s="23" t="n">
        <v>29780</v>
      </c>
      <c r="B346" s="25">
        <f>VLOOKUP(Table2634[[#This Row],[Date]],'DB Money Supply'!$A:$D,4)</f>
        <v/>
      </c>
      <c r="C346" s="31">
        <f>(Table2634[[#This Row],[M1 Money Stock, Billions of Dollars, Weekly, Seasonally Adjusted]]-B345)/B345</f>
        <v/>
      </c>
      <c r="D346" s="35">
        <f>((1+Table2634[[#This Row],[Weekly change]])^52)-1</f>
        <v/>
      </c>
      <c r="E346" s="25">
        <f>AVERAGE(B343:B346)</f>
        <v/>
      </c>
      <c r="F346" s="33">
        <f>(Table2634[[#This Row],[4 weeks average]]-B294)/B294</f>
        <v/>
      </c>
    </row>
    <row r="347">
      <c r="A347" s="23" t="n">
        <v>29787</v>
      </c>
      <c r="B347" s="25">
        <f>VLOOKUP(Table2634[[#This Row],[Date]],'DB Money Supply'!$A:$D,4)</f>
        <v/>
      </c>
      <c r="C347" s="31">
        <f>(Table2634[[#This Row],[M1 Money Stock, Billions of Dollars, Weekly, Seasonally Adjusted]]-B346)/B346</f>
        <v/>
      </c>
      <c r="D347" s="35">
        <f>((1+Table2634[[#This Row],[Weekly change]])^52)-1</f>
        <v/>
      </c>
      <c r="E347" s="25">
        <f>AVERAGE(B344:B347)</f>
        <v/>
      </c>
      <c r="F347" s="33">
        <f>(Table2634[[#This Row],[4 weeks average]]-B295)/B295</f>
        <v/>
      </c>
    </row>
    <row r="348">
      <c r="A348" s="23" t="n">
        <v>29794</v>
      </c>
      <c r="B348" s="25">
        <f>VLOOKUP(Table2634[[#This Row],[Date]],'DB Money Supply'!$A:$D,4)</f>
        <v/>
      </c>
      <c r="C348" s="31">
        <f>(Table2634[[#This Row],[M1 Money Stock, Billions of Dollars, Weekly, Seasonally Adjusted]]-B347)/B347</f>
        <v/>
      </c>
      <c r="D348" s="35">
        <f>((1+Table2634[[#This Row],[Weekly change]])^52)-1</f>
        <v/>
      </c>
      <c r="E348" s="25">
        <f>AVERAGE(B345:B348)</f>
        <v/>
      </c>
      <c r="F348" s="33">
        <f>(Table2634[[#This Row],[4 weeks average]]-B296)/B296</f>
        <v/>
      </c>
    </row>
    <row r="349">
      <c r="A349" s="23" t="n">
        <v>29801</v>
      </c>
      <c r="B349" s="25">
        <f>VLOOKUP(Table2634[[#This Row],[Date]],'DB Money Supply'!$A:$D,4)</f>
        <v/>
      </c>
      <c r="C349" s="31">
        <f>(Table2634[[#This Row],[M1 Money Stock, Billions of Dollars, Weekly, Seasonally Adjusted]]-B348)/B348</f>
        <v/>
      </c>
      <c r="D349" s="35">
        <f>((1+Table2634[[#This Row],[Weekly change]])^52)-1</f>
        <v/>
      </c>
      <c r="E349" s="25">
        <f>AVERAGE(B346:B349)</f>
        <v/>
      </c>
      <c r="F349" s="33">
        <f>(Table2634[[#This Row],[4 weeks average]]-B297)/B297</f>
        <v/>
      </c>
    </row>
    <row r="350">
      <c r="A350" s="23" t="n">
        <v>29808</v>
      </c>
      <c r="B350" s="25">
        <f>VLOOKUP(Table2634[[#This Row],[Date]],'DB Money Supply'!$A:$D,4)</f>
        <v/>
      </c>
      <c r="C350" s="31">
        <f>(Table2634[[#This Row],[M1 Money Stock, Billions of Dollars, Weekly, Seasonally Adjusted]]-B349)/B349</f>
        <v/>
      </c>
      <c r="D350" s="35">
        <f>((1+Table2634[[#This Row],[Weekly change]])^52)-1</f>
        <v/>
      </c>
      <c r="E350" s="25">
        <f>AVERAGE(B347:B350)</f>
        <v/>
      </c>
      <c r="F350" s="33">
        <f>(Table2634[[#This Row],[4 weeks average]]-B298)/B298</f>
        <v/>
      </c>
    </row>
    <row r="351">
      <c r="A351" s="23" t="n">
        <v>29815</v>
      </c>
      <c r="B351" s="25">
        <f>VLOOKUP(Table2634[[#This Row],[Date]],'DB Money Supply'!$A:$D,4)</f>
        <v/>
      </c>
      <c r="C351" s="31">
        <f>(Table2634[[#This Row],[M1 Money Stock, Billions of Dollars, Weekly, Seasonally Adjusted]]-B350)/B350</f>
        <v/>
      </c>
      <c r="D351" s="35">
        <f>((1+Table2634[[#This Row],[Weekly change]])^52)-1</f>
        <v/>
      </c>
      <c r="E351" s="25">
        <f>AVERAGE(B348:B351)</f>
        <v/>
      </c>
      <c r="F351" s="33">
        <f>(Table2634[[#This Row],[4 weeks average]]-B299)/B299</f>
        <v/>
      </c>
    </row>
    <row r="352">
      <c r="A352" s="23" t="n">
        <v>29822</v>
      </c>
      <c r="B352" s="25">
        <f>VLOOKUP(Table2634[[#This Row],[Date]],'DB Money Supply'!$A:$D,4)</f>
        <v/>
      </c>
      <c r="C352" s="31">
        <f>(Table2634[[#This Row],[M1 Money Stock, Billions of Dollars, Weekly, Seasonally Adjusted]]-B351)/B351</f>
        <v/>
      </c>
      <c r="D352" s="35">
        <f>((1+Table2634[[#This Row],[Weekly change]])^52)-1</f>
        <v/>
      </c>
      <c r="E352" s="25">
        <f>AVERAGE(B349:B352)</f>
        <v/>
      </c>
      <c r="F352" s="33">
        <f>(Table2634[[#This Row],[4 weeks average]]-B300)/B300</f>
        <v/>
      </c>
    </row>
    <row r="353">
      <c r="A353" s="23" t="n">
        <v>29829</v>
      </c>
      <c r="B353" s="25">
        <f>VLOOKUP(Table2634[[#This Row],[Date]],'DB Money Supply'!$A:$D,4)</f>
        <v/>
      </c>
      <c r="C353" s="31">
        <f>(Table2634[[#This Row],[M1 Money Stock, Billions of Dollars, Weekly, Seasonally Adjusted]]-B352)/B352</f>
        <v/>
      </c>
      <c r="D353" s="35">
        <f>((1+Table2634[[#This Row],[Weekly change]])^52)-1</f>
        <v/>
      </c>
      <c r="E353" s="25">
        <f>AVERAGE(B350:B353)</f>
        <v/>
      </c>
      <c r="F353" s="33">
        <f>(Table2634[[#This Row],[4 weeks average]]-B301)/B301</f>
        <v/>
      </c>
    </row>
    <row r="354">
      <c r="A354" s="23" t="n">
        <v>29836</v>
      </c>
      <c r="B354" s="25">
        <f>VLOOKUP(Table2634[[#This Row],[Date]],'DB Money Supply'!$A:$D,4)</f>
        <v/>
      </c>
      <c r="C354" s="31">
        <f>(Table2634[[#This Row],[M1 Money Stock, Billions of Dollars, Weekly, Seasonally Adjusted]]-B353)/B353</f>
        <v/>
      </c>
      <c r="D354" s="35">
        <f>((1+Table2634[[#This Row],[Weekly change]])^52)-1</f>
        <v/>
      </c>
      <c r="E354" s="25">
        <f>AVERAGE(B351:B354)</f>
        <v/>
      </c>
      <c r="F354" s="33">
        <f>(Table2634[[#This Row],[4 weeks average]]-B302)/B302</f>
        <v/>
      </c>
    </row>
    <row r="355">
      <c r="A355" s="23" t="n">
        <v>29843</v>
      </c>
      <c r="B355" s="25">
        <f>VLOOKUP(Table2634[[#This Row],[Date]],'DB Money Supply'!$A:$D,4)</f>
        <v/>
      </c>
      <c r="C355" s="31">
        <f>(Table2634[[#This Row],[M1 Money Stock, Billions of Dollars, Weekly, Seasonally Adjusted]]-B354)/B354</f>
        <v/>
      </c>
      <c r="D355" s="35">
        <f>((1+Table2634[[#This Row],[Weekly change]])^52)-1</f>
        <v/>
      </c>
      <c r="E355" s="25">
        <f>AVERAGE(B352:B355)</f>
        <v/>
      </c>
      <c r="F355" s="33">
        <f>(Table2634[[#This Row],[4 weeks average]]-B303)/B303</f>
        <v/>
      </c>
    </row>
    <row r="356">
      <c r="A356" s="23" t="n">
        <v>29850</v>
      </c>
      <c r="B356" s="25">
        <f>VLOOKUP(Table2634[[#This Row],[Date]],'DB Money Supply'!$A:$D,4)</f>
        <v/>
      </c>
      <c r="C356" s="31">
        <f>(Table2634[[#This Row],[M1 Money Stock, Billions of Dollars, Weekly, Seasonally Adjusted]]-B355)/B355</f>
        <v/>
      </c>
      <c r="D356" s="35">
        <f>((1+Table2634[[#This Row],[Weekly change]])^52)-1</f>
        <v/>
      </c>
      <c r="E356" s="25">
        <f>AVERAGE(B353:B356)</f>
        <v/>
      </c>
      <c r="F356" s="33">
        <f>(Table2634[[#This Row],[4 weeks average]]-B304)/B304</f>
        <v/>
      </c>
    </row>
    <row r="357">
      <c r="A357" s="23" t="n">
        <v>29857</v>
      </c>
      <c r="B357" s="25">
        <f>VLOOKUP(Table2634[[#This Row],[Date]],'DB Money Supply'!$A:$D,4)</f>
        <v/>
      </c>
      <c r="C357" s="31">
        <f>(Table2634[[#This Row],[M1 Money Stock, Billions of Dollars, Weekly, Seasonally Adjusted]]-B356)/B356</f>
        <v/>
      </c>
      <c r="D357" s="35">
        <f>((1+Table2634[[#This Row],[Weekly change]])^52)-1</f>
        <v/>
      </c>
      <c r="E357" s="25">
        <f>AVERAGE(B354:B357)</f>
        <v/>
      </c>
      <c r="F357" s="33">
        <f>(Table2634[[#This Row],[4 weeks average]]-B305)/B305</f>
        <v/>
      </c>
    </row>
    <row r="358">
      <c r="A358" s="23" t="n">
        <v>29864</v>
      </c>
      <c r="B358" s="25">
        <f>VLOOKUP(Table2634[[#This Row],[Date]],'DB Money Supply'!$A:$D,4)</f>
        <v/>
      </c>
      <c r="C358" s="31">
        <f>(Table2634[[#This Row],[M1 Money Stock, Billions of Dollars, Weekly, Seasonally Adjusted]]-B357)/B357</f>
        <v/>
      </c>
      <c r="D358" s="35">
        <f>((1+Table2634[[#This Row],[Weekly change]])^52)-1</f>
        <v/>
      </c>
      <c r="E358" s="25">
        <f>AVERAGE(B355:B358)</f>
        <v/>
      </c>
      <c r="F358" s="33">
        <f>(Table2634[[#This Row],[4 weeks average]]-B306)/B306</f>
        <v/>
      </c>
    </row>
    <row r="359">
      <c r="A359" s="23" t="n">
        <v>29871</v>
      </c>
      <c r="B359" s="25">
        <f>VLOOKUP(Table2634[[#This Row],[Date]],'DB Money Supply'!$A:$D,4)</f>
        <v/>
      </c>
      <c r="C359" s="31">
        <f>(Table2634[[#This Row],[M1 Money Stock, Billions of Dollars, Weekly, Seasonally Adjusted]]-B358)/B358</f>
        <v/>
      </c>
      <c r="D359" s="35">
        <f>((1+Table2634[[#This Row],[Weekly change]])^52)-1</f>
        <v/>
      </c>
      <c r="E359" s="25">
        <f>AVERAGE(B356:B359)</f>
        <v/>
      </c>
      <c r="F359" s="33">
        <f>(Table2634[[#This Row],[4 weeks average]]-B307)/B307</f>
        <v/>
      </c>
    </row>
    <row r="360">
      <c r="A360" s="23" t="n">
        <v>29878</v>
      </c>
      <c r="B360" s="25">
        <f>VLOOKUP(Table2634[[#This Row],[Date]],'DB Money Supply'!$A:$D,4)</f>
        <v/>
      </c>
      <c r="C360" s="31">
        <f>(Table2634[[#This Row],[M1 Money Stock, Billions of Dollars, Weekly, Seasonally Adjusted]]-B359)/B359</f>
        <v/>
      </c>
      <c r="D360" s="35">
        <f>((1+Table2634[[#This Row],[Weekly change]])^52)-1</f>
        <v/>
      </c>
      <c r="E360" s="25">
        <f>AVERAGE(B357:B360)</f>
        <v/>
      </c>
      <c r="F360" s="33">
        <f>(Table2634[[#This Row],[4 weeks average]]-B308)/B308</f>
        <v/>
      </c>
    </row>
    <row r="361">
      <c r="A361" s="23" t="n">
        <v>29885</v>
      </c>
      <c r="B361" s="25">
        <f>VLOOKUP(Table2634[[#This Row],[Date]],'DB Money Supply'!$A:$D,4)</f>
        <v/>
      </c>
      <c r="C361" s="31">
        <f>(Table2634[[#This Row],[M1 Money Stock, Billions of Dollars, Weekly, Seasonally Adjusted]]-B360)/B360</f>
        <v/>
      </c>
      <c r="D361" s="35">
        <f>((1+Table2634[[#This Row],[Weekly change]])^52)-1</f>
        <v/>
      </c>
      <c r="E361" s="25">
        <f>AVERAGE(B358:B361)</f>
        <v/>
      </c>
      <c r="F361" s="33">
        <f>(Table2634[[#This Row],[4 weeks average]]-B309)/B309</f>
        <v/>
      </c>
    </row>
    <row r="362">
      <c r="A362" s="23" t="n">
        <v>29892</v>
      </c>
      <c r="B362" s="25">
        <f>VLOOKUP(Table2634[[#This Row],[Date]],'DB Money Supply'!$A:$D,4)</f>
        <v/>
      </c>
      <c r="C362" s="31">
        <f>(Table2634[[#This Row],[M1 Money Stock, Billions of Dollars, Weekly, Seasonally Adjusted]]-B361)/B361</f>
        <v/>
      </c>
      <c r="D362" s="35">
        <f>((1+Table2634[[#This Row],[Weekly change]])^52)-1</f>
        <v/>
      </c>
      <c r="E362" s="25">
        <f>AVERAGE(B359:B362)</f>
        <v/>
      </c>
      <c r="F362" s="33">
        <f>(Table2634[[#This Row],[4 weeks average]]-B310)/B310</f>
        <v/>
      </c>
    </row>
    <row r="363">
      <c r="A363" s="23" t="n">
        <v>29899</v>
      </c>
      <c r="B363" s="25">
        <f>VLOOKUP(Table2634[[#This Row],[Date]],'DB Money Supply'!$A:$D,4)</f>
        <v/>
      </c>
      <c r="C363" s="31">
        <f>(Table2634[[#This Row],[M1 Money Stock, Billions of Dollars, Weekly, Seasonally Adjusted]]-B362)/B362</f>
        <v/>
      </c>
      <c r="D363" s="35">
        <f>((1+Table2634[[#This Row],[Weekly change]])^52)-1</f>
        <v/>
      </c>
      <c r="E363" s="25">
        <f>AVERAGE(B360:B363)</f>
        <v/>
      </c>
      <c r="F363" s="33">
        <f>(Table2634[[#This Row],[4 weeks average]]-B311)/B311</f>
        <v/>
      </c>
    </row>
    <row r="364">
      <c r="A364" s="23" t="n">
        <v>29906</v>
      </c>
      <c r="B364" s="25">
        <f>VLOOKUP(Table2634[[#This Row],[Date]],'DB Money Supply'!$A:$D,4)</f>
        <v/>
      </c>
      <c r="C364" s="31">
        <f>(Table2634[[#This Row],[M1 Money Stock, Billions of Dollars, Weekly, Seasonally Adjusted]]-B363)/B363</f>
        <v/>
      </c>
      <c r="D364" s="35">
        <f>((1+Table2634[[#This Row],[Weekly change]])^52)-1</f>
        <v/>
      </c>
      <c r="E364" s="25">
        <f>AVERAGE(B361:B364)</f>
        <v/>
      </c>
      <c r="F364" s="33">
        <f>(Table2634[[#This Row],[4 weeks average]]-B312)/B312</f>
        <v/>
      </c>
    </row>
    <row r="365">
      <c r="A365" s="23" t="n">
        <v>29913</v>
      </c>
      <c r="B365" s="25">
        <f>VLOOKUP(Table2634[[#This Row],[Date]],'DB Money Supply'!$A:$D,4)</f>
        <v/>
      </c>
      <c r="C365" s="31">
        <f>(Table2634[[#This Row],[M1 Money Stock, Billions of Dollars, Weekly, Seasonally Adjusted]]-B364)/B364</f>
        <v/>
      </c>
      <c r="D365" s="35">
        <f>((1+Table2634[[#This Row],[Weekly change]])^52)-1</f>
        <v/>
      </c>
      <c r="E365" s="25">
        <f>AVERAGE(B362:B365)</f>
        <v/>
      </c>
      <c r="F365" s="33">
        <f>(Table2634[[#This Row],[4 weeks average]]-B313)/B313</f>
        <v/>
      </c>
    </row>
    <row r="366">
      <c r="A366" s="23" t="n">
        <v>29920</v>
      </c>
      <c r="B366" s="25">
        <f>VLOOKUP(Table2634[[#This Row],[Date]],'DB Money Supply'!$A:$D,4)</f>
        <v/>
      </c>
      <c r="C366" s="31">
        <f>(Table2634[[#This Row],[M1 Money Stock, Billions of Dollars, Weekly, Seasonally Adjusted]]-B365)/B365</f>
        <v/>
      </c>
      <c r="D366" s="35">
        <f>((1+Table2634[[#This Row],[Weekly change]])^52)-1</f>
        <v/>
      </c>
      <c r="E366" s="25">
        <f>AVERAGE(B363:B366)</f>
        <v/>
      </c>
      <c r="F366" s="33">
        <f>(Table2634[[#This Row],[4 weeks average]]-B314)/B314</f>
        <v/>
      </c>
    </row>
    <row r="367">
      <c r="A367" s="23" t="n">
        <v>29927</v>
      </c>
      <c r="B367" s="25">
        <f>VLOOKUP(Table2634[[#This Row],[Date]],'DB Money Supply'!$A:$D,4)</f>
        <v/>
      </c>
      <c r="C367" s="31">
        <f>(Table2634[[#This Row],[M1 Money Stock, Billions of Dollars, Weekly, Seasonally Adjusted]]-B366)/B366</f>
        <v/>
      </c>
      <c r="D367" s="35">
        <f>((1+Table2634[[#This Row],[Weekly change]])^52)-1</f>
        <v/>
      </c>
      <c r="E367" s="25">
        <f>AVERAGE(B364:B367)</f>
        <v/>
      </c>
      <c r="F367" s="33">
        <f>(Table2634[[#This Row],[4 weeks average]]-B315)/B315</f>
        <v/>
      </c>
    </row>
    <row r="368">
      <c r="A368" s="23" t="n">
        <v>29934</v>
      </c>
      <c r="B368" s="25">
        <f>VLOOKUP(Table2634[[#This Row],[Date]],'DB Money Supply'!$A:$D,4)</f>
        <v/>
      </c>
      <c r="C368" s="31">
        <f>(Table2634[[#This Row],[M1 Money Stock, Billions of Dollars, Weekly, Seasonally Adjusted]]-B367)/B367</f>
        <v/>
      </c>
      <c r="D368" s="35">
        <f>((1+Table2634[[#This Row],[Weekly change]])^52)-1</f>
        <v/>
      </c>
      <c r="E368" s="25">
        <f>AVERAGE(B365:B368)</f>
        <v/>
      </c>
      <c r="F368" s="33">
        <f>(Table2634[[#This Row],[4 weeks average]]-B316)/B316</f>
        <v/>
      </c>
    </row>
    <row r="369">
      <c r="A369" s="23" t="n">
        <v>29941</v>
      </c>
      <c r="B369" s="25">
        <f>VLOOKUP(Table2634[[#This Row],[Date]],'DB Money Supply'!$A:$D,4)</f>
        <v/>
      </c>
      <c r="C369" s="31">
        <f>(Table2634[[#This Row],[M1 Money Stock, Billions of Dollars, Weekly, Seasonally Adjusted]]-B368)/B368</f>
        <v/>
      </c>
      <c r="D369" s="35">
        <f>((1+Table2634[[#This Row],[Weekly change]])^52)-1</f>
        <v/>
      </c>
      <c r="E369" s="25">
        <f>AVERAGE(B366:B369)</f>
        <v/>
      </c>
      <c r="F369" s="33">
        <f>(Table2634[[#This Row],[4 weeks average]]-B317)/B317</f>
        <v/>
      </c>
    </row>
    <row r="370">
      <c r="A370" s="23" t="n">
        <v>29948</v>
      </c>
      <c r="B370" s="25">
        <f>VLOOKUP(Table2634[[#This Row],[Date]],'DB Money Supply'!$A:$D,4)</f>
        <v/>
      </c>
      <c r="C370" s="31">
        <f>(Table2634[[#This Row],[M1 Money Stock, Billions of Dollars, Weekly, Seasonally Adjusted]]-B369)/B369</f>
        <v/>
      </c>
      <c r="D370" s="35">
        <f>((1+Table2634[[#This Row],[Weekly change]])^52)-1</f>
        <v/>
      </c>
      <c r="E370" s="25">
        <f>AVERAGE(B367:B370)</f>
        <v/>
      </c>
      <c r="F370" s="33">
        <f>(Table2634[[#This Row],[4 weeks average]]-B318)/B318</f>
        <v/>
      </c>
    </row>
    <row r="371">
      <c r="A371" s="23" t="n">
        <v>29955</v>
      </c>
      <c r="B371" s="25">
        <f>VLOOKUP(Table2634[[#This Row],[Date]],'DB Money Supply'!$A:$D,4)</f>
        <v/>
      </c>
      <c r="C371" s="31">
        <f>(Table2634[[#This Row],[M1 Money Stock, Billions of Dollars, Weekly, Seasonally Adjusted]]-B370)/B370</f>
        <v/>
      </c>
      <c r="D371" s="35">
        <f>((1+Table2634[[#This Row],[Weekly change]])^52)-1</f>
        <v/>
      </c>
      <c r="E371" s="25">
        <f>AVERAGE(B368:B371)</f>
        <v/>
      </c>
      <c r="F371" s="33">
        <f>(Table2634[[#This Row],[4 weeks average]]-B319)/B319</f>
        <v/>
      </c>
    </row>
    <row r="372">
      <c r="A372" s="23" t="n">
        <v>29962</v>
      </c>
      <c r="B372" s="25">
        <f>VLOOKUP(Table2634[[#This Row],[Date]],'DB Money Supply'!$A:$D,4)</f>
        <v/>
      </c>
      <c r="C372" s="31">
        <f>(Table2634[[#This Row],[M1 Money Stock, Billions of Dollars, Weekly, Seasonally Adjusted]]-B371)/B371</f>
        <v/>
      </c>
      <c r="D372" s="35">
        <f>((1+Table2634[[#This Row],[Weekly change]])^52)-1</f>
        <v/>
      </c>
      <c r="E372" s="25">
        <f>AVERAGE(B369:B372)</f>
        <v/>
      </c>
      <c r="F372" s="33">
        <f>(Table2634[[#This Row],[4 weeks average]]-B320)/B320</f>
        <v/>
      </c>
    </row>
    <row r="373">
      <c r="A373" s="23" t="n">
        <v>29969</v>
      </c>
      <c r="B373" s="25">
        <f>VLOOKUP(Table2634[[#This Row],[Date]],'DB Money Supply'!$A:$D,4)</f>
        <v/>
      </c>
      <c r="C373" s="31">
        <f>(Table2634[[#This Row],[M1 Money Stock, Billions of Dollars, Weekly, Seasonally Adjusted]]-B372)/B372</f>
        <v/>
      </c>
      <c r="D373" s="35">
        <f>((1+Table2634[[#This Row],[Weekly change]])^52)-1</f>
        <v/>
      </c>
      <c r="E373" s="25">
        <f>AVERAGE(B370:B373)</f>
        <v/>
      </c>
      <c r="F373" s="33">
        <f>(Table2634[[#This Row],[4 weeks average]]-B321)/B321</f>
        <v/>
      </c>
    </row>
    <row r="374">
      <c r="A374" s="23" t="n">
        <v>29976</v>
      </c>
      <c r="B374" s="25">
        <f>VLOOKUP(Table2634[[#This Row],[Date]],'DB Money Supply'!$A:$D,4)</f>
        <v/>
      </c>
      <c r="C374" s="31">
        <f>(Table2634[[#This Row],[M1 Money Stock, Billions of Dollars, Weekly, Seasonally Adjusted]]-B373)/B373</f>
        <v/>
      </c>
      <c r="D374" s="35">
        <f>((1+Table2634[[#This Row],[Weekly change]])^52)-1</f>
        <v/>
      </c>
      <c r="E374" s="25">
        <f>AVERAGE(B371:B374)</f>
        <v/>
      </c>
      <c r="F374" s="33">
        <f>(Table2634[[#This Row],[4 weeks average]]-B322)/B322</f>
        <v/>
      </c>
    </row>
    <row r="375">
      <c r="A375" s="23" t="n">
        <v>29983</v>
      </c>
      <c r="B375" s="25">
        <f>VLOOKUP(Table2634[[#This Row],[Date]],'DB Money Supply'!$A:$D,4)</f>
        <v/>
      </c>
      <c r="C375" s="31">
        <f>(Table2634[[#This Row],[M1 Money Stock, Billions of Dollars, Weekly, Seasonally Adjusted]]-B374)/B374</f>
        <v/>
      </c>
      <c r="D375" s="35">
        <f>((1+Table2634[[#This Row],[Weekly change]])^52)-1</f>
        <v/>
      </c>
      <c r="E375" s="25">
        <f>AVERAGE(B372:B375)</f>
        <v/>
      </c>
      <c r="F375" s="33">
        <f>(Table2634[[#This Row],[4 weeks average]]-B323)/B323</f>
        <v/>
      </c>
    </row>
    <row r="376">
      <c r="A376" s="23" t="n">
        <v>29990</v>
      </c>
      <c r="B376" s="25">
        <f>VLOOKUP(Table2634[[#This Row],[Date]],'DB Money Supply'!$A:$D,4)</f>
        <v/>
      </c>
      <c r="C376" s="31">
        <f>(Table2634[[#This Row],[M1 Money Stock, Billions of Dollars, Weekly, Seasonally Adjusted]]-B375)/B375</f>
        <v/>
      </c>
      <c r="D376" s="35">
        <f>((1+Table2634[[#This Row],[Weekly change]])^52)-1</f>
        <v/>
      </c>
      <c r="E376" s="25">
        <f>AVERAGE(B373:B376)</f>
        <v/>
      </c>
      <c r="F376" s="33">
        <f>(Table2634[[#This Row],[4 weeks average]]-B324)/B324</f>
        <v/>
      </c>
    </row>
    <row r="377">
      <c r="A377" s="23" t="n">
        <v>29997</v>
      </c>
      <c r="B377" s="25">
        <f>VLOOKUP(Table2634[[#This Row],[Date]],'DB Money Supply'!$A:$D,4)</f>
        <v/>
      </c>
      <c r="C377" s="31">
        <f>(Table2634[[#This Row],[M1 Money Stock, Billions of Dollars, Weekly, Seasonally Adjusted]]-B376)/B376</f>
        <v/>
      </c>
      <c r="D377" s="35">
        <f>((1+Table2634[[#This Row],[Weekly change]])^52)-1</f>
        <v/>
      </c>
      <c r="E377" s="25">
        <f>AVERAGE(B374:B377)</f>
        <v/>
      </c>
      <c r="F377" s="33">
        <f>(Table2634[[#This Row],[4 weeks average]]-B325)/B325</f>
        <v/>
      </c>
    </row>
    <row r="378">
      <c r="A378" s="23" t="n">
        <v>30004</v>
      </c>
      <c r="B378" s="25">
        <f>VLOOKUP(Table2634[[#This Row],[Date]],'DB Money Supply'!$A:$D,4)</f>
        <v/>
      </c>
      <c r="C378" s="31">
        <f>(Table2634[[#This Row],[M1 Money Stock, Billions of Dollars, Weekly, Seasonally Adjusted]]-B377)/B377</f>
        <v/>
      </c>
      <c r="D378" s="35">
        <f>((1+Table2634[[#This Row],[Weekly change]])^52)-1</f>
        <v/>
      </c>
      <c r="E378" s="25">
        <f>AVERAGE(B375:B378)</f>
        <v/>
      </c>
      <c r="F378" s="33">
        <f>(Table2634[[#This Row],[4 weeks average]]-B326)/B326</f>
        <v/>
      </c>
    </row>
    <row r="379">
      <c r="A379" s="23" t="n">
        <v>30011</v>
      </c>
      <c r="B379" s="25">
        <f>VLOOKUP(Table2634[[#This Row],[Date]],'DB Money Supply'!$A:$D,4)</f>
        <v/>
      </c>
      <c r="C379" s="31">
        <f>(Table2634[[#This Row],[M1 Money Stock, Billions of Dollars, Weekly, Seasonally Adjusted]]-B378)/B378</f>
        <v/>
      </c>
      <c r="D379" s="35">
        <f>((1+Table2634[[#This Row],[Weekly change]])^52)-1</f>
        <v/>
      </c>
      <c r="E379" s="25">
        <f>AVERAGE(B376:B379)</f>
        <v/>
      </c>
      <c r="F379" s="33">
        <f>(Table2634[[#This Row],[4 weeks average]]-B327)/B327</f>
        <v/>
      </c>
    </row>
    <row r="380">
      <c r="A380" s="23" t="n">
        <v>30018</v>
      </c>
      <c r="B380" s="25">
        <f>VLOOKUP(Table2634[[#This Row],[Date]],'DB Money Supply'!$A:$D,4)</f>
        <v/>
      </c>
      <c r="C380" s="31">
        <f>(Table2634[[#This Row],[M1 Money Stock, Billions of Dollars, Weekly, Seasonally Adjusted]]-B379)/B379</f>
        <v/>
      </c>
      <c r="D380" s="35">
        <f>((1+Table2634[[#This Row],[Weekly change]])^52)-1</f>
        <v/>
      </c>
      <c r="E380" s="25">
        <f>AVERAGE(B377:B380)</f>
        <v/>
      </c>
      <c r="F380" s="33">
        <f>(Table2634[[#This Row],[4 weeks average]]-B328)/B328</f>
        <v/>
      </c>
    </row>
    <row r="381">
      <c r="A381" s="23" t="n">
        <v>30025</v>
      </c>
      <c r="B381" s="25">
        <f>VLOOKUP(Table2634[[#This Row],[Date]],'DB Money Supply'!$A:$D,4)</f>
        <v/>
      </c>
      <c r="C381" s="31">
        <f>(Table2634[[#This Row],[M1 Money Stock, Billions of Dollars, Weekly, Seasonally Adjusted]]-B380)/B380</f>
        <v/>
      </c>
      <c r="D381" s="35">
        <f>((1+Table2634[[#This Row],[Weekly change]])^52)-1</f>
        <v/>
      </c>
      <c r="E381" s="25">
        <f>AVERAGE(B378:B381)</f>
        <v/>
      </c>
      <c r="F381" s="33">
        <f>(Table2634[[#This Row],[4 weeks average]]-B329)/B329</f>
        <v/>
      </c>
    </row>
    <row r="382">
      <c r="A382" s="23" t="n">
        <v>30032</v>
      </c>
      <c r="B382" s="25">
        <f>VLOOKUP(Table2634[[#This Row],[Date]],'DB Money Supply'!$A:$D,4)</f>
        <v/>
      </c>
      <c r="C382" s="31">
        <f>(Table2634[[#This Row],[M1 Money Stock, Billions of Dollars, Weekly, Seasonally Adjusted]]-B381)/B381</f>
        <v/>
      </c>
      <c r="D382" s="35">
        <f>((1+Table2634[[#This Row],[Weekly change]])^52)-1</f>
        <v/>
      </c>
      <c r="E382" s="25">
        <f>AVERAGE(B379:B382)</f>
        <v/>
      </c>
      <c r="F382" s="33">
        <f>(Table2634[[#This Row],[4 weeks average]]-B330)/B330</f>
        <v/>
      </c>
    </row>
    <row r="383">
      <c r="A383" s="23" t="n">
        <v>30039</v>
      </c>
      <c r="B383" s="25">
        <f>VLOOKUP(Table2634[[#This Row],[Date]],'DB Money Supply'!$A:$D,4)</f>
        <v/>
      </c>
      <c r="C383" s="31">
        <f>(Table2634[[#This Row],[M1 Money Stock, Billions of Dollars, Weekly, Seasonally Adjusted]]-B382)/B382</f>
        <v/>
      </c>
      <c r="D383" s="35">
        <f>((1+Table2634[[#This Row],[Weekly change]])^52)-1</f>
        <v/>
      </c>
      <c r="E383" s="25">
        <f>AVERAGE(B380:B383)</f>
        <v/>
      </c>
      <c r="F383" s="33">
        <f>(Table2634[[#This Row],[4 weeks average]]-B331)/B331</f>
        <v/>
      </c>
    </row>
    <row r="384">
      <c r="A384" s="23" t="n">
        <v>30046</v>
      </c>
      <c r="B384" s="25">
        <f>VLOOKUP(Table2634[[#This Row],[Date]],'DB Money Supply'!$A:$D,4)</f>
        <v/>
      </c>
      <c r="C384" s="31">
        <f>(Table2634[[#This Row],[M1 Money Stock, Billions of Dollars, Weekly, Seasonally Adjusted]]-B383)/B383</f>
        <v/>
      </c>
      <c r="D384" s="35">
        <f>((1+Table2634[[#This Row],[Weekly change]])^52)-1</f>
        <v/>
      </c>
      <c r="E384" s="25">
        <f>AVERAGE(B381:B384)</f>
        <v/>
      </c>
      <c r="F384" s="33">
        <f>(Table2634[[#This Row],[4 weeks average]]-B332)/B332</f>
        <v/>
      </c>
    </row>
    <row r="385">
      <c r="A385" s="23" t="n">
        <v>30053</v>
      </c>
      <c r="B385" s="25">
        <f>VLOOKUP(Table2634[[#This Row],[Date]],'DB Money Supply'!$A:$D,4)</f>
        <v/>
      </c>
      <c r="C385" s="31">
        <f>(Table2634[[#This Row],[M1 Money Stock, Billions of Dollars, Weekly, Seasonally Adjusted]]-B384)/B384</f>
        <v/>
      </c>
      <c r="D385" s="35">
        <f>((1+Table2634[[#This Row],[Weekly change]])^52)-1</f>
        <v/>
      </c>
      <c r="E385" s="25">
        <f>AVERAGE(B382:B385)</f>
        <v/>
      </c>
      <c r="F385" s="33">
        <f>(Table2634[[#This Row],[4 weeks average]]-B333)/B333</f>
        <v/>
      </c>
    </row>
    <row r="386">
      <c r="A386" s="23" t="n">
        <v>30060</v>
      </c>
      <c r="B386" s="25">
        <f>VLOOKUP(Table2634[[#This Row],[Date]],'DB Money Supply'!$A:$D,4)</f>
        <v/>
      </c>
      <c r="C386" s="31">
        <f>(Table2634[[#This Row],[M1 Money Stock, Billions of Dollars, Weekly, Seasonally Adjusted]]-B385)/B385</f>
        <v/>
      </c>
      <c r="D386" s="35">
        <f>((1+Table2634[[#This Row],[Weekly change]])^52)-1</f>
        <v/>
      </c>
      <c r="E386" s="25">
        <f>AVERAGE(B383:B386)</f>
        <v/>
      </c>
      <c r="F386" s="33">
        <f>(Table2634[[#This Row],[4 weeks average]]-B334)/B334</f>
        <v/>
      </c>
    </row>
    <row r="387">
      <c r="A387" s="23" t="n">
        <v>30067</v>
      </c>
      <c r="B387" s="25">
        <f>VLOOKUP(Table2634[[#This Row],[Date]],'DB Money Supply'!$A:$D,4)</f>
        <v/>
      </c>
      <c r="C387" s="31">
        <f>(Table2634[[#This Row],[M1 Money Stock, Billions of Dollars, Weekly, Seasonally Adjusted]]-B386)/B386</f>
        <v/>
      </c>
      <c r="D387" s="35">
        <f>((1+Table2634[[#This Row],[Weekly change]])^52)-1</f>
        <v/>
      </c>
      <c r="E387" s="25">
        <f>AVERAGE(B384:B387)</f>
        <v/>
      </c>
      <c r="F387" s="33">
        <f>(Table2634[[#This Row],[4 weeks average]]-B335)/B335</f>
        <v/>
      </c>
    </row>
    <row r="388">
      <c r="A388" s="23" t="n">
        <v>30074</v>
      </c>
      <c r="B388" s="25">
        <f>VLOOKUP(Table2634[[#This Row],[Date]],'DB Money Supply'!$A:$D,4)</f>
        <v/>
      </c>
      <c r="C388" s="31">
        <f>(Table2634[[#This Row],[M1 Money Stock, Billions of Dollars, Weekly, Seasonally Adjusted]]-B387)/B387</f>
        <v/>
      </c>
      <c r="D388" s="35">
        <f>((1+Table2634[[#This Row],[Weekly change]])^52)-1</f>
        <v/>
      </c>
      <c r="E388" s="25">
        <f>AVERAGE(B385:B388)</f>
        <v/>
      </c>
      <c r="F388" s="33">
        <f>(Table2634[[#This Row],[4 weeks average]]-B336)/B336</f>
        <v/>
      </c>
    </row>
    <row r="389">
      <c r="A389" s="23" t="n">
        <v>30081</v>
      </c>
      <c r="B389" s="25">
        <f>VLOOKUP(Table2634[[#This Row],[Date]],'DB Money Supply'!$A:$D,4)</f>
        <v/>
      </c>
      <c r="C389" s="31">
        <f>(Table2634[[#This Row],[M1 Money Stock, Billions of Dollars, Weekly, Seasonally Adjusted]]-B388)/B388</f>
        <v/>
      </c>
      <c r="D389" s="35">
        <f>((1+Table2634[[#This Row],[Weekly change]])^52)-1</f>
        <v/>
      </c>
      <c r="E389" s="25">
        <f>AVERAGE(B386:B389)</f>
        <v/>
      </c>
      <c r="F389" s="33">
        <f>(Table2634[[#This Row],[4 weeks average]]-B337)/B337</f>
        <v/>
      </c>
    </row>
    <row r="390">
      <c r="A390" s="23" t="n">
        <v>30088</v>
      </c>
      <c r="B390" s="25">
        <f>VLOOKUP(Table2634[[#This Row],[Date]],'DB Money Supply'!$A:$D,4)</f>
        <v/>
      </c>
      <c r="C390" s="31">
        <f>(Table2634[[#This Row],[M1 Money Stock, Billions of Dollars, Weekly, Seasonally Adjusted]]-B389)/B389</f>
        <v/>
      </c>
      <c r="D390" s="35">
        <f>((1+Table2634[[#This Row],[Weekly change]])^52)-1</f>
        <v/>
      </c>
      <c r="E390" s="25">
        <f>AVERAGE(B387:B390)</f>
        <v/>
      </c>
      <c r="F390" s="33">
        <f>(Table2634[[#This Row],[4 weeks average]]-B338)/B338</f>
        <v/>
      </c>
    </row>
    <row r="391">
      <c r="A391" s="23" t="n">
        <v>30095</v>
      </c>
      <c r="B391" s="25">
        <f>VLOOKUP(Table2634[[#This Row],[Date]],'DB Money Supply'!$A:$D,4)</f>
        <v/>
      </c>
      <c r="C391" s="31">
        <f>(Table2634[[#This Row],[M1 Money Stock, Billions of Dollars, Weekly, Seasonally Adjusted]]-B390)/B390</f>
        <v/>
      </c>
      <c r="D391" s="35">
        <f>((1+Table2634[[#This Row],[Weekly change]])^52)-1</f>
        <v/>
      </c>
      <c r="E391" s="25">
        <f>AVERAGE(B388:B391)</f>
        <v/>
      </c>
      <c r="F391" s="33">
        <f>(Table2634[[#This Row],[4 weeks average]]-B339)/B339</f>
        <v/>
      </c>
    </row>
    <row r="392">
      <c r="A392" s="23" t="n">
        <v>30102</v>
      </c>
      <c r="B392" s="25">
        <f>VLOOKUP(Table2634[[#This Row],[Date]],'DB Money Supply'!$A:$D,4)</f>
        <v/>
      </c>
      <c r="C392" s="31">
        <f>(Table2634[[#This Row],[M1 Money Stock, Billions of Dollars, Weekly, Seasonally Adjusted]]-B391)/B391</f>
        <v/>
      </c>
      <c r="D392" s="35">
        <f>((1+Table2634[[#This Row],[Weekly change]])^52)-1</f>
        <v/>
      </c>
      <c r="E392" s="25">
        <f>AVERAGE(B389:B392)</f>
        <v/>
      </c>
      <c r="F392" s="33">
        <f>(Table2634[[#This Row],[4 weeks average]]-B340)/B340</f>
        <v/>
      </c>
    </row>
    <row r="393">
      <c r="A393" s="23" t="n">
        <v>30109</v>
      </c>
      <c r="B393" s="25">
        <f>VLOOKUP(Table2634[[#This Row],[Date]],'DB Money Supply'!$A:$D,4)</f>
        <v/>
      </c>
      <c r="C393" s="31">
        <f>(Table2634[[#This Row],[M1 Money Stock, Billions of Dollars, Weekly, Seasonally Adjusted]]-B392)/B392</f>
        <v/>
      </c>
      <c r="D393" s="35">
        <f>((1+Table2634[[#This Row],[Weekly change]])^52)-1</f>
        <v/>
      </c>
      <c r="E393" s="25">
        <f>AVERAGE(B390:B393)</f>
        <v/>
      </c>
      <c r="F393" s="33">
        <f>(Table2634[[#This Row],[4 weeks average]]-B341)/B341</f>
        <v/>
      </c>
    </row>
    <row r="394">
      <c r="A394" s="23" t="n">
        <v>30116</v>
      </c>
      <c r="B394" s="25">
        <f>VLOOKUP(Table2634[[#This Row],[Date]],'DB Money Supply'!$A:$D,4)</f>
        <v/>
      </c>
      <c r="C394" s="31">
        <f>(Table2634[[#This Row],[M1 Money Stock, Billions of Dollars, Weekly, Seasonally Adjusted]]-B393)/B393</f>
        <v/>
      </c>
      <c r="D394" s="35">
        <f>((1+Table2634[[#This Row],[Weekly change]])^52)-1</f>
        <v/>
      </c>
      <c r="E394" s="25">
        <f>AVERAGE(B391:B394)</f>
        <v/>
      </c>
      <c r="F394" s="33">
        <f>(Table2634[[#This Row],[4 weeks average]]-B342)/B342</f>
        <v/>
      </c>
    </row>
    <row r="395">
      <c r="A395" s="23" t="n">
        <v>30123</v>
      </c>
      <c r="B395" s="25">
        <f>VLOOKUP(Table2634[[#This Row],[Date]],'DB Money Supply'!$A:$D,4)</f>
        <v/>
      </c>
      <c r="C395" s="31">
        <f>(Table2634[[#This Row],[M1 Money Stock, Billions of Dollars, Weekly, Seasonally Adjusted]]-B394)/B394</f>
        <v/>
      </c>
      <c r="D395" s="35">
        <f>((1+Table2634[[#This Row],[Weekly change]])^52)-1</f>
        <v/>
      </c>
      <c r="E395" s="25">
        <f>AVERAGE(B392:B395)</f>
        <v/>
      </c>
      <c r="F395" s="33">
        <f>(Table2634[[#This Row],[4 weeks average]]-B343)/B343</f>
        <v/>
      </c>
    </row>
    <row r="396">
      <c r="A396" s="23" t="n">
        <v>30130</v>
      </c>
      <c r="B396" s="25">
        <f>VLOOKUP(Table2634[[#This Row],[Date]],'DB Money Supply'!$A:$D,4)</f>
        <v/>
      </c>
      <c r="C396" s="31">
        <f>(Table2634[[#This Row],[M1 Money Stock, Billions of Dollars, Weekly, Seasonally Adjusted]]-B395)/B395</f>
        <v/>
      </c>
      <c r="D396" s="35">
        <f>((1+Table2634[[#This Row],[Weekly change]])^52)-1</f>
        <v/>
      </c>
      <c r="E396" s="25">
        <f>AVERAGE(B393:B396)</f>
        <v/>
      </c>
      <c r="F396" s="33">
        <f>(Table2634[[#This Row],[4 weeks average]]-B344)/B344</f>
        <v/>
      </c>
    </row>
    <row r="397">
      <c r="A397" s="23" t="n">
        <v>30137</v>
      </c>
      <c r="B397" s="25">
        <f>VLOOKUP(Table2634[[#This Row],[Date]],'DB Money Supply'!$A:$D,4)</f>
        <v/>
      </c>
      <c r="C397" s="31">
        <f>(Table2634[[#This Row],[M1 Money Stock, Billions of Dollars, Weekly, Seasonally Adjusted]]-B396)/B396</f>
        <v/>
      </c>
      <c r="D397" s="35">
        <f>((1+Table2634[[#This Row],[Weekly change]])^52)-1</f>
        <v/>
      </c>
      <c r="E397" s="25">
        <f>AVERAGE(B394:B397)</f>
        <v/>
      </c>
      <c r="F397" s="33">
        <f>(Table2634[[#This Row],[4 weeks average]]-B345)/B345</f>
        <v/>
      </c>
    </row>
    <row r="398">
      <c r="A398" s="23" t="n">
        <v>30144</v>
      </c>
      <c r="B398" s="25">
        <f>VLOOKUP(Table2634[[#This Row],[Date]],'DB Money Supply'!$A:$D,4)</f>
        <v/>
      </c>
      <c r="C398" s="31">
        <f>(Table2634[[#This Row],[M1 Money Stock, Billions of Dollars, Weekly, Seasonally Adjusted]]-B397)/B397</f>
        <v/>
      </c>
      <c r="D398" s="35">
        <f>((1+Table2634[[#This Row],[Weekly change]])^52)-1</f>
        <v/>
      </c>
      <c r="E398" s="25">
        <f>AVERAGE(B395:B398)</f>
        <v/>
      </c>
      <c r="F398" s="33">
        <f>(Table2634[[#This Row],[4 weeks average]]-B346)/B346</f>
        <v/>
      </c>
    </row>
    <row r="399">
      <c r="A399" s="23" t="n">
        <v>30151</v>
      </c>
      <c r="B399" s="25">
        <f>VLOOKUP(Table2634[[#This Row],[Date]],'DB Money Supply'!$A:$D,4)</f>
        <v/>
      </c>
      <c r="C399" s="31">
        <f>(Table2634[[#This Row],[M1 Money Stock, Billions of Dollars, Weekly, Seasonally Adjusted]]-B398)/B398</f>
        <v/>
      </c>
      <c r="D399" s="35">
        <f>((1+Table2634[[#This Row],[Weekly change]])^52)-1</f>
        <v/>
      </c>
      <c r="E399" s="25">
        <f>AVERAGE(B396:B399)</f>
        <v/>
      </c>
      <c r="F399" s="33">
        <f>(Table2634[[#This Row],[4 weeks average]]-B347)/B347</f>
        <v/>
      </c>
    </row>
    <row r="400">
      <c r="A400" s="23" t="n">
        <v>30158</v>
      </c>
      <c r="B400" s="25">
        <f>VLOOKUP(Table2634[[#This Row],[Date]],'DB Money Supply'!$A:$D,4)</f>
        <v/>
      </c>
      <c r="C400" s="31">
        <f>(Table2634[[#This Row],[M1 Money Stock, Billions of Dollars, Weekly, Seasonally Adjusted]]-B399)/B399</f>
        <v/>
      </c>
      <c r="D400" s="35">
        <f>((1+Table2634[[#This Row],[Weekly change]])^52)-1</f>
        <v/>
      </c>
      <c r="E400" s="25">
        <f>AVERAGE(B397:B400)</f>
        <v/>
      </c>
      <c r="F400" s="33">
        <f>(Table2634[[#This Row],[4 weeks average]]-B348)/B348</f>
        <v/>
      </c>
    </row>
    <row r="401">
      <c r="A401" s="23" t="n">
        <v>30165</v>
      </c>
      <c r="B401" s="25">
        <f>VLOOKUP(Table2634[[#This Row],[Date]],'DB Money Supply'!$A:$D,4)</f>
        <v/>
      </c>
      <c r="C401" s="31">
        <f>(Table2634[[#This Row],[M1 Money Stock, Billions of Dollars, Weekly, Seasonally Adjusted]]-B400)/B400</f>
        <v/>
      </c>
      <c r="D401" s="35">
        <f>((1+Table2634[[#This Row],[Weekly change]])^52)-1</f>
        <v/>
      </c>
      <c r="E401" s="25">
        <f>AVERAGE(B398:B401)</f>
        <v/>
      </c>
      <c r="F401" s="33">
        <f>(Table2634[[#This Row],[4 weeks average]]-B349)/B349</f>
        <v/>
      </c>
    </row>
    <row r="402">
      <c r="A402" s="23" t="n">
        <v>30172</v>
      </c>
      <c r="B402" s="25">
        <f>VLOOKUP(Table2634[[#This Row],[Date]],'DB Money Supply'!$A:$D,4)</f>
        <v/>
      </c>
      <c r="C402" s="31">
        <f>(Table2634[[#This Row],[M1 Money Stock, Billions of Dollars, Weekly, Seasonally Adjusted]]-B401)/B401</f>
        <v/>
      </c>
      <c r="D402" s="35">
        <f>((1+Table2634[[#This Row],[Weekly change]])^52)-1</f>
        <v/>
      </c>
      <c r="E402" s="25">
        <f>AVERAGE(B399:B402)</f>
        <v/>
      </c>
      <c r="F402" s="33">
        <f>(Table2634[[#This Row],[4 weeks average]]-B350)/B350</f>
        <v/>
      </c>
    </row>
    <row r="403">
      <c r="A403" s="23" t="n">
        <v>30179</v>
      </c>
      <c r="B403" s="25">
        <f>VLOOKUP(Table2634[[#This Row],[Date]],'DB Money Supply'!$A:$D,4)</f>
        <v/>
      </c>
      <c r="C403" s="31">
        <f>(Table2634[[#This Row],[M1 Money Stock, Billions of Dollars, Weekly, Seasonally Adjusted]]-B402)/B402</f>
        <v/>
      </c>
      <c r="D403" s="35">
        <f>((1+Table2634[[#This Row],[Weekly change]])^52)-1</f>
        <v/>
      </c>
      <c r="E403" s="25">
        <f>AVERAGE(B400:B403)</f>
        <v/>
      </c>
      <c r="F403" s="33">
        <f>(Table2634[[#This Row],[4 weeks average]]-B351)/B351</f>
        <v/>
      </c>
    </row>
    <row r="404">
      <c r="A404" s="23" t="n">
        <v>30186</v>
      </c>
      <c r="B404" s="25">
        <f>VLOOKUP(Table2634[[#This Row],[Date]],'DB Money Supply'!$A:$D,4)</f>
        <v/>
      </c>
      <c r="C404" s="31">
        <f>(Table2634[[#This Row],[M1 Money Stock, Billions of Dollars, Weekly, Seasonally Adjusted]]-B403)/B403</f>
        <v/>
      </c>
      <c r="D404" s="35">
        <f>((1+Table2634[[#This Row],[Weekly change]])^52)-1</f>
        <v/>
      </c>
      <c r="E404" s="25">
        <f>AVERAGE(B401:B404)</f>
        <v/>
      </c>
      <c r="F404" s="33">
        <f>(Table2634[[#This Row],[4 weeks average]]-B352)/B352</f>
        <v/>
      </c>
    </row>
    <row r="405">
      <c r="A405" s="23" t="n">
        <v>30193</v>
      </c>
      <c r="B405" s="25">
        <f>VLOOKUP(Table2634[[#This Row],[Date]],'DB Money Supply'!$A:$D,4)</f>
        <v/>
      </c>
      <c r="C405" s="31">
        <f>(Table2634[[#This Row],[M1 Money Stock, Billions of Dollars, Weekly, Seasonally Adjusted]]-B404)/B404</f>
        <v/>
      </c>
      <c r="D405" s="35">
        <f>((1+Table2634[[#This Row],[Weekly change]])^52)-1</f>
        <v/>
      </c>
      <c r="E405" s="25">
        <f>AVERAGE(B402:B405)</f>
        <v/>
      </c>
      <c r="F405" s="33">
        <f>(Table2634[[#This Row],[4 weeks average]]-B353)/B353</f>
        <v/>
      </c>
    </row>
    <row r="406">
      <c r="A406" s="23" t="n">
        <v>30200</v>
      </c>
      <c r="B406" s="25">
        <f>VLOOKUP(Table2634[[#This Row],[Date]],'DB Money Supply'!$A:$D,4)</f>
        <v/>
      </c>
      <c r="C406" s="31">
        <f>(Table2634[[#This Row],[M1 Money Stock, Billions of Dollars, Weekly, Seasonally Adjusted]]-B405)/B405</f>
        <v/>
      </c>
      <c r="D406" s="35">
        <f>((1+Table2634[[#This Row],[Weekly change]])^52)-1</f>
        <v/>
      </c>
      <c r="E406" s="25">
        <f>AVERAGE(B403:B406)</f>
        <v/>
      </c>
      <c r="F406" s="33">
        <f>(Table2634[[#This Row],[4 weeks average]]-B354)/B354</f>
        <v/>
      </c>
    </row>
    <row r="407">
      <c r="A407" s="23" t="n">
        <v>30207</v>
      </c>
      <c r="B407" s="25">
        <f>VLOOKUP(Table2634[[#This Row],[Date]],'DB Money Supply'!$A:$D,4)</f>
        <v/>
      </c>
      <c r="C407" s="31">
        <f>(Table2634[[#This Row],[M1 Money Stock, Billions of Dollars, Weekly, Seasonally Adjusted]]-B406)/B406</f>
        <v/>
      </c>
      <c r="D407" s="35">
        <f>((1+Table2634[[#This Row],[Weekly change]])^52)-1</f>
        <v/>
      </c>
      <c r="E407" s="25">
        <f>AVERAGE(B404:B407)</f>
        <v/>
      </c>
      <c r="F407" s="33">
        <f>(Table2634[[#This Row],[4 weeks average]]-B355)/B355</f>
        <v/>
      </c>
    </row>
    <row r="408">
      <c r="A408" s="23" t="n">
        <v>30214</v>
      </c>
      <c r="B408" s="25">
        <f>VLOOKUP(Table2634[[#This Row],[Date]],'DB Money Supply'!$A:$D,4)</f>
        <v/>
      </c>
      <c r="C408" s="31">
        <f>(Table2634[[#This Row],[M1 Money Stock, Billions of Dollars, Weekly, Seasonally Adjusted]]-B407)/B407</f>
        <v/>
      </c>
      <c r="D408" s="35">
        <f>((1+Table2634[[#This Row],[Weekly change]])^52)-1</f>
        <v/>
      </c>
      <c r="E408" s="25">
        <f>AVERAGE(B405:B408)</f>
        <v/>
      </c>
      <c r="F408" s="33">
        <f>(Table2634[[#This Row],[4 weeks average]]-B356)/B356</f>
        <v/>
      </c>
    </row>
    <row r="409">
      <c r="A409" s="23" t="n">
        <v>30221</v>
      </c>
      <c r="B409" s="25">
        <f>VLOOKUP(Table2634[[#This Row],[Date]],'DB Money Supply'!$A:$D,4)</f>
        <v/>
      </c>
      <c r="C409" s="31">
        <f>(Table2634[[#This Row],[M1 Money Stock, Billions of Dollars, Weekly, Seasonally Adjusted]]-B408)/B408</f>
        <v/>
      </c>
      <c r="D409" s="35">
        <f>((1+Table2634[[#This Row],[Weekly change]])^52)-1</f>
        <v/>
      </c>
      <c r="E409" s="25">
        <f>AVERAGE(B406:B409)</f>
        <v/>
      </c>
      <c r="F409" s="33">
        <f>(Table2634[[#This Row],[4 weeks average]]-B357)/B357</f>
        <v/>
      </c>
    </row>
    <row r="410">
      <c r="A410" s="23" t="n">
        <v>30228</v>
      </c>
      <c r="B410" s="25">
        <f>VLOOKUP(Table2634[[#This Row],[Date]],'DB Money Supply'!$A:$D,4)</f>
        <v/>
      </c>
      <c r="C410" s="31">
        <f>(Table2634[[#This Row],[M1 Money Stock, Billions of Dollars, Weekly, Seasonally Adjusted]]-B409)/B409</f>
        <v/>
      </c>
      <c r="D410" s="35">
        <f>((1+Table2634[[#This Row],[Weekly change]])^52)-1</f>
        <v/>
      </c>
      <c r="E410" s="25">
        <f>AVERAGE(B407:B410)</f>
        <v/>
      </c>
      <c r="F410" s="33">
        <f>(Table2634[[#This Row],[4 weeks average]]-B358)/B358</f>
        <v/>
      </c>
    </row>
    <row r="411">
      <c r="A411" s="23" t="n">
        <v>30235</v>
      </c>
      <c r="B411" s="25">
        <f>VLOOKUP(Table2634[[#This Row],[Date]],'DB Money Supply'!$A:$D,4)</f>
        <v/>
      </c>
      <c r="C411" s="31">
        <f>(Table2634[[#This Row],[M1 Money Stock, Billions of Dollars, Weekly, Seasonally Adjusted]]-B410)/B410</f>
        <v/>
      </c>
      <c r="D411" s="35">
        <f>((1+Table2634[[#This Row],[Weekly change]])^52)-1</f>
        <v/>
      </c>
      <c r="E411" s="25">
        <f>AVERAGE(B408:B411)</f>
        <v/>
      </c>
      <c r="F411" s="33">
        <f>(Table2634[[#This Row],[4 weeks average]]-B359)/B359</f>
        <v/>
      </c>
    </row>
    <row r="412">
      <c r="A412" s="23" t="n">
        <v>30242</v>
      </c>
      <c r="B412" s="25">
        <f>VLOOKUP(Table2634[[#This Row],[Date]],'DB Money Supply'!$A:$D,4)</f>
        <v/>
      </c>
      <c r="C412" s="31">
        <f>(Table2634[[#This Row],[M1 Money Stock, Billions of Dollars, Weekly, Seasonally Adjusted]]-B411)/B411</f>
        <v/>
      </c>
      <c r="D412" s="35">
        <f>((1+Table2634[[#This Row],[Weekly change]])^52)-1</f>
        <v/>
      </c>
      <c r="E412" s="25">
        <f>AVERAGE(B409:B412)</f>
        <v/>
      </c>
      <c r="F412" s="33">
        <f>(Table2634[[#This Row],[4 weeks average]]-B360)/B360</f>
        <v/>
      </c>
    </row>
    <row r="413">
      <c r="A413" s="23" t="n">
        <v>30249</v>
      </c>
      <c r="B413" s="25">
        <f>VLOOKUP(Table2634[[#This Row],[Date]],'DB Money Supply'!$A:$D,4)</f>
        <v/>
      </c>
      <c r="C413" s="31">
        <f>(Table2634[[#This Row],[M1 Money Stock, Billions of Dollars, Weekly, Seasonally Adjusted]]-B412)/B412</f>
        <v/>
      </c>
      <c r="D413" s="35">
        <f>((1+Table2634[[#This Row],[Weekly change]])^52)-1</f>
        <v/>
      </c>
      <c r="E413" s="25">
        <f>AVERAGE(B410:B413)</f>
        <v/>
      </c>
      <c r="F413" s="33">
        <f>(Table2634[[#This Row],[4 weeks average]]-B361)/B361</f>
        <v/>
      </c>
    </row>
    <row r="414">
      <c r="A414" s="23" t="n">
        <v>30256</v>
      </c>
      <c r="B414" s="25">
        <f>VLOOKUP(Table2634[[#This Row],[Date]],'DB Money Supply'!$A:$D,4)</f>
        <v/>
      </c>
      <c r="C414" s="31">
        <f>(Table2634[[#This Row],[M1 Money Stock, Billions of Dollars, Weekly, Seasonally Adjusted]]-B413)/B413</f>
        <v/>
      </c>
      <c r="D414" s="35">
        <f>((1+Table2634[[#This Row],[Weekly change]])^52)-1</f>
        <v/>
      </c>
      <c r="E414" s="25">
        <f>AVERAGE(B411:B414)</f>
        <v/>
      </c>
      <c r="F414" s="33">
        <f>(Table2634[[#This Row],[4 weeks average]]-B362)/B362</f>
        <v/>
      </c>
    </row>
    <row r="415">
      <c r="A415" s="23" t="n">
        <v>30263</v>
      </c>
      <c r="B415" s="25">
        <f>VLOOKUP(Table2634[[#This Row],[Date]],'DB Money Supply'!$A:$D,4)</f>
        <v/>
      </c>
      <c r="C415" s="31">
        <f>(Table2634[[#This Row],[M1 Money Stock, Billions of Dollars, Weekly, Seasonally Adjusted]]-B414)/B414</f>
        <v/>
      </c>
      <c r="D415" s="35">
        <f>((1+Table2634[[#This Row],[Weekly change]])^52)-1</f>
        <v/>
      </c>
      <c r="E415" s="25">
        <f>AVERAGE(B412:B415)</f>
        <v/>
      </c>
      <c r="F415" s="33">
        <f>(Table2634[[#This Row],[4 weeks average]]-B363)/B363</f>
        <v/>
      </c>
    </row>
    <row r="416">
      <c r="A416" s="23" t="n">
        <v>30270</v>
      </c>
      <c r="B416" s="25">
        <f>VLOOKUP(Table2634[[#This Row],[Date]],'DB Money Supply'!$A:$D,4)</f>
        <v/>
      </c>
      <c r="C416" s="31">
        <f>(Table2634[[#This Row],[M1 Money Stock, Billions of Dollars, Weekly, Seasonally Adjusted]]-B415)/B415</f>
        <v/>
      </c>
      <c r="D416" s="35">
        <f>((1+Table2634[[#This Row],[Weekly change]])^52)-1</f>
        <v/>
      </c>
      <c r="E416" s="25">
        <f>AVERAGE(B413:B416)</f>
        <v/>
      </c>
      <c r="F416" s="33">
        <f>(Table2634[[#This Row],[4 weeks average]]-B364)/B364</f>
        <v/>
      </c>
    </row>
    <row r="417">
      <c r="A417" s="23" t="n">
        <v>30277</v>
      </c>
      <c r="B417" s="25">
        <f>VLOOKUP(Table2634[[#This Row],[Date]],'DB Money Supply'!$A:$D,4)</f>
        <v/>
      </c>
      <c r="C417" s="31">
        <f>(Table2634[[#This Row],[M1 Money Stock, Billions of Dollars, Weekly, Seasonally Adjusted]]-B416)/B416</f>
        <v/>
      </c>
      <c r="D417" s="35">
        <f>((1+Table2634[[#This Row],[Weekly change]])^52)-1</f>
        <v/>
      </c>
      <c r="E417" s="25">
        <f>AVERAGE(B414:B417)</f>
        <v/>
      </c>
      <c r="F417" s="33">
        <f>(Table2634[[#This Row],[4 weeks average]]-B365)/B365</f>
        <v/>
      </c>
    </row>
    <row r="418">
      <c r="A418" s="23" t="n">
        <v>30284</v>
      </c>
      <c r="B418" s="25">
        <f>VLOOKUP(Table2634[[#This Row],[Date]],'DB Money Supply'!$A:$D,4)</f>
        <v/>
      </c>
      <c r="C418" s="31">
        <f>(Table2634[[#This Row],[M1 Money Stock, Billions of Dollars, Weekly, Seasonally Adjusted]]-B417)/B417</f>
        <v/>
      </c>
      <c r="D418" s="35">
        <f>((1+Table2634[[#This Row],[Weekly change]])^52)-1</f>
        <v/>
      </c>
      <c r="E418" s="25">
        <f>AVERAGE(B415:B418)</f>
        <v/>
      </c>
      <c r="F418" s="33">
        <f>(Table2634[[#This Row],[4 weeks average]]-B366)/B366</f>
        <v/>
      </c>
    </row>
    <row r="419">
      <c r="A419" s="23" t="n">
        <v>30291</v>
      </c>
      <c r="B419" s="25">
        <f>VLOOKUP(Table2634[[#This Row],[Date]],'DB Money Supply'!$A:$D,4)</f>
        <v/>
      </c>
      <c r="C419" s="31">
        <f>(Table2634[[#This Row],[M1 Money Stock, Billions of Dollars, Weekly, Seasonally Adjusted]]-B418)/B418</f>
        <v/>
      </c>
      <c r="D419" s="35">
        <f>((1+Table2634[[#This Row],[Weekly change]])^52)-1</f>
        <v/>
      </c>
      <c r="E419" s="25">
        <f>AVERAGE(B416:B419)</f>
        <v/>
      </c>
      <c r="F419" s="33">
        <f>(Table2634[[#This Row],[4 weeks average]]-B367)/B367</f>
        <v/>
      </c>
    </row>
    <row r="420">
      <c r="A420" s="23" t="n">
        <v>30298</v>
      </c>
      <c r="B420" s="25">
        <f>VLOOKUP(Table2634[[#This Row],[Date]],'DB Money Supply'!$A:$D,4)</f>
        <v/>
      </c>
      <c r="C420" s="31">
        <f>(Table2634[[#This Row],[M1 Money Stock, Billions of Dollars, Weekly, Seasonally Adjusted]]-B419)/B419</f>
        <v/>
      </c>
      <c r="D420" s="35">
        <f>((1+Table2634[[#This Row],[Weekly change]])^52)-1</f>
        <v/>
      </c>
      <c r="E420" s="25">
        <f>AVERAGE(B417:B420)</f>
        <v/>
      </c>
      <c r="F420" s="33">
        <f>(Table2634[[#This Row],[4 weeks average]]-B368)/B368</f>
        <v/>
      </c>
    </row>
    <row r="421">
      <c r="A421" s="23" t="n">
        <v>30305</v>
      </c>
      <c r="B421" s="25">
        <f>VLOOKUP(Table2634[[#This Row],[Date]],'DB Money Supply'!$A:$D,4)</f>
        <v/>
      </c>
      <c r="C421" s="31">
        <f>(Table2634[[#This Row],[M1 Money Stock, Billions of Dollars, Weekly, Seasonally Adjusted]]-B420)/B420</f>
        <v/>
      </c>
      <c r="D421" s="35">
        <f>((1+Table2634[[#This Row],[Weekly change]])^52)-1</f>
        <v/>
      </c>
      <c r="E421" s="25">
        <f>AVERAGE(B418:B421)</f>
        <v/>
      </c>
      <c r="F421" s="33">
        <f>(Table2634[[#This Row],[4 weeks average]]-B369)/B369</f>
        <v/>
      </c>
    </row>
    <row r="422">
      <c r="A422" s="23" t="n">
        <v>30312</v>
      </c>
      <c r="B422" s="25">
        <f>VLOOKUP(Table2634[[#This Row],[Date]],'DB Money Supply'!$A:$D,4)</f>
        <v/>
      </c>
      <c r="C422" s="31">
        <f>(Table2634[[#This Row],[M1 Money Stock, Billions of Dollars, Weekly, Seasonally Adjusted]]-B421)/B421</f>
        <v/>
      </c>
      <c r="D422" s="35">
        <f>((1+Table2634[[#This Row],[Weekly change]])^52)-1</f>
        <v/>
      </c>
      <c r="E422" s="25">
        <f>AVERAGE(B419:B422)</f>
        <v/>
      </c>
      <c r="F422" s="33">
        <f>(Table2634[[#This Row],[4 weeks average]]-B370)/B370</f>
        <v/>
      </c>
    </row>
    <row r="423">
      <c r="A423" s="23" t="n">
        <v>30319</v>
      </c>
      <c r="B423" s="25">
        <f>VLOOKUP(Table2634[[#This Row],[Date]],'DB Money Supply'!$A:$D,4)</f>
        <v/>
      </c>
      <c r="C423" s="31">
        <f>(Table2634[[#This Row],[M1 Money Stock, Billions of Dollars, Weekly, Seasonally Adjusted]]-B422)/B422</f>
        <v/>
      </c>
      <c r="D423" s="35">
        <f>((1+Table2634[[#This Row],[Weekly change]])^52)-1</f>
        <v/>
      </c>
      <c r="E423" s="25">
        <f>AVERAGE(B420:B423)</f>
        <v/>
      </c>
      <c r="F423" s="33">
        <f>(Table2634[[#This Row],[4 weeks average]]-B371)/B371</f>
        <v/>
      </c>
    </row>
    <row r="424">
      <c r="A424" s="23" t="n">
        <v>30326</v>
      </c>
      <c r="B424" s="25">
        <f>VLOOKUP(Table2634[[#This Row],[Date]],'DB Money Supply'!$A:$D,4)</f>
        <v/>
      </c>
      <c r="C424" s="31">
        <f>(Table2634[[#This Row],[M1 Money Stock, Billions of Dollars, Weekly, Seasonally Adjusted]]-B423)/B423</f>
        <v/>
      </c>
      <c r="D424" s="35">
        <f>((1+Table2634[[#This Row],[Weekly change]])^52)-1</f>
        <v/>
      </c>
      <c r="E424" s="25">
        <f>AVERAGE(B421:B424)</f>
        <v/>
      </c>
      <c r="F424" s="33">
        <f>(Table2634[[#This Row],[4 weeks average]]-B372)/B372</f>
        <v/>
      </c>
    </row>
    <row r="425">
      <c r="A425" s="23" t="n">
        <v>30333</v>
      </c>
      <c r="B425" s="25">
        <f>VLOOKUP(Table2634[[#This Row],[Date]],'DB Money Supply'!$A:$D,4)</f>
        <v/>
      </c>
      <c r="C425" s="31">
        <f>(Table2634[[#This Row],[M1 Money Stock, Billions of Dollars, Weekly, Seasonally Adjusted]]-B424)/B424</f>
        <v/>
      </c>
      <c r="D425" s="35">
        <f>((1+Table2634[[#This Row],[Weekly change]])^52)-1</f>
        <v/>
      </c>
      <c r="E425" s="25">
        <f>AVERAGE(B422:B425)</f>
        <v/>
      </c>
      <c r="F425" s="33">
        <f>(Table2634[[#This Row],[4 weeks average]]-B373)/B373</f>
        <v/>
      </c>
    </row>
    <row r="426">
      <c r="A426" s="23" t="n">
        <v>30340</v>
      </c>
      <c r="B426" s="25">
        <f>VLOOKUP(Table2634[[#This Row],[Date]],'DB Money Supply'!$A:$D,4)</f>
        <v/>
      </c>
      <c r="C426" s="31">
        <f>(Table2634[[#This Row],[M1 Money Stock, Billions of Dollars, Weekly, Seasonally Adjusted]]-B425)/B425</f>
        <v/>
      </c>
      <c r="D426" s="35">
        <f>((1+Table2634[[#This Row],[Weekly change]])^52)-1</f>
        <v/>
      </c>
      <c r="E426" s="25">
        <f>AVERAGE(B423:B426)</f>
        <v/>
      </c>
      <c r="F426" s="33">
        <f>(Table2634[[#This Row],[4 weeks average]]-B374)/B374</f>
        <v/>
      </c>
    </row>
    <row r="427">
      <c r="A427" s="23" t="n">
        <v>30347</v>
      </c>
      <c r="B427" s="25">
        <f>VLOOKUP(Table2634[[#This Row],[Date]],'DB Money Supply'!$A:$D,4)</f>
        <v/>
      </c>
      <c r="C427" s="31">
        <f>(Table2634[[#This Row],[M1 Money Stock, Billions of Dollars, Weekly, Seasonally Adjusted]]-B426)/B426</f>
        <v/>
      </c>
      <c r="D427" s="35">
        <f>((1+Table2634[[#This Row],[Weekly change]])^52)-1</f>
        <v/>
      </c>
      <c r="E427" s="25">
        <f>AVERAGE(B424:B427)</f>
        <v/>
      </c>
      <c r="F427" s="33">
        <f>(Table2634[[#This Row],[4 weeks average]]-B375)/B375</f>
        <v/>
      </c>
    </row>
    <row r="428">
      <c r="A428" s="23" t="n">
        <v>30354</v>
      </c>
      <c r="B428" s="25">
        <f>VLOOKUP(Table2634[[#This Row],[Date]],'DB Money Supply'!$A:$D,4)</f>
        <v/>
      </c>
      <c r="C428" s="31">
        <f>(Table2634[[#This Row],[M1 Money Stock, Billions of Dollars, Weekly, Seasonally Adjusted]]-B427)/B427</f>
        <v/>
      </c>
      <c r="D428" s="35">
        <f>((1+Table2634[[#This Row],[Weekly change]])^52)-1</f>
        <v/>
      </c>
      <c r="E428" s="25">
        <f>AVERAGE(B425:B428)</f>
        <v/>
      </c>
      <c r="F428" s="33">
        <f>(Table2634[[#This Row],[4 weeks average]]-B376)/B376</f>
        <v/>
      </c>
    </row>
    <row r="429">
      <c r="A429" s="23" t="n">
        <v>30361</v>
      </c>
      <c r="B429" s="25">
        <f>VLOOKUP(Table2634[[#This Row],[Date]],'DB Money Supply'!$A:$D,4)</f>
        <v/>
      </c>
      <c r="C429" s="31">
        <f>(Table2634[[#This Row],[M1 Money Stock, Billions of Dollars, Weekly, Seasonally Adjusted]]-B428)/B428</f>
        <v/>
      </c>
      <c r="D429" s="35">
        <f>((1+Table2634[[#This Row],[Weekly change]])^52)-1</f>
        <v/>
      </c>
      <c r="E429" s="25">
        <f>AVERAGE(B426:B429)</f>
        <v/>
      </c>
      <c r="F429" s="33">
        <f>(Table2634[[#This Row],[4 weeks average]]-B377)/B377</f>
        <v/>
      </c>
    </row>
    <row r="430">
      <c r="A430" s="23" t="n">
        <v>30368</v>
      </c>
      <c r="B430" s="25">
        <f>VLOOKUP(Table2634[[#This Row],[Date]],'DB Money Supply'!$A:$D,4)</f>
        <v/>
      </c>
      <c r="C430" s="31">
        <f>(Table2634[[#This Row],[M1 Money Stock, Billions of Dollars, Weekly, Seasonally Adjusted]]-B429)/B429</f>
        <v/>
      </c>
      <c r="D430" s="35">
        <f>((1+Table2634[[#This Row],[Weekly change]])^52)-1</f>
        <v/>
      </c>
      <c r="E430" s="25">
        <f>AVERAGE(B427:B430)</f>
        <v/>
      </c>
      <c r="F430" s="33">
        <f>(Table2634[[#This Row],[4 weeks average]]-B378)/B378</f>
        <v/>
      </c>
    </row>
    <row r="431">
      <c r="A431" s="23" t="n">
        <v>30375</v>
      </c>
      <c r="B431" s="25">
        <f>VLOOKUP(Table2634[[#This Row],[Date]],'DB Money Supply'!$A:$D,4)</f>
        <v/>
      </c>
      <c r="C431" s="31">
        <f>(Table2634[[#This Row],[M1 Money Stock, Billions of Dollars, Weekly, Seasonally Adjusted]]-B430)/B430</f>
        <v/>
      </c>
      <c r="D431" s="35">
        <f>((1+Table2634[[#This Row],[Weekly change]])^52)-1</f>
        <v/>
      </c>
      <c r="E431" s="25">
        <f>AVERAGE(B428:B431)</f>
        <v/>
      </c>
      <c r="F431" s="33">
        <f>(Table2634[[#This Row],[4 weeks average]]-B379)/B379</f>
        <v/>
      </c>
    </row>
    <row r="432">
      <c r="A432" s="23" t="n">
        <v>30382</v>
      </c>
      <c r="B432" s="25">
        <f>VLOOKUP(Table2634[[#This Row],[Date]],'DB Money Supply'!$A:$D,4)</f>
        <v/>
      </c>
      <c r="C432" s="31">
        <f>(Table2634[[#This Row],[M1 Money Stock, Billions of Dollars, Weekly, Seasonally Adjusted]]-B431)/B431</f>
        <v/>
      </c>
      <c r="D432" s="35">
        <f>((1+Table2634[[#This Row],[Weekly change]])^52)-1</f>
        <v/>
      </c>
      <c r="E432" s="25">
        <f>AVERAGE(B429:B432)</f>
        <v/>
      </c>
      <c r="F432" s="33">
        <f>(Table2634[[#This Row],[4 weeks average]]-B380)/B380</f>
        <v/>
      </c>
    </row>
    <row r="433">
      <c r="A433" s="23" t="n">
        <v>30389</v>
      </c>
      <c r="B433" s="25">
        <f>VLOOKUP(Table2634[[#This Row],[Date]],'DB Money Supply'!$A:$D,4)</f>
        <v/>
      </c>
      <c r="C433" s="31">
        <f>(Table2634[[#This Row],[M1 Money Stock, Billions of Dollars, Weekly, Seasonally Adjusted]]-B432)/B432</f>
        <v/>
      </c>
      <c r="D433" s="35">
        <f>((1+Table2634[[#This Row],[Weekly change]])^52)-1</f>
        <v/>
      </c>
      <c r="E433" s="25">
        <f>AVERAGE(B430:B433)</f>
        <v/>
      </c>
      <c r="F433" s="33">
        <f>(Table2634[[#This Row],[4 weeks average]]-B381)/B381</f>
        <v/>
      </c>
    </row>
    <row r="434">
      <c r="A434" s="23" t="n">
        <v>30396</v>
      </c>
      <c r="B434" s="25">
        <f>VLOOKUP(Table2634[[#This Row],[Date]],'DB Money Supply'!$A:$D,4)</f>
        <v/>
      </c>
      <c r="C434" s="31">
        <f>(Table2634[[#This Row],[M1 Money Stock, Billions of Dollars, Weekly, Seasonally Adjusted]]-B433)/B433</f>
        <v/>
      </c>
      <c r="D434" s="35">
        <f>((1+Table2634[[#This Row],[Weekly change]])^52)-1</f>
        <v/>
      </c>
      <c r="E434" s="25">
        <f>AVERAGE(B431:B434)</f>
        <v/>
      </c>
      <c r="F434" s="33">
        <f>(Table2634[[#This Row],[4 weeks average]]-B382)/B382</f>
        <v/>
      </c>
    </row>
    <row r="435">
      <c r="A435" s="23" t="n">
        <v>30403</v>
      </c>
      <c r="B435" s="25">
        <f>VLOOKUP(Table2634[[#This Row],[Date]],'DB Money Supply'!$A:$D,4)</f>
        <v/>
      </c>
      <c r="C435" s="31">
        <f>(Table2634[[#This Row],[M1 Money Stock, Billions of Dollars, Weekly, Seasonally Adjusted]]-B434)/B434</f>
        <v/>
      </c>
      <c r="D435" s="35">
        <f>((1+Table2634[[#This Row],[Weekly change]])^52)-1</f>
        <v/>
      </c>
      <c r="E435" s="25">
        <f>AVERAGE(B432:B435)</f>
        <v/>
      </c>
      <c r="F435" s="33">
        <f>(Table2634[[#This Row],[4 weeks average]]-B383)/B383</f>
        <v/>
      </c>
    </row>
    <row r="436">
      <c r="A436" s="23" t="n">
        <v>30410</v>
      </c>
      <c r="B436" s="25">
        <f>VLOOKUP(Table2634[[#This Row],[Date]],'DB Money Supply'!$A:$D,4)</f>
        <v/>
      </c>
      <c r="C436" s="31">
        <f>(Table2634[[#This Row],[M1 Money Stock, Billions of Dollars, Weekly, Seasonally Adjusted]]-B435)/B435</f>
        <v/>
      </c>
      <c r="D436" s="35">
        <f>((1+Table2634[[#This Row],[Weekly change]])^52)-1</f>
        <v/>
      </c>
      <c r="E436" s="25">
        <f>AVERAGE(B433:B436)</f>
        <v/>
      </c>
      <c r="F436" s="33">
        <f>(Table2634[[#This Row],[4 weeks average]]-B384)/B384</f>
        <v/>
      </c>
    </row>
    <row r="437">
      <c r="A437" s="23" t="n">
        <v>30417</v>
      </c>
      <c r="B437" s="25">
        <f>VLOOKUP(Table2634[[#This Row],[Date]],'DB Money Supply'!$A:$D,4)</f>
        <v/>
      </c>
      <c r="C437" s="31">
        <f>(Table2634[[#This Row],[M1 Money Stock, Billions of Dollars, Weekly, Seasonally Adjusted]]-B436)/B436</f>
        <v/>
      </c>
      <c r="D437" s="35">
        <f>((1+Table2634[[#This Row],[Weekly change]])^52)-1</f>
        <v/>
      </c>
      <c r="E437" s="25">
        <f>AVERAGE(B434:B437)</f>
        <v/>
      </c>
      <c r="F437" s="33">
        <f>(Table2634[[#This Row],[4 weeks average]]-B385)/B385</f>
        <v/>
      </c>
    </row>
    <row r="438">
      <c r="A438" s="23" t="n">
        <v>30424</v>
      </c>
      <c r="B438" s="25">
        <f>VLOOKUP(Table2634[[#This Row],[Date]],'DB Money Supply'!$A:$D,4)</f>
        <v/>
      </c>
      <c r="C438" s="31">
        <f>(Table2634[[#This Row],[M1 Money Stock, Billions of Dollars, Weekly, Seasonally Adjusted]]-B437)/B437</f>
        <v/>
      </c>
      <c r="D438" s="35">
        <f>((1+Table2634[[#This Row],[Weekly change]])^52)-1</f>
        <v/>
      </c>
      <c r="E438" s="25">
        <f>AVERAGE(B435:B438)</f>
        <v/>
      </c>
      <c r="F438" s="33">
        <f>(Table2634[[#This Row],[4 weeks average]]-B386)/B386</f>
        <v/>
      </c>
    </row>
    <row r="439">
      <c r="A439" s="23" t="n">
        <v>30431</v>
      </c>
      <c r="B439" s="25">
        <f>VLOOKUP(Table2634[[#This Row],[Date]],'DB Money Supply'!$A:$D,4)</f>
        <v/>
      </c>
      <c r="C439" s="31">
        <f>(Table2634[[#This Row],[M1 Money Stock, Billions of Dollars, Weekly, Seasonally Adjusted]]-B438)/B438</f>
        <v/>
      </c>
      <c r="D439" s="35">
        <f>((1+Table2634[[#This Row],[Weekly change]])^52)-1</f>
        <v/>
      </c>
      <c r="E439" s="25">
        <f>AVERAGE(B436:B439)</f>
        <v/>
      </c>
      <c r="F439" s="33">
        <f>(Table2634[[#This Row],[4 weeks average]]-B387)/B387</f>
        <v/>
      </c>
    </row>
    <row r="440">
      <c r="A440" s="23" t="n">
        <v>30438</v>
      </c>
      <c r="B440" s="25">
        <f>VLOOKUP(Table2634[[#This Row],[Date]],'DB Money Supply'!$A:$D,4)</f>
        <v/>
      </c>
      <c r="C440" s="31">
        <f>(Table2634[[#This Row],[M1 Money Stock, Billions of Dollars, Weekly, Seasonally Adjusted]]-B439)/B439</f>
        <v/>
      </c>
      <c r="D440" s="35">
        <f>((1+Table2634[[#This Row],[Weekly change]])^52)-1</f>
        <v/>
      </c>
      <c r="E440" s="25">
        <f>AVERAGE(B437:B440)</f>
        <v/>
      </c>
      <c r="F440" s="33">
        <f>(Table2634[[#This Row],[4 weeks average]]-B388)/B388</f>
        <v/>
      </c>
    </row>
    <row r="441">
      <c r="A441" s="23" t="n">
        <v>30445</v>
      </c>
      <c r="B441" s="25">
        <f>VLOOKUP(Table2634[[#This Row],[Date]],'DB Money Supply'!$A:$D,4)</f>
        <v/>
      </c>
      <c r="C441" s="31">
        <f>(Table2634[[#This Row],[M1 Money Stock, Billions of Dollars, Weekly, Seasonally Adjusted]]-B440)/B440</f>
        <v/>
      </c>
      <c r="D441" s="35">
        <f>((1+Table2634[[#This Row],[Weekly change]])^52)-1</f>
        <v/>
      </c>
      <c r="E441" s="25">
        <f>AVERAGE(B438:B441)</f>
        <v/>
      </c>
      <c r="F441" s="33">
        <f>(Table2634[[#This Row],[4 weeks average]]-B389)/B389</f>
        <v/>
      </c>
    </row>
    <row r="442">
      <c r="A442" s="23" t="n">
        <v>30452</v>
      </c>
      <c r="B442" s="25">
        <f>VLOOKUP(Table2634[[#This Row],[Date]],'DB Money Supply'!$A:$D,4)</f>
        <v/>
      </c>
      <c r="C442" s="31">
        <f>(Table2634[[#This Row],[M1 Money Stock, Billions of Dollars, Weekly, Seasonally Adjusted]]-B441)/B441</f>
        <v/>
      </c>
      <c r="D442" s="35">
        <f>((1+Table2634[[#This Row],[Weekly change]])^52)-1</f>
        <v/>
      </c>
      <c r="E442" s="25">
        <f>AVERAGE(B439:B442)</f>
        <v/>
      </c>
      <c r="F442" s="33">
        <f>(Table2634[[#This Row],[4 weeks average]]-B390)/B390</f>
        <v/>
      </c>
    </row>
    <row r="443">
      <c r="A443" s="23" t="n">
        <v>30459</v>
      </c>
      <c r="B443" s="25">
        <f>VLOOKUP(Table2634[[#This Row],[Date]],'DB Money Supply'!$A:$D,4)</f>
        <v/>
      </c>
      <c r="C443" s="31">
        <f>(Table2634[[#This Row],[M1 Money Stock, Billions of Dollars, Weekly, Seasonally Adjusted]]-B442)/B442</f>
        <v/>
      </c>
      <c r="D443" s="35">
        <f>((1+Table2634[[#This Row],[Weekly change]])^52)-1</f>
        <v/>
      </c>
      <c r="E443" s="25">
        <f>AVERAGE(B440:B443)</f>
        <v/>
      </c>
      <c r="F443" s="33">
        <f>(Table2634[[#This Row],[4 weeks average]]-B391)/B391</f>
        <v/>
      </c>
    </row>
    <row r="444">
      <c r="A444" s="23" t="n">
        <v>30466</v>
      </c>
      <c r="B444" s="25">
        <f>VLOOKUP(Table2634[[#This Row],[Date]],'DB Money Supply'!$A:$D,4)</f>
        <v/>
      </c>
      <c r="C444" s="31">
        <f>(Table2634[[#This Row],[M1 Money Stock, Billions of Dollars, Weekly, Seasonally Adjusted]]-B443)/B443</f>
        <v/>
      </c>
      <c r="D444" s="35">
        <f>((1+Table2634[[#This Row],[Weekly change]])^52)-1</f>
        <v/>
      </c>
      <c r="E444" s="25">
        <f>AVERAGE(B441:B444)</f>
        <v/>
      </c>
      <c r="F444" s="33">
        <f>(Table2634[[#This Row],[4 weeks average]]-B392)/B392</f>
        <v/>
      </c>
    </row>
    <row r="445">
      <c r="A445" s="23" t="n">
        <v>30473</v>
      </c>
      <c r="B445" s="25">
        <f>VLOOKUP(Table2634[[#This Row],[Date]],'DB Money Supply'!$A:$D,4)</f>
        <v/>
      </c>
      <c r="C445" s="31">
        <f>(Table2634[[#This Row],[M1 Money Stock, Billions of Dollars, Weekly, Seasonally Adjusted]]-B444)/B444</f>
        <v/>
      </c>
      <c r="D445" s="35">
        <f>((1+Table2634[[#This Row],[Weekly change]])^52)-1</f>
        <v/>
      </c>
      <c r="E445" s="25">
        <f>AVERAGE(B442:B445)</f>
        <v/>
      </c>
      <c r="F445" s="33">
        <f>(Table2634[[#This Row],[4 weeks average]]-B393)/B393</f>
        <v/>
      </c>
    </row>
    <row r="446">
      <c r="A446" s="23" t="n">
        <v>30480</v>
      </c>
      <c r="B446" s="25">
        <f>VLOOKUP(Table2634[[#This Row],[Date]],'DB Money Supply'!$A:$D,4)</f>
        <v/>
      </c>
      <c r="C446" s="31">
        <f>(Table2634[[#This Row],[M1 Money Stock, Billions of Dollars, Weekly, Seasonally Adjusted]]-B445)/B445</f>
        <v/>
      </c>
      <c r="D446" s="35">
        <f>((1+Table2634[[#This Row],[Weekly change]])^52)-1</f>
        <v/>
      </c>
      <c r="E446" s="25">
        <f>AVERAGE(B443:B446)</f>
        <v/>
      </c>
      <c r="F446" s="33">
        <f>(Table2634[[#This Row],[4 weeks average]]-B394)/B394</f>
        <v/>
      </c>
    </row>
    <row r="447">
      <c r="A447" s="23" t="n">
        <v>30487</v>
      </c>
      <c r="B447" s="25">
        <f>VLOOKUP(Table2634[[#This Row],[Date]],'DB Money Supply'!$A:$D,4)</f>
        <v/>
      </c>
      <c r="C447" s="31">
        <f>(Table2634[[#This Row],[M1 Money Stock, Billions of Dollars, Weekly, Seasonally Adjusted]]-B446)/B446</f>
        <v/>
      </c>
      <c r="D447" s="35">
        <f>((1+Table2634[[#This Row],[Weekly change]])^52)-1</f>
        <v/>
      </c>
      <c r="E447" s="25">
        <f>AVERAGE(B444:B447)</f>
        <v/>
      </c>
      <c r="F447" s="33">
        <f>(Table2634[[#This Row],[4 weeks average]]-B395)/B395</f>
        <v/>
      </c>
    </row>
    <row r="448">
      <c r="A448" s="23" t="n">
        <v>30494</v>
      </c>
      <c r="B448" s="25">
        <f>VLOOKUP(Table2634[[#This Row],[Date]],'DB Money Supply'!$A:$D,4)</f>
        <v/>
      </c>
      <c r="C448" s="31">
        <f>(Table2634[[#This Row],[M1 Money Stock, Billions of Dollars, Weekly, Seasonally Adjusted]]-B447)/B447</f>
        <v/>
      </c>
      <c r="D448" s="35">
        <f>((1+Table2634[[#This Row],[Weekly change]])^52)-1</f>
        <v/>
      </c>
      <c r="E448" s="25">
        <f>AVERAGE(B445:B448)</f>
        <v/>
      </c>
      <c r="F448" s="33">
        <f>(Table2634[[#This Row],[4 weeks average]]-B396)/B396</f>
        <v/>
      </c>
    </row>
    <row r="449">
      <c r="A449" s="23" t="n">
        <v>30501</v>
      </c>
      <c r="B449" s="25">
        <f>VLOOKUP(Table2634[[#This Row],[Date]],'DB Money Supply'!$A:$D,4)</f>
        <v/>
      </c>
      <c r="C449" s="31">
        <f>(Table2634[[#This Row],[M1 Money Stock, Billions of Dollars, Weekly, Seasonally Adjusted]]-B448)/B448</f>
        <v/>
      </c>
      <c r="D449" s="35">
        <f>((1+Table2634[[#This Row],[Weekly change]])^52)-1</f>
        <v/>
      </c>
      <c r="E449" s="25">
        <f>AVERAGE(B446:B449)</f>
        <v/>
      </c>
      <c r="F449" s="33">
        <f>(Table2634[[#This Row],[4 weeks average]]-B397)/B397</f>
        <v/>
      </c>
    </row>
    <row r="450">
      <c r="A450" s="23" t="n">
        <v>30508</v>
      </c>
      <c r="B450" s="25">
        <f>VLOOKUP(Table2634[[#This Row],[Date]],'DB Money Supply'!$A:$D,4)</f>
        <v/>
      </c>
      <c r="C450" s="31">
        <f>(Table2634[[#This Row],[M1 Money Stock, Billions of Dollars, Weekly, Seasonally Adjusted]]-B449)/B449</f>
        <v/>
      </c>
      <c r="D450" s="35">
        <f>((1+Table2634[[#This Row],[Weekly change]])^52)-1</f>
        <v/>
      </c>
      <c r="E450" s="25">
        <f>AVERAGE(B447:B450)</f>
        <v/>
      </c>
      <c r="F450" s="33">
        <f>(Table2634[[#This Row],[4 weeks average]]-B398)/B398</f>
        <v/>
      </c>
    </row>
    <row r="451">
      <c r="A451" s="23" t="n">
        <v>30515</v>
      </c>
      <c r="B451" s="25">
        <f>VLOOKUP(Table2634[[#This Row],[Date]],'DB Money Supply'!$A:$D,4)</f>
        <v/>
      </c>
      <c r="C451" s="31">
        <f>(Table2634[[#This Row],[M1 Money Stock, Billions of Dollars, Weekly, Seasonally Adjusted]]-B450)/B450</f>
        <v/>
      </c>
      <c r="D451" s="35">
        <f>((1+Table2634[[#This Row],[Weekly change]])^52)-1</f>
        <v/>
      </c>
      <c r="E451" s="25">
        <f>AVERAGE(B448:B451)</f>
        <v/>
      </c>
      <c r="F451" s="33">
        <f>(Table2634[[#This Row],[4 weeks average]]-B399)/B399</f>
        <v/>
      </c>
    </row>
    <row r="452">
      <c r="A452" s="23" t="n">
        <v>30522</v>
      </c>
      <c r="B452" s="25">
        <f>VLOOKUP(Table2634[[#This Row],[Date]],'DB Money Supply'!$A:$D,4)</f>
        <v/>
      </c>
      <c r="C452" s="31">
        <f>(Table2634[[#This Row],[M1 Money Stock, Billions of Dollars, Weekly, Seasonally Adjusted]]-B451)/B451</f>
        <v/>
      </c>
      <c r="D452" s="35">
        <f>((1+Table2634[[#This Row],[Weekly change]])^52)-1</f>
        <v/>
      </c>
      <c r="E452" s="25">
        <f>AVERAGE(B449:B452)</f>
        <v/>
      </c>
      <c r="F452" s="33">
        <f>(Table2634[[#This Row],[4 weeks average]]-B400)/B400</f>
        <v/>
      </c>
    </row>
    <row r="453">
      <c r="A453" s="23" t="n">
        <v>30529</v>
      </c>
      <c r="B453" s="25">
        <f>VLOOKUP(Table2634[[#This Row],[Date]],'DB Money Supply'!$A:$D,4)</f>
        <v/>
      </c>
      <c r="C453" s="31">
        <f>(Table2634[[#This Row],[M1 Money Stock, Billions of Dollars, Weekly, Seasonally Adjusted]]-B452)/B452</f>
        <v/>
      </c>
      <c r="D453" s="35">
        <f>((1+Table2634[[#This Row],[Weekly change]])^52)-1</f>
        <v/>
      </c>
      <c r="E453" s="25">
        <f>AVERAGE(B450:B453)</f>
        <v/>
      </c>
      <c r="F453" s="33">
        <f>(Table2634[[#This Row],[4 weeks average]]-B401)/B401</f>
        <v/>
      </c>
    </row>
    <row r="454">
      <c r="A454" s="23" t="n">
        <v>30536</v>
      </c>
      <c r="B454" s="25">
        <f>VLOOKUP(Table2634[[#This Row],[Date]],'DB Money Supply'!$A:$D,4)</f>
        <v/>
      </c>
      <c r="C454" s="31">
        <f>(Table2634[[#This Row],[M1 Money Stock, Billions of Dollars, Weekly, Seasonally Adjusted]]-B453)/B453</f>
        <v/>
      </c>
      <c r="D454" s="35">
        <f>((1+Table2634[[#This Row],[Weekly change]])^52)-1</f>
        <v/>
      </c>
      <c r="E454" s="25">
        <f>AVERAGE(B451:B454)</f>
        <v/>
      </c>
      <c r="F454" s="33">
        <f>(Table2634[[#This Row],[4 weeks average]]-B402)/B402</f>
        <v/>
      </c>
    </row>
    <row r="455">
      <c r="A455" s="23" t="n">
        <v>30543</v>
      </c>
      <c r="B455" s="25">
        <f>VLOOKUP(Table2634[[#This Row],[Date]],'DB Money Supply'!$A:$D,4)</f>
        <v/>
      </c>
      <c r="C455" s="31">
        <f>(Table2634[[#This Row],[M1 Money Stock, Billions of Dollars, Weekly, Seasonally Adjusted]]-B454)/B454</f>
        <v/>
      </c>
      <c r="D455" s="35">
        <f>((1+Table2634[[#This Row],[Weekly change]])^52)-1</f>
        <v/>
      </c>
      <c r="E455" s="25">
        <f>AVERAGE(B452:B455)</f>
        <v/>
      </c>
      <c r="F455" s="33">
        <f>(Table2634[[#This Row],[4 weeks average]]-B403)/B403</f>
        <v/>
      </c>
    </row>
    <row r="456">
      <c r="A456" s="23" t="n">
        <v>30550</v>
      </c>
      <c r="B456" s="25">
        <f>VLOOKUP(Table2634[[#This Row],[Date]],'DB Money Supply'!$A:$D,4)</f>
        <v/>
      </c>
      <c r="C456" s="31">
        <f>(Table2634[[#This Row],[M1 Money Stock, Billions of Dollars, Weekly, Seasonally Adjusted]]-B455)/B455</f>
        <v/>
      </c>
      <c r="D456" s="35">
        <f>((1+Table2634[[#This Row],[Weekly change]])^52)-1</f>
        <v/>
      </c>
      <c r="E456" s="25">
        <f>AVERAGE(B453:B456)</f>
        <v/>
      </c>
      <c r="F456" s="33">
        <f>(Table2634[[#This Row],[4 weeks average]]-B404)/B404</f>
        <v/>
      </c>
    </row>
    <row r="457">
      <c r="A457" s="23" t="n">
        <v>30557</v>
      </c>
      <c r="B457" s="25">
        <f>VLOOKUP(Table2634[[#This Row],[Date]],'DB Money Supply'!$A:$D,4)</f>
        <v/>
      </c>
      <c r="C457" s="31">
        <f>(Table2634[[#This Row],[M1 Money Stock, Billions of Dollars, Weekly, Seasonally Adjusted]]-B456)/B456</f>
        <v/>
      </c>
      <c r="D457" s="35">
        <f>((1+Table2634[[#This Row],[Weekly change]])^52)-1</f>
        <v/>
      </c>
      <c r="E457" s="25">
        <f>AVERAGE(B454:B457)</f>
        <v/>
      </c>
      <c r="F457" s="33">
        <f>(Table2634[[#This Row],[4 weeks average]]-B405)/B405</f>
        <v/>
      </c>
    </row>
    <row r="458">
      <c r="A458" s="23" t="n">
        <v>30564</v>
      </c>
      <c r="B458" s="25">
        <f>VLOOKUP(Table2634[[#This Row],[Date]],'DB Money Supply'!$A:$D,4)</f>
        <v/>
      </c>
      <c r="C458" s="31">
        <f>(Table2634[[#This Row],[M1 Money Stock, Billions of Dollars, Weekly, Seasonally Adjusted]]-B457)/B457</f>
        <v/>
      </c>
      <c r="D458" s="35">
        <f>((1+Table2634[[#This Row],[Weekly change]])^52)-1</f>
        <v/>
      </c>
      <c r="E458" s="25">
        <f>AVERAGE(B455:B458)</f>
        <v/>
      </c>
      <c r="F458" s="33">
        <f>(Table2634[[#This Row],[4 weeks average]]-B406)/B406</f>
        <v/>
      </c>
    </row>
    <row r="459">
      <c r="A459" s="23" t="n">
        <v>30571</v>
      </c>
      <c r="B459" s="25">
        <f>VLOOKUP(Table2634[[#This Row],[Date]],'DB Money Supply'!$A:$D,4)</f>
        <v/>
      </c>
      <c r="C459" s="31">
        <f>(Table2634[[#This Row],[M1 Money Stock, Billions of Dollars, Weekly, Seasonally Adjusted]]-B458)/B458</f>
        <v/>
      </c>
      <c r="D459" s="35">
        <f>((1+Table2634[[#This Row],[Weekly change]])^52)-1</f>
        <v/>
      </c>
      <c r="E459" s="25">
        <f>AVERAGE(B456:B459)</f>
        <v/>
      </c>
      <c r="F459" s="33">
        <f>(Table2634[[#This Row],[4 weeks average]]-B407)/B407</f>
        <v/>
      </c>
    </row>
    <row r="460">
      <c r="A460" s="23" t="n">
        <v>30578</v>
      </c>
      <c r="B460" s="25">
        <f>VLOOKUP(Table2634[[#This Row],[Date]],'DB Money Supply'!$A:$D,4)</f>
        <v/>
      </c>
      <c r="C460" s="31">
        <f>(Table2634[[#This Row],[M1 Money Stock, Billions of Dollars, Weekly, Seasonally Adjusted]]-B459)/B459</f>
        <v/>
      </c>
      <c r="D460" s="35">
        <f>((1+Table2634[[#This Row],[Weekly change]])^52)-1</f>
        <v/>
      </c>
      <c r="E460" s="25">
        <f>AVERAGE(B457:B460)</f>
        <v/>
      </c>
      <c r="F460" s="33">
        <f>(Table2634[[#This Row],[4 weeks average]]-B408)/B408</f>
        <v/>
      </c>
    </row>
    <row r="461">
      <c r="A461" s="23" t="n">
        <v>30585</v>
      </c>
      <c r="B461" s="25">
        <f>VLOOKUP(Table2634[[#This Row],[Date]],'DB Money Supply'!$A:$D,4)</f>
        <v/>
      </c>
      <c r="C461" s="31">
        <f>(Table2634[[#This Row],[M1 Money Stock, Billions of Dollars, Weekly, Seasonally Adjusted]]-B460)/B460</f>
        <v/>
      </c>
      <c r="D461" s="35">
        <f>((1+Table2634[[#This Row],[Weekly change]])^52)-1</f>
        <v/>
      </c>
      <c r="E461" s="25">
        <f>AVERAGE(B458:B461)</f>
        <v/>
      </c>
      <c r="F461" s="33">
        <f>(Table2634[[#This Row],[4 weeks average]]-B409)/B409</f>
        <v/>
      </c>
    </row>
    <row r="462">
      <c r="A462" s="23" t="n">
        <v>30592</v>
      </c>
      <c r="B462" s="25">
        <f>VLOOKUP(Table2634[[#This Row],[Date]],'DB Money Supply'!$A:$D,4)</f>
        <v/>
      </c>
      <c r="C462" s="31">
        <f>(Table2634[[#This Row],[M1 Money Stock, Billions of Dollars, Weekly, Seasonally Adjusted]]-B461)/B461</f>
        <v/>
      </c>
      <c r="D462" s="35">
        <f>((1+Table2634[[#This Row],[Weekly change]])^52)-1</f>
        <v/>
      </c>
      <c r="E462" s="25">
        <f>AVERAGE(B459:B462)</f>
        <v/>
      </c>
      <c r="F462" s="33">
        <f>(Table2634[[#This Row],[4 weeks average]]-B410)/B410</f>
        <v/>
      </c>
    </row>
    <row r="463">
      <c r="A463" s="23" t="n">
        <v>30599</v>
      </c>
      <c r="B463" s="25">
        <f>VLOOKUP(Table2634[[#This Row],[Date]],'DB Money Supply'!$A:$D,4)</f>
        <v/>
      </c>
      <c r="C463" s="31">
        <f>(Table2634[[#This Row],[M1 Money Stock, Billions of Dollars, Weekly, Seasonally Adjusted]]-B462)/B462</f>
        <v/>
      </c>
      <c r="D463" s="35">
        <f>((1+Table2634[[#This Row],[Weekly change]])^52)-1</f>
        <v/>
      </c>
      <c r="E463" s="25">
        <f>AVERAGE(B460:B463)</f>
        <v/>
      </c>
      <c r="F463" s="33">
        <f>(Table2634[[#This Row],[4 weeks average]]-B411)/B411</f>
        <v/>
      </c>
    </row>
    <row r="464">
      <c r="A464" s="23" t="n">
        <v>30606</v>
      </c>
      <c r="B464" s="25">
        <f>VLOOKUP(Table2634[[#This Row],[Date]],'DB Money Supply'!$A:$D,4)</f>
        <v/>
      </c>
      <c r="C464" s="31">
        <f>(Table2634[[#This Row],[M1 Money Stock, Billions of Dollars, Weekly, Seasonally Adjusted]]-B463)/B463</f>
        <v/>
      </c>
      <c r="D464" s="35">
        <f>((1+Table2634[[#This Row],[Weekly change]])^52)-1</f>
        <v/>
      </c>
      <c r="E464" s="25">
        <f>AVERAGE(B461:B464)</f>
        <v/>
      </c>
      <c r="F464" s="33">
        <f>(Table2634[[#This Row],[4 weeks average]]-B412)/B412</f>
        <v/>
      </c>
    </row>
    <row r="465">
      <c r="A465" s="23" t="n">
        <v>30613</v>
      </c>
      <c r="B465" s="25">
        <f>VLOOKUP(Table2634[[#This Row],[Date]],'DB Money Supply'!$A:$D,4)</f>
        <v/>
      </c>
      <c r="C465" s="31">
        <f>(Table2634[[#This Row],[M1 Money Stock, Billions of Dollars, Weekly, Seasonally Adjusted]]-B464)/B464</f>
        <v/>
      </c>
      <c r="D465" s="35">
        <f>((1+Table2634[[#This Row],[Weekly change]])^52)-1</f>
        <v/>
      </c>
      <c r="E465" s="25">
        <f>AVERAGE(B462:B465)</f>
        <v/>
      </c>
      <c r="F465" s="33">
        <f>(Table2634[[#This Row],[4 weeks average]]-B413)/B413</f>
        <v/>
      </c>
    </row>
    <row r="466">
      <c r="A466" s="23" t="n">
        <v>30620</v>
      </c>
      <c r="B466" s="25">
        <f>VLOOKUP(Table2634[[#This Row],[Date]],'DB Money Supply'!$A:$D,4)</f>
        <v/>
      </c>
      <c r="C466" s="31">
        <f>(Table2634[[#This Row],[M1 Money Stock, Billions of Dollars, Weekly, Seasonally Adjusted]]-B465)/B465</f>
        <v/>
      </c>
      <c r="D466" s="35">
        <f>((1+Table2634[[#This Row],[Weekly change]])^52)-1</f>
        <v/>
      </c>
      <c r="E466" s="25">
        <f>AVERAGE(B463:B466)</f>
        <v/>
      </c>
      <c r="F466" s="33">
        <f>(Table2634[[#This Row],[4 weeks average]]-B414)/B414</f>
        <v/>
      </c>
    </row>
    <row r="467">
      <c r="A467" s="23" t="n">
        <v>30627</v>
      </c>
      <c r="B467" s="25">
        <f>VLOOKUP(Table2634[[#This Row],[Date]],'DB Money Supply'!$A:$D,4)</f>
        <v/>
      </c>
      <c r="C467" s="31">
        <f>(Table2634[[#This Row],[M1 Money Stock, Billions of Dollars, Weekly, Seasonally Adjusted]]-B466)/B466</f>
        <v/>
      </c>
      <c r="D467" s="35">
        <f>((1+Table2634[[#This Row],[Weekly change]])^52)-1</f>
        <v/>
      </c>
      <c r="E467" s="25">
        <f>AVERAGE(B464:B467)</f>
        <v/>
      </c>
      <c r="F467" s="33">
        <f>(Table2634[[#This Row],[4 weeks average]]-B415)/B415</f>
        <v/>
      </c>
    </row>
    <row r="468">
      <c r="A468" s="23" t="n">
        <v>30634</v>
      </c>
      <c r="B468" s="25">
        <f>VLOOKUP(Table2634[[#This Row],[Date]],'DB Money Supply'!$A:$D,4)</f>
        <v/>
      </c>
      <c r="C468" s="31">
        <f>(Table2634[[#This Row],[M1 Money Stock, Billions of Dollars, Weekly, Seasonally Adjusted]]-B467)/B467</f>
        <v/>
      </c>
      <c r="D468" s="35">
        <f>((1+Table2634[[#This Row],[Weekly change]])^52)-1</f>
        <v/>
      </c>
      <c r="E468" s="25">
        <f>AVERAGE(B465:B468)</f>
        <v/>
      </c>
      <c r="F468" s="33">
        <f>(Table2634[[#This Row],[4 weeks average]]-B416)/B416</f>
        <v/>
      </c>
    </row>
    <row r="469">
      <c r="A469" s="23" t="n">
        <v>30641</v>
      </c>
      <c r="B469" s="25">
        <f>VLOOKUP(Table2634[[#This Row],[Date]],'DB Money Supply'!$A:$D,4)</f>
        <v/>
      </c>
      <c r="C469" s="31">
        <f>(Table2634[[#This Row],[M1 Money Stock, Billions of Dollars, Weekly, Seasonally Adjusted]]-B468)/B468</f>
        <v/>
      </c>
      <c r="D469" s="35">
        <f>((1+Table2634[[#This Row],[Weekly change]])^52)-1</f>
        <v/>
      </c>
      <c r="E469" s="25">
        <f>AVERAGE(B466:B469)</f>
        <v/>
      </c>
      <c r="F469" s="33">
        <f>(Table2634[[#This Row],[4 weeks average]]-B417)/B417</f>
        <v/>
      </c>
    </row>
    <row r="470">
      <c r="A470" s="23" t="n">
        <v>30648</v>
      </c>
      <c r="B470" s="25">
        <f>VLOOKUP(Table2634[[#This Row],[Date]],'DB Money Supply'!$A:$D,4)</f>
        <v/>
      </c>
      <c r="C470" s="31">
        <f>(Table2634[[#This Row],[M1 Money Stock, Billions of Dollars, Weekly, Seasonally Adjusted]]-B469)/B469</f>
        <v/>
      </c>
      <c r="D470" s="35">
        <f>((1+Table2634[[#This Row],[Weekly change]])^52)-1</f>
        <v/>
      </c>
      <c r="E470" s="25">
        <f>AVERAGE(B467:B470)</f>
        <v/>
      </c>
      <c r="F470" s="33">
        <f>(Table2634[[#This Row],[4 weeks average]]-B418)/B418</f>
        <v/>
      </c>
    </row>
    <row r="471">
      <c r="A471" s="23" t="n">
        <v>30655</v>
      </c>
      <c r="B471" s="25">
        <f>VLOOKUP(Table2634[[#This Row],[Date]],'DB Money Supply'!$A:$D,4)</f>
        <v/>
      </c>
      <c r="C471" s="31">
        <f>(Table2634[[#This Row],[M1 Money Stock, Billions of Dollars, Weekly, Seasonally Adjusted]]-B470)/B470</f>
        <v/>
      </c>
      <c r="D471" s="35">
        <f>((1+Table2634[[#This Row],[Weekly change]])^52)-1</f>
        <v/>
      </c>
      <c r="E471" s="25">
        <f>AVERAGE(B468:B471)</f>
        <v/>
      </c>
      <c r="F471" s="33">
        <f>(Table2634[[#This Row],[4 weeks average]]-B419)/B419</f>
        <v/>
      </c>
    </row>
    <row r="472">
      <c r="A472" s="23" t="n">
        <v>30662</v>
      </c>
      <c r="B472" s="25">
        <f>VLOOKUP(Table2634[[#This Row],[Date]],'DB Money Supply'!$A:$D,4)</f>
        <v/>
      </c>
      <c r="C472" s="31">
        <f>(Table2634[[#This Row],[M1 Money Stock, Billions of Dollars, Weekly, Seasonally Adjusted]]-B471)/B471</f>
        <v/>
      </c>
      <c r="D472" s="35">
        <f>((1+Table2634[[#This Row],[Weekly change]])^52)-1</f>
        <v/>
      </c>
      <c r="E472" s="25">
        <f>AVERAGE(B469:B472)</f>
        <v/>
      </c>
      <c r="F472" s="33">
        <f>(Table2634[[#This Row],[4 weeks average]]-B420)/B420</f>
        <v/>
      </c>
    </row>
    <row r="473">
      <c r="A473" s="23" t="n">
        <v>30669</v>
      </c>
      <c r="B473" s="25">
        <f>VLOOKUP(Table2634[[#This Row],[Date]],'DB Money Supply'!$A:$D,4)</f>
        <v/>
      </c>
      <c r="C473" s="31">
        <f>(Table2634[[#This Row],[M1 Money Stock, Billions of Dollars, Weekly, Seasonally Adjusted]]-B472)/B472</f>
        <v/>
      </c>
      <c r="D473" s="35">
        <f>((1+Table2634[[#This Row],[Weekly change]])^52)-1</f>
        <v/>
      </c>
      <c r="E473" s="25">
        <f>AVERAGE(B470:B473)</f>
        <v/>
      </c>
      <c r="F473" s="33">
        <f>(Table2634[[#This Row],[4 weeks average]]-B421)/B421</f>
        <v/>
      </c>
    </row>
    <row r="474">
      <c r="A474" s="23" t="n">
        <v>30676</v>
      </c>
      <c r="B474" s="25">
        <f>VLOOKUP(Table2634[[#This Row],[Date]],'DB Money Supply'!$A:$D,4)</f>
        <v/>
      </c>
      <c r="C474" s="31">
        <f>(Table2634[[#This Row],[M1 Money Stock, Billions of Dollars, Weekly, Seasonally Adjusted]]-B473)/B473</f>
        <v/>
      </c>
      <c r="D474" s="35">
        <f>((1+Table2634[[#This Row],[Weekly change]])^52)-1</f>
        <v/>
      </c>
      <c r="E474" s="25">
        <f>AVERAGE(B471:B474)</f>
        <v/>
      </c>
      <c r="F474" s="33">
        <f>(Table2634[[#This Row],[4 weeks average]]-B422)/B422</f>
        <v/>
      </c>
    </row>
    <row r="475">
      <c r="A475" s="23" t="n">
        <v>30683</v>
      </c>
      <c r="B475" s="25">
        <f>VLOOKUP(Table2634[[#This Row],[Date]],'DB Money Supply'!$A:$D,4)</f>
        <v/>
      </c>
      <c r="C475" s="31">
        <f>(Table2634[[#This Row],[M1 Money Stock, Billions of Dollars, Weekly, Seasonally Adjusted]]-B474)/B474</f>
        <v/>
      </c>
      <c r="D475" s="35">
        <f>((1+Table2634[[#This Row],[Weekly change]])^52)-1</f>
        <v/>
      </c>
      <c r="E475" s="25">
        <f>AVERAGE(B472:B475)</f>
        <v/>
      </c>
      <c r="F475" s="33">
        <f>(Table2634[[#This Row],[4 weeks average]]-B423)/B423</f>
        <v/>
      </c>
    </row>
    <row r="476">
      <c r="A476" s="23" t="n">
        <v>30690</v>
      </c>
      <c r="B476" s="25">
        <f>VLOOKUP(Table2634[[#This Row],[Date]],'DB Money Supply'!$A:$D,4)</f>
        <v/>
      </c>
      <c r="C476" s="31">
        <f>(Table2634[[#This Row],[M1 Money Stock, Billions of Dollars, Weekly, Seasonally Adjusted]]-B475)/B475</f>
        <v/>
      </c>
      <c r="D476" s="35">
        <f>((1+Table2634[[#This Row],[Weekly change]])^52)-1</f>
        <v/>
      </c>
      <c r="E476" s="25">
        <f>AVERAGE(B473:B476)</f>
        <v/>
      </c>
      <c r="F476" s="33">
        <f>(Table2634[[#This Row],[4 weeks average]]-B424)/B424</f>
        <v/>
      </c>
    </row>
    <row r="477">
      <c r="A477" s="23" t="n">
        <v>30697</v>
      </c>
      <c r="B477" s="25">
        <f>VLOOKUP(Table2634[[#This Row],[Date]],'DB Money Supply'!$A:$D,4)</f>
        <v/>
      </c>
      <c r="C477" s="31">
        <f>(Table2634[[#This Row],[M1 Money Stock, Billions of Dollars, Weekly, Seasonally Adjusted]]-B476)/B476</f>
        <v/>
      </c>
      <c r="D477" s="35">
        <f>((1+Table2634[[#This Row],[Weekly change]])^52)-1</f>
        <v/>
      </c>
      <c r="E477" s="25">
        <f>AVERAGE(B474:B477)</f>
        <v/>
      </c>
      <c r="F477" s="33">
        <f>(Table2634[[#This Row],[4 weeks average]]-B425)/B425</f>
        <v/>
      </c>
    </row>
    <row r="478">
      <c r="A478" s="23" t="n">
        <v>30704</v>
      </c>
      <c r="B478" s="25">
        <f>VLOOKUP(Table2634[[#This Row],[Date]],'DB Money Supply'!$A:$D,4)</f>
        <v/>
      </c>
      <c r="C478" s="31">
        <f>(Table2634[[#This Row],[M1 Money Stock, Billions of Dollars, Weekly, Seasonally Adjusted]]-B477)/B477</f>
        <v/>
      </c>
      <c r="D478" s="35">
        <f>((1+Table2634[[#This Row],[Weekly change]])^52)-1</f>
        <v/>
      </c>
      <c r="E478" s="25">
        <f>AVERAGE(B475:B478)</f>
        <v/>
      </c>
      <c r="F478" s="33">
        <f>(Table2634[[#This Row],[4 weeks average]]-B426)/B426</f>
        <v/>
      </c>
    </row>
    <row r="479">
      <c r="A479" s="23" t="n">
        <v>30711</v>
      </c>
      <c r="B479" s="25">
        <f>VLOOKUP(Table2634[[#This Row],[Date]],'DB Money Supply'!$A:$D,4)</f>
        <v/>
      </c>
      <c r="C479" s="31">
        <f>(Table2634[[#This Row],[M1 Money Stock, Billions of Dollars, Weekly, Seasonally Adjusted]]-B478)/B478</f>
        <v/>
      </c>
      <c r="D479" s="35">
        <f>((1+Table2634[[#This Row],[Weekly change]])^52)-1</f>
        <v/>
      </c>
      <c r="E479" s="25">
        <f>AVERAGE(B476:B479)</f>
        <v/>
      </c>
      <c r="F479" s="33">
        <f>(Table2634[[#This Row],[4 weeks average]]-B427)/B427</f>
        <v/>
      </c>
    </row>
    <row r="480">
      <c r="A480" s="23" t="n">
        <v>30718</v>
      </c>
      <c r="B480" s="25">
        <f>VLOOKUP(Table2634[[#This Row],[Date]],'DB Money Supply'!$A:$D,4)</f>
        <v/>
      </c>
      <c r="C480" s="31">
        <f>(Table2634[[#This Row],[M1 Money Stock, Billions of Dollars, Weekly, Seasonally Adjusted]]-B479)/B479</f>
        <v/>
      </c>
      <c r="D480" s="35">
        <f>((1+Table2634[[#This Row],[Weekly change]])^52)-1</f>
        <v/>
      </c>
      <c r="E480" s="25">
        <f>AVERAGE(B477:B480)</f>
        <v/>
      </c>
      <c r="F480" s="33">
        <f>(Table2634[[#This Row],[4 weeks average]]-B428)/B428</f>
        <v/>
      </c>
    </row>
    <row r="481">
      <c r="A481" s="23" t="n">
        <v>30725</v>
      </c>
      <c r="B481" s="25">
        <f>VLOOKUP(Table2634[[#This Row],[Date]],'DB Money Supply'!$A:$D,4)</f>
        <v/>
      </c>
      <c r="C481" s="31">
        <f>(Table2634[[#This Row],[M1 Money Stock, Billions of Dollars, Weekly, Seasonally Adjusted]]-B480)/B480</f>
        <v/>
      </c>
      <c r="D481" s="35">
        <f>((1+Table2634[[#This Row],[Weekly change]])^52)-1</f>
        <v/>
      </c>
      <c r="E481" s="25">
        <f>AVERAGE(B478:B481)</f>
        <v/>
      </c>
      <c r="F481" s="33">
        <f>(Table2634[[#This Row],[4 weeks average]]-B429)/B429</f>
        <v/>
      </c>
    </row>
    <row r="482">
      <c r="A482" s="23" t="n">
        <v>30732</v>
      </c>
      <c r="B482" s="25">
        <f>VLOOKUP(Table2634[[#This Row],[Date]],'DB Money Supply'!$A:$D,4)</f>
        <v/>
      </c>
      <c r="C482" s="31">
        <f>(Table2634[[#This Row],[M1 Money Stock, Billions of Dollars, Weekly, Seasonally Adjusted]]-B481)/B481</f>
        <v/>
      </c>
      <c r="D482" s="35">
        <f>((1+Table2634[[#This Row],[Weekly change]])^52)-1</f>
        <v/>
      </c>
      <c r="E482" s="25">
        <f>AVERAGE(B479:B482)</f>
        <v/>
      </c>
      <c r="F482" s="33">
        <f>(Table2634[[#This Row],[4 weeks average]]-B430)/B430</f>
        <v/>
      </c>
    </row>
    <row r="483">
      <c r="A483" s="23" t="n">
        <v>30739</v>
      </c>
      <c r="B483" s="25">
        <f>VLOOKUP(Table2634[[#This Row],[Date]],'DB Money Supply'!$A:$D,4)</f>
        <v/>
      </c>
      <c r="C483" s="31">
        <f>(Table2634[[#This Row],[M1 Money Stock, Billions of Dollars, Weekly, Seasonally Adjusted]]-B482)/B482</f>
        <v/>
      </c>
      <c r="D483" s="35">
        <f>((1+Table2634[[#This Row],[Weekly change]])^52)-1</f>
        <v/>
      </c>
      <c r="E483" s="25">
        <f>AVERAGE(B480:B483)</f>
        <v/>
      </c>
      <c r="F483" s="33">
        <f>(Table2634[[#This Row],[4 weeks average]]-B431)/B431</f>
        <v/>
      </c>
    </row>
    <row r="484">
      <c r="A484" s="23" t="n">
        <v>30746</v>
      </c>
      <c r="B484" s="25">
        <f>VLOOKUP(Table2634[[#This Row],[Date]],'DB Money Supply'!$A:$D,4)</f>
        <v/>
      </c>
      <c r="C484" s="31">
        <f>(Table2634[[#This Row],[M1 Money Stock, Billions of Dollars, Weekly, Seasonally Adjusted]]-B483)/B483</f>
        <v/>
      </c>
      <c r="D484" s="35">
        <f>((1+Table2634[[#This Row],[Weekly change]])^52)-1</f>
        <v/>
      </c>
      <c r="E484" s="25">
        <f>AVERAGE(B481:B484)</f>
        <v/>
      </c>
      <c r="F484" s="33">
        <f>(Table2634[[#This Row],[4 weeks average]]-B432)/B432</f>
        <v/>
      </c>
    </row>
    <row r="485">
      <c r="A485" s="23" t="n">
        <v>30753</v>
      </c>
      <c r="B485" s="25">
        <f>VLOOKUP(Table2634[[#This Row],[Date]],'DB Money Supply'!$A:$D,4)</f>
        <v/>
      </c>
      <c r="C485" s="31">
        <f>(Table2634[[#This Row],[M1 Money Stock, Billions of Dollars, Weekly, Seasonally Adjusted]]-B484)/B484</f>
        <v/>
      </c>
      <c r="D485" s="35">
        <f>((1+Table2634[[#This Row],[Weekly change]])^52)-1</f>
        <v/>
      </c>
      <c r="E485" s="25">
        <f>AVERAGE(B482:B485)</f>
        <v/>
      </c>
      <c r="F485" s="33">
        <f>(Table2634[[#This Row],[4 weeks average]]-B433)/B433</f>
        <v/>
      </c>
    </row>
    <row r="486">
      <c r="A486" s="23" t="n">
        <v>30760</v>
      </c>
      <c r="B486" s="25">
        <f>VLOOKUP(Table2634[[#This Row],[Date]],'DB Money Supply'!$A:$D,4)</f>
        <v/>
      </c>
      <c r="C486" s="31">
        <f>(Table2634[[#This Row],[M1 Money Stock, Billions of Dollars, Weekly, Seasonally Adjusted]]-B485)/B485</f>
        <v/>
      </c>
      <c r="D486" s="35">
        <f>((1+Table2634[[#This Row],[Weekly change]])^52)-1</f>
        <v/>
      </c>
      <c r="E486" s="25">
        <f>AVERAGE(B483:B486)</f>
        <v/>
      </c>
      <c r="F486" s="33">
        <f>(Table2634[[#This Row],[4 weeks average]]-B434)/B434</f>
        <v/>
      </c>
    </row>
    <row r="487">
      <c r="A487" s="23" t="n">
        <v>30767</v>
      </c>
      <c r="B487" s="25">
        <f>VLOOKUP(Table2634[[#This Row],[Date]],'DB Money Supply'!$A:$D,4)</f>
        <v/>
      </c>
      <c r="C487" s="31">
        <f>(Table2634[[#This Row],[M1 Money Stock, Billions of Dollars, Weekly, Seasonally Adjusted]]-B486)/B486</f>
        <v/>
      </c>
      <c r="D487" s="35">
        <f>((1+Table2634[[#This Row],[Weekly change]])^52)-1</f>
        <v/>
      </c>
      <c r="E487" s="25">
        <f>AVERAGE(B484:B487)</f>
        <v/>
      </c>
      <c r="F487" s="33">
        <f>(Table2634[[#This Row],[4 weeks average]]-B435)/B435</f>
        <v/>
      </c>
    </row>
    <row r="488">
      <c r="A488" s="23" t="n">
        <v>30774</v>
      </c>
      <c r="B488" s="25">
        <f>VLOOKUP(Table2634[[#This Row],[Date]],'DB Money Supply'!$A:$D,4)</f>
        <v/>
      </c>
      <c r="C488" s="31">
        <f>(Table2634[[#This Row],[M1 Money Stock, Billions of Dollars, Weekly, Seasonally Adjusted]]-B487)/B487</f>
        <v/>
      </c>
      <c r="D488" s="35">
        <f>((1+Table2634[[#This Row],[Weekly change]])^52)-1</f>
        <v/>
      </c>
      <c r="E488" s="25">
        <f>AVERAGE(B485:B488)</f>
        <v/>
      </c>
      <c r="F488" s="33">
        <f>(Table2634[[#This Row],[4 weeks average]]-B436)/B436</f>
        <v/>
      </c>
    </row>
    <row r="489">
      <c r="A489" s="23" t="n">
        <v>30781</v>
      </c>
      <c r="B489" s="25">
        <f>VLOOKUP(Table2634[[#This Row],[Date]],'DB Money Supply'!$A:$D,4)</f>
        <v/>
      </c>
      <c r="C489" s="31">
        <f>(Table2634[[#This Row],[M1 Money Stock, Billions of Dollars, Weekly, Seasonally Adjusted]]-B488)/B488</f>
        <v/>
      </c>
      <c r="D489" s="35">
        <f>((1+Table2634[[#This Row],[Weekly change]])^52)-1</f>
        <v/>
      </c>
      <c r="E489" s="25">
        <f>AVERAGE(B486:B489)</f>
        <v/>
      </c>
      <c r="F489" s="33">
        <f>(Table2634[[#This Row],[4 weeks average]]-B437)/B437</f>
        <v/>
      </c>
    </row>
    <row r="490">
      <c r="A490" s="23" t="n">
        <v>30788</v>
      </c>
      <c r="B490" s="25">
        <f>VLOOKUP(Table2634[[#This Row],[Date]],'DB Money Supply'!$A:$D,4)</f>
        <v/>
      </c>
      <c r="C490" s="31">
        <f>(Table2634[[#This Row],[M1 Money Stock, Billions of Dollars, Weekly, Seasonally Adjusted]]-B489)/B489</f>
        <v/>
      </c>
      <c r="D490" s="35">
        <f>((1+Table2634[[#This Row],[Weekly change]])^52)-1</f>
        <v/>
      </c>
      <c r="E490" s="25">
        <f>AVERAGE(B487:B490)</f>
        <v/>
      </c>
      <c r="F490" s="33">
        <f>(Table2634[[#This Row],[4 weeks average]]-B438)/B438</f>
        <v/>
      </c>
    </row>
    <row r="491">
      <c r="A491" s="23" t="n">
        <v>30795</v>
      </c>
      <c r="B491" s="25">
        <f>VLOOKUP(Table2634[[#This Row],[Date]],'DB Money Supply'!$A:$D,4)</f>
        <v/>
      </c>
      <c r="C491" s="31">
        <f>(Table2634[[#This Row],[M1 Money Stock, Billions of Dollars, Weekly, Seasonally Adjusted]]-B490)/B490</f>
        <v/>
      </c>
      <c r="D491" s="35">
        <f>((1+Table2634[[#This Row],[Weekly change]])^52)-1</f>
        <v/>
      </c>
      <c r="E491" s="25">
        <f>AVERAGE(B488:B491)</f>
        <v/>
      </c>
      <c r="F491" s="33">
        <f>(Table2634[[#This Row],[4 weeks average]]-B439)/B439</f>
        <v/>
      </c>
    </row>
    <row r="492">
      <c r="A492" s="23" t="n">
        <v>30802</v>
      </c>
      <c r="B492" s="25">
        <f>VLOOKUP(Table2634[[#This Row],[Date]],'DB Money Supply'!$A:$D,4)</f>
        <v/>
      </c>
      <c r="C492" s="31">
        <f>(Table2634[[#This Row],[M1 Money Stock, Billions of Dollars, Weekly, Seasonally Adjusted]]-B491)/B491</f>
        <v/>
      </c>
      <c r="D492" s="35">
        <f>((1+Table2634[[#This Row],[Weekly change]])^52)-1</f>
        <v/>
      </c>
      <c r="E492" s="25">
        <f>AVERAGE(B489:B492)</f>
        <v/>
      </c>
      <c r="F492" s="33">
        <f>(Table2634[[#This Row],[4 weeks average]]-B440)/B440</f>
        <v/>
      </c>
    </row>
    <row r="493">
      <c r="A493" s="23" t="n">
        <v>30809</v>
      </c>
      <c r="B493" s="25">
        <f>VLOOKUP(Table2634[[#This Row],[Date]],'DB Money Supply'!$A:$D,4)</f>
        <v/>
      </c>
      <c r="C493" s="31">
        <f>(Table2634[[#This Row],[M1 Money Stock, Billions of Dollars, Weekly, Seasonally Adjusted]]-B492)/B492</f>
        <v/>
      </c>
      <c r="D493" s="35">
        <f>((1+Table2634[[#This Row],[Weekly change]])^52)-1</f>
        <v/>
      </c>
      <c r="E493" s="25">
        <f>AVERAGE(B490:B493)</f>
        <v/>
      </c>
      <c r="F493" s="33">
        <f>(Table2634[[#This Row],[4 weeks average]]-B441)/B441</f>
        <v/>
      </c>
    </row>
    <row r="494">
      <c r="A494" s="23" t="n">
        <v>30816</v>
      </c>
      <c r="B494" s="25">
        <f>VLOOKUP(Table2634[[#This Row],[Date]],'DB Money Supply'!$A:$D,4)</f>
        <v/>
      </c>
      <c r="C494" s="31">
        <f>(Table2634[[#This Row],[M1 Money Stock, Billions of Dollars, Weekly, Seasonally Adjusted]]-B493)/B493</f>
        <v/>
      </c>
      <c r="D494" s="35">
        <f>((1+Table2634[[#This Row],[Weekly change]])^52)-1</f>
        <v/>
      </c>
      <c r="E494" s="25">
        <f>AVERAGE(B491:B494)</f>
        <v/>
      </c>
      <c r="F494" s="33">
        <f>(Table2634[[#This Row],[4 weeks average]]-B442)/B442</f>
        <v/>
      </c>
    </row>
    <row r="495">
      <c r="A495" s="23" t="n">
        <v>30823</v>
      </c>
      <c r="B495" s="25">
        <f>VLOOKUP(Table2634[[#This Row],[Date]],'DB Money Supply'!$A:$D,4)</f>
        <v/>
      </c>
      <c r="C495" s="31">
        <f>(Table2634[[#This Row],[M1 Money Stock, Billions of Dollars, Weekly, Seasonally Adjusted]]-B494)/B494</f>
        <v/>
      </c>
      <c r="D495" s="35">
        <f>((1+Table2634[[#This Row],[Weekly change]])^52)-1</f>
        <v/>
      </c>
      <c r="E495" s="25">
        <f>AVERAGE(B492:B495)</f>
        <v/>
      </c>
      <c r="F495" s="33">
        <f>(Table2634[[#This Row],[4 weeks average]]-B443)/B443</f>
        <v/>
      </c>
    </row>
    <row r="496">
      <c r="A496" s="23" t="n">
        <v>30830</v>
      </c>
      <c r="B496" s="25">
        <f>VLOOKUP(Table2634[[#This Row],[Date]],'DB Money Supply'!$A:$D,4)</f>
        <v/>
      </c>
      <c r="C496" s="31">
        <f>(Table2634[[#This Row],[M1 Money Stock, Billions of Dollars, Weekly, Seasonally Adjusted]]-B495)/B495</f>
        <v/>
      </c>
      <c r="D496" s="35">
        <f>((1+Table2634[[#This Row],[Weekly change]])^52)-1</f>
        <v/>
      </c>
      <c r="E496" s="25">
        <f>AVERAGE(B493:B496)</f>
        <v/>
      </c>
      <c r="F496" s="33">
        <f>(Table2634[[#This Row],[4 weeks average]]-B444)/B444</f>
        <v/>
      </c>
    </row>
    <row r="497">
      <c r="A497" s="23" t="n">
        <v>30837</v>
      </c>
      <c r="B497" s="25">
        <f>VLOOKUP(Table2634[[#This Row],[Date]],'DB Money Supply'!$A:$D,4)</f>
        <v/>
      </c>
      <c r="C497" s="31">
        <f>(Table2634[[#This Row],[M1 Money Stock, Billions of Dollars, Weekly, Seasonally Adjusted]]-B496)/B496</f>
        <v/>
      </c>
      <c r="D497" s="35">
        <f>((1+Table2634[[#This Row],[Weekly change]])^52)-1</f>
        <v/>
      </c>
      <c r="E497" s="25">
        <f>AVERAGE(B494:B497)</f>
        <v/>
      </c>
      <c r="F497" s="33">
        <f>(Table2634[[#This Row],[4 weeks average]]-B445)/B445</f>
        <v/>
      </c>
    </row>
    <row r="498">
      <c r="A498" s="23" t="n">
        <v>30844</v>
      </c>
      <c r="B498" s="25">
        <f>VLOOKUP(Table2634[[#This Row],[Date]],'DB Money Supply'!$A:$D,4)</f>
        <v/>
      </c>
      <c r="C498" s="31">
        <f>(Table2634[[#This Row],[M1 Money Stock, Billions of Dollars, Weekly, Seasonally Adjusted]]-B497)/B497</f>
        <v/>
      </c>
      <c r="D498" s="35">
        <f>((1+Table2634[[#This Row],[Weekly change]])^52)-1</f>
        <v/>
      </c>
      <c r="E498" s="25">
        <f>AVERAGE(B495:B498)</f>
        <v/>
      </c>
      <c r="F498" s="33">
        <f>(Table2634[[#This Row],[4 weeks average]]-B446)/B446</f>
        <v/>
      </c>
    </row>
    <row r="499">
      <c r="A499" s="23" t="n">
        <v>30851</v>
      </c>
      <c r="B499" s="25">
        <f>VLOOKUP(Table2634[[#This Row],[Date]],'DB Money Supply'!$A:$D,4)</f>
        <v/>
      </c>
      <c r="C499" s="31">
        <f>(Table2634[[#This Row],[M1 Money Stock, Billions of Dollars, Weekly, Seasonally Adjusted]]-B498)/B498</f>
        <v/>
      </c>
      <c r="D499" s="35">
        <f>((1+Table2634[[#This Row],[Weekly change]])^52)-1</f>
        <v/>
      </c>
      <c r="E499" s="25">
        <f>AVERAGE(B496:B499)</f>
        <v/>
      </c>
      <c r="F499" s="33">
        <f>(Table2634[[#This Row],[4 weeks average]]-B447)/B447</f>
        <v/>
      </c>
    </row>
    <row r="500">
      <c r="A500" s="23" t="n">
        <v>30858</v>
      </c>
      <c r="B500" s="25">
        <f>VLOOKUP(Table2634[[#This Row],[Date]],'DB Money Supply'!$A:$D,4)</f>
        <v/>
      </c>
      <c r="C500" s="31">
        <f>(Table2634[[#This Row],[M1 Money Stock, Billions of Dollars, Weekly, Seasonally Adjusted]]-B499)/B499</f>
        <v/>
      </c>
      <c r="D500" s="35">
        <f>((1+Table2634[[#This Row],[Weekly change]])^52)-1</f>
        <v/>
      </c>
      <c r="E500" s="25">
        <f>AVERAGE(B497:B500)</f>
        <v/>
      </c>
      <c r="F500" s="33">
        <f>(Table2634[[#This Row],[4 weeks average]]-B448)/B448</f>
        <v/>
      </c>
    </row>
    <row r="501">
      <c r="A501" s="23" t="n">
        <v>30865</v>
      </c>
      <c r="B501" s="25">
        <f>VLOOKUP(Table2634[[#This Row],[Date]],'DB Money Supply'!$A:$D,4)</f>
        <v/>
      </c>
      <c r="C501" s="31">
        <f>(Table2634[[#This Row],[M1 Money Stock, Billions of Dollars, Weekly, Seasonally Adjusted]]-B500)/B500</f>
        <v/>
      </c>
      <c r="D501" s="35">
        <f>((1+Table2634[[#This Row],[Weekly change]])^52)-1</f>
        <v/>
      </c>
      <c r="E501" s="25">
        <f>AVERAGE(B498:B501)</f>
        <v/>
      </c>
      <c r="F501" s="33">
        <f>(Table2634[[#This Row],[4 weeks average]]-B449)/B449</f>
        <v/>
      </c>
    </row>
    <row r="502">
      <c r="A502" s="23" t="n">
        <v>30872</v>
      </c>
      <c r="B502" s="25">
        <f>VLOOKUP(Table2634[[#This Row],[Date]],'DB Money Supply'!$A:$D,4)</f>
        <v/>
      </c>
      <c r="C502" s="31">
        <f>(Table2634[[#This Row],[M1 Money Stock, Billions of Dollars, Weekly, Seasonally Adjusted]]-B501)/B501</f>
        <v/>
      </c>
      <c r="D502" s="35">
        <f>((1+Table2634[[#This Row],[Weekly change]])^52)-1</f>
        <v/>
      </c>
      <c r="E502" s="25">
        <f>AVERAGE(B499:B502)</f>
        <v/>
      </c>
      <c r="F502" s="33">
        <f>(Table2634[[#This Row],[4 weeks average]]-B450)/B450</f>
        <v/>
      </c>
    </row>
    <row r="503">
      <c r="A503" s="23" t="n">
        <v>30879</v>
      </c>
      <c r="B503" s="25">
        <f>VLOOKUP(Table2634[[#This Row],[Date]],'DB Money Supply'!$A:$D,4)</f>
        <v/>
      </c>
      <c r="C503" s="31">
        <f>(Table2634[[#This Row],[M1 Money Stock, Billions of Dollars, Weekly, Seasonally Adjusted]]-B502)/B502</f>
        <v/>
      </c>
      <c r="D503" s="35">
        <f>((1+Table2634[[#This Row],[Weekly change]])^52)-1</f>
        <v/>
      </c>
      <c r="E503" s="25">
        <f>AVERAGE(B500:B503)</f>
        <v/>
      </c>
      <c r="F503" s="33">
        <f>(Table2634[[#This Row],[4 weeks average]]-B451)/B451</f>
        <v/>
      </c>
    </row>
    <row r="504">
      <c r="A504" s="23" t="n">
        <v>30886</v>
      </c>
      <c r="B504" s="25">
        <f>VLOOKUP(Table2634[[#This Row],[Date]],'DB Money Supply'!$A:$D,4)</f>
        <v/>
      </c>
      <c r="C504" s="31">
        <f>(Table2634[[#This Row],[M1 Money Stock, Billions of Dollars, Weekly, Seasonally Adjusted]]-B503)/B503</f>
        <v/>
      </c>
      <c r="D504" s="35">
        <f>((1+Table2634[[#This Row],[Weekly change]])^52)-1</f>
        <v/>
      </c>
      <c r="E504" s="25">
        <f>AVERAGE(B501:B504)</f>
        <v/>
      </c>
      <c r="F504" s="33">
        <f>(Table2634[[#This Row],[4 weeks average]]-B452)/B452</f>
        <v/>
      </c>
    </row>
    <row r="505">
      <c r="A505" s="23" t="n">
        <v>30893</v>
      </c>
      <c r="B505" s="25">
        <f>VLOOKUP(Table2634[[#This Row],[Date]],'DB Money Supply'!$A:$D,4)</f>
        <v/>
      </c>
      <c r="C505" s="31">
        <f>(Table2634[[#This Row],[M1 Money Stock, Billions of Dollars, Weekly, Seasonally Adjusted]]-B504)/B504</f>
        <v/>
      </c>
      <c r="D505" s="35">
        <f>((1+Table2634[[#This Row],[Weekly change]])^52)-1</f>
        <v/>
      </c>
      <c r="E505" s="25">
        <f>AVERAGE(B502:B505)</f>
        <v/>
      </c>
      <c r="F505" s="33">
        <f>(Table2634[[#This Row],[4 weeks average]]-B453)/B453</f>
        <v/>
      </c>
    </row>
    <row r="506">
      <c r="A506" s="23" t="n">
        <v>30900</v>
      </c>
      <c r="B506" s="25">
        <f>VLOOKUP(Table2634[[#This Row],[Date]],'DB Money Supply'!$A:$D,4)</f>
        <v/>
      </c>
      <c r="C506" s="31">
        <f>(Table2634[[#This Row],[M1 Money Stock, Billions of Dollars, Weekly, Seasonally Adjusted]]-B505)/B505</f>
        <v/>
      </c>
      <c r="D506" s="35">
        <f>((1+Table2634[[#This Row],[Weekly change]])^52)-1</f>
        <v/>
      </c>
      <c r="E506" s="25">
        <f>AVERAGE(B503:B506)</f>
        <v/>
      </c>
      <c r="F506" s="33">
        <f>(Table2634[[#This Row],[4 weeks average]]-B454)/B454</f>
        <v/>
      </c>
    </row>
    <row r="507">
      <c r="A507" s="23" t="n">
        <v>30907</v>
      </c>
      <c r="B507" s="25">
        <f>VLOOKUP(Table2634[[#This Row],[Date]],'DB Money Supply'!$A:$D,4)</f>
        <v/>
      </c>
      <c r="C507" s="31">
        <f>(Table2634[[#This Row],[M1 Money Stock, Billions of Dollars, Weekly, Seasonally Adjusted]]-B506)/B506</f>
        <v/>
      </c>
      <c r="D507" s="35">
        <f>((1+Table2634[[#This Row],[Weekly change]])^52)-1</f>
        <v/>
      </c>
      <c r="E507" s="25">
        <f>AVERAGE(B504:B507)</f>
        <v/>
      </c>
      <c r="F507" s="33">
        <f>(Table2634[[#This Row],[4 weeks average]]-B455)/B455</f>
        <v/>
      </c>
    </row>
    <row r="508">
      <c r="A508" s="23" t="n">
        <v>30914</v>
      </c>
      <c r="B508" s="25">
        <f>VLOOKUP(Table2634[[#This Row],[Date]],'DB Money Supply'!$A:$D,4)</f>
        <v/>
      </c>
      <c r="C508" s="31">
        <f>(Table2634[[#This Row],[M1 Money Stock, Billions of Dollars, Weekly, Seasonally Adjusted]]-B507)/B507</f>
        <v/>
      </c>
      <c r="D508" s="35">
        <f>((1+Table2634[[#This Row],[Weekly change]])^52)-1</f>
        <v/>
      </c>
      <c r="E508" s="25">
        <f>AVERAGE(B505:B508)</f>
        <v/>
      </c>
      <c r="F508" s="33">
        <f>(Table2634[[#This Row],[4 weeks average]]-B456)/B456</f>
        <v/>
      </c>
    </row>
    <row r="509">
      <c r="A509" s="23" t="n">
        <v>30921</v>
      </c>
      <c r="B509" s="25">
        <f>VLOOKUP(Table2634[[#This Row],[Date]],'DB Money Supply'!$A:$D,4)</f>
        <v/>
      </c>
      <c r="C509" s="31">
        <f>(Table2634[[#This Row],[M1 Money Stock, Billions of Dollars, Weekly, Seasonally Adjusted]]-B508)/B508</f>
        <v/>
      </c>
      <c r="D509" s="35">
        <f>((1+Table2634[[#This Row],[Weekly change]])^52)-1</f>
        <v/>
      </c>
      <c r="E509" s="25">
        <f>AVERAGE(B506:B509)</f>
        <v/>
      </c>
      <c r="F509" s="33">
        <f>(Table2634[[#This Row],[4 weeks average]]-B457)/B457</f>
        <v/>
      </c>
    </row>
    <row r="510">
      <c r="A510" s="23" t="n">
        <v>30928</v>
      </c>
      <c r="B510" s="25">
        <f>VLOOKUP(Table2634[[#This Row],[Date]],'DB Money Supply'!$A:$D,4)</f>
        <v/>
      </c>
      <c r="C510" s="31">
        <f>(Table2634[[#This Row],[M1 Money Stock, Billions of Dollars, Weekly, Seasonally Adjusted]]-B509)/B509</f>
        <v/>
      </c>
      <c r="D510" s="35">
        <f>((1+Table2634[[#This Row],[Weekly change]])^52)-1</f>
        <v/>
      </c>
      <c r="E510" s="25">
        <f>AVERAGE(B507:B510)</f>
        <v/>
      </c>
      <c r="F510" s="33">
        <f>(Table2634[[#This Row],[4 weeks average]]-B458)/B458</f>
        <v/>
      </c>
    </row>
    <row r="511">
      <c r="A511" s="23" t="n">
        <v>30935</v>
      </c>
      <c r="B511" s="25">
        <f>VLOOKUP(Table2634[[#This Row],[Date]],'DB Money Supply'!$A:$D,4)</f>
        <v/>
      </c>
      <c r="C511" s="31">
        <f>(Table2634[[#This Row],[M1 Money Stock, Billions of Dollars, Weekly, Seasonally Adjusted]]-B510)/B510</f>
        <v/>
      </c>
      <c r="D511" s="35">
        <f>((1+Table2634[[#This Row],[Weekly change]])^52)-1</f>
        <v/>
      </c>
      <c r="E511" s="25">
        <f>AVERAGE(B508:B511)</f>
        <v/>
      </c>
      <c r="F511" s="33">
        <f>(Table2634[[#This Row],[4 weeks average]]-B459)/B459</f>
        <v/>
      </c>
    </row>
    <row r="512">
      <c r="A512" s="23" t="n">
        <v>30942</v>
      </c>
      <c r="B512" s="25">
        <f>VLOOKUP(Table2634[[#This Row],[Date]],'DB Money Supply'!$A:$D,4)</f>
        <v/>
      </c>
      <c r="C512" s="31">
        <f>(Table2634[[#This Row],[M1 Money Stock, Billions of Dollars, Weekly, Seasonally Adjusted]]-B511)/B511</f>
        <v/>
      </c>
      <c r="D512" s="35">
        <f>((1+Table2634[[#This Row],[Weekly change]])^52)-1</f>
        <v/>
      </c>
      <c r="E512" s="25">
        <f>AVERAGE(B509:B512)</f>
        <v/>
      </c>
      <c r="F512" s="33">
        <f>(Table2634[[#This Row],[4 weeks average]]-B460)/B460</f>
        <v/>
      </c>
    </row>
    <row r="513">
      <c r="A513" s="23" t="n">
        <v>30949</v>
      </c>
      <c r="B513" s="25">
        <f>VLOOKUP(Table2634[[#This Row],[Date]],'DB Money Supply'!$A:$D,4)</f>
        <v/>
      </c>
      <c r="C513" s="31">
        <f>(Table2634[[#This Row],[M1 Money Stock, Billions of Dollars, Weekly, Seasonally Adjusted]]-B512)/B512</f>
        <v/>
      </c>
      <c r="D513" s="35">
        <f>((1+Table2634[[#This Row],[Weekly change]])^52)-1</f>
        <v/>
      </c>
      <c r="E513" s="25">
        <f>AVERAGE(B510:B513)</f>
        <v/>
      </c>
      <c r="F513" s="33">
        <f>(Table2634[[#This Row],[4 weeks average]]-B461)/B461</f>
        <v/>
      </c>
    </row>
    <row r="514">
      <c r="A514" s="23" t="n">
        <v>30956</v>
      </c>
      <c r="B514" s="25">
        <f>VLOOKUP(Table2634[[#This Row],[Date]],'DB Money Supply'!$A:$D,4)</f>
        <v/>
      </c>
      <c r="C514" s="31">
        <f>(Table2634[[#This Row],[M1 Money Stock, Billions of Dollars, Weekly, Seasonally Adjusted]]-B513)/B513</f>
        <v/>
      </c>
      <c r="D514" s="35">
        <f>((1+Table2634[[#This Row],[Weekly change]])^52)-1</f>
        <v/>
      </c>
      <c r="E514" s="25">
        <f>AVERAGE(B511:B514)</f>
        <v/>
      </c>
      <c r="F514" s="33">
        <f>(Table2634[[#This Row],[4 weeks average]]-B462)/B462</f>
        <v/>
      </c>
    </row>
    <row r="515">
      <c r="A515" s="23" t="n">
        <v>30963</v>
      </c>
      <c r="B515" s="25">
        <f>VLOOKUP(Table2634[[#This Row],[Date]],'DB Money Supply'!$A:$D,4)</f>
        <v/>
      </c>
      <c r="C515" s="31">
        <f>(Table2634[[#This Row],[M1 Money Stock, Billions of Dollars, Weekly, Seasonally Adjusted]]-B514)/B514</f>
        <v/>
      </c>
      <c r="D515" s="35">
        <f>((1+Table2634[[#This Row],[Weekly change]])^52)-1</f>
        <v/>
      </c>
      <c r="E515" s="25">
        <f>AVERAGE(B512:B515)</f>
        <v/>
      </c>
      <c r="F515" s="33">
        <f>(Table2634[[#This Row],[4 weeks average]]-B463)/B463</f>
        <v/>
      </c>
    </row>
    <row r="516">
      <c r="A516" s="23" t="n">
        <v>30970</v>
      </c>
      <c r="B516" s="25">
        <f>VLOOKUP(Table2634[[#This Row],[Date]],'DB Money Supply'!$A:$D,4)</f>
        <v/>
      </c>
      <c r="C516" s="31">
        <f>(Table2634[[#This Row],[M1 Money Stock, Billions of Dollars, Weekly, Seasonally Adjusted]]-B515)/B515</f>
        <v/>
      </c>
      <c r="D516" s="35">
        <f>((1+Table2634[[#This Row],[Weekly change]])^52)-1</f>
        <v/>
      </c>
      <c r="E516" s="25">
        <f>AVERAGE(B513:B516)</f>
        <v/>
      </c>
      <c r="F516" s="33">
        <f>(Table2634[[#This Row],[4 weeks average]]-B464)/B464</f>
        <v/>
      </c>
    </row>
    <row r="517">
      <c r="A517" s="23" t="n">
        <v>30977</v>
      </c>
      <c r="B517" s="25">
        <f>VLOOKUP(Table2634[[#This Row],[Date]],'DB Money Supply'!$A:$D,4)</f>
        <v/>
      </c>
      <c r="C517" s="31">
        <f>(Table2634[[#This Row],[M1 Money Stock, Billions of Dollars, Weekly, Seasonally Adjusted]]-B516)/B516</f>
        <v/>
      </c>
      <c r="D517" s="35">
        <f>((1+Table2634[[#This Row],[Weekly change]])^52)-1</f>
        <v/>
      </c>
      <c r="E517" s="25">
        <f>AVERAGE(B514:B517)</f>
        <v/>
      </c>
      <c r="F517" s="33">
        <f>(Table2634[[#This Row],[4 weeks average]]-B465)/B465</f>
        <v/>
      </c>
    </row>
    <row r="518">
      <c r="A518" s="23" t="n">
        <v>30984</v>
      </c>
      <c r="B518" s="25">
        <f>VLOOKUP(Table2634[[#This Row],[Date]],'DB Money Supply'!$A:$D,4)</f>
        <v/>
      </c>
      <c r="C518" s="31">
        <f>(Table2634[[#This Row],[M1 Money Stock, Billions of Dollars, Weekly, Seasonally Adjusted]]-B517)/B517</f>
        <v/>
      </c>
      <c r="D518" s="35">
        <f>((1+Table2634[[#This Row],[Weekly change]])^52)-1</f>
        <v/>
      </c>
      <c r="E518" s="25">
        <f>AVERAGE(B515:B518)</f>
        <v/>
      </c>
      <c r="F518" s="33">
        <f>(Table2634[[#This Row],[4 weeks average]]-B466)/B466</f>
        <v/>
      </c>
    </row>
    <row r="519">
      <c r="A519" s="23" t="n">
        <v>30991</v>
      </c>
      <c r="B519" s="25">
        <f>VLOOKUP(Table2634[[#This Row],[Date]],'DB Money Supply'!$A:$D,4)</f>
        <v/>
      </c>
      <c r="C519" s="31">
        <f>(Table2634[[#This Row],[M1 Money Stock, Billions of Dollars, Weekly, Seasonally Adjusted]]-B518)/B518</f>
        <v/>
      </c>
      <c r="D519" s="35">
        <f>((1+Table2634[[#This Row],[Weekly change]])^52)-1</f>
        <v/>
      </c>
      <c r="E519" s="25">
        <f>AVERAGE(B516:B519)</f>
        <v/>
      </c>
      <c r="F519" s="33">
        <f>(Table2634[[#This Row],[4 weeks average]]-B467)/B467</f>
        <v/>
      </c>
    </row>
    <row r="520">
      <c r="A520" s="23" t="n">
        <v>30998</v>
      </c>
      <c r="B520" s="25">
        <f>VLOOKUP(Table2634[[#This Row],[Date]],'DB Money Supply'!$A:$D,4)</f>
        <v/>
      </c>
      <c r="C520" s="31">
        <f>(Table2634[[#This Row],[M1 Money Stock, Billions of Dollars, Weekly, Seasonally Adjusted]]-B519)/B519</f>
        <v/>
      </c>
      <c r="D520" s="35">
        <f>((1+Table2634[[#This Row],[Weekly change]])^52)-1</f>
        <v/>
      </c>
      <c r="E520" s="25">
        <f>AVERAGE(B517:B520)</f>
        <v/>
      </c>
      <c r="F520" s="33">
        <f>(Table2634[[#This Row],[4 weeks average]]-B468)/B468</f>
        <v/>
      </c>
    </row>
    <row r="521">
      <c r="A521" s="23" t="n">
        <v>31005</v>
      </c>
      <c r="B521" s="25">
        <f>VLOOKUP(Table2634[[#This Row],[Date]],'DB Money Supply'!$A:$D,4)</f>
        <v/>
      </c>
      <c r="C521" s="31">
        <f>(Table2634[[#This Row],[M1 Money Stock, Billions of Dollars, Weekly, Seasonally Adjusted]]-B520)/B520</f>
        <v/>
      </c>
      <c r="D521" s="35">
        <f>((1+Table2634[[#This Row],[Weekly change]])^52)-1</f>
        <v/>
      </c>
      <c r="E521" s="25">
        <f>AVERAGE(B518:B521)</f>
        <v/>
      </c>
      <c r="F521" s="33">
        <f>(Table2634[[#This Row],[4 weeks average]]-B469)/B469</f>
        <v/>
      </c>
    </row>
    <row r="522">
      <c r="A522" s="23" t="n">
        <v>31012</v>
      </c>
      <c r="B522" s="25">
        <f>VLOOKUP(Table2634[[#This Row],[Date]],'DB Money Supply'!$A:$D,4)</f>
        <v/>
      </c>
      <c r="C522" s="31">
        <f>(Table2634[[#This Row],[M1 Money Stock, Billions of Dollars, Weekly, Seasonally Adjusted]]-B521)/B521</f>
        <v/>
      </c>
      <c r="D522" s="35">
        <f>((1+Table2634[[#This Row],[Weekly change]])^52)-1</f>
        <v/>
      </c>
      <c r="E522" s="25">
        <f>AVERAGE(B519:B522)</f>
        <v/>
      </c>
      <c r="F522" s="33">
        <f>(Table2634[[#This Row],[4 weeks average]]-B470)/B470</f>
        <v/>
      </c>
    </row>
    <row r="523">
      <c r="A523" s="23" t="n">
        <v>31019</v>
      </c>
      <c r="B523" s="25">
        <f>VLOOKUP(Table2634[[#This Row],[Date]],'DB Money Supply'!$A:$D,4)</f>
        <v/>
      </c>
      <c r="C523" s="31">
        <f>(Table2634[[#This Row],[M1 Money Stock, Billions of Dollars, Weekly, Seasonally Adjusted]]-B522)/B522</f>
        <v/>
      </c>
      <c r="D523" s="35">
        <f>((1+Table2634[[#This Row],[Weekly change]])^52)-1</f>
        <v/>
      </c>
      <c r="E523" s="25">
        <f>AVERAGE(B520:B523)</f>
        <v/>
      </c>
      <c r="F523" s="33">
        <f>(Table2634[[#This Row],[4 weeks average]]-B471)/B471</f>
        <v/>
      </c>
    </row>
    <row r="524">
      <c r="A524" s="23" t="n">
        <v>31026</v>
      </c>
      <c r="B524" s="25">
        <f>VLOOKUP(Table2634[[#This Row],[Date]],'DB Money Supply'!$A:$D,4)</f>
        <v/>
      </c>
      <c r="C524" s="31">
        <f>(Table2634[[#This Row],[M1 Money Stock, Billions of Dollars, Weekly, Seasonally Adjusted]]-B523)/B523</f>
        <v/>
      </c>
      <c r="D524" s="35">
        <f>((1+Table2634[[#This Row],[Weekly change]])^52)-1</f>
        <v/>
      </c>
      <c r="E524" s="25">
        <f>AVERAGE(B521:B524)</f>
        <v/>
      </c>
      <c r="F524" s="33">
        <f>(Table2634[[#This Row],[4 weeks average]]-B472)/B472</f>
        <v/>
      </c>
    </row>
    <row r="525">
      <c r="A525" s="23" t="n">
        <v>31033</v>
      </c>
      <c r="B525" s="25">
        <f>VLOOKUP(Table2634[[#This Row],[Date]],'DB Money Supply'!$A:$D,4)</f>
        <v/>
      </c>
      <c r="C525" s="31">
        <f>(Table2634[[#This Row],[M1 Money Stock, Billions of Dollars, Weekly, Seasonally Adjusted]]-B524)/B524</f>
        <v/>
      </c>
      <c r="D525" s="35">
        <f>((1+Table2634[[#This Row],[Weekly change]])^52)-1</f>
        <v/>
      </c>
      <c r="E525" s="25">
        <f>AVERAGE(B522:B525)</f>
        <v/>
      </c>
      <c r="F525" s="33">
        <f>(Table2634[[#This Row],[4 weeks average]]-B473)/B473</f>
        <v/>
      </c>
    </row>
    <row r="526">
      <c r="A526" s="23" t="n">
        <v>31040</v>
      </c>
      <c r="B526" s="25">
        <f>VLOOKUP(Table2634[[#This Row],[Date]],'DB Money Supply'!$A:$D,4)</f>
        <v/>
      </c>
      <c r="C526" s="31">
        <f>(Table2634[[#This Row],[M1 Money Stock, Billions of Dollars, Weekly, Seasonally Adjusted]]-B525)/B525</f>
        <v/>
      </c>
      <c r="D526" s="35">
        <f>((1+Table2634[[#This Row],[Weekly change]])^52)-1</f>
        <v/>
      </c>
      <c r="E526" s="25">
        <f>AVERAGE(B523:B526)</f>
        <v/>
      </c>
      <c r="F526" s="33">
        <f>(Table2634[[#This Row],[4 weeks average]]-B474)/B474</f>
        <v/>
      </c>
    </row>
    <row r="527">
      <c r="A527" s="23" t="n">
        <v>31047</v>
      </c>
      <c r="B527" s="25">
        <f>VLOOKUP(Table2634[[#This Row],[Date]],'DB Money Supply'!$A:$D,4)</f>
        <v/>
      </c>
      <c r="C527" s="31">
        <f>(Table2634[[#This Row],[M1 Money Stock, Billions of Dollars, Weekly, Seasonally Adjusted]]-B526)/B526</f>
        <v/>
      </c>
      <c r="D527" s="35">
        <f>((1+Table2634[[#This Row],[Weekly change]])^52)-1</f>
        <v/>
      </c>
      <c r="E527" s="25">
        <f>AVERAGE(B524:B527)</f>
        <v/>
      </c>
      <c r="F527" s="33">
        <f>(Table2634[[#This Row],[4 weeks average]]-B475)/B475</f>
        <v/>
      </c>
    </row>
    <row r="528">
      <c r="A528" s="23" t="n">
        <v>31054</v>
      </c>
      <c r="B528" s="25">
        <f>VLOOKUP(Table2634[[#This Row],[Date]],'DB Money Supply'!$A:$D,4)</f>
        <v/>
      </c>
      <c r="C528" s="31">
        <f>(Table2634[[#This Row],[M1 Money Stock, Billions of Dollars, Weekly, Seasonally Adjusted]]-B527)/B527</f>
        <v/>
      </c>
      <c r="D528" s="35">
        <f>((1+Table2634[[#This Row],[Weekly change]])^52)-1</f>
        <v/>
      </c>
      <c r="E528" s="25">
        <f>AVERAGE(B525:B528)</f>
        <v/>
      </c>
      <c r="F528" s="33">
        <f>(Table2634[[#This Row],[4 weeks average]]-B476)/B476</f>
        <v/>
      </c>
    </row>
    <row r="529">
      <c r="A529" s="23" t="n">
        <v>31061</v>
      </c>
      <c r="B529" s="25">
        <f>VLOOKUP(Table2634[[#This Row],[Date]],'DB Money Supply'!$A:$D,4)</f>
        <v/>
      </c>
      <c r="C529" s="31">
        <f>(Table2634[[#This Row],[M1 Money Stock, Billions of Dollars, Weekly, Seasonally Adjusted]]-B528)/B528</f>
        <v/>
      </c>
      <c r="D529" s="35">
        <f>((1+Table2634[[#This Row],[Weekly change]])^52)-1</f>
        <v/>
      </c>
      <c r="E529" s="25">
        <f>AVERAGE(B526:B529)</f>
        <v/>
      </c>
      <c r="F529" s="33">
        <f>(Table2634[[#This Row],[4 weeks average]]-B477)/B477</f>
        <v/>
      </c>
    </row>
    <row r="530">
      <c r="A530" s="23" t="n">
        <v>31068</v>
      </c>
      <c r="B530" s="25">
        <f>VLOOKUP(Table2634[[#This Row],[Date]],'DB Money Supply'!$A:$D,4)</f>
        <v/>
      </c>
      <c r="C530" s="31">
        <f>(Table2634[[#This Row],[M1 Money Stock, Billions of Dollars, Weekly, Seasonally Adjusted]]-B529)/B529</f>
        <v/>
      </c>
      <c r="D530" s="35">
        <f>((1+Table2634[[#This Row],[Weekly change]])^52)-1</f>
        <v/>
      </c>
      <c r="E530" s="25">
        <f>AVERAGE(B527:B530)</f>
        <v/>
      </c>
      <c r="F530" s="33">
        <f>(Table2634[[#This Row],[4 weeks average]]-B478)/B478</f>
        <v/>
      </c>
    </row>
    <row r="531">
      <c r="A531" s="23" t="n">
        <v>31075</v>
      </c>
      <c r="B531" s="25">
        <f>VLOOKUP(Table2634[[#This Row],[Date]],'DB Money Supply'!$A:$D,4)</f>
        <v/>
      </c>
      <c r="C531" s="31">
        <f>(Table2634[[#This Row],[M1 Money Stock, Billions of Dollars, Weekly, Seasonally Adjusted]]-B530)/B530</f>
        <v/>
      </c>
      <c r="D531" s="35">
        <f>((1+Table2634[[#This Row],[Weekly change]])^52)-1</f>
        <v/>
      </c>
      <c r="E531" s="25">
        <f>AVERAGE(B528:B531)</f>
        <v/>
      </c>
      <c r="F531" s="33">
        <f>(Table2634[[#This Row],[4 weeks average]]-B479)/B479</f>
        <v/>
      </c>
    </row>
    <row r="532">
      <c r="A532" s="23" t="n">
        <v>31082</v>
      </c>
      <c r="B532" s="25">
        <f>VLOOKUP(Table2634[[#This Row],[Date]],'DB Money Supply'!$A:$D,4)</f>
        <v/>
      </c>
      <c r="C532" s="31">
        <f>(Table2634[[#This Row],[M1 Money Stock, Billions of Dollars, Weekly, Seasonally Adjusted]]-B531)/B531</f>
        <v/>
      </c>
      <c r="D532" s="35">
        <f>((1+Table2634[[#This Row],[Weekly change]])^52)-1</f>
        <v/>
      </c>
      <c r="E532" s="25">
        <f>AVERAGE(B529:B532)</f>
        <v/>
      </c>
      <c r="F532" s="33">
        <f>(Table2634[[#This Row],[4 weeks average]]-B480)/B480</f>
        <v/>
      </c>
    </row>
    <row r="533">
      <c r="A533" s="23" t="n">
        <v>31089</v>
      </c>
      <c r="B533" s="25">
        <f>VLOOKUP(Table2634[[#This Row],[Date]],'DB Money Supply'!$A:$D,4)</f>
        <v/>
      </c>
      <c r="C533" s="31">
        <f>(Table2634[[#This Row],[M1 Money Stock, Billions of Dollars, Weekly, Seasonally Adjusted]]-B532)/B532</f>
        <v/>
      </c>
      <c r="D533" s="35">
        <f>((1+Table2634[[#This Row],[Weekly change]])^52)-1</f>
        <v/>
      </c>
      <c r="E533" s="25">
        <f>AVERAGE(B530:B533)</f>
        <v/>
      </c>
      <c r="F533" s="33">
        <f>(Table2634[[#This Row],[4 weeks average]]-B481)/B481</f>
        <v/>
      </c>
    </row>
    <row r="534">
      <c r="A534" s="23" t="n">
        <v>31096</v>
      </c>
      <c r="B534" s="25">
        <f>VLOOKUP(Table2634[[#This Row],[Date]],'DB Money Supply'!$A:$D,4)</f>
        <v/>
      </c>
      <c r="C534" s="31">
        <f>(Table2634[[#This Row],[M1 Money Stock, Billions of Dollars, Weekly, Seasonally Adjusted]]-B533)/B533</f>
        <v/>
      </c>
      <c r="D534" s="35">
        <f>((1+Table2634[[#This Row],[Weekly change]])^52)-1</f>
        <v/>
      </c>
      <c r="E534" s="25">
        <f>AVERAGE(B531:B534)</f>
        <v/>
      </c>
      <c r="F534" s="33">
        <f>(Table2634[[#This Row],[4 weeks average]]-B482)/B482</f>
        <v/>
      </c>
    </row>
    <row r="535">
      <c r="A535" s="23" t="n">
        <v>31103</v>
      </c>
      <c r="B535" s="25">
        <f>VLOOKUP(Table2634[[#This Row],[Date]],'DB Money Supply'!$A:$D,4)</f>
        <v/>
      </c>
      <c r="C535" s="31">
        <f>(Table2634[[#This Row],[M1 Money Stock, Billions of Dollars, Weekly, Seasonally Adjusted]]-B534)/B534</f>
        <v/>
      </c>
      <c r="D535" s="35">
        <f>((1+Table2634[[#This Row],[Weekly change]])^52)-1</f>
        <v/>
      </c>
      <c r="E535" s="25">
        <f>AVERAGE(B532:B535)</f>
        <v/>
      </c>
      <c r="F535" s="33">
        <f>(Table2634[[#This Row],[4 weeks average]]-B483)/B483</f>
        <v/>
      </c>
    </row>
    <row r="536">
      <c r="A536" s="23" t="n">
        <v>31110</v>
      </c>
      <c r="B536" s="25">
        <f>VLOOKUP(Table2634[[#This Row],[Date]],'DB Money Supply'!$A:$D,4)</f>
        <v/>
      </c>
      <c r="C536" s="31">
        <f>(Table2634[[#This Row],[M1 Money Stock, Billions of Dollars, Weekly, Seasonally Adjusted]]-B535)/B535</f>
        <v/>
      </c>
      <c r="D536" s="35">
        <f>((1+Table2634[[#This Row],[Weekly change]])^52)-1</f>
        <v/>
      </c>
      <c r="E536" s="25">
        <f>AVERAGE(B533:B536)</f>
        <v/>
      </c>
      <c r="F536" s="33">
        <f>(Table2634[[#This Row],[4 weeks average]]-B484)/B484</f>
        <v/>
      </c>
    </row>
    <row r="537">
      <c r="A537" s="23" t="n">
        <v>31117</v>
      </c>
      <c r="B537" s="25">
        <f>VLOOKUP(Table2634[[#This Row],[Date]],'DB Money Supply'!$A:$D,4)</f>
        <v/>
      </c>
      <c r="C537" s="31">
        <f>(Table2634[[#This Row],[M1 Money Stock, Billions of Dollars, Weekly, Seasonally Adjusted]]-B536)/B536</f>
        <v/>
      </c>
      <c r="D537" s="35">
        <f>((1+Table2634[[#This Row],[Weekly change]])^52)-1</f>
        <v/>
      </c>
      <c r="E537" s="25">
        <f>AVERAGE(B534:B537)</f>
        <v/>
      </c>
      <c r="F537" s="33">
        <f>(Table2634[[#This Row],[4 weeks average]]-B485)/B485</f>
        <v/>
      </c>
    </row>
    <row r="538">
      <c r="A538" s="23" t="n">
        <v>31124</v>
      </c>
      <c r="B538" s="25">
        <f>VLOOKUP(Table2634[[#This Row],[Date]],'DB Money Supply'!$A:$D,4)</f>
        <v/>
      </c>
      <c r="C538" s="31">
        <f>(Table2634[[#This Row],[M1 Money Stock, Billions of Dollars, Weekly, Seasonally Adjusted]]-B537)/B537</f>
        <v/>
      </c>
      <c r="D538" s="35">
        <f>((1+Table2634[[#This Row],[Weekly change]])^52)-1</f>
        <v/>
      </c>
      <c r="E538" s="25">
        <f>AVERAGE(B535:B538)</f>
        <v/>
      </c>
      <c r="F538" s="33">
        <f>(Table2634[[#This Row],[4 weeks average]]-B486)/B486</f>
        <v/>
      </c>
    </row>
    <row r="539">
      <c r="A539" s="23" t="n">
        <v>31131</v>
      </c>
      <c r="B539" s="25">
        <f>VLOOKUP(Table2634[[#This Row],[Date]],'DB Money Supply'!$A:$D,4)</f>
        <v/>
      </c>
      <c r="C539" s="31">
        <f>(Table2634[[#This Row],[M1 Money Stock, Billions of Dollars, Weekly, Seasonally Adjusted]]-B538)/B538</f>
        <v/>
      </c>
      <c r="D539" s="35">
        <f>((1+Table2634[[#This Row],[Weekly change]])^52)-1</f>
        <v/>
      </c>
      <c r="E539" s="25">
        <f>AVERAGE(B536:B539)</f>
        <v/>
      </c>
      <c r="F539" s="33">
        <f>(Table2634[[#This Row],[4 weeks average]]-B487)/B487</f>
        <v/>
      </c>
    </row>
    <row r="540">
      <c r="A540" s="23" t="n">
        <v>31138</v>
      </c>
      <c r="B540" s="25">
        <f>VLOOKUP(Table2634[[#This Row],[Date]],'DB Money Supply'!$A:$D,4)</f>
        <v/>
      </c>
      <c r="C540" s="31">
        <f>(Table2634[[#This Row],[M1 Money Stock, Billions of Dollars, Weekly, Seasonally Adjusted]]-B539)/B539</f>
        <v/>
      </c>
      <c r="D540" s="35">
        <f>((1+Table2634[[#This Row],[Weekly change]])^52)-1</f>
        <v/>
      </c>
      <c r="E540" s="25">
        <f>AVERAGE(B537:B540)</f>
        <v/>
      </c>
      <c r="F540" s="33">
        <f>(Table2634[[#This Row],[4 weeks average]]-B488)/B488</f>
        <v/>
      </c>
    </row>
    <row r="541">
      <c r="A541" s="23" t="n">
        <v>31145</v>
      </c>
      <c r="B541" s="25">
        <f>VLOOKUP(Table2634[[#This Row],[Date]],'DB Money Supply'!$A:$D,4)</f>
        <v/>
      </c>
      <c r="C541" s="31">
        <f>(Table2634[[#This Row],[M1 Money Stock, Billions of Dollars, Weekly, Seasonally Adjusted]]-B540)/B540</f>
        <v/>
      </c>
      <c r="D541" s="35">
        <f>((1+Table2634[[#This Row],[Weekly change]])^52)-1</f>
        <v/>
      </c>
      <c r="E541" s="25">
        <f>AVERAGE(B538:B541)</f>
        <v/>
      </c>
      <c r="F541" s="33">
        <f>(Table2634[[#This Row],[4 weeks average]]-B489)/B489</f>
        <v/>
      </c>
    </row>
    <row r="542">
      <c r="A542" s="23" t="n">
        <v>31152</v>
      </c>
      <c r="B542" s="25">
        <f>VLOOKUP(Table2634[[#This Row],[Date]],'DB Money Supply'!$A:$D,4)</f>
        <v/>
      </c>
      <c r="C542" s="31">
        <f>(Table2634[[#This Row],[M1 Money Stock, Billions of Dollars, Weekly, Seasonally Adjusted]]-B541)/B541</f>
        <v/>
      </c>
      <c r="D542" s="35">
        <f>((1+Table2634[[#This Row],[Weekly change]])^52)-1</f>
        <v/>
      </c>
      <c r="E542" s="25">
        <f>AVERAGE(B539:B542)</f>
        <v/>
      </c>
      <c r="F542" s="33">
        <f>(Table2634[[#This Row],[4 weeks average]]-B490)/B490</f>
        <v/>
      </c>
    </row>
    <row r="543">
      <c r="A543" s="23" t="n">
        <v>31159</v>
      </c>
      <c r="B543" s="25">
        <f>VLOOKUP(Table2634[[#This Row],[Date]],'DB Money Supply'!$A:$D,4)</f>
        <v/>
      </c>
      <c r="C543" s="31">
        <f>(Table2634[[#This Row],[M1 Money Stock, Billions of Dollars, Weekly, Seasonally Adjusted]]-B542)/B542</f>
        <v/>
      </c>
      <c r="D543" s="35">
        <f>((1+Table2634[[#This Row],[Weekly change]])^52)-1</f>
        <v/>
      </c>
      <c r="E543" s="25">
        <f>AVERAGE(B540:B543)</f>
        <v/>
      </c>
      <c r="F543" s="33">
        <f>(Table2634[[#This Row],[4 weeks average]]-B491)/B491</f>
        <v/>
      </c>
    </row>
    <row r="544">
      <c r="A544" s="23" t="n">
        <v>31166</v>
      </c>
      <c r="B544" s="25">
        <f>VLOOKUP(Table2634[[#This Row],[Date]],'DB Money Supply'!$A:$D,4)</f>
        <v/>
      </c>
      <c r="C544" s="31">
        <f>(Table2634[[#This Row],[M1 Money Stock, Billions of Dollars, Weekly, Seasonally Adjusted]]-B543)/B543</f>
        <v/>
      </c>
      <c r="D544" s="35">
        <f>((1+Table2634[[#This Row],[Weekly change]])^52)-1</f>
        <v/>
      </c>
      <c r="E544" s="25">
        <f>AVERAGE(B541:B544)</f>
        <v/>
      </c>
      <c r="F544" s="33">
        <f>(Table2634[[#This Row],[4 weeks average]]-B492)/B492</f>
        <v/>
      </c>
    </row>
    <row r="545">
      <c r="A545" s="23" t="n">
        <v>31173</v>
      </c>
      <c r="B545" s="25">
        <f>VLOOKUP(Table2634[[#This Row],[Date]],'DB Money Supply'!$A:$D,4)</f>
        <v/>
      </c>
      <c r="C545" s="31">
        <f>(Table2634[[#This Row],[M1 Money Stock, Billions of Dollars, Weekly, Seasonally Adjusted]]-B544)/B544</f>
        <v/>
      </c>
      <c r="D545" s="35">
        <f>((1+Table2634[[#This Row],[Weekly change]])^52)-1</f>
        <v/>
      </c>
      <c r="E545" s="25">
        <f>AVERAGE(B542:B545)</f>
        <v/>
      </c>
      <c r="F545" s="33">
        <f>(Table2634[[#This Row],[4 weeks average]]-B493)/B493</f>
        <v/>
      </c>
    </row>
    <row r="546">
      <c r="A546" s="23" t="n">
        <v>31180</v>
      </c>
      <c r="B546" s="25">
        <f>VLOOKUP(Table2634[[#This Row],[Date]],'DB Money Supply'!$A:$D,4)</f>
        <v/>
      </c>
      <c r="C546" s="31">
        <f>(Table2634[[#This Row],[M1 Money Stock, Billions of Dollars, Weekly, Seasonally Adjusted]]-B545)/B545</f>
        <v/>
      </c>
      <c r="D546" s="35">
        <f>((1+Table2634[[#This Row],[Weekly change]])^52)-1</f>
        <v/>
      </c>
      <c r="E546" s="25">
        <f>AVERAGE(B543:B546)</f>
        <v/>
      </c>
      <c r="F546" s="33">
        <f>(Table2634[[#This Row],[4 weeks average]]-B494)/B494</f>
        <v/>
      </c>
    </row>
    <row r="547">
      <c r="A547" s="23" t="n">
        <v>31187</v>
      </c>
      <c r="B547" s="25">
        <f>VLOOKUP(Table2634[[#This Row],[Date]],'DB Money Supply'!$A:$D,4)</f>
        <v/>
      </c>
      <c r="C547" s="31">
        <f>(Table2634[[#This Row],[M1 Money Stock, Billions of Dollars, Weekly, Seasonally Adjusted]]-B546)/B546</f>
        <v/>
      </c>
      <c r="D547" s="35">
        <f>((1+Table2634[[#This Row],[Weekly change]])^52)-1</f>
        <v/>
      </c>
      <c r="E547" s="25">
        <f>AVERAGE(B544:B547)</f>
        <v/>
      </c>
      <c r="F547" s="33">
        <f>(Table2634[[#This Row],[4 weeks average]]-B495)/B495</f>
        <v/>
      </c>
    </row>
    <row r="548">
      <c r="A548" s="23" t="n">
        <v>31194</v>
      </c>
      <c r="B548" s="25">
        <f>VLOOKUP(Table2634[[#This Row],[Date]],'DB Money Supply'!$A:$D,4)</f>
        <v/>
      </c>
      <c r="C548" s="31">
        <f>(Table2634[[#This Row],[M1 Money Stock, Billions of Dollars, Weekly, Seasonally Adjusted]]-B547)/B547</f>
        <v/>
      </c>
      <c r="D548" s="35">
        <f>((1+Table2634[[#This Row],[Weekly change]])^52)-1</f>
        <v/>
      </c>
      <c r="E548" s="25">
        <f>AVERAGE(B545:B548)</f>
        <v/>
      </c>
      <c r="F548" s="33">
        <f>(Table2634[[#This Row],[4 weeks average]]-B496)/B496</f>
        <v/>
      </c>
    </row>
    <row r="549">
      <c r="A549" s="23" t="n">
        <v>31201</v>
      </c>
      <c r="B549" s="25">
        <f>VLOOKUP(Table2634[[#This Row],[Date]],'DB Money Supply'!$A:$D,4)</f>
        <v/>
      </c>
      <c r="C549" s="31">
        <f>(Table2634[[#This Row],[M1 Money Stock, Billions of Dollars, Weekly, Seasonally Adjusted]]-B548)/B548</f>
        <v/>
      </c>
      <c r="D549" s="35">
        <f>((1+Table2634[[#This Row],[Weekly change]])^52)-1</f>
        <v/>
      </c>
      <c r="E549" s="25">
        <f>AVERAGE(B546:B549)</f>
        <v/>
      </c>
      <c r="F549" s="33">
        <f>(Table2634[[#This Row],[4 weeks average]]-B497)/B497</f>
        <v/>
      </c>
    </row>
    <row r="550">
      <c r="A550" s="23" t="n">
        <v>31208</v>
      </c>
      <c r="B550" s="25">
        <f>VLOOKUP(Table2634[[#This Row],[Date]],'DB Money Supply'!$A:$D,4)</f>
        <v/>
      </c>
      <c r="C550" s="31">
        <f>(Table2634[[#This Row],[M1 Money Stock, Billions of Dollars, Weekly, Seasonally Adjusted]]-B549)/B549</f>
        <v/>
      </c>
      <c r="D550" s="35">
        <f>((1+Table2634[[#This Row],[Weekly change]])^52)-1</f>
        <v/>
      </c>
      <c r="E550" s="25">
        <f>AVERAGE(B547:B550)</f>
        <v/>
      </c>
      <c r="F550" s="33">
        <f>(Table2634[[#This Row],[4 weeks average]]-B498)/B498</f>
        <v/>
      </c>
    </row>
    <row r="551">
      <c r="A551" s="23" t="n">
        <v>31215</v>
      </c>
      <c r="B551" s="25">
        <f>VLOOKUP(Table2634[[#This Row],[Date]],'DB Money Supply'!$A:$D,4)</f>
        <v/>
      </c>
      <c r="C551" s="31">
        <f>(Table2634[[#This Row],[M1 Money Stock, Billions of Dollars, Weekly, Seasonally Adjusted]]-B550)/B550</f>
        <v/>
      </c>
      <c r="D551" s="35">
        <f>((1+Table2634[[#This Row],[Weekly change]])^52)-1</f>
        <v/>
      </c>
      <c r="E551" s="25">
        <f>AVERAGE(B548:B551)</f>
        <v/>
      </c>
      <c r="F551" s="33">
        <f>(Table2634[[#This Row],[4 weeks average]]-B499)/B499</f>
        <v/>
      </c>
    </row>
    <row r="552">
      <c r="A552" s="23" t="n">
        <v>31222</v>
      </c>
      <c r="B552" s="25">
        <f>VLOOKUP(Table2634[[#This Row],[Date]],'DB Money Supply'!$A:$D,4)</f>
        <v/>
      </c>
      <c r="C552" s="31">
        <f>(Table2634[[#This Row],[M1 Money Stock, Billions of Dollars, Weekly, Seasonally Adjusted]]-B551)/B551</f>
        <v/>
      </c>
      <c r="D552" s="35">
        <f>((1+Table2634[[#This Row],[Weekly change]])^52)-1</f>
        <v/>
      </c>
      <c r="E552" s="25">
        <f>AVERAGE(B549:B552)</f>
        <v/>
      </c>
      <c r="F552" s="33">
        <f>(Table2634[[#This Row],[4 weeks average]]-B500)/B500</f>
        <v/>
      </c>
    </row>
    <row r="553">
      <c r="A553" s="23" t="n">
        <v>31229</v>
      </c>
      <c r="B553" s="25">
        <f>VLOOKUP(Table2634[[#This Row],[Date]],'DB Money Supply'!$A:$D,4)</f>
        <v/>
      </c>
      <c r="C553" s="31">
        <f>(Table2634[[#This Row],[M1 Money Stock, Billions of Dollars, Weekly, Seasonally Adjusted]]-B552)/B552</f>
        <v/>
      </c>
      <c r="D553" s="35">
        <f>((1+Table2634[[#This Row],[Weekly change]])^52)-1</f>
        <v/>
      </c>
      <c r="E553" s="25">
        <f>AVERAGE(B550:B553)</f>
        <v/>
      </c>
      <c r="F553" s="33">
        <f>(Table2634[[#This Row],[4 weeks average]]-B501)/B501</f>
        <v/>
      </c>
    </row>
    <row r="554">
      <c r="A554" s="23" t="n">
        <v>31236</v>
      </c>
      <c r="B554" s="25">
        <f>VLOOKUP(Table2634[[#This Row],[Date]],'DB Money Supply'!$A:$D,4)</f>
        <v/>
      </c>
      <c r="C554" s="31">
        <f>(Table2634[[#This Row],[M1 Money Stock, Billions of Dollars, Weekly, Seasonally Adjusted]]-B553)/B553</f>
        <v/>
      </c>
      <c r="D554" s="35">
        <f>((1+Table2634[[#This Row],[Weekly change]])^52)-1</f>
        <v/>
      </c>
      <c r="E554" s="25">
        <f>AVERAGE(B551:B554)</f>
        <v/>
      </c>
      <c r="F554" s="33">
        <f>(Table2634[[#This Row],[4 weeks average]]-B502)/B502</f>
        <v/>
      </c>
    </row>
    <row r="555">
      <c r="A555" s="23" t="n">
        <v>31243</v>
      </c>
      <c r="B555" s="25">
        <f>VLOOKUP(Table2634[[#This Row],[Date]],'DB Money Supply'!$A:$D,4)</f>
        <v/>
      </c>
      <c r="C555" s="31">
        <f>(Table2634[[#This Row],[M1 Money Stock, Billions of Dollars, Weekly, Seasonally Adjusted]]-B554)/B554</f>
        <v/>
      </c>
      <c r="D555" s="35">
        <f>((1+Table2634[[#This Row],[Weekly change]])^52)-1</f>
        <v/>
      </c>
      <c r="E555" s="25">
        <f>AVERAGE(B552:B555)</f>
        <v/>
      </c>
      <c r="F555" s="33">
        <f>(Table2634[[#This Row],[4 weeks average]]-B503)/B503</f>
        <v/>
      </c>
    </row>
    <row r="556">
      <c r="A556" s="23" t="n">
        <v>31250</v>
      </c>
      <c r="B556" s="25">
        <f>VLOOKUP(Table2634[[#This Row],[Date]],'DB Money Supply'!$A:$D,4)</f>
        <v/>
      </c>
      <c r="C556" s="31">
        <f>(Table2634[[#This Row],[M1 Money Stock, Billions of Dollars, Weekly, Seasonally Adjusted]]-B555)/B555</f>
        <v/>
      </c>
      <c r="D556" s="35">
        <f>((1+Table2634[[#This Row],[Weekly change]])^52)-1</f>
        <v/>
      </c>
      <c r="E556" s="25">
        <f>AVERAGE(B553:B556)</f>
        <v/>
      </c>
      <c r="F556" s="33">
        <f>(Table2634[[#This Row],[4 weeks average]]-B504)/B504</f>
        <v/>
      </c>
    </row>
    <row r="557">
      <c r="A557" s="23" t="n">
        <v>31257</v>
      </c>
      <c r="B557" s="25">
        <f>VLOOKUP(Table2634[[#This Row],[Date]],'DB Money Supply'!$A:$D,4)</f>
        <v/>
      </c>
      <c r="C557" s="31">
        <f>(Table2634[[#This Row],[M1 Money Stock, Billions of Dollars, Weekly, Seasonally Adjusted]]-B556)/B556</f>
        <v/>
      </c>
      <c r="D557" s="35">
        <f>((1+Table2634[[#This Row],[Weekly change]])^52)-1</f>
        <v/>
      </c>
      <c r="E557" s="25">
        <f>AVERAGE(B554:B557)</f>
        <v/>
      </c>
      <c r="F557" s="33">
        <f>(Table2634[[#This Row],[4 weeks average]]-B505)/B505</f>
        <v/>
      </c>
    </row>
    <row r="558">
      <c r="A558" s="23" t="n">
        <v>31264</v>
      </c>
      <c r="B558" s="25">
        <f>VLOOKUP(Table2634[[#This Row],[Date]],'DB Money Supply'!$A:$D,4)</f>
        <v/>
      </c>
      <c r="C558" s="31">
        <f>(Table2634[[#This Row],[M1 Money Stock, Billions of Dollars, Weekly, Seasonally Adjusted]]-B557)/B557</f>
        <v/>
      </c>
      <c r="D558" s="35">
        <f>((1+Table2634[[#This Row],[Weekly change]])^52)-1</f>
        <v/>
      </c>
      <c r="E558" s="25">
        <f>AVERAGE(B555:B558)</f>
        <v/>
      </c>
      <c r="F558" s="33">
        <f>(Table2634[[#This Row],[4 weeks average]]-B506)/B506</f>
        <v/>
      </c>
    </row>
    <row r="559">
      <c r="A559" s="23" t="n">
        <v>31271</v>
      </c>
      <c r="B559" s="25">
        <f>VLOOKUP(Table2634[[#This Row],[Date]],'DB Money Supply'!$A:$D,4)</f>
        <v/>
      </c>
      <c r="C559" s="31">
        <f>(Table2634[[#This Row],[M1 Money Stock, Billions of Dollars, Weekly, Seasonally Adjusted]]-B558)/B558</f>
        <v/>
      </c>
      <c r="D559" s="35">
        <f>((1+Table2634[[#This Row],[Weekly change]])^52)-1</f>
        <v/>
      </c>
      <c r="E559" s="25">
        <f>AVERAGE(B556:B559)</f>
        <v/>
      </c>
      <c r="F559" s="33">
        <f>(Table2634[[#This Row],[4 weeks average]]-B507)/B507</f>
        <v/>
      </c>
    </row>
    <row r="560">
      <c r="A560" s="23" t="n">
        <v>31278</v>
      </c>
      <c r="B560" s="25">
        <f>VLOOKUP(Table2634[[#This Row],[Date]],'DB Money Supply'!$A:$D,4)</f>
        <v/>
      </c>
      <c r="C560" s="31">
        <f>(Table2634[[#This Row],[M1 Money Stock, Billions of Dollars, Weekly, Seasonally Adjusted]]-B559)/B559</f>
        <v/>
      </c>
      <c r="D560" s="35">
        <f>((1+Table2634[[#This Row],[Weekly change]])^52)-1</f>
        <v/>
      </c>
      <c r="E560" s="25">
        <f>AVERAGE(B557:B560)</f>
        <v/>
      </c>
      <c r="F560" s="33">
        <f>(Table2634[[#This Row],[4 weeks average]]-B508)/B508</f>
        <v/>
      </c>
    </row>
    <row r="561">
      <c r="A561" s="23" t="n">
        <v>31285</v>
      </c>
      <c r="B561" s="25">
        <f>VLOOKUP(Table2634[[#This Row],[Date]],'DB Money Supply'!$A:$D,4)</f>
        <v/>
      </c>
      <c r="C561" s="31">
        <f>(Table2634[[#This Row],[M1 Money Stock, Billions of Dollars, Weekly, Seasonally Adjusted]]-B560)/B560</f>
        <v/>
      </c>
      <c r="D561" s="35">
        <f>((1+Table2634[[#This Row],[Weekly change]])^52)-1</f>
        <v/>
      </c>
      <c r="E561" s="25">
        <f>AVERAGE(B558:B561)</f>
        <v/>
      </c>
      <c r="F561" s="33">
        <f>(Table2634[[#This Row],[4 weeks average]]-B509)/B509</f>
        <v/>
      </c>
    </row>
    <row r="562">
      <c r="A562" s="23" t="n">
        <v>31292</v>
      </c>
      <c r="B562" s="25">
        <f>VLOOKUP(Table2634[[#This Row],[Date]],'DB Money Supply'!$A:$D,4)</f>
        <v/>
      </c>
      <c r="C562" s="31">
        <f>(Table2634[[#This Row],[M1 Money Stock, Billions of Dollars, Weekly, Seasonally Adjusted]]-B561)/B561</f>
        <v/>
      </c>
      <c r="D562" s="35">
        <f>((1+Table2634[[#This Row],[Weekly change]])^52)-1</f>
        <v/>
      </c>
      <c r="E562" s="25">
        <f>AVERAGE(B559:B562)</f>
        <v/>
      </c>
      <c r="F562" s="33">
        <f>(Table2634[[#This Row],[4 weeks average]]-B510)/B510</f>
        <v/>
      </c>
    </row>
    <row r="563">
      <c r="A563" s="23" t="n">
        <v>31299</v>
      </c>
      <c r="B563" s="25">
        <f>VLOOKUP(Table2634[[#This Row],[Date]],'DB Money Supply'!$A:$D,4)</f>
        <v/>
      </c>
      <c r="C563" s="31">
        <f>(Table2634[[#This Row],[M1 Money Stock, Billions of Dollars, Weekly, Seasonally Adjusted]]-B562)/B562</f>
        <v/>
      </c>
      <c r="D563" s="35">
        <f>((1+Table2634[[#This Row],[Weekly change]])^52)-1</f>
        <v/>
      </c>
      <c r="E563" s="25">
        <f>AVERAGE(B560:B563)</f>
        <v/>
      </c>
      <c r="F563" s="33">
        <f>(Table2634[[#This Row],[4 weeks average]]-B511)/B511</f>
        <v/>
      </c>
    </row>
    <row r="564">
      <c r="A564" s="23" t="n">
        <v>31306</v>
      </c>
      <c r="B564" s="25">
        <f>VLOOKUP(Table2634[[#This Row],[Date]],'DB Money Supply'!$A:$D,4)</f>
        <v/>
      </c>
      <c r="C564" s="31">
        <f>(Table2634[[#This Row],[M1 Money Stock, Billions of Dollars, Weekly, Seasonally Adjusted]]-B563)/B563</f>
        <v/>
      </c>
      <c r="D564" s="35">
        <f>((1+Table2634[[#This Row],[Weekly change]])^52)-1</f>
        <v/>
      </c>
      <c r="E564" s="25">
        <f>AVERAGE(B561:B564)</f>
        <v/>
      </c>
      <c r="F564" s="33">
        <f>(Table2634[[#This Row],[4 weeks average]]-B512)/B512</f>
        <v/>
      </c>
    </row>
    <row r="565">
      <c r="A565" s="23" t="n">
        <v>31313</v>
      </c>
      <c r="B565" s="25">
        <f>VLOOKUP(Table2634[[#This Row],[Date]],'DB Money Supply'!$A:$D,4)</f>
        <v/>
      </c>
      <c r="C565" s="31">
        <f>(Table2634[[#This Row],[M1 Money Stock, Billions of Dollars, Weekly, Seasonally Adjusted]]-B564)/B564</f>
        <v/>
      </c>
      <c r="D565" s="35">
        <f>((1+Table2634[[#This Row],[Weekly change]])^52)-1</f>
        <v/>
      </c>
      <c r="E565" s="25">
        <f>AVERAGE(B562:B565)</f>
        <v/>
      </c>
      <c r="F565" s="33">
        <f>(Table2634[[#This Row],[4 weeks average]]-B513)/B513</f>
        <v/>
      </c>
    </row>
    <row r="566">
      <c r="A566" s="23" t="n">
        <v>31320</v>
      </c>
      <c r="B566" s="25">
        <f>VLOOKUP(Table2634[[#This Row],[Date]],'DB Money Supply'!$A:$D,4)</f>
        <v/>
      </c>
      <c r="C566" s="31">
        <f>(Table2634[[#This Row],[M1 Money Stock, Billions of Dollars, Weekly, Seasonally Adjusted]]-B565)/B565</f>
        <v/>
      </c>
      <c r="D566" s="35">
        <f>((1+Table2634[[#This Row],[Weekly change]])^52)-1</f>
        <v/>
      </c>
      <c r="E566" s="25">
        <f>AVERAGE(B563:B566)</f>
        <v/>
      </c>
      <c r="F566" s="33">
        <f>(Table2634[[#This Row],[4 weeks average]]-B514)/B514</f>
        <v/>
      </c>
    </row>
    <row r="567">
      <c r="A567" s="23" t="n">
        <v>31327</v>
      </c>
      <c r="B567" s="25">
        <f>VLOOKUP(Table2634[[#This Row],[Date]],'DB Money Supply'!$A:$D,4)</f>
        <v/>
      </c>
      <c r="C567" s="31">
        <f>(Table2634[[#This Row],[M1 Money Stock, Billions of Dollars, Weekly, Seasonally Adjusted]]-B566)/B566</f>
        <v/>
      </c>
      <c r="D567" s="35">
        <f>((1+Table2634[[#This Row],[Weekly change]])^52)-1</f>
        <v/>
      </c>
      <c r="E567" s="25">
        <f>AVERAGE(B564:B567)</f>
        <v/>
      </c>
      <c r="F567" s="33">
        <f>(Table2634[[#This Row],[4 weeks average]]-B515)/B515</f>
        <v/>
      </c>
    </row>
    <row r="568">
      <c r="A568" s="23" t="n">
        <v>31334</v>
      </c>
      <c r="B568" s="25">
        <f>VLOOKUP(Table2634[[#This Row],[Date]],'DB Money Supply'!$A:$D,4)</f>
        <v/>
      </c>
      <c r="C568" s="31">
        <f>(Table2634[[#This Row],[M1 Money Stock, Billions of Dollars, Weekly, Seasonally Adjusted]]-B567)/B567</f>
        <v/>
      </c>
      <c r="D568" s="35">
        <f>((1+Table2634[[#This Row],[Weekly change]])^52)-1</f>
        <v/>
      </c>
      <c r="E568" s="25">
        <f>AVERAGE(B565:B568)</f>
        <v/>
      </c>
      <c r="F568" s="33">
        <f>(Table2634[[#This Row],[4 weeks average]]-B516)/B516</f>
        <v/>
      </c>
    </row>
    <row r="569">
      <c r="A569" s="23" t="n">
        <v>31341</v>
      </c>
      <c r="B569" s="25">
        <f>VLOOKUP(Table2634[[#This Row],[Date]],'DB Money Supply'!$A:$D,4)</f>
        <v/>
      </c>
      <c r="C569" s="31">
        <f>(Table2634[[#This Row],[M1 Money Stock, Billions of Dollars, Weekly, Seasonally Adjusted]]-B568)/B568</f>
        <v/>
      </c>
      <c r="D569" s="35">
        <f>((1+Table2634[[#This Row],[Weekly change]])^52)-1</f>
        <v/>
      </c>
      <c r="E569" s="25">
        <f>AVERAGE(B566:B569)</f>
        <v/>
      </c>
      <c r="F569" s="33">
        <f>(Table2634[[#This Row],[4 weeks average]]-B517)/B517</f>
        <v/>
      </c>
    </row>
    <row r="570">
      <c r="A570" s="23" t="n">
        <v>31348</v>
      </c>
      <c r="B570" s="25">
        <f>VLOOKUP(Table2634[[#This Row],[Date]],'DB Money Supply'!$A:$D,4)</f>
        <v/>
      </c>
      <c r="C570" s="31">
        <f>(Table2634[[#This Row],[M1 Money Stock, Billions of Dollars, Weekly, Seasonally Adjusted]]-B569)/B569</f>
        <v/>
      </c>
      <c r="D570" s="35">
        <f>((1+Table2634[[#This Row],[Weekly change]])^52)-1</f>
        <v/>
      </c>
      <c r="E570" s="25">
        <f>AVERAGE(B567:B570)</f>
        <v/>
      </c>
      <c r="F570" s="33">
        <f>(Table2634[[#This Row],[4 weeks average]]-B518)/B518</f>
        <v/>
      </c>
    </row>
    <row r="571">
      <c r="A571" s="23" t="n">
        <v>31355</v>
      </c>
      <c r="B571" s="25">
        <f>VLOOKUP(Table2634[[#This Row],[Date]],'DB Money Supply'!$A:$D,4)</f>
        <v/>
      </c>
      <c r="C571" s="31">
        <f>(Table2634[[#This Row],[M1 Money Stock, Billions of Dollars, Weekly, Seasonally Adjusted]]-B570)/B570</f>
        <v/>
      </c>
      <c r="D571" s="35">
        <f>((1+Table2634[[#This Row],[Weekly change]])^52)-1</f>
        <v/>
      </c>
      <c r="E571" s="25">
        <f>AVERAGE(B568:B571)</f>
        <v/>
      </c>
      <c r="F571" s="33">
        <f>(Table2634[[#This Row],[4 weeks average]]-B519)/B519</f>
        <v/>
      </c>
    </row>
    <row r="572">
      <c r="A572" s="23" t="n">
        <v>31362</v>
      </c>
      <c r="B572" s="25">
        <f>VLOOKUP(Table2634[[#This Row],[Date]],'DB Money Supply'!$A:$D,4)</f>
        <v/>
      </c>
      <c r="C572" s="31">
        <f>(Table2634[[#This Row],[M1 Money Stock, Billions of Dollars, Weekly, Seasonally Adjusted]]-B571)/B571</f>
        <v/>
      </c>
      <c r="D572" s="35">
        <f>((1+Table2634[[#This Row],[Weekly change]])^52)-1</f>
        <v/>
      </c>
      <c r="E572" s="25">
        <f>AVERAGE(B569:B572)</f>
        <v/>
      </c>
      <c r="F572" s="33">
        <f>(Table2634[[#This Row],[4 weeks average]]-B520)/B520</f>
        <v/>
      </c>
    </row>
    <row r="573">
      <c r="A573" s="23" t="n">
        <v>31369</v>
      </c>
      <c r="B573" s="25">
        <f>VLOOKUP(Table2634[[#This Row],[Date]],'DB Money Supply'!$A:$D,4)</f>
        <v/>
      </c>
      <c r="C573" s="31">
        <f>(Table2634[[#This Row],[M1 Money Stock, Billions of Dollars, Weekly, Seasonally Adjusted]]-B572)/B572</f>
        <v/>
      </c>
      <c r="D573" s="35">
        <f>((1+Table2634[[#This Row],[Weekly change]])^52)-1</f>
        <v/>
      </c>
      <c r="E573" s="25">
        <f>AVERAGE(B570:B573)</f>
        <v/>
      </c>
      <c r="F573" s="33">
        <f>(Table2634[[#This Row],[4 weeks average]]-B521)/B521</f>
        <v/>
      </c>
    </row>
    <row r="574">
      <c r="A574" s="23" t="n">
        <v>31376</v>
      </c>
      <c r="B574" s="25">
        <f>VLOOKUP(Table2634[[#This Row],[Date]],'DB Money Supply'!$A:$D,4)</f>
        <v/>
      </c>
      <c r="C574" s="31">
        <f>(Table2634[[#This Row],[M1 Money Stock, Billions of Dollars, Weekly, Seasonally Adjusted]]-B573)/B573</f>
        <v/>
      </c>
      <c r="D574" s="35">
        <f>((1+Table2634[[#This Row],[Weekly change]])^52)-1</f>
        <v/>
      </c>
      <c r="E574" s="25">
        <f>AVERAGE(B571:B574)</f>
        <v/>
      </c>
      <c r="F574" s="33">
        <f>(Table2634[[#This Row],[4 weeks average]]-B522)/B522</f>
        <v/>
      </c>
    </row>
    <row r="575">
      <c r="A575" s="23" t="n">
        <v>31383</v>
      </c>
      <c r="B575" s="25">
        <f>VLOOKUP(Table2634[[#This Row],[Date]],'DB Money Supply'!$A:$D,4)</f>
        <v/>
      </c>
      <c r="C575" s="31">
        <f>(Table2634[[#This Row],[M1 Money Stock, Billions of Dollars, Weekly, Seasonally Adjusted]]-B574)/B574</f>
        <v/>
      </c>
      <c r="D575" s="35">
        <f>((1+Table2634[[#This Row],[Weekly change]])^52)-1</f>
        <v/>
      </c>
      <c r="E575" s="25">
        <f>AVERAGE(B572:B575)</f>
        <v/>
      </c>
      <c r="F575" s="33">
        <f>(Table2634[[#This Row],[4 weeks average]]-B523)/B523</f>
        <v/>
      </c>
    </row>
    <row r="576">
      <c r="A576" s="23" t="n">
        <v>31390</v>
      </c>
      <c r="B576" s="25">
        <f>VLOOKUP(Table2634[[#This Row],[Date]],'DB Money Supply'!$A:$D,4)</f>
        <v/>
      </c>
      <c r="C576" s="31">
        <f>(Table2634[[#This Row],[M1 Money Stock, Billions of Dollars, Weekly, Seasonally Adjusted]]-B575)/B575</f>
        <v/>
      </c>
      <c r="D576" s="35">
        <f>((1+Table2634[[#This Row],[Weekly change]])^52)-1</f>
        <v/>
      </c>
      <c r="E576" s="25">
        <f>AVERAGE(B573:B576)</f>
        <v/>
      </c>
      <c r="F576" s="33">
        <f>(Table2634[[#This Row],[4 weeks average]]-B524)/B524</f>
        <v/>
      </c>
    </row>
    <row r="577">
      <c r="A577" s="23" t="n">
        <v>31397</v>
      </c>
      <c r="B577" s="25">
        <f>VLOOKUP(Table2634[[#This Row],[Date]],'DB Money Supply'!$A:$D,4)</f>
        <v/>
      </c>
      <c r="C577" s="31">
        <f>(Table2634[[#This Row],[M1 Money Stock, Billions of Dollars, Weekly, Seasonally Adjusted]]-B576)/B576</f>
        <v/>
      </c>
      <c r="D577" s="35">
        <f>((1+Table2634[[#This Row],[Weekly change]])^52)-1</f>
        <v/>
      </c>
      <c r="E577" s="25">
        <f>AVERAGE(B574:B577)</f>
        <v/>
      </c>
      <c r="F577" s="33">
        <f>(Table2634[[#This Row],[4 weeks average]]-B525)/B525</f>
        <v/>
      </c>
    </row>
    <row r="578">
      <c r="A578" s="23" t="n">
        <v>31404</v>
      </c>
      <c r="B578" s="25">
        <f>VLOOKUP(Table2634[[#This Row],[Date]],'DB Money Supply'!$A:$D,4)</f>
        <v/>
      </c>
      <c r="C578" s="31">
        <f>(Table2634[[#This Row],[M1 Money Stock, Billions of Dollars, Weekly, Seasonally Adjusted]]-B577)/B577</f>
        <v/>
      </c>
      <c r="D578" s="35">
        <f>((1+Table2634[[#This Row],[Weekly change]])^52)-1</f>
        <v/>
      </c>
      <c r="E578" s="25">
        <f>AVERAGE(B575:B578)</f>
        <v/>
      </c>
      <c r="F578" s="33">
        <f>(Table2634[[#This Row],[4 weeks average]]-B526)/B526</f>
        <v/>
      </c>
    </row>
    <row r="579">
      <c r="A579" s="23" t="n">
        <v>31411</v>
      </c>
      <c r="B579" s="25">
        <f>VLOOKUP(Table2634[[#This Row],[Date]],'DB Money Supply'!$A:$D,4)</f>
        <v/>
      </c>
      <c r="C579" s="31">
        <f>(Table2634[[#This Row],[M1 Money Stock, Billions of Dollars, Weekly, Seasonally Adjusted]]-B578)/B578</f>
        <v/>
      </c>
      <c r="D579" s="35">
        <f>((1+Table2634[[#This Row],[Weekly change]])^52)-1</f>
        <v/>
      </c>
      <c r="E579" s="25">
        <f>AVERAGE(B576:B579)</f>
        <v/>
      </c>
      <c r="F579" s="33">
        <f>(Table2634[[#This Row],[4 weeks average]]-B527)/B527</f>
        <v/>
      </c>
    </row>
    <row r="580">
      <c r="A580" s="23" t="n">
        <v>31418</v>
      </c>
      <c r="B580" s="25">
        <f>VLOOKUP(Table2634[[#This Row],[Date]],'DB Money Supply'!$A:$D,4)</f>
        <v/>
      </c>
      <c r="C580" s="31">
        <f>(Table2634[[#This Row],[M1 Money Stock, Billions of Dollars, Weekly, Seasonally Adjusted]]-B579)/B579</f>
        <v/>
      </c>
      <c r="D580" s="35">
        <f>((1+Table2634[[#This Row],[Weekly change]])^52)-1</f>
        <v/>
      </c>
      <c r="E580" s="25">
        <f>AVERAGE(B577:B580)</f>
        <v/>
      </c>
      <c r="F580" s="33">
        <f>(Table2634[[#This Row],[4 weeks average]]-B528)/B528</f>
        <v/>
      </c>
    </row>
    <row r="581">
      <c r="A581" s="23" t="n">
        <v>31425</v>
      </c>
      <c r="B581" s="25">
        <f>VLOOKUP(Table2634[[#This Row],[Date]],'DB Money Supply'!$A:$D,4)</f>
        <v/>
      </c>
      <c r="C581" s="31">
        <f>(Table2634[[#This Row],[M1 Money Stock, Billions of Dollars, Weekly, Seasonally Adjusted]]-B580)/B580</f>
        <v/>
      </c>
      <c r="D581" s="35">
        <f>((1+Table2634[[#This Row],[Weekly change]])^52)-1</f>
        <v/>
      </c>
      <c r="E581" s="25">
        <f>AVERAGE(B578:B581)</f>
        <v/>
      </c>
      <c r="F581" s="33">
        <f>(Table2634[[#This Row],[4 weeks average]]-B529)/B529</f>
        <v/>
      </c>
    </row>
    <row r="582">
      <c r="A582" s="23" t="n">
        <v>31432</v>
      </c>
      <c r="B582" s="25">
        <f>VLOOKUP(Table2634[[#This Row],[Date]],'DB Money Supply'!$A:$D,4)</f>
        <v/>
      </c>
      <c r="C582" s="31">
        <f>(Table2634[[#This Row],[M1 Money Stock, Billions of Dollars, Weekly, Seasonally Adjusted]]-B581)/B581</f>
        <v/>
      </c>
      <c r="D582" s="35">
        <f>((1+Table2634[[#This Row],[Weekly change]])^52)-1</f>
        <v/>
      </c>
      <c r="E582" s="25">
        <f>AVERAGE(B579:B582)</f>
        <v/>
      </c>
      <c r="F582" s="33">
        <f>(Table2634[[#This Row],[4 weeks average]]-B530)/B530</f>
        <v/>
      </c>
    </row>
    <row r="583">
      <c r="A583" s="23" t="n">
        <v>31439</v>
      </c>
      <c r="B583" s="25">
        <f>VLOOKUP(Table2634[[#This Row],[Date]],'DB Money Supply'!$A:$D,4)</f>
        <v/>
      </c>
      <c r="C583" s="31">
        <f>(Table2634[[#This Row],[M1 Money Stock, Billions of Dollars, Weekly, Seasonally Adjusted]]-B582)/B582</f>
        <v/>
      </c>
      <c r="D583" s="35">
        <f>((1+Table2634[[#This Row],[Weekly change]])^52)-1</f>
        <v/>
      </c>
      <c r="E583" s="25">
        <f>AVERAGE(B580:B583)</f>
        <v/>
      </c>
      <c r="F583" s="33">
        <f>(Table2634[[#This Row],[4 weeks average]]-B531)/B531</f>
        <v/>
      </c>
    </row>
    <row r="584">
      <c r="A584" s="23" t="n">
        <v>31446</v>
      </c>
      <c r="B584" s="25">
        <f>VLOOKUP(Table2634[[#This Row],[Date]],'DB Money Supply'!$A:$D,4)</f>
        <v/>
      </c>
      <c r="C584" s="31">
        <f>(Table2634[[#This Row],[M1 Money Stock, Billions of Dollars, Weekly, Seasonally Adjusted]]-B583)/B583</f>
        <v/>
      </c>
      <c r="D584" s="35">
        <f>((1+Table2634[[#This Row],[Weekly change]])^52)-1</f>
        <v/>
      </c>
      <c r="E584" s="25">
        <f>AVERAGE(B581:B584)</f>
        <v/>
      </c>
      <c r="F584" s="33">
        <f>(Table2634[[#This Row],[4 weeks average]]-B532)/B532</f>
        <v/>
      </c>
    </row>
    <row r="585">
      <c r="A585" s="23" t="n">
        <v>31453</v>
      </c>
      <c r="B585" s="25">
        <f>VLOOKUP(Table2634[[#This Row],[Date]],'DB Money Supply'!$A:$D,4)</f>
        <v/>
      </c>
      <c r="C585" s="31">
        <f>(Table2634[[#This Row],[M1 Money Stock, Billions of Dollars, Weekly, Seasonally Adjusted]]-B584)/B584</f>
        <v/>
      </c>
      <c r="D585" s="35">
        <f>((1+Table2634[[#This Row],[Weekly change]])^52)-1</f>
        <v/>
      </c>
      <c r="E585" s="25">
        <f>AVERAGE(B582:B585)</f>
        <v/>
      </c>
      <c r="F585" s="33">
        <f>(Table2634[[#This Row],[4 weeks average]]-B533)/B533</f>
        <v/>
      </c>
    </row>
    <row r="586">
      <c r="A586" s="23" t="n">
        <v>31460</v>
      </c>
      <c r="B586" s="25">
        <f>VLOOKUP(Table2634[[#This Row],[Date]],'DB Money Supply'!$A:$D,4)</f>
        <v/>
      </c>
      <c r="C586" s="31">
        <f>(Table2634[[#This Row],[M1 Money Stock, Billions of Dollars, Weekly, Seasonally Adjusted]]-B585)/B585</f>
        <v/>
      </c>
      <c r="D586" s="35">
        <f>((1+Table2634[[#This Row],[Weekly change]])^52)-1</f>
        <v/>
      </c>
      <c r="E586" s="25">
        <f>AVERAGE(B583:B586)</f>
        <v/>
      </c>
      <c r="F586" s="33">
        <f>(Table2634[[#This Row],[4 weeks average]]-B534)/B534</f>
        <v/>
      </c>
    </row>
    <row r="587">
      <c r="A587" s="23" t="n">
        <v>31467</v>
      </c>
      <c r="B587" s="25">
        <f>VLOOKUP(Table2634[[#This Row],[Date]],'DB Money Supply'!$A:$D,4)</f>
        <v/>
      </c>
      <c r="C587" s="31">
        <f>(Table2634[[#This Row],[M1 Money Stock, Billions of Dollars, Weekly, Seasonally Adjusted]]-B586)/B586</f>
        <v/>
      </c>
      <c r="D587" s="35">
        <f>((1+Table2634[[#This Row],[Weekly change]])^52)-1</f>
        <v/>
      </c>
      <c r="E587" s="25">
        <f>AVERAGE(B584:B587)</f>
        <v/>
      </c>
      <c r="F587" s="33">
        <f>(Table2634[[#This Row],[4 weeks average]]-B535)/B535</f>
        <v/>
      </c>
    </row>
    <row r="588">
      <c r="A588" s="23" t="n">
        <v>31474</v>
      </c>
      <c r="B588" s="25">
        <f>VLOOKUP(Table2634[[#This Row],[Date]],'DB Money Supply'!$A:$D,4)</f>
        <v/>
      </c>
      <c r="C588" s="31">
        <f>(Table2634[[#This Row],[M1 Money Stock, Billions of Dollars, Weekly, Seasonally Adjusted]]-B587)/B587</f>
        <v/>
      </c>
      <c r="D588" s="35">
        <f>((1+Table2634[[#This Row],[Weekly change]])^52)-1</f>
        <v/>
      </c>
      <c r="E588" s="25">
        <f>AVERAGE(B585:B588)</f>
        <v/>
      </c>
      <c r="F588" s="33">
        <f>(Table2634[[#This Row],[4 weeks average]]-B536)/B536</f>
        <v/>
      </c>
    </row>
    <row r="589">
      <c r="A589" s="23" t="n">
        <v>31481</v>
      </c>
      <c r="B589" s="25">
        <f>VLOOKUP(Table2634[[#This Row],[Date]],'DB Money Supply'!$A:$D,4)</f>
        <v/>
      </c>
      <c r="C589" s="31">
        <f>(Table2634[[#This Row],[M1 Money Stock, Billions of Dollars, Weekly, Seasonally Adjusted]]-B588)/B588</f>
        <v/>
      </c>
      <c r="D589" s="35">
        <f>((1+Table2634[[#This Row],[Weekly change]])^52)-1</f>
        <v/>
      </c>
      <c r="E589" s="25">
        <f>AVERAGE(B586:B589)</f>
        <v/>
      </c>
      <c r="F589" s="33">
        <f>(Table2634[[#This Row],[4 weeks average]]-B537)/B537</f>
        <v/>
      </c>
    </row>
    <row r="590">
      <c r="A590" s="23" t="n">
        <v>31488</v>
      </c>
      <c r="B590" s="25">
        <f>VLOOKUP(Table2634[[#This Row],[Date]],'DB Money Supply'!$A:$D,4)</f>
        <v/>
      </c>
      <c r="C590" s="31">
        <f>(Table2634[[#This Row],[M1 Money Stock, Billions of Dollars, Weekly, Seasonally Adjusted]]-B589)/B589</f>
        <v/>
      </c>
      <c r="D590" s="35">
        <f>((1+Table2634[[#This Row],[Weekly change]])^52)-1</f>
        <v/>
      </c>
      <c r="E590" s="25">
        <f>AVERAGE(B587:B590)</f>
        <v/>
      </c>
      <c r="F590" s="33">
        <f>(Table2634[[#This Row],[4 weeks average]]-B538)/B538</f>
        <v/>
      </c>
    </row>
    <row r="591">
      <c r="A591" s="23" t="n">
        <v>31495</v>
      </c>
      <c r="B591" s="25">
        <f>VLOOKUP(Table2634[[#This Row],[Date]],'DB Money Supply'!$A:$D,4)</f>
        <v/>
      </c>
      <c r="C591" s="31">
        <f>(Table2634[[#This Row],[M1 Money Stock, Billions of Dollars, Weekly, Seasonally Adjusted]]-B590)/B590</f>
        <v/>
      </c>
      <c r="D591" s="35">
        <f>((1+Table2634[[#This Row],[Weekly change]])^52)-1</f>
        <v/>
      </c>
      <c r="E591" s="25">
        <f>AVERAGE(B588:B591)</f>
        <v/>
      </c>
      <c r="F591" s="33">
        <f>(Table2634[[#This Row],[4 weeks average]]-B539)/B539</f>
        <v/>
      </c>
    </row>
    <row r="592">
      <c r="A592" s="23" t="n">
        <v>31502</v>
      </c>
      <c r="B592" s="25">
        <f>VLOOKUP(Table2634[[#This Row],[Date]],'DB Money Supply'!$A:$D,4)</f>
        <v/>
      </c>
      <c r="C592" s="31">
        <f>(Table2634[[#This Row],[M1 Money Stock, Billions of Dollars, Weekly, Seasonally Adjusted]]-B591)/B591</f>
        <v/>
      </c>
      <c r="D592" s="35">
        <f>((1+Table2634[[#This Row],[Weekly change]])^52)-1</f>
        <v/>
      </c>
      <c r="E592" s="25">
        <f>AVERAGE(B589:B592)</f>
        <v/>
      </c>
      <c r="F592" s="33">
        <f>(Table2634[[#This Row],[4 weeks average]]-B540)/B540</f>
        <v/>
      </c>
    </row>
    <row r="593">
      <c r="A593" s="23" t="n">
        <v>31509</v>
      </c>
      <c r="B593" s="25">
        <f>VLOOKUP(Table2634[[#This Row],[Date]],'DB Money Supply'!$A:$D,4)</f>
        <v/>
      </c>
      <c r="C593" s="31">
        <f>(Table2634[[#This Row],[M1 Money Stock, Billions of Dollars, Weekly, Seasonally Adjusted]]-B592)/B592</f>
        <v/>
      </c>
      <c r="D593" s="35">
        <f>((1+Table2634[[#This Row],[Weekly change]])^52)-1</f>
        <v/>
      </c>
      <c r="E593" s="25">
        <f>AVERAGE(B590:B593)</f>
        <v/>
      </c>
      <c r="F593" s="33">
        <f>(Table2634[[#This Row],[4 weeks average]]-B541)/B541</f>
        <v/>
      </c>
    </row>
    <row r="594">
      <c r="A594" s="23" t="n">
        <v>31516</v>
      </c>
      <c r="B594" s="25">
        <f>VLOOKUP(Table2634[[#This Row],[Date]],'DB Money Supply'!$A:$D,4)</f>
        <v/>
      </c>
      <c r="C594" s="31">
        <f>(Table2634[[#This Row],[M1 Money Stock, Billions of Dollars, Weekly, Seasonally Adjusted]]-B593)/B593</f>
        <v/>
      </c>
      <c r="D594" s="35">
        <f>((1+Table2634[[#This Row],[Weekly change]])^52)-1</f>
        <v/>
      </c>
      <c r="E594" s="25">
        <f>AVERAGE(B591:B594)</f>
        <v/>
      </c>
      <c r="F594" s="33">
        <f>(Table2634[[#This Row],[4 weeks average]]-B542)/B542</f>
        <v/>
      </c>
    </row>
    <row r="595">
      <c r="A595" s="23" t="n">
        <v>31523</v>
      </c>
      <c r="B595" s="25">
        <f>VLOOKUP(Table2634[[#This Row],[Date]],'DB Money Supply'!$A:$D,4)</f>
        <v/>
      </c>
      <c r="C595" s="31">
        <f>(Table2634[[#This Row],[M1 Money Stock, Billions of Dollars, Weekly, Seasonally Adjusted]]-B594)/B594</f>
        <v/>
      </c>
      <c r="D595" s="35">
        <f>((1+Table2634[[#This Row],[Weekly change]])^52)-1</f>
        <v/>
      </c>
      <c r="E595" s="25">
        <f>AVERAGE(B592:B595)</f>
        <v/>
      </c>
      <c r="F595" s="33">
        <f>(Table2634[[#This Row],[4 weeks average]]-B543)/B543</f>
        <v/>
      </c>
    </row>
    <row r="596">
      <c r="A596" s="23" t="n">
        <v>31530</v>
      </c>
      <c r="B596" s="25">
        <f>VLOOKUP(Table2634[[#This Row],[Date]],'DB Money Supply'!$A:$D,4)</f>
        <v/>
      </c>
      <c r="C596" s="31">
        <f>(Table2634[[#This Row],[M1 Money Stock, Billions of Dollars, Weekly, Seasonally Adjusted]]-B595)/B595</f>
        <v/>
      </c>
      <c r="D596" s="35">
        <f>((1+Table2634[[#This Row],[Weekly change]])^52)-1</f>
        <v/>
      </c>
      <c r="E596" s="25">
        <f>AVERAGE(B593:B596)</f>
        <v/>
      </c>
      <c r="F596" s="33">
        <f>(Table2634[[#This Row],[4 weeks average]]-B544)/B544</f>
        <v/>
      </c>
    </row>
    <row r="597">
      <c r="A597" s="23" t="n">
        <v>31537</v>
      </c>
      <c r="B597" s="25">
        <f>VLOOKUP(Table2634[[#This Row],[Date]],'DB Money Supply'!$A:$D,4)</f>
        <v/>
      </c>
      <c r="C597" s="31">
        <f>(Table2634[[#This Row],[M1 Money Stock, Billions of Dollars, Weekly, Seasonally Adjusted]]-B596)/B596</f>
        <v/>
      </c>
      <c r="D597" s="35">
        <f>((1+Table2634[[#This Row],[Weekly change]])^52)-1</f>
        <v/>
      </c>
      <c r="E597" s="25">
        <f>AVERAGE(B594:B597)</f>
        <v/>
      </c>
      <c r="F597" s="33">
        <f>(Table2634[[#This Row],[4 weeks average]]-B545)/B545</f>
        <v/>
      </c>
    </row>
    <row r="598">
      <c r="A598" s="23" t="n">
        <v>31544</v>
      </c>
      <c r="B598" s="25">
        <f>VLOOKUP(Table2634[[#This Row],[Date]],'DB Money Supply'!$A:$D,4)</f>
        <v/>
      </c>
      <c r="C598" s="31">
        <f>(Table2634[[#This Row],[M1 Money Stock, Billions of Dollars, Weekly, Seasonally Adjusted]]-B597)/B597</f>
        <v/>
      </c>
      <c r="D598" s="35">
        <f>((1+Table2634[[#This Row],[Weekly change]])^52)-1</f>
        <v/>
      </c>
      <c r="E598" s="25">
        <f>AVERAGE(B595:B598)</f>
        <v/>
      </c>
      <c r="F598" s="33">
        <f>(Table2634[[#This Row],[4 weeks average]]-B546)/B546</f>
        <v/>
      </c>
    </row>
    <row r="599">
      <c r="A599" s="23" t="n">
        <v>31551</v>
      </c>
      <c r="B599" s="25">
        <f>VLOOKUP(Table2634[[#This Row],[Date]],'DB Money Supply'!$A:$D,4)</f>
        <v/>
      </c>
      <c r="C599" s="31">
        <f>(Table2634[[#This Row],[M1 Money Stock, Billions of Dollars, Weekly, Seasonally Adjusted]]-B598)/B598</f>
        <v/>
      </c>
      <c r="D599" s="35">
        <f>((1+Table2634[[#This Row],[Weekly change]])^52)-1</f>
        <v/>
      </c>
      <c r="E599" s="25">
        <f>AVERAGE(B596:B599)</f>
        <v/>
      </c>
      <c r="F599" s="33">
        <f>(Table2634[[#This Row],[4 weeks average]]-B547)/B547</f>
        <v/>
      </c>
    </row>
    <row r="600">
      <c r="A600" s="23" t="n">
        <v>31558</v>
      </c>
      <c r="B600" s="25">
        <f>VLOOKUP(Table2634[[#This Row],[Date]],'DB Money Supply'!$A:$D,4)</f>
        <v/>
      </c>
      <c r="C600" s="31">
        <f>(Table2634[[#This Row],[M1 Money Stock, Billions of Dollars, Weekly, Seasonally Adjusted]]-B599)/B599</f>
        <v/>
      </c>
      <c r="D600" s="35">
        <f>((1+Table2634[[#This Row],[Weekly change]])^52)-1</f>
        <v/>
      </c>
      <c r="E600" s="25">
        <f>AVERAGE(B597:B600)</f>
        <v/>
      </c>
      <c r="F600" s="33">
        <f>(Table2634[[#This Row],[4 weeks average]]-B548)/B548</f>
        <v/>
      </c>
    </row>
    <row r="601">
      <c r="A601" s="23" t="n">
        <v>31565</v>
      </c>
      <c r="B601" s="25">
        <f>VLOOKUP(Table2634[[#This Row],[Date]],'DB Money Supply'!$A:$D,4)</f>
        <v/>
      </c>
      <c r="C601" s="31">
        <f>(Table2634[[#This Row],[M1 Money Stock, Billions of Dollars, Weekly, Seasonally Adjusted]]-B600)/B600</f>
        <v/>
      </c>
      <c r="D601" s="35">
        <f>((1+Table2634[[#This Row],[Weekly change]])^52)-1</f>
        <v/>
      </c>
      <c r="E601" s="25">
        <f>AVERAGE(B598:B601)</f>
        <v/>
      </c>
      <c r="F601" s="33">
        <f>(Table2634[[#This Row],[4 weeks average]]-B549)/B549</f>
        <v/>
      </c>
    </row>
    <row r="602">
      <c r="A602" s="23" t="n">
        <v>31572</v>
      </c>
      <c r="B602" s="25">
        <f>VLOOKUP(Table2634[[#This Row],[Date]],'DB Money Supply'!$A:$D,4)</f>
        <v/>
      </c>
      <c r="C602" s="31">
        <f>(Table2634[[#This Row],[M1 Money Stock, Billions of Dollars, Weekly, Seasonally Adjusted]]-B601)/B601</f>
        <v/>
      </c>
      <c r="D602" s="35">
        <f>((1+Table2634[[#This Row],[Weekly change]])^52)-1</f>
        <v/>
      </c>
      <c r="E602" s="25">
        <f>AVERAGE(B599:B602)</f>
        <v/>
      </c>
      <c r="F602" s="33">
        <f>(Table2634[[#This Row],[4 weeks average]]-B550)/B550</f>
        <v/>
      </c>
    </row>
    <row r="603">
      <c r="A603" s="23" t="n">
        <v>31579</v>
      </c>
      <c r="B603" s="25">
        <f>VLOOKUP(Table2634[[#This Row],[Date]],'DB Money Supply'!$A:$D,4)</f>
        <v/>
      </c>
      <c r="C603" s="31">
        <f>(Table2634[[#This Row],[M1 Money Stock, Billions of Dollars, Weekly, Seasonally Adjusted]]-B602)/B602</f>
        <v/>
      </c>
      <c r="D603" s="35">
        <f>((1+Table2634[[#This Row],[Weekly change]])^52)-1</f>
        <v/>
      </c>
      <c r="E603" s="25">
        <f>AVERAGE(B600:B603)</f>
        <v/>
      </c>
      <c r="F603" s="33">
        <f>(Table2634[[#This Row],[4 weeks average]]-B551)/B551</f>
        <v/>
      </c>
    </row>
    <row r="604">
      <c r="A604" s="23" t="n">
        <v>31586</v>
      </c>
      <c r="B604" s="25">
        <f>VLOOKUP(Table2634[[#This Row],[Date]],'DB Money Supply'!$A:$D,4)</f>
        <v/>
      </c>
      <c r="C604" s="31">
        <f>(Table2634[[#This Row],[M1 Money Stock, Billions of Dollars, Weekly, Seasonally Adjusted]]-B603)/B603</f>
        <v/>
      </c>
      <c r="D604" s="35">
        <f>((1+Table2634[[#This Row],[Weekly change]])^52)-1</f>
        <v/>
      </c>
      <c r="E604" s="25">
        <f>AVERAGE(B601:B604)</f>
        <v/>
      </c>
      <c r="F604" s="33">
        <f>(Table2634[[#This Row],[4 weeks average]]-B552)/B552</f>
        <v/>
      </c>
    </row>
    <row r="605">
      <c r="A605" s="23" t="n">
        <v>31593</v>
      </c>
      <c r="B605" s="25">
        <f>VLOOKUP(Table2634[[#This Row],[Date]],'DB Money Supply'!$A:$D,4)</f>
        <v/>
      </c>
      <c r="C605" s="31">
        <f>(Table2634[[#This Row],[M1 Money Stock, Billions of Dollars, Weekly, Seasonally Adjusted]]-B604)/B604</f>
        <v/>
      </c>
      <c r="D605" s="35">
        <f>((1+Table2634[[#This Row],[Weekly change]])^52)-1</f>
        <v/>
      </c>
      <c r="E605" s="25">
        <f>AVERAGE(B602:B605)</f>
        <v/>
      </c>
      <c r="F605" s="33">
        <f>(Table2634[[#This Row],[4 weeks average]]-B553)/B553</f>
        <v/>
      </c>
    </row>
    <row r="606">
      <c r="A606" s="23" t="n">
        <v>31600</v>
      </c>
      <c r="B606" s="25">
        <f>VLOOKUP(Table2634[[#This Row],[Date]],'DB Money Supply'!$A:$D,4)</f>
        <v/>
      </c>
      <c r="C606" s="31">
        <f>(Table2634[[#This Row],[M1 Money Stock, Billions of Dollars, Weekly, Seasonally Adjusted]]-B605)/B605</f>
        <v/>
      </c>
      <c r="D606" s="35">
        <f>((1+Table2634[[#This Row],[Weekly change]])^52)-1</f>
        <v/>
      </c>
      <c r="E606" s="25">
        <f>AVERAGE(B603:B606)</f>
        <v/>
      </c>
      <c r="F606" s="33">
        <f>(Table2634[[#This Row],[4 weeks average]]-B554)/B554</f>
        <v/>
      </c>
    </row>
    <row r="607">
      <c r="A607" s="23" t="n">
        <v>31607</v>
      </c>
      <c r="B607" s="25">
        <f>VLOOKUP(Table2634[[#This Row],[Date]],'DB Money Supply'!$A:$D,4)</f>
        <v/>
      </c>
      <c r="C607" s="31">
        <f>(Table2634[[#This Row],[M1 Money Stock, Billions of Dollars, Weekly, Seasonally Adjusted]]-B606)/B606</f>
        <v/>
      </c>
      <c r="D607" s="35">
        <f>((1+Table2634[[#This Row],[Weekly change]])^52)-1</f>
        <v/>
      </c>
      <c r="E607" s="25">
        <f>AVERAGE(B604:B607)</f>
        <v/>
      </c>
      <c r="F607" s="33">
        <f>(Table2634[[#This Row],[4 weeks average]]-B555)/B555</f>
        <v/>
      </c>
    </row>
    <row r="608">
      <c r="A608" s="23" t="n">
        <v>31614</v>
      </c>
      <c r="B608" s="25">
        <f>VLOOKUP(Table2634[[#This Row],[Date]],'DB Money Supply'!$A:$D,4)</f>
        <v/>
      </c>
      <c r="C608" s="31">
        <f>(Table2634[[#This Row],[M1 Money Stock, Billions of Dollars, Weekly, Seasonally Adjusted]]-B607)/B607</f>
        <v/>
      </c>
      <c r="D608" s="35">
        <f>((1+Table2634[[#This Row],[Weekly change]])^52)-1</f>
        <v/>
      </c>
      <c r="E608" s="25">
        <f>AVERAGE(B605:B608)</f>
        <v/>
      </c>
      <c r="F608" s="33">
        <f>(Table2634[[#This Row],[4 weeks average]]-B556)/B556</f>
        <v/>
      </c>
    </row>
    <row r="609">
      <c r="A609" s="23" t="n">
        <v>31621</v>
      </c>
      <c r="B609" s="25">
        <f>VLOOKUP(Table2634[[#This Row],[Date]],'DB Money Supply'!$A:$D,4)</f>
        <v/>
      </c>
      <c r="C609" s="31">
        <f>(Table2634[[#This Row],[M1 Money Stock, Billions of Dollars, Weekly, Seasonally Adjusted]]-B608)/B608</f>
        <v/>
      </c>
      <c r="D609" s="35">
        <f>((1+Table2634[[#This Row],[Weekly change]])^52)-1</f>
        <v/>
      </c>
      <c r="E609" s="25">
        <f>AVERAGE(B606:B609)</f>
        <v/>
      </c>
      <c r="F609" s="33">
        <f>(Table2634[[#This Row],[4 weeks average]]-B557)/B557</f>
        <v/>
      </c>
    </row>
    <row r="610">
      <c r="A610" s="23" t="n">
        <v>31628</v>
      </c>
      <c r="B610" s="25">
        <f>VLOOKUP(Table2634[[#This Row],[Date]],'DB Money Supply'!$A:$D,4)</f>
        <v/>
      </c>
      <c r="C610" s="31">
        <f>(Table2634[[#This Row],[M1 Money Stock, Billions of Dollars, Weekly, Seasonally Adjusted]]-B609)/B609</f>
        <v/>
      </c>
      <c r="D610" s="35">
        <f>((1+Table2634[[#This Row],[Weekly change]])^52)-1</f>
        <v/>
      </c>
      <c r="E610" s="25">
        <f>AVERAGE(B607:B610)</f>
        <v/>
      </c>
      <c r="F610" s="33">
        <f>(Table2634[[#This Row],[4 weeks average]]-B558)/B558</f>
        <v/>
      </c>
    </row>
    <row r="611">
      <c r="A611" s="23" t="n">
        <v>31635</v>
      </c>
      <c r="B611" s="25">
        <f>VLOOKUP(Table2634[[#This Row],[Date]],'DB Money Supply'!$A:$D,4)</f>
        <v/>
      </c>
      <c r="C611" s="31">
        <f>(Table2634[[#This Row],[M1 Money Stock, Billions of Dollars, Weekly, Seasonally Adjusted]]-B610)/B610</f>
        <v/>
      </c>
      <c r="D611" s="35">
        <f>((1+Table2634[[#This Row],[Weekly change]])^52)-1</f>
        <v/>
      </c>
      <c r="E611" s="25">
        <f>AVERAGE(B608:B611)</f>
        <v/>
      </c>
      <c r="F611" s="33">
        <f>(Table2634[[#This Row],[4 weeks average]]-B559)/B559</f>
        <v/>
      </c>
    </row>
    <row r="612">
      <c r="A612" s="23" t="n">
        <v>31642</v>
      </c>
      <c r="B612" s="25">
        <f>VLOOKUP(Table2634[[#This Row],[Date]],'DB Money Supply'!$A:$D,4)</f>
        <v/>
      </c>
      <c r="C612" s="31">
        <f>(Table2634[[#This Row],[M1 Money Stock, Billions of Dollars, Weekly, Seasonally Adjusted]]-B611)/B611</f>
        <v/>
      </c>
      <c r="D612" s="35">
        <f>((1+Table2634[[#This Row],[Weekly change]])^52)-1</f>
        <v/>
      </c>
      <c r="E612" s="25">
        <f>AVERAGE(B609:B612)</f>
        <v/>
      </c>
      <c r="F612" s="33">
        <f>(Table2634[[#This Row],[4 weeks average]]-B560)/B560</f>
        <v/>
      </c>
    </row>
    <row r="613">
      <c r="A613" s="23" t="n">
        <v>31649</v>
      </c>
      <c r="B613" s="25">
        <f>VLOOKUP(Table2634[[#This Row],[Date]],'DB Money Supply'!$A:$D,4)</f>
        <v/>
      </c>
      <c r="C613" s="31">
        <f>(Table2634[[#This Row],[M1 Money Stock, Billions of Dollars, Weekly, Seasonally Adjusted]]-B612)/B612</f>
        <v/>
      </c>
      <c r="D613" s="35">
        <f>((1+Table2634[[#This Row],[Weekly change]])^52)-1</f>
        <v/>
      </c>
      <c r="E613" s="25">
        <f>AVERAGE(B610:B613)</f>
        <v/>
      </c>
      <c r="F613" s="33">
        <f>(Table2634[[#This Row],[4 weeks average]]-B561)/B561</f>
        <v/>
      </c>
    </row>
    <row r="614">
      <c r="A614" s="23" t="n">
        <v>31656</v>
      </c>
      <c r="B614" s="25">
        <f>VLOOKUP(Table2634[[#This Row],[Date]],'DB Money Supply'!$A:$D,4)</f>
        <v/>
      </c>
      <c r="C614" s="31">
        <f>(Table2634[[#This Row],[M1 Money Stock, Billions of Dollars, Weekly, Seasonally Adjusted]]-B613)/B613</f>
        <v/>
      </c>
      <c r="D614" s="35">
        <f>((1+Table2634[[#This Row],[Weekly change]])^52)-1</f>
        <v/>
      </c>
      <c r="E614" s="25">
        <f>AVERAGE(B611:B614)</f>
        <v/>
      </c>
      <c r="F614" s="33">
        <f>(Table2634[[#This Row],[4 weeks average]]-B562)/B562</f>
        <v/>
      </c>
    </row>
    <row r="615">
      <c r="A615" s="23" t="n">
        <v>31663</v>
      </c>
      <c r="B615" s="25">
        <f>VLOOKUP(Table2634[[#This Row],[Date]],'DB Money Supply'!$A:$D,4)</f>
        <v/>
      </c>
      <c r="C615" s="31">
        <f>(Table2634[[#This Row],[M1 Money Stock, Billions of Dollars, Weekly, Seasonally Adjusted]]-B614)/B614</f>
        <v/>
      </c>
      <c r="D615" s="35">
        <f>((1+Table2634[[#This Row],[Weekly change]])^52)-1</f>
        <v/>
      </c>
      <c r="E615" s="25">
        <f>AVERAGE(B612:B615)</f>
        <v/>
      </c>
      <c r="F615" s="33">
        <f>(Table2634[[#This Row],[4 weeks average]]-B563)/B563</f>
        <v/>
      </c>
    </row>
    <row r="616">
      <c r="A616" s="23" t="n">
        <v>31670</v>
      </c>
      <c r="B616" s="25">
        <f>VLOOKUP(Table2634[[#This Row],[Date]],'DB Money Supply'!$A:$D,4)</f>
        <v/>
      </c>
      <c r="C616" s="31">
        <f>(Table2634[[#This Row],[M1 Money Stock, Billions of Dollars, Weekly, Seasonally Adjusted]]-B615)/B615</f>
        <v/>
      </c>
      <c r="D616" s="35">
        <f>((1+Table2634[[#This Row],[Weekly change]])^52)-1</f>
        <v/>
      </c>
      <c r="E616" s="25">
        <f>AVERAGE(B613:B616)</f>
        <v/>
      </c>
      <c r="F616" s="33">
        <f>(Table2634[[#This Row],[4 weeks average]]-B564)/B564</f>
        <v/>
      </c>
    </row>
    <row r="617">
      <c r="A617" s="23" t="n">
        <v>31677</v>
      </c>
      <c r="B617" s="25">
        <f>VLOOKUP(Table2634[[#This Row],[Date]],'DB Money Supply'!$A:$D,4)</f>
        <v/>
      </c>
      <c r="C617" s="31">
        <f>(Table2634[[#This Row],[M1 Money Stock, Billions of Dollars, Weekly, Seasonally Adjusted]]-B616)/B616</f>
        <v/>
      </c>
      <c r="D617" s="35">
        <f>((1+Table2634[[#This Row],[Weekly change]])^52)-1</f>
        <v/>
      </c>
      <c r="E617" s="25">
        <f>AVERAGE(B614:B617)</f>
        <v/>
      </c>
      <c r="F617" s="33">
        <f>(Table2634[[#This Row],[4 weeks average]]-B565)/B565</f>
        <v/>
      </c>
    </row>
    <row r="618">
      <c r="A618" s="23" t="n">
        <v>31684</v>
      </c>
      <c r="B618" s="25">
        <f>VLOOKUP(Table2634[[#This Row],[Date]],'DB Money Supply'!$A:$D,4)</f>
        <v/>
      </c>
      <c r="C618" s="31">
        <f>(Table2634[[#This Row],[M1 Money Stock, Billions of Dollars, Weekly, Seasonally Adjusted]]-B617)/B617</f>
        <v/>
      </c>
      <c r="D618" s="35">
        <f>((1+Table2634[[#This Row],[Weekly change]])^52)-1</f>
        <v/>
      </c>
      <c r="E618" s="25">
        <f>AVERAGE(B615:B618)</f>
        <v/>
      </c>
      <c r="F618" s="33">
        <f>(Table2634[[#This Row],[4 weeks average]]-B566)/B566</f>
        <v/>
      </c>
    </row>
    <row r="619">
      <c r="A619" s="23" t="n">
        <v>31691</v>
      </c>
      <c r="B619" s="25">
        <f>VLOOKUP(Table2634[[#This Row],[Date]],'DB Money Supply'!$A:$D,4)</f>
        <v/>
      </c>
      <c r="C619" s="31">
        <f>(Table2634[[#This Row],[M1 Money Stock, Billions of Dollars, Weekly, Seasonally Adjusted]]-B618)/B618</f>
        <v/>
      </c>
      <c r="D619" s="35">
        <f>((1+Table2634[[#This Row],[Weekly change]])^52)-1</f>
        <v/>
      </c>
      <c r="E619" s="25">
        <f>AVERAGE(B616:B619)</f>
        <v/>
      </c>
      <c r="F619" s="33">
        <f>(Table2634[[#This Row],[4 weeks average]]-B567)/B567</f>
        <v/>
      </c>
    </row>
    <row r="620">
      <c r="A620" s="23" t="n">
        <v>31698</v>
      </c>
      <c r="B620" s="25">
        <f>VLOOKUP(Table2634[[#This Row],[Date]],'DB Money Supply'!$A:$D,4)</f>
        <v/>
      </c>
      <c r="C620" s="31">
        <f>(Table2634[[#This Row],[M1 Money Stock, Billions of Dollars, Weekly, Seasonally Adjusted]]-B619)/B619</f>
        <v/>
      </c>
      <c r="D620" s="35">
        <f>((1+Table2634[[#This Row],[Weekly change]])^52)-1</f>
        <v/>
      </c>
      <c r="E620" s="25">
        <f>AVERAGE(B617:B620)</f>
        <v/>
      </c>
      <c r="F620" s="33">
        <f>(Table2634[[#This Row],[4 weeks average]]-B568)/B568</f>
        <v/>
      </c>
    </row>
    <row r="621">
      <c r="A621" s="23" t="n">
        <v>31705</v>
      </c>
      <c r="B621" s="25">
        <f>VLOOKUP(Table2634[[#This Row],[Date]],'DB Money Supply'!$A:$D,4)</f>
        <v/>
      </c>
      <c r="C621" s="31">
        <f>(Table2634[[#This Row],[M1 Money Stock, Billions of Dollars, Weekly, Seasonally Adjusted]]-B620)/B620</f>
        <v/>
      </c>
      <c r="D621" s="35">
        <f>((1+Table2634[[#This Row],[Weekly change]])^52)-1</f>
        <v/>
      </c>
      <c r="E621" s="25">
        <f>AVERAGE(B618:B621)</f>
        <v/>
      </c>
      <c r="F621" s="33">
        <f>(Table2634[[#This Row],[4 weeks average]]-B569)/B569</f>
        <v/>
      </c>
    </row>
    <row r="622">
      <c r="A622" s="23" t="n">
        <v>31712</v>
      </c>
      <c r="B622" s="25">
        <f>VLOOKUP(Table2634[[#This Row],[Date]],'DB Money Supply'!$A:$D,4)</f>
        <v/>
      </c>
      <c r="C622" s="31">
        <f>(Table2634[[#This Row],[M1 Money Stock, Billions of Dollars, Weekly, Seasonally Adjusted]]-B621)/B621</f>
        <v/>
      </c>
      <c r="D622" s="35">
        <f>((1+Table2634[[#This Row],[Weekly change]])^52)-1</f>
        <v/>
      </c>
      <c r="E622" s="25">
        <f>AVERAGE(B619:B622)</f>
        <v/>
      </c>
      <c r="F622" s="33">
        <f>(Table2634[[#This Row],[4 weeks average]]-B570)/B570</f>
        <v/>
      </c>
    </row>
    <row r="623">
      <c r="A623" s="23" t="n">
        <v>31719</v>
      </c>
      <c r="B623" s="25">
        <f>VLOOKUP(Table2634[[#This Row],[Date]],'DB Money Supply'!$A:$D,4)</f>
        <v/>
      </c>
      <c r="C623" s="31">
        <f>(Table2634[[#This Row],[M1 Money Stock, Billions of Dollars, Weekly, Seasonally Adjusted]]-B622)/B622</f>
        <v/>
      </c>
      <c r="D623" s="35">
        <f>((1+Table2634[[#This Row],[Weekly change]])^52)-1</f>
        <v/>
      </c>
      <c r="E623" s="25">
        <f>AVERAGE(B620:B623)</f>
        <v/>
      </c>
      <c r="F623" s="33">
        <f>(Table2634[[#This Row],[4 weeks average]]-B571)/B571</f>
        <v/>
      </c>
    </row>
    <row r="624">
      <c r="A624" s="23" t="n">
        <v>31726</v>
      </c>
      <c r="B624" s="25">
        <f>VLOOKUP(Table2634[[#This Row],[Date]],'DB Money Supply'!$A:$D,4)</f>
        <v/>
      </c>
      <c r="C624" s="31">
        <f>(Table2634[[#This Row],[M1 Money Stock, Billions of Dollars, Weekly, Seasonally Adjusted]]-B623)/B623</f>
        <v/>
      </c>
      <c r="D624" s="35">
        <f>((1+Table2634[[#This Row],[Weekly change]])^52)-1</f>
        <v/>
      </c>
      <c r="E624" s="25">
        <f>AVERAGE(B621:B624)</f>
        <v/>
      </c>
      <c r="F624" s="33">
        <f>(Table2634[[#This Row],[4 weeks average]]-B572)/B572</f>
        <v/>
      </c>
    </row>
    <row r="625">
      <c r="A625" s="23" t="n">
        <v>31733</v>
      </c>
      <c r="B625" s="25">
        <f>VLOOKUP(Table2634[[#This Row],[Date]],'DB Money Supply'!$A:$D,4)</f>
        <v/>
      </c>
      <c r="C625" s="31">
        <f>(Table2634[[#This Row],[M1 Money Stock, Billions of Dollars, Weekly, Seasonally Adjusted]]-B624)/B624</f>
        <v/>
      </c>
      <c r="D625" s="35">
        <f>((1+Table2634[[#This Row],[Weekly change]])^52)-1</f>
        <v/>
      </c>
      <c r="E625" s="25">
        <f>AVERAGE(B622:B625)</f>
        <v/>
      </c>
      <c r="F625" s="33">
        <f>(Table2634[[#This Row],[4 weeks average]]-B573)/B573</f>
        <v/>
      </c>
    </row>
    <row r="626">
      <c r="A626" s="23" t="n">
        <v>31740</v>
      </c>
      <c r="B626" s="25">
        <f>VLOOKUP(Table2634[[#This Row],[Date]],'DB Money Supply'!$A:$D,4)</f>
        <v/>
      </c>
      <c r="C626" s="31">
        <f>(Table2634[[#This Row],[M1 Money Stock, Billions of Dollars, Weekly, Seasonally Adjusted]]-B625)/B625</f>
        <v/>
      </c>
      <c r="D626" s="35">
        <f>((1+Table2634[[#This Row],[Weekly change]])^52)-1</f>
        <v/>
      </c>
      <c r="E626" s="25">
        <f>AVERAGE(B623:B626)</f>
        <v/>
      </c>
      <c r="F626" s="33">
        <f>(Table2634[[#This Row],[4 weeks average]]-B574)/B574</f>
        <v/>
      </c>
    </row>
    <row r="627">
      <c r="A627" s="23" t="n">
        <v>31747</v>
      </c>
      <c r="B627" s="25">
        <f>VLOOKUP(Table2634[[#This Row],[Date]],'DB Money Supply'!$A:$D,4)</f>
        <v/>
      </c>
      <c r="C627" s="31">
        <f>(Table2634[[#This Row],[M1 Money Stock, Billions of Dollars, Weekly, Seasonally Adjusted]]-B626)/B626</f>
        <v/>
      </c>
      <c r="D627" s="35">
        <f>((1+Table2634[[#This Row],[Weekly change]])^52)-1</f>
        <v/>
      </c>
      <c r="E627" s="25">
        <f>AVERAGE(B624:B627)</f>
        <v/>
      </c>
      <c r="F627" s="33">
        <f>(Table2634[[#This Row],[4 weeks average]]-B575)/B575</f>
        <v/>
      </c>
    </row>
    <row r="628">
      <c r="A628" s="23" t="n">
        <v>31754</v>
      </c>
      <c r="B628" s="25">
        <f>VLOOKUP(Table2634[[#This Row],[Date]],'DB Money Supply'!$A:$D,4)</f>
        <v/>
      </c>
      <c r="C628" s="31">
        <f>(Table2634[[#This Row],[M1 Money Stock, Billions of Dollars, Weekly, Seasonally Adjusted]]-B627)/B627</f>
        <v/>
      </c>
      <c r="D628" s="35">
        <f>((1+Table2634[[#This Row],[Weekly change]])^52)-1</f>
        <v/>
      </c>
      <c r="E628" s="25">
        <f>AVERAGE(B625:B628)</f>
        <v/>
      </c>
      <c r="F628" s="33">
        <f>(Table2634[[#This Row],[4 weeks average]]-B576)/B576</f>
        <v/>
      </c>
    </row>
    <row r="629">
      <c r="A629" s="23" t="n">
        <v>31761</v>
      </c>
      <c r="B629" s="25">
        <f>VLOOKUP(Table2634[[#This Row],[Date]],'DB Money Supply'!$A:$D,4)</f>
        <v/>
      </c>
      <c r="C629" s="31">
        <f>(Table2634[[#This Row],[M1 Money Stock, Billions of Dollars, Weekly, Seasonally Adjusted]]-B628)/B628</f>
        <v/>
      </c>
      <c r="D629" s="35">
        <f>((1+Table2634[[#This Row],[Weekly change]])^52)-1</f>
        <v/>
      </c>
      <c r="E629" s="25">
        <f>AVERAGE(B626:B629)</f>
        <v/>
      </c>
      <c r="F629" s="33">
        <f>(Table2634[[#This Row],[4 weeks average]]-B577)/B577</f>
        <v/>
      </c>
    </row>
    <row r="630">
      <c r="A630" s="23" t="n">
        <v>31768</v>
      </c>
      <c r="B630" s="25">
        <f>VLOOKUP(Table2634[[#This Row],[Date]],'DB Money Supply'!$A:$D,4)</f>
        <v/>
      </c>
      <c r="C630" s="31">
        <f>(Table2634[[#This Row],[M1 Money Stock, Billions of Dollars, Weekly, Seasonally Adjusted]]-B629)/B629</f>
        <v/>
      </c>
      <c r="D630" s="35">
        <f>((1+Table2634[[#This Row],[Weekly change]])^52)-1</f>
        <v/>
      </c>
      <c r="E630" s="25">
        <f>AVERAGE(B627:B630)</f>
        <v/>
      </c>
      <c r="F630" s="33">
        <f>(Table2634[[#This Row],[4 weeks average]]-B578)/B578</f>
        <v/>
      </c>
    </row>
    <row r="631">
      <c r="A631" s="23" t="n">
        <v>31775</v>
      </c>
      <c r="B631" s="25">
        <f>VLOOKUP(Table2634[[#This Row],[Date]],'DB Money Supply'!$A:$D,4)</f>
        <v/>
      </c>
      <c r="C631" s="31">
        <f>(Table2634[[#This Row],[M1 Money Stock, Billions of Dollars, Weekly, Seasonally Adjusted]]-B630)/B630</f>
        <v/>
      </c>
      <c r="D631" s="35">
        <f>((1+Table2634[[#This Row],[Weekly change]])^52)-1</f>
        <v/>
      </c>
      <c r="E631" s="25">
        <f>AVERAGE(B628:B631)</f>
        <v/>
      </c>
      <c r="F631" s="33">
        <f>(Table2634[[#This Row],[4 weeks average]]-B579)/B579</f>
        <v/>
      </c>
    </row>
    <row r="632">
      <c r="A632" s="23" t="n">
        <v>31782</v>
      </c>
      <c r="B632" s="25">
        <f>VLOOKUP(Table2634[[#This Row],[Date]],'DB Money Supply'!$A:$D,4)</f>
        <v/>
      </c>
      <c r="C632" s="31">
        <f>(Table2634[[#This Row],[M1 Money Stock, Billions of Dollars, Weekly, Seasonally Adjusted]]-B631)/B631</f>
        <v/>
      </c>
      <c r="D632" s="35">
        <f>((1+Table2634[[#This Row],[Weekly change]])^52)-1</f>
        <v/>
      </c>
      <c r="E632" s="25">
        <f>AVERAGE(B629:B632)</f>
        <v/>
      </c>
      <c r="F632" s="33">
        <f>(Table2634[[#This Row],[4 weeks average]]-B580)/B580</f>
        <v/>
      </c>
    </row>
    <row r="633">
      <c r="A633" s="23" t="n">
        <v>31789</v>
      </c>
      <c r="B633" s="25">
        <f>VLOOKUP(Table2634[[#This Row],[Date]],'DB Money Supply'!$A:$D,4)</f>
        <v/>
      </c>
      <c r="C633" s="31">
        <f>(Table2634[[#This Row],[M1 Money Stock, Billions of Dollars, Weekly, Seasonally Adjusted]]-B632)/B632</f>
        <v/>
      </c>
      <c r="D633" s="35">
        <f>((1+Table2634[[#This Row],[Weekly change]])^52)-1</f>
        <v/>
      </c>
      <c r="E633" s="25">
        <f>AVERAGE(B630:B633)</f>
        <v/>
      </c>
      <c r="F633" s="33">
        <f>(Table2634[[#This Row],[4 weeks average]]-B581)/B581</f>
        <v/>
      </c>
    </row>
    <row r="634">
      <c r="A634" s="23" t="n">
        <v>31796</v>
      </c>
      <c r="B634" s="25">
        <f>VLOOKUP(Table2634[[#This Row],[Date]],'DB Money Supply'!$A:$D,4)</f>
        <v/>
      </c>
      <c r="C634" s="31">
        <f>(Table2634[[#This Row],[M1 Money Stock, Billions of Dollars, Weekly, Seasonally Adjusted]]-B633)/B633</f>
        <v/>
      </c>
      <c r="D634" s="35">
        <f>((1+Table2634[[#This Row],[Weekly change]])^52)-1</f>
        <v/>
      </c>
      <c r="E634" s="25">
        <f>AVERAGE(B631:B634)</f>
        <v/>
      </c>
      <c r="F634" s="33">
        <f>(Table2634[[#This Row],[4 weeks average]]-B582)/B582</f>
        <v/>
      </c>
    </row>
    <row r="635">
      <c r="A635" s="23" t="n">
        <v>31803</v>
      </c>
      <c r="B635" s="25">
        <f>VLOOKUP(Table2634[[#This Row],[Date]],'DB Money Supply'!$A:$D,4)</f>
        <v/>
      </c>
      <c r="C635" s="31">
        <f>(Table2634[[#This Row],[M1 Money Stock, Billions of Dollars, Weekly, Seasonally Adjusted]]-B634)/B634</f>
        <v/>
      </c>
      <c r="D635" s="35">
        <f>((1+Table2634[[#This Row],[Weekly change]])^52)-1</f>
        <v/>
      </c>
      <c r="E635" s="25">
        <f>AVERAGE(B632:B635)</f>
        <v/>
      </c>
      <c r="F635" s="33">
        <f>(Table2634[[#This Row],[4 weeks average]]-B583)/B583</f>
        <v/>
      </c>
    </row>
    <row r="636">
      <c r="A636" s="23" t="n">
        <v>31810</v>
      </c>
      <c r="B636" s="25">
        <f>VLOOKUP(Table2634[[#This Row],[Date]],'DB Money Supply'!$A:$D,4)</f>
        <v/>
      </c>
      <c r="C636" s="31">
        <f>(Table2634[[#This Row],[M1 Money Stock, Billions of Dollars, Weekly, Seasonally Adjusted]]-B635)/B635</f>
        <v/>
      </c>
      <c r="D636" s="35">
        <f>((1+Table2634[[#This Row],[Weekly change]])^52)-1</f>
        <v/>
      </c>
      <c r="E636" s="25">
        <f>AVERAGE(B633:B636)</f>
        <v/>
      </c>
      <c r="F636" s="33">
        <f>(Table2634[[#This Row],[4 weeks average]]-B584)/B584</f>
        <v/>
      </c>
    </row>
    <row r="637">
      <c r="A637" s="23" t="n">
        <v>31817</v>
      </c>
      <c r="B637" s="25">
        <f>VLOOKUP(Table2634[[#This Row],[Date]],'DB Money Supply'!$A:$D,4)</f>
        <v/>
      </c>
      <c r="C637" s="31">
        <f>(Table2634[[#This Row],[M1 Money Stock, Billions of Dollars, Weekly, Seasonally Adjusted]]-B636)/B636</f>
        <v/>
      </c>
      <c r="D637" s="35">
        <f>((1+Table2634[[#This Row],[Weekly change]])^52)-1</f>
        <v/>
      </c>
      <c r="E637" s="25">
        <f>AVERAGE(B634:B637)</f>
        <v/>
      </c>
      <c r="F637" s="33">
        <f>(Table2634[[#This Row],[4 weeks average]]-B585)/B585</f>
        <v/>
      </c>
    </row>
    <row r="638">
      <c r="A638" s="23" t="n">
        <v>31824</v>
      </c>
      <c r="B638" s="25">
        <f>VLOOKUP(Table2634[[#This Row],[Date]],'DB Money Supply'!$A:$D,4)</f>
        <v/>
      </c>
      <c r="C638" s="31">
        <f>(Table2634[[#This Row],[M1 Money Stock, Billions of Dollars, Weekly, Seasonally Adjusted]]-B637)/B637</f>
        <v/>
      </c>
      <c r="D638" s="35">
        <f>((1+Table2634[[#This Row],[Weekly change]])^52)-1</f>
        <v/>
      </c>
      <c r="E638" s="25">
        <f>AVERAGE(B635:B638)</f>
        <v/>
      </c>
      <c r="F638" s="33">
        <f>(Table2634[[#This Row],[4 weeks average]]-B586)/B586</f>
        <v/>
      </c>
    </row>
    <row r="639">
      <c r="A639" s="23" t="n">
        <v>31831</v>
      </c>
      <c r="B639" s="25">
        <f>VLOOKUP(Table2634[[#This Row],[Date]],'DB Money Supply'!$A:$D,4)</f>
        <v/>
      </c>
      <c r="C639" s="31">
        <f>(Table2634[[#This Row],[M1 Money Stock, Billions of Dollars, Weekly, Seasonally Adjusted]]-B638)/B638</f>
        <v/>
      </c>
      <c r="D639" s="35">
        <f>((1+Table2634[[#This Row],[Weekly change]])^52)-1</f>
        <v/>
      </c>
      <c r="E639" s="25">
        <f>AVERAGE(B636:B639)</f>
        <v/>
      </c>
      <c r="F639" s="33">
        <f>(Table2634[[#This Row],[4 weeks average]]-B587)/B587</f>
        <v/>
      </c>
    </row>
    <row r="640">
      <c r="A640" s="23" t="n">
        <v>31838</v>
      </c>
      <c r="B640" s="25">
        <f>VLOOKUP(Table2634[[#This Row],[Date]],'DB Money Supply'!$A:$D,4)</f>
        <v/>
      </c>
      <c r="C640" s="31">
        <f>(Table2634[[#This Row],[M1 Money Stock, Billions of Dollars, Weekly, Seasonally Adjusted]]-B639)/B639</f>
        <v/>
      </c>
      <c r="D640" s="35">
        <f>((1+Table2634[[#This Row],[Weekly change]])^52)-1</f>
        <v/>
      </c>
      <c r="E640" s="25">
        <f>AVERAGE(B637:B640)</f>
        <v/>
      </c>
      <c r="F640" s="33">
        <f>(Table2634[[#This Row],[4 weeks average]]-B588)/B588</f>
        <v/>
      </c>
    </row>
    <row r="641">
      <c r="A641" s="23" t="n">
        <v>31845</v>
      </c>
      <c r="B641" s="25">
        <f>VLOOKUP(Table2634[[#This Row],[Date]],'DB Money Supply'!$A:$D,4)</f>
        <v/>
      </c>
      <c r="C641" s="31">
        <f>(Table2634[[#This Row],[M1 Money Stock, Billions of Dollars, Weekly, Seasonally Adjusted]]-B640)/B640</f>
        <v/>
      </c>
      <c r="D641" s="35">
        <f>((1+Table2634[[#This Row],[Weekly change]])^52)-1</f>
        <v/>
      </c>
      <c r="E641" s="25">
        <f>AVERAGE(B638:B641)</f>
        <v/>
      </c>
      <c r="F641" s="33">
        <f>(Table2634[[#This Row],[4 weeks average]]-B589)/B589</f>
        <v/>
      </c>
    </row>
    <row r="642">
      <c r="A642" s="23" t="n">
        <v>31852</v>
      </c>
      <c r="B642" s="25">
        <f>VLOOKUP(Table2634[[#This Row],[Date]],'DB Money Supply'!$A:$D,4)</f>
        <v/>
      </c>
      <c r="C642" s="31">
        <f>(Table2634[[#This Row],[M1 Money Stock, Billions of Dollars, Weekly, Seasonally Adjusted]]-B641)/B641</f>
        <v/>
      </c>
      <c r="D642" s="35">
        <f>((1+Table2634[[#This Row],[Weekly change]])^52)-1</f>
        <v/>
      </c>
      <c r="E642" s="25">
        <f>AVERAGE(B639:B642)</f>
        <v/>
      </c>
      <c r="F642" s="33">
        <f>(Table2634[[#This Row],[4 weeks average]]-B590)/B590</f>
        <v/>
      </c>
    </row>
    <row r="643">
      <c r="A643" s="23" t="n">
        <v>31859</v>
      </c>
      <c r="B643" s="25">
        <f>VLOOKUP(Table2634[[#This Row],[Date]],'DB Money Supply'!$A:$D,4)</f>
        <v/>
      </c>
      <c r="C643" s="31">
        <f>(Table2634[[#This Row],[M1 Money Stock, Billions of Dollars, Weekly, Seasonally Adjusted]]-B642)/B642</f>
        <v/>
      </c>
      <c r="D643" s="35">
        <f>((1+Table2634[[#This Row],[Weekly change]])^52)-1</f>
        <v/>
      </c>
      <c r="E643" s="25">
        <f>AVERAGE(B640:B643)</f>
        <v/>
      </c>
      <c r="F643" s="33">
        <f>(Table2634[[#This Row],[4 weeks average]]-B591)/B591</f>
        <v/>
      </c>
    </row>
    <row r="644">
      <c r="A644" s="23" t="n">
        <v>31866</v>
      </c>
      <c r="B644" s="25">
        <f>VLOOKUP(Table2634[[#This Row],[Date]],'DB Money Supply'!$A:$D,4)</f>
        <v/>
      </c>
      <c r="C644" s="31">
        <f>(Table2634[[#This Row],[M1 Money Stock, Billions of Dollars, Weekly, Seasonally Adjusted]]-B643)/B643</f>
        <v/>
      </c>
      <c r="D644" s="35">
        <f>((1+Table2634[[#This Row],[Weekly change]])^52)-1</f>
        <v/>
      </c>
      <c r="E644" s="25">
        <f>AVERAGE(B641:B644)</f>
        <v/>
      </c>
      <c r="F644" s="33">
        <f>(Table2634[[#This Row],[4 weeks average]]-B592)/B592</f>
        <v/>
      </c>
    </row>
    <row r="645">
      <c r="A645" s="23" t="n">
        <v>31873</v>
      </c>
      <c r="B645" s="25">
        <f>VLOOKUP(Table2634[[#This Row],[Date]],'DB Money Supply'!$A:$D,4)</f>
        <v/>
      </c>
      <c r="C645" s="31">
        <f>(Table2634[[#This Row],[M1 Money Stock, Billions of Dollars, Weekly, Seasonally Adjusted]]-B644)/B644</f>
        <v/>
      </c>
      <c r="D645" s="35">
        <f>((1+Table2634[[#This Row],[Weekly change]])^52)-1</f>
        <v/>
      </c>
      <c r="E645" s="25">
        <f>AVERAGE(B642:B645)</f>
        <v/>
      </c>
      <c r="F645" s="33">
        <f>(Table2634[[#This Row],[4 weeks average]]-B593)/B593</f>
        <v/>
      </c>
    </row>
    <row r="646">
      <c r="A646" s="23" t="n">
        <v>31880</v>
      </c>
      <c r="B646" s="25">
        <f>VLOOKUP(Table2634[[#This Row],[Date]],'DB Money Supply'!$A:$D,4)</f>
        <v/>
      </c>
      <c r="C646" s="31">
        <f>(Table2634[[#This Row],[M1 Money Stock, Billions of Dollars, Weekly, Seasonally Adjusted]]-B645)/B645</f>
        <v/>
      </c>
      <c r="D646" s="35">
        <f>((1+Table2634[[#This Row],[Weekly change]])^52)-1</f>
        <v/>
      </c>
      <c r="E646" s="25">
        <f>AVERAGE(B643:B646)</f>
        <v/>
      </c>
      <c r="F646" s="33">
        <f>(Table2634[[#This Row],[4 weeks average]]-B594)/B594</f>
        <v/>
      </c>
    </row>
    <row r="647">
      <c r="A647" s="23" t="n">
        <v>31887</v>
      </c>
      <c r="B647" s="25">
        <f>VLOOKUP(Table2634[[#This Row],[Date]],'DB Money Supply'!$A:$D,4)</f>
        <v/>
      </c>
      <c r="C647" s="31">
        <f>(Table2634[[#This Row],[M1 Money Stock, Billions of Dollars, Weekly, Seasonally Adjusted]]-B646)/B646</f>
        <v/>
      </c>
      <c r="D647" s="35">
        <f>((1+Table2634[[#This Row],[Weekly change]])^52)-1</f>
        <v/>
      </c>
      <c r="E647" s="25">
        <f>AVERAGE(B644:B647)</f>
        <v/>
      </c>
      <c r="F647" s="33">
        <f>(Table2634[[#This Row],[4 weeks average]]-B595)/B595</f>
        <v/>
      </c>
    </row>
    <row r="648">
      <c r="A648" s="23" t="n">
        <v>31894</v>
      </c>
      <c r="B648" s="25">
        <f>VLOOKUP(Table2634[[#This Row],[Date]],'DB Money Supply'!$A:$D,4)</f>
        <v/>
      </c>
      <c r="C648" s="31">
        <f>(Table2634[[#This Row],[M1 Money Stock, Billions of Dollars, Weekly, Seasonally Adjusted]]-B647)/B647</f>
        <v/>
      </c>
      <c r="D648" s="35">
        <f>((1+Table2634[[#This Row],[Weekly change]])^52)-1</f>
        <v/>
      </c>
      <c r="E648" s="25">
        <f>AVERAGE(B645:B648)</f>
        <v/>
      </c>
      <c r="F648" s="33">
        <f>(Table2634[[#This Row],[4 weeks average]]-B596)/B596</f>
        <v/>
      </c>
    </row>
    <row r="649">
      <c r="A649" s="23" t="n">
        <v>31901</v>
      </c>
      <c r="B649" s="25">
        <f>VLOOKUP(Table2634[[#This Row],[Date]],'DB Money Supply'!$A:$D,4)</f>
        <v/>
      </c>
      <c r="C649" s="31">
        <f>(Table2634[[#This Row],[M1 Money Stock, Billions of Dollars, Weekly, Seasonally Adjusted]]-B648)/B648</f>
        <v/>
      </c>
      <c r="D649" s="35">
        <f>((1+Table2634[[#This Row],[Weekly change]])^52)-1</f>
        <v/>
      </c>
      <c r="E649" s="25">
        <f>AVERAGE(B646:B649)</f>
        <v/>
      </c>
      <c r="F649" s="33">
        <f>(Table2634[[#This Row],[4 weeks average]]-B597)/B597</f>
        <v/>
      </c>
    </row>
    <row r="650">
      <c r="A650" s="23" t="n">
        <v>31908</v>
      </c>
      <c r="B650" s="25">
        <f>VLOOKUP(Table2634[[#This Row],[Date]],'DB Money Supply'!$A:$D,4)</f>
        <v/>
      </c>
      <c r="C650" s="31">
        <f>(Table2634[[#This Row],[M1 Money Stock, Billions of Dollars, Weekly, Seasonally Adjusted]]-B649)/B649</f>
        <v/>
      </c>
      <c r="D650" s="35">
        <f>((1+Table2634[[#This Row],[Weekly change]])^52)-1</f>
        <v/>
      </c>
      <c r="E650" s="25">
        <f>AVERAGE(B647:B650)</f>
        <v/>
      </c>
      <c r="F650" s="33">
        <f>(Table2634[[#This Row],[4 weeks average]]-B598)/B598</f>
        <v/>
      </c>
    </row>
    <row r="651">
      <c r="A651" s="23" t="n">
        <v>31915</v>
      </c>
      <c r="B651" s="25">
        <f>VLOOKUP(Table2634[[#This Row],[Date]],'DB Money Supply'!$A:$D,4)</f>
        <v/>
      </c>
      <c r="C651" s="31">
        <f>(Table2634[[#This Row],[M1 Money Stock, Billions of Dollars, Weekly, Seasonally Adjusted]]-B650)/B650</f>
        <v/>
      </c>
      <c r="D651" s="35">
        <f>((1+Table2634[[#This Row],[Weekly change]])^52)-1</f>
        <v/>
      </c>
      <c r="E651" s="25">
        <f>AVERAGE(B648:B651)</f>
        <v/>
      </c>
      <c r="F651" s="33">
        <f>(Table2634[[#This Row],[4 weeks average]]-B599)/B599</f>
        <v/>
      </c>
    </row>
    <row r="652">
      <c r="A652" s="23" t="n">
        <v>31922</v>
      </c>
      <c r="B652" s="25">
        <f>VLOOKUP(Table2634[[#This Row],[Date]],'DB Money Supply'!$A:$D,4)</f>
        <v/>
      </c>
      <c r="C652" s="31">
        <f>(Table2634[[#This Row],[M1 Money Stock, Billions of Dollars, Weekly, Seasonally Adjusted]]-B651)/B651</f>
        <v/>
      </c>
      <c r="D652" s="35">
        <f>((1+Table2634[[#This Row],[Weekly change]])^52)-1</f>
        <v/>
      </c>
      <c r="E652" s="25">
        <f>AVERAGE(B649:B652)</f>
        <v/>
      </c>
      <c r="F652" s="33">
        <f>(Table2634[[#This Row],[4 weeks average]]-B600)/B600</f>
        <v/>
      </c>
    </row>
    <row r="653">
      <c r="A653" s="23" t="n">
        <v>31929</v>
      </c>
      <c r="B653" s="25">
        <f>VLOOKUP(Table2634[[#This Row],[Date]],'DB Money Supply'!$A:$D,4)</f>
        <v/>
      </c>
      <c r="C653" s="31">
        <f>(Table2634[[#This Row],[M1 Money Stock, Billions of Dollars, Weekly, Seasonally Adjusted]]-B652)/B652</f>
        <v/>
      </c>
      <c r="D653" s="35">
        <f>((1+Table2634[[#This Row],[Weekly change]])^52)-1</f>
        <v/>
      </c>
      <c r="E653" s="25">
        <f>AVERAGE(B650:B653)</f>
        <v/>
      </c>
      <c r="F653" s="33">
        <f>(Table2634[[#This Row],[4 weeks average]]-B601)/B601</f>
        <v/>
      </c>
    </row>
    <row r="654">
      <c r="A654" s="23" t="n">
        <v>31936</v>
      </c>
      <c r="B654" s="25">
        <f>VLOOKUP(Table2634[[#This Row],[Date]],'DB Money Supply'!$A:$D,4)</f>
        <v/>
      </c>
      <c r="C654" s="31">
        <f>(Table2634[[#This Row],[M1 Money Stock, Billions of Dollars, Weekly, Seasonally Adjusted]]-B653)/B653</f>
        <v/>
      </c>
      <c r="D654" s="35">
        <f>((1+Table2634[[#This Row],[Weekly change]])^52)-1</f>
        <v/>
      </c>
      <c r="E654" s="25">
        <f>AVERAGE(B651:B654)</f>
        <v/>
      </c>
      <c r="F654" s="33">
        <f>(Table2634[[#This Row],[4 weeks average]]-B602)/B602</f>
        <v/>
      </c>
    </row>
    <row r="655">
      <c r="A655" s="23" t="n">
        <v>31943</v>
      </c>
      <c r="B655" s="25">
        <f>VLOOKUP(Table2634[[#This Row],[Date]],'DB Money Supply'!$A:$D,4)</f>
        <v/>
      </c>
      <c r="C655" s="31">
        <f>(Table2634[[#This Row],[M1 Money Stock, Billions of Dollars, Weekly, Seasonally Adjusted]]-B654)/B654</f>
        <v/>
      </c>
      <c r="D655" s="35">
        <f>((1+Table2634[[#This Row],[Weekly change]])^52)-1</f>
        <v/>
      </c>
      <c r="E655" s="25">
        <f>AVERAGE(B652:B655)</f>
        <v/>
      </c>
      <c r="F655" s="33">
        <f>(Table2634[[#This Row],[4 weeks average]]-B603)/B603</f>
        <v/>
      </c>
    </row>
    <row r="656">
      <c r="A656" s="23" t="n">
        <v>31950</v>
      </c>
      <c r="B656" s="25">
        <f>VLOOKUP(Table2634[[#This Row],[Date]],'DB Money Supply'!$A:$D,4)</f>
        <v/>
      </c>
      <c r="C656" s="31">
        <f>(Table2634[[#This Row],[M1 Money Stock, Billions of Dollars, Weekly, Seasonally Adjusted]]-B655)/B655</f>
        <v/>
      </c>
      <c r="D656" s="35">
        <f>((1+Table2634[[#This Row],[Weekly change]])^52)-1</f>
        <v/>
      </c>
      <c r="E656" s="25">
        <f>AVERAGE(B653:B656)</f>
        <v/>
      </c>
      <c r="F656" s="33">
        <f>(Table2634[[#This Row],[4 weeks average]]-B604)/B604</f>
        <v/>
      </c>
    </row>
    <row r="657">
      <c r="A657" s="23" t="n">
        <v>31957</v>
      </c>
      <c r="B657" s="25">
        <f>VLOOKUP(Table2634[[#This Row],[Date]],'DB Money Supply'!$A:$D,4)</f>
        <v/>
      </c>
      <c r="C657" s="31">
        <f>(Table2634[[#This Row],[M1 Money Stock, Billions of Dollars, Weekly, Seasonally Adjusted]]-B656)/B656</f>
        <v/>
      </c>
      <c r="D657" s="35">
        <f>((1+Table2634[[#This Row],[Weekly change]])^52)-1</f>
        <v/>
      </c>
      <c r="E657" s="25">
        <f>AVERAGE(B654:B657)</f>
        <v/>
      </c>
      <c r="F657" s="33">
        <f>(Table2634[[#This Row],[4 weeks average]]-B605)/B605</f>
        <v/>
      </c>
    </row>
    <row r="658">
      <c r="A658" s="23" t="n">
        <v>31964</v>
      </c>
      <c r="B658" s="25">
        <f>VLOOKUP(Table2634[[#This Row],[Date]],'DB Money Supply'!$A:$D,4)</f>
        <v/>
      </c>
      <c r="C658" s="31">
        <f>(Table2634[[#This Row],[M1 Money Stock, Billions of Dollars, Weekly, Seasonally Adjusted]]-B657)/B657</f>
        <v/>
      </c>
      <c r="D658" s="35">
        <f>((1+Table2634[[#This Row],[Weekly change]])^52)-1</f>
        <v/>
      </c>
      <c r="E658" s="25">
        <f>AVERAGE(B655:B658)</f>
        <v/>
      </c>
      <c r="F658" s="33">
        <f>(Table2634[[#This Row],[4 weeks average]]-B606)/B606</f>
        <v/>
      </c>
    </row>
    <row r="659">
      <c r="A659" s="23" t="n">
        <v>31971</v>
      </c>
      <c r="B659" s="25">
        <f>VLOOKUP(Table2634[[#This Row],[Date]],'DB Money Supply'!$A:$D,4)</f>
        <v/>
      </c>
      <c r="C659" s="31">
        <f>(Table2634[[#This Row],[M1 Money Stock, Billions of Dollars, Weekly, Seasonally Adjusted]]-B658)/B658</f>
        <v/>
      </c>
      <c r="D659" s="35">
        <f>((1+Table2634[[#This Row],[Weekly change]])^52)-1</f>
        <v/>
      </c>
      <c r="E659" s="25">
        <f>AVERAGE(B656:B659)</f>
        <v/>
      </c>
      <c r="F659" s="33">
        <f>(Table2634[[#This Row],[4 weeks average]]-B607)/B607</f>
        <v/>
      </c>
    </row>
    <row r="660">
      <c r="A660" s="23" t="n">
        <v>31978</v>
      </c>
      <c r="B660" s="25">
        <f>VLOOKUP(Table2634[[#This Row],[Date]],'DB Money Supply'!$A:$D,4)</f>
        <v/>
      </c>
      <c r="C660" s="31">
        <f>(Table2634[[#This Row],[M1 Money Stock, Billions of Dollars, Weekly, Seasonally Adjusted]]-B659)/B659</f>
        <v/>
      </c>
      <c r="D660" s="35">
        <f>((1+Table2634[[#This Row],[Weekly change]])^52)-1</f>
        <v/>
      </c>
      <c r="E660" s="25">
        <f>AVERAGE(B657:B660)</f>
        <v/>
      </c>
      <c r="F660" s="33">
        <f>(Table2634[[#This Row],[4 weeks average]]-B608)/B608</f>
        <v/>
      </c>
    </row>
    <row r="661">
      <c r="A661" s="23" t="n">
        <v>31985</v>
      </c>
      <c r="B661" s="25">
        <f>VLOOKUP(Table2634[[#This Row],[Date]],'DB Money Supply'!$A:$D,4)</f>
        <v/>
      </c>
      <c r="C661" s="31">
        <f>(Table2634[[#This Row],[M1 Money Stock, Billions of Dollars, Weekly, Seasonally Adjusted]]-B660)/B660</f>
        <v/>
      </c>
      <c r="D661" s="35">
        <f>((1+Table2634[[#This Row],[Weekly change]])^52)-1</f>
        <v/>
      </c>
      <c r="E661" s="25">
        <f>AVERAGE(B658:B661)</f>
        <v/>
      </c>
      <c r="F661" s="33">
        <f>(Table2634[[#This Row],[4 weeks average]]-B609)/B609</f>
        <v/>
      </c>
    </row>
    <row r="662">
      <c r="A662" s="23" t="n">
        <v>31992</v>
      </c>
      <c r="B662" s="25">
        <f>VLOOKUP(Table2634[[#This Row],[Date]],'DB Money Supply'!$A:$D,4)</f>
        <v/>
      </c>
      <c r="C662" s="31">
        <f>(Table2634[[#This Row],[M1 Money Stock, Billions of Dollars, Weekly, Seasonally Adjusted]]-B661)/B661</f>
        <v/>
      </c>
      <c r="D662" s="35">
        <f>((1+Table2634[[#This Row],[Weekly change]])^52)-1</f>
        <v/>
      </c>
      <c r="E662" s="25">
        <f>AVERAGE(B659:B662)</f>
        <v/>
      </c>
      <c r="F662" s="33">
        <f>(Table2634[[#This Row],[4 weeks average]]-B610)/B610</f>
        <v/>
      </c>
    </row>
    <row r="663">
      <c r="A663" s="23" t="n">
        <v>31999</v>
      </c>
      <c r="B663" s="25">
        <f>VLOOKUP(Table2634[[#This Row],[Date]],'DB Money Supply'!$A:$D,4)</f>
        <v/>
      </c>
      <c r="C663" s="31">
        <f>(Table2634[[#This Row],[M1 Money Stock, Billions of Dollars, Weekly, Seasonally Adjusted]]-B662)/B662</f>
        <v/>
      </c>
      <c r="D663" s="35">
        <f>((1+Table2634[[#This Row],[Weekly change]])^52)-1</f>
        <v/>
      </c>
      <c r="E663" s="25">
        <f>AVERAGE(B660:B663)</f>
        <v/>
      </c>
      <c r="F663" s="33">
        <f>(Table2634[[#This Row],[4 weeks average]]-B611)/B611</f>
        <v/>
      </c>
    </row>
    <row r="664">
      <c r="A664" s="23" t="n">
        <v>32006</v>
      </c>
      <c r="B664" s="25">
        <f>VLOOKUP(Table2634[[#This Row],[Date]],'DB Money Supply'!$A:$D,4)</f>
        <v/>
      </c>
      <c r="C664" s="31">
        <f>(Table2634[[#This Row],[M1 Money Stock, Billions of Dollars, Weekly, Seasonally Adjusted]]-B663)/B663</f>
        <v/>
      </c>
      <c r="D664" s="35">
        <f>((1+Table2634[[#This Row],[Weekly change]])^52)-1</f>
        <v/>
      </c>
      <c r="E664" s="25">
        <f>AVERAGE(B661:B664)</f>
        <v/>
      </c>
      <c r="F664" s="33">
        <f>(Table2634[[#This Row],[4 weeks average]]-B612)/B612</f>
        <v/>
      </c>
    </row>
    <row r="665">
      <c r="A665" s="23" t="n">
        <v>32013</v>
      </c>
      <c r="B665" s="25">
        <f>VLOOKUP(Table2634[[#This Row],[Date]],'DB Money Supply'!$A:$D,4)</f>
        <v/>
      </c>
      <c r="C665" s="31">
        <f>(Table2634[[#This Row],[M1 Money Stock, Billions of Dollars, Weekly, Seasonally Adjusted]]-B664)/B664</f>
        <v/>
      </c>
      <c r="D665" s="35">
        <f>((1+Table2634[[#This Row],[Weekly change]])^52)-1</f>
        <v/>
      </c>
      <c r="E665" s="25">
        <f>AVERAGE(B662:B665)</f>
        <v/>
      </c>
      <c r="F665" s="33">
        <f>(Table2634[[#This Row],[4 weeks average]]-B613)/B613</f>
        <v/>
      </c>
    </row>
    <row r="666">
      <c r="A666" s="23" t="n">
        <v>32020</v>
      </c>
      <c r="B666" s="25">
        <f>VLOOKUP(Table2634[[#This Row],[Date]],'DB Money Supply'!$A:$D,4)</f>
        <v/>
      </c>
      <c r="C666" s="31">
        <f>(Table2634[[#This Row],[M1 Money Stock, Billions of Dollars, Weekly, Seasonally Adjusted]]-B665)/B665</f>
        <v/>
      </c>
      <c r="D666" s="35">
        <f>((1+Table2634[[#This Row],[Weekly change]])^52)-1</f>
        <v/>
      </c>
      <c r="E666" s="25">
        <f>AVERAGE(B663:B666)</f>
        <v/>
      </c>
      <c r="F666" s="33">
        <f>(Table2634[[#This Row],[4 weeks average]]-B614)/B614</f>
        <v/>
      </c>
    </row>
    <row r="667">
      <c r="A667" s="23" t="n">
        <v>32027</v>
      </c>
      <c r="B667" s="25">
        <f>VLOOKUP(Table2634[[#This Row],[Date]],'DB Money Supply'!$A:$D,4)</f>
        <v/>
      </c>
      <c r="C667" s="31">
        <f>(Table2634[[#This Row],[M1 Money Stock, Billions of Dollars, Weekly, Seasonally Adjusted]]-B666)/B666</f>
        <v/>
      </c>
      <c r="D667" s="35">
        <f>((1+Table2634[[#This Row],[Weekly change]])^52)-1</f>
        <v/>
      </c>
      <c r="E667" s="25">
        <f>AVERAGE(B664:B667)</f>
        <v/>
      </c>
      <c r="F667" s="33">
        <f>(Table2634[[#This Row],[4 weeks average]]-B615)/B615</f>
        <v/>
      </c>
    </row>
    <row r="668">
      <c r="A668" s="23" t="n">
        <v>32034</v>
      </c>
      <c r="B668" s="25">
        <f>VLOOKUP(Table2634[[#This Row],[Date]],'DB Money Supply'!$A:$D,4)</f>
        <v/>
      </c>
      <c r="C668" s="31">
        <f>(Table2634[[#This Row],[M1 Money Stock, Billions of Dollars, Weekly, Seasonally Adjusted]]-B667)/B667</f>
        <v/>
      </c>
      <c r="D668" s="35">
        <f>((1+Table2634[[#This Row],[Weekly change]])^52)-1</f>
        <v/>
      </c>
      <c r="E668" s="25">
        <f>AVERAGE(B665:B668)</f>
        <v/>
      </c>
      <c r="F668" s="33">
        <f>(Table2634[[#This Row],[4 weeks average]]-B616)/B616</f>
        <v/>
      </c>
    </row>
    <row r="669">
      <c r="A669" s="23" t="n">
        <v>32041</v>
      </c>
      <c r="B669" s="25">
        <f>VLOOKUP(Table2634[[#This Row],[Date]],'DB Money Supply'!$A:$D,4)</f>
        <v/>
      </c>
      <c r="C669" s="31">
        <f>(Table2634[[#This Row],[M1 Money Stock, Billions of Dollars, Weekly, Seasonally Adjusted]]-B668)/B668</f>
        <v/>
      </c>
      <c r="D669" s="35">
        <f>((1+Table2634[[#This Row],[Weekly change]])^52)-1</f>
        <v/>
      </c>
      <c r="E669" s="25">
        <f>AVERAGE(B666:B669)</f>
        <v/>
      </c>
      <c r="F669" s="33">
        <f>(Table2634[[#This Row],[4 weeks average]]-B617)/B617</f>
        <v/>
      </c>
    </row>
    <row r="670">
      <c r="A670" s="23" t="n">
        <v>32048</v>
      </c>
      <c r="B670" s="25">
        <f>VLOOKUP(Table2634[[#This Row],[Date]],'DB Money Supply'!$A:$D,4)</f>
        <v/>
      </c>
      <c r="C670" s="31">
        <f>(Table2634[[#This Row],[M1 Money Stock, Billions of Dollars, Weekly, Seasonally Adjusted]]-B669)/B669</f>
        <v/>
      </c>
      <c r="D670" s="35">
        <f>((1+Table2634[[#This Row],[Weekly change]])^52)-1</f>
        <v/>
      </c>
      <c r="E670" s="25">
        <f>AVERAGE(B667:B670)</f>
        <v/>
      </c>
      <c r="F670" s="33">
        <f>(Table2634[[#This Row],[4 weeks average]]-B618)/B618</f>
        <v/>
      </c>
    </row>
    <row r="671">
      <c r="A671" s="23" t="n">
        <v>32055</v>
      </c>
      <c r="B671" s="25">
        <f>VLOOKUP(Table2634[[#This Row],[Date]],'DB Money Supply'!$A:$D,4)</f>
        <v/>
      </c>
      <c r="C671" s="31">
        <f>(Table2634[[#This Row],[M1 Money Stock, Billions of Dollars, Weekly, Seasonally Adjusted]]-B670)/B670</f>
        <v/>
      </c>
      <c r="D671" s="35">
        <f>((1+Table2634[[#This Row],[Weekly change]])^52)-1</f>
        <v/>
      </c>
      <c r="E671" s="25">
        <f>AVERAGE(B668:B671)</f>
        <v/>
      </c>
      <c r="F671" s="33">
        <f>(Table2634[[#This Row],[4 weeks average]]-B619)/B619</f>
        <v/>
      </c>
    </row>
    <row r="672">
      <c r="A672" s="23" t="n">
        <v>32062</v>
      </c>
      <c r="B672" s="25">
        <f>VLOOKUP(Table2634[[#This Row],[Date]],'DB Money Supply'!$A:$D,4)</f>
        <v/>
      </c>
      <c r="C672" s="31">
        <f>(Table2634[[#This Row],[M1 Money Stock, Billions of Dollars, Weekly, Seasonally Adjusted]]-B671)/B671</f>
        <v/>
      </c>
      <c r="D672" s="35">
        <f>((1+Table2634[[#This Row],[Weekly change]])^52)-1</f>
        <v/>
      </c>
      <c r="E672" s="25">
        <f>AVERAGE(B669:B672)</f>
        <v/>
      </c>
      <c r="F672" s="33">
        <f>(Table2634[[#This Row],[4 weeks average]]-B620)/B620</f>
        <v/>
      </c>
    </row>
    <row r="673">
      <c r="A673" s="23" t="n">
        <v>32069</v>
      </c>
      <c r="B673" s="25">
        <f>VLOOKUP(Table2634[[#This Row],[Date]],'DB Money Supply'!$A:$D,4)</f>
        <v/>
      </c>
      <c r="C673" s="31">
        <f>(Table2634[[#This Row],[M1 Money Stock, Billions of Dollars, Weekly, Seasonally Adjusted]]-B672)/B672</f>
        <v/>
      </c>
      <c r="D673" s="35">
        <f>((1+Table2634[[#This Row],[Weekly change]])^52)-1</f>
        <v/>
      </c>
      <c r="E673" s="25">
        <f>AVERAGE(B670:B673)</f>
        <v/>
      </c>
      <c r="F673" s="33">
        <f>(Table2634[[#This Row],[4 weeks average]]-B621)/B621</f>
        <v/>
      </c>
    </row>
    <row r="674">
      <c r="A674" s="23" t="n">
        <v>32076</v>
      </c>
      <c r="B674" s="25">
        <f>VLOOKUP(Table2634[[#This Row],[Date]],'DB Money Supply'!$A:$D,4)</f>
        <v/>
      </c>
      <c r="C674" s="31">
        <f>(Table2634[[#This Row],[M1 Money Stock, Billions of Dollars, Weekly, Seasonally Adjusted]]-B673)/B673</f>
        <v/>
      </c>
      <c r="D674" s="35">
        <f>((1+Table2634[[#This Row],[Weekly change]])^52)-1</f>
        <v/>
      </c>
      <c r="E674" s="25">
        <f>AVERAGE(B671:B674)</f>
        <v/>
      </c>
      <c r="F674" s="33">
        <f>(Table2634[[#This Row],[4 weeks average]]-B622)/B622</f>
        <v/>
      </c>
    </row>
    <row r="675">
      <c r="A675" s="23" t="n">
        <v>32083</v>
      </c>
      <c r="B675" s="25">
        <f>VLOOKUP(Table2634[[#This Row],[Date]],'DB Money Supply'!$A:$D,4)</f>
        <v/>
      </c>
      <c r="C675" s="31">
        <f>(Table2634[[#This Row],[M1 Money Stock, Billions of Dollars, Weekly, Seasonally Adjusted]]-B674)/B674</f>
        <v/>
      </c>
      <c r="D675" s="35">
        <f>((1+Table2634[[#This Row],[Weekly change]])^52)-1</f>
        <v/>
      </c>
      <c r="E675" s="25">
        <f>AVERAGE(B672:B675)</f>
        <v/>
      </c>
      <c r="F675" s="33">
        <f>(Table2634[[#This Row],[4 weeks average]]-B623)/B623</f>
        <v/>
      </c>
    </row>
    <row r="676">
      <c r="A676" s="23" t="n">
        <v>32090</v>
      </c>
      <c r="B676" s="25">
        <f>VLOOKUP(Table2634[[#This Row],[Date]],'DB Money Supply'!$A:$D,4)</f>
        <v/>
      </c>
      <c r="C676" s="31">
        <f>(Table2634[[#This Row],[M1 Money Stock, Billions of Dollars, Weekly, Seasonally Adjusted]]-B675)/B675</f>
        <v/>
      </c>
      <c r="D676" s="35">
        <f>((1+Table2634[[#This Row],[Weekly change]])^52)-1</f>
        <v/>
      </c>
      <c r="E676" s="25">
        <f>AVERAGE(B673:B676)</f>
        <v/>
      </c>
      <c r="F676" s="33">
        <f>(Table2634[[#This Row],[4 weeks average]]-B624)/B624</f>
        <v/>
      </c>
    </row>
    <row r="677">
      <c r="A677" s="23" t="n">
        <v>32097</v>
      </c>
      <c r="B677" s="25">
        <f>VLOOKUP(Table2634[[#This Row],[Date]],'DB Money Supply'!$A:$D,4)</f>
        <v/>
      </c>
      <c r="C677" s="31">
        <f>(Table2634[[#This Row],[M1 Money Stock, Billions of Dollars, Weekly, Seasonally Adjusted]]-B676)/B676</f>
        <v/>
      </c>
      <c r="D677" s="35">
        <f>((1+Table2634[[#This Row],[Weekly change]])^52)-1</f>
        <v/>
      </c>
      <c r="E677" s="25">
        <f>AVERAGE(B674:B677)</f>
        <v/>
      </c>
      <c r="F677" s="33">
        <f>(Table2634[[#This Row],[4 weeks average]]-B625)/B625</f>
        <v/>
      </c>
    </row>
    <row r="678">
      <c r="A678" s="23" t="n">
        <v>32104</v>
      </c>
      <c r="B678" s="25">
        <f>VLOOKUP(Table2634[[#This Row],[Date]],'DB Money Supply'!$A:$D,4)</f>
        <v/>
      </c>
      <c r="C678" s="31">
        <f>(Table2634[[#This Row],[M1 Money Stock, Billions of Dollars, Weekly, Seasonally Adjusted]]-B677)/B677</f>
        <v/>
      </c>
      <c r="D678" s="35">
        <f>((1+Table2634[[#This Row],[Weekly change]])^52)-1</f>
        <v/>
      </c>
      <c r="E678" s="25">
        <f>AVERAGE(B675:B678)</f>
        <v/>
      </c>
      <c r="F678" s="33">
        <f>(Table2634[[#This Row],[4 weeks average]]-B626)/B626</f>
        <v/>
      </c>
    </row>
    <row r="679">
      <c r="A679" s="23" t="n">
        <v>32111</v>
      </c>
      <c r="B679" s="25">
        <f>VLOOKUP(Table2634[[#This Row],[Date]],'DB Money Supply'!$A:$D,4)</f>
        <v/>
      </c>
      <c r="C679" s="31">
        <f>(Table2634[[#This Row],[M1 Money Stock, Billions of Dollars, Weekly, Seasonally Adjusted]]-B678)/B678</f>
        <v/>
      </c>
      <c r="D679" s="35">
        <f>((1+Table2634[[#This Row],[Weekly change]])^52)-1</f>
        <v/>
      </c>
      <c r="E679" s="25">
        <f>AVERAGE(B676:B679)</f>
        <v/>
      </c>
      <c r="F679" s="33">
        <f>(Table2634[[#This Row],[4 weeks average]]-B627)/B627</f>
        <v/>
      </c>
    </row>
    <row r="680">
      <c r="A680" s="23" t="n">
        <v>32118</v>
      </c>
      <c r="B680" s="25">
        <f>VLOOKUP(Table2634[[#This Row],[Date]],'DB Money Supply'!$A:$D,4)</f>
        <v/>
      </c>
      <c r="C680" s="31">
        <f>(Table2634[[#This Row],[M1 Money Stock, Billions of Dollars, Weekly, Seasonally Adjusted]]-B679)/B679</f>
        <v/>
      </c>
      <c r="D680" s="35">
        <f>((1+Table2634[[#This Row],[Weekly change]])^52)-1</f>
        <v/>
      </c>
      <c r="E680" s="25">
        <f>AVERAGE(B677:B680)</f>
        <v/>
      </c>
      <c r="F680" s="33">
        <f>(Table2634[[#This Row],[4 weeks average]]-B628)/B628</f>
        <v/>
      </c>
    </row>
    <row r="681">
      <c r="A681" s="23" t="n">
        <v>32125</v>
      </c>
      <c r="B681" s="25">
        <f>VLOOKUP(Table2634[[#This Row],[Date]],'DB Money Supply'!$A:$D,4)</f>
        <v/>
      </c>
      <c r="C681" s="31">
        <f>(Table2634[[#This Row],[M1 Money Stock, Billions of Dollars, Weekly, Seasonally Adjusted]]-B680)/B680</f>
        <v/>
      </c>
      <c r="D681" s="35">
        <f>((1+Table2634[[#This Row],[Weekly change]])^52)-1</f>
        <v/>
      </c>
      <c r="E681" s="25">
        <f>AVERAGE(B678:B681)</f>
        <v/>
      </c>
      <c r="F681" s="33">
        <f>(Table2634[[#This Row],[4 weeks average]]-B629)/B629</f>
        <v/>
      </c>
    </row>
    <row r="682">
      <c r="A682" s="23" t="n">
        <v>32132</v>
      </c>
      <c r="B682" s="25">
        <f>VLOOKUP(Table2634[[#This Row],[Date]],'DB Money Supply'!$A:$D,4)</f>
        <v/>
      </c>
      <c r="C682" s="31">
        <f>(Table2634[[#This Row],[M1 Money Stock, Billions of Dollars, Weekly, Seasonally Adjusted]]-B681)/B681</f>
        <v/>
      </c>
      <c r="D682" s="35">
        <f>((1+Table2634[[#This Row],[Weekly change]])^52)-1</f>
        <v/>
      </c>
      <c r="E682" s="25">
        <f>AVERAGE(B679:B682)</f>
        <v/>
      </c>
      <c r="F682" s="33">
        <f>(Table2634[[#This Row],[4 weeks average]]-B630)/B630</f>
        <v/>
      </c>
    </row>
    <row r="683">
      <c r="A683" s="23" t="n">
        <v>32139</v>
      </c>
      <c r="B683" s="25">
        <f>VLOOKUP(Table2634[[#This Row],[Date]],'DB Money Supply'!$A:$D,4)</f>
        <v/>
      </c>
      <c r="C683" s="31">
        <f>(Table2634[[#This Row],[M1 Money Stock, Billions of Dollars, Weekly, Seasonally Adjusted]]-B682)/B682</f>
        <v/>
      </c>
      <c r="D683" s="35">
        <f>((1+Table2634[[#This Row],[Weekly change]])^52)-1</f>
        <v/>
      </c>
      <c r="E683" s="25">
        <f>AVERAGE(B680:B683)</f>
        <v/>
      </c>
      <c r="F683" s="33">
        <f>(Table2634[[#This Row],[4 weeks average]]-B631)/B631</f>
        <v/>
      </c>
    </row>
    <row r="684">
      <c r="A684" s="23" t="n">
        <v>32146</v>
      </c>
      <c r="B684" s="25">
        <f>VLOOKUP(Table2634[[#This Row],[Date]],'DB Money Supply'!$A:$D,4)</f>
        <v/>
      </c>
      <c r="C684" s="31">
        <f>(Table2634[[#This Row],[M1 Money Stock, Billions of Dollars, Weekly, Seasonally Adjusted]]-B683)/B683</f>
        <v/>
      </c>
      <c r="D684" s="35">
        <f>((1+Table2634[[#This Row],[Weekly change]])^52)-1</f>
        <v/>
      </c>
      <c r="E684" s="25">
        <f>AVERAGE(B681:B684)</f>
        <v/>
      </c>
      <c r="F684" s="33">
        <f>(Table2634[[#This Row],[4 weeks average]]-B632)/B632</f>
        <v/>
      </c>
    </row>
    <row r="685">
      <c r="A685" s="23" t="n">
        <v>32153</v>
      </c>
      <c r="B685" s="25">
        <f>VLOOKUP(Table2634[[#This Row],[Date]],'DB Money Supply'!$A:$D,4)</f>
        <v/>
      </c>
      <c r="C685" s="31">
        <f>(Table2634[[#This Row],[M1 Money Stock, Billions of Dollars, Weekly, Seasonally Adjusted]]-B684)/B684</f>
        <v/>
      </c>
      <c r="D685" s="35">
        <f>((1+Table2634[[#This Row],[Weekly change]])^52)-1</f>
        <v/>
      </c>
      <c r="E685" s="25">
        <f>AVERAGE(B682:B685)</f>
        <v/>
      </c>
      <c r="F685" s="33">
        <f>(Table2634[[#This Row],[4 weeks average]]-B633)/B633</f>
        <v/>
      </c>
    </row>
    <row r="686">
      <c r="A686" s="23" t="n">
        <v>32160</v>
      </c>
      <c r="B686" s="25">
        <f>VLOOKUP(Table2634[[#This Row],[Date]],'DB Money Supply'!$A:$D,4)</f>
        <v/>
      </c>
      <c r="C686" s="31">
        <f>(Table2634[[#This Row],[M1 Money Stock, Billions of Dollars, Weekly, Seasonally Adjusted]]-B685)/B685</f>
        <v/>
      </c>
      <c r="D686" s="35">
        <f>((1+Table2634[[#This Row],[Weekly change]])^52)-1</f>
        <v/>
      </c>
      <c r="E686" s="25">
        <f>AVERAGE(B683:B686)</f>
        <v/>
      </c>
      <c r="F686" s="33">
        <f>(Table2634[[#This Row],[4 weeks average]]-B634)/B634</f>
        <v/>
      </c>
    </row>
    <row r="687">
      <c r="A687" s="23" t="n">
        <v>32167</v>
      </c>
      <c r="B687" s="25">
        <f>VLOOKUP(Table2634[[#This Row],[Date]],'DB Money Supply'!$A:$D,4)</f>
        <v/>
      </c>
      <c r="C687" s="31">
        <f>(Table2634[[#This Row],[M1 Money Stock, Billions of Dollars, Weekly, Seasonally Adjusted]]-B686)/B686</f>
        <v/>
      </c>
      <c r="D687" s="35">
        <f>((1+Table2634[[#This Row],[Weekly change]])^52)-1</f>
        <v/>
      </c>
      <c r="E687" s="25">
        <f>AVERAGE(B684:B687)</f>
        <v/>
      </c>
      <c r="F687" s="33">
        <f>(Table2634[[#This Row],[4 weeks average]]-B635)/B635</f>
        <v/>
      </c>
    </row>
    <row r="688">
      <c r="A688" s="23" t="n">
        <v>32174</v>
      </c>
      <c r="B688" s="25">
        <f>VLOOKUP(Table2634[[#This Row],[Date]],'DB Money Supply'!$A:$D,4)</f>
        <v/>
      </c>
      <c r="C688" s="31">
        <f>(Table2634[[#This Row],[M1 Money Stock, Billions of Dollars, Weekly, Seasonally Adjusted]]-B687)/B687</f>
        <v/>
      </c>
      <c r="D688" s="35">
        <f>((1+Table2634[[#This Row],[Weekly change]])^52)-1</f>
        <v/>
      </c>
      <c r="E688" s="25">
        <f>AVERAGE(B685:B688)</f>
        <v/>
      </c>
      <c r="F688" s="33">
        <f>(Table2634[[#This Row],[4 weeks average]]-B636)/B636</f>
        <v/>
      </c>
    </row>
    <row r="689">
      <c r="A689" s="23" t="n">
        <v>32181</v>
      </c>
      <c r="B689" s="25">
        <f>VLOOKUP(Table2634[[#This Row],[Date]],'DB Money Supply'!$A:$D,4)</f>
        <v/>
      </c>
      <c r="C689" s="31">
        <f>(Table2634[[#This Row],[M1 Money Stock, Billions of Dollars, Weekly, Seasonally Adjusted]]-B688)/B688</f>
        <v/>
      </c>
      <c r="D689" s="35">
        <f>((1+Table2634[[#This Row],[Weekly change]])^52)-1</f>
        <v/>
      </c>
      <c r="E689" s="25">
        <f>AVERAGE(B686:B689)</f>
        <v/>
      </c>
      <c r="F689" s="33">
        <f>(Table2634[[#This Row],[4 weeks average]]-B637)/B637</f>
        <v/>
      </c>
    </row>
    <row r="690">
      <c r="A690" s="23" t="n">
        <v>32188</v>
      </c>
      <c r="B690" s="25">
        <f>VLOOKUP(Table2634[[#This Row],[Date]],'DB Money Supply'!$A:$D,4)</f>
        <v/>
      </c>
      <c r="C690" s="31">
        <f>(Table2634[[#This Row],[M1 Money Stock, Billions of Dollars, Weekly, Seasonally Adjusted]]-B689)/B689</f>
        <v/>
      </c>
      <c r="D690" s="35">
        <f>((1+Table2634[[#This Row],[Weekly change]])^52)-1</f>
        <v/>
      </c>
      <c r="E690" s="25">
        <f>AVERAGE(B687:B690)</f>
        <v/>
      </c>
      <c r="F690" s="33">
        <f>(Table2634[[#This Row],[4 weeks average]]-B638)/B638</f>
        <v/>
      </c>
    </row>
    <row r="691">
      <c r="A691" s="23" t="n">
        <v>32195</v>
      </c>
      <c r="B691" s="25">
        <f>VLOOKUP(Table2634[[#This Row],[Date]],'DB Money Supply'!$A:$D,4)</f>
        <v/>
      </c>
      <c r="C691" s="31">
        <f>(Table2634[[#This Row],[M1 Money Stock, Billions of Dollars, Weekly, Seasonally Adjusted]]-B690)/B690</f>
        <v/>
      </c>
      <c r="D691" s="35">
        <f>((1+Table2634[[#This Row],[Weekly change]])^52)-1</f>
        <v/>
      </c>
      <c r="E691" s="25">
        <f>AVERAGE(B688:B691)</f>
        <v/>
      </c>
      <c r="F691" s="33">
        <f>(Table2634[[#This Row],[4 weeks average]]-B639)/B639</f>
        <v/>
      </c>
    </row>
    <row r="692">
      <c r="A692" s="23" t="n">
        <v>32202</v>
      </c>
      <c r="B692" s="25">
        <f>VLOOKUP(Table2634[[#This Row],[Date]],'DB Money Supply'!$A:$D,4)</f>
        <v/>
      </c>
      <c r="C692" s="31">
        <f>(Table2634[[#This Row],[M1 Money Stock, Billions of Dollars, Weekly, Seasonally Adjusted]]-B691)/B691</f>
        <v/>
      </c>
      <c r="D692" s="35">
        <f>((1+Table2634[[#This Row],[Weekly change]])^52)-1</f>
        <v/>
      </c>
      <c r="E692" s="25">
        <f>AVERAGE(B689:B692)</f>
        <v/>
      </c>
      <c r="F692" s="33">
        <f>(Table2634[[#This Row],[4 weeks average]]-B640)/B640</f>
        <v/>
      </c>
    </row>
    <row r="693">
      <c r="A693" s="23" t="n">
        <v>32209</v>
      </c>
      <c r="B693" s="25">
        <f>VLOOKUP(Table2634[[#This Row],[Date]],'DB Money Supply'!$A:$D,4)</f>
        <v/>
      </c>
      <c r="C693" s="31">
        <f>(Table2634[[#This Row],[M1 Money Stock, Billions of Dollars, Weekly, Seasonally Adjusted]]-B692)/B692</f>
        <v/>
      </c>
      <c r="D693" s="35">
        <f>((1+Table2634[[#This Row],[Weekly change]])^52)-1</f>
        <v/>
      </c>
      <c r="E693" s="25">
        <f>AVERAGE(B690:B693)</f>
        <v/>
      </c>
      <c r="F693" s="33">
        <f>(Table2634[[#This Row],[4 weeks average]]-B641)/B641</f>
        <v/>
      </c>
    </row>
    <row r="694">
      <c r="A694" s="23" t="n">
        <v>32216</v>
      </c>
      <c r="B694" s="25">
        <f>VLOOKUP(Table2634[[#This Row],[Date]],'DB Money Supply'!$A:$D,4)</f>
        <v/>
      </c>
      <c r="C694" s="31">
        <f>(Table2634[[#This Row],[M1 Money Stock, Billions of Dollars, Weekly, Seasonally Adjusted]]-B693)/B693</f>
        <v/>
      </c>
      <c r="D694" s="35">
        <f>((1+Table2634[[#This Row],[Weekly change]])^52)-1</f>
        <v/>
      </c>
      <c r="E694" s="25">
        <f>AVERAGE(B691:B694)</f>
        <v/>
      </c>
      <c r="F694" s="33">
        <f>(Table2634[[#This Row],[4 weeks average]]-B642)/B642</f>
        <v/>
      </c>
    </row>
    <row r="695">
      <c r="A695" s="23" t="n">
        <v>32223</v>
      </c>
      <c r="B695" s="25">
        <f>VLOOKUP(Table2634[[#This Row],[Date]],'DB Money Supply'!$A:$D,4)</f>
        <v/>
      </c>
      <c r="C695" s="31">
        <f>(Table2634[[#This Row],[M1 Money Stock, Billions of Dollars, Weekly, Seasonally Adjusted]]-B694)/B694</f>
        <v/>
      </c>
      <c r="D695" s="35">
        <f>((1+Table2634[[#This Row],[Weekly change]])^52)-1</f>
        <v/>
      </c>
      <c r="E695" s="25">
        <f>AVERAGE(B692:B695)</f>
        <v/>
      </c>
      <c r="F695" s="33">
        <f>(Table2634[[#This Row],[4 weeks average]]-B643)/B643</f>
        <v/>
      </c>
    </row>
    <row r="696">
      <c r="A696" s="23" t="n">
        <v>32230</v>
      </c>
      <c r="B696" s="25">
        <f>VLOOKUP(Table2634[[#This Row],[Date]],'DB Money Supply'!$A:$D,4)</f>
        <v/>
      </c>
      <c r="C696" s="31">
        <f>(Table2634[[#This Row],[M1 Money Stock, Billions of Dollars, Weekly, Seasonally Adjusted]]-B695)/B695</f>
        <v/>
      </c>
      <c r="D696" s="35">
        <f>((1+Table2634[[#This Row],[Weekly change]])^52)-1</f>
        <v/>
      </c>
      <c r="E696" s="25">
        <f>AVERAGE(B693:B696)</f>
        <v/>
      </c>
      <c r="F696" s="33">
        <f>(Table2634[[#This Row],[4 weeks average]]-B644)/B644</f>
        <v/>
      </c>
    </row>
    <row r="697">
      <c r="A697" s="23" t="n">
        <v>32237</v>
      </c>
      <c r="B697" s="25">
        <f>VLOOKUP(Table2634[[#This Row],[Date]],'DB Money Supply'!$A:$D,4)</f>
        <v/>
      </c>
      <c r="C697" s="31">
        <f>(Table2634[[#This Row],[M1 Money Stock, Billions of Dollars, Weekly, Seasonally Adjusted]]-B696)/B696</f>
        <v/>
      </c>
      <c r="D697" s="35">
        <f>((1+Table2634[[#This Row],[Weekly change]])^52)-1</f>
        <v/>
      </c>
      <c r="E697" s="25">
        <f>AVERAGE(B694:B697)</f>
        <v/>
      </c>
      <c r="F697" s="33">
        <f>(Table2634[[#This Row],[4 weeks average]]-B645)/B645</f>
        <v/>
      </c>
    </row>
    <row r="698">
      <c r="A698" s="23" t="n">
        <v>32244</v>
      </c>
      <c r="B698" s="25">
        <f>VLOOKUP(Table2634[[#This Row],[Date]],'DB Money Supply'!$A:$D,4)</f>
        <v/>
      </c>
      <c r="C698" s="31">
        <f>(Table2634[[#This Row],[M1 Money Stock, Billions of Dollars, Weekly, Seasonally Adjusted]]-B697)/B697</f>
        <v/>
      </c>
      <c r="D698" s="35">
        <f>((1+Table2634[[#This Row],[Weekly change]])^52)-1</f>
        <v/>
      </c>
      <c r="E698" s="25">
        <f>AVERAGE(B695:B698)</f>
        <v/>
      </c>
      <c r="F698" s="33">
        <f>(Table2634[[#This Row],[4 weeks average]]-B646)/B646</f>
        <v/>
      </c>
    </row>
    <row r="699">
      <c r="A699" s="23" t="n">
        <v>32251</v>
      </c>
      <c r="B699" s="25">
        <f>VLOOKUP(Table2634[[#This Row],[Date]],'DB Money Supply'!$A:$D,4)</f>
        <v/>
      </c>
      <c r="C699" s="31">
        <f>(Table2634[[#This Row],[M1 Money Stock, Billions of Dollars, Weekly, Seasonally Adjusted]]-B698)/B698</f>
        <v/>
      </c>
      <c r="D699" s="35">
        <f>((1+Table2634[[#This Row],[Weekly change]])^52)-1</f>
        <v/>
      </c>
      <c r="E699" s="25">
        <f>AVERAGE(B696:B699)</f>
        <v/>
      </c>
      <c r="F699" s="33">
        <f>(Table2634[[#This Row],[4 weeks average]]-B647)/B647</f>
        <v/>
      </c>
    </row>
    <row r="700">
      <c r="A700" s="23" t="n">
        <v>32258</v>
      </c>
      <c r="B700" s="25">
        <f>VLOOKUP(Table2634[[#This Row],[Date]],'DB Money Supply'!$A:$D,4)</f>
        <v/>
      </c>
      <c r="C700" s="31">
        <f>(Table2634[[#This Row],[M1 Money Stock, Billions of Dollars, Weekly, Seasonally Adjusted]]-B699)/B699</f>
        <v/>
      </c>
      <c r="D700" s="35">
        <f>((1+Table2634[[#This Row],[Weekly change]])^52)-1</f>
        <v/>
      </c>
      <c r="E700" s="25">
        <f>AVERAGE(B697:B700)</f>
        <v/>
      </c>
      <c r="F700" s="33">
        <f>(Table2634[[#This Row],[4 weeks average]]-B648)/B648</f>
        <v/>
      </c>
    </row>
    <row r="701">
      <c r="A701" s="23" t="n">
        <v>32265</v>
      </c>
      <c r="B701" s="25">
        <f>VLOOKUP(Table2634[[#This Row],[Date]],'DB Money Supply'!$A:$D,4)</f>
        <v/>
      </c>
      <c r="C701" s="31">
        <f>(Table2634[[#This Row],[M1 Money Stock, Billions of Dollars, Weekly, Seasonally Adjusted]]-B700)/B700</f>
        <v/>
      </c>
      <c r="D701" s="35">
        <f>((1+Table2634[[#This Row],[Weekly change]])^52)-1</f>
        <v/>
      </c>
      <c r="E701" s="25">
        <f>AVERAGE(B698:B701)</f>
        <v/>
      </c>
      <c r="F701" s="33">
        <f>(Table2634[[#This Row],[4 weeks average]]-B649)/B649</f>
        <v/>
      </c>
    </row>
    <row r="702">
      <c r="A702" s="23" t="n">
        <v>32272</v>
      </c>
      <c r="B702" s="25">
        <f>VLOOKUP(Table2634[[#This Row],[Date]],'DB Money Supply'!$A:$D,4)</f>
        <v/>
      </c>
      <c r="C702" s="31">
        <f>(Table2634[[#This Row],[M1 Money Stock, Billions of Dollars, Weekly, Seasonally Adjusted]]-B701)/B701</f>
        <v/>
      </c>
      <c r="D702" s="35">
        <f>((1+Table2634[[#This Row],[Weekly change]])^52)-1</f>
        <v/>
      </c>
      <c r="E702" s="25">
        <f>AVERAGE(B699:B702)</f>
        <v/>
      </c>
      <c r="F702" s="33">
        <f>(Table2634[[#This Row],[4 weeks average]]-B650)/B650</f>
        <v/>
      </c>
    </row>
    <row r="703">
      <c r="A703" s="23" t="n">
        <v>32279</v>
      </c>
      <c r="B703" s="25">
        <f>VLOOKUP(Table2634[[#This Row],[Date]],'DB Money Supply'!$A:$D,4)</f>
        <v/>
      </c>
      <c r="C703" s="31">
        <f>(Table2634[[#This Row],[M1 Money Stock, Billions of Dollars, Weekly, Seasonally Adjusted]]-B702)/B702</f>
        <v/>
      </c>
      <c r="D703" s="35">
        <f>((1+Table2634[[#This Row],[Weekly change]])^52)-1</f>
        <v/>
      </c>
      <c r="E703" s="25">
        <f>AVERAGE(B700:B703)</f>
        <v/>
      </c>
      <c r="F703" s="33">
        <f>(Table2634[[#This Row],[4 weeks average]]-B651)/B651</f>
        <v/>
      </c>
    </row>
    <row r="704">
      <c r="A704" s="23" t="n">
        <v>32286</v>
      </c>
      <c r="B704" s="25">
        <f>VLOOKUP(Table2634[[#This Row],[Date]],'DB Money Supply'!$A:$D,4)</f>
        <v/>
      </c>
      <c r="C704" s="31">
        <f>(Table2634[[#This Row],[M1 Money Stock, Billions of Dollars, Weekly, Seasonally Adjusted]]-B703)/B703</f>
        <v/>
      </c>
      <c r="D704" s="35">
        <f>((1+Table2634[[#This Row],[Weekly change]])^52)-1</f>
        <v/>
      </c>
      <c r="E704" s="25">
        <f>AVERAGE(B701:B704)</f>
        <v/>
      </c>
      <c r="F704" s="33">
        <f>(Table2634[[#This Row],[4 weeks average]]-B652)/B652</f>
        <v/>
      </c>
    </row>
    <row r="705">
      <c r="A705" s="23" t="n">
        <v>32293</v>
      </c>
      <c r="B705" s="25">
        <f>VLOOKUP(Table2634[[#This Row],[Date]],'DB Money Supply'!$A:$D,4)</f>
        <v/>
      </c>
      <c r="C705" s="31">
        <f>(Table2634[[#This Row],[M1 Money Stock, Billions of Dollars, Weekly, Seasonally Adjusted]]-B704)/B704</f>
        <v/>
      </c>
      <c r="D705" s="35">
        <f>((1+Table2634[[#This Row],[Weekly change]])^52)-1</f>
        <v/>
      </c>
      <c r="E705" s="25">
        <f>AVERAGE(B702:B705)</f>
        <v/>
      </c>
      <c r="F705" s="33">
        <f>(Table2634[[#This Row],[4 weeks average]]-B653)/B653</f>
        <v/>
      </c>
    </row>
    <row r="706">
      <c r="A706" s="23" t="n">
        <v>32300</v>
      </c>
      <c r="B706" s="25">
        <f>VLOOKUP(Table2634[[#This Row],[Date]],'DB Money Supply'!$A:$D,4)</f>
        <v/>
      </c>
      <c r="C706" s="31">
        <f>(Table2634[[#This Row],[M1 Money Stock, Billions of Dollars, Weekly, Seasonally Adjusted]]-B705)/B705</f>
        <v/>
      </c>
      <c r="D706" s="35">
        <f>((1+Table2634[[#This Row],[Weekly change]])^52)-1</f>
        <v/>
      </c>
      <c r="E706" s="25">
        <f>AVERAGE(B703:B706)</f>
        <v/>
      </c>
      <c r="F706" s="33">
        <f>(Table2634[[#This Row],[4 weeks average]]-B654)/B654</f>
        <v/>
      </c>
    </row>
    <row r="707">
      <c r="A707" s="23" t="n">
        <v>32307</v>
      </c>
      <c r="B707" s="25">
        <f>VLOOKUP(Table2634[[#This Row],[Date]],'DB Money Supply'!$A:$D,4)</f>
        <v/>
      </c>
      <c r="C707" s="31">
        <f>(Table2634[[#This Row],[M1 Money Stock, Billions of Dollars, Weekly, Seasonally Adjusted]]-B706)/B706</f>
        <v/>
      </c>
      <c r="D707" s="35">
        <f>((1+Table2634[[#This Row],[Weekly change]])^52)-1</f>
        <v/>
      </c>
      <c r="E707" s="25">
        <f>AVERAGE(B704:B707)</f>
        <v/>
      </c>
      <c r="F707" s="33">
        <f>(Table2634[[#This Row],[4 weeks average]]-B655)/B655</f>
        <v/>
      </c>
    </row>
    <row r="708">
      <c r="A708" s="23" t="n">
        <v>32314</v>
      </c>
      <c r="B708" s="25">
        <f>VLOOKUP(Table2634[[#This Row],[Date]],'DB Money Supply'!$A:$D,4)</f>
        <v/>
      </c>
      <c r="C708" s="31">
        <f>(Table2634[[#This Row],[M1 Money Stock, Billions of Dollars, Weekly, Seasonally Adjusted]]-B707)/B707</f>
        <v/>
      </c>
      <c r="D708" s="35">
        <f>((1+Table2634[[#This Row],[Weekly change]])^52)-1</f>
        <v/>
      </c>
      <c r="E708" s="25">
        <f>AVERAGE(B705:B708)</f>
        <v/>
      </c>
      <c r="F708" s="33">
        <f>(Table2634[[#This Row],[4 weeks average]]-B656)/B656</f>
        <v/>
      </c>
    </row>
    <row r="709">
      <c r="A709" s="23" t="n">
        <v>32321</v>
      </c>
      <c r="B709" s="25">
        <f>VLOOKUP(Table2634[[#This Row],[Date]],'DB Money Supply'!$A:$D,4)</f>
        <v/>
      </c>
      <c r="C709" s="31">
        <f>(Table2634[[#This Row],[M1 Money Stock, Billions of Dollars, Weekly, Seasonally Adjusted]]-B708)/B708</f>
        <v/>
      </c>
      <c r="D709" s="35">
        <f>((1+Table2634[[#This Row],[Weekly change]])^52)-1</f>
        <v/>
      </c>
      <c r="E709" s="25">
        <f>AVERAGE(B706:B709)</f>
        <v/>
      </c>
      <c r="F709" s="33">
        <f>(Table2634[[#This Row],[4 weeks average]]-B657)/B657</f>
        <v/>
      </c>
    </row>
    <row r="710">
      <c r="A710" s="23" t="n">
        <v>32328</v>
      </c>
      <c r="B710" s="25">
        <f>VLOOKUP(Table2634[[#This Row],[Date]],'DB Money Supply'!$A:$D,4)</f>
        <v/>
      </c>
      <c r="C710" s="31">
        <f>(Table2634[[#This Row],[M1 Money Stock, Billions of Dollars, Weekly, Seasonally Adjusted]]-B709)/B709</f>
        <v/>
      </c>
      <c r="D710" s="35">
        <f>((1+Table2634[[#This Row],[Weekly change]])^52)-1</f>
        <v/>
      </c>
      <c r="E710" s="25">
        <f>AVERAGE(B707:B710)</f>
        <v/>
      </c>
      <c r="F710" s="33">
        <f>(Table2634[[#This Row],[4 weeks average]]-B658)/B658</f>
        <v/>
      </c>
    </row>
    <row r="711">
      <c r="A711" s="23" t="n">
        <v>32335</v>
      </c>
      <c r="B711" s="25">
        <f>VLOOKUP(Table2634[[#This Row],[Date]],'DB Money Supply'!$A:$D,4)</f>
        <v/>
      </c>
      <c r="C711" s="31">
        <f>(Table2634[[#This Row],[M1 Money Stock, Billions of Dollars, Weekly, Seasonally Adjusted]]-B710)/B710</f>
        <v/>
      </c>
      <c r="D711" s="35">
        <f>((1+Table2634[[#This Row],[Weekly change]])^52)-1</f>
        <v/>
      </c>
      <c r="E711" s="25">
        <f>AVERAGE(B708:B711)</f>
        <v/>
      </c>
      <c r="F711" s="33">
        <f>(Table2634[[#This Row],[4 weeks average]]-B659)/B659</f>
        <v/>
      </c>
    </row>
    <row r="712">
      <c r="A712" s="23" t="n">
        <v>32342</v>
      </c>
      <c r="B712" s="25">
        <f>VLOOKUP(Table2634[[#This Row],[Date]],'DB Money Supply'!$A:$D,4)</f>
        <v/>
      </c>
      <c r="C712" s="31">
        <f>(Table2634[[#This Row],[M1 Money Stock, Billions of Dollars, Weekly, Seasonally Adjusted]]-B711)/B711</f>
        <v/>
      </c>
      <c r="D712" s="35">
        <f>((1+Table2634[[#This Row],[Weekly change]])^52)-1</f>
        <v/>
      </c>
      <c r="E712" s="25">
        <f>AVERAGE(B709:B712)</f>
        <v/>
      </c>
      <c r="F712" s="33">
        <f>(Table2634[[#This Row],[4 weeks average]]-B660)/B660</f>
        <v/>
      </c>
    </row>
    <row r="713">
      <c r="A713" s="23" t="n">
        <v>32349</v>
      </c>
      <c r="B713" s="25">
        <f>VLOOKUP(Table2634[[#This Row],[Date]],'DB Money Supply'!$A:$D,4)</f>
        <v/>
      </c>
      <c r="C713" s="31">
        <f>(Table2634[[#This Row],[M1 Money Stock, Billions of Dollars, Weekly, Seasonally Adjusted]]-B712)/B712</f>
        <v/>
      </c>
      <c r="D713" s="35">
        <f>((1+Table2634[[#This Row],[Weekly change]])^52)-1</f>
        <v/>
      </c>
      <c r="E713" s="25">
        <f>AVERAGE(B710:B713)</f>
        <v/>
      </c>
      <c r="F713" s="33">
        <f>(Table2634[[#This Row],[4 weeks average]]-B661)/B661</f>
        <v/>
      </c>
    </row>
    <row r="714">
      <c r="A714" s="23" t="n">
        <v>32356</v>
      </c>
      <c r="B714" s="25">
        <f>VLOOKUP(Table2634[[#This Row],[Date]],'DB Money Supply'!$A:$D,4)</f>
        <v/>
      </c>
      <c r="C714" s="31">
        <f>(Table2634[[#This Row],[M1 Money Stock, Billions of Dollars, Weekly, Seasonally Adjusted]]-B713)/B713</f>
        <v/>
      </c>
      <c r="D714" s="35">
        <f>((1+Table2634[[#This Row],[Weekly change]])^52)-1</f>
        <v/>
      </c>
      <c r="E714" s="25">
        <f>AVERAGE(B711:B714)</f>
        <v/>
      </c>
      <c r="F714" s="33">
        <f>(Table2634[[#This Row],[4 weeks average]]-B662)/B662</f>
        <v/>
      </c>
    </row>
    <row r="715">
      <c r="A715" s="23" t="n">
        <v>32363</v>
      </c>
      <c r="B715" s="25">
        <f>VLOOKUP(Table2634[[#This Row],[Date]],'DB Money Supply'!$A:$D,4)</f>
        <v/>
      </c>
      <c r="C715" s="31">
        <f>(Table2634[[#This Row],[M1 Money Stock, Billions of Dollars, Weekly, Seasonally Adjusted]]-B714)/B714</f>
        <v/>
      </c>
      <c r="D715" s="35">
        <f>((1+Table2634[[#This Row],[Weekly change]])^52)-1</f>
        <v/>
      </c>
      <c r="E715" s="25">
        <f>AVERAGE(B712:B715)</f>
        <v/>
      </c>
      <c r="F715" s="33">
        <f>(Table2634[[#This Row],[4 weeks average]]-B663)/B663</f>
        <v/>
      </c>
    </row>
    <row r="716">
      <c r="A716" s="23" t="n">
        <v>32370</v>
      </c>
      <c r="B716" s="25">
        <f>VLOOKUP(Table2634[[#This Row],[Date]],'DB Money Supply'!$A:$D,4)</f>
        <v/>
      </c>
      <c r="C716" s="31">
        <f>(Table2634[[#This Row],[M1 Money Stock, Billions of Dollars, Weekly, Seasonally Adjusted]]-B715)/B715</f>
        <v/>
      </c>
      <c r="D716" s="35">
        <f>((1+Table2634[[#This Row],[Weekly change]])^52)-1</f>
        <v/>
      </c>
      <c r="E716" s="25">
        <f>AVERAGE(B713:B716)</f>
        <v/>
      </c>
      <c r="F716" s="33">
        <f>(Table2634[[#This Row],[4 weeks average]]-B664)/B664</f>
        <v/>
      </c>
    </row>
    <row r="717">
      <c r="A717" s="23" t="n">
        <v>32377</v>
      </c>
      <c r="B717" s="25">
        <f>VLOOKUP(Table2634[[#This Row],[Date]],'DB Money Supply'!$A:$D,4)</f>
        <v/>
      </c>
      <c r="C717" s="31">
        <f>(Table2634[[#This Row],[M1 Money Stock, Billions of Dollars, Weekly, Seasonally Adjusted]]-B716)/B716</f>
        <v/>
      </c>
      <c r="D717" s="35">
        <f>((1+Table2634[[#This Row],[Weekly change]])^52)-1</f>
        <v/>
      </c>
      <c r="E717" s="25">
        <f>AVERAGE(B714:B717)</f>
        <v/>
      </c>
      <c r="F717" s="33">
        <f>(Table2634[[#This Row],[4 weeks average]]-B665)/B665</f>
        <v/>
      </c>
    </row>
    <row r="718">
      <c r="A718" s="23" t="n">
        <v>32384</v>
      </c>
      <c r="B718" s="25">
        <f>VLOOKUP(Table2634[[#This Row],[Date]],'DB Money Supply'!$A:$D,4)</f>
        <v/>
      </c>
      <c r="C718" s="31">
        <f>(Table2634[[#This Row],[M1 Money Stock, Billions of Dollars, Weekly, Seasonally Adjusted]]-B717)/B717</f>
        <v/>
      </c>
      <c r="D718" s="35">
        <f>((1+Table2634[[#This Row],[Weekly change]])^52)-1</f>
        <v/>
      </c>
      <c r="E718" s="25">
        <f>AVERAGE(B715:B718)</f>
        <v/>
      </c>
      <c r="F718" s="33">
        <f>(Table2634[[#This Row],[4 weeks average]]-B666)/B666</f>
        <v/>
      </c>
    </row>
    <row r="719">
      <c r="A719" s="23" t="n">
        <v>32391</v>
      </c>
      <c r="B719" s="25">
        <f>VLOOKUP(Table2634[[#This Row],[Date]],'DB Money Supply'!$A:$D,4)</f>
        <v/>
      </c>
      <c r="C719" s="31">
        <f>(Table2634[[#This Row],[M1 Money Stock, Billions of Dollars, Weekly, Seasonally Adjusted]]-B718)/B718</f>
        <v/>
      </c>
      <c r="D719" s="35">
        <f>((1+Table2634[[#This Row],[Weekly change]])^52)-1</f>
        <v/>
      </c>
      <c r="E719" s="25">
        <f>AVERAGE(B716:B719)</f>
        <v/>
      </c>
      <c r="F719" s="33">
        <f>(Table2634[[#This Row],[4 weeks average]]-B667)/B667</f>
        <v/>
      </c>
    </row>
    <row r="720">
      <c r="A720" s="23" t="n">
        <v>32398</v>
      </c>
      <c r="B720" s="25">
        <f>VLOOKUP(Table2634[[#This Row],[Date]],'DB Money Supply'!$A:$D,4)</f>
        <v/>
      </c>
      <c r="C720" s="31">
        <f>(Table2634[[#This Row],[M1 Money Stock, Billions of Dollars, Weekly, Seasonally Adjusted]]-B719)/B719</f>
        <v/>
      </c>
      <c r="D720" s="35">
        <f>((1+Table2634[[#This Row],[Weekly change]])^52)-1</f>
        <v/>
      </c>
      <c r="E720" s="25">
        <f>AVERAGE(B717:B720)</f>
        <v/>
      </c>
      <c r="F720" s="33">
        <f>(Table2634[[#This Row],[4 weeks average]]-B668)/B668</f>
        <v/>
      </c>
    </row>
    <row r="721">
      <c r="A721" s="23" t="n">
        <v>32405</v>
      </c>
      <c r="B721" s="25">
        <f>VLOOKUP(Table2634[[#This Row],[Date]],'DB Money Supply'!$A:$D,4)</f>
        <v/>
      </c>
      <c r="C721" s="31">
        <f>(Table2634[[#This Row],[M1 Money Stock, Billions of Dollars, Weekly, Seasonally Adjusted]]-B720)/B720</f>
        <v/>
      </c>
      <c r="D721" s="35">
        <f>((1+Table2634[[#This Row],[Weekly change]])^52)-1</f>
        <v/>
      </c>
      <c r="E721" s="25">
        <f>AVERAGE(B718:B721)</f>
        <v/>
      </c>
      <c r="F721" s="33">
        <f>(Table2634[[#This Row],[4 weeks average]]-B669)/B669</f>
        <v/>
      </c>
    </row>
    <row r="722">
      <c r="A722" s="23" t="n">
        <v>32412</v>
      </c>
      <c r="B722" s="25">
        <f>VLOOKUP(Table2634[[#This Row],[Date]],'DB Money Supply'!$A:$D,4)</f>
        <v/>
      </c>
      <c r="C722" s="31">
        <f>(Table2634[[#This Row],[M1 Money Stock, Billions of Dollars, Weekly, Seasonally Adjusted]]-B721)/B721</f>
        <v/>
      </c>
      <c r="D722" s="35">
        <f>((1+Table2634[[#This Row],[Weekly change]])^52)-1</f>
        <v/>
      </c>
      <c r="E722" s="25">
        <f>AVERAGE(B719:B722)</f>
        <v/>
      </c>
      <c r="F722" s="33">
        <f>(Table2634[[#This Row],[4 weeks average]]-B670)/B670</f>
        <v/>
      </c>
    </row>
    <row r="723">
      <c r="A723" s="23" t="n">
        <v>32419</v>
      </c>
      <c r="B723" s="25">
        <f>VLOOKUP(Table2634[[#This Row],[Date]],'DB Money Supply'!$A:$D,4)</f>
        <v/>
      </c>
      <c r="C723" s="31">
        <f>(Table2634[[#This Row],[M1 Money Stock, Billions of Dollars, Weekly, Seasonally Adjusted]]-B722)/B722</f>
        <v/>
      </c>
      <c r="D723" s="35">
        <f>((1+Table2634[[#This Row],[Weekly change]])^52)-1</f>
        <v/>
      </c>
      <c r="E723" s="25">
        <f>AVERAGE(B720:B723)</f>
        <v/>
      </c>
      <c r="F723" s="33">
        <f>(Table2634[[#This Row],[4 weeks average]]-B671)/B671</f>
        <v/>
      </c>
    </row>
    <row r="724">
      <c r="A724" s="23" t="n">
        <v>32426</v>
      </c>
      <c r="B724" s="25">
        <f>VLOOKUP(Table2634[[#This Row],[Date]],'DB Money Supply'!$A:$D,4)</f>
        <v/>
      </c>
      <c r="C724" s="31">
        <f>(Table2634[[#This Row],[M1 Money Stock, Billions of Dollars, Weekly, Seasonally Adjusted]]-B723)/B723</f>
        <v/>
      </c>
      <c r="D724" s="35">
        <f>((1+Table2634[[#This Row],[Weekly change]])^52)-1</f>
        <v/>
      </c>
      <c r="E724" s="25">
        <f>AVERAGE(B721:B724)</f>
        <v/>
      </c>
      <c r="F724" s="33">
        <f>(Table2634[[#This Row],[4 weeks average]]-B672)/B672</f>
        <v/>
      </c>
    </row>
    <row r="725">
      <c r="A725" s="23" t="n">
        <v>32433</v>
      </c>
      <c r="B725" s="25">
        <f>VLOOKUP(Table2634[[#This Row],[Date]],'DB Money Supply'!$A:$D,4)</f>
        <v/>
      </c>
      <c r="C725" s="31">
        <f>(Table2634[[#This Row],[M1 Money Stock, Billions of Dollars, Weekly, Seasonally Adjusted]]-B724)/B724</f>
        <v/>
      </c>
      <c r="D725" s="35">
        <f>((1+Table2634[[#This Row],[Weekly change]])^52)-1</f>
        <v/>
      </c>
      <c r="E725" s="25">
        <f>AVERAGE(B722:B725)</f>
        <v/>
      </c>
      <c r="F725" s="33">
        <f>(Table2634[[#This Row],[4 weeks average]]-B673)/B673</f>
        <v/>
      </c>
    </row>
    <row r="726">
      <c r="A726" s="23" t="n">
        <v>32440</v>
      </c>
      <c r="B726" s="25">
        <f>VLOOKUP(Table2634[[#This Row],[Date]],'DB Money Supply'!$A:$D,4)</f>
        <v/>
      </c>
      <c r="C726" s="31">
        <f>(Table2634[[#This Row],[M1 Money Stock, Billions of Dollars, Weekly, Seasonally Adjusted]]-B725)/B725</f>
        <v/>
      </c>
      <c r="D726" s="35">
        <f>((1+Table2634[[#This Row],[Weekly change]])^52)-1</f>
        <v/>
      </c>
      <c r="E726" s="25">
        <f>AVERAGE(B723:B726)</f>
        <v/>
      </c>
      <c r="F726" s="33">
        <f>(Table2634[[#This Row],[4 weeks average]]-B674)/B674</f>
        <v/>
      </c>
    </row>
    <row r="727">
      <c r="A727" s="23" t="n">
        <v>32447</v>
      </c>
      <c r="B727" s="25">
        <f>VLOOKUP(Table2634[[#This Row],[Date]],'DB Money Supply'!$A:$D,4)</f>
        <v/>
      </c>
      <c r="C727" s="31">
        <f>(Table2634[[#This Row],[M1 Money Stock, Billions of Dollars, Weekly, Seasonally Adjusted]]-B726)/B726</f>
        <v/>
      </c>
      <c r="D727" s="35">
        <f>((1+Table2634[[#This Row],[Weekly change]])^52)-1</f>
        <v/>
      </c>
      <c r="E727" s="25">
        <f>AVERAGE(B724:B727)</f>
        <v/>
      </c>
      <c r="F727" s="33">
        <f>(Table2634[[#This Row],[4 weeks average]]-B675)/B675</f>
        <v/>
      </c>
    </row>
    <row r="728">
      <c r="A728" s="23" t="n">
        <v>32454</v>
      </c>
      <c r="B728" s="25">
        <f>VLOOKUP(Table2634[[#This Row],[Date]],'DB Money Supply'!$A:$D,4)</f>
        <v/>
      </c>
      <c r="C728" s="31">
        <f>(Table2634[[#This Row],[M1 Money Stock, Billions of Dollars, Weekly, Seasonally Adjusted]]-B727)/B727</f>
        <v/>
      </c>
      <c r="D728" s="35">
        <f>((1+Table2634[[#This Row],[Weekly change]])^52)-1</f>
        <v/>
      </c>
      <c r="E728" s="25">
        <f>AVERAGE(B725:B728)</f>
        <v/>
      </c>
      <c r="F728" s="33">
        <f>(Table2634[[#This Row],[4 weeks average]]-B676)/B676</f>
        <v/>
      </c>
    </row>
    <row r="729">
      <c r="A729" s="23" t="n">
        <v>32461</v>
      </c>
      <c r="B729" s="25">
        <f>VLOOKUP(Table2634[[#This Row],[Date]],'DB Money Supply'!$A:$D,4)</f>
        <v/>
      </c>
      <c r="C729" s="31">
        <f>(Table2634[[#This Row],[M1 Money Stock, Billions of Dollars, Weekly, Seasonally Adjusted]]-B728)/B728</f>
        <v/>
      </c>
      <c r="D729" s="35">
        <f>((1+Table2634[[#This Row],[Weekly change]])^52)-1</f>
        <v/>
      </c>
      <c r="E729" s="25">
        <f>AVERAGE(B726:B729)</f>
        <v/>
      </c>
      <c r="F729" s="33">
        <f>(Table2634[[#This Row],[4 weeks average]]-B677)/B677</f>
        <v/>
      </c>
    </row>
    <row r="730">
      <c r="A730" s="23" t="n">
        <v>32468</v>
      </c>
      <c r="B730" s="25">
        <f>VLOOKUP(Table2634[[#This Row],[Date]],'DB Money Supply'!$A:$D,4)</f>
        <v/>
      </c>
      <c r="C730" s="31">
        <f>(Table2634[[#This Row],[M1 Money Stock, Billions of Dollars, Weekly, Seasonally Adjusted]]-B729)/B729</f>
        <v/>
      </c>
      <c r="D730" s="35">
        <f>((1+Table2634[[#This Row],[Weekly change]])^52)-1</f>
        <v/>
      </c>
      <c r="E730" s="25">
        <f>AVERAGE(B727:B730)</f>
        <v/>
      </c>
      <c r="F730" s="33">
        <f>(Table2634[[#This Row],[4 weeks average]]-B678)/B678</f>
        <v/>
      </c>
    </row>
    <row r="731">
      <c r="A731" s="23" t="n">
        <v>32475</v>
      </c>
      <c r="B731" s="25">
        <f>VLOOKUP(Table2634[[#This Row],[Date]],'DB Money Supply'!$A:$D,4)</f>
        <v/>
      </c>
      <c r="C731" s="31">
        <f>(Table2634[[#This Row],[M1 Money Stock, Billions of Dollars, Weekly, Seasonally Adjusted]]-B730)/B730</f>
        <v/>
      </c>
      <c r="D731" s="35">
        <f>((1+Table2634[[#This Row],[Weekly change]])^52)-1</f>
        <v/>
      </c>
      <c r="E731" s="25">
        <f>AVERAGE(B728:B731)</f>
        <v/>
      </c>
      <c r="F731" s="33">
        <f>(Table2634[[#This Row],[4 weeks average]]-B679)/B679</f>
        <v/>
      </c>
    </row>
    <row r="732">
      <c r="A732" s="23" t="n">
        <v>32482</v>
      </c>
      <c r="B732" s="25">
        <f>VLOOKUP(Table2634[[#This Row],[Date]],'DB Money Supply'!$A:$D,4)</f>
        <v/>
      </c>
      <c r="C732" s="31">
        <f>(Table2634[[#This Row],[M1 Money Stock, Billions of Dollars, Weekly, Seasonally Adjusted]]-B731)/B731</f>
        <v/>
      </c>
      <c r="D732" s="35">
        <f>((1+Table2634[[#This Row],[Weekly change]])^52)-1</f>
        <v/>
      </c>
      <c r="E732" s="25">
        <f>AVERAGE(B729:B732)</f>
        <v/>
      </c>
      <c r="F732" s="33">
        <f>(Table2634[[#This Row],[4 weeks average]]-B680)/B680</f>
        <v/>
      </c>
    </row>
    <row r="733">
      <c r="A733" s="23" t="n">
        <v>32489</v>
      </c>
      <c r="B733" s="25">
        <f>VLOOKUP(Table2634[[#This Row],[Date]],'DB Money Supply'!$A:$D,4)</f>
        <v/>
      </c>
      <c r="C733" s="31">
        <f>(Table2634[[#This Row],[M1 Money Stock, Billions of Dollars, Weekly, Seasonally Adjusted]]-B732)/B732</f>
        <v/>
      </c>
      <c r="D733" s="35">
        <f>((1+Table2634[[#This Row],[Weekly change]])^52)-1</f>
        <v/>
      </c>
      <c r="E733" s="25">
        <f>AVERAGE(B730:B733)</f>
        <v/>
      </c>
      <c r="F733" s="33">
        <f>(Table2634[[#This Row],[4 weeks average]]-B681)/B681</f>
        <v/>
      </c>
    </row>
    <row r="734">
      <c r="A734" s="23" t="n">
        <v>32496</v>
      </c>
      <c r="B734" s="25">
        <f>VLOOKUP(Table2634[[#This Row],[Date]],'DB Money Supply'!$A:$D,4)</f>
        <v/>
      </c>
      <c r="C734" s="31">
        <f>(Table2634[[#This Row],[M1 Money Stock, Billions of Dollars, Weekly, Seasonally Adjusted]]-B733)/B733</f>
        <v/>
      </c>
      <c r="D734" s="35">
        <f>((1+Table2634[[#This Row],[Weekly change]])^52)-1</f>
        <v/>
      </c>
      <c r="E734" s="25">
        <f>AVERAGE(B731:B734)</f>
        <v/>
      </c>
      <c r="F734" s="33">
        <f>(Table2634[[#This Row],[4 weeks average]]-B682)/B682</f>
        <v/>
      </c>
    </row>
    <row r="735">
      <c r="A735" s="23" t="n">
        <v>32503</v>
      </c>
      <c r="B735" s="25">
        <f>VLOOKUP(Table2634[[#This Row],[Date]],'DB Money Supply'!$A:$D,4)</f>
        <v/>
      </c>
      <c r="C735" s="31">
        <f>(Table2634[[#This Row],[M1 Money Stock, Billions of Dollars, Weekly, Seasonally Adjusted]]-B734)/B734</f>
        <v/>
      </c>
      <c r="D735" s="35">
        <f>((1+Table2634[[#This Row],[Weekly change]])^52)-1</f>
        <v/>
      </c>
      <c r="E735" s="25">
        <f>AVERAGE(B732:B735)</f>
        <v/>
      </c>
      <c r="F735" s="33">
        <f>(Table2634[[#This Row],[4 weeks average]]-B683)/B683</f>
        <v/>
      </c>
    </row>
    <row r="736">
      <c r="A736" s="23" t="n">
        <v>32510</v>
      </c>
      <c r="B736" s="25">
        <f>VLOOKUP(Table2634[[#This Row],[Date]],'DB Money Supply'!$A:$D,4)</f>
        <v/>
      </c>
      <c r="C736" s="31">
        <f>(Table2634[[#This Row],[M1 Money Stock, Billions of Dollars, Weekly, Seasonally Adjusted]]-B735)/B735</f>
        <v/>
      </c>
      <c r="D736" s="35">
        <f>((1+Table2634[[#This Row],[Weekly change]])^52)-1</f>
        <v/>
      </c>
      <c r="E736" s="25">
        <f>AVERAGE(B733:B736)</f>
        <v/>
      </c>
      <c r="F736" s="33">
        <f>(Table2634[[#This Row],[4 weeks average]]-B684)/B684</f>
        <v/>
      </c>
    </row>
    <row r="737">
      <c r="A737" s="23" t="n">
        <v>32517</v>
      </c>
      <c r="B737" s="25">
        <f>VLOOKUP(Table2634[[#This Row],[Date]],'DB Money Supply'!$A:$D,4)</f>
        <v/>
      </c>
      <c r="C737" s="31">
        <f>(Table2634[[#This Row],[M1 Money Stock, Billions of Dollars, Weekly, Seasonally Adjusted]]-B736)/B736</f>
        <v/>
      </c>
      <c r="D737" s="35">
        <f>((1+Table2634[[#This Row],[Weekly change]])^52)-1</f>
        <v/>
      </c>
      <c r="E737" s="25">
        <f>AVERAGE(B734:B737)</f>
        <v/>
      </c>
      <c r="F737" s="33">
        <f>(Table2634[[#This Row],[4 weeks average]]-B685)/B685</f>
        <v/>
      </c>
    </row>
    <row r="738">
      <c r="A738" s="23" t="n">
        <v>32524</v>
      </c>
      <c r="B738" s="25">
        <f>VLOOKUP(Table2634[[#This Row],[Date]],'DB Money Supply'!$A:$D,4)</f>
        <v/>
      </c>
      <c r="C738" s="31">
        <f>(Table2634[[#This Row],[M1 Money Stock, Billions of Dollars, Weekly, Seasonally Adjusted]]-B737)/B737</f>
        <v/>
      </c>
      <c r="D738" s="35">
        <f>((1+Table2634[[#This Row],[Weekly change]])^52)-1</f>
        <v/>
      </c>
      <c r="E738" s="25">
        <f>AVERAGE(B735:B738)</f>
        <v/>
      </c>
      <c r="F738" s="33">
        <f>(Table2634[[#This Row],[4 weeks average]]-B686)/B686</f>
        <v/>
      </c>
    </row>
    <row r="739">
      <c r="A739" s="23" t="n">
        <v>32531</v>
      </c>
      <c r="B739" s="25">
        <f>VLOOKUP(Table2634[[#This Row],[Date]],'DB Money Supply'!$A:$D,4)</f>
        <v/>
      </c>
      <c r="C739" s="31">
        <f>(Table2634[[#This Row],[M1 Money Stock, Billions of Dollars, Weekly, Seasonally Adjusted]]-B738)/B738</f>
        <v/>
      </c>
      <c r="D739" s="35">
        <f>((1+Table2634[[#This Row],[Weekly change]])^52)-1</f>
        <v/>
      </c>
      <c r="E739" s="25">
        <f>AVERAGE(B736:B739)</f>
        <v/>
      </c>
      <c r="F739" s="33">
        <f>(Table2634[[#This Row],[4 weeks average]]-B687)/B687</f>
        <v/>
      </c>
    </row>
    <row r="740">
      <c r="A740" s="23" t="n">
        <v>32538</v>
      </c>
      <c r="B740" s="25">
        <f>VLOOKUP(Table2634[[#This Row],[Date]],'DB Money Supply'!$A:$D,4)</f>
        <v/>
      </c>
      <c r="C740" s="31">
        <f>(Table2634[[#This Row],[M1 Money Stock, Billions of Dollars, Weekly, Seasonally Adjusted]]-B739)/B739</f>
        <v/>
      </c>
      <c r="D740" s="35">
        <f>((1+Table2634[[#This Row],[Weekly change]])^52)-1</f>
        <v/>
      </c>
      <c r="E740" s="25">
        <f>AVERAGE(B737:B740)</f>
        <v/>
      </c>
      <c r="F740" s="33">
        <f>(Table2634[[#This Row],[4 weeks average]]-B688)/B688</f>
        <v/>
      </c>
    </row>
    <row r="741">
      <c r="A741" s="23" t="n">
        <v>32545</v>
      </c>
      <c r="B741" s="25">
        <f>VLOOKUP(Table2634[[#This Row],[Date]],'DB Money Supply'!$A:$D,4)</f>
        <v/>
      </c>
      <c r="C741" s="31">
        <f>(Table2634[[#This Row],[M1 Money Stock, Billions of Dollars, Weekly, Seasonally Adjusted]]-B740)/B740</f>
        <v/>
      </c>
      <c r="D741" s="35">
        <f>((1+Table2634[[#This Row],[Weekly change]])^52)-1</f>
        <v/>
      </c>
      <c r="E741" s="25">
        <f>AVERAGE(B738:B741)</f>
        <v/>
      </c>
      <c r="F741" s="33">
        <f>(Table2634[[#This Row],[4 weeks average]]-B689)/B689</f>
        <v/>
      </c>
    </row>
    <row r="742">
      <c r="A742" s="23" t="n">
        <v>32552</v>
      </c>
      <c r="B742" s="25">
        <f>VLOOKUP(Table2634[[#This Row],[Date]],'DB Money Supply'!$A:$D,4)</f>
        <v/>
      </c>
      <c r="C742" s="31">
        <f>(Table2634[[#This Row],[M1 Money Stock, Billions of Dollars, Weekly, Seasonally Adjusted]]-B741)/B741</f>
        <v/>
      </c>
      <c r="D742" s="35">
        <f>((1+Table2634[[#This Row],[Weekly change]])^52)-1</f>
        <v/>
      </c>
      <c r="E742" s="25">
        <f>AVERAGE(B739:B742)</f>
        <v/>
      </c>
      <c r="F742" s="33">
        <f>(Table2634[[#This Row],[4 weeks average]]-B690)/B690</f>
        <v/>
      </c>
    </row>
    <row r="743">
      <c r="A743" s="23" t="n">
        <v>32559</v>
      </c>
      <c r="B743" s="25">
        <f>VLOOKUP(Table2634[[#This Row],[Date]],'DB Money Supply'!$A:$D,4)</f>
        <v/>
      </c>
      <c r="C743" s="31">
        <f>(Table2634[[#This Row],[M1 Money Stock, Billions of Dollars, Weekly, Seasonally Adjusted]]-B742)/B742</f>
        <v/>
      </c>
      <c r="D743" s="35">
        <f>((1+Table2634[[#This Row],[Weekly change]])^52)-1</f>
        <v/>
      </c>
      <c r="E743" s="25">
        <f>AVERAGE(B740:B743)</f>
        <v/>
      </c>
      <c r="F743" s="33">
        <f>(Table2634[[#This Row],[4 weeks average]]-B691)/B691</f>
        <v/>
      </c>
    </row>
    <row r="744">
      <c r="A744" s="23" t="n">
        <v>32566</v>
      </c>
      <c r="B744" s="25">
        <f>VLOOKUP(Table2634[[#This Row],[Date]],'DB Money Supply'!$A:$D,4)</f>
        <v/>
      </c>
      <c r="C744" s="31">
        <f>(Table2634[[#This Row],[M1 Money Stock, Billions of Dollars, Weekly, Seasonally Adjusted]]-B743)/B743</f>
        <v/>
      </c>
      <c r="D744" s="35">
        <f>((1+Table2634[[#This Row],[Weekly change]])^52)-1</f>
        <v/>
      </c>
      <c r="E744" s="25">
        <f>AVERAGE(B741:B744)</f>
        <v/>
      </c>
      <c r="F744" s="33">
        <f>(Table2634[[#This Row],[4 weeks average]]-B692)/B692</f>
        <v/>
      </c>
    </row>
    <row r="745">
      <c r="A745" s="23" t="n">
        <v>32573</v>
      </c>
      <c r="B745" s="25">
        <f>VLOOKUP(Table2634[[#This Row],[Date]],'DB Money Supply'!$A:$D,4)</f>
        <v/>
      </c>
      <c r="C745" s="31">
        <f>(Table2634[[#This Row],[M1 Money Stock, Billions of Dollars, Weekly, Seasonally Adjusted]]-B744)/B744</f>
        <v/>
      </c>
      <c r="D745" s="35">
        <f>((1+Table2634[[#This Row],[Weekly change]])^52)-1</f>
        <v/>
      </c>
      <c r="E745" s="25">
        <f>AVERAGE(B742:B745)</f>
        <v/>
      </c>
      <c r="F745" s="33">
        <f>(Table2634[[#This Row],[4 weeks average]]-B693)/B693</f>
        <v/>
      </c>
    </row>
    <row r="746">
      <c r="A746" s="23" t="n">
        <v>32580</v>
      </c>
      <c r="B746" s="25">
        <f>VLOOKUP(Table2634[[#This Row],[Date]],'DB Money Supply'!$A:$D,4)</f>
        <v/>
      </c>
      <c r="C746" s="31">
        <f>(Table2634[[#This Row],[M1 Money Stock, Billions of Dollars, Weekly, Seasonally Adjusted]]-B745)/B745</f>
        <v/>
      </c>
      <c r="D746" s="35">
        <f>((1+Table2634[[#This Row],[Weekly change]])^52)-1</f>
        <v/>
      </c>
      <c r="E746" s="25">
        <f>AVERAGE(B743:B746)</f>
        <v/>
      </c>
      <c r="F746" s="33">
        <f>(Table2634[[#This Row],[4 weeks average]]-B694)/B694</f>
        <v/>
      </c>
    </row>
    <row r="747">
      <c r="A747" s="23" t="n">
        <v>32587</v>
      </c>
      <c r="B747" s="25">
        <f>VLOOKUP(Table2634[[#This Row],[Date]],'DB Money Supply'!$A:$D,4)</f>
        <v/>
      </c>
      <c r="C747" s="31">
        <f>(Table2634[[#This Row],[M1 Money Stock, Billions of Dollars, Weekly, Seasonally Adjusted]]-B746)/B746</f>
        <v/>
      </c>
      <c r="D747" s="35">
        <f>((1+Table2634[[#This Row],[Weekly change]])^52)-1</f>
        <v/>
      </c>
      <c r="E747" s="25">
        <f>AVERAGE(B744:B747)</f>
        <v/>
      </c>
      <c r="F747" s="33">
        <f>(Table2634[[#This Row],[4 weeks average]]-B695)/B695</f>
        <v/>
      </c>
    </row>
    <row r="748">
      <c r="A748" s="23" t="n">
        <v>32594</v>
      </c>
      <c r="B748" s="25">
        <f>VLOOKUP(Table2634[[#This Row],[Date]],'DB Money Supply'!$A:$D,4)</f>
        <v/>
      </c>
      <c r="C748" s="31">
        <f>(Table2634[[#This Row],[M1 Money Stock, Billions of Dollars, Weekly, Seasonally Adjusted]]-B747)/B747</f>
        <v/>
      </c>
      <c r="D748" s="35">
        <f>((1+Table2634[[#This Row],[Weekly change]])^52)-1</f>
        <v/>
      </c>
      <c r="E748" s="25">
        <f>AVERAGE(B745:B748)</f>
        <v/>
      </c>
      <c r="F748" s="33">
        <f>(Table2634[[#This Row],[4 weeks average]]-B696)/B696</f>
        <v/>
      </c>
    </row>
    <row r="749">
      <c r="A749" s="23" t="n">
        <v>32601</v>
      </c>
      <c r="B749" s="25">
        <f>VLOOKUP(Table2634[[#This Row],[Date]],'DB Money Supply'!$A:$D,4)</f>
        <v/>
      </c>
      <c r="C749" s="31">
        <f>(Table2634[[#This Row],[M1 Money Stock, Billions of Dollars, Weekly, Seasonally Adjusted]]-B748)/B748</f>
        <v/>
      </c>
      <c r="D749" s="35">
        <f>((1+Table2634[[#This Row],[Weekly change]])^52)-1</f>
        <v/>
      </c>
      <c r="E749" s="25">
        <f>AVERAGE(B746:B749)</f>
        <v/>
      </c>
      <c r="F749" s="33">
        <f>(Table2634[[#This Row],[4 weeks average]]-B697)/B697</f>
        <v/>
      </c>
    </row>
    <row r="750">
      <c r="A750" s="23" t="n">
        <v>32608</v>
      </c>
      <c r="B750" s="25">
        <f>VLOOKUP(Table2634[[#This Row],[Date]],'DB Money Supply'!$A:$D,4)</f>
        <v/>
      </c>
      <c r="C750" s="31">
        <f>(Table2634[[#This Row],[M1 Money Stock, Billions of Dollars, Weekly, Seasonally Adjusted]]-B749)/B749</f>
        <v/>
      </c>
      <c r="D750" s="35">
        <f>((1+Table2634[[#This Row],[Weekly change]])^52)-1</f>
        <v/>
      </c>
      <c r="E750" s="25">
        <f>AVERAGE(B747:B750)</f>
        <v/>
      </c>
      <c r="F750" s="33">
        <f>(Table2634[[#This Row],[4 weeks average]]-B698)/B698</f>
        <v/>
      </c>
    </row>
    <row r="751">
      <c r="A751" s="23" t="n">
        <v>32615</v>
      </c>
      <c r="B751" s="25">
        <f>VLOOKUP(Table2634[[#This Row],[Date]],'DB Money Supply'!$A:$D,4)</f>
        <v/>
      </c>
      <c r="C751" s="31">
        <f>(Table2634[[#This Row],[M1 Money Stock, Billions of Dollars, Weekly, Seasonally Adjusted]]-B750)/B750</f>
        <v/>
      </c>
      <c r="D751" s="35">
        <f>((1+Table2634[[#This Row],[Weekly change]])^52)-1</f>
        <v/>
      </c>
      <c r="E751" s="25">
        <f>AVERAGE(B748:B751)</f>
        <v/>
      </c>
      <c r="F751" s="33">
        <f>(Table2634[[#This Row],[4 weeks average]]-B699)/B699</f>
        <v/>
      </c>
    </row>
    <row r="752">
      <c r="A752" s="23" t="n">
        <v>32622</v>
      </c>
      <c r="B752" s="25">
        <f>VLOOKUP(Table2634[[#This Row],[Date]],'DB Money Supply'!$A:$D,4)</f>
        <v/>
      </c>
      <c r="C752" s="31">
        <f>(Table2634[[#This Row],[M1 Money Stock, Billions of Dollars, Weekly, Seasonally Adjusted]]-B751)/B751</f>
        <v/>
      </c>
      <c r="D752" s="35">
        <f>((1+Table2634[[#This Row],[Weekly change]])^52)-1</f>
        <v/>
      </c>
      <c r="E752" s="25">
        <f>AVERAGE(B749:B752)</f>
        <v/>
      </c>
      <c r="F752" s="33">
        <f>(Table2634[[#This Row],[4 weeks average]]-B700)/B700</f>
        <v/>
      </c>
    </row>
    <row r="753">
      <c r="A753" s="23" t="n">
        <v>32629</v>
      </c>
      <c r="B753" s="25">
        <f>VLOOKUP(Table2634[[#This Row],[Date]],'DB Money Supply'!$A:$D,4)</f>
        <v/>
      </c>
      <c r="C753" s="31">
        <f>(Table2634[[#This Row],[M1 Money Stock, Billions of Dollars, Weekly, Seasonally Adjusted]]-B752)/B752</f>
        <v/>
      </c>
      <c r="D753" s="35">
        <f>((1+Table2634[[#This Row],[Weekly change]])^52)-1</f>
        <v/>
      </c>
      <c r="E753" s="25">
        <f>AVERAGE(B750:B753)</f>
        <v/>
      </c>
      <c r="F753" s="33">
        <f>(Table2634[[#This Row],[4 weeks average]]-B701)/B701</f>
        <v/>
      </c>
    </row>
    <row r="754">
      <c r="A754" s="23" t="n">
        <v>32636</v>
      </c>
      <c r="B754" s="25">
        <f>VLOOKUP(Table2634[[#This Row],[Date]],'DB Money Supply'!$A:$D,4)</f>
        <v/>
      </c>
      <c r="C754" s="31">
        <f>(Table2634[[#This Row],[M1 Money Stock, Billions of Dollars, Weekly, Seasonally Adjusted]]-B753)/B753</f>
        <v/>
      </c>
      <c r="D754" s="35">
        <f>((1+Table2634[[#This Row],[Weekly change]])^52)-1</f>
        <v/>
      </c>
      <c r="E754" s="25">
        <f>AVERAGE(B751:B754)</f>
        <v/>
      </c>
      <c r="F754" s="33">
        <f>(Table2634[[#This Row],[4 weeks average]]-B702)/B702</f>
        <v/>
      </c>
    </row>
    <row r="755">
      <c r="A755" s="23" t="n">
        <v>32643</v>
      </c>
      <c r="B755" s="25">
        <f>VLOOKUP(Table2634[[#This Row],[Date]],'DB Money Supply'!$A:$D,4)</f>
        <v/>
      </c>
      <c r="C755" s="31">
        <f>(Table2634[[#This Row],[M1 Money Stock, Billions of Dollars, Weekly, Seasonally Adjusted]]-B754)/B754</f>
        <v/>
      </c>
      <c r="D755" s="35">
        <f>((1+Table2634[[#This Row],[Weekly change]])^52)-1</f>
        <v/>
      </c>
      <c r="E755" s="25">
        <f>AVERAGE(B752:B755)</f>
        <v/>
      </c>
      <c r="F755" s="33">
        <f>(Table2634[[#This Row],[4 weeks average]]-B703)/B703</f>
        <v/>
      </c>
    </row>
    <row r="756">
      <c r="A756" s="23" t="n">
        <v>32650</v>
      </c>
      <c r="B756" s="25">
        <f>VLOOKUP(Table2634[[#This Row],[Date]],'DB Money Supply'!$A:$D,4)</f>
        <v/>
      </c>
      <c r="C756" s="31">
        <f>(Table2634[[#This Row],[M1 Money Stock, Billions of Dollars, Weekly, Seasonally Adjusted]]-B755)/B755</f>
        <v/>
      </c>
      <c r="D756" s="35">
        <f>((1+Table2634[[#This Row],[Weekly change]])^52)-1</f>
        <v/>
      </c>
      <c r="E756" s="25">
        <f>AVERAGE(B753:B756)</f>
        <v/>
      </c>
      <c r="F756" s="33">
        <f>(Table2634[[#This Row],[4 weeks average]]-B704)/B704</f>
        <v/>
      </c>
    </row>
    <row r="757">
      <c r="A757" s="23" t="n">
        <v>32657</v>
      </c>
      <c r="B757" s="25">
        <f>VLOOKUP(Table2634[[#This Row],[Date]],'DB Money Supply'!$A:$D,4)</f>
        <v/>
      </c>
      <c r="C757" s="31">
        <f>(Table2634[[#This Row],[M1 Money Stock, Billions of Dollars, Weekly, Seasonally Adjusted]]-B756)/B756</f>
        <v/>
      </c>
      <c r="D757" s="35">
        <f>((1+Table2634[[#This Row],[Weekly change]])^52)-1</f>
        <v/>
      </c>
      <c r="E757" s="25">
        <f>AVERAGE(B754:B757)</f>
        <v/>
      </c>
      <c r="F757" s="33">
        <f>(Table2634[[#This Row],[4 weeks average]]-B705)/B705</f>
        <v/>
      </c>
    </row>
    <row r="758">
      <c r="A758" s="23" t="n">
        <v>32664</v>
      </c>
      <c r="B758" s="25">
        <f>VLOOKUP(Table2634[[#This Row],[Date]],'DB Money Supply'!$A:$D,4)</f>
        <v/>
      </c>
      <c r="C758" s="31">
        <f>(Table2634[[#This Row],[M1 Money Stock, Billions of Dollars, Weekly, Seasonally Adjusted]]-B757)/B757</f>
        <v/>
      </c>
      <c r="D758" s="35">
        <f>((1+Table2634[[#This Row],[Weekly change]])^52)-1</f>
        <v/>
      </c>
      <c r="E758" s="25">
        <f>AVERAGE(B755:B758)</f>
        <v/>
      </c>
      <c r="F758" s="33">
        <f>(Table2634[[#This Row],[4 weeks average]]-B706)/B706</f>
        <v/>
      </c>
    </row>
    <row r="759">
      <c r="A759" s="23" t="n">
        <v>32671</v>
      </c>
      <c r="B759" s="25">
        <f>VLOOKUP(Table2634[[#This Row],[Date]],'DB Money Supply'!$A:$D,4)</f>
        <v/>
      </c>
      <c r="C759" s="31">
        <f>(Table2634[[#This Row],[M1 Money Stock, Billions of Dollars, Weekly, Seasonally Adjusted]]-B758)/B758</f>
        <v/>
      </c>
      <c r="D759" s="35">
        <f>((1+Table2634[[#This Row],[Weekly change]])^52)-1</f>
        <v/>
      </c>
      <c r="E759" s="25">
        <f>AVERAGE(B756:B759)</f>
        <v/>
      </c>
      <c r="F759" s="33">
        <f>(Table2634[[#This Row],[4 weeks average]]-B707)/B707</f>
        <v/>
      </c>
    </row>
    <row r="760">
      <c r="A760" s="23" t="n">
        <v>32678</v>
      </c>
      <c r="B760" s="25">
        <f>VLOOKUP(Table2634[[#This Row],[Date]],'DB Money Supply'!$A:$D,4)</f>
        <v/>
      </c>
      <c r="C760" s="31">
        <f>(Table2634[[#This Row],[M1 Money Stock, Billions of Dollars, Weekly, Seasonally Adjusted]]-B759)/B759</f>
        <v/>
      </c>
      <c r="D760" s="35">
        <f>((1+Table2634[[#This Row],[Weekly change]])^52)-1</f>
        <v/>
      </c>
      <c r="E760" s="25">
        <f>AVERAGE(B757:B760)</f>
        <v/>
      </c>
      <c r="F760" s="33">
        <f>(Table2634[[#This Row],[4 weeks average]]-B708)/B708</f>
        <v/>
      </c>
    </row>
    <row r="761">
      <c r="A761" s="23" t="n">
        <v>32685</v>
      </c>
      <c r="B761" s="25">
        <f>VLOOKUP(Table2634[[#This Row],[Date]],'DB Money Supply'!$A:$D,4)</f>
        <v/>
      </c>
      <c r="C761" s="31">
        <f>(Table2634[[#This Row],[M1 Money Stock, Billions of Dollars, Weekly, Seasonally Adjusted]]-B760)/B760</f>
        <v/>
      </c>
      <c r="D761" s="35">
        <f>((1+Table2634[[#This Row],[Weekly change]])^52)-1</f>
        <v/>
      </c>
      <c r="E761" s="25">
        <f>AVERAGE(B758:B761)</f>
        <v/>
      </c>
      <c r="F761" s="33">
        <f>(Table2634[[#This Row],[4 weeks average]]-B709)/B709</f>
        <v/>
      </c>
    </row>
    <row r="762">
      <c r="A762" s="23" t="n">
        <v>32692</v>
      </c>
      <c r="B762" s="25">
        <f>VLOOKUP(Table2634[[#This Row],[Date]],'DB Money Supply'!$A:$D,4)</f>
        <v/>
      </c>
      <c r="C762" s="31">
        <f>(Table2634[[#This Row],[M1 Money Stock, Billions of Dollars, Weekly, Seasonally Adjusted]]-B761)/B761</f>
        <v/>
      </c>
      <c r="D762" s="35">
        <f>((1+Table2634[[#This Row],[Weekly change]])^52)-1</f>
        <v/>
      </c>
      <c r="E762" s="25">
        <f>AVERAGE(B759:B762)</f>
        <v/>
      </c>
      <c r="F762" s="33">
        <f>(Table2634[[#This Row],[4 weeks average]]-B710)/B710</f>
        <v/>
      </c>
    </row>
    <row r="763">
      <c r="A763" s="23" t="n">
        <v>32699</v>
      </c>
      <c r="B763" s="25">
        <f>VLOOKUP(Table2634[[#This Row],[Date]],'DB Money Supply'!$A:$D,4)</f>
        <v/>
      </c>
      <c r="C763" s="31">
        <f>(Table2634[[#This Row],[M1 Money Stock, Billions of Dollars, Weekly, Seasonally Adjusted]]-B762)/B762</f>
        <v/>
      </c>
      <c r="D763" s="35">
        <f>((1+Table2634[[#This Row],[Weekly change]])^52)-1</f>
        <v/>
      </c>
      <c r="E763" s="25">
        <f>AVERAGE(B760:B763)</f>
        <v/>
      </c>
      <c r="F763" s="33">
        <f>(Table2634[[#This Row],[4 weeks average]]-B711)/B711</f>
        <v/>
      </c>
    </row>
    <row r="764">
      <c r="A764" s="23" t="n">
        <v>32706</v>
      </c>
      <c r="B764" s="25">
        <f>VLOOKUP(Table2634[[#This Row],[Date]],'DB Money Supply'!$A:$D,4)</f>
        <v/>
      </c>
      <c r="C764" s="31">
        <f>(Table2634[[#This Row],[M1 Money Stock, Billions of Dollars, Weekly, Seasonally Adjusted]]-B763)/B763</f>
        <v/>
      </c>
      <c r="D764" s="35">
        <f>((1+Table2634[[#This Row],[Weekly change]])^52)-1</f>
        <v/>
      </c>
      <c r="E764" s="25">
        <f>AVERAGE(B761:B764)</f>
        <v/>
      </c>
      <c r="F764" s="33">
        <f>(Table2634[[#This Row],[4 weeks average]]-B712)/B712</f>
        <v/>
      </c>
    </row>
    <row r="765">
      <c r="A765" s="23" t="n">
        <v>32713</v>
      </c>
      <c r="B765" s="25">
        <f>VLOOKUP(Table2634[[#This Row],[Date]],'DB Money Supply'!$A:$D,4)</f>
        <v/>
      </c>
      <c r="C765" s="31">
        <f>(Table2634[[#This Row],[M1 Money Stock, Billions of Dollars, Weekly, Seasonally Adjusted]]-B764)/B764</f>
        <v/>
      </c>
      <c r="D765" s="35">
        <f>((1+Table2634[[#This Row],[Weekly change]])^52)-1</f>
        <v/>
      </c>
      <c r="E765" s="25">
        <f>AVERAGE(B762:B765)</f>
        <v/>
      </c>
      <c r="F765" s="33">
        <f>(Table2634[[#This Row],[4 weeks average]]-B713)/B713</f>
        <v/>
      </c>
    </row>
    <row r="766">
      <c r="A766" s="23" t="n">
        <v>32720</v>
      </c>
      <c r="B766" s="25">
        <f>VLOOKUP(Table2634[[#This Row],[Date]],'DB Money Supply'!$A:$D,4)</f>
        <v/>
      </c>
      <c r="C766" s="31">
        <f>(Table2634[[#This Row],[M1 Money Stock, Billions of Dollars, Weekly, Seasonally Adjusted]]-B765)/B765</f>
        <v/>
      </c>
      <c r="D766" s="35">
        <f>((1+Table2634[[#This Row],[Weekly change]])^52)-1</f>
        <v/>
      </c>
      <c r="E766" s="25">
        <f>AVERAGE(B763:B766)</f>
        <v/>
      </c>
      <c r="F766" s="33">
        <f>(Table2634[[#This Row],[4 weeks average]]-B714)/B714</f>
        <v/>
      </c>
    </row>
    <row r="767">
      <c r="A767" s="23" t="n">
        <v>32727</v>
      </c>
      <c r="B767" s="25">
        <f>VLOOKUP(Table2634[[#This Row],[Date]],'DB Money Supply'!$A:$D,4)</f>
        <v/>
      </c>
      <c r="C767" s="31">
        <f>(Table2634[[#This Row],[M1 Money Stock, Billions of Dollars, Weekly, Seasonally Adjusted]]-B766)/B766</f>
        <v/>
      </c>
      <c r="D767" s="35">
        <f>((1+Table2634[[#This Row],[Weekly change]])^52)-1</f>
        <v/>
      </c>
      <c r="E767" s="25">
        <f>AVERAGE(B764:B767)</f>
        <v/>
      </c>
      <c r="F767" s="33">
        <f>(Table2634[[#This Row],[4 weeks average]]-B715)/B715</f>
        <v/>
      </c>
    </row>
    <row r="768">
      <c r="A768" s="23" t="n">
        <v>32734</v>
      </c>
      <c r="B768" s="25">
        <f>VLOOKUP(Table2634[[#This Row],[Date]],'DB Money Supply'!$A:$D,4)</f>
        <v/>
      </c>
      <c r="C768" s="31">
        <f>(Table2634[[#This Row],[M1 Money Stock, Billions of Dollars, Weekly, Seasonally Adjusted]]-B767)/B767</f>
        <v/>
      </c>
      <c r="D768" s="35">
        <f>((1+Table2634[[#This Row],[Weekly change]])^52)-1</f>
        <v/>
      </c>
      <c r="E768" s="25">
        <f>AVERAGE(B765:B768)</f>
        <v/>
      </c>
      <c r="F768" s="33">
        <f>(Table2634[[#This Row],[4 weeks average]]-B716)/B716</f>
        <v/>
      </c>
    </row>
    <row r="769">
      <c r="A769" s="23" t="n">
        <v>32741</v>
      </c>
      <c r="B769" s="25">
        <f>VLOOKUP(Table2634[[#This Row],[Date]],'DB Money Supply'!$A:$D,4)</f>
        <v/>
      </c>
      <c r="C769" s="31">
        <f>(Table2634[[#This Row],[M1 Money Stock, Billions of Dollars, Weekly, Seasonally Adjusted]]-B768)/B768</f>
        <v/>
      </c>
      <c r="D769" s="35">
        <f>((1+Table2634[[#This Row],[Weekly change]])^52)-1</f>
        <v/>
      </c>
      <c r="E769" s="25">
        <f>AVERAGE(B766:B769)</f>
        <v/>
      </c>
      <c r="F769" s="33">
        <f>(Table2634[[#This Row],[4 weeks average]]-B717)/B717</f>
        <v/>
      </c>
    </row>
    <row r="770">
      <c r="A770" s="23" t="n">
        <v>32748</v>
      </c>
      <c r="B770" s="25">
        <f>VLOOKUP(Table2634[[#This Row],[Date]],'DB Money Supply'!$A:$D,4)</f>
        <v/>
      </c>
      <c r="C770" s="31">
        <f>(Table2634[[#This Row],[M1 Money Stock, Billions of Dollars, Weekly, Seasonally Adjusted]]-B769)/B769</f>
        <v/>
      </c>
      <c r="D770" s="35">
        <f>((1+Table2634[[#This Row],[Weekly change]])^52)-1</f>
        <v/>
      </c>
      <c r="E770" s="25">
        <f>AVERAGE(B767:B770)</f>
        <v/>
      </c>
      <c r="F770" s="33">
        <f>(Table2634[[#This Row],[4 weeks average]]-B718)/B718</f>
        <v/>
      </c>
    </row>
    <row r="771">
      <c r="A771" s="23" t="n">
        <v>32755</v>
      </c>
      <c r="B771" s="25">
        <f>VLOOKUP(Table2634[[#This Row],[Date]],'DB Money Supply'!$A:$D,4)</f>
        <v/>
      </c>
      <c r="C771" s="31">
        <f>(Table2634[[#This Row],[M1 Money Stock, Billions of Dollars, Weekly, Seasonally Adjusted]]-B770)/B770</f>
        <v/>
      </c>
      <c r="D771" s="35">
        <f>((1+Table2634[[#This Row],[Weekly change]])^52)-1</f>
        <v/>
      </c>
      <c r="E771" s="25">
        <f>AVERAGE(B768:B771)</f>
        <v/>
      </c>
      <c r="F771" s="33">
        <f>(Table2634[[#This Row],[4 weeks average]]-B719)/B719</f>
        <v/>
      </c>
    </row>
    <row r="772">
      <c r="A772" s="23" t="n">
        <v>32762</v>
      </c>
      <c r="B772" s="25">
        <f>VLOOKUP(Table2634[[#This Row],[Date]],'DB Money Supply'!$A:$D,4)</f>
        <v/>
      </c>
      <c r="C772" s="31">
        <f>(Table2634[[#This Row],[M1 Money Stock, Billions of Dollars, Weekly, Seasonally Adjusted]]-B771)/B771</f>
        <v/>
      </c>
      <c r="D772" s="35">
        <f>((1+Table2634[[#This Row],[Weekly change]])^52)-1</f>
        <v/>
      </c>
      <c r="E772" s="25">
        <f>AVERAGE(B769:B772)</f>
        <v/>
      </c>
      <c r="F772" s="33">
        <f>(Table2634[[#This Row],[4 weeks average]]-B720)/B720</f>
        <v/>
      </c>
    </row>
    <row r="773">
      <c r="A773" s="23" t="n">
        <v>32769</v>
      </c>
      <c r="B773" s="25">
        <f>VLOOKUP(Table2634[[#This Row],[Date]],'DB Money Supply'!$A:$D,4)</f>
        <v/>
      </c>
      <c r="C773" s="31">
        <f>(Table2634[[#This Row],[M1 Money Stock, Billions of Dollars, Weekly, Seasonally Adjusted]]-B772)/B772</f>
        <v/>
      </c>
      <c r="D773" s="35">
        <f>((1+Table2634[[#This Row],[Weekly change]])^52)-1</f>
        <v/>
      </c>
      <c r="E773" s="25">
        <f>AVERAGE(B770:B773)</f>
        <v/>
      </c>
      <c r="F773" s="33">
        <f>(Table2634[[#This Row],[4 weeks average]]-B721)/B721</f>
        <v/>
      </c>
    </row>
    <row r="774">
      <c r="A774" s="23" t="n">
        <v>32776</v>
      </c>
      <c r="B774" s="25">
        <f>VLOOKUP(Table2634[[#This Row],[Date]],'DB Money Supply'!$A:$D,4)</f>
        <v/>
      </c>
      <c r="C774" s="31">
        <f>(Table2634[[#This Row],[M1 Money Stock, Billions of Dollars, Weekly, Seasonally Adjusted]]-B773)/B773</f>
        <v/>
      </c>
      <c r="D774" s="35">
        <f>((1+Table2634[[#This Row],[Weekly change]])^52)-1</f>
        <v/>
      </c>
      <c r="E774" s="25">
        <f>AVERAGE(B771:B774)</f>
        <v/>
      </c>
      <c r="F774" s="33">
        <f>(Table2634[[#This Row],[4 weeks average]]-B722)/B722</f>
        <v/>
      </c>
    </row>
    <row r="775">
      <c r="A775" s="23" t="n">
        <v>32783</v>
      </c>
      <c r="B775" s="25">
        <f>VLOOKUP(Table2634[[#This Row],[Date]],'DB Money Supply'!$A:$D,4)</f>
        <v/>
      </c>
      <c r="C775" s="31">
        <f>(Table2634[[#This Row],[M1 Money Stock, Billions of Dollars, Weekly, Seasonally Adjusted]]-B774)/B774</f>
        <v/>
      </c>
      <c r="D775" s="35">
        <f>((1+Table2634[[#This Row],[Weekly change]])^52)-1</f>
        <v/>
      </c>
      <c r="E775" s="25">
        <f>AVERAGE(B772:B775)</f>
        <v/>
      </c>
      <c r="F775" s="33">
        <f>(Table2634[[#This Row],[4 weeks average]]-B723)/B723</f>
        <v/>
      </c>
    </row>
    <row r="776">
      <c r="A776" s="23" t="n">
        <v>32790</v>
      </c>
      <c r="B776" s="25">
        <f>VLOOKUP(Table2634[[#This Row],[Date]],'DB Money Supply'!$A:$D,4)</f>
        <v/>
      </c>
      <c r="C776" s="31">
        <f>(Table2634[[#This Row],[M1 Money Stock, Billions of Dollars, Weekly, Seasonally Adjusted]]-B775)/B775</f>
        <v/>
      </c>
      <c r="D776" s="35">
        <f>((1+Table2634[[#This Row],[Weekly change]])^52)-1</f>
        <v/>
      </c>
      <c r="E776" s="25">
        <f>AVERAGE(B773:B776)</f>
        <v/>
      </c>
      <c r="F776" s="33">
        <f>(Table2634[[#This Row],[4 weeks average]]-B724)/B724</f>
        <v/>
      </c>
    </row>
    <row r="777">
      <c r="A777" s="23" t="n">
        <v>32797</v>
      </c>
      <c r="B777" s="25">
        <f>VLOOKUP(Table2634[[#This Row],[Date]],'DB Money Supply'!$A:$D,4)</f>
        <v/>
      </c>
      <c r="C777" s="31">
        <f>(Table2634[[#This Row],[M1 Money Stock, Billions of Dollars, Weekly, Seasonally Adjusted]]-B776)/B776</f>
        <v/>
      </c>
      <c r="D777" s="35">
        <f>((1+Table2634[[#This Row],[Weekly change]])^52)-1</f>
        <v/>
      </c>
      <c r="E777" s="25">
        <f>AVERAGE(B774:B777)</f>
        <v/>
      </c>
      <c r="F777" s="33">
        <f>(Table2634[[#This Row],[4 weeks average]]-B725)/B725</f>
        <v/>
      </c>
    </row>
    <row r="778">
      <c r="A778" s="23" t="n">
        <v>32804</v>
      </c>
      <c r="B778" s="25">
        <f>VLOOKUP(Table2634[[#This Row],[Date]],'DB Money Supply'!$A:$D,4)</f>
        <v/>
      </c>
      <c r="C778" s="31">
        <f>(Table2634[[#This Row],[M1 Money Stock, Billions of Dollars, Weekly, Seasonally Adjusted]]-B777)/B777</f>
        <v/>
      </c>
      <c r="D778" s="35">
        <f>((1+Table2634[[#This Row],[Weekly change]])^52)-1</f>
        <v/>
      </c>
      <c r="E778" s="25">
        <f>AVERAGE(B775:B778)</f>
        <v/>
      </c>
      <c r="F778" s="33">
        <f>(Table2634[[#This Row],[4 weeks average]]-B726)/B726</f>
        <v/>
      </c>
    </row>
    <row r="779">
      <c r="A779" s="23" t="n">
        <v>32811</v>
      </c>
      <c r="B779" s="25">
        <f>VLOOKUP(Table2634[[#This Row],[Date]],'DB Money Supply'!$A:$D,4)</f>
        <v/>
      </c>
      <c r="C779" s="31">
        <f>(Table2634[[#This Row],[M1 Money Stock, Billions of Dollars, Weekly, Seasonally Adjusted]]-B778)/B778</f>
        <v/>
      </c>
      <c r="D779" s="35">
        <f>((1+Table2634[[#This Row],[Weekly change]])^52)-1</f>
        <v/>
      </c>
      <c r="E779" s="25">
        <f>AVERAGE(B776:B779)</f>
        <v/>
      </c>
      <c r="F779" s="33">
        <f>(Table2634[[#This Row],[4 weeks average]]-B727)/B727</f>
        <v/>
      </c>
    </row>
    <row r="780">
      <c r="A780" s="23" t="n">
        <v>32818</v>
      </c>
      <c r="B780" s="25">
        <f>VLOOKUP(Table2634[[#This Row],[Date]],'DB Money Supply'!$A:$D,4)</f>
        <v/>
      </c>
      <c r="C780" s="31">
        <f>(Table2634[[#This Row],[M1 Money Stock, Billions of Dollars, Weekly, Seasonally Adjusted]]-B779)/B779</f>
        <v/>
      </c>
      <c r="D780" s="35">
        <f>((1+Table2634[[#This Row],[Weekly change]])^52)-1</f>
        <v/>
      </c>
      <c r="E780" s="25">
        <f>AVERAGE(B777:B780)</f>
        <v/>
      </c>
      <c r="F780" s="33">
        <f>(Table2634[[#This Row],[4 weeks average]]-B728)/B728</f>
        <v/>
      </c>
    </row>
    <row r="781">
      <c r="A781" s="23" t="n">
        <v>32825</v>
      </c>
      <c r="B781" s="25">
        <f>VLOOKUP(Table2634[[#This Row],[Date]],'DB Money Supply'!$A:$D,4)</f>
        <v/>
      </c>
      <c r="C781" s="31">
        <f>(Table2634[[#This Row],[M1 Money Stock, Billions of Dollars, Weekly, Seasonally Adjusted]]-B780)/B780</f>
        <v/>
      </c>
      <c r="D781" s="35">
        <f>((1+Table2634[[#This Row],[Weekly change]])^52)-1</f>
        <v/>
      </c>
      <c r="E781" s="25">
        <f>AVERAGE(B778:B781)</f>
        <v/>
      </c>
      <c r="F781" s="33">
        <f>(Table2634[[#This Row],[4 weeks average]]-B729)/B729</f>
        <v/>
      </c>
    </row>
    <row r="782">
      <c r="A782" s="23" t="n">
        <v>32832</v>
      </c>
      <c r="B782" s="25">
        <f>VLOOKUP(Table2634[[#This Row],[Date]],'DB Money Supply'!$A:$D,4)</f>
        <v/>
      </c>
      <c r="C782" s="31">
        <f>(Table2634[[#This Row],[M1 Money Stock, Billions of Dollars, Weekly, Seasonally Adjusted]]-B781)/B781</f>
        <v/>
      </c>
      <c r="D782" s="35">
        <f>((1+Table2634[[#This Row],[Weekly change]])^52)-1</f>
        <v/>
      </c>
      <c r="E782" s="25">
        <f>AVERAGE(B779:B782)</f>
        <v/>
      </c>
      <c r="F782" s="33">
        <f>(Table2634[[#This Row],[4 weeks average]]-B730)/B730</f>
        <v/>
      </c>
    </row>
    <row r="783">
      <c r="A783" s="23" t="n">
        <v>32839</v>
      </c>
      <c r="B783" s="25">
        <f>VLOOKUP(Table2634[[#This Row],[Date]],'DB Money Supply'!$A:$D,4)</f>
        <v/>
      </c>
      <c r="C783" s="31">
        <f>(Table2634[[#This Row],[M1 Money Stock, Billions of Dollars, Weekly, Seasonally Adjusted]]-B782)/B782</f>
        <v/>
      </c>
      <c r="D783" s="35">
        <f>((1+Table2634[[#This Row],[Weekly change]])^52)-1</f>
        <v/>
      </c>
      <c r="E783" s="25">
        <f>AVERAGE(B780:B783)</f>
        <v/>
      </c>
      <c r="F783" s="33">
        <f>(Table2634[[#This Row],[4 weeks average]]-B731)/B731</f>
        <v/>
      </c>
    </row>
    <row r="784">
      <c r="A784" s="23" t="n">
        <v>32846</v>
      </c>
      <c r="B784" s="25">
        <f>VLOOKUP(Table2634[[#This Row],[Date]],'DB Money Supply'!$A:$D,4)</f>
        <v/>
      </c>
      <c r="C784" s="31">
        <f>(Table2634[[#This Row],[M1 Money Stock, Billions of Dollars, Weekly, Seasonally Adjusted]]-B783)/B783</f>
        <v/>
      </c>
      <c r="D784" s="35">
        <f>((1+Table2634[[#This Row],[Weekly change]])^52)-1</f>
        <v/>
      </c>
      <c r="E784" s="25">
        <f>AVERAGE(B781:B784)</f>
        <v/>
      </c>
      <c r="F784" s="33">
        <f>(Table2634[[#This Row],[4 weeks average]]-B732)/B732</f>
        <v/>
      </c>
    </row>
    <row r="785">
      <c r="A785" s="23" t="n">
        <v>32853</v>
      </c>
      <c r="B785" s="25">
        <f>VLOOKUP(Table2634[[#This Row],[Date]],'DB Money Supply'!$A:$D,4)</f>
        <v/>
      </c>
      <c r="C785" s="31">
        <f>(Table2634[[#This Row],[M1 Money Stock, Billions of Dollars, Weekly, Seasonally Adjusted]]-B784)/B784</f>
        <v/>
      </c>
      <c r="D785" s="35">
        <f>((1+Table2634[[#This Row],[Weekly change]])^52)-1</f>
        <v/>
      </c>
      <c r="E785" s="25">
        <f>AVERAGE(B782:B785)</f>
        <v/>
      </c>
      <c r="F785" s="33">
        <f>(Table2634[[#This Row],[4 weeks average]]-B733)/B733</f>
        <v/>
      </c>
    </row>
    <row r="786">
      <c r="A786" s="23" t="n">
        <v>32860</v>
      </c>
      <c r="B786" s="25">
        <f>VLOOKUP(Table2634[[#This Row],[Date]],'DB Money Supply'!$A:$D,4)</f>
        <v/>
      </c>
      <c r="C786" s="31">
        <f>(Table2634[[#This Row],[M1 Money Stock, Billions of Dollars, Weekly, Seasonally Adjusted]]-B785)/B785</f>
        <v/>
      </c>
      <c r="D786" s="35">
        <f>((1+Table2634[[#This Row],[Weekly change]])^52)-1</f>
        <v/>
      </c>
      <c r="E786" s="25">
        <f>AVERAGE(B783:B786)</f>
        <v/>
      </c>
      <c r="F786" s="33">
        <f>(Table2634[[#This Row],[4 weeks average]]-B734)/B734</f>
        <v/>
      </c>
    </row>
    <row r="787">
      <c r="A787" s="23" t="n">
        <v>32867</v>
      </c>
      <c r="B787" s="25">
        <f>VLOOKUP(Table2634[[#This Row],[Date]],'DB Money Supply'!$A:$D,4)</f>
        <v/>
      </c>
      <c r="C787" s="31">
        <f>(Table2634[[#This Row],[M1 Money Stock, Billions of Dollars, Weekly, Seasonally Adjusted]]-B786)/B786</f>
        <v/>
      </c>
      <c r="D787" s="35">
        <f>((1+Table2634[[#This Row],[Weekly change]])^52)-1</f>
        <v/>
      </c>
      <c r="E787" s="25">
        <f>AVERAGE(B784:B787)</f>
        <v/>
      </c>
      <c r="F787" s="33">
        <f>(Table2634[[#This Row],[4 weeks average]]-B735)/B735</f>
        <v/>
      </c>
    </row>
    <row r="788">
      <c r="A788" s="23" t="n">
        <v>32874</v>
      </c>
      <c r="B788" s="25">
        <f>VLOOKUP(Table2634[[#This Row],[Date]],'DB Money Supply'!$A:$D,4)</f>
        <v/>
      </c>
      <c r="C788" s="31">
        <f>(Table2634[[#This Row],[M1 Money Stock, Billions of Dollars, Weekly, Seasonally Adjusted]]-B787)/B787</f>
        <v/>
      </c>
      <c r="D788" s="35">
        <f>((1+Table2634[[#This Row],[Weekly change]])^52)-1</f>
        <v/>
      </c>
      <c r="E788" s="25">
        <f>AVERAGE(B785:B788)</f>
        <v/>
      </c>
      <c r="F788" s="33">
        <f>(Table2634[[#This Row],[4 weeks average]]-B736)/B736</f>
        <v/>
      </c>
    </row>
    <row r="789">
      <c r="A789" s="23" t="n">
        <v>32881</v>
      </c>
      <c r="B789" s="25">
        <f>VLOOKUP(Table2634[[#This Row],[Date]],'DB Money Supply'!$A:$D,4)</f>
        <v/>
      </c>
      <c r="C789" s="31">
        <f>(Table2634[[#This Row],[M1 Money Stock, Billions of Dollars, Weekly, Seasonally Adjusted]]-B788)/B788</f>
        <v/>
      </c>
      <c r="D789" s="35">
        <f>((1+Table2634[[#This Row],[Weekly change]])^52)-1</f>
        <v/>
      </c>
      <c r="E789" s="25">
        <f>AVERAGE(B786:B789)</f>
        <v/>
      </c>
      <c r="F789" s="33">
        <f>(Table2634[[#This Row],[4 weeks average]]-B737)/B737</f>
        <v/>
      </c>
    </row>
    <row r="790">
      <c r="A790" s="23" t="n">
        <v>32888</v>
      </c>
      <c r="B790" s="25">
        <f>VLOOKUP(Table2634[[#This Row],[Date]],'DB Money Supply'!$A:$D,4)</f>
        <v/>
      </c>
      <c r="C790" s="31">
        <f>(Table2634[[#This Row],[M1 Money Stock, Billions of Dollars, Weekly, Seasonally Adjusted]]-B789)/B789</f>
        <v/>
      </c>
      <c r="D790" s="35">
        <f>((1+Table2634[[#This Row],[Weekly change]])^52)-1</f>
        <v/>
      </c>
      <c r="E790" s="25">
        <f>AVERAGE(B787:B790)</f>
        <v/>
      </c>
      <c r="F790" s="33">
        <f>(Table2634[[#This Row],[4 weeks average]]-B738)/B738</f>
        <v/>
      </c>
    </row>
    <row r="791">
      <c r="A791" s="23" t="n">
        <v>32895</v>
      </c>
      <c r="B791" s="25">
        <f>VLOOKUP(Table2634[[#This Row],[Date]],'DB Money Supply'!$A:$D,4)</f>
        <v/>
      </c>
      <c r="C791" s="31">
        <f>(Table2634[[#This Row],[M1 Money Stock, Billions of Dollars, Weekly, Seasonally Adjusted]]-B790)/B790</f>
        <v/>
      </c>
      <c r="D791" s="35">
        <f>((1+Table2634[[#This Row],[Weekly change]])^52)-1</f>
        <v/>
      </c>
      <c r="E791" s="25">
        <f>AVERAGE(B788:B791)</f>
        <v/>
      </c>
      <c r="F791" s="33">
        <f>(Table2634[[#This Row],[4 weeks average]]-B739)/B739</f>
        <v/>
      </c>
    </row>
    <row r="792">
      <c r="A792" s="23" t="n">
        <v>32902</v>
      </c>
      <c r="B792" s="25">
        <f>VLOOKUP(Table2634[[#This Row],[Date]],'DB Money Supply'!$A:$D,4)</f>
        <v/>
      </c>
      <c r="C792" s="31">
        <f>(Table2634[[#This Row],[M1 Money Stock, Billions of Dollars, Weekly, Seasonally Adjusted]]-B791)/B791</f>
        <v/>
      </c>
      <c r="D792" s="35">
        <f>((1+Table2634[[#This Row],[Weekly change]])^52)-1</f>
        <v/>
      </c>
      <c r="E792" s="25">
        <f>AVERAGE(B789:B792)</f>
        <v/>
      </c>
      <c r="F792" s="33">
        <f>(Table2634[[#This Row],[4 weeks average]]-B740)/B740</f>
        <v/>
      </c>
    </row>
    <row r="793">
      <c r="A793" s="23" t="n">
        <v>32909</v>
      </c>
      <c r="B793" s="25">
        <f>VLOOKUP(Table2634[[#This Row],[Date]],'DB Money Supply'!$A:$D,4)</f>
        <v/>
      </c>
      <c r="C793" s="31">
        <f>(Table2634[[#This Row],[M1 Money Stock, Billions of Dollars, Weekly, Seasonally Adjusted]]-B792)/B792</f>
        <v/>
      </c>
      <c r="D793" s="35">
        <f>((1+Table2634[[#This Row],[Weekly change]])^52)-1</f>
        <v/>
      </c>
      <c r="E793" s="25">
        <f>AVERAGE(B790:B793)</f>
        <v/>
      </c>
      <c r="F793" s="33">
        <f>(Table2634[[#This Row],[4 weeks average]]-B741)/B741</f>
        <v/>
      </c>
    </row>
    <row r="794">
      <c r="A794" s="23" t="n">
        <v>32916</v>
      </c>
      <c r="B794" s="25">
        <f>VLOOKUP(Table2634[[#This Row],[Date]],'DB Money Supply'!$A:$D,4)</f>
        <v/>
      </c>
      <c r="C794" s="31">
        <f>(Table2634[[#This Row],[M1 Money Stock, Billions of Dollars, Weekly, Seasonally Adjusted]]-B793)/B793</f>
        <v/>
      </c>
      <c r="D794" s="35">
        <f>((1+Table2634[[#This Row],[Weekly change]])^52)-1</f>
        <v/>
      </c>
      <c r="E794" s="25">
        <f>AVERAGE(B791:B794)</f>
        <v/>
      </c>
      <c r="F794" s="33">
        <f>(Table2634[[#This Row],[4 weeks average]]-B742)/B742</f>
        <v/>
      </c>
    </row>
    <row r="795">
      <c r="A795" s="23" t="n">
        <v>32923</v>
      </c>
      <c r="B795" s="25">
        <f>VLOOKUP(Table2634[[#This Row],[Date]],'DB Money Supply'!$A:$D,4)</f>
        <v/>
      </c>
      <c r="C795" s="31">
        <f>(Table2634[[#This Row],[M1 Money Stock, Billions of Dollars, Weekly, Seasonally Adjusted]]-B794)/B794</f>
        <v/>
      </c>
      <c r="D795" s="35">
        <f>((1+Table2634[[#This Row],[Weekly change]])^52)-1</f>
        <v/>
      </c>
      <c r="E795" s="25">
        <f>AVERAGE(B792:B795)</f>
        <v/>
      </c>
      <c r="F795" s="33">
        <f>(Table2634[[#This Row],[4 weeks average]]-B743)/B743</f>
        <v/>
      </c>
    </row>
    <row r="796">
      <c r="A796" s="23" t="n">
        <v>32930</v>
      </c>
      <c r="B796" s="25">
        <f>VLOOKUP(Table2634[[#This Row],[Date]],'DB Money Supply'!$A:$D,4)</f>
        <v/>
      </c>
      <c r="C796" s="31">
        <f>(Table2634[[#This Row],[M1 Money Stock, Billions of Dollars, Weekly, Seasonally Adjusted]]-B795)/B795</f>
        <v/>
      </c>
      <c r="D796" s="35">
        <f>((1+Table2634[[#This Row],[Weekly change]])^52)-1</f>
        <v/>
      </c>
      <c r="E796" s="25">
        <f>AVERAGE(B793:B796)</f>
        <v/>
      </c>
      <c r="F796" s="33">
        <f>(Table2634[[#This Row],[4 weeks average]]-B744)/B744</f>
        <v/>
      </c>
    </row>
    <row r="797">
      <c r="A797" s="23" t="n">
        <v>32937</v>
      </c>
      <c r="B797" s="25">
        <f>VLOOKUP(Table2634[[#This Row],[Date]],'DB Money Supply'!$A:$D,4)</f>
        <v/>
      </c>
      <c r="C797" s="31">
        <f>(Table2634[[#This Row],[M1 Money Stock, Billions of Dollars, Weekly, Seasonally Adjusted]]-B796)/B796</f>
        <v/>
      </c>
      <c r="D797" s="35">
        <f>((1+Table2634[[#This Row],[Weekly change]])^52)-1</f>
        <v/>
      </c>
      <c r="E797" s="25">
        <f>AVERAGE(B794:B797)</f>
        <v/>
      </c>
      <c r="F797" s="33">
        <f>(Table2634[[#This Row],[4 weeks average]]-B745)/B745</f>
        <v/>
      </c>
    </row>
    <row r="798">
      <c r="A798" s="23" t="n">
        <v>32944</v>
      </c>
      <c r="B798" s="25">
        <f>VLOOKUP(Table2634[[#This Row],[Date]],'DB Money Supply'!$A:$D,4)</f>
        <v/>
      </c>
      <c r="C798" s="31">
        <f>(Table2634[[#This Row],[M1 Money Stock, Billions of Dollars, Weekly, Seasonally Adjusted]]-B797)/B797</f>
        <v/>
      </c>
      <c r="D798" s="35">
        <f>((1+Table2634[[#This Row],[Weekly change]])^52)-1</f>
        <v/>
      </c>
      <c r="E798" s="25">
        <f>AVERAGE(B795:B798)</f>
        <v/>
      </c>
      <c r="F798" s="33">
        <f>(Table2634[[#This Row],[4 weeks average]]-B746)/B746</f>
        <v/>
      </c>
    </row>
    <row r="799">
      <c r="A799" s="23" t="n">
        <v>32951</v>
      </c>
      <c r="B799" s="25">
        <f>VLOOKUP(Table2634[[#This Row],[Date]],'DB Money Supply'!$A:$D,4)</f>
        <v/>
      </c>
      <c r="C799" s="31">
        <f>(Table2634[[#This Row],[M1 Money Stock, Billions of Dollars, Weekly, Seasonally Adjusted]]-B798)/B798</f>
        <v/>
      </c>
      <c r="D799" s="35">
        <f>((1+Table2634[[#This Row],[Weekly change]])^52)-1</f>
        <v/>
      </c>
      <c r="E799" s="25">
        <f>AVERAGE(B796:B799)</f>
        <v/>
      </c>
      <c r="F799" s="33">
        <f>(Table2634[[#This Row],[4 weeks average]]-B747)/B747</f>
        <v/>
      </c>
    </row>
    <row r="800">
      <c r="A800" s="23" t="n">
        <v>32958</v>
      </c>
      <c r="B800" s="25">
        <f>VLOOKUP(Table2634[[#This Row],[Date]],'DB Money Supply'!$A:$D,4)</f>
        <v/>
      </c>
      <c r="C800" s="31">
        <f>(Table2634[[#This Row],[M1 Money Stock, Billions of Dollars, Weekly, Seasonally Adjusted]]-B799)/B799</f>
        <v/>
      </c>
      <c r="D800" s="35">
        <f>((1+Table2634[[#This Row],[Weekly change]])^52)-1</f>
        <v/>
      </c>
      <c r="E800" s="25">
        <f>AVERAGE(B797:B800)</f>
        <v/>
      </c>
      <c r="F800" s="33">
        <f>(Table2634[[#This Row],[4 weeks average]]-B748)/B748</f>
        <v/>
      </c>
    </row>
    <row r="801">
      <c r="A801" s="23" t="n">
        <v>32965</v>
      </c>
      <c r="B801" s="25">
        <f>VLOOKUP(Table2634[[#This Row],[Date]],'DB Money Supply'!$A:$D,4)</f>
        <v/>
      </c>
      <c r="C801" s="31">
        <f>(Table2634[[#This Row],[M1 Money Stock, Billions of Dollars, Weekly, Seasonally Adjusted]]-B800)/B800</f>
        <v/>
      </c>
      <c r="D801" s="35">
        <f>((1+Table2634[[#This Row],[Weekly change]])^52)-1</f>
        <v/>
      </c>
      <c r="E801" s="25">
        <f>AVERAGE(B798:B801)</f>
        <v/>
      </c>
      <c r="F801" s="33">
        <f>(Table2634[[#This Row],[4 weeks average]]-B749)/B749</f>
        <v/>
      </c>
    </row>
    <row r="802">
      <c r="A802" s="23" t="n">
        <v>32972</v>
      </c>
      <c r="B802" s="25">
        <f>VLOOKUP(Table2634[[#This Row],[Date]],'DB Money Supply'!$A:$D,4)</f>
        <v/>
      </c>
      <c r="C802" s="31">
        <f>(Table2634[[#This Row],[M1 Money Stock, Billions of Dollars, Weekly, Seasonally Adjusted]]-B801)/B801</f>
        <v/>
      </c>
      <c r="D802" s="35">
        <f>((1+Table2634[[#This Row],[Weekly change]])^52)-1</f>
        <v/>
      </c>
      <c r="E802" s="25">
        <f>AVERAGE(B799:B802)</f>
        <v/>
      </c>
      <c r="F802" s="33">
        <f>(Table2634[[#This Row],[4 weeks average]]-B750)/B750</f>
        <v/>
      </c>
    </row>
    <row r="803">
      <c r="A803" s="23" t="n">
        <v>32979</v>
      </c>
      <c r="B803" s="25">
        <f>VLOOKUP(Table2634[[#This Row],[Date]],'DB Money Supply'!$A:$D,4)</f>
        <v/>
      </c>
      <c r="C803" s="31">
        <f>(Table2634[[#This Row],[M1 Money Stock, Billions of Dollars, Weekly, Seasonally Adjusted]]-B802)/B802</f>
        <v/>
      </c>
      <c r="D803" s="35">
        <f>((1+Table2634[[#This Row],[Weekly change]])^52)-1</f>
        <v/>
      </c>
      <c r="E803" s="25">
        <f>AVERAGE(B800:B803)</f>
        <v/>
      </c>
      <c r="F803" s="33">
        <f>(Table2634[[#This Row],[4 weeks average]]-B751)/B751</f>
        <v/>
      </c>
    </row>
    <row r="804">
      <c r="A804" s="23" t="n">
        <v>32986</v>
      </c>
      <c r="B804" s="25">
        <f>VLOOKUP(Table2634[[#This Row],[Date]],'DB Money Supply'!$A:$D,4)</f>
        <v/>
      </c>
      <c r="C804" s="31">
        <f>(Table2634[[#This Row],[M1 Money Stock, Billions of Dollars, Weekly, Seasonally Adjusted]]-B803)/B803</f>
        <v/>
      </c>
      <c r="D804" s="35">
        <f>((1+Table2634[[#This Row],[Weekly change]])^52)-1</f>
        <v/>
      </c>
      <c r="E804" s="25">
        <f>AVERAGE(B801:B804)</f>
        <v/>
      </c>
      <c r="F804" s="33">
        <f>(Table2634[[#This Row],[4 weeks average]]-B752)/B752</f>
        <v/>
      </c>
    </row>
    <row r="805">
      <c r="A805" s="23" t="n">
        <v>32993</v>
      </c>
      <c r="B805" s="25">
        <f>VLOOKUP(Table2634[[#This Row],[Date]],'DB Money Supply'!$A:$D,4)</f>
        <v/>
      </c>
      <c r="C805" s="31">
        <f>(Table2634[[#This Row],[M1 Money Stock, Billions of Dollars, Weekly, Seasonally Adjusted]]-B804)/B804</f>
        <v/>
      </c>
      <c r="D805" s="35">
        <f>((1+Table2634[[#This Row],[Weekly change]])^52)-1</f>
        <v/>
      </c>
      <c r="E805" s="25">
        <f>AVERAGE(B802:B805)</f>
        <v/>
      </c>
      <c r="F805" s="33">
        <f>(Table2634[[#This Row],[4 weeks average]]-B753)/B753</f>
        <v/>
      </c>
    </row>
    <row r="806">
      <c r="A806" s="23" t="n">
        <v>33000</v>
      </c>
      <c r="B806" s="25">
        <f>VLOOKUP(Table2634[[#This Row],[Date]],'DB Money Supply'!$A:$D,4)</f>
        <v/>
      </c>
      <c r="C806" s="31">
        <f>(Table2634[[#This Row],[M1 Money Stock, Billions of Dollars, Weekly, Seasonally Adjusted]]-B805)/B805</f>
        <v/>
      </c>
      <c r="D806" s="35">
        <f>((1+Table2634[[#This Row],[Weekly change]])^52)-1</f>
        <v/>
      </c>
      <c r="E806" s="25">
        <f>AVERAGE(B803:B806)</f>
        <v/>
      </c>
      <c r="F806" s="33">
        <f>(Table2634[[#This Row],[4 weeks average]]-B754)/B754</f>
        <v/>
      </c>
    </row>
    <row r="807">
      <c r="A807" s="23" t="n">
        <v>33007</v>
      </c>
      <c r="B807" s="25">
        <f>VLOOKUP(Table2634[[#This Row],[Date]],'DB Money Supply'!$A:$D,4)</f>
        <v/>
      </c>
      <c r="C807" s="31">
        <f>(Table2634[[#This Row],[M1 Money Stock, Billions of Dollars, Weekly, Seasonally Adjusted]]-B806)/B806</f>
        <v/>
      </c>
      <c r="D807" s="35">
        <f>((1+Table2634[[#This Row],[Weekly change]])^52)-1</f>
        <v/>
      </c>
      <c r="E807" s="25">
        <f>AVERAGE(B804:B807)</f>
        <v/>
      </c>
      <c r="F807" s="33">
        <f>(Table2634[[#This Row],[4 weeks average]]-B755)/B755</f>
        <v/>
      </c>
    </row>
    <row r="808">
      <c r="A808" s="23" t="n">
        <v>33014</v>
      </c>
      <c r="B808" s="25">
        <f>VLOOKUP(Table2634[[#This Row],[Date]],'DB Money Supply'!$A:$D,4)</f>
        <v/>
      </c>
      <c r="C808" s="31">
        <f>(Table2634[[#This Row],[M1 Money Stock, Billions of Dollars, Weekly, Seasonally Adjusted]]-B807)/B807</f>
        <v/>
      </c>
      <c r="D808" s="35">
        <f>((1+Table2634[[#This Row],[Weekly change]])^52)-1</f>
        <v/>
      </c>
      <c r="E808" s="25">
        <f>AVERAGE(B805:B808)</f>
        <v/>
      </c>
      <c r="F808" s="33">
        <f>(Table2634[[#This Row],[4 weeks average]]-B756)/B756</f>
        <v/>
      </c>
    </row>
    <row r="809">
      <c r="A809" s="23" t="n">
        <v>33021</v>
      </c>
      <c r="B809" s="25">
        <f>VLOOKUP(Table2634[[#This Row],[Date]],'DB Money Supply'!$A:$D,4)</f>
        <v/>
      </c>
      <c r="C809" s="31">
        <f>(Table2634[[#This Row],[M1 Money Stock, Billions of Dollars, Weekly, Seasonally Adjusted]]-B808)/B808</f>
        <v/>
      </c>
      <c r="D809" s="35">
        <f>((1+Table2634[[#This Row],[Weekly change]])^52)-1</f>
        <v/>
      </c>
      <c r="E809" s="25">
        <f>AVERAGE(B806:B809)</f>
        <v/>
      </c>
      <c r="F809" s="33">
        <f>(Table2634[[#This Row],[4 weeks average]]-B757)/B757</f>
        <v/>
      </c>
    </row>
    <row r="810">
      <c r="A810" s="23" t="n">
        <v>33028</v>
      </c>
      <c r="B810" s="25">
        <f>VLOOKUP(Table2634[[#This Row],[Date]],'DB Money Supply'!$A:$D,4)</f>
        <v/>
      </c>
      <c r="C810" s="31">
        <f>(Table2634[[#This Row],[M1 Money Stock, Billions of Dollars, Weekly, Seasonally Adjusted]]-B809)/B809</f>
        <v/>
      </c>
      <c r="D810" s="35">
        <f>((1+Table2634[[#This Row],[Weekly change]])^52)-1</f>
        <v/>
      </c>
      <c r="E810" s="25">
        <f>AVERAGE(B807:B810)</f>
        <v/>
      </c>
      <c r="F810" s="33">
        <f>(Table2634[[#This Row],[4 weeks average]]-B758)/B758</f>
        <v/>
      </c>
    </row>
    <row r="811">
      <c r="A811" s="23" t="n">
        <v>33035</v>
      </c>
      <c r="B811" s="25">
        <f>VLOOKUP(Table2634[[#This Row],[Date]],'DB Money Supply'!$A:$D,4)</f>
        <v/>
      </c>
      <c r="C811" s="31">
        <f>(Table2634[[#This Row],[M1 Money Stock, Billions of Dollars, Weekly, Seasonally Adjusted]]-B810)/B810</f>
        <v/>
      </c>
      <c r="D811" s="35">
        <f>((1+Table2634[[#This Row],[Weekly change]])^52)-1</f>
        <v/>
      </c>
      <c r="E811" s="25">
        <f>AVERAGE(B808:B811)</f>
        <v/>
      </c>
      <c r="F811" s="33">
        <f>(Table2634[[#This Row],[4 weeks average]]-B759)/B759</f>
        <v/>
      </c>
    </row>
    <row r="812">
      <c r="A812" s="23" t="n">
        <v>33042</v>
      </c>
      <c r="B812" s="25">
        <f>VLOOKUP(Table2634[[#This Row],[Date]],'DB Money Supply'!$A:$D,4)</f>
        <v/>
      </c>
      <c r="C812" s="31">
        <f>(Table2634[[#This Row],[M1 Money Stock, Billions of Dollars, Weekly, Seasonally Adjusted]]-B811)/B811</f>
        <v/>
      </c>
      <c r="D812" s="35">
        <f>((1+Table2634[[#This Row],[Weekly change]])^52)-1</f>
        <v/>
      </c>
      <c r="E812" s="25">
        <f>AVERAGE(B809:B812)</f>
        <v/>
      </c>
      <c r="F812" s="33">
        <f>(Table2634[[#This Row],[4 weeks average]]-B760)/B760</f>
        <v/>
      </c>
    </row>
    <row r="813">
      <c r="A813" s="23" t="n">
        <v>33049</v>
      </c>
      <c r="B813" s="25">
        <f>VLOOKUP(Table2634[[#This Row],[Date]],'DB Money Supply'!$A:$D,4)</f>
        <v/>
      </c>
      <c r="C813" s="31">
        <f>(Table2634[[#This Row],[M1 Money Stock, Billions of Dollars, Weekly, Seasonally Adjusted]]-B812)/B812</f>
        <v/>
      </c>
      <c r="D813" s="35">
        <f>((1+Table2634[[#This Row],[Weekly change]])^52)-1</f>
        <v/>
      </c>
      <c r="E813" s="25">
        <f>AVERAGE(B810:B813)</f>
        <v/>
      </c>
      <c r="F813" s="33">
        <f>(Table2634[[#This Row],[4 weeks average]]-B761)/B761</f>
        <v/>
      </c>
    </row>
    <row r="814">
      <c r="A814" s="23" t="n">
        <v>33056</v>
      </c>
      <c r="B814" s="25">
        <f>VLOOKUP(Table2634[[#This Row],[Date]],'DB Money Supply'!$A:$D,4)</f>
        <v/>
      </c>
      <c r="C814" s="31">
        <f>(Table2634[[#This Row],[M1 Money Stock, Billions of Dollars, Weekly, Seasonally Adjusted]]-B813)/B813</f>
        <v/>
      </c>
      <c r="D814" s="35">
        <f>((1+Table2634[[#This Row],[Weekly change]])^52)-1</f>
        <v/>
      </c>
      <c r="E814" s="25">
        <f>AVERAGE(B811:B814)</f>
        <v/>
      </c>
      <c r="F814" s="33">
        <f>(Table2634[[#This Row],[4 weeks average]]-B762)/B762</f>
        <v/>
      </c>
    </row>
    <row r="815">
      <c r="A815" s="23" t="n">
        <v>33063</v>
      </c>
      <c r="B815" s="25">
        <f>VLOOKUP(Table2634[[#This Row],[Date]],'DB Money Supply'!$A:$D,4)</f>
        <v/>
      </c>
      <c r="C815" s="31">
        <f>(Table2634[[#This Row],[M1 Money Stock, Billions of Dollars, Weekly, Seasonally Adjusted]]-B814)/B814</f>
        <v/>
      </c>
      <c r="D815" s="35">
        <f>((1+Table2634[[#This Row],[Weekly change]])^52)-1</f>
        <v/>
      </c>
      <c r="E815" s="25">
        <f>AVERAGE(B812:B815)</f>
        <v/>
      </c>
      <c r="F815" s="33">
        <f>(Table2634[[#This Row],[4 weeks average]]-B763)/B763</f>
        <v/>
      </c>
    </row>
    <row r="816">
      <c r="A816" s="23" t="n">
        <v>33070</v>
      </c>
      <c r="B816" s="25">
        <f>VLOOKUP(Table2634[[#This Row],[Date]],'DB Money Supply'!$A:$D,4)</f>
        <v/>
      </c>
      <c r="C816" s="31">
        <f>(Table2634[[#This Row],[M1 Money Stock, Billions of Dollars, Weekly, Seasonally Adjusted]]-B815)/B815</f>
        <v/>
      </c>
      <c r="D816" s="35">
        <f>((1+Table2634[[#This Row],[Weekly change]])^52)-1</f>
        <v/>
      </c>
      <c r="E816" s="25">
        <f>AVERAGE(B813:B816)</f>
        <v/>
      </c>
      <c r="F816" s="33">
        <f>(Table2634[[#This Row],[4 weeks average]]-B764)/B764</f>
        <v/>
      </c>
    </row>
    <row r="817">
      <c r="A817" s="23" t="n">
        <v>33077</v>
      </c>
      <c r="B817" s="25">
        <f>VLOOKUP(Table2634[[#This Row],[Date]],'DB Money Supply'!$A:$D,4)</f>
        <v/>
      </c>
      <c r="C817" s="31">
        <f>(Table2634[[#This Row],[M1 Money Stock, Billions of Dollars, Weekly, Seasonally Adjusted]]-B816)/B816</f>
        <v/>
      </c>
      <c r="D817" s="35">
        <f>((1+Table2634[[#This Row],[Weekly change]])^52)-1</f>
        <v/>
      </c>
      <c r="E817" s="25">
        <f>AVERAGE(B814:B817)</f>
        <v/>
      </c>
      <c r="F817" s="33">
        <f>(Table2634[[#This Row],[4 weeks average]]-B765)/B765</f>
        <v/>
      </c>
    </row>
    <row r="818">
      <c r="A818" s="23" t="n">
        <v>33084</v>
      </c>
      <c r="B818" s="25">
        <f>VLOOKUP(Table2634[[#This Row],[Date]],'DB Money Supply'!$A:$D,4)</f>
        <v/>
      </c>
      <c r="C818" s="31">
        <f>(Table2634[[#This Row],[M1 Money Stock, Billions of Dollars, Weekly, Seasonally Adjusted]]-B817)/B817</f>
        <v/>
      </c>
      <c r="D818" s="35">
        <f>((1+Table2634[[#This Row],[Weekly change]])^52)-1</f>
        <v/>
      </c>
      <c r="E818" s="25">
        <f>AVERAGE(B815:B818)</f>
        <v/>
      </c>
      <c r="F818" s="33">
        <f>(Table2634[[#This Row],[4 weeks average]]-B766)/B766</f>
        <v/>
      </c>
    </row>
    <row r="819">
      <c r="A819" s="23" t="n">
        <v>33091</v>
      </c>
      <c r="B819" s="25">
        <f>VLOOKUP(Table2634[[#This Row],[Date]],'DB Money Supply'!$A:$D,4)</f>
        <v/>
      </c>
      <c r="C819" s="31">
        <f>(Table2634[[#This Row],[M1 Money Stock, Billions of Dollars, Weekly, Seasonally Adjusted]]-B818)/B818</f>
        <v/>
      </c>
      <c r="D819" s="35">
        <f>((1+Table2634[[#This Row],[Weekly change]])^52)-1</f>
        <v/>
      </c>
      <c r="E819" s="25">
        <f>AVERAGE(B816:B819)</f>
        <v/>
      </c>
      <c r="F819" s="33">
        <f>(Table2634[[#This Row],[4 weeks average]]-B767)/B767</f>
        <v/>
      </c>
    </row>
    <row r="820">
      <c r="A820" s="23" t="n">
        <v>33098</v>
      </c>
      <c r="B820" s="25">
        <f>VLOOKUP(Table2634[[#This Row],[Date]],'DB Money Supply'!$A:$D,4)</f>
        <v/>
      </c>
      <c r="C820" s="31">
        <f>(Table2634[[#This Row],[M1 Money Stock, Billions of Dollars, Weekly, Seasonally Adjusted]]-B819)/B819</f>
        <v/>
      </c>
      <c r="D820" s="35">
        <f>((1+Table2634[[#This Row],[Weekly change]])^52)-1</f>
        <v/>
      </c>
      <c r="E820" s="25">
        <f>AVERAGE(B817:B820)</f>
        <v/>
      </c>
      <c r="F820" s="33">
        <f>(Table2634[[#This Row],[4 weeks average]]-B768)/B768</f>
        <v/>
      </c>
    </row>
    <row r="821">
      <c r="A821" s="23" t="n">
        <v>33105</v>
      </c>
      <c r="B821" s="25">
        <f>VLOOKUP(Table2634[[#This Row],[Date]],'DB Money Supply'!$A:$D,4)</f>
        <v/>
      </c>
      <c r="C821" s="31">
        <f>(Table2634[[#This Row],[M1 Money Stock, Billions of Dollars, Weekly, Seasonally Adjusted]]-B820)/B820</f>
        <v/>
      </c>
      <c r="D821" s="35">
        <f>((1+Table2634[[#This Row],[Weekly change]])^52)-1</f>
        <v/>
      </c>
      <c r="E821" s="25">
        <f>AVERAGE(B818:B821)</f>
        <v/>
      </c>
      <c r="F821" s="33">
        <f>(Table2634[[#This Row],[4 weeks average]]-B769)/B769</f>
        <v/>
      </c>
    </row>
    <row r="822">
      <c r="A822" s="23" t="n">
        <v>33112</v>
      </c>
      <c r="B822" s="25">
        <f>VLOOKUP(Table2634[[#This Row],[Date]],'DB Money Supply'!$A:$D,4)</f>
        <v/>
      </c>
      <c r="C822" s="31">
        <f>(Table2634[[#This Row],[M1 Money Stock, Billions of Dollars, Weekly, Seasonally Adjusted]]-B821)/B821</f>
        <v/>
      </c>
      <c r="D822" s="35">
        <f>((1+Table2634[[#This Row],[Weekly change]])^52)-1</f>
        <v/>
      </c>
      <c r="E822" s="25">
        <f>AVERAGE(B819:B822)</f>
        <v/>
      </c>
      <c r="F822" s="33">
        <f>(Table2634[[#This Row],[4 weeks average]]-B770)/B770</f>
        <v/>
      </c>
    </row>
    <row r="823">
      <c r="A823" s="23" t="n">
        <v>33119</v>
      </c>
      <c r="B823" s="25">
        <f>VLOOKUP(Table2634[[#This Row],[Date]],'DB Money Supply'!$A:$D,4)</f>
        <v/>
      </c>
      <c r="C823" s="31">
        <f>(Table2634[[#This Row],[M1 Money Stock, Billions of Dollars, Weekly, Seasonally Adjusted]]-B822)/B822</f>
        <v/>
      </c>
      <c r="D823" s="35">
        <f>((1+Table2634[[#This Row],[Weekly change]])^52)-1</f>
        <v/>
      </c>
      <c r="E823" s="25">
        <f>AVERAGE(B820:B823)</f>
        <v/>
      </c>
      <c r="F823" s="33">
        <f>(Table2634[[#This Row],[4 weeks average]]-B771)/B771</f>
        <v/>
      </c>
    </row>
    <row r="824">
      <c r="A824" s="23" t="n">
        <v>33126</v>
      </c>
      <c r="B824" s="25">
        <f>VLOOKUP(Table2634[[#This Row],[Date]],'DB Money Supply'!$A:$D,4)</f>
        <v/>
      </c>
      <c r="C824" s="31">
        <f>(Table2634[[#This Row],[M1 Money Stock, Billions of Dollars, Weekly, Seasonally Adjusted]]-B823)/B823</f>
        <v/>
      </c>
      <c r="D824" s="35">
        <f>((1+Table2634[[#This Row],[Weekly change]])^52)-1</f>
        <v/>
      </c>
      <c r="E824" s="25">
        <f>AVERAGE(B821:B824)</f>
        <v/>
      </c>
      <c r="F824" s="33">
        <f>(Table2634[[#This Row],[4 weeks average]]-B772)/B772</f>
        <v/>
      </c>
    </row>
    <row r="825">
      <c r="A825" s="23" t="n">
        <v>33133</v>
      </c>
      <c r="B825" s="25">
        <f>VLOOKUP(Table2634[[#This Row],[Date]],'DB Money Supply'!$A:$D,4)</f>
        <v/>
      </c>
      <c r="C825" s="31">
        <f>(Table2634[[#This Row],[M1 Money Stock, Billions of Dollars, Weekly, Seasonally Adjusted]]-B824)/B824</f>
        <v/>
      </c>
      <c r="D825" s="35">
        <f>((1+Table2634[[#This Row],[Weekly change]])^52)-1</f>
        <v/>
      </c>
      <c r="E825" s="25">
        <f>AVERAGE(B822:B825)</f>
        <v/>
      </c>
      <c r="F825" s="33">
        <f>(Table2634[[#This Row],[4 weeks average]]-B773)/B773</f>
        <v/>
      </c>
    </row>
    <row r="826">
      <c r="A826" s="23" t="n">
        <v>33140</v>
      </c>
      <c r="B826" s="25">
        <f>VLOOKUP(Table2634[[#This Row],[Date]],'DB Money Supply'!$A:$D,4)</f>
        <v/>
      </c>
      <c r="C826" s="31">
        <f>(Table2634[[#This Row],[M1 Money Stock, Billions of Dollars, Weekly, Seasonally Adjusted]]-B825)/B825</f>
        <v/>
      </c>
      <c r="D826" s="35">
        <f>((1+Table2634[[#This Row],[Weekly change]])^52)-1</f>
        <v/>
      </c>
      <c r="E826" s="25">
        <f>AVERAGE(B823:B826)</f>
        <v/>
      </c>
      <c r="F826" s="33">
        <f>(Table2634[[#This Row],[4 weeks average]]-B774)/B774</f>
        <v/>
      </c>
    </row>
    <row r="827">
      <c r="A827" s="23" t="n">
        <v>33147</v>
      </c>
      <c r="B827" s="25">
        <f>VLOOKUP(Table2634[[#This Row],[Date]],'DB Money Supply'!$A:$D,4)</f>
        <v/>
      </c>
      <c r="C827" s="31">
        <f>(Table2634[[#This Row],[M1 Money Stock, Billions of Dollars, Weekly, Seasonally Adjusted]]-B826)/B826</f>
        <v/>
      </c>
      <c r="D827" s="35">
        <f>((1+Table2634[[#This Row],[Weekly change]])^52)-1</f>
        <v/>
      </c>
      <c r="E827" s="25">
        <f>AVERAGE(B824:B827)</f>
        <v/>
      </c>
      <c r="F827" s="33">
        <f>(Table2634[[#This Row],[4 weeks average]]-B775)/B775</f>
        <v/>
      </c>
    </row>
    <row r="828">
      <c r="A828" s="23" t="n">
        <v>33154</v>
      </c>
      <c r="B828" s="25">
        <f>VLOOKUP(Table2634[[#This Row],[Date]],'DB Money Supply'!$A:$D,4)</f>
        <v/>
      </c>
      <c r="C828" s="31">
        <f>(Table2634[[#This Row],[M1 Money Stock, Billions of Dollars, Weekly, Seasonally Adjusted]]-B827)/B827</f>
        <v/>
      </c>
      <c r="D828" s="35">
        <f>((1+Table2634[[#This Row],[Weekly change]])^52)-1</f>
        <v/>
      </c>
      <c r="E828" s="25">
        <f>AVERAGE(B825:B828)</f>
        <v/>
      </c>
      <c r="F828" s="33">
        <f>(Table2634[[#This Row],[4 weeks average]]-B776)/B776</f>
        <v/>
      </c>
    </row>
    <row r="829">
      <c r="A829" s="23" t="n">
        <v>33161</v>
      </c>
      <c r="B829" s="25">
        <f>VLOOKUP(Table2634[[#This Row],[Date]],'DB Money Supply'!$A:$D,4)</f>
        <v/>
      </c>
      <c r="C829" s="31">
        <f>(Table2634[[#This Row],[M1 Money Stock, Billions of Dollars, Weekly, Seasonally Adjusted]]-B828)/B828</f>
        <v/>
      </c>
      <c r="D829" s="35">
        <f>((1+Table2634[[#This Row],[Weekly change]])^52)-1</f>
        <v/>
      </c>
      <c r="E829" s="25">
        <f>AVERAGE(B826:B829)</f>
        <v/>
      </c>
      <c r="F829" s="33">
        <f>(Table2634[[#This Row],[4 weeks average]]-B777)/B777</f>
        <v/>
      </c>
    </row>
    <row r="830">
      <c r="A830" s="23" t="n">
        <v>33168</v>
      </c>
      <c r="B830" s="25">
        <f>VLOOKUP(Table2634[[#This Row],[Date]],'DB Money Supply'!$A:$D,4)</f>
        <v/>
      </c>
      <c r="C830" s="31">
        <f>(Table2634[[#This Row],[M1 Money Stock, Billions of Dollars, Weekly, Seasonally Adjusted]]-B829)/B829</f>
        <v/>
      </c>
      <c r="D830" s="35">
        <f>((1+Table2634[[#This Row],[Weekly change]])^52)-1</f>
        <v/>
      </c>
      <c r="E830" s="25">
        <f>AVERAGE(B827:B830)</f>
        <v/>
      </c>
      <c r="F830" s="33">
        <f>(Table2634[[#This Row],[4 weeks average]]-B778)/B778</f>
        <v/>
      </c>
    </row>
    <row r="831">
      <c r="A831" s="23" t="n">
        <v>33175</v>
      </c>
      <c r="B831" s="25">
        <f>VLOOKUP(Table2634[[#This Row],[Date]],'DB Money Supply'!$A:$D,4)</f>
        <v/>
      </c>
      <c r="C831" s="31">
        <f>(Table2634[[#This Row],[M1 Money Stock, Billions of Dollars, Weekly, Seasonally Adjusted]]-B830)/B830</f>
        <v/>
      </c>
      <c r="D831" s="35">
        <f>((1+Table2634[[#This Row],[Weekly change]])^52)-1</f>
        <v/>
      </c>
      <c r="E831" s="25">
        <f>AVERAGE(B828:B831)</f>
        <v/>
      </c>
      <c r="F831" s="33">
        <f>(Table2634[[#This Row],[4 weeks average]]-B779)/B779</f>
        <v/>
      </c>
    </row>
    <row r="832">
      <c r="A832" s="23" t="n">
        <v>33182</v>
      </c>
      <c r="B832" s="25">
        <f>VLOOKUP(Table2634[[#This Row],[Date]],'DB Money Supply'!$A:$D,4)</f>
        <v/>
      </c>
      <c r="C832" s="31">
        <f>(Table2634[[#This Row],[M1 Money Stock, Billions of Dollars, Weekly, Seasonally Adjusted]]-B831)/B831</f>
        <v/>
      </c>
      <c r="D832" s="35">
        <f>((1+Table2634[[#This Row],[Weekly change]])^52)-1</f>
        <v/>
      </c>
      <c r="E832" s="25">
        <f>AVERAGE(B829:B832)</f>
        <v/>
      </c>
      <c r="F832" s="33">
        <f>(Table2634[[#This Row],[4 weeks average]]-B780)/B780</f>
        <v/>
      </c>
    </row>
    <row r="833">
      <c r="A833" s="23" t="n">
        <v>33189</v>
      </c>
      <c r="B833" s="25">
        <f>VLOOKUP(Table2634[[#This Row],[Date]],'DB Money Supply'!$A:$D,4)</f>
        <v/>
      </c>
      <c r="C833" s="31">
        <f>(Table2634[[#This Row],[M1 Money Stock, Billions of Dollars, Weekly, Seasonally Adjusted]]-B832)/B832</f>
        <v/>
      </c>
      <c r="D833" s="35">
        <f>((1+Table2634[[#This Row],[Weekly change]])^52)-1</f>
        <v/>
      </c>
      <c r="E833" s="25">
        <f>AVERAGE(B830:B833)</f>
        <v/>
      </c>
      <c r="F833" s="33">
        <f>(Table2634[[#This Row],[4 weeks average]]-B781)/B781</f>
        <v/>
      </c>
    </row>
    <row r="834">
      <c r="A834" s="23" t="n">
        <v>33196</v>
      </c>
      <c r="B834" s="25">
        <f>VLOOKUP(Table2634[[#This Row],[Date]],'DB Money Supply'!$A:$D,4)</f>
        <v/>
      </c>
      <c r="C834" s="31">
        <f>(Table2634[[#This Row],[M1 Money Stock, Billions of Dollars, Weekly, Seasonally Adjusted]]-B833)/B833</f>
        <v/>
      </c>
      <c r="D834" s="35">
        <f>((1+Table2634[[#This Row],[Weekly change]])^52)-1</f>
        <v/>
      </c>
      <c r="E834" s="25">
        <f>AVERAGE(B831:B834)</f>
        <v/>
      </c>
      <c r="F834" s="33">
        <f>(Table2634[[#This Row],[4 weeks average]]-B782)/B782</f>
        <v/>
      </c>
    </row>
    <row r="835">
      <c r="A835" s="23" t="n">
        <v>33203</v>
      </c>
      <c r="B835" s="25">
        <f>VLOOKUP(Table2634[[#This Row],[Date]],'DB Money Supply'!$A:$D,4)</f>
        <v/>
      </c>
      <c r="C835" s="31">
        <f>(Table2634[[#This Row],[M1 Money Stock, Billions of Dollars, Weekly, Seasonally Adjusted]]-B834)/B834</f>
        <v/>
      </c>
      <c r="D835" s="35">
        <f>((1+Table2634[[#This Row],[Weekly change]])^52)-1</f>
        <v/>
      </c>
      <c r="E835" s="25">
        <f>AVERAGE(B832:B835)</f>
        <v/>
      </c>
      <c r="F835" s="33">
        <f>(Table2634[[#This Row],[4 weeks average]]-B783)/B783</f>
        <v/>
      </c>
    </row>
    <row r="836">
      <c r="A836" s="23" t="n">
        <v>33210</v>
      </c>
      <c r="B836" s="25">
        <f>VLOOKUP(Table2634[[#This Row],[Date]],'DB Money Supply'!$A:$D,4)</f>
        <v/>
      </c>
      <c r="C836" s="31">
        <f>(Table2634[[#This Row],[M1 Money Stock, Billions of Dollars, Weekly, Seasonally Adjusted]]-B835)/B835</f>
        <v/>
      </c>
      <c r="D836" s="35">
        <f>((1+Table2634[[#This Row],[Weekly change]])^52)-1</f>
        <v/>
      </c>
      <c r="E836" s="25">
        <f>AVERAGE(B833:B836)</f>
        <v/>
      </c>
      <c r="F836" s="33">
        <f>(Table2634[[#This Row],[4 weeks average]]-B784)/B784</f>
        <v/>
      </c>
    </row>
    <row r="837">
      <c r="A837" s="23" t="n">
        <v>33217</v>
      </c>
      <c r="B837" s="25">
        <f>VLOOKUP(Table2634[[#This Row],[Date]],'DB Money Supply'!$A:$D,4)</f>
        <v/>
      </c>
      <c r="C837" s="31">
        <f>(Table2634[[#This Row],[M1 Money Stock, Billions of Dollars, Weekly, Seasonally Adjusted]]-B836)/B836</f>
        <v/>
      </c>
      <c r="D837" s="35">
        <f>((1+Table2634[[#This Row],[Weekly change]])^52)-1</f>
        <v/>
      </c>
      <c r="E837" s="25">
        <f>AVERAGE(B834:B837)</f>
        <v/>
      </c>
      <c r="F837" s="33">
        <f>(Table2634[[#This Row],[4 weeks average]]-B785)/B785</f>
        <v/>
      </c>
    </row>
    <row r="838">
      <c r="A838" s="23" t="n">
        <v>33224</v>
      </c>
      <c r="B838" s="25">
        <f>VLOOKUP(Table2634[[#This Row],[Date]],'DB Money Supply'!$A:$D,4)</f>
        <v/>
      </c>
      <c r="C838" s="31">
        <f>(Table2634[[#This Row],[M1 Money Stock, Billions of Dollars, Weekly, Seasonally Adjusted]]-B837)/B837</f>
        <v/>
      </c>
      <c r="D838" s="35">
        <f>((1+Table2634[[#This Row],[Weekly change]])^52)-1</f>
        <v/>
      </c>
      <c r="E838" s="25">
        <f>AVERAGE(B835:B838)</f>
        <v/>
      </c>
      <c r="F838" s="33">
        <f>(Table2634[[#This Row],[4 weeks average]]-B786)/B786</f>
        <v/>
      </c>
    </row>
    <row r="839">
      <c r="A839" s="23" t="n">
        <v>33231</v>
      </c>
      <c r="B839" s="25">
        <f>VLOOKUP(Table2634[[#This Row],[Date]],'DB Money Supply'!$A:$D,4)</f>
        <v/>
      </c>
      <c r="C839" s="31">
        <f>(Table2634[[#This Row],[M1 Money Stock, Billions of Dollars, Weekly, Seasonally Adjusted]]-B838)/B838</f>
        <v/>
      </c>
      <c r="D839" s="35">
        <f>((1+Table2634[[#This Row],[Weekly change]])^52)-1</f>
        <v/>
      </c>
      <c r="E839" s="25">
        <f>AVERAGE(B836:B839)</f>
        <v/>
      </c>
      <c r="F839" s="33">
        <f>(Table2634[[#This Row],[4 weeks average]]-B787)/B787</f>
        <v/>
      </c>
    </row>
    <row r="840">
      <c r="A840" s="23" t="n">
        <v>33238</v>
      </c>
      <c r="B840" s="25">
        <f>VLOOKUP(Table2634[[#This Row],[Date]],'DB Money Supply'!$A:$D,4)</f>
        <v/>
      </c>
      <c r="C840" s="31">
        <f>(Table2634[[#This Row],[M1 Money Stock, Billions of Dollars, Weekly, Seasonally Adjusted]]-B839)/B839</f>
        <v/>
      </c>
      <c r="D840" s="35">
        <f>((1+Table2634[[#This Row],[Weekly change]])^52)-1</f>
        <v/>
      </c>
      <c r="E840" s="25">
        <f>AVERAGE(B837:B840)</f>
        <v/>
      </c>
      <c r="F840" s="33">
        <f>(Table2634[[#This Row],[4 weeks average]]-B788)/B788</f>
        <v/>
      </c>
    </row>
    <row r="841">
      <c r="A841" s="23" t="n">
        <v>33245</v>
      </c>
      <c r="B841" s="25">
        <f>VLOOKUP(Table2634[[#This Row],[Date]],'DB Money Supply'!$A:$D,4)</f>
        <v/>
      </c>
      <c r="C841" s="31">
        <f>(Table2634[[#This Row],[M1 Money Stock, Billions of Dollars, Weekly, Seasonally Adjusted]]-B840)/B840</f>
        <v/>
      </c>
      <c r="D841" s="35">
        <f>((1+Table2634[[#This Row],[Weekly change]])^52)-1</f>
        <v/>
      </c>
      <c r="E841" s="25">
        <f>AVERAGE(B838:B841)</f>
        <v/>
      </c>
      <c r="F841" s="33">
        <f>(Table2634[[#This Row],[4 weeks average]]-B789)/B789</f>
        <v/>
      </c>
    </row>
    <row r="842">
      <c r="A842" s="23" t="n">
        <v>33252</v>
      </c>
      <c r="B842" s="25">
        <f>VLOOKUP(Table2634[[#This Row],[Date]],'DB Money Supply'!$A:$D,4)</f>
        <v/>
      </c>
      <c r="C842" s="31">
        <f>(Table2634[[#This Row],[M1 Money Stock, Billions of Dollars, Weekly, Seasonally Adjusted]]-B841)/B841</f>
        <v/>
      </c>
      <c r="D842" s="35">
        <f>((1+Table2634[[#This Row],[Weekly change]])^52)-1</f>
        <v/>
      </c>
      <c r="E842" s="25">
        <f>AVERAGE(B839:B842)</f>
        <v/>
      </c>
      <c r="F842" s="33">
        <f>(Table2634[[#This Row],[4 weeks average]]-B790)/B790</f>
        <v/>
      </c>
    </row>
    <row r="843">
      <c r="A843" s="23" t="n">
        <v>33259</v>
      </c>
      <c r="B843" s="25">
        <f>VLOOKUP(Table2634[[#This Row],[Date]],'DB Money Supply'!$A:$D,4)</f>
        <v/>
      </c>
      <c r="C843" s="31">
        <f>(Table2634[[#This Row],[M1 Money Stock, Billions of Dollars, Weekly, Seasonally Adjusted]]-B842)/B842</f>
        <v/>
      </c>
      <c r="D843" s="35">
        <f>((1+Table2634[[#This Row],[Weekly change]])^52)-1</f>
        <v/>
      </c>
      <c r="E843" s="25">
        <f>AVERAGE(B840:B843)</f>
        <v/>
      </c>
      <c r="F843" s="33">
        <f>(Table2634[[#This Row],[4 weeks average]]-B791)/B791</f>
        <v/>
      </c>
    </row>
    <row r="844">
      <c r="A844" s="23" t="n">
        <v>33266</v>
      </c>
      <c r="B844" s="25">
        <f>VLOOKUP(Table2634[[#This Row],[Date]],'DB Money Supply'!$A:$D,4)</f>
        <v/>
      </c>
      <c r="C844" s="31">
        <f>(Table2634[[#This Row],[M1 Money Stock, Billions of Dollars, Weekly, Seasonally Adjusted]]-B843)/B843</f>
        <v/>
      </c>
      <c r="D844" s="35">
        <f>((1+Table2634[[#This Row],[Weekly change]])^52)-1</f>
        <v/>
      </c>
      <c r="E844" s="25">
        <f>AVERAGE(B841:B844)</f>
        <v/>
      </c>
      <c r="F844" s="33">
        <f>(Table2634[[#This Row],[4 weeks average]]-B792)/B792</f>
        <v/>
      </c>
    </row>
    <row r="845">
      <c r="A845" s="23" t="n">
        <v>33273</v>
      </c>
      <c r="B845" s="25">
        <f>VLOOKUP(Table2634[[#This Row],[Date]],'DB Money Supply'!$A:$D,4)</f>
        <v/>
      </c>
      <c r="C845" s="31">
        <f>(Table2634[[#This Row],[M1 Money Stock, Billions of Dollars, Weekly, Seasonally Adjusted]]-B844)/B844</f>
        <v/>
      </c>
      <c r="D845" s="35">
        <f>((1+Table2634[[#This Row],[Weekly change]])^52)-1</f>
        <v/>
      </c>
      <c r="E845" s="25">
        <f>AVERAGE(B842:B845)</f>
        <v/>
      </c>
      <c r="F845" s="33">
        <f>(Table2634[[#This Row],[4 weeks average]]-B793)/B793</f>
        <v/>
      </c>
    </row>
    <row r="846">
      <c r="A846" s="23" t="n">
        <v>33280</v>
      </c>
      <c r="B846" s="25">
        <f>VLOOKUP(Table2634[[#This Row],[Date]],'DB Money Supply'!$A:$D,4)</f>
        <v/>
      </c>
      <c r="C846" s="31">
        <f>(Table2634[[#This Row],[M1 Money Stock, Billions of Dollars, Weekly, Seasonally Adjusted]]-B845)/B845</f>
        <v/>
      </c>
      <c r="D846" s="35">
        <f>((1+Table2634[[#This Row],[Weekly change]])^52)-1</f>
        <v/>
      </c>
      <c r="E846" s="25">
        <f>AVERAGE(B843:B846)</f>
        <v/>
      </c>
      <c r="F846" s="33">
        <f>(Table2634[[#This Row],[4 weeks average]]-B794)/B794</f>
        <v/>
      </c>
    </row>
    <row r="847">
      <c r="A847" s="23" t="n">
        <v>33287</v>
      </c>
      <c r="B847" s="25">
        <f>VLOOKUP(Table2634[[#This Row],[Date]],'DB Money Supply'!$A:$D,4)</f>
        <v/>
      </c>
      <c r="C847" s="31">
        <f>(Table2634[[#This Row],[M1 Money Stock, Billions of Dollars, Weekly, Seasonally Adjusted]]-B846)/B846</f>
        <v/>
      </c>
      <c r="D847" s="35">
        <f>((1+Table2634[[#This Row],[Weekly change]])^52)-1</f>
        <v/>
      </c>
      <c r="E847" s="25">
        <f>AVERAGE(B844:B847)</f>
        <v/>
      </c>
      <c r="F847" s="33">
        <f>(Table2634[[#This Row],[4 weeks average]]-B795)/B795</f>
        <v/>
      </c>
    </row>
    <row r="848">
      <c r="A848" s="23" t="n">
        <v>33294</v>
      </c>
      <c r="B848" s="25">
        <f>VLOOKUP(Table2634[[#This Row],[Date]],'DB Money Supply'!$A:$D,4)</f>
        <v/>
      </c>
      <c r="C848" s="31">
        <f>(Table2634[[#This Row],[M1 Money Stock, Billions of Dollars, Weekly, Seasonally Adjusted]]-B847)/B847</f>
        <v/>
      </c>
      <c r="D848" s="35">
        <f>((1+Table2634[[#This Row],[Weekly change]])^52)-1</f>
        <v/>
      </c>
      <c r="E848" s="25">
        <f>AVERAGE(B845:B848)</f>
        <v/>
      </c>
      <c r="F848" s="33">
        <f>(Table2634[[#This Row],[4 weeks average]]-B796)/B796</f>
        <v/>
      </c>
    </row>
    <row r="849">
      <c r="A849" s="23" t="n">
        <v>33301</v>
      </c>
      <c r="B849" s="25">
        <f>VLOOKUP(Table2634[[#This Row],[Date]],'DB Money Supply'!$A:$D,4)</f>
        <v/>
      </c>
      <c r="C849" s="31">
        <f>(Table2634[[#This Row],[M1 Money Stock, Billions of Dollars, Weekly, Seasonally Adjusted]]-B848)/B848</f>
        <v/>
      </c>
      <c r="D849" s="35">
        <f>((1+Table2634[[#This Row],[Weekly change]])^52)-1</f>
        <v/>
      </c>
      <c r="E849" s="25">
        <f>AVERAGE(B846:B849)</f>
        <v/>
      </c>
      <c r="F849" s="33">
        <f>(Table2634[[#This Row],[4 weeks average]]-B797)/B797</f>
        <v/>
      </c>
    </row>
    <row r="850">
      <c r="A850" s="23" t="n">
        <v>33308</v>
      </c>
      <c r="B850" s="25">
        <f>VLOOKUP(Table2634[[#This Row],[Date]],'DB Money Supply'!$A:$D,4)</f>
        <v/>
      </c>
      <c r="C850" s="31">
        <f>(Table2634[[#This Row],[M1 Money Stock, Billions of Dollars, Weekly, Seasonally Adjusted]]-B849)/B849</f>
        <v/>
      </c>
      <c r="D850" s="35">
        <f>((1+Table2634[[#This Row],[Weekly change]])^52)-1</f>
        <v/>
      </c>
      <c r="E850" s="25">
        <f>AVERAGE(B847:B850)</f>
        <v/>
      </c>
      <c r="F850" s="33">
        <f>(Table2634[[#This Row],[4 weeks average]]-B798)/B798</f>
        <v/>
      </c>
    </row>
    <row r="851">
      <c r="A851" s="23" t="n">
        <v>33315</v>
      </c>
      <c r="B851" s="25">
        <f>VLOOKUP(Table2634[[#This Row],[Date]],'DB Money Supply'!$A:$D,4)</f>
        <v/>
      </c>
      <c r="C851" s="31">
        <f>(Table2634[[#This Row],[M1 Money Stock, Billions of Dollars, Weekly, Seasonally Adjusted]]-B850)/B850</f>
        <v/>
      </c>
      <c r="D851" s="35">
        <f>((1+Table2634[[#This Row],[Weekly change]])^52)-1</f>
        <v/>
      </c>
      <c r="E851" s="25">
        <f>AVERAGE(B848:B851)</f>
        <v/>
      </c>
      <c r="F851" s="33">
        <f>(Table2634[[#This Row],[4 weeks average]]-B799)/B799</f>
        <v/>
      </c>
    </row>
    <row r="852">
      <c r="A852" s="23" t="n">
        <v>33322</v>
      </c>
      <c r="B852" s="25">
        <f>VLOOKUP(Table2634[[#This Row],[Date]],'DB Money Supply'!$A:$D,4)</f>
        <v/>
      </c>
      <c r="C852" s="31">
        <f>(Table2634[[#This Row],[M1 Money Stock, Billions of Dollars, Weekly, Seasonally Adjusted]]-B851)/B851</f>
        <v/>
      </c>
      <c r="D852" s="35">
        <f>((1+Table2634[[#This Row],[Weekly change]])^52)-1</f>
        <v/>
      </c>
      <c r="E852" s="25">
        <f>AVERAGE(B849:B852)</f>
        <v/>
      </c>
      <c r="F852" s="33">
        <f>(Table2634[[#This Row],[4 weeks average]]-B800)/B800</f>
        <v/>
      </c>
    </row>
    <row r="853">
      <c r="A853" s="23" t="n">
        <v>33329</v>
      </c>
      <c r="B853" s="25">
        <f>VLOOKUP(Table2634[[#This Row],[Date]],'DB Money Supply'!$A:$D,4)</f>
        <v/>
      </c>
      <c r="C853" s="31">
        <f>(Table2634[[#This Row],[M1 Money Stock, Billions of Dollars, Weekly, Seasonally Adjusted]]-B852)/B852</f>
        <v/>
      </c>
      <c r="D853" s="35">
        <f>((1+Table2634[[#This Row],[Weekly change]])^52)-1</f>
        <v/>
      </c>
      <c r="E853" s="25">
        <f>AVERAGE(B850:B853)</f>
        <v/>
      </c>
      <c r="F853" s="33">
        <f>(Table2634[[#This Row],[4 weeks average]]-B801)/B801</f>
        <v/>
      </c>
    </row>
    <row r="854">
      <c r="A854" s="23" t="n">
        <v>33336</v>
      </c>
      <c r="B854" s="25">
        <f>VLOOKUP(Table2634[[#This Row],[Date]],'DB Money Supply'!$A:$D,4)</f>
        <v/>
      </c>
      <c r="C854" s="31">
        <f>(Table2634[[#This Row],[M1 Money Stock, Billions of Dollars, Weekly, Seasonally Adjusted]]-B853)/B853</f>
        <v/>
      </c>
      <c r="D854" s="35">
        <f>((1+Table2634[[#This Row],[Weekly change]])^52)-1</f>
        <v/>
      </c>
      <c r="E854" s="25">
        <f>AVERAGE(B851:B854)</f>
        <v/>
      </c>
      <c r="F854" s="33">
        <f>(Table2634[[#This Row],[4 weeks average]]-B802)/B802</f>
        <v/>
      </c>
    </row>
    <row r="855">
      <c r="A855" s="23" t="n">
        <v>33343</v>
      </c>
      <c r="B855" s="25">
        <f>VLOOKUP(Table2634[[#This Row],[Date]],'DB Money Supply'!$A:$D,4)</f>
        <v/>
      </c>
      <c r="C855" s="31">
        <f>(Table2634[[#This Row],[M1 Money Stock, Billions of Dollars, Weekly, Seasonally Adjusted]]-B854)/B854</f>
        <v/>
      </c>
      <c r="D855" s="35">
        <f>((1+Table2634[[#This Row],[Weekly change]])^52)-1</f>
        <v/>
      </c>
      <c r="E855" s="25">
        <f>AVERAGE(B852:B855)</f>
        <v/>
      </c>
      <c r="F855" s="33">
        <f>(Table2634[[#This Row],[4 weeks average]]-B803)/B803</f>
        <v/>
      </c>
    </row>
    <row r="856">
      <c r="A856" s="23" t="n">
        <v>33350</v>
      </c>
      <c r="B856" s="25">
        <f>VLOOKUP(Table2634[[#This Row],[Date]],'DB Money Supply'!$A:$D,4)</f>
        <v/>
      </c>
      <c r="C856" s="31">
        <f>(Table2634[[#This Row],[M1 Money Stock, Billions of Dollars, Weekly, Seasonally Adjusted]]-B855)/B855</f>
        <v/>
      </c>
      <c r="D856" s="35">
        <f>((1+Table2634[[#This Row],[Weekly change]])^52)-1</f>
        <v/>
      </c>
      <c r="E856" s="25">
        <f>AVERAGE(B853:B856)</f>
        <v/>
      </c>
      <c r="F856" s="33">
        <f>(Table2634[[#This Row],[4 weeks average]]-B804)/B804</f>
        <v/>
      </c>
    </row>
    <row r="857">
      <c r="A857" s="23" t="n">
        <v>33357</v>
      </c>
      <c r="B857" s="25">
        <f>VLOOKUP(Table2634[[#This Row],[Date]],'DB Money Supply'!$A:$D,4)</f>
        <v/>
      </c>
      <c r="C857" s="31">
        <f>(Table2634[[#This Row],[M1 Money Stock, Billions of Dollars, Weekly, Seasonally Adjusted]]-B856)/B856</f>
        <v/>
      </c>
      <c r="D857" s="35">
        <f>((1+Table2634[[#This Row],[Weekly change]])^52)-1</f>
        <v/>
      </c>
      <c r="E857" s="25">
        <f>AVERAGE(B854:B857)</f>
        <v/>
      </c>
      <c r="F857" s="33">
        <f>(Table2634[[#This Row],[4 weeks average]]-B805)/B805</f>
        <v/>
      </c>
    </row>
    <row r="858">
      <c r="A858" s="23" t="n">
        <v>33364</v>
      </c>
      <c r="B858" s="25">
        <f>VLOOKUP(Table2634[[#This Row],[Date]],'DB Money Supply'!$A:$D,4)</f>
        <v/>
      </c>
      <c r="C858" s="31">
        <f>(Table2634[[#This Row],[M1 Money Stock, Billions of Dollars, Weekly, Seasonally Adjusted]]-B857)/B857</f>
        <v/>
      </c>
      <c r="D858" s="35">
        <f>((1+Table2634[[#This Row],[Weekly change]])^52)-1</f>
        <v/>
      </c>
      <c r="E858" s="25">
        <f>AVERAGE(B855:B858)</f>
        <v/>
      </c>
      <c r="F858" s="33">
        <f>(Table2634[[#This Row],[4 weeks average]]-B806)/B806</f>
        <v/>
      </c>
    </row>
    <row r="859">
      <c r="A859" s="23" t="n">
        <v>33371</v>
      </c>
      <c r="B859" s="25">
        <f>VLOOKUP(Table2634[[#This Row],[Date]],'DB Money Supply'!$A:$D,4)</f>
        <v/>
      </c>
      <c r="C859" s="31">
        <f>(Table2634[[#This Row],[M1 Money Stock, Billions of Dollars, Weekly, Seasonally Adjusted]]-B858)/B858</f>
        <v/>
      </c>
      <c r="D859" s="35">
        <f>((1+Table2634[[#This Row],[Weekly change]])^52)-1</f>
        <v/>
      </c>
      <c r="E859" s="25">
        <f>AVERAGE(B856:B859)</f>
        <v/>
      </c>
      <c r="F859" s="33">
        <f>(Table2634[[#This Row],[4 weeks average]]-B807)/B807</f>
        <v/>
      </c>
    </row>
    <row r="860">
      <c r="A860" s="23" t="n">
        <v>33378</v>
      </c>
      <c r="B860" s="25">
        <f>VLOOKUP(Table2634[[#This Row],[Date]],'DB Money Supply'!$A:$D,4)</f>
        <v/>
      </c>
      <c r="C860" s="31">
        <f>(Table2634[[#This Row],[M1 Money Stock, Billions of Dollars, Weekly, Seasonally Adjusted]]-B859)/B859</f>
        <v/>
      </c>
      <c r="D860" s="35">
        <f>((1+Table2634[[#This Row],[Weekly change]])^52)-1</f>
        <v/>
      </c>
      <c r="E860" s="25">
        <f>AVERAGE(B857:B860)</f>
        <v/>
      </c>
      <c r="F860" s="33">
        <f>(Table2634[[#This Row],[4 weeks average]]-B808)/B808</f>
        <v/>
      </c>
    </row>
    <row r="861">
      <c r="A861" s="23" t="n">
        <v>33385</v>
      </c>
      <c r="B861" s="25">
        <f>VLOOKUP(Table2634[[#This Row],[Date]],'DB Money Supply'!$A:$D,4)</f>
        <v/>
      </c>
      <c r="C861" s="31">
        <f>(Table2634[[#This Row],[M1 Money Stock, Billions of Dollars, Weekly, Seasonally Adjusted]]-B860)/B860</f>
        <v/>
      </c>
      <c r="D861" s="35">
        <f>((1+Table2634[[#This Row],[Weekly change]])^52)-1</f>
        <v/>
      </c>
      <c r="E861" s="25">
        <f>AVERAGE(B858:B861)</f>
        <v/>
      </c>
      <c r="F861" s="33">
        <f>(Table2634[[#This Row],[4 weeks average]]-B809)/B809</f>
        <v/>
      </c>
    </row>
    <row r="862">
      <c r="A862" s="23" t="n">
        <v>33392</v>
      </c>
      <c r="B862" s="25">
        <f>VLOOKUP(Table2634[[#This Row],[Date]],'DB Money Supply'!$A:$D,4)</f>
        <v/>
      </c>
      <c r="C862" s="31">
        <f>(Table2634[[#This Row],[M1 Money Stock, Billions of Dollars, Weekly, Seasonally Adjusted]]-B861)/B861</f>
        <v/>
      </c>
      <c r="D862" s="35">
        <f>((1+Table2634[[#This Row],[Weekly change]])^52)-1</f>
        <v/>
      </c>
      <c r="E862" s="25">
        <f>AVERAGE(B859:B862)</f>
        <v/>
      </c>
      <c r="F862" s="33">
        <f>(Table2634[[#This Row],[4 weeks average]]-B810)/B810</f>
        <v/>
      </c>
    </row>
    <row r="863">
      <c r="A863" s="23" t="n">
        <v>33399</v>
      </c>
      <c r="B863" s="25">
        <f>VLOOKUP(Table2634[[#This Row],[Date]],'DB Money Supply'!$A:$D,4)</f>
        <v/>
      </c>
      <c r="C863" s="31">
        <f>(Table2634[[#This Row],[M1 Money Stock, Billions of Dollars, Weekly, Seasonally Adjusted]]-B862)/B862</f>
        <v/>
      </c>
      <c r="D863" s="35">
        <f>((1+Table2634[[#This Row],[Weekly change]])^52)-1</f>
        <v/>
      </c>
      <c r="E863" s="25">
        <f>AVERAGE(B860:B863)</f>
        <v/>
      </c>
      <c r="F863" s="33">
        <f>(Table2634[[#This Row],[4 weeks average]]-B811)/B811</f>
        <v/>
      </c>
    </row>
    <row r="864">
      <c r="A864" s="23" t="n">
        <v>33406</v>
      </c>
      <c r="B864" s="25">
        <f>VLOOKUP(Table2634[[#This Row],[Date]],'DB Money Supply'!$A:$D,4)</f>
        <v/>
      </c>
      <c r="C864" s="31">
        <f>(Table2634[[#This Row],[M1 Money Stock, Billions of Dollars, Weekly, Seasonally Adjusted]]-B863)/B863</f>
        <v/>
      </c>
      <c r="D864" s="35">
        <f>((1+Table2634[[#This Row],[Weekly change]])^52)-1</f>
        <v/>
      </c>
      <c r="E864" s="25">
        <f>AVERAGE(B861:B864)</f>
        <v/>
      </c>
      <c r="F864" s="33">
        <f>(Table2634[[#This Row],[4 weeks average]]-B812)/B812</f>
        <v/>
      </c>
    </row>
    <row r="865">
      <c r="A865" s="23" t="n">
        <v>33413</v>
      </c>
      <c r="B865" s="25">
        <f>VLOOKUP(Table2634[[#This Row],[Date]],'DB Money Supply'!$A:$D,4)</f>
        <v/>
      </c>
      <c r="C865" s="31">
        <f>(Table2634[[#This Row],[M1 Money Stock, Billions of Dollars, Weekly, Seasonally Adjusted]]-B864)/B864</f>
        <v/>
      </c>
      <c r="D865" s="35">
        <f>((1+Table2634[[#This Row],[Weekly change]])^52)-1</f>
        <v/>
      </c>
      <c r="E865" s="25">
        <f>AVERAGE(B862:B865)</f>
        <v/>
      </c>
      <c r="F865" s="33">
        <f>(Table2634[[#This Row],[4 weeks average]]-B813)/B813</f>
        <v/>
      </c>
    </row>
    <row r="866">
      <c r="A866" s="23" t="n">
        <v>33420</v>
      </c>
      <c r="B866" s="25">
        <f>VLOOKUP(Table2634[[#This Row],[Date]],'DB Money Supply'!$A:$D,4)</f>
        <v/>
      </c>
      <c r="C866" s="31">
        <f>(Table2634[[#This Row],[M1 Money Stock, Billions of Dollars, Weekly, Seasonally Adjusted]]-B865)/B865</f>
        <v/>
      </c>
      <c r="D866" s="35">
        <f>((1+Table2634[[#This Row],[Weekly change]])^52)-1</f>
        <v/>
      </c>
      <c r="E866" s="25">
        <f>AVERAGE(B863:B866)</f>
        <v/>
      </c>
      <c r="F866" s="33">
        <f>(Table2634[[#This Row],[4 weeks average]]-B814)/B814</f>
        <v/>
      </c>
    </row>
    <row r="867">
      <c r="A867" s="23" t="n">
        <v>33427</v>
      </c>
      <c r="B867" s="25">
        <f>VLOOKUP(Table2634[[#This Row],[Date]],'DB Money Supply'!$A:$D,4)</f>
        <v/>
      </c>
      <c r="C867" s="31">
        <f>(Table2634[[#This Row],[M1 Money Stock, Billions of Dollars, Weekly, Seasonally Adjusted]]-B866)/B866</f>
        <v/>
      </c>
      <c r="D867" s="35">
        <f>((1+Table2634[[#This Row],[Weekly change]])^52)-1</f>
        <v/>
      </c>
      <c r="E867" s="25">
        <f>AVERAGE(B864:B867)</f>
        <v/>
      </c>
      <c r="F867" s="33">
        <f>(Table2634[[#This Row],[4 weeks average]]-B815)/B815</f>
        <v/>
      </c>
    </row>
    <row r="868">
      <c r="A868" s="23" t="n">
        <v>33434</v>
      </c>
      <c r="B868" s="25">
        <f>VLOOKUP(Table2634[[#This Row],[Date]],'DB Money Supply'!$A:$D,4)</f>
        <v/>
      </c>
      <c r="C868" s="31">
        <f>(Table2634[[#This Row],[M1 Money Stock, Billions of Dollars, Weekly, Seasonally Adjusted]]-B867)/B867</f>
        <v/>
      </c>
      <c r="D868" s="35">
        <f>((1+Table2634[[#This Row],[Weekly change]])^52)-1</f>
        <v/>
      </c>
      <c r="E868" s="25">
        <f>AVERAGE(B865:B868)</f>
        <v/>
      </c>
      <c r="F868" s="33">
        <f>(Table2634[[#This Row],[4 weeks average]]-B816)/B816</f>
        <v/>
      </c>
    </row>
    <row r="869">
      <c r="A869" s="23" t="n">
        <v>33441</v>
      </c>
      <c r="B869" s="25">
        <f>VLOOKUP(Table2634[[#This Row],[Date]],'DB Money Supply'!$A:$D,4)</f>
        <v/>
      </c>
      <c r="C869" s="31">
        <f>(Table2634[[#This Row],[M1 Money Stock, Billions of Dollars, Weekly, Seasonally Adjusted]]-B868)/B868</f>
        <v/>
      </c>
      <c r="D869" s="35">
        <f>((1+Table2634[[#This Row],[Weekly change]])^52)-1</f>
        <v/>
      </c>
      <c r="E869" s="25">
        <f>AVERAGE(B866:B869)</f>
        <v/>
      </c>
      <c r="F869" s="33">
        <f>(Table2634[[#This Row],[4 weeks average]]-B817)/B817</f>
        <v/>
      </c>
    </row>
    <row r="870">
      <c r="A870" s="23" t="n">
        <v>33448</v>
      </c>
      <c r="B870" s="25">
        <f>VLOOKUP(Table2634[[#This Row],[Date]],'DB Money Supply'!$A:$D,4)</f>
        <v/>
      </c>
      <c r="C870" s="31">
        <f>(Table2634[[#This Row],[M1 Money Stock, Billions of Dollars, Weekly, Seasonally Adjusted]]-B869)/B869</f>
        <v/>
      </c>
      <c r="D870" s="35">
        <f>((1+Table2634[[#This Row],[Weekly change]])^52)-1</f>
        <v/>
      </c>
      <c r="E870" s="25">
        <f>AVERAGE(B867:B870)</f>
        <v/>
      </c>
      <c r="F870" s="33">
        <f>(Table2634[[#This Row],[4 weeks average]]-B818)/B818</f>
        <v/>
      </c>
    </row>
    <row r="871">
      <c r="A871" s="23" t="n">
        <v>33455</v>
      </c>
      <c r="B871" s="25">
        <f>VLOOKUP(Table2634[[#This Row],[Date]],'DB Money Supply'!$A:$D,4)</f>
        <v/>
      </c>
      <c r="C871" s="31">
        <f>(Table2634[[#This Row],[M1 Money Stock, Billions of Dollars, Weekly, Seasonally Adjusted]]-B870)/B870</f>
        <v/>
      </c>
      <c r="D871" s="35">
        <f>((1+Table2634[[#This Row],[Weekly change]])^52)-1</f>
        <v/>
      </c>
      <c r="E871" s="25">
        <f>AVERAGE(B868:B871)</f>
        <v/>
      </c>
      <c r="F871" s="33">
        <f>(Table2634[[#This Row],[4 weeks average]]-B819)/B819</f>
        <v/>
      </c>
    </row>
    <row r="872">
      <c r="A872" s="23" t="n">
        <v>33462</v>
      </c>
      <c r="B872" s="25">
        <f>VLOOKUP(Table2634[[#This Row],[Date]],'DB Money Supply'!$A:$D,4)</f>
        <v/>
      </c>
      <c r="C872" s="31">
        <f>(Table2634[[#This Row],[M1 Money Stock, Billions of Dollars, Weekly, Seasonally Adjusted]]-B871)/B871</f>
        <v/>
      </c>
      <c r="D872" s="35">
        <f>((1+Table2634[[#This Row],[Weekly change]])^52)-1</f>
        <v/>
      </c>
      <c r="E872" s="25">
        <f>AVERAGE(B869:B872)</f>
        <v/>
      </c>
      <c r="F872" s="33">
        <f>(Table2634[[#This Row],[4 weeks average]]-B820)/B820</f>
        <v/>
      </c>
    </row>
    <row r="873">
      <c r="A873" s="23" t="n">
        <v>33469</v>
      </c>
      <c r="B873" s="25">
        <f>VLOOKUP(Table2634[[#This Row],[Date]],'DB Money Supply'!$A:$D,4)</f>
        <v/>
      </c>
      <c r="C873" s="31">
        <f>(Table2634[[#This Row],[M1 Money Stock, Billions of Dollars, Weekly, Seasonally Adjusted]]-B872)/B872</f>
        <v/>
      </c>
      <c r="D873" s="35">
        <f>((1+Table2634[[#This Row],[Weekly change]])^52)-1</f>
        <v/>
      </c>
      <c r="E873" s="25">
        <f>AVERAGE(B870:B873)</f>
        <v/>
      </c>
      <c r="F873" s="33">
        <f>(Table2634[[#This Row],[4 weeks average]]-B821)/B821</f>
        <v/>
      </c>
    </row>
    <row r="874">
      <c r="A874" s="23" t="n">
        <v>33476</v>
      </c>
      <c r="B874" s="25">
        <f>VLOOKUP(Table2634[[#This Row],[Date]],'DB Money Supply'!$A:$D,4)</f>
        <v/>
      </c>
      <c r="C874" s="31">
        <f>(Table2634[[#This Row],[M1 Money Stock, Billions of Dollars, Weekly, Seasonally Adjusted]]-B873)/B873</f>
        <v/>
      </c>
      <c r="D874" s="35">
        <f>((1+Table2634[[#This Row],[Weekly change]])^52)-1</f>
        <v/>
      </c>
      <c r="E874" s="25">
        <f>AVERAGE(B871:B874)</f>
        <v/>
      </c>
      <c r="F874" s="33">
        <f>(Table2634[[#This Row],[4 weeks average]]-B822)/B822</f>
        <v/>
      </c>
    </row>
    <row r="875">
      <c r="A875" s="23" t="n">
        <v>33483</v>
      </c>
      <c r="B875" s="25">
        <f>VLOOKUP(Table2634[[#This Row],[Date]],'DB Money Supply'!$A:$D,4)</f>
        <v/>
      </c>
      <c r="C875" s="31">
        <f>(Table2634[[#This Row],[M1 Money Stock, Billions of Dollars, Weekly, Seasonally Adjusted]]-B874)/B874</f>
        <v/>
      </c>
      <c r="D875" s="35">
        <f>((1+Table2634[[#This Row],[Weekly change]])^52)-1</f>
        <v/>
      </c>
      <c r="E875" s="25">
        <f>AVERAGE(B872:B875)</f>
        <v/>
      </c>
      <c r="F875" s="33">
        <f>(Table2634[[#This Row],[4 weeks average]]-B823)/B823</f>
        <v/>
      </c>
    </row>
    <row r="876">
      <c r="A876" s="23" t="n">
        <v>33490</v>
      </c>
      <c r="B876" s="25">
        <f>VLOOKUP(Table2634[[#This Row],[Date]],'DB Money Supply'!$A:$D,4)</f>
        <v/>
      </c>
      <c r="C876" s="31">
        <f>(Table2634[[#This Row],[M1 Money Stock, Billions of Dollars, Weekly, Seasonally Adjusted]]-B875)/B875</f>
        <v/>
      </c>
      <c r="D876" s="35">
        <f>((1+Table2634[[#This Row],[Weekly change]])^52)-1</f>
        <v/>
      </c>
      <c r="E876" s="25">
        <f>AVERAGE(B873:B876)</f>
        <v/>
      </c>
      <c r="F876" s="33">
        <f>(Table2634[[#This Row],[4 weeks average]]-B824)/B824</f>
        <v/>
      </c>
    </row>
    <row r="877">
      <c r="A877" s="23" t="n">
        <v>33497</v>
      </c>
      <c r="B877" s="25">
        <f>VLOOKUP(Table2634[[#This Row],[Date]],'DB Money Supply'!$A:$D,4)</f>
        <v/>
      </c>
      <c r="C877" s="31">
        <f>(Table2634[[#This Row],[M1 Money Stock, Billions of Dollars, Weekly, Seasonally Adjusted]]-B876)/B876</f>
        <v/>
      </c>
      <c r="D877" s="35">
        <f>((1+Table2634[[#This Row],[Weekly change]])^52)-1</f>
        <v/>
      </c>
      <c r="E877" s="25">
        <f>AVERAGE(B874:B877)</f>
        <v/>
      </c>
      <c r="F877" s="33">
        <f>(Table2634[[#This Row],[4 weeks average]]-B825)/B825</f>
        <v/>
      </c>
    </row>
    <row r="878">
      <c r="A878" s="23" t="n">
        <v>33504</v>
      </c>
      <c r="B878" s="25">
        <f>VLOOKUP(Table2634[[#This Row],[Date]],'DB Money Supply'!$A:$D,4)</f>
        <v/>
      </c>
      <c r="C878" s="31">
        <f>(Table2634[[#This Row],[M1 Money Stock, Billions of Dollars, Weekly, Seasonally Adjusted]]-B877)/B877</f>
        <v/>
      </c>
      <c r="D878" s="35">
        <f>((1+Table2634[[#This Row],[Weekly change]])^52)-1</f>
        <v/>
      </c>
      <c r="E878" s="25">
        <f>AVERAGE(B875:B878)</f>
        <v/>
      </c>
      <c r="F878" s="33">
        <f>(Table2634[[#This Row],[4 weeks average]]-B826)/B826</f>
        <v/>
      </c>
    </row>
    <row r="879">
      <c r="A879" s="23" t="n">
        <v>33511</v>
      </c>
      <c r="B879" s="25">
        <f>VLOOKUP(Table2634[[#This Row],[Date]],'DB Money Supply'!$A:$D,4)</f>
        <v/>
      </c>
      <c r="C879" s="31">
        <f>(Table2634[[#This Row],[M1 Money Stock, Billions of Dollars, Weekly, Seasonally Adjusted]]-B878)/B878</f>
        <v/>
      </c>
      <c r="D879" s="35">
        <f>((1+Table2634[[#This Row],[Weekly change]])^52)-1</f>
        <v/>
      </c>
      <c r="E879" s="25">
        <f>AVERAGE(B876:B879)</f>
        <v/>
      </c>
      <c r="F879" s="33">
        <f>(Table2634[[#This Row],[4 weeks average]]-B827)/B827</f>
        <v/>
      </c>
    </row>
    <row r="880">
      <c r="A880" s="23" t="n">
        <v>33518</v>
      </c>
      <c r="B880" s="25">
        <f>VLOOKUP(Table2634[[#This Row],[Date]],'DB Money Supply'!$A:$D,4)</f>
        <v/>
      </c>
      <c r="C880" s="31">
        <f>(Table2634[[#This Row],[M1 Money Stock, Billions of Dollars, Weekly, Seasonally Adjusted]]-B879)/B879</f>
        <v/>
      </c>
      <c r="D880" s="35">
        <f>((1+Table2634[[#This Row],[Weekly change]])^52)-1</f>
        <v/>
      </c>
      <c r="E880" s="25">
        <f>AVERAGE(B877:B880)</f>
        <v/>
      </c>
      <c r="F880" s="33">
        <f>(Table2634[[#This Row],[4 weeks average]]-B828)/B828</f>
        <v/>
      </c>
    </row>
    <row r="881">
      <c r="A881" s="23" t="n">
        <v>33525</v>
      </c>
      <c r="B881" s="25">
        <f>VLOOKUP(Table2634[[#This Row],[Date]],'DB Money Supply'!$A:$D,4)</f>
        <v/>
      </c>
      <c r="C881" s="31">
        <f>(Table2634[[#This Row],[M1 Money Stock, Billions of Dollars, Weekly, Seasonally Adjusted]]-B880)/B880</f>
        <v/>
      </c>
      <c r="D881" s="35">
        <f>((1+Table2634[[#This Row],[Weekly change]])^52)-1</f>
        <v/>
      </c>
      <c r="E881" s="25">
        <f>AVERAGE(B878:B881)</f>
        <v/>
      </c>
      <c r="F881" s="33">
        <f>(Table2634[[#This Row],[4 weeks average]]-B829)/B829</f>
        <v/>
      </c>
    </row>
    <row r="882">
      <c r="A882" s="23" t="n">
        <v>33532</v>
      </c>
      <c r="B882" s="25">
        <f>VLOOKUP(Table2634[[#This Row],[Date]],'DB Money Supply'!$A:$D,4)</f>
        <v/>
      </c>
      <c r="C882" s="31">
        <f>(Table2634[[#This Row],[M1 Money Stock, Billions of Dollars, Weekly, Seasonally Adjusted]]-B881)/B881</f>
        <v/>
      </c>
      <c r="D882" s="35">
        <f>((1+Table2634[[#This Row],[Weekly change]])^52)-1</f>
        <v/>
      </c>
      <c r="E882" s="25">
        <f>AVERAGE(B879:B882)</f>
        <v/>
      </c>
      <c r="F882" s="33">
        <f>(Table2634[[#This Row],[4 weeks average]]-B830)/B830</f>
        <v/>
      </c>
    </row>
    <row r="883">
      <c r="A883" s="23" t="n">
        <v>33539</v>
      </c>
      <c r="B883" s="25">
        <f>VLOOKUP(Table2634[[#This Row],[Date]],'DB Money Supply'!$A:$D,4)</f>
        <v/>
      </c>
      <c r="C883" s="31">
        <f>(Table2634[[#This Row],[M1 Money Stock, Billions of Dollars, Weekly, Seasonally Adjusted]]-B882)/B882</f>
        <v/>
      </c>
      <c r="D883" s="35">
        <f>((1+Table2634[[#This Row],[Weekly change]])^52)-1</f>
        <v/>
      </c>
      <c r="E883" s="25">
        <f>AVERAGE(B880:B883)</f>
        <v/>
      </c>
      <c r="F883" s="33">
        <f>(Table2634[[#This Row],[4 weeks average]]-B831)/B831</f>
        <v/>
      </c>
    </row>
    <row r="884">
      <c r="A884" s="23" t="n">
        <v>33546</v>
      </c>
      <c r="B884" s="25">
        <f>VLOOKUP(Table2634[[#This Row],[Date]],'DB Money Supply'!$A:$D,4)</f>
        <v/>
      </c>
      <c r="C884" s="31">
        <f>(Table2634[[#This Row],[M1 Money Stock, Billions of Dollars, Weekly, Seasonally Adjusted]]-B883)/B883</f>
        <v/>
      </c>
      <c r="D884" s="35">
        <f>((1+Table2634[[#This Row],[Weekly change]])^52)-1</f>
        <v/>
      </c>
      <c r="E884" s="25">
        <f>AVERAGE(B881:B884)</f>
        <v/>
      </c>
      <c r="F884" s="33">
        <f>(Table2634[[#This Row],[4 weeks average]]-B832)/B832</f>
        <v/>
      </c>
    </row>
    <row r="885">
      <c r="A885" s="23" t="n">
        <v>33553</v>
      </c>
      <c r="B885" s="25">
        <f>VLOOKUP(Table2634[[#This Row],[Date]],'DB Money Supply'!$A:$D,4)</f>
        <v/>
      </c>
      <c r="C885" s="31">
        <f>(Table2634[[#This Row],[M1 Money Stock, Billions of Dollars, Weekly, Seasonally Adjusted]]-B884)/B884</f>
        <v/>
      </c>
      <c r="D885" s="35">
        <f>((1+Table2634[[#This Row],[Weekly change]])^52)-1</f>
        <v/>
      </c>
      <c r="E885" s="25">
        <f>AVERAGE(B882:B885)</f>
        <v/>
      </c>
      <c r="F885" s="33">
        <f>(Table2634[[#This Row],[4 weeks average]]-B833)/B833</f>
        <v/>
      </c>
    </row>
    <row r="886">
      <c r="A886" s="23" t="n">
        <v>33560</v>
      </c>
      <c r="B886" s="25">
        <f>VLOOKUP(Table2634[[#This Row],[Date]],'DB Money Supply'!$A:$D,4)</f>
        <v/>
      </c>
      <c r="C886" s="31">
        <f>(Table2634[[#This Row],[M1 Money Stock, Billions of Dollars, Weekly, Seasonally Adjusted]]-B885)/B885</f>
        <v/>
      </c>
      <c r="D886" s="35">
        <f>((1+Table2634[[#This Row],[Weekly change]])^52)-1</f>
        <v/>
      </c>
      <c r="E886" s="25">
        <f>AVERAGE(B883:B886)</f>
        <v/>
      </c>
      <c r="F886" s="33">
        <f>(Table2634[[#This Row],[4 weeks average]]-B834)/B834</f>
        <v/>
      </c>
    </row>
    <row r="887">
      <c r="A887" s="23" t="n">
        <v>33567</v>
      </c>
      <c r="B887" s="25">
        <f>VLOOKUP(Table2634[[#This Row],[Date]],'DB Money Supply'!$A:$D,4)</f>
        <v/>
      </c>
      <c r="C887" s="31">
        <f>(Table2634[[#This Row],[M1 Money Stock, Billions of Dollars, Weekly, Seasonally Adjusted]]-B886)/B886</f>
        <v/>
      </c>
      <c r="D887" s="35">
        <f>((1+Table2634[[#This Row],[Weekly change]])^52)-1</f>
        <v/>
      </c>
      <c r="E887" s="25">
        <f>AVERAGE(B884:B887)</f>
        <v/>
      </c>
      <c r="F887" s="33">
        <f>(Table2634[[#This Row],[4 weeks average]]-B835)/B835</f>
        <v/>
      </c>
    </row>
    <row r="888">
      <c r="A888" s="23" t="n">
        <v>33574</v>
      </c>
      <c r="B888" s="25">
        <f>VLOOKUP(Table2634[[#This Row],[Date]],'DB Money Supply'!$A:$D,4)</f>
        <v/>
      </c>
      <c r="C888" s="31">
        <f>(Table2634[[#This Row],[M1 Money Stock, Billions of Dollars, Weekly, Seasonally Adjusted]]-B887)/B887</f>
        <v/>
      </c>
      <c r="D888" s="35">
        <f>((1+Table2634[[#This Row],[Weekly change]])^52)-1</f>
        <v/>
      </c>
      <c r="E888" s="25">
        <f>AVERAGE(B885:B888)</f>
        <v/>
      </c>
      <c r="F888" s="33">
        <f>(Table2634[[#This Row],[4 weeks average]]-B836)/B836</f>
        <v/>
      </c>
    </row>
    <row r="889">
      <c r="A889" s="23" t="n">
        <v>33581</v>
      </c>
      <c r="B889" s="25">
        <f>VLOOKUP(Table2634[[#This Row],[Date]],'DB Money Supply'!$A:$D,4)</f>
        <v/>
      </c>
      <c r="C889" s="31">
        <f>(Table2634[[#This Row],[M1 Money Stock, Billions of Dollars, Weekly, Seasonally Adjusted]]-B888)/B888</f>
        <v/>
      </c>
      <c r="D889" s="35">
        <f>((1+Table2634[[#This Row],[Weekly change]])^52)-1</f>
        <v/>
      </c>
      <c r="E889" s="25">
        <f>AVERAGE(B886:B889)</f>
        <v/>
      </c>
      <c r="F889" s="33">
        <f>(Table2634[[#This Row],[4 weeks average]]-B837)/B837</f>
        <v/>
      </c>
    </row>
    <row r="890">
      <c r="A890" s="23" t="n">
        <v>33588</v>
      </c>
      <c r="B890" s="25">
        <f>VLOOKUP(Table2634[[#This Row],[Date]],'DB Money Supply'!$A:$D,4)</f>
        <v/>
      </c>
      <c r="C890" s="31">
        <f>(Table2634[[#This Row],[M1 Money Stock, Billions of Dollars, Weekly, Seasonally Adjusted]]-B889)/B889</f>
        <v/>
      </c>
      <c r="D890" s="35">
        <f>((1+Table2634[[#This Row],[Weekly change]])^52)-1</f>
        <v/>
      </c>
      <c r="E890" s="25">
        <f>AVERAGE(B887:B890)</f>
        <v/>
      </c>
      <c r="F890" s="33">
        <f>(Table2634[[#This Row],[4 weeks average]]-B838)/B838</f>
        <v/>
      </c>
    </row>
    <row r="891">
      <c r="A891" s="23" t="n">
        <v>33595</v>
      </c>
      <c r="B891" s="25">
        <f>VLOOKUP(Table2634[[#This Row],[Date]],'DB Money Supply'!$A:$D,4)</f>
        <v/>
      </c>
      <c r="C891" s="31">
        <f>(Table2634[[#This Row],[M1 Money Stock, Billions of Dollars, Weekly, Seasonally Adjusted]]-B890)/B890</f>
        <v/>
      </c>
      <c r="D891" s="35">
        <f>((1+Table2634[[#This Row],[Weekly change]])^52)-1</f>
        <v/>
      </c>
      <c r="E891" s="25">
        <f>AVERAGE(B888:B891)</f>
        <v/>
      </c>
      <c r="F891" s="33">
        <f>(Table2634[[#This Row],[4 weeks average]]-B839)/B839</f>
        <v/>
      </c>
    </row>
    <row r="892">
      <c r="A892" s="23" t="n">
        <v>33602</v>
      </c>
      <c r="B892" s="25">
        <f>VLOOKUP(Table2634[[#This Row],[Date]],'DB Money Supply'!$A:$D,4)</f>
        <v/>
      </c>
      <c r="C892" s="31">
        <f>(Table2634[[#This Row],[M1 Money Stock, Billions of Dollars, Weekly, Seasonally Adjusted]]-B891)/B891</f>
        <v/>
      </c>
      <c r="D892" s="35">
        <f>((1+Table2634[[#This Row],[Weekly change]])^52)-1</f>
        <v/>
      </c>
      <c r="E892" s="25">
        <f>AVERAGE(B889:B892)</f>
        <v/>
      </c>
      <c r="F892" s="33">
        <f>(Table2634[[#This Row],[4 weeks average]]-B840)/B840</f>
        <v/>
      </c>
    </row>
    <row r="893">
      <c r="A893" s="23" t="n">
        <v>33609</v>
      </c>
      <c r="B893" s="25">
        <f>VLOOKUP(Table2634[[#This Row],[Date]],'DB Money Supply'!$A:$D,4)</f>
        <v/>
      </c>
      <c r="C893" s="31">
        <f>(Table2634[[#This Row],[M1 Money Stock, Billions of Dollars, Weekly, Seasonally Adjusted]]-B892)/B892</f>
        <v/>
      </c>
      <c r="D893" s="35">
        <f>((1+Table2634[[#This Row],[Weekly change]])^52)-1</f>
        <v/>
      </c>
      <c r="E893" s="25">
        <f>AVERAGE(B890:B893)</f>
        <v/>
      </c>
      <c r="F893" s="33">
        <f>(Table2634[[#This Row],[4 weeks average]]-B841)/B841</f>
        <v/>
      </c>
    </row>
    <row r="894">
      <c r="A894" s="23" t="n">
        <v>33616</v>
      </c>
      <c r="B894" s="25">
        <f>VLOOKUP(Table2634[[#This Row],[Date]],'DB Money Supply'!$A:$D,4)</f>
        <v/>
      </c>
      <c r="C894" s="31">
        <f>(Table2634[[#This Row],[M1 Money Stock, Billions of Dollars, Weekly, Seasonally Adjusted]]-B893)/B893</f>
        <v/>
      </c>
      <c r="D894" s="35">
        <f>((1+Table2634[[#This Row],[Weekly change]])^52)-1</f>
        <v/>
      </c>
      <c r="E894" s="25">
        <f>AVERAGE(B891:B894)</f>
        <v/>
      </c>
      <c r="F894" s="33">
        <f>(Table2634[[#This Row],[4 weeks average]]-B842)/B842</f>
        <v/>
      </c>
    </row>
    <row r="895">
      <c r="A895" s="23" t="n">
        <v>33623</v>
      </c>
      <c r="B895" s="25">
        <f>VLOOKUP(Table2634[[#This Row],[Date]],'DB Money Supply'!$A:$D,4)</f>
        <v/>
      </c>
      <c r="C895" s="31">
        <f>(Table2634[[#This Row],[M1 Money Stock, Billions of Dollars, Weekly, Seasonally Adjusted]]-B894)/B894</f>
        <v/>
      </c>
      <c r="D895" s="35">
        <f>((1+Table2634[[#This Row],[Weekly change]])^52)-1</f>
        <v/>
      </c>
      <c r="E895" s="25">
        <f>AVERAGE(B892:B895)</f>
        <v/>
      </c>
      <c r="F895" s="33">
        <f>(Table2634[[#This Row],[4 weeks average]]-B843)/B843</f>
        <v/>
      </c>
    </row>
    <row r="896">
      <c r="A896" s="23" t="n">
        <v>33630</v>
      </c>
      <c r="B896" s="25">
        <f>VLOOKUP(Table2634[[#This Row],[Date]],'DB Money Supply'!$A:$D,4)</f>
        <v/>
      </c>
      <c r="C896" s="31">
        <f>(Table2634[[#This Row],[M1 Money Stock, Billions of Dollars, Weekly, Seasonally Adjusted]]-B895)/B895</f>
        <v/>
      </c>
      <c r="D896" s="35">
        <f>((1+Table2634[[#This Row],[Weekly change]])^52)-1</f>
        <v/>
      </c>
      <c r="E896" s="25">
        <f>AVERAGE(B893:B896)</f>
        <v/>
      </c>
      <c r="F896" s="33">
        <f>(Table2634[[#This Row],[4 weeks average]]-B844)/B844</f>
        <v/>
      </c>
    </row>
    <row r="897">
      <c r="A897" s="23" t="n">
        <v>33637</v>
      </c>
      <c r="B897" s="25">
        <f>VLOOKUP(Table2634[[#This Row],[Date]],'DB Money Supply'!$A:$D,4)</f>
        <v/>
      </c>
      <c r="C897" s="31">
        <f>(Table2634[[#This Row],[M1 Money Stock, Billions of Dollars, Weekly, Seasonally Adjusted]]-B896)/B896</f>
        <v/>
      </c>
      <c r="D897" s="35">
        <f>((1+Table2634[[#This Row],[Weekly change]])^52)-1</f>
        <v/>
      </c>
      <c r="E897" s="25">
        <f>AVERAGE(B894:B897)</f>
        <v/>
      </c>
      <c r="F897" s="33">
        <f>(Table2634[[#This Row],[4 weeks average]]-B845)/B845</f>
        <v/>
      </c>
    </row>
    <row r="898">
      <c r="A898" s="23" t="n">
        <v>33644</v>
      </c>
      <c r="B898" s="25">
        <f>VLOOKUP(Table2634[[#This Row],[Date]],'DB Money Supply'!$A:$D,4)</f>
        <v/>
      </c>
      <c r="C898" s="31">
        <f>(Table2634[[#This Row],[M1 Money Stock, Billions of Dollars, Weekly, Seasonally Adjusted]]-B897)/B897</f>
        <v/>
      </c>
      <c r="D898" s="35">
        <f>((1+Table2634[[#This Row],[Weekly change]])^52)-1</f>
        <v/>
      </c>
      <c r="E898" s="25">
        <f>AVERAGE(B895:B898)</f>
        <v/>
      </c>
      <c r="F898" s="33">
        <f>(Table2634[[#This Row],[4 weeks average]]-B846)/B846</f>
        <v/>
      </c>
    </row>
    <row r="899">
      <c r="A899" s="23" t="n">
        <v>33651</v>
      </c>
      <c r="B899" s="25">
        <f>VLOOKUP(Table2634[[#This Row],[Date]],'DB Money Supply'!$A:$D,4)</f>
        <v/>
      </c>
      <c r="C899" s="31">
        <f>(Table2634[[#This Row],[M1 Money Stock, Billions of Dollars, Weekly, Seasonally Adjusted]]-B898)/B898</f>
        <v/>
      </c>
      <c r="D899" s="35">
        <f>((1+Table2634[[#This Row],[Weekly change]])^52)-1</f>
        <v/>
      </c>
      <c r="E899" s="25">
        <f>AVERAGE(B896:B899)</f>
        <v/>
      </c>
      <c r="F899" s="33">
        <f>(Table2634[[#This Row],[4 weeks average]]-B847)/B847</f>
        <v/>
      </c>
    </row>
    <row r="900">
      <c r="A900" s="23" t="n">
        <v>33658</v>
      </c>
      <c r="B900" s="25">
        <f>VLOOKUP(Table2634[[#This Row],[Date]],'DB Money Supply'!$A:$D,4)</f>
        <v/>
      </c>
      <c r="C900" s="31">
        <f>(Table2634[[#This Row],[M1 Money Stock, Billions of Dollars, Weekly, Seasonally Adjusted]]-B899)/B899</f>
        <v/>
      </c>
      <c r="D900" s="35">
        <f>((1+Table2634[[#This Row],[Weekly change]])^52)-1</f>
        <v/>
      </c>
      <c r="E900" s="25">
        <f>AVERAGE(B897:B900)</f>
        <v/>
      </c>
      <c r="F900" s="33">
        <f>(Table2634[[#This Row],[4 weeks average]]-B848)/B848</f>
        <v/>
      </c>
    </row>
    <row r="901">
      <c r="A901" s="23" t="n">
        <v>33665</v>
      </c>
      <c r="B901" s="25">
        <f>VLOOKUP(Table2634[[#This Row],[Date]],'DB Money Supply'!$A:$D,4)</f>
        <v/>
      </c>
      <c r="C901" s="31">
        <f>(Table2634[[#This Row],[M1 Money Stock, Billions of Dollars, Weekly, Seasonally Adjusted]]-B900)/B900</f>
        <v/>
      </c>
      <c r="D901" s="35">
        <f>((1+Table2634[[#This Row],[Weekly change]])^52)-1</f>
        <v/>
      </c>
      <c r="E901" s="25">
        <f>AVERAGE(B898:B901)</f>
        <v/>
      </c>
      <c r="F901" s="33">
        <f>(Table2634[[#This Row],[4 weeks average]]-B849)/B849</f>
        <v/>
      </c>
    </row>
    <row r="902">
      <c r="A902" s="23" t="n">
        <v>33672</v>
      </c>
      <c r="B902" s="25">
        <f>VLOOKUP(Table2634[[#This Row],[Date]],'DB Money Supply'!$A:$D,4)</f>
        <v/>
      </c>
      <c r="C902" s="31">
        <f>(Table2634[[#This Row],[M1 Money Stock, Billions of Dollars, Weekly, Seasonally Adjusted]]-B901)/B901</f>
        <v/>
      </c>
      <c r="D902" s="35">
        <f>((1+Table2634[[#This Row],[Weekly change]])^52)-1</f>
        <v/>
      </c>
      <c r="E902" s="25">
        <f>AVERAGE(B899:B902)</f>
        <v/>
      </c>
      <c r="F902" s="33">
        <f>(Table2634[[#This Row],[4 weeks average]]-B850)/B850</f>
        <v/>
      </c>
    </row>
    <row r="903">
      <c r="A903" s="23" t="n">
        <v>33679</v>
      </c>
      <c r="B903" s="25">
        <f>VLOOKUP(Table2634[[#This Row],[Date]],'DB Money Supply'!$A:$D,4)</f>
        <v/>
      </c>
      <c r="C903" s="31">
        <f>(Table2634[[#This Row],[M1 Money Stock, Billions of Dollars, Weekly, Seasonally Adjusted]]-B902)/B902</f>
        <v/>
      </c>
      <c r="D903" s="35">
        <f>((1+Table2634[[#This Row],[Weekly change]])^52)-1</f>
        <v/>
      </c>
      <c r="E903" s="25">
        <f>AVERAGE(B900:B903)</f>
        <v/>
      </c>
      <c r="F903" s="33">
        <f>(Table2634[[#This Row],[4 weeks average]]-B851)/B851</f>
        <v/>
      </c>
    </row>
    <row r="904">
      <c r="A904" s="23" t="n">
        <v>33686</v>
      </c>
      <c r="B904" s="25">
        <f>VLOOKUP(Table2634[[#This Row],[Date]],'DB Money Supply'!$A:$D,4)</f>
        <v/>
      </c>
      <c r="C904" s="31">
        <f>(Table2634[[#This Row],[M1 Money Stock, Billions of Dollars, Weekly, Seasonally Adjusted]]-B903)/B903</f>
        <v/>
      </c>
      <c r="D904" s="35">
        <f>((1+Table2634[[#This Row],[Weekly change]])^52)-1</f>
        <v/>
      </c>
      <c r="E904" s="25">
        <f>AVERAGE(B901:B904)</f>
        <v/>
      </c>
      <c r="F904" s="33">
        <f>(Table2634[[#This Row],[4 weeks average]]-B852)/B852</f>
        <v/>
      </c>
    </row>
    <row r="905">
      <c r="A905" s="23" t="n">
        <v>33693</v>
      </c>
      <c r="B905" s="25">
        <f>VLOOKUP(Table2634[[#This Row],[Date]],'DB Money Supply'!$A:$D,4)</f>
        <v/>
      </c>
      <c r="C905" s="31">
        <f>(Table2634[[#This Row],[M1 Money Stock, Billions of Dollars, Weekly, Seasonally Adjusted]]-B904)/B904</f>
        <v/>
      </c>
      <c r="D905" s="35">
        <f>((1+Table2634[[#This Row],[Weekly change]])^52)-1</f>
        <v/>
      </c>
      <c r="E905" s="25">
        <f>AVERAGE(B902:B905)</f>
        <v/>
      </c>
      <c r="F905" s="33">
        <f>(Table2634[[#This Row],[4 weeks average]]-B853)/B853</f>
        <v/>
      </c>
    </row>
    <row r="906">
      <c r="A906" s="23" t="n">
        <v>33700</v>
      </c>
      <c r="B906" s="25">
        <f>VLOOKUP(Table2634[[#This Row],[Date]],'DB Money Supply'!$A:$D,4)</f>
        <v/>
      </c>
      <c r="C906" s="31">
        <f>(Table2634[[#This Row],[M1 Money Stock, Billions of Dollars, Weekly, Seasonally Adjusted]]-B905)/B905</f>
        <v/>
      </c>
      <c r="D906" s="35">
        <f>((1+Table2634[[#This Row],[Weekly change]])^52)-1</f>
        <v/>
      </c>
      <c r="E906" s="25">
        <f>AVERAGE(B903:B906)</f>
        <v/>
      </c>
      <c r="F906" s="33">
        <f>(Table2634[[#This Row],[4 weeks average]]-B854)/B854</f>
        <v/>
      </c>
    </row>
    <row r="907">
      <c r="A907" s="23" t="n">
        <v>33707</v>
      </c>
      <c r="B907" s="25">
        <f>VLOOKUP(Table2634[[#This Row],[Date]],'DB Money Supply'!$A:$D,4)</f>
        <v/>
      </c>
      <c r="C907" s="31">
        <f>(Table2634[[#This Row],[M1 Money Stock, Billions of Dollars, Weekly, Seasonally Adjusted]]-B906)/B906</f>
        <v/>
      </c>
      <c r="D907" s="35">
        <f>((1+Table2634[[#This Row],[Weekly change]])^52)-1</f>
        <v/>
      </c>
      <c r="E907" s="25">
        <f>AVERAGE(B904:B907)</f>
        <v/>
      </c>
      <c r="F907" s="33">
        <f>(Table2634[[#This Row],[4 weeks average]]-B855)/B855</f>
        <v/>
      </c>
    </row>
    <row r="908">
      <c r="A908" s="23" t="n">
        <v>33714</v>
      </c>
      <c r="B908" s="25">
        <f>VLOOKUP(Table2634[[#This Row],[Date]],'DB Money Supply'!$A:$D,4)</f>
        <v/>
      </c>
      <c r="C908" s="31">
        <f>(Table2634[[#This Row],[M1 Money Stock, Billions of Dollars, Weekly, Seasonally Adjusted]]-B907)/B907</f>
        <v/>
      </c>
      <c r="D908" s="35">
        <f>((1+Table2634[[#This Row],[Weekly change]])^52)-1</f>
        <v/>
      </c>
      <c r="E908" s="25">
        <f>AVERAGE(B905:B908)</f>
        <v/>
      </c>
      <c r="F908" s="33">
        <f>(Table2634[[#This Row],[4 weeks average]]-B856)/B856</f>
        <v/>
      </c>
    </row>
    <row r="909">
      <c r="A909" s="23" t="n">
        <v>33721</v>
      </c>
      <c r="B909" s="25">
        <f>VLOOKUP(Table2634[[#This Row],[Date]],'DB Money Supply'!$A:$D,4)</f>
        <v/>
      </c>
      <c r="C909" s="31">
        <f>(Table2634[[#This Row],[M1 Money Stock, Billions of Dollars, Weekly, Seasonally Adjusted]]-B908)/B908</f>
        <v/>
      </c>
      <c r="D909" s="35">
        <f>((1+Table2634[[#This Row],[Weekly change]])^52)-1</f>
        <v/>
      </c>
      <c r="E909" s="25">
        <f>AVERAGE(B906:B909)</f>
        <v/>
      </c>
      <c r="F909" s="33">
        <f>(Table2634[[#This Row],[4 weeks average]]-B857)/B857</f>
        <v/>
      </c>
    </row>
    <row r="910">
      <c r="A910" s="23" t="n">
        <v>33728</v>
      </c>
      <c r="B910" s="25">
        <f>VLOOKUP(Table2634[[#This Row],[Date]],'DB Money Supply'!$A:$D,4)</f>
        <v/>
      </c>
      <c r="C910" s="31">
        <f>(Table2634[[#This Row],[M1 Money Stock, Billions of Dollars, Weekly, Seasonally Adjusted]]-B909)/B909</f>
        <v/>
      </c>
      <c r="D910" s="35">
        <f>((1+Table2634[[#This Row],[Weekly change]])^52)-1</f>
        <v/>
      </c>
      <c r="E910" s="25">
        <f>AVERAGE(B907:B910)</f>
        <v/>
      </c>
      <c r="F910" s="33">
        <f>(Table2634[[#This Row],[4 weeks average]]-B858)/B858</f>
        <v/>
      </c>
    </row>
    <row r="911">
      <c r="A911" s="23" t="n">
        <v>33735</v>
      </c>
      <c r="B911" s="25">
        <f>VLOOKUP(Table2634[[#This Row],[Date]],'DB Money Supply'!$A:$D,4)</f>
        <v/>
      </c>
      <c r="C911" s="31">
        <f>(Table2634[[#This Row],[M1 Money Stock, Billions of Dollars, Weekly, Seasonally Adjusted]]-B910)/B910</f>
        <v/>
      </c>
      <c r="D911" s="35">
        <f>((1+Table2634[[#This Row],[Weekly change]])^52)-1</f>
        <v/>
      </c>
      <c r="E911" s="25">
        <f>AVERAGE(B908:B911)</f>
        <v/>
      </c>
      <c r="F911" s="33">
        <f>(Table2634[[#This Row],[4 weeks average]]-B859)/B859</f>
        <v/>
      </c>
    </row>
    <row r="912">
      <c r="A912" s="23" t="n">
        <v>33742</v>
      </c>
      <c r="B912" s="25">
        <f>VLOOKUP(Table2634[[#This Row],[Date]],'DB Money Supply'!$A:$D,4)</f>
        <v/>
      </c>
      <c r="C912" s="31">
        <f>(Table2634[[#This Row],[M1 Money Stock, Billions of Dollars, Weekly, Seasonally Adjusted]]-B911)/B911</f>
        <v/>
      </c>
      <c r="D912" s="35">
        <f>((1+Table2634[[#This Row],[Weekly change]])^52)-1</f>
        <v/>
      </c>
      <c r="E912" s="25">
        <f>AVERAGE(B909:B912)</f>
        <v/>
      </c>
      <c r="F912" s="33">
        <f>(Table2634[[#This Row],[4 weeks average]]-B860)/B860</f>
        <v/>
      </c>
    </row>
    <row r="913">
      <c r="A913" s="23" t="n">
        <v>33749</v>
      </c>
      <c r="B913" s="25">
        <f>VLOOKUP(Table2634[[#This Row],[Date]],'DB Money Supply'!$A:$D,4)</f>
        <v/>
      </c>
      <c r="C913" s="31">
        <f>(Table2634[[#This Row],[M1 Money Stock, Billions of Dollars, Weekly, Seasonally Adjusted]]-B912)/B912</f>
        <v/>
      </c>
      <c r="D913" s="35">
        <f>((1+Table2634[[#This Row],[Weekly change]])^52)-1</f>
        <v/>
      </c>
      <c r="E913" s="25">
        <f>AVERAGE(B910:B913)</f>
        <v/>
      </c>
      <c r="F913" s="33">
        <f>(Table2634[[#This Row],[4 weeks average]]-B861)/B861</f>
        <v/>
      </c>
    </row>
    <row r="914">
      <c r="A914" s="23" t="n">
        <v>33756</v>
      </c>
      <c r="B914" s="25">
        <f>VLOOKUP(Table2634[[#This Row],[Date]],'DB Money Supply'!$A:$D,4)</f>
        <v/>
      </c>
      <c r="C914" s="31">
        <f>(Table2634[[#This Row],[M1 Money Stock, Billions of Dollars, Weekly, Seasonally Adjusted]]-B913)/B913</f>
        <v/>
      </c>
      <c r="D914" s="35">
        <f>((1+Table2634[[#This Row],[Weekly change]])^52)-1</f>
        <v/>
      </c>
      <c r="E914" s="25">
        <f>AVERAGE(B911:B914)</f>
        <v/>
      </c>
      <c r="F914" s="33">
        <f>(Table2634[[#This Row],[4 weeks average]]-B862)/B862</f>
        <v/>
      </c>
    </row>
    <row r="915">
      <c r="A915" s="23" t="n">
        <v>33763</v>
      </c>
      <c r="B915" s="25">
        <f>VLOOKUP(Table2634[[#This Row],[Date]],'DB Money Supply'!$A:$D,4)</f>
        <v/>
      </c>
      <c r="C915" s="31">
        <f>(Table2634[[#This Row],[M1 Money Stock, Billions of Dollars, Weekly, Seasonally Adjusted]]-B914)/B914</f>
        <v/>
      </c>
      <c r="D915" s="35">
        <f>((1+Table2634[[#This Row],[Weekly change]])^52)-1</f>
        <v/>
      </c>
      <c r="E915" s="25">
        <f>AVERAGE(B912:B915)</f>
        <v/>
      </c>
      <c r="F915" s="33">
        <f>(Table2634[[#This Row],[4 weeks average]]-B863)/B863</f>
        <v/>
      </c>
    </row>
    <row r="916">
      <c r="A916" s="23" t="n">
        <v>33770</v>
      </c>
      <c r="B916" s="25">
        <f>VLOOKUP(Table2634[[#This Row],[Date]],'DB Money Supply'!$A:$D,4)</f>
        <v/>
      </c>
      <c r="C916" s="31">
        <f>(Table2634[[#This Row],[M1 Money Stock, Billions of Dollars, Weekly, Seasonally Adjusted]]-B915)/B915</f>
        <v/>
      </c>
      <c r="D916" s="35">
        <f>((1+Table2634[[#This Row],[Weekly change]])^52)-1</f>
        <v/>
      </c>
      <c r="E916" s="25">
        <f>AVERAGE(B913:B916)</f>
        <v/>
      </c>
      <c r="F916" s="33">
        <f>(Table2634[[#This Row],[4 weeks average]]-B864)/B864</f>
        <v/>
      </c>
    </row>
    <row r="917">
      <c r="A917" s="23" t="n">
        <v>33777</v>
      </c>
      <c r="B917" s="25">
        <f>VLOOKUP(Table2634[[#This Row],[Date]],'DB Money Supply'!$A:$D,4)</f>
        <v/>
      </c>
      <c r="C917" s="31">
        <f>(Table2634[[#This Row],[M1 Money Stock, Billions of Dollars, Weekly, Seasonally Adjusted]]-B916)/B916</f>
        <v/>
      </c>
      <c r="D917" s="35">
        <f>((1+Table2634[[#This Row],[Weekly change]])^52)-1</f>
        <v/>
      </c>
      <c r="E917" s="25">
        <f>AVERAGE(B914:B917)</f>
        <v/>
      </c>
      <c r="F917" s="33">
        <f>(Table2634[[#This Row],[4 weeks average]]-B865)/B865</f>
        <v/>
      </c>
    </row>
    <row r="918">
      <c r="A918" s="23" t="n">
        <v>33784</v>
      </c>
      <c r="B918" s="25">
        <f>VLOOKUP(Table2634[[#This Row],[Date]],'DB Money Supply'!$A:$D,4)</f>
        <v/>
      </c>
      <c r="C918" s="31">
        <f>(Table2634[[#This Row],[M1 Money Stock, Billions of Dollars, Weekly, Seasonally Adjusted]]-B917)/B917</f>
        <v/>
      </c>
      <c r="D918" s="35">
        <f>((1+Table2634[[#This Row],[Weekly change]])^52)-1</f>
        <v/>
      </c>
      <c r="E918" s="25">
        <f>AVERAGE(B915:B918)</f>
        <v/>
      </c>
      <c r="F918" s="33">
        <f>(Table2634[[#This Row],[4 weeks average]]-B866)/B866</f>
        <v/>
      </c>
    </row>
    <row r="919">
      <c r="A919" s="23" t="n">
        <v>33791</v>
      </c>
      <c r="B919" s="25">
        <f>VLOOKUP(Table2634[[#This Row],[Date]],'DB Money Supply'!$A:$D,4)</f>
        <v/>
      </c>
      <c r="C919" s="31">
        <f>(Table2634[[#This Row],[M1 Money Stock, Billions of Dollars, Weekly, Seasonally Adjusted]]-B918)/B918</f>
        <v/>
      </c>
      <c r="D919" s="35">
        <f>((1+Table2634[[#This Row],[Weekly change]])^52)-1</f>
        <v/>
      </c>
      <c r="E919" s="25">
        <f>AVERAGE(B916:B919)</f>
        <v/>
      </c>
      <c r="F919" s="33">
        <f>(Table2634[[#This Row],[4 weeks average]]-B867)/B867</f>
        <v/>
      </c>
    </row>
    <row r="920">
      <c r="A920" s="23" t="n">
        <v>33798</v>
      </c>
      <c r="B920" s="25">
        <f>VLOOKUP(Table2634[[#This Row],[Date]],'DB Money Supply'!$A:$D,4)</f>
        <v/>
      </c>
      <c r="C920" s="31">
        <f>(Table2634[[#This Row],[M1 Money Stock, Billions of Dollars, Weekly, Seasonally Adjusted]]-B919)/B919</f>
        <v/>
      </c>
      <c r="D920" s="35">
        <f>((1+Table2634[[#This Row],[Weekly change]])^52)-1</f>
        <v/>
      </c>
      <c r="E920" s="25">
        <f>AVERAGE(B917:B920)</f>
        <v/>
      </c>
      <c r="F920" s="33">
        <f>(Table2634[[#This Row],[4 weeks average]]-B868)/B868</f>
        <v/>
      </c>
    </row>
    <row r="921">
      <c r="A921" s="23" t="n">
        <v>33805</v>
      </c>
      <c r="B921" s="25">
        <f>VLOOKUP(Table2634[[#This Row],[Date]],'DB Money Supply'!$A:$D,4)</f>
        <v/>
      </c>
      <c r="C921" s="31">
        <f>(Table2634[[#This Row],[M1 Money Stock, Billions of Dollars, Weekly, Seasonally Adjusted]]-B920)/B920</f>
        <v/>
      </c>
      <c r="D921" s="35">
        <f>((1+Table2634[[#This Row],[Weekly change]])^52)-1</f>
        <v/>
      </c>
      <c r="E921" s="25">
        <f>AVERAGE(B918:B921)</f>
        <v/>
      </c>
      <c r="F921" s="33">
        <f>(Table2634[[#This Row],[4 weeks average]]-B869)/B869</f>
        <v/>
      </c>
    </row>
    <row r="922">
      <c r="A922" s="23" t="n">
        <v>33812</v>
      </c>
      <c r="B922" s="25">
        <f>VLOOKUP(Table2634[[#This Row],[Date]],'DB Money Supply'!$A:$D,4)</f>
        <v/>
      </c>
      <c r="C922" s="31">
        <f>(Table2634[[#This Row],[M1 Money Stock, Billions of Dollars, Weekly, Seasonally Adjusted]]-B921)/B921</f>
        <v/>
      </c>
      <c r="D922" s="35">
        <f>((1+Table2634[[#This Row],[Weekly change]])^52)-1</f>
        <v/>
      </c>
      <c r="E922" s="25">
        <f>AVERAGE(B919:B922)</f>
        <v/>
      </c>
      <c r="F922" s="33">
        <f>(Table2634[[#This Row],[4 weeks average]]-B870)/B870</f>
        <v/>
      </c>
    </row>
    <row r="923">
      <c r="A923" s="23" t="n">
        <v>33819</v>
      </c>
      <c r="B923" s="25">
        <f>VLOOKUP(Table2634[[#This Row],[Date]],'DB Money Supply'!$A:$D,4)</f>
        <v/>
      </c>
      <c r="C923" s="31">
        <f>(Table2634[[#This Row],[M1 Money Stock, Billions of Dollars, Weekly, Seasonally Adjusted]]-B922)/B922</f>
        <v/>
      </c>
      <c r="D923" s="35">
        <f>((1+Table2634[[#This Row],[Weekly change]])^52)-1</f>
        <v/>
      </c>
      <c r="E923" s="25">
        <f>AVERAGE(B920:B923)</f>
        <v/>
      </c>
      <c r="F923" s="33">
        <f>(Table2634[[#This Row],[4 weeks average]]-B871)/B871</f>
        <v/>
      </c>
    </row>
    <row r="924">
      <c r="A924" s="23" t="n">
        <v>33826</v>
      </c>
      <c r="B924" s="25">
        <f>VLOOKUP(Table2634[[#This Row],[Date]],'DB Money Supply'!$A:$D,4)</f>
        <v/>
      </c>
      <c r="C924" s="31">
        <f>(Table2634[[#This Row],[M1 Money Stock, Billions of Dollars, Weekly, Seasonally Adjusted]]-B923)/B923</f>
        <v/>
      </c>
      <c r="D924" s="35">
        <f>((1+Table2634[[#This Row],[Weekly change]])^52)-1</f>
        <v/>
      </c>
      <c r="E924" s="25">
        <f>AVERAGE(B921:B924)</f>
        <v/>
      </c>
      <c r="F924" s="33">
        <f>(Table2634[[#This Row],[4 weeks average]]-B872)/B872</f>
        <v/>
      </c>
    </row>
    <row r="925">
      <c r="A925" s="23" t="n">
        <v>33833</v>
      </c>
      <c r="B925" s="25">
        <f>VLOOKUP(Table2634[[#This Row],[Date]],'DB Money Supply'!$A:$D,4)</f>
        <v/>
      </c>
      <c r="C925" s="31">
        <f>(Table2634[[#This Row],[M1 Money Stock, Billions of Dollars, Weekly, Seasonally Adjusted]]-B924)/B924</f>
        <v/>
      </c>
      <c r="D925" s="35">
        <f>((1+Table2634[[#This Row],[Weekly change]])^52)-1</f>
        <v/>
      </c>
      <c r="E925" s="25">
        <f>AVERAGE(B922:B925)</f>
        <v/>
      </c>
      <c r="F925" s="33">
        <f>(Table2634[[#This Row],[4 weeks average]]-B873)/B873</f>
        <v/>
      </c>
    </row>
    <row r="926">
      <c r="A926" s="23" t="n">
        <v>33840</v>
      </c>
      <c r="B926" s="25">
        <f>VLOOKUP(Table2634[[#This Row],[Date]],'DB Money Supply'!$A:$D,4)</f>
        <v/>
      </c>
      <c r="C926" s="31">
        <f>(Table2634[[#This Row],[M1 Money Stock, Billions of Dollars, Weekly, Seasonally Adjusted]]-B925)/B925</f>
        <v/>
      </c>
      <c r="D926" s="35">
        <f>((1+Table2634[[#This Row],[Weekly change]])^52)-1</f>
        <v/>
      </c>
      <c r="E926" s="25">
        <f>AVERAGE(B923:B926)</f>
        <v/>
      </c>
      <c r="F926" s="33">
        <f>(Table2634[[#This Row],[4 weeks average]]-B874)/B874</f>
        <v/>
      </c>
    </row>
    <row r="927">
      <c r="A927" s="23" t="n">
        <v>33847</v>
      </c>
      <c r="B927" s="25">
        <f>VLOOKUP(Table2634[[#This Row],[Date]],'DB Money Supply'!$A:$D,4)</f>
        <v/>
      </c>
      <c r="C927" s="31">
        <f>(Table2634[[#This Row],[M1 Money Stock, Billions of Dollars, Weekly, Seasonally Adjusted]]-B926)/B926</f>
        <v/>
      </c>
      <c r="D927" s="35">
        <f>((1+Table2634[[#This Row],[Weekly change]])^52)-1</f>
        <v/>
      </c>
      <c r="E927" s="25">
        <f>AVERAGE(B924:B927)</f>
        <v/>
      </c>
      <c r="F927" s="33">
        <f>(Table2634[[#This Row],[4 weeks average]]-B875)/B875</f>
        <v/>
      </c>
    </row>
    <row r="928">
      <c r="A928" s="23" t="n">
        <v>33854</v>
      </c>
      <c r="B928" s="25">
        <f>VLOOKUP(Table2634[[#This Row],[Date]],'DB Money Supply'!$A:$D,4)</f>
        <v/>
      </c>
      <c r="C928" s="31">
        <f>(Table2634[[#This Row],[M1 Money Stock, Billions of Dollars, Weekly, Seasonally Adjusted]]-B927)/B927</f>
        <v/>
      </c>
      <c r="D928" s="35">
        <f>((1+Table2634[[#This Row],[Weekly change]])^52)-1</f>
        <v/>
      </c>
      <c r="E928" s="25">
        <f>AVERAGE(B925:B928)</f>
        <v/>
      </c>
      <c r="F928" s="33">
        <f>(Table2634[[#This Row],[4 weeks average]]-B876)/B876</f>
        <v/>
      </c>
    </row>
    <row r="929">
      <c r="A929" s="23" t="n">
        <v>33861</v>
      </c>
      <c r="B929" s="25">
        <f>VLOOKUP(Table2634[[#This Row],[Date]],'DB Money Supply'!$A:$D,4)</f>
        <v/>
      </c>
      <c r="C929" s="31">
        <f>(Table2634[[#This Row],[M1 Money Stock, Billions of Dollars, Weekly, Seasonally Adjusted]]-B928)/B928</f>
        <v/>
      </c>
      <c r="D929" s="35">
        <f>((1+Table2634[[#This Row],[Weekly change]])^52)-1</f>
        <v/>
      </c>
      <c r="E929" s="25">
        <f>AVERAGE(B926:B929)</f>
        <v/>
      </c>
      <c r="F929" s="33">
        <f>(Table2634[[#This Row],[4 weeks average]]-B877)/B877</f>
        <v/>
      </c>
    </row>
    <row r="930">
      <c r="A930" s="23" t="n">
        <v>33868</v>
      </c>
      <c r="B930" s="25">
        <f>VLOOKUP(Table2634[[#This Row],[Date]],'DB Money Supply'!$A:$D,4)</f>
        <v/>
      </c>
      <c r="C930" s="31">
        <f>(Table2634[[#This Row],[M1 Money Stock, Billions of Dollars, Weekly, Seasonally Adjusted]]-B929)/B929</f>
        <v/>
      </c>
      <c r="D930" s="35">
        <f>((1+Table2634[[#This Row],[Weekly change]])^52)-1</f>
        <v/>
      </c>
      <c r="E930" s="25">
        <f>AVERAGE(B927:B930)</f>
        <v/>
      </c>
      <c r="F930" s="33">
        <f>(Table2634[[#This Row],[4 weeks average]]-B878)/B878</f>
        <v/>
      </c>
    </row>
    <row r="931">
      <c r="A931" s="23" t="n">
        <v>33875</v>
      </c>
      <c r="B931" s="25">
        <f>VLOOKUP(Table2634[[#This Row],[Date]],'DB Money Supply'!$A:$D,4)</f>
        <v/>
      </c>
      <c r="C931" s="31">
        <f>(Table2634[[#This Row],[M1 Money Stock, Billions of Dollars, Weekly, Seasonally Adjusted]]-B930)/B930</f>
        <v/>
      </c>
      <c r="D931" s="35">
        <f>((1+Table2634[[#This Row],[Weekly change]])^52)-1</f>
        <v/>
      </c>
      <c r="E931" s="25">
        <f>AVERAGE(B928:B931)</f>
        <v/>
      </c>
      <c r="F931" s="33">
        <f>(Table2634[[#This Row],[4 weeks average]]-B879)/B879</f>
        <v/>
      </c>
    </row>
    <row r="932">
      <c r="A932" s="23" t="n">
        <v>33882</v>
      </c>
      <c r="B932" s="25">
        <f>VLOOKUP(Table2634[[#This Row],[Date]],'DB Money Supply'!$A:$D,4)</f>
        <v/>
      </c>
      <c r="C932" s="31">
        <f>(Table2634[[#This Row],[M1 Money Stock, Billions of Dollars, Weekly, Seasonally Adjusted]]-B931)/B931</f>
        <v/>
      </c>
      <c r="D932" s="35">
        <f>((1+Table2634[[#This Row],[Weekly change]])^52)-1</f>
        <v/>
      </c>
      <c r="E932" s="25">
        <f>AVERAGE(B929:B932)</f>
        <v/>
      </c>
      <c r="F932" s="33">
        <f>(Table2634[[#This Row],[4 weeks average]]-B880)/B880</f>
        <v/>
      </c>
    </row>
    <row r="933">
      <c r="A933" s="23" t="n">
        <v>33889</v>
      </c>
      <c r="B933" s="25">
        <f>VLOOKUP(Table2634[[#This Row],[Date]],'DB Money Supply'!$A:$D,4)</f>
        <v/>
      </c>
      <c r="C933" s="31">
        <f>(Table2634[[#This Row],[M1 Money Stock, Billions of Dollars, Weekly, Seasonally Adjusted]]-B932)/B932</f>
        <v/>
      </c>
      <c r="D933" s="35">
        <f>((1+Table2634[[#This Row],[Weekly change]])^52)-1</f>
        <v/>
      </c>
      <c r="E933" s="25">
        <f>AVERAGE(B930:B933)</f>
        <v/>
      </c>
      <c r="F933" s="33">
        <f>(Table2634[[#This Row],[4 weeks average]]-B881)/B881</f>
        <v/>
      </c>
    </row>
    <row r="934">
      <c r="A934" s="23" t="n">
        <v>33896</v>
      </c>
      <c r="B934" s="25">
        <f>VLOOKUP(Table2634[[#This Row],[Date]],'DB Money Supply'!$A:$D,4)</f>
        <v/>
      </c>
      <c r="C934" s="31">
        <f>(Table2634[[#This Row],[M1 Money Stock, Billions of Dollars, Weekly, Seasonally Adjusted]]-B933)/B933</f>
        <v/>
      </c>
      <c r="D934" s="35">
        <f>((1+Table2634[[#This Row],[Weekly change]])^52)-1</f>
        <v/>
      </c>
      <c r="E934" s="25">
        <f>AVERAGE(B931:B934)</f>
        <v/>
      </c>
      <c r="F934" s="33">
        <f>(Table2634[[#This Row],[4 weeks average]]-B882)/B882</f>
        <v/>
      </c>
    </row>
    <row r="935">
      <c r="A935" s="23" t="n">
        <v>33903</v>
      </c>
      <c r="B935" s="25">
        <f>VLOOKUP(Table2634[[#This Row],[Date]],'DB Money Supply'!$A:$D,4)</f>
        <v/>
      </c>
      <c r="C935" s="31">
        <f>(Table2634[[#This Row],[M1 Money Stock, Billions of Dollars, Weekly, Seasonally Adjusted]]-B934)/B934</f>
        <v/>
      </c>
      <c r="D935" s="35">
        <f>((1+Table2634[[#This Row],[Weekly change]])^52)-1</f>
        <v/>
      </c>
      <c r="E935" s="25">
        <f>AVERAGE(B932:B935)</f>
        <v/>
      </c>
      <c r="F935" s="33">
        <f>(Table2634[[#This Row],[4 weeks average]]-B883)/B883</f>
        <v/>
      </c>
    </row>
    <row r="936">
      <c r="A936" s="23" t="n">
        <v>33910</v>
      </c>
      <c r="B936" s="25">
        <f>VLOOKUP(Table2634[[#This Row],[Date]],'DB Money Supply'!$A:$D,4)</f>
        <v/>
      </c>
      <c r="C936" s="31">
        <f>(Table2634[[#This Row],[M1 Money Stock, Billions of Dollars, Weekly, Seasonally Adjusted]]-B935)/B935</f>
        <v/>
      </c>
      <c r="D936" s="35">
        <f>((1+Table2634[[#This Row],[Weekly change]])^52)-1</f>
        <v/>
      </c>
      <c r="E936" s="25">
        <f>AVERAGE(B933:B936)</f>
        <v/>
      </c>
      <c r="F936" s="33">
        <f>(Table2634[[#This Row],[4 weeks average]]-B884)/B884</f>
        <v/>
      </c>
    </row>
    <row r="937">
      <c r="A937" s="23" t="n">
        <v>33917</v>
      </c>
      <c r="B937" s="25">
        <f>VLOOKUP(Table2634[[#This Row],[Date]],'DB Money Supply'!$A:$D,4)</f>
        <v/>
      </c>
      <c r="C937" s="31">
        <f>(Table2634[[#This Row],[M1 Money Stock, Billions of Dollars, Weekly, Seasonally Adjusted]]-B936)/B936</f>
        <v/>
      </c>
      <c r="D937" s="35">
        <f>((1+Table2634[[#This Row],[Weekly change]])^52)-1</f>
        <v/>
      </c>
      <c r="E937" s="25">
        <f>AVERAGE(B934:B937)</f>
        <v/>
      </c>
      <c r="F937" s="33">
        <f>(Table2634[[#This Row],[4 weeks average]]-B885)/B885</f>
        <v/>
      </c>
    </row>
    <row r="938">
      <c r="A938" s="23" t="n">
        <v>33924</v>
      </c>
      <c r="B938" s="25">
        <f>VLOOKUP(Table2634[[#This Row],[Date]],'DB Money Supply'!$A:$D,4)</f>
        <v/>
      </c>
      <c r="C938" s="31">
        <f>(Table2634[[#This Row],[M1 Money Stock, Billions of Dollars, Weekly, Seasonally Adjusted]]-B937)/B937</f>
        <v/>
      </c>
      <c r="D938" s="35">
        <f>((1+Table2634[[#This Row],[Weekly change]])^52)-1</f>
        <v/>
      </c>
      <c r="E938" s="25">
        <f>AVERAGE(B935:B938)</f>
        <v/>
      </c>
      <c r="F938" s="33">
        <f>(Table2634[[#This Row],[4 weeks average]]-B886)/B886</f>
        <v/>
      </c>
    </row>
    <row r="939">
      <c r="A939" s="23" t="n">
        <v>33931</v>
      </c>
      <c r="B939" s="25">
        <f>VLOOKUP(Table2634[[#This Row],[Date]],'DB Money Supply'!$A:$D,4)</f>
        <v/>
      </c>
      <c r="C939" s="31">
        <f>(Table2634[[#This Row],[M1 Money Stock, Billions of Dollars, Weekly, Seasonally Adjusted]]-B938)/B938</f>
        <v/>
      </c>
      <c r="D939" s="35">
        <f>((1+Table2634[[#This Row],[Weekly change]])^52)-1</f>
        <v/>
      </c>
      <c r="E939" s="25">
        <f>AVERAGE(B936:B939)</f>
        <v/>
      </c>
      <c r="F939" s="33">
        <f>(Table2634[[#This Row],[4 weeks average]]-B887)/B887</f>
        <v/>
      </c>
    </row>
    <row r="940">
      <c r="A940" s="23" t="n">
        <v>33938</v>
      </c>
      <c r="B940" s="25">
        <f>VLOOKUP(Table2634[[#This Row],[Date]],'DB Money Supply'!$A:$D,4)</f>
        <v/>
      </c>
      <c r="C940" s="31">
        <f>(Table2634[[#This Row],[M1 Money Stock, Billions of Dollars, Weekly, Seasonally Adjusted]]-B939)/B939</f>
        <v/>
      </c>
      <c r="D940" s="35">
        <f>((1+Table2634[[#This Row],[Weekly change]])^52)-1</f>
        <v/>
      </c>
      <c r="E940" s="25">
        <f>AVERAGE(B937:B940)</f>
        <v/>
      </c>
      <c r="F940" s="33">
        <f>(Table2634[[#This Row],[4 weeks average]]-B888)/B888</f>
        <v/>
      </c>
    </row>
    <row r="941">
      <c r="A941" s="23" t="n">
        <v>33945</v>
      </c>
      <c r="B941" s="25">
        <f>VLOOKUP(Table2634[[#This Row],[Date]],'DB Money Supply'!$A:$D,4)</f>
        <v/>
      </c>
      <c r="C941" s="31">
        <f>(Table2634[[#This Row],[M1 Money Stock, Billions of Dollars, Weekly, Seasonally Adjusted]]-B940)/B940</f>
        <v/>
      </c>
      <c r="D941" s="35">
        <f>((1+Table2634[[#This Row],[Weekly change]])^52)-1</f>
        <v/>
      </c>
      <c r="E941" s="25">
        <f>AVERAGE(B938:B941)</f>
        <v/>
      </c>
      <c r="F941" s="33">
        <f>(Table2634[[#This Row],[4 weeks average]]-B889)/B889</f>
        <v/>
      </c>
    </row>
    <row r="942">
      <c r="A942" s="23" t="n">
        <v>33952</v>
      </c>
      <c r="B942" s="25">
        <f>VLOOKUP(Table2634[[#This Row],[Date]],'DB Money Supply'!$A:$D,4)</f>
        <v/>
      </c>
      <c r="C942" s="31">
        <f>(Table2634[[#This Row],[M1 Money Stock, Billions of Dollars, Weekly, Seasonally Adjusted]]-B941)/B941</f>
        <v/>
      </c>
      <c r="D942" s="35">
        <f>((1+Table2634[[#This Row],[Weekly change]])^52)-1</f>
        <v/>
      </c>
      <c r="E942" s="25">
        <f>AVERAGE(B939:B942)</f>
        <v/>
      </c>
      <c r="F942" s="33">
        <f>(Table2634[[#This Row],[4 weeks average]]-B890)/B890</f>
        <v/>
      </c>
    </row>
    <row r="943">
      <c r="A943" s="23" t="n">
        <v>33959</v>
      </c>
      <c r="B943" s="25">
        <f>VLOOKUP(Table2634[[#This Row],[Date]],'DB Money Supply'!$A:$D,4)</f>
        <v/>
      </c>
      <c r="C943" s="31">
        <f>(Table2634[[#This Row],[M1 Money Stock, Billions of Dollars, Weekly, Seasonally Adjusted]]-B942)/B942</f>
        <v/>
      </c>
      <c r="D943" s="35">
        <f>((1+Table2634[[#This Row],[Weekly change]])^52)-1</f>
        <v/>
      </c>
      <c r="E943" s="25">
        <f>AVERAGE(B940:B943)</f>
        <v/>
      </c>
      <c r="F943" s="33">
        <f>(Table2634[[#This Row],[4 weeks average]]-B891)/B891</f>
        <v/>
      </c>
    </row>
    <row r="944">
      <c r="A944" s="23" t="n">
        <v>33966</v>
      </c>
      <c r="B944" s="25">
        <f>VLOOKUP(Table2634[[#This Row],[Date]],'DB Money Supply'!$A:$D,4)</f>
        <v/>
      </c>
      <c r="C944" s="31">
        <f>(Table2634[[#This Row],[M1 Money Stock, Billions of Dollars, Weekly, Seasonally Adjusted]]-B943)/B943</f>
        <v/>
      </c>
      <c r="D944" s="35">
        <f>((1+Table2634[[#This Row],[Weekly change]])^52)-1</f>
        <v/>
      </c>
      <c r="E944" s="25">
        <f>AVERAGE(B941:B944)</f>
        <v/>
      </c>
      <c r="F944" s="33">
        <f>(Table2634[[#This Row],[4 weeks average]]-B892)/B892</f>
        <v/>
      </c>
    </row>
    <row r="945">
      <c r="A945" s="23" t="n">
        <v>33973</v>
      </c>
      <c r="B945" s="25">
        <f>VLOOKUP(Table2634[[#This Row],[Date]],'DB Money Supply'!$A:$D,4)</f>
        <v/>
      </c>
      <c r="C945" s="31">
        <f>(Table2634[[#This Row],[M1 Money Stock, Billions of Dollars, Weekly, Seasonally Adjusted]]-B944)/B944</f>
        <v/>
      </c>
      <c r="D945" s="35">
        <f>((1+Table2634[[#This Row],[Weekly change]])^52)-1</f>
        <v/>
      </c>
      <c r="E945" s="25">
        <f>AVERAGE(B942:B945)</f>
        <v/>
      </c>
      <c r="F945" s="33">
        <f>(Table2634[[#This Row],[4 weeks average]]-B893)/B893</f>
        <v/>
      </c>
    </row>
    <row r="946">
      <c r="A946" s="23" t="n">
        <v>33980</v>
      </c>
      <c r="B946" s="25">
        <f>VLOOKUP(Table2634[[#This Row],[Date]],'DB Money Supply'!$A:$D,4)</f>
        <v/>
      </c>
      <c r="C946" s="31">
        <f>(Table2634[[#This Row],[M1 Money Stock, Billions of Dollars, Weekly, Seasonally Adjusted]]-B945)/B945</f>
        <v/>
      </c>
      <c r="D946" s="35">
        <f>((1+Table2634[[#This Row],[Weekly change]])^52)-1</f>
        <v/>
      </c>
      <c r="E946" s="25">
        <f>AVERAGE(B943:B946)</f>
        <v/>
      </c>
      <c r="F946" s="33">
        <f>(Table2634[[#This Row],[4 weeks average]]-B894)/B894</f>
        <v/>
      </c>
    </row>
    <row r="947">
      <c r="A947" s="23" t="n">
        <v>33987</v>
      </c>
      <c r="B947" s="25">
        <f>VLOOKUP(Table2634[[#This Row],[Date]],'DB Money Supply'!$A:$D,4)</f>
        <v/>
      </c>
      <c r="C947" s="31">
        <f>(Table2634[[#This Row],[M1 Money Stock, Billions of Dollars, Weekly, Seasonally Adjusted]]-B946)/B946</f>
        <v/>
      </c>
      <c r="D947" s="35">
        <f>((1+Table2634[[#This Row],[Weekly change]])^52)-1</f>
        <v/>
      </c>
      <c r="E947" s="25">
        <f>AVERAGE(B944:B947)</f>
        <v/>
      </c>
      <c r="F947" s="33">
        <f>(Table2634[[#This Row],[4 weeks average]]-B895)/B895</f>
        <v/>
      </c>
    </row>
    <row r="948">
      <c r="A948" s="23" t="n">
        <v>33994</v>
      </c>
      <c r="B948" s="25">
        <f>VLOOKUP(Table2634[[#This Row],[Date]],'DB Money Supply'!$A:$D,4)</f>
        <v/>
      </c>
      <c r="C948" s="31">
        <f>(Table2634[[#This Row],[M1 Money Stock, Billions of Dollars, Weekly, Seasonally Adjusted]]-B947)/B947</f>
        <v/>
      </c>
      <c r="D948" s="35">
        <f>((1+Table2634[[#This Row],[Weekly change]])^52)-1</f>
        <v/>
      </c>
      <c r="E948" s="25">
        <f>AVERAGE(B945:B948)</f>
        <v/>
      </c>
      <c r="F948" s="33">
        <f>(Table2634[[#This Row],[4 weeks average]]-B896)/B896</f>
        <v/>
      </c>
    </row>
    <row r="949">
      <c r="A949" s="23" t="n">
        <v>34001</v>
      </c>
      <c r="B949" s="25">
        <f>VLOOKUP(Table2634[[#This Row],[Date]],'DB Money Supply'!$A:$D,4)</f>
        <v/>
      </c>
      <c r="C949" s="31">
        <f>(Table2634[[#This Row],[M1 Money Stock, Billions of Dollars, Weekly, Seasonally Adjusted]]-B948)/B948</f>
        <v/>
      </c>
      <c r="D949" s="35">
        <f>((1+Table2634[[#This Row],[Weekly change]])^52)-1</f>
        <v/>
      </c>
      <c r="E949" s="25">
        <f>AVERAGE(B946:B949)</f>
        <v/>
      </c>
      <c r="F949" s="33">
        <f>(Table2634[[#This Row],[4 weeks average]]-B897)/B897</f>
        <v/>
      </c>
    </row>
    <row r="950">
      <c r="A950" s="23" t="n">
        <v>34008</v>
      </c>
      <c r="B950" s="25">
        <f>VLOOKUP(Table2634[[#This Row],[Date]],'DB Money Supply'!$A:$D,4)</f>
        <v/>
      </c>
      <c r="C950" s="31">
        <f>(Table2634[[#This Row],[M1 Money Stock, Billions of Dollars, Weekly, Seasonally Adjusted]]-B949)/B949</f>
        <v/>
      </c>
      <c r="D950" s="35">
        <f>((1+Table2634[[#This Row],[Weekly change]])^52)-1</f>
        <v/>
      </c>
      <c r="E950" s="25">
        <f>AVERAGE(B947:B950)</f>
        <v/>
      </c>
      <c r="F950" s="33">
        <f>(Table2634[[#This Row],[4 weeks average]]-B898)/B898</f>
        <v/>
      </c>
    </row>
    <row r="951">
      <c r="A951" s="23" t="n">
        <v>34015</v>
      </c>
      <c r="B951" s="25">
        <f>VLOOKUP(Table2634[[#This Row],[Date]],'DB Money Supply'!$A:$D,4)</f>
        <v/>
      </c>
      <c r="C951" s="31">
        <f>(Table2634[[#This Row],[M1 Money Stock, Billions of Dollars, Weekly, Seasonally Adjusted]]-B950)/B950</f>
        <v/>
      </c>
      <c r="D951" s="35">
        <f>((1+Table2634[[#This Row],[Weekly change]])^52)-1</f>
        <v/>
      </c>
      <c r="E951" s="25">
        <f>AVERAGE(B948:B951)</f>
        <v/>
      </c>
      <c r="F951" s="33">
        <f>(Table2634[[#This Row],[4 weeks average]]-B899)/B899</f>
        <v/>
      </c>
    </row>
    <row r="952">
      <c r="A952" s="23" t="n">
        <v>34022</v>
      </c>
      <c r="B952" s="25">
        <f>VLOOKUP(Table2634[[#This Row],[Date]],'DB Money Supply'!$A:$D,4)</f>
        <v/>
      </c>
      <c r="C952" s="31">
        <f>(Table2634[[#This Row],[M1 Money Stock, Billions of Dollars, Weekly, Seasonally Adjusted]]-B951)/B951</f>
        <v/>
      </c>
      <c r="D952" s="35">
        <f>((1+Table2634[[#This Row],[Weekly change]])^52)-1</f>
        <v/>
      </c>
      <c r="E952" s="25">
        <f>AVERAGE(B949:B952)</f>
        <v/>
      </c>
      <c r="F952" s="33">
        <f>(Table2634[[#This Row],[4 weeks average]]-B900)/B900</f>
        <v/>
      </c>
    </row>
    <row r="953">
      <c r="A953" s="23" t="n">
        <v>34029</v>
      </c>
      <c r="B953" s="25">
        <f>VLOOKUP(Table2634[[#This Row],[Date]],'DB Money Supply'!$A:$D,4)</f>
        <v/>
      </c>
      <c r="C953" s="31">
        <f>(Table2634[[#This Row],[M1 Money Stock, Billions of Dollars, Weekly, Seasonally Adjusted]]-B952)/B952</f>
        <v/>
      </c>
      <c r="D953" s="35">
        <f>((1+Table2634[[#This Row],[Weekly change]])^52)-1</f>
        <v/>
      </c>
      <c r="E953" s="25">
        <f>AVERAGE(B950:B953)</f>
        <v/>
      </c>
      <c r="F953" s="33">
        <f>(Table2634[[#This Row],[4 weeks average]]-B901)/B901</f>
        <v/>
      </c>
    </row>
    <row r="954">
      <c r="A954" s="23" t="n">
        <v>34036</v>
      </c>
      <c r="B954" s="25">
        <f>VLOOKUP(Table2634[[#This Row],[Date]],'DB Money Supply'!$A:$D,4)</f>
        <v/>
      </c>
      <c r="C954" s="31">
        <f>(Table2634[[#This Row],[M1 Money Stock, Billions of Dollars, Weekly, Seasonally Adjusted]]-B953)/B953</f>
        <v/>
      </c>
      <c r="D954" s="35">
        <f>((1+Table2634[[#This Row],[Weekly change]])^52)-1</f>
        <v/>
      </c>
      <c r="E954" s="25">
        <f>AVERAGE(B951:B954)</f>
        <v/>
      </c>
      <c r="F954" s="33">
        <f>(Table2634[[#This Row],[4 weeks average]]-B902)/B902</f>
        <v/>
      </c>
    </row>
    <row r="955">
      <c r="A955" s="23" t="n">
        <v>34043</v>
      </c>
      <c r="B955" s="25">
        <f>VLOOKUP(Table2634[[#This Row],[Date]],'DB Money Supply'!$A:$D,4)</f>
        <v/>
      </c>
      <c r="C955" s="31">
        <f>(Table2634[[#This Row],[M1 Money Stock, Billions of Dollars, Weekly, Seasonally Adjusted]]-B954)/B954</f>
        <v/>
      </c>
      <c r="D955" s="35">
        <f>((1+Table2634[[#This Row],[Weekly change]])^52)-1</f>
        <v/>
      </c>
      <c r="E955" s="25">
        <f>AVERAGE(B952:B955)</f>
        <v/>
      </c>
      <c r="F955" s="33">
        <f>(Table2634[[#This Row],[4 weeks average]]-B903)/B903</f>
        <v/>
      </c>
    </row>
    <row r="956">
      <c r="A956" s="23" t="n">
        <v>34050</v>
      </c>
      <c r="B956" s="25">
        <f>VLOOKUP(Table2634[[#This Row],[Date]],'DB Money Supply'!$A:$D,4)</f>
        <v/>
      </c>
      <c r="C956" s="31">
        <f>(Table2634[[#This Row],[M1 Money Stock, Billions of Dollars, Weekly, Seasonally Adjusted]]-B955)/B955</f>
        <v/>
      </c>
      <c r="D956" s="35">
        <f>((1+Table2634[[#This Row],[Weekly change]])^52)-1</f>
        <v/>
      </c>
      <c r="E956" s="25">
        <f>AVERAGE(B953:B956)</f>
        <v/>
      </c>
      <c r="F956" s="33">
        <f>(Table2634[[#This Row],[4 weeks average]]-B904)/B904</f>
        <v/>
      </c>
    </row>
    <row r="957">
      <c r="A957" s="23" t="n">
        <v>34057</v>
      </c>
      <c r="B957" s="25">
        <f>VLOOKUP(Table2634[[#This Row],[Date]],'DB Money Supply'!$A:$D,4)</f>
        <v/>
      </c>
      <c r="C957" s="31">
        <f>(Table2634[[#This Row],[M1 Money Stock, Billions of Dollars, Weekly, Seasonally Adjusted]]-B956)/B956</f>
        <v/>
      </c>
      <c r="D957" s="35">
        <f>((1+Table2634[[#This Row],[Weekly change]])^52)-1</f>
        <v/>
      </c>
      <c r="E957" s="25">
        <f>AVERAGE(B954:B957)</f>
        <v/>
      </c>
      <c r="F957" s="33">
        <f>(Table2634[[#This Row],[4 weeks average]]-B905)/B905</f>
        <v/>
      </c>
    </row>
    <row r="958">
      <c r="A958" s="23" t="n">
        <v>34064</v>
      </c>
      <c r="B958" s="25">
        <f>VLOOKUP(Table2634[[#This Row],[Date]],'DB Money Supply'!$A:$D,4)</f>
        <v/>
      </c>
      <c r="C958" s="31">
        <f>(Table2634[[#This Row],[M1 Money Stock, Billions of Dollars, Weekly, Seasonally Adjusted]]-B957)/B957</f>
        <v/>
      </c>
      <c r="D958" s="35">
        <f>((1+Table2634[[#This Row],[Weekly change]])^52)-1</f>
        <v/>
      </c>
      <c r="E958" s="25">
        <f>AVERAGE(B955:B958)</f>
        <v/>
      </c>
      <c r="F958" s="33">
        <f>(Table2634[[#This Row],[4 weeks average]]-B906)/B906</f>
        <v/>
      </c>
    </row>
    <row r="959">
      <c r="A959" s="23" t="n">
        <v>34071</v>
      </c>
      <c r="B959" s="25">
        <f>VLOOKUP(Table2634[[#This Row],[Date]],'DB Money Supply'!$A:$D,4)</f>
        <v/>
      </c>
      <c r="C959" s="31">
        <f>(Table2634[[#This Row],[M1 Money Stock, Billions of Dollars, Weekly, Seasonally Adjusted]]-B958)/B958</f>
        <v/>
      </c>
      <c r="D959" s="35">
        <f>((1+Table2634[[#This Row],[Weekly change]])^52)-1</f>
        <v/>
      </c>
      <c r="E959" s="25">
        <f>AVERAGE(B956:B959)</f>
        <v/>
      </c>
      <c r="F959" s="33">
        <f>(Table2634[[#This Row],[4 weeks average]]-B907)/B907</f>
        <v/>
      </c>
    </row>
    <row r="960">
      <c r="A960" s="23" t="n">
        <v>34078</v>
      </c>
      <c r="B960" s="25">
        <f>VLOOKUP(Table2634[[#This Row],[Date]],'DB Money Supply'!$A:$D,4)</f>
        <v/>
      </c>
      <c r="C960" s="31">
        <f>(Table2634[[#This Row],[M1 Money Stock, Billions of Dollars, Weekly, Seasonally Adjusted]]-B959)/B959</f>
        <v/>
      </c>
      <c r="D960" s="35">
        <f>((1+Table2634[[#This Row],[Weekly change]])^52)-1</f>
        <v/>
      </c>
      <c r="E960" s="25">
        <f>AVERAGE(B957:B960)</f>
        <v/>
      </c>
      <c r="F960" s="33">
        <f>(Table2634[[#This Row],[4 weeks average]]-B908)/B908</f>
        <v/>
      </c>
    </row>
    <row r="961">
      <c r="A961" s="23" t="n">
        <v>34085</v>
      </c>
      <c r="B961" s="25">
        <f>VLOOKUP(Table2634[[#This Row],[Date]],'DB Money Supply'!$A:$D,4)</f>
        <v/>
      </c>
      <c r="C961" s="31">
        <f>(Table2634[[#This Row],[M1 Money Stock, Billions of Dollars, Weekly, Seasonally Adjusted]]-B960)/B960</f>
        <v/>
      </c>
      <c r="D961" s="35">
        <f>((1+Table2634[[#This Row],[Weekly change]])^52)-1</f>
        <v/>
      </c>
      <c r="E961" s="25">
        <f>AVERAGE(B958:B961)</f>
        <v/>
      </c>
      <c r="F961" s="33">
        <f>(Table2634[[#This Row],[4 weeks average]]-B909)/B909</f>
        <v/>
      </c>
    </row>
    <row r="962">
      <c r="A962" s="23" t="n">
        <v>34092</v>
      </c>
      <c r="B962" s="25">
        <f>VLOOKUP(Table2634[[#This Row],[Date]],'DB Money Supply'!$A:$D,4)</f>
        <v/>
      </c>
      <c r="C962" s="31">
        <f>(Table2634[[#This Row],[M1 Money Stock, Billions of Dollars, Weekly, Seasonally Adjusted]]-B961)/B961</f>
        <v/>
      </c>
      <c r="D962" s="35">
        <f>((1+Table2634[[#This Row],[Weekly change]])^52)-1</f>
        <v/>
      </c>
      <c r="E962" s="25">
        <f>AVERAGE(B959:B962)</f>
        <v/>
      </c>
      <c r="F962" s="33">
        <f>(Table2634[[#This Row],[4 weeks average]]-B910)/B910</f>
        <v/>
      </c>
    </row>
    <row r="963">
      <c r="A963" s="23" t="n">
        <v>34099</v>
      </c>
      <c r="B963" s="25">
        <f>VLOOKUP(Table2634[[#This Row],[Date]],'DB Money Supply'!$A:$D,4)</f>
        <v/>
      </c>
      <c r="C963" s="31">
        <f>(Table2634[[#This Row],[M1 Money Stock, Billions of Dollars, Weekly, Seasonally Adjusted]]-B962)/B962</f>
        <v/>
      </c>
      <c r="D963" s="35">
        <f>((1+Table2634[[#This Row],[Weekly change]])^52)-1</f>
        <v/>
      </c>
      <c r="E963" s="25">
        <f>AVERAGE(B960:B963)</f>
        <v/>
      </c>
      <c r="F963" s="33">
        <f>(Table2634[[#This Row],[4 weeks average]]-B911)/B911</f>
        <v/>
      </c>
    </row>
    <row r="964">
      <c r="A964" s="23" t="n">
        <v>34106</v>
      </c>
      <c r="B964" s="25">
        <f>VLOOKUP(Table2634[[#This Row],[Date]],'DB Money Supply'!$A:$D,4)</f>
        <v/>
      </c>
      <c r="C964" s="31">
        <f>(Table2634[[#This Row],[M1 Money Stock, Billions of Dollars, Weekly, Seasonally Adjusted]]-B963)/B963</f>
        <v/>
      </c>
      <c r="D964" s="35">
        <f>((1+Table2634[[#This Row],[Weekly change]])^52)-1</f>
        <v/>
      </c>
      <c r="E964" s="25">
        <f>AVERAGE(B961:B964)</f>
        <v/>
      </c>
      <c r="F964" s="33">
        <f>(Table2634[[#This Row],[4 weeks average]]-B912)/B912</f>
        <v/>
      </c>
    </row>
    <row r="965">
      <c r="A965" s="23" t="n">
        <v>34113</v>
      </c>
      <c r="B965" s="25">
        <f>VLOOKUP(Table2634[[#This Row],[Date]],'DB Money Supply'!$A:$D,4)</f>
        <v/>
      </c>
      <c r="C965" s="31">
        <f>(Table2634[[#This Row],[M1 Money Stock, Billions of Dollars, Weekly, Seasonally Adjusted]]-B964)/B964</f>
        <v/>
      </c>
      <c r="D965" s="35">
        <f>((1+Table2634[[#This Row],[Weekly change]])^52)-1</f>
        <v/>
      </c>
      <c r="E965" s="25">
        <f>AVERAGE(B962:B965)</f>
        <v/>
      </c>
      <c r="F965" s="33">
        <f>(Table2634[[#This Row],[4 weeks average]]-B913)/B913</f>
        <v/>
      </c>
    </row>
    <row r="966">
      <c r="A966" s="23" t="n">
        <v>34120</v>
      </c>
      <c r="B966" s="25">
        <f>VLOOKUP(Table2634[[#This Row],[Date]],'DB Money Supply'!$A:$D,4)</f>
        <v/>
      </c>
      <c r="C966" s="31">
        <f>(Table2634[[#This Row],[M1 Money Stock, Billions of Dollars, Weekly, Seasonally Adjusted]]-B965)/B965</f>
        <v/>
      </c>
      <c r="D966" s="35">
        <f>((1+Table2634[[#This Row],[Weekly change]])^52)-1</f>
        <v/>
      </c>
      <c r="E966" s="25">
        <f>AVERAGE(B963:B966)</f>
        <v/>
      </c>
      <c r="F966" s="33">
        <f>(Table2634[[#This Row],[4 weeks average]]-B914)/B914</f>
        <v/>
      </c>
    </row>
    <row r="967">
      <c r="A967" s="23" t="n">
        <v>34127</v>
      </c>
      <c r="B967" s="25">
        <f>VLOOKUP(Table2634[[#This Row],[Date]],'DB Money Supply'!$A:$D,4)</f>
        <v/>
      </c>
      <c r="C967" s="31">
        <f>(Table2634[[#This Row],[M1 Money Stock, Billions of Dollars, Weekly, Seasonally Adjusted]]-B966)/B966</f>
        <v/>
      </c>
      <c r="D967" s="35">
        <f>((1+Table2634[[#This Row],[Weekly change]])^52)-1</f>
        <v/>
      </c>
      <c r="E967" s="25">
        <f>AVERAGE(B964:B967)</f>
        <v/>
      </c>
      <c r="F967" s="33">
        <f>(Table2634[[#This Row],[4 weeks average]]-B915)/B915</f>
        <v/>
      </c>
    </row>
    <row r="968">
      <c r="A968" s="23" t="n">
        <v>34134</v>
      </c>
      <c r="B968" s="25">
        <f>VLOOKUP(Table2634[[#This Row],[Date]],'DB Money Supply'!$A:$D,4)</f>
        <v/>
      </c>
      <c r="C968" s="31">
        <f>(Table2634[[#This Row],[M1 Money Stock, Billions of Dollars, Weekly, Seasonally Adjusted]]-B967)/B967</f>
        <v/>
      </c>
      <c r="D968" s="35">
        <f>((1+Table2634[[#This Row],[Weekly change]])^52)-1</f>
        <v/>
      </c>
      <c r="E968" s="25">
        <f>AVERAGE(B965:B968)</f>
        <v/>
      </c>
      <c r="F968" s="33">
        <f>(Table2634[[#This Row],[4 weeks average]]-B916)/B916</f>
        <v/>
      </c>
    </row>
    <row r="969">
      <c r="A969" s="23" t="n">
        <v>34141</v>
      </c>
      <c r="B969" s="25">
        <f>VLOOKUP(Table2634[[#This Row],[Date]],'DB Money Supply'!$A:$D,4)</f>
        <v/>
      </c>
      <c r="C969" s="31">
        <f>(Table2634[[#This Row],[M1 Money Stock, Billions of Dollars, Weekly, Seasonally Adjusted]]-B968)/B968</f>
        <v/>
      </c>
      <c r="D969" s="35">
        <f>((1+Table2634[[#This Row],[Weekly change]])^52)-1</f>
        <v/>
      </c>
      <c r="E969" s="25">
        <f>AVERAGE(B966:B969)</f>
        <v/>
      </c>
      <c r="F969" s="33">
        <f>(Table2634[[#This Row],[4 weeks average]]-B917)/B917</f>
        <v/>
      </c>
    </row>
    <row r="970">
      <c r="A970" s="23" t="n">
        <v>34148</v>
      </c>
      <c r="B970" s="25">
        <f>VLOOKUP(Table2634[[#This Row],[Date]],'DB Money Supply'!$A:$D,4)</f>
        <v/>
      </c>
      <c r="C970" s="31">
        <f>(Table2634[[#This Row],[M1 Money Stock, Billions of Dollars, Weekly, Seasonally Adjusted]]-B969)/B969</f>
        <v/>
      </c>
      <c r="D970" s="35">
        <f>((1+Table2634[[#This Row],[Weekly change]])^52)-1</f>
        <v/>
      </c>
      <c r="E970" s="25">
        <f>AVERAGE(B967:B970)</f>
        <v/>
      </c>
      <c r="F970" s="33">
        <f>(Table2634[[#This Row],[4 weeks average]]-B918)/B918</f>
        <v/>
      </c>
    </row>
    <row r="971">
      <c r="A971" s="23" t="n">
        <v>34155</v>
      </c>
      <c r="B971" s="25">
        <f>VLOOKUP(Table2634[[#This Row],[Date]],'DB Money Supply'!$A:$D,4)</f>
        <v/>
      </c>
      <c r="C971" s="31">
        <f>(Table2634[[#This Row],[M1 Money Stock, Billions of Dollars, Weekly, Seasonally Adjusted]]-B970)/B970</f>
        <v/>
      </c>
      <c r="D971" s="35">
        <f>((1+Table2634[[#This Row],[Weekly change]])^52)-1</f>
        <v/>
      </c>
      <c r="E971" s="25">
        <f>AVERAGE(B968:B971)</f>
        <v/>
      </c>
      <c r="F971" s="33">
        <f>(Table2634[[#This Row],[4 weeks average]]-B919)/B919</f>
        <v/>
      </c>
    </row>
    <row r="972">
      <c r="A972" s="23" t="n">
        <v>34162</v>
      </c>
      <c r="B972" s="25">
        <f>VLOOKUP(Table2634[[#This Row],[Date]],'DB Money Supply'!$A:$D,4)</f>
        <v/>
      </c>
      <c r="C972" s="31">
        <f>(Table2634[[#This Row],[M1 Money Stock, Billions of Dollars, Weekly, Seasonally Adjusted]]-B971)/B971</f>
        <v/>
      </c>
      <c r="D972" s="35">
        <f>((1+Table2634[[#This Row],[Weekly change]])^52)-1</f>
        <v/>
      </c>
      <c r="E972" s="25">
        <f>AVERAGE(B969:B972)</f>
        <v/>
      </c>
      <c r="F972" s="33">
        <f>(Table2634[[#This Row],[4 weeks average]]-B920)/B920</f>
        <v/>
      </c>
    </row>
    <row r="973">
      <c r="A973" s="23" t="n">
        <v>34169</v>
      </c>
      <c r="B973" s="25">
        <f>VLOOKUP(Table2634[[#This Row],[Date]],'DB Money Supply'!$A:$D,4)</f>
        <v/>
      </c>
      <c r="C973" s="31">
        <f>(Table2634[[#This Row],[M1 Money Stock, Billions of Dollars, Weekly, Seasonally Adjusted]]-B972)/B972</f>
        <v/>
      </c>
      <c r="D973" s="35">
        <f>((1+Table2634[[#This Row],[Weekly change]])^52)-1</f>
        <v/>
      </c>
      <c r="E973" s="25">
        <f>AVERAGE(B970:B973)</f>
        <v/>
      </c>
      <c r="F973" s="33">
        <f>(Table2634[[#This Row],[4 weeks average]]-B921)/B921</f>
        <v/>
      </c>
    </row>
    <row r="974">
      <c r="A974" s="23" t="n">
        <v>34176</v>
      </c>
      <c r="B974" s="25">
        <f>VLOOKUP(Table2634[[#This Row],[Date]],'DB Money Supply'!$A:$D,4)</f>
        <v/>
      </c>
      <c r="C974" s="31">
        <f>(Table2634[[#This Row],[M1 Money Stock, Billions of Dollars, Weekly, Seasonally Adjusted]]-B973)/B973</f>
        <v/>
      </c>
      <c r="D974" s="35">
        <f>((1+Table2634[[#This Row],[Weekly change]])^52)-1</f>
        <v/>
      </c>
      <c r="E974" s="25">
        <f>AVERAGE(B971:B974)</f>
        <v/>
      </c>
      <c r="F974" s="33">
        <f>(Table2634[[#This Row],[4 weeks average]]-B922)/B922</f>
        <v/>
      </c>
    </row>
    <row r="975">
      <c r="A975" s="23" t="n">
        <v>34183</v>
      </c>
      <c r="B975" s="25">
        <f>VLOOKUP(Table2634[[#This Row],[Date]],'DB Money Supply'!$A:$D,4)</f>
        <v/>
      </c>
      <c r="C975" s="31">
        <f>(Table2634[[#This Row],[M1 Money Stock, Billions of Dollars, Weekly, Seasonally Adjusted]]-B974)/B974</f>
        <v/>
      </c>
      <c r="D975" s="35">
        <f>((1+Table2634[[#This Row],[Weekly change]])^52)-1</f>
        <v/>
      </c>
      <c r="E975" s="25">
        <f>AVERAGE(B972:B975)</f>
        <v/>
      </c>
      <c r="F975" s="33">
        <f>(Table2634[[#This Row],[4 weeks average]]-B923)/B923</f>
        <v/>
      </c>
    </row>
    <row r="976">
      <c r="A976" s="23" t="n">
        <v>34190</v>
      </c>
      <c r="B976" s="25">
        <f>VLOOKUP(Table2634[[#This Row],[Date]],'DB Money Supply'!$A:$D,4)</f>
        <v/>
      </c>
      <c r="C976" s="31">
        <f>(Table2634[[#This Row],[M1 Money Stock, Billions of Dollars, Weekly, Seasonally Adjusted]]-B975)/B975</f>
        <v/>
      </c>
      <c r="D976" s="35">
        <f>((1+Table2634[[#This Row],[Weekly change]])^52)-1</f>
        <v/>
      </c>
      <c r="E976" s="25">
        <f>AVERAGE(B973:B976)</f>
        <v/>
      </c>
      <c r="F976" s="33">
        <f>(Table2634[[#This Row],[4 weeks average]]-B924)/B924</f>
        <v/>
      </c>
    </row>
    <row r="977">
      <c r="A977" s="23" t="n">
        <v>34197</v>
      </c>
      <c r="B977" s="25">
        <f>VLOOKUP(Table2634[[#This Row],[Date]],'DB Money Supply'!$A:$D,4)</f>
        <v/>
      </c>
      <c r="C977" s="31">
        <f>(Table2634[[#This Row],[M1 Money Stock, Billions of Dollars, Weekly, Seasonally Adjusted]]-B976)/B976</f>
        <v/>
      </c>
      <c r="D977" s="35">
        <f>((1+Table2634[[#This Row],[Weekly change]])^52)-1</f>
        <v/>
      </c>
      <c r="E977" s="25">
        <f>AVERAGE(B974:B977)</f>
        <v/>
      </c>
      <c r="F977" s="33">
        <f>(Table2634[[#This Row],[4 weeks average]]-B925)/B925</f>
        <v/>
      </c>
    </row>
    <row r="978">
      <c r="A978" s="23" t="n">
        <v>34204</v>
      </c>
      <c r="B978" s="25">
        <f>VLOOKUP(Table2634[[#This Row],[Date]],'DB Money Supply'!$A:$D,4)</f>
        <v/>
      </c>
      <c r="C978" s="31">
        <f>(Table2634[[#This Row],[M1 Money Stock, Billions of Dollars, Weekly, Seasonally Adjusted]]-B977)/B977</f>
        <v/>
      </c>
      <c r="D978" s="35">
        <f>((1+Table2634[[#This Row],[Weekly change]])^52)-1</f>
        <v/>
      </c>
      <c r="E978" s="25">
        <f>AVERAGE(B975:B978)</f>
        <v/>
      </c>
      <c r="F978" s="33">
        <f>(Table2634[[#This Row],[4 weeks average]]-B926)/B926</f>
        <v/>
      </c>
    </row>
    <row r="979">
      <c r="A979" s="23" t="n">
        <v>34211</v>
      </c>
      <c r="B979" s="25">
        <f>VLOOKUP(Table2634[[#This Row],[Date]],'DB Money Supply'!$A:$D,4)</f>
        <v/>
      </c>
      <c r="C979" s="31">
        <f>(Table2634[[#This Row],[M1 Money Stock, Billions of Dollars, Weekly, Seasonally Adjusted]]-B978)/B978</f>
        <v/>
      </c>
      <c r="D979" s="35">
        <f>((1+Table2634[[#This Row],[Weekly change]])^52)-1</f>
        <v/>
      </c>
      <c r="E979" s="25">
        <f>AVERAGE(B976:B979)</f>
        <v/>
      </c>
      <c r="F979" s="33">
        <f>(Table2634[[#This Row],[4 weeks average]]-B927)/B927</f>
        <v/>
      </c>
    </row>
    <row r="980">
      <c r="A980" s="23" t="n">
        <v>34218</v>
      </c>
      <c r="B980" s="25">
        <f>VLOOKUP(Table2634[[#This Row],[Date]],'DB Money Supply'!$A:$D,4)</f>
        <v/>
      </c>
      <c r="C980" s="31">
        <f>(Table2634[[#This Row],[M1 Money Stock, Billions of Dollars, Weekly, Seasonally Adjusted]]-B979)/B979</f>
        <v/>
      </c>
      <c r="D980" s="35">
        <f>((1+Table2634[[#This Row],[Weekly change]])^52)-1</f>
        <v/>
      </c>
      <c r="E980" s="25">
        <f>AVERAGE(B977:B980)</f>
        <v/>
      </c>
      <c r="F980" s="33">
        <f>(Table2634[[#This Row],[4 weeks average]]-B928)/B928</f>
        <v/>
      </c>
    </row>
    <row r="981">
      <c r="A981" s="23" t="n">
        <v>34225</v>
      </c>
      <c r="B981" s="25">
        <f>VLOOKUP(Table2634[[#This Row],[Date]],'DB Money Supply'!$A:$D,4)</f>
        <v/>
      </c>
      <c r="C981" s="31">
        <f>(Table2634[[#This Row],[M1 Money Stock, Billions of Dollars, Weekly, Seasonally Adjusted]]-B980)/B980</f>
        <v/>
      </c>
      <c r="D981" s="35">
        <f>((1+Table2634[[#This Row],[Weekly change]])^52)-1</f>
        <v/>
      </c>
      <c r="E981" s="25">
        <f>AVERAGE(B978:B981)</f>
        <v/>
      </c>
      <c r="F981" s="33">
        <f>(Table2634[[#This Row],[4 weeks average]]-B929)/B929</f>
        <v/>
      </c>
    </row>
    <row r="982">
      <c r="A982" s="23" t="n">
        <v>34232</v>
      </c>
      <c r="B982" s="25">
        <f>VLOOKUP(Table2634[[#This Row],[Date]],'DB Money Supply'!$A:$D,4)</f>
        <v/>
      </c>
      <c r="C982" s="31">
        <f>(Table2634[[#This Row],[M1 Money Stock, Billions of Dollars, Weekly, Seasonally Adjusted]]-B981)/B981</f>
        <v/>
      </c>
      <c r="D982" s="35">
        <f>((1+Table2634[[#This Row],[Weekly change]])^52)-1</f>
        <v/>
      </c>
      <c r="E982" s="25">
        <f>AVERAGE(B979:B982)</f>
        <v/>
      </c>
      <c r="F982" s="33">
        <f>(Table2634[[#This Row],[4 weeks average]]-B930)/B930</f>
        <v/>
      </c>
    </row>
    <row r="983">
      <c r="A983" s="23" t="n">
        <v>34239</v>
      </c>
      <c r="B983" s="25">
        <f>VLOOKUP(Table2634[[#This Row],[Date]],'DB Money Supply'!$A:$D,4)</f>
        <v/>
      </c>
      <c r="C983" s="31">
        <f>(Table2634[[#This Row],[M1 Money Stock, Billions of Dollars, Weekly, Seasonally Adjusted]]-B982)/B982</f>
        <v/>
      </c>
      <c r="D983" s="35">
        <f>((1+Table2634[[#This Row],[Weekly change]])^52)-1</f>
        <v/>
      </c>
      <c r="E983" s="25">
        <f>AVERAGE(B980:B983)</f>
        <v/>
      </c>
      <c r="F983" s="33">
        <f>(Table2634[[#This Row],[4 weeks average]]-B931)/B931</f>
        <v/>
      </c>
    </row>
    <row r="984">
      <c r="A984" s="23" t="n">
        <v>34246</v>
      </c>
      <c r="B984" s="25">
        <f>VLOOKUP(Table2634[[#This Row],[Date]],'DB Money Supply'!$A:$D,4)</f>
        <v/>
      </c>
      <c r="C984" s="31">
        <f>(Table2634[[#This Row],[M1 Money Stock, Billions of Dollars, Weekly, Seasonally Adjusted]]-B983)/B983</f>
        <v/>
      </c>
      <c r="D984" s="35">
        <f>((1+Table2634[[#This Row],[Weekly change]])^52)-1</f>
        <v/>
      </c>
      <c r="E984" s="25">
        <f>AVERAGE(B981:B984)</f>
        <v/>
      </c>
      <c r="F984" s="33">
        <f>(Table2634[[#This Row],[4 weeks average]]-B932)/B932</f>
        <v/>
      </c>
    </row>
    <row r="985">
      <c r="A985" s="23" t="n">
        <v>34253</v>
      </c>
      <c r="B985" s="25">
        <f>VLOOKUP(Table2634[[#This Row],[Date]],'DB Money Supply'!$A:$D,4)</f>
        <v/>
      </c>
      <c r="C985" s="31">
        <f>(Table2634[[#This Row],[M1 Money Stock, Billions of Dollars, Weekly, Seasonally Adjusted]]-B984)/B984</f>
        <v/>
      </c>
      <c r="D985" s="35">
        <f>((1+Table2634[[#This Row],[Weekly change]])^52)-1</f>
        <v/>
      </c>
      <c r="E985" s="25">
        <f>AVERAGE(B982:B985)</f>
        <v/>
      </c>
      <c r="F985" s="33">
        <f>(Table2634[[#This Row],[4 weeks average]]-B933)/B933</f>
        <v/>
      </c>
    </row>
    <row r="986">
      <c r="A986" s="23" t="n">
        <v>34260</v>
      </c>
      <c r="B986" s="25">
        <f>VLOOKUP(Table2634[[#This Row],[Date]],'DB Money Supply'!$A:$D,4)</f>
        <v/>
      </c>
      <c r="C986" s="31">
        <f>(Table2634[[#This Row],[M1 Money Stock, Billions of Dollars, Weekly, Seasonally Adjusted]]-B985)/B985</f>
        <v/>
      </c>
      <c r="D986" s="35">
        <f>((1+Table2634[[#This Row],[Weekly change]])^52)-1</f>
        <v/>
      </c>
      <c r="E986" s="25">
        <f>AVERAGE(B983:B986)</f>
        <v/>
      </c>
      <c r="F986" s="33">
        <f>(Table2634[[#This Row],[4 weeks average]]-B934)/B934</f>
        <v/>
      </c>
    </row>
    <row r="987">
      <c r="A987" s="23" t="n">
        <v>34267</v>
      </c>
      <c r="B987" s="25">
        <f>VLOOKUP(Table2634[[#This Row],[Date]],'DB Money Supply'!$A:$D,4)</f>
        <v/>
      </c>
      <c r="C987" s="31">
        <f>(Table2634[[#This Row],[M1 Money Stock, Billions of Dollars, Weekly, Seasonally Adjusted]]-B986)/B986</f>
        <v/>
      </c>
      <c r="D987" s="35">
        <f>((1+Table2634[[#This Row],[Weekly change]])^52)-1</f>
        <v/>
      </c>
      <c r="E987" s="25">
        <f>AVERAGE(B984:B987)</f>
        <v/>
      </c>
      <c r="F987" s="33">
        <f>(Table2634[[#This Row],[4 weeks average]]-B935)/B935</f>
        <v/>
      </c>
    </row>
    <row r="988">
      <c r="A988" s="23" t="n">
        <v>34274</v>
      </c>
      <c r="B988" s="25">
        <f>VLOOKUP(Table2634[[#This Row],[Date]],'DB Money Supply'!$A:$D,4)</f>
        <v/>
      </c>
      <c r="C988" s="31">
        <f>(Table2634[[#This Row],[M1 Money Stock, Billions of Dollars, Weekly, Seasonally Adjusted]]-B987)/B987</f>
        <v/>
      </c>
      <c r="D988" s="35">
        <f>((1+Table2634[[#This Row],[Weekly change]])^52)-1</f>
        <v/>
      </c>
      <c r="E988" s="25">
        <f>AVERAGE(B985:B988)</f>
        <v/>
      </c>
      <c r="F988" s="33">
        <f>(Table2634[[#This Row],[4 weeks average]]-B936)/B936</f>
        <v/>
      </c>
    </row>
    <row r="989">
      <c r="A989" s="23" t="n">
        <v>34281</v>
      </c>
      <c r="B989" s="25">
        <f>VLOOKUP(Table2634[[#This Row],[Date]],'DB Money Supply'!$A:$D,4)</f>
        <v/>
      </c>
      <c r="C989" s="31">
        <f>(Table2634[[#This Row],[M1 Money Stock, Billions of Dollars, Weekly, Seasonally Adjusted]]-B988)/B988</f>
        <v/>
      </c>
      <c r="D989" s="35">
        <f>((1+Table2634[[#This Row],[Weekly change]])^52)-1</f>
        <v/>
      </c>
      <c r="E989" s="25">
        <f>AVERAGE(B986:B989)</f>
        <v/>
      </c>
      <c r="F989" s="33">
        <f>(Table2634[[#This Row],[4 weeks average]]-B937)/B937</f>
        <v/>
      </c>
    </row>
    <row r="990">
      <c r="A990" s="23" t="n">
        <v>34288</v>
      </c>
      <c r="B990" s="25">
        <f>VLOOKUP(Table2634[[#This Row],[Date]],'DB Money Supply'!$A:$D,4)</f>
        <v/>
      </c>
      <c r="C990" s="31">
        <f>(Table2634[[#This Row],[M1 Money Stock, Billions of Dollars, Weekly, Seasonally Adjusted]]-B989)/B989</f>
        <v/>
      </c>
      <c r="D990" s="35">
        <f>((1+Table2634[[#This Row],[Weekly change]])^52)-1</f>
        <v/>
      </c>
      <c r="E990" s="25">
        <f>AVERAGE(B987:B990)</f>
        <v/>
      </c>
      <c r="F990" s="33">
        <f>(Table2634[[#This Row],[4 weeks average]]-B938)/B938</f>
        <v/>
      </c>
    </row>
    <row r="991">
      <c r="A991" s="23" t="n">
        <v>34295</v>
      </c>
      <c r="B991" s="25">
        <f>VLOOKUP(Table2634[[#This Row],[Date]],'DB Money Supply'!$A:$D,4)</f>
        <v/>
      </c>
      <c r="C991" s="31">
        <f>(Table2634[[#This Row],[M1 Money Stock, Billions of Dollars, Weekly, Seasonally Adjusted]]-B990)/B990</f>
        <v/>
      </c>
      <c r="D991" s="35">
        <f>((1+Table2634[[#This Row],[Weekly change]])^52)-1</f>
        <v/>
      </c>
      <c r="E991" s="25">
        <f>AVERAGE(B988:B991)</f>
        <v/>
      </c>
      <c r="F991" s="33">
        <f>(Table2634[[#This Row],[4 weeks average]]-B939)/B939</f>
        <v/>
      </c>
    </row>
    <row r="992">
      <c r="A992" s="23" t="n">
        <v>34302</v>
      </c>
      <c r="B992" s="25">
        <f>VLOOKUP(Table2634[[#This Row],[Date]],'DB Money Supply'!$A:$D,4)</f>
        <v/>
      </c>
      <c r="C992" s="31">
        <f>(Table2634[[#This Row],[M1 Money Stock, Billions of Dollars, Weekly, Seasonally Adjusted]]-B991)/B991</f>
        <v/>
      </c>
      <c r="D992" s="35">
        <f>((1+Table2634[[#This Row],[Weekly change]])^52)-1</f>
        <v/>
      </c>
      <c r="E992" s="25">
        <f>AVERAGE(B989:B992)</f>
        <v/>
      </c>
      <c r="F992" s="33">
        <f>(Table2634[[#This Row],[4 weeks average]]-B940)/B940</f>
        <v/>
      </c>
    </row>
    <row r="993">
      <c r="A993" s="23" t="n">
        <v>34309</v>
      </c>
      <c r="B993" s="25">
        <f>VLOOKUP(Table2634[[#This Row],[Date]],'DB Money Supply'!$A:$D,4)</f>
        <v/>
      </c>
      <c r="C993" s="31">
        <f>(Table2634[[#This Row],[M1 Money Stock, Billions of Dollars, Weekly, Seasonally Adjusted]]-B992)/B992</f>
        <v/>
      </c>
      <c r="D993" s="35">
        <f>((1+Table2634[[#This Row],[Weekly change]])^52)-1</f>
        <v/>
      </c>
      <c r="E993" s="25">
        <f>AVERAGE(B990:B993)</f>
        <v/>
      </c>
      <c r="F993" s="33">
        <f>(Table2634[[#This Row],[4 weeks average]]-B941)/B941</f>
        <v/>
      </c>
    </row>
    <row r="994">
      <c r="A994" s="23" t="n">
        <v>34316</v>
      </c>
      <c r="B994" s="25">
        <f>VLOOKUP(Table2634[[#This Row],[Date]],'DB Money Supply'!$A:$D,4)</f>
        <v/>
      </c>
      <c r="C994" s="31">
        <f>(Table2634[[#This Row],[M1 Money Stock, Billions of Dollars, Weekly, Seasonally Adjusted]]-B993)/B993</f>
        <v/>
      </c>
      <c r="D994" s="35">
        <f>((1+Table2634[[#This Row],[Weekly change]])^52)-1</f>
        <v/>
      </c>
      <c r="E994" s="25">
        <f>AVERAGE(B991:B994)</f>
        <v/>
      </c>
      <c r="F994" s="33">
        <f>(Table2634[[#This Row],[4 weeks average]]-B942)/B942</f>
        <v/>
      </c>
    </row>
    <row r="995">
      <c r="A995" s="23" t="n">
        <v>34323</v>
      </c>
      <c r="B995" s="25">
        <f>VLOOKUP(Table2634[[#This Row],[Date]],'DB Money Supply'!$A:$D,4)</f>
        <v/>
      </c>
      <c r="C995" s="31">
        <f>(Table2634[[#This Row],[M1 Money Stock, Billions of Dollars, Weekly, Seasonally Adjusted]]-B994)/B994</f>
        <v/>
      </c>
      <c r="D995" s="35">
        <f>((1+Table2634[[#This Row],[Weekly change]])^52)-1</f>
        <v/>
      </c>
      <c r="E995" s="25">
        <f>AVERAGE(B992:B995)</f>
        <v/>
      </c>
      <c r="F995" s="33">
        <f>(Table2634[[#This Row],[4 weeks average]]-B943)/B943</f>
        <v/>
      </c>
    </row>
    <row r="996">
      <c r="A996" s="23" t="n">
        <v>34330</v>
      </c>
      <c r="B996" s="25">
        <f>VLOOKUP(Table2634[[#This Row],[Date]],'DB Money Supply'!$A:$D,4)</f>
        <v/>
      </c>
      <c r="C996" s="31">
        <f>(Table2634[[#This Row],[M1 Money Stock, Billions of Dollars, Weekly, Seasonally Adjusted]]-B995)/B995</f>
        <v/>
      </c>
      <c r="D996" s="35">
        <f>((1+Table2634[[#This Row],[Weekly change]])^52)-1</f>
        <v/>
      </c>
      <c r="E996" s="25">
        <f>AVERAGE(B993:B996)</f>
        <v/>
      </c>
      <c r="F996" s="33">
        <f>(Table2634[[#This Row],[4 weeks average]]-B944)/B944</f>
        <v/>
      </c>
    </row>
    <row r="997">
      <c r="A997" s="23" t="n">
        <v>34337</v>
      </c>
      <c r="B997" s="25">
        <f>VLOOKUP(Table2634[[#This Row],[Date]],'DB Money Supply'!$A:$D,4)</f>
        <v/>
      </c>
      <c r="C997" s="31">
        <f>(Table2634[[#This Row],[M1 Money Stock, Billions of Dollars, Weekly, Seasonally Adjusted]]-B996)/B996</f>
        <v/>
      </c>
      <c r="D997" s="35">
        <f>((1+Table2634[[#This Row],[Weekly change]])^52)-1</f>
        <v/>
      </c>
      <c r="E997" s="25">
        <f>AVERAGE(B994:B997)</f>
        <v/>
      </c>
      <c r="F997" s="33">
        <f>(Table2634[[#This Row],[4 weeks average]]-B945)/B945</f>
        <v/>
      </c>
    </row>
    <row r="998">
      <c r="A998" s="23" t="n">
        <v>34344</v>
      </c>
      <c r="B998" s="25">
        <f>VLOOKUP(Table2634[[#This Row],[Date]],'DB Money Supply'!$A:$D,4)</f>
        <v/>
      </c>
      <c r="C998" s="31">
        <f>(Table2634[[#This Row],[M1 Money Stock, Billions of Dollars, Weekly, Seasonally Adjusted]]-B997)/B997</f>
        <v/>
      </c>
      <c r="D998" s="35">
        <f>((1+Table2634[[#This Row],[Weekly change]])^52)-1</f>
        <v/>
      </c>
      <c r="E998" s="25">
        <f>AVERAGE(B995:B998)</f>
        <v/>
      </c>
      <c r="F998" s="33">
        <f>(Table2634[[#This Row],[4 weeks average]]-B946)/B946</f>
        <v/>
      </c>
    </row>
    <row r="999">
      <c r="A999" s="23" t="n">
        <v>34351</v>
      </c>
      <c r="B999" s="25">
        <f>VLOOKUP(Table2634[[#This Row],[Date]],'DB Money Supply'!$A:$D,4)</f>
        <v/>
      </c>
      <c r="C999" s="31">
        <f>(Table2634[[#This Row],[M1 Money Stock, Billions of Dollars, Weekly, Seasonally Adjusted]]-B998)/B998</f>
        <v/>
      </c>
      <c r="D999" s="35">
        <f>((1+Table2634[[#This Row],[Weekly change]])^52)-1</f>
        <v/>
      </c>
      <c r="E999" s="25">
        <f>AVERAGE(B996:B999)</f>
        <v/>
      </c>
      <c r="F999" s="33">
        <f>(Table2634[[#This Row],[4 weeks average]]-B947)/B947</f>
        <v/>
      </c>
    </row>
    <row r="1000">
      <c r="A1000" s="23" t="n">
        <v>34358</v>
      </c>
      <c r="B1000" s="25">
        <f>VLOOKUP(Table2634[[#This Row],[Date]],'DB Money Supply'!$A:$D,4)</f>
        <v/>
      </c>
      <c r="C1000" s="31">
        <f>(Table2634[[#This Row],[M1 Money Stock, Billions of Dollars, Weekly, Seasonally Adjusted]]-B999)/B999</f>
        <v/>
      </c>
      <c r="D1000" s="35">
        <f>((1+Table2634[[#This Row],[Weekly change]])^52)-1</f>
        <v/>
      </c>
      <c r="E1000" s="25">
        <f>AVERAGE(B997:B1000)</f>
        <v/>
      </c>
      <c r="F1000" s="33">
        <f>(Table2634[[#This Row],[4 weeks average]]-B948)/B948</f>
        <v/>
      </c>
    </row>
    <row r="1001">
      <c r="A1001" s="23" t="n">
        <v>34365</v>
      </c>
      <c r="B1001" s="25">
        <f>VLOOKUP(Table2634[[#This Row],[Date]],'DB Money Supply'!$A:$D,4)</f>
        <v/>
      </c>
      <c r="C1001" s="31">
        <f>(Table2634[[#This Row],[M1 Money Stock, Billions of Dollars, Weekly, Seasonally Adjusted]]-B1000)/B1000</f>
        <v/>
      </c>
      <c r="D1001" s="35">
        <f>((1+Table2634[[#This Row],[Weekly change]])^52)-1</f>
        <v/>
      </c>
      <c r="E1001" s="25">
        <f>AVERAGE(B998:B1001)</f>
        <v/>
      </c>
      <c r="F1001" s="33">
        <f>(Table2634[[#This Row],[4 weeks average]]-B949)/B949</f>
        <v/>
      </c>
    </row>
    <row r="1002">
      <c r="A1002" s="23" t="n">
        <v>34372</v>
      </c>
      <c r="B1002" s="25">
        <f>VLOOKUP(Table2634[[#This Row],[Date]],'DB Money Supply'!$A:$D,4)</f>
        <v/>
      </c>
      <c r="C1002" s="31">
        <f>(Table2634[[#This Row],[M1 Money Stock, Billions of Dollars, Weekly, Seasonally Adjusted]]-B1001)/B1001</f>
        <v/>
      </c>
      <c r="D1002" s="35">
        <f>((1+Table2634[[#This Row],[Weekly change]])^52)-1</f>
        <v/>
      </c>
      <c r="E1002" s="25">
        <f>AVERAGE(B999:B1002)</f>
        <v/>
      </c>
      <c r="F1002" s="33">
        <f>(Table2634[[#This Row],[4 weeks average]]-B950)/B950</f>
        <v/>
      </c>
    </row>
    <row r="1003">
      <c r="A1003" s="23" t="n">
        <v>34379</v>
      </c>
      <c r="B1003" s="25">
        <f>VLOOKUP(Table2634[[#This Row],[Date]],'DB Money Supply'!$A:$D,4)</f>
        <v/>
      </c>
      <c r="C1003" s="31">
        <f>(Table2634[[#This Row],[M1 Money Stock, Billions of Dollars, Weekly, Seasonally Adjusted]]-B1002)/B1002</f>
        <v/>
      </c>
      <c r="D1003" s="35">
        <f>((1+Table2634[[#This Row],[Weekly change]])^52)-1</f>
        <v/>
      </c>
      <c r="E1003" s="25">
        <f>AVERAGE(B1000:B1003)</f>
        <v/>
      </c>
      <c r="F1003" s="33">
        <f>(Table2634[[#This Row],[4 weeks average]]-B951)/B951</f>
        <v/>
      </c>
    </row>
    <row r="1004">
      <c r="A1004" s="23" t="n">
        <v>34386</v>
      </c>
      <c r="B1004" s="25">
        <f>VLOOKUP(Table2634[[#This Row],[Date]],'DB Money Supply'!$A:$D,4)</f>
        <v/>
      </c>
      <c r="C1004" s="31">
        <f>(Table2634[[#This Row],[M1 Money Stock, Billions of Dollars, Weekly, Seasonally Adjusted]]-B1003)/B1003</f>
        <v/>
      </c>
      <c r="D1004" s="35">
        <f>((1+Table2634[[#This Row],[Weekly change]])^52)-1</f>
        <v/>
      </c>
      <c r="E1004" s="25">
        <f>AVERAGE(B1001:B1004)</f>
        <v/>
      </c>
      <c r="F1004" s="33">
        <f>(Table2634[[#This Row],[4 weeks average]]-B952)/B952</f>
        <v/>
      </c>
    </row>
    <row r="1005">
      <c r="A1005" s="23" t="n">
        <v>34393</v>
      </c>
      <c r="B1005" s="25">
        <f>VLOOKUP(Table2634[[#This Row],[Date]],'DB Money Supply'!$A:$D,4)</f>
        <v/>
      </c>
      <c r="C1005" s="31">
        <f>(Table2634[[#This Row],[M1 Money Stock, Billions of Dollars, Weekly, Seasonally Adjusted]]-B1004)/B1004</f>
        <v/>
      </c>
      <c r="D1005" s="35">
        <f>((1+Table2634[[#This Row],[Weekly change]])^52)-1</f>
        <v/>
      </c>
      <c r="E1005" s="25">
        <f>AVERAGE(B1002:B1005)</f>
        <v/>
      </c>
      <c r="F1005" s="33">
        <f>(Table2634[[#This Row],[4 weeks average]]-B953)/B953</f>
        <v/>
      </c>
    </row>
    <row r="1006">
      <c r="A1006" s="23" t="n">
        <v>34400</v>
      </c>
      <c r="B1006" s="25">
        <f>VLOOKUP(Table2634[[#This Row],[Date]],'DB Money Supply'!$A:$D,4)</f>
        <v/>
      </c>
      <c r="C1006" s="31">
        <f>(Table2634[[#This Row],[M1 Money Stock, Billions of Dollars, Weekly, Seasonally Adjusted]]-B1005)/B1005</f>
        <v/>
      </c>
      <c r="D1006" s="35">
        <f>((1+Table2634[[#This Row],[Weekly change]])^52)-1</f>
        <v/>
      </c>
      <c r="E1006" s="25">
        <f>AVERAGE(B1003:B1006)</f>
        <v/>
      </c>
      <c r="F1006" s="33">
        <f>(Table2634[[#This Row],[4 weeks average]]-B954)/B954</f>
        <v/>
      </c>
    </row>
    <row r="1007">
      <c r="A1007" s="23" t="n">
        <v>34407</v>
      </c>
      <c r="B1007" s="25">
        <f>VLOOKUP(Table2634[[#This Row],[Date]],'DB Money Supply'!$A:$D,4)</f>
        <v/>
      </c>
      <c r="C1007" s="31">
        <f>(Table2634[[#This Row],[M1 Money Stock, Billions of Dollars, Weekly, Seasonally Adjusted]]-B1006)/B1006</f>
        <v/>
      </c>
      <c r="D1007" s="35">
        <f>((1+Table2634[[#This Row],[Weekly change]])^52)-1</f>
        <v/>
      </c>
      <c r="E1007" s="25">
        <f>AVERAGE(B1004:B1007)</f>
        <v/>
      </c>
      <c r="F1007" s="33">
        <f>(Table2634[[#This Row],[4 weeks average]]-B955)/B955</f>
        <v/>
      </c>
    </row>
    <row r="1008">
      <c r="A1008" s="23" t="n">
        <v>34414</v>
      </c>
      <c r="B1008" s="25">
        <f>VLOOKUP(Table2634[[#This Row],[Date]],'DB Money Supply'!$A:$D,4)</f>
        <v/>
      </c>
      <c r="C1008" s="31">
        <f>(Table2634[[#This Row],[M1 Money Stock, Billions of Dollars, Weekly, Seasonally Adjusted]]-B1007)/B1007</f>
        <v/>
      </c>
      <c r="D1008" s="35">
        <f>((1+Table2634[[#This Row],[Weekly change]])^52)-1</f>
        <v/>
      </c>
      <c r="E1008" s="25">
        <f>AVERAGE(B1005:B1008)</f>
        <v/>
      </c>
      <c r="F1008" s="33">
        <f>(Table2634[[#This Row],[4 weeks average]]-B956)/B956</f>
        <v/>
      </c>
    </row>
    <row r="1009">
      <c r="A1009" s="23" t="n">
        <v>34421</v>
      </c>
      <c r="B1009" s="25">
        <f>VLOOKUP(Table2634[[#This Row],[Date]],'DB Money Supply'!$A:$D,4)</f>
        <v/>
      </c>
      <c r="C1009" s="31">
        <f>(Table2634[[#This Row],[M1 Money Stock, Billions of Dollars, Weekly, Seasonally Adjusted]]-B1008)/B1008</f>
        <v/>
      </c>
      <c r="D1009" s="35">
        <f>((1+Table2634[[#This Row],[Weekly change]])^52)-1</f>
        <v/>
      </c>
      <c r="E1009" s="25">
        <f>AVERAGE(B1006:B1009)</f>
        <v/>
      </c>
      <c r="F1009" s="33">
        <f>(Table2634[[#This Row],[4 weeks average]]-B957)/B957</f>
        <v/>
      </c>
    </row>
    <row r="1010">
      <c r="A1010" s="23" t="n">
        <v>34428</v>
      </c>
      <c r="B1010" s="25">
        <f>VLOOKUP(Table2634[[#This Row],[Date]],'DB Money Supply'!$A:$D,4)</f>
        <v/>
      </c>
      <c r="C1010" s="31">
        <f>(Table2634[[#This Row],[M1 Money Stock, Billions of Dollars, Weekly, Seasonally Adjusted]]-B1009)/B1009</f>
        <v/>
      </c>
      <c r="D1010" s="35">
        <f>((1+Table2634[[#This Row],[Weekly change]])^52)-1</f>
        <v/>
      </c>
      <c r="E1010" s="25">
        <f>AVERAGE(B1007:B1010)</f>
        <v/>
      </c>
      <c r="F1010" s="33">
        <f>(Table2634[[#This Row],[4 weeks average]]-B958)/B958</f>
        <v/>
      </c>
    </row>
    <row r="1011">
      <c r="A1011" s="23" t="n">
        <v>34435</v>
      </c>
      <c r="B1011" s="25">
        <f>VLOOKUP(Table2634[[#This Row],[Date]],'DB Money Supply'!$A:$D,4)</f>
        <v/>
      </c>
      <c r="C1011" s="31">
        <f>(Table2634[[#This Row],[M1 Money Stock, Billions of Dollars, Weekly, Seasonally Adjusted]]-B1010)/B1010</f>
        <v/>
      </c>
      <c r="D1011" s="35">
        <f>((1+Table2634[[#This Row],[Weekly change]])^52)-1</f>
        <v/>
      </c>
      <c r="E1011" s="25">
        <f>AVERAGE(B1008:B1011)</f>
        <v/>
      </c>
      <c r="F1011" s="33">
        <f>(Table2634[[#This Row],[4 weeks average]]-B959)/B959</f>
        <v/>
      </c>
    </row>
    <row r="1012">
      <c r="A1012" s="23" t="n">
        <v>34442</v>
      </c>
      <c r="B1012" s="25">
        <f>VLOOKUP(Table2634[[#This Row],[Date]],'DB Money Supply'!$A:$D,4)</f>
        <v/>
      </c>
      <c r="C1012" s="31">
        <f>(Table2634[[#This Row],[M1 Money Stock, Billions of Dollars, Weekly, Seasonally Adjusted]]-B1011)/B1011</f>
        <v/>
      </c>
      <c r="D1012" s="35">
        <f>((1+Table2634[[#This Row],[Weekly change]])^52)-1</f>
        <v/>
      </c>
      <c r="E1012" s="25">
        <f>AVERAGE(B1009:B1012)</f>
        <v/>
      </c>
      <c r="F1012" s="33">
        <f>(Table2634[[#This Row],[4 weeks average]]-B960)/B960</f>
        <v/>
      </c>
    </row>
    <row r="1013">
      <c r="A1013" s="23" t="n">
        <v>34449</v>
      </c>
      <c r="B1013" s="25">
        <f>VLOOKUP(Table2634[[#This Row],[Date]],'DB Money Supply'!$A:$D,4)</f>
        <v/>
      </c>
      <c r="C1013" s="31">
        <f>(Table2634[[#This Row],[M1 Money Stock, Billions of Dollars, Weekly, Seasonally Adjusted]]-B1012)/B1012</f>
        <v/>
      </c>
      <c r="D1013" s="35">
        <f>((1+Table2634[[#This Row],[Weekly change]])^52)-1</f>
        <v/>
      </c>
      <c r="E1013" s="25">
        <f>AVERAGE(B1010:B1013)</f>
        <v/>
      </c>
      <c r="F1013" s="33">
        <f>(Table2634[[#This Row],[4 weeks average]]-B961)/B961</f>
        <v/>
      </c>
    </row>
    <row r="1014">
      <c r="A1014" s="23" t="n">
        <v>34456</v>
      </c>
      <c r="B1014" s="25">
        <f>VLOOKUP(Table2634[[#This Row],[Date]],'DB Money Supply'!$A:$D,4)</f>
        <v/>
      </c>
      <c r="C1014" s="31">
        <f>(Table2634[[#This Row],[M1 Money Stock, Billions of Dollars, Weekly, Seasonally Adjusted]]-B1013)/B1013</f>
        <v/>
      </c>
      <c r="D1014" s="35">
        <f>((1+Table2634[[#This Row],[Weekly change]])^52)-1</f>
        <v/>
      </c>
      <c r="E1014" s="25">
        <f>AVERAGE(B1011:B1014)</f>
        <v/>
      </c>
      <c r="F1014" s="33">
        <f>(Table2634[[#This Row],[4 weeks average]]-B962)/B962</f>
        <v/>
      </c>
    </row>
    <row r="1015">
      <c r="A1015" s="23" t="n">
        <v>34463</v>
      </c>
      <c r="B1015" s="25">
        <f>VLOOKUP(Table2634[[#This Row],[Date]],'DB Money Supply'!$A:$D,4)</f>
        <v/>
      </c>
      <c r="C1015" s="31">
        <f>(Table2634[[#This Row],[M1 Money Stock, Billions of Dollars, Weekly, Seasonally Adjusted]]-B1014)/B1014</f>
        <v/>
      </c>
      <c r="D1015" s="35">
        <f>((1+Table2634[[#This Row],[Weekly change]])^52)-1</f>
        <v/>
      </c>
      <c r="E1015" s="25">
        <f>AVERAGE(B1012:B1015)</f>
        <v/>
      </c>
      <c r="F1015" s="33">
        <f>(Table2634[[#This Row],[4 weeks average]]-B963)/B963</f>
        <v/>
      </c>
    </row>
    <row r="1016">
      <c r="A1016" s="23" t="n">
        <v>34470</v>
      </c>
      <c r="B1016" s="25">
        <f>VLOOKUP(Table2634[[#This Row],[Date]],'DB Money Supply'!$A:$D,4)</f>
        <v/>
      </c>
      <c r="C1016" s="31">
        <f>(Table2634[[#This Row],[M1 Money Stock, Billions of Dollars, Weekly, Seasonally Adjusted]]-B1015)/B1015</f>
        <v/>
      </c>
      <c r="D1016" s="35">
        <f>((1+Table2634[[#This Row],[Weekly change]])^52)-1</f>
        <v/>
      </c>
      <c r="E1016" s="25">
        <f>AVERAGE(B1013:B1016)</f>
        <v/>
      </c>
      <c r="F1016" s="33">
        <f>(Table2634[[#This Row],[4 weeks average]]-B964)/B964</f>
        <v/>
      </c>
    </row>
    <row r="1017">
      <c r="A1017" s="23" t="n">
        <v>34477</v>
      </c>
      <c r="B1017" s="25">
        <f>VLOOKUP(Table2634[[#This Row],[Date]],'DB Money Supply'!$A:$D,4)</f>
        <v/>
      </c>
      <c r="C1017" s="31">
        <f>(Table2634[[#This Row],[M1 Money Stock, Billions of Dollars, Weekly, Seasonally Adjusted]]-B1016)/B1016</f>
        <v/>
      </c>
      <c r="D1017" s="35">
        <f>((1+Table2634[[#This Row],[Weekly change]])^52)-1</f>
        <v/>
      </c>
      <c r="E1017" s="25">
        <f>AVERAGE(B1014:B1017)</f>
        <v/>
      </c>
      <c r="F1017" s="33">
        <f>(Table2634[[#This Row],[4 weeks average]]-B965)/B965</f>
        <v/>
      </c>
    </row>
    <row r="1018">
      <c r="A1018" s="23" t="n">
        <v>34484</v>
      </c>
      <c r="B1018" s="25">
        <f>VLOOKUP(Table2634[[#This Row],[Date]],'DB Money Supply'!$A:$D,4)</f>
        <v/>
      </c>
      <c r="C1018" s="31">
        <f>(Table2634[[#This Row],[M1 Money Stock, Billions of Dollars, Weekly, Seasonally Adjusted]]-B1017)/B1017</f>
        <v/>
      </c>
      <c r="D1018" s="35">
        <f>((1+Table2634[[#This Row],[Weekly change]])^52)-1</f>
        <v/>
      </c>
      <c r="E1018" s="25">
        <f>AVERAGE(B1015:B1018)</f>
        <v/>
      </c>
      <c r="F1018" s="33">
        <f>(Table2634[[#This Row],[4 weeks average]]-B966)/B966</f>
        <v/>
      </c>
    </row>
    <row r="1019">
      <c r="A1019" s="23" t="n">
        <v>34491</v>
      </c>
      <c r="B1019" s="25">
        <f>VLOOKUP(Table2634[[#This Row],[Date]],'DB Money Supply'!$A:$D,4)</f>
        <v/>
      </c>
      <c r="C1019" s="31">
        <f>(Table2634[[#This Row],[M1 Money Stock, Billions of Dollars, Weekly, Seasonally Adjusted]]-B1018)/B1018</f>
        <v/>
      </c>
      <c r="D1019" s="35">
        <f>((1+Table2634[[#This Row],[Weekly change]])^52)-1</f>
        <v/>
      </c>
      <c r="E1019" s="25">
        <f>AVERAGE(B1016:B1019)</f>
        <v/>
      </c>
      <c r="F1019" s="33">
        <f>(Table2634[[#This Row],[4 weeks average]]-B967)/B967</f>
        <v/>
      </c>
    </row>
    <row r="1020">
      <c r="A1020" s="23" t="n">
        <v>34498</v>
      </c>
      <c r="B1020" s="25">
        <f>VLOOKUP(Table2634[[#This Row],[Date]],'DB Money Supply'!$A:$D,4)</f>
        <v/>
      </c>
      <c r="C1020" s="31">
        <f>(Table2634[[#This Row],[M1 Money Stock, Billions of Dollars, Weekly, Seasonally Adjusted]]-B1019)/B1019</f>
        <v/>
      </c>
      <c r="D1020" s="35">
        <f>((1+Table2634[[#This Row],[Weekly change]])^52)-1</f>
        <v/>
      </c>
      <c r="E1020" s="25">
        <f>AVERAGE(B1017:B1020)</f>
        <v/>
      </c>
      <c r="F1020" s="33">
        <f>(Table2634[[#This Row],[4 weeks average]]-B968)/B968</f>
        <v/>
      </c>
    </row>
    <row r="1021">
      <c r="A1021" s="23" t="n">
        <v>34505</v>
      </c>
      <c r="B1021" s="25">
        <f>VLOOKUP(Table2634[[#This Row],[Date]],'DB Money Supply'!$A:$D,4)</f>
        <v/>
      </c>
      <c r="C1021" s="31">
        <f>(Table2634[[#This Row],[M1 Money Stock, Billions of Dollars, Weekly, Seasonally Adjusted]]-B1020)/B1020</f>
        <v/>
      </c>
      <c r="D1021" s="35">
        <f>((1+Table2634[[#This Row],[Weekly change]])^52)-1</f>
        <v/>
      </c>
      <c r="E1021" s="25">
        <f>AVERAGE(B1018:B1021)</f>
        <v/>
      </c>
      <c r="F1021" s="33">
        <f>(Table2634[[#This Row],[4 weeks average]]-B969)/B969</f>
        <v/>
      </c>
    </row>
    <row r="1022">
      <c r="A1022" s="23" t="n">
        <v>34512</v>
      </c>
      <c r="B1022" s="25">
        <f>VLOOKUP(Table2634[[#This Row],[Date]],'DB Money Supply'!$A:$D,4)</f>
        <v/>
      </c>
      <c r="C1022" s="31">
        <f>(Table2634[[#This Row],[M1 Money Stock, Billions of Dollars, Weekly, Seasonally Adjusted]]-B1021)/B1021</f>
        <v/>
      </c>
      <c r="D1022" s="35">
        <f>((1+Table2634[[#This Row],[Weekly change]])^52)-1</f>
        <v/>
      </c>
      <c r="E1022" s="25">
        <f>AVERAGE(B1019:B1022)</f>
        <v/>
      </c>
      <c r="F1022" s="33">
        <f>(Table2634[[#This Row],[4 weeks average]]-B970)/B970</f>
        <v/>
      </c>
    </row>
    <row r="1023">
      <c r="A1023" s="23" t="n">
        <v>34519</v>
      </c>
      <c r="B1023" s="25">
        <f>VLOOKUP(Table2634[[#This Row],[Date]],'DB Money Supply'!$A:$D,4)</f>
        <v/>
      </c>
      <c r="C1023" s="31">
        <f>(Table2634[[#This Row],[M1 Money Stock, Billions of Dollars, Weekly, Seasonally Adjusted]]-B1022)/B1022</f>
        <v/>
      </c>
      <c r="D1023" s="35">
        <f>((1+Table2634[[#This Row],[Weekly change]])^52)-1</f>
        <v/>
      </c>
      <c r="E1023" s="25">
        <f>AVERAGE(B1020:B1023)</f>
        <v/>
      </c>
      <c r="F1023" s="33">
        <f>(Table2634[[#This Row],[4 weeks average]]-B971)/B971</f>
        <v/>
      </c>
    </row>
    <row r="1024">
      <c r="A1024" s="23" t="n">
        <v>34526</v>
      </c>
      <c r="B1024" s="25">
        <f>VLOOKUP(Table2634[[#This Row],[Date]],'DB Money Supply'!$A:$D,4)</f>
        <v/>
      </c>
      <c r="C1024" s="31">
        <f>(Table2634[[#This Row],[M1 Money Stock, Billions of Dollars, Weekly, Seasonally Adjusted]]-B1023)/B1023</f>
        <v/>
      </c>
      <c r="D1024" s="35">
        <f>((1+Table2634[[#This Row],[Weekly change]])^52)-1</f>
        <v/>
      </c>
      <c r="E1024" s="25">
        <f>AVERAGE(B1021:B1024)</f>
        <v/>
      </c>
      <c r="F1024" s="33">
        <f>(Table2634[[#This Row],[4 weeks average]]-B972)/B972</f>
        <v/>
      </c>
    </row>
    <row r="1025">
      <c r="A1025" s="23" t="n">
        <v>34533</v>
      </c>
      <c r="B1025" s="25">
        <f>VLOOKUP(Table2634[[#This Row],[Date]],'DB Money Supply'!$A:$D,4)</f>
        <v/>
      </c>
      <c r="C1025" s="31">
        <f>(Table2634[[#This Row],[M1 Money Stock, Billions of Dollars, Weekly, Seasonally Adjusted]]-B1024)/B1024</f>
        <v/>
      </c>
      <c r="D1025" s="35">
        <f>((1+Table2634[[#This Row],[Weekly change]])^52)-1</f>
        <v/>
      </c>
      <c r="E1025" s="25">
        <f>AVERAGE(B1022:B1025)</f>
        <v/>
      </c>
      <c r="F1025" s="33">
        <f>(Table2634[[#This Row],[4 weeks average]]-B973)/B973</f>
        <v/>
      </c>
    </row>
    <row r="1026">
      <c r="A1026" s="23" t="n">
        <v>34540</v>
      </c>
      <c r="B1026" s="25">
        <f>VLOOKUP(Table2634[[#This Row],[Date]],'DB Money Supply'!$A:$D,4)</f>
        <v/>
      </c>
      <c r="C1026" s="31">
        <f>(Table2634[[#This Row],[M1 Money Stock, Billions of Dollars, Weekly, Seasonally Adjusted]]-B1025)/B1025</f>
        <v/>
      </c>
      <c r="D1026" s="35">
        <f>((1+Table2634[[#This Row],[Weekly change]])^52)-1</f>
        <v/>
      </c>
      <c r="E1026" s="25">
        <f>AVERAGE(B1023:B1026)</f>
        <v/>
      </c>
      <c r="F1026" s="33">
        <f>(Table2634[[#This Row],[4 weeks average]]-B974)/B974</f>
        <v/>
      </c>
    </row>
    <row r="1027">
      <c r="A1027" s="23" t="n">
        <v>34547</v>
      </c>
      <c r="B1027" s="25">
        <f>VLOOKUP(Table2634[[#This Row],[Date]],'DB Money Supply'!$A:$D,4)</f>
        <v/>
      </c>
      <c r="C1027" s="31">
        <f>(Table2634[[#This Row],[M1 Money Stock, Billions of Dollars, Weekly, Seasonally Adjusted]]-B1026)/B1026</f>
        <v/>
      </c>
      <c r="D1027" s="35">
        <f>((1+Table2634[[#This Row],[Weekly change]])^52)-1</f>
        <v/>
      </c>
      <c r="E1027" s="25">
        <f>AVERAGE(B1024:B1027)</f>
        <v/>
      </c>
      <c r="F1027" s="33">
        <f>(Table2634[[#This Row],[4 weeks average]]-B975)/B975</f>
        <v/>
      </c>
    </row>
    <row r="1028">
      <c r="A1028" s="23" t="n">
        <v>34554</v>
      </c>
      <c r="B1028" s="25">
        <f>VLOOKUP(Table2634[[#This Row],[Date]],'DB Money Supply'!$A:$D,4)</f>
        <v/>
      </c>
      <c r="C1028" s="31">
        <f>(Table2634[[#This Row],[M1 Money Stock, Billions of Dollars, Weekly, Seasonally Adjusted]]-B1027)/B1027</f>
        <v/>
      </c>
      <c r="D1028" s="35">
        <f>((1+Table2634[[#This Row],[Weekly change]])^52)-1</f>
        <v/>
      </c>
      <c r="E1028" s="25">
        <f>AVERAGE(B1025:B1028)</f>
        <v/>
      </c>
      <c r="F1028" s="33">
        <f>(Table2634[[#This Row],[4 weeks average]]-B976)/B976</f>
        <v/>
      </c>
    </row>
    <row r="1029">
      <c r="A1029" s="23" t="n">
        <v>34561</v>
      </c>
      <c r="B1029" s="25">
        <f>VLOOKUP(Table2634[[#This Row],[Date]],'DB Money Supply'!$A:$D,4)</f>
        <v/>
      </c>
      <c r="C1029" s="31">
        <f>(Table2634[[#This Row],[M1 Money Stock, Billions of Dollars, Weekly, Seasonally Adjusted]]-B1028)/B1028</f>
        <v/>
      </c>
      <c r="D1029" s="35">
        <f>((1+Table2634[[#This Row],[Weekly change]])^52)-1</f>
        <v/>
      </c>
      <c r="E1029" s="25">
        <f>AVERAGE(B1026:B1029)</f>
        <v/>
      </c>
      <c r="F1029" s="33">
        <f>(Table2634[[#This Row],[4 weeks average]]-B977)/B977</f>
        <v/>
      </c>
    </row>
    <row r="1030">
      <c r="A1030" s="23" t="n">
        <v>34568</v>
      </c>
      <c r="B1030" s="25">
        <f>VLOOKUP(Table2634[[#This Row],[Date]],'DB Money Supply'!$A:$D,4)</f>
        <v/>
      </c>
      <c r="C1030" s="31">
        <f>(Table2634[[#This Row],[M1 Money Stock, Billions of Dollars, Weekly, Seasonally Adjusted]]-B1029)/B1029</f>
        <v/>
      </c>
      <c r="D1030" s="35">
        <f>((1+Table2634[[#This Row],[Weekly change]])^52)-1</f>
        <v/>
      </c>
      <c r="E1030" s="25">
        <f>AVERAGE(B1027:B1030)</f>
        <v/>
      </c>
      <c r="F1030" s="33">
        <f>(Table2634[[#This Row],[4 weeks average]]-B978)/B978</f>
        <v/>
      </c>
    </row>
    <row r="1031">
      <c r="A1031" s="23" t="n">
        <v>34575</v>
      </c>
      <c r="B1031" s="25">
        <f>VLOOKUP(Table2634[[#This Row],[Date]],'DB Money Supply'!$A:$D,4)</f>
        <v/>
      </c>
      <c r="C1031" s="31">
        <f>(Table2634[[#This Row],[M1 Money Stock, Billions of Dollars, Weekly, Seasonally Adjusted]]-B1030)/B1030</f>
        <v/>
      </c>
      <c r="D1031" s="35">
        <f>((1+Table2634[[#This Row],[Weekly change]])^52)-1</f>
        <v/>
      </c>
      <c r="E1031" s="25">
        <f>AVERAGE(B1028:B1031)</f>
        <v/>
      </c>
      <c r="F1031" s="33">
        <f>(Table2634[[#This Row],[4 weeks average]]-B979)/B979</f>
        <v/>
      </c>
    </row>
    <row r="1032">
      <c r="A1032" s="23" t="n">
        <v>34582</v>
      </c>
      <c r="B1032" s="25">
        <f>VLOOKUP(Table2634[[#This Row],[Date]],'DB Money Supply'!$A:$D,4)</f>
        <v/>
      </c>
      <c r="C1032" s="31">
        <f>(Table2634[[#This Row],[M1 Money Stock, Billions of Dollars, Weekly, Seasonally Adjusted]]-B1031)/B1031</f>
        <v/>
      </c>
      <c r="D1032" s="35">
        <f>((1+Table2634[[#This Row],[Weekly change]])^52)-1</f>
        <v/>
      </c>
      <c r="E1032" s="25">
        <f>AVERAGE(B1029:B1032)</f>
        <v/>
      </c>
      <c r="F1032" s="33">
        <f>(Table2634[[#This Row],[4 weeks average]]-B980)/B980</f>
        <v/>
      </c>
    </row>
    <row r="1033">
      <c r="A1033" s="23" t="n">
        <v>34589</v>
      </c>
      <c r="B1033" s="25">
        <f>VLOOKUP(Table2634[[#This Row],[Date]],'DB Money Supply'!$A:$D,4)</f>
        <v/>
      </c>
      <c r="C1033" s="31">
        <f>(Table2634[[#This Row],[M1 Money Stock, Billions of Dollars, Weekly, Seasonally Adjusted]]-B1032)/B1032</f>
        <v/>
      </c>
      <c r="D1033" s="35">
        <f>((1+Table2634[[#This Row],[Weekly change]])^52)-1</f>
        <v/>
      </c>
      <c r="E1033" s="25">
        <f>AVERAGE(B1030:B1033)</f>
        <v/>
      </c>
      <c r="F1033" s="33">
        <f>(Table2634[[#This Row],[4 weeks average]]-B981)/B981</f>
        <v/>
      </c>
    </row>
    <row r="1034">
      <c r="A1034" s="23" t="n">
        <v>34596</v>
      </c>
      <c r="B1034" s="25">
        <f>VLOOKUP(Table2634[[#This Row],[Date]],'DB Money Supply'!$A:$D,4)</f>
        <v/>
      </c>
      <c r="C1034" s="31">
        <f>(Table2634[[#This Row],[M1 Money Stock, Billions of Dollars, Weekly, Seasonally Adjusted]]-B1033)/B1033</f>
        <v/>
      </c>
      <c r="D1034" s="35">
        <f>((1+Table2634[[#This Row],[Weekly change]])^52)-1</f>
        <v/>
      </c>
      <c r="E1034" s="25">
        <f>AVERAGE(B1031:B1034)</f>
        <v/>
      </c>
      <c r="F1034" s="33">
        <f>(Table2634[[#This Row],[4 weeks average]]-B982)/B982</f>
        <v/>
      </c>
    </row>
    <row r="1035">
      <c r="A1035" s="23" t="n">
        <v>34603</v>
      </c>
      <c r="B1035" s="25">
        <f>VLOOKUP(Table2634[[#This Row],[Date]],'DB Money Supply'!$A:$D,4)</f>
        <v/>
      </c>
      <c r="C1035" s="31">
        <f>(Table2634[[#This Row],[M1 Money Stock, Billions of Dollars, Weekly, Seasonally Adjusted]]-B1034)/B1034</f>
        <v/>
      </c>
      <c r="D1035" s="35">
        <f>((1+Table2634[[#This Row],[Weekly change]])^52)-1</f>
        <v/>
      </c>
      <c r="E1035" s="25">
        <f>AVERAGE(B1032:B1035)</f>
        <v/>
      </c>
      <c r="F1035" s="33">
        <f>(Table2634[[#This Row],[4 weeks average]]-B983)/B983</f>
        <v/>
      </c>
    </row>
    <row r="1036">
      <c r="A1036" s="23" t="n">
        <v>34610</v>
      </c>
      <c r="B1036" s="25">
        <f>VLOOKUP(Table2634[[#This Row],[Date]],'DB Money Supply'!$A:$D,4)</f>
        <v/>
      </c>
      <c r="C1036" s="31">
        <f>(Table2634[[#This Row],[M1 Money Stock, Billions of Dollars, Weekly, Seasonally Adjusted]]-B1035)/B1035</f>
        <v/>
      </c>
      <c r="D1036" s="35">
        <f>((1+Table2634[[#This Row],[Weekly change]])^52)-1</f>
        <v/>
      </c>
      <c r="E1036" s="25">
        <f>AVERAGE(B1033:B1036)</f>
        <v/>
      </c>
      <c r="F1036" s="33">
        <f>(Table2634[[#This Row],[4 weeks average]]-B984)/B984</f>
        <v/>
      </c>
    </row>
    <row r="1037">
      <c r="A1037" s="23" t="n">
        <v>34617</v>
      </c>
      <c r="B1037" s="25">
        <f>VLOOKUP(Table2634[[#This Row],[Date]],'DB Money Supply'!$A:$D,4)</f>
        <v/>
      </c>
      <c r="C1037" s="31">
        <f>(Table2634[[#This Row],[M1 Money Stock, Billions of Dollars, Weekly, Seasonally Adjusted]]-B1036)/B1036</f>
        <v/>
      </c>
      <c r="D1037" s="35">
        <f>((1+Table2634[[#This Row],[Weekly change]])^52)-1</f>
        <v/>
      </c>
      <c r="E1037" s="25">
        <f>AVERAGE(B1034:B1037)</f>
        <v/>
      </c>
      <c r="F1037" s="33">
        <f>(Table2634[[#This Row],[4 weeks average]]-B985)/B985</f>
        <v/>
      </c>
    </row>
    <row r="1038">
      <c r="A1038" s="23" t="n">
        <v>34624</v>
      </c>
      <c r="B1038" s="25">
        <f>VLOOKUP(Table2634[[#This Row],[Date]],'DB Money Supply'!$A:$D,4)</f>
        <v/>
      </c>
      <c r="C1038" s="31">
        <f>(Table2634[[#This Row],[M1 Money Stock, Billions of Dollars, Weekly, Seasonally Adjusted]]-B1037)/B1037</f>
        <v/>
      </c>
      <c r="D1038" s="35">
        <f>((1+Table2634[[#This Row],[Weekly change]])^52)-1</f>
        <v/>
      </c>
      <c r="E1038" s="25">
        <f>AVERAGE(B1035:B1038)</f>
        <v/>
      </c>
      <c r="F1038" s="33">
        <f>(Table2634[[#This Row],[4 weeks average]]-B986)/B986</f>
        <v/>
      </c>
    </row>
    <row r="1039">
      <c r="A1039" s="23" t="n">
        <v>34631</v>
      </c>
      <c r="B1039" s="25">
        <f>VLOOKUP(Table2634[[#This Row],[Date]],'DB Money Supply'!$A:$D,4)</f>
        <v/>
      </c>
      <c r="C1039" s="31">
        <f>(Table2634[[#This Row],[M1 Money Stock, Billions of Dollars, Weekly, Seasonally Adjusted]]-B1038)/B1038</f>
        <v/>
      </c>
      <c r="D1039" s="35">
        <f>((1+Table2634[[#This Row],[Weekly change]])^52)-1</f>
        <v/>
      </c>
      <c r="E1039" s="25">
        <f>AVERAGE(B1036:B1039)</f>
        <v/>
      </c>
      <c r="F1039" s="33">
        <f>(Table2634[[#This Row],[4 weeks average]]-B987)/B987</f>
        <v/>
      </c>
    </row>
    <row r="1040">
      <c r="A1040" s="23" t="n">
        <v>34638</v>
      </c>
      <c r="B1040" s="25">
        <f>VLOOKUP(Table2634[[#This Row],[Date]],'DB Money Supply'!$A:$D,4)</f>
        <v/>
      </c>
      <c r="C1040" s="31">
        <f>(Table2634[[#This Row],[M1 Money Stock, Billions of Dollars, Weekly, Seasonally Adjusted]]-B1039)/B1039</f>
        <v/>
      </c>
      <c r="D1040" s="35">
        <f>((1+Table2634[[#This Row],[Weekly change]])^52)-1</f>
        <v/>
      </c>
      <c r="E1040" s="25">
        <f>AVERAGE(B1037:B1040)</f>
        <v/>
      </c>
      <c r="F1040" s="33">
        <f>(Table2634[[#This Row],[4 weeks average]]-B988)/B988</f>
        <v/>
      </c>
    </row>
    <row r="1041">
      <c r="A1041" s="23" t="n">
        <v>34645</v>
      </c>
      <c r="B1041" s="25">
        <f>VLOOKUP(Table2634[[#This Row],[Date]],'DB Money Supply'!$A:$D,4)</f>
        <v/>
      </c>
      <c r="C1041" s="31">
        <f>(Table2634[[#This Row],[M1 Money Stock, Billions of Dollars, Weekly, Seasonally Adjusted]]-B1040)/B1040</f>
        <v/>
      </c>
      <c r="D1041" s="35">
        <f>((1+Table2634[[#This Row],[Weekly change]])^52)-1</f>
        <v/>
      </c>
      <c r="E1041" s="25">
        <f>AVERAGE(B1038:B1041)</f>
        <v/>
      </c>
      <c r="F1041" s="33">
        <f>(Table2634[[#This Row],[4 weeks average]]-B989)/B989</f>
        <v/>
      </c>
    </row>
    <row r="1042">
      <c r="A1042" s="23" t="n">
        <v>34652</v>
      </c>
      <c r="B1042" s="25">
        <f>VLOOKUP(Table2634[[#This Row],[Date]],'DB Money Supply'!$A:$D,4)</f>
        <v/>
      </c>
      <c r="C1042" s="31">
        <f>(Table2634[[#This Row],[M1 Money Stock, Billions of Dollars, Weekly, Seasonally Adjusted]]-B1041)/B1041</f>
        <v/>
      </c>
      <c r="D1042" s="35">
        <f>((1+Table2634[[#This Row],[Weekly change]])^52)-1</f>
        <v/>
      </c>
      <c r="E1042" s="25">
        <f>AVERAGE(B1039:B1042)</f>
        <v/>
      </c>
      <c r="F1042" s="33">
        <f>(Table2634[[#This Row],[4 weeks average]]-B990)/B990</f>
        <v/>
      </c>
    </row>
    <row r="1043">
      <c r="A1043" s="23" t="n">
        <v>34659</v>
      </c>
      <c r="B1043" s="25">
        <f>VLOOKUP(Table2634[[#This Row],[Date]],'DB Money Supply'!$A:$D,4)</f>
        <v/>
      </c>
      <c r="C1043" s="31">
        <f>(Table2634[[#This Row],[M1 Money Stock, Billions of Dollars, Weekly, Seasonally Adjusted]]-B1042)/B1042</f>
        <v/>
      </c>
      <c r="D1043" s="35">
        <f>((1+Table2634[[#This Row],[Weekly change]])^52)-1</f>
        <v/>
      </c>
      <c r="E1043" s="25">
        <f>AVERAGE(B1040:B1043)</f>
        <v/>
      </c>
      <c r="F1043" s="33">
        <f>(Table2634[[#This Row],[4 weeks average]]-B991)/B991</f>
        <v/>
      </c>
    </row>
    <row r="1044">
      <c r="A1044" s="23" t="n">
        <v>34666</v>
      </c>
      <c r="B1044" s="25">
        <f>VLOOKUP(Table2634[[#This Row],[Date]],'DB Money Supply'!$A:$D,4)</f>
        <v/>
      </c>
      <c r="C1044" s="31">
        <f>(Table2634[[#This Row],[M1 Money Stock, Billions of Dollars, Weekly, Seasonally Adjusted]]-B1043)/B1043</f>
        <v/>
      </c>
      <c r="D1044" s="35">
        <f>((1+Table2634[[#This Row],[Weekly change]])^52)-1</f>
        <v/>
      </c>
      <c r="E1044" s="25">
        <f>AVERAGE(B1041:B1044)</f>
        <v/>
      </c>
      <c r="F1044" s="33">
        <f>(Table2634[[#This Row],[4 weeks average]]-B992)/B992</f>
        <v/>
      </c>
    </row>
    <row r="1045">
      <c r="A1045" s="23" t="n">
        <v>34673</v>
      </c>
      <c r="B1045" s="25">
        <f>VLOOKUP(Table2634[[#This Row],[Date]],'DB Money Supply'!$A:$D,4)</f>
        <v/>
      </c>
      <c r="C1045" s="31">
        <f>(Table2634[[#This Row],[M1 Money Stock, Billions of Dollars, Weekly, Seasonally Adjusted]]-B1044)/B1044</f>
        <v/>
      </c>
      <c r="D1045" s="35">
        <f>((1+Table2634[[#This Row],[Weekly change]])^52)-1</f>
        <v/>
      </c>
      <c r="E1045" s="25">
        <f>AVERAGE(B1042:B1045)</f>
        <v/>
      </c>
      <c r="F1045" s="33">
        <f>(Table2634[[#This Row],[4 weeks average]]-B993)/B993</f>
        <v/>
      </c>
    </row>
    <row r="1046">
      <c r="A1046" s="23" t="n">
        <v>34680</v>
      </c>
      <c r="B1046" s="25">
        <f>VLOOKUP(Table2634[[#This Row],[Date]],'DB Money Supply'!$A:$D,4)</f>
        <v/>
      </c>
      <c r="C1046" s="31">
        <f>(Table2634[[#This Row],[M1 Money Stock, Billions of Dollars, Weekly, Seasonally Adjusted]]-B1045)/B1045</f>
        <v/>
      </c>
      <c r="D1046" s="35">
        <f>((1+Table2634[[#This Row],[Weekly change]])^52)-1</f>
        <v/>
      </c>
      <c r="E1046" s="25">
        <f>AVERAGE(B1043:B1046)</f>
        <v/>
      </c>
      <c r="F1046" s="33">
        <f>(Table2634[[#This Row],[4 weeks average]]-B994)/B994</f>
        <v/>
      </c>
    </row>
    <row r="1047">
      <c r="A1047" s="23" t="n">
        <v>34687</v>
      </c>
      <c r="B1047" s="25">
        <f>VLOOKUP(Table2634[[#This Row],[Date]],'DB Money Supply'!$A:$D,4)</f>
        <v/>
      </c>
      <c r="C1047" s="31">
        <f>(Table2634[[#This Row],[M1 Money Stock, Billions of Dollars, Weekly, Seasonally Adjusted]]-B1046)/B1046</f>
        <v/>
      </c>
      <c r="D1047" s="35">
        <f>((1+Table2634[[#This Row],[Weekly change]])^52)-1</f>
        <v/>
      </c>
      <c r="E1047" s="25">
        <f>AVERAGE(B1044:B1047)</f>
        <v/>
      </c>
      <c r="F1047" s="33">
        <f>(Table2634[[#This Row],[4 weeks average]]-B995)/B995</f>
        <v/>
      </c>
    </row>
    <row r="1048">
      <c r="A1048" s="23" t="n">
        <v>34694</v>
      </c>
      <c r="B1048" s="25">
        <f>VLOOKUP(Table2634[[#This Row],[Date]],'DB Money Supply'!$A:$D,4)</f>
        <v/>
      </c>
      <c r="C1048" s="31">
        <f>(Table2634[[#This Row],[M1 Money Stock, Billions of Dollars, Weekly, Seasonally Adjusted]]-B1047)/B1047</f>
        <v/>
      </c>
      <c r="D1048" s="35">
        <f>((1+Table2634[[#This Row],[Weekly change]])^52)-1</f>
        <v/>
      </c>
      <c r="E1048" s="25">
        <f>AVERAGE(B1045:B1048)</f>
        <v/>
      </c>
      <c r="F1048" s="33">
        <f>(Table2634[[#This Row],[4 weeks average]]-B996)/B996</f>
        <v/>
      </c>
    </row>
    <row r="1049">
      <c r="A1049" s="23" t="n">
        <v>34701</v>
      </c>
      <c r="B1049" s="25">
        <f>VLOOKUP(Table2634[[#This Row],[Date]],'DB Money Supply'!$A:$D,4)</f>
        <v/>
      </c>
      <c r="C1049" s="31">
        <f>(Table2634[[#This Row],[M1 Money Stock, Billions of Dollars, Weekly, Seasonally Adjusted]]-B1048)/B1048</f>
        <v/>
      </c>
      <c r="D1049" s="35">
        <f>((1+Table2634[[#This Row],[Weekly change]])^52)-1</f>
        <v/>
      </c>
      <c r="E1049" s="25">
        <f>AVERAGE(B1046:B1049)</f>
        <v/>
      </c>
      <c r="F1049" s="33">
        <f>(Table2634[[#This Row],[4 weeks average]]-B997)/B997</f>
        <v/>
      </c>
    </row>
    <row r="1050">
      <c r="A1050" s="23" t="n">
        <v>34708</v>
      </c>
      <c r="B1050" s="25">
        <f>VLOOKUP(Table2634[[#This Row],[Date]],'DB Money Supply'!$A:$D,4)</f>
        <v/>
      </c>
      <c r="C1050" s="31">
        <f>(Table2634[[#This Row],[M1 Money Stock, Billions of Dollars, Weekly, Seasonally Adjusted]]-B1049)/B1049</f>
        <v/>
      </c>
      <c r="D1050" s="35">
        <f>((1+Table2634[[#This Row],[Weekly change]])^52)-1</f>
        <v/>
      </c>
      <c r="E1050" s="25">
        <f>AVERAGE(B1047:B1050)</f>
        <v/>
      </c>
      <c r="F1050" s="33">
        <f>(Table2634[[#This Row],[4 weeks average]]-B998)/B998</f>
        <v/>
      </c>
    </row>
    <row r="1051">
      <c r="A1051" s="23" t="n">
        <v>34715</v>
      </c>
      <c r="B1051" s="25">
        <f>VLOOKUP(Table2634[[#This Row],[Date]],'DB Money Supply'!$A:$D,4)</f>
        <v/>
      </c>
      <c r="C1051" s="31">
        <f>(Table2634[[#This Row],[M1 Money Stock, Billions of Dollars, Weekly, Seasonally Adjusted]]-B1050)/B1050</f>
        <v/>
      </c>
      <c r="D1051" s="35">
        <f>((1+Table2634[[#This Row],[Weekly change]])^52)-1</f>
        <v/>
      </c>
      <c r="E1051" s="25">
        <f>AVERAGE(B1048:B1051)</f>
        <v/>
      </c>
      <c r="F1051" s="33">
        <f>(Table2634[[#This Row],[4 weeks average]]-B999)/B999</f>
        <v/>
      </c>
    </row>
    <row r="1052">
      <c r="A1052" s="23" t="n">
        <v>34722</v>
      </c>
      <c r="B1052" s="25">
        <f>VLOOKUP(Table2634[[#This Row],[Date]],'DB Money Supply'!$A:$D,4)</f>
        <v/>
      </c>
      <c r="C1052" s="31">
        <f>(Table2634[[#This Row],[M1 Money Stock, Billions of Dollars, Weekly, Seasonally Adjusted]]-B1051)/B1051</f>
        <v/>
      </c>
      <c r="D1052" s="35">
        <f>((1+Table2634[[#This Row],[Weekly change]])^52)-1</f>
        <v/>
      </c>
      <c r="E1052" s="25">
        <f>AVERAGE(B1049:B1052)</f>
        <v/>
      </c>
      <c r="F1052" s="33">
        <f>(Table2634[[#This Row],[4 weeks average]]-B1000)/B1000</f>
        <v/>
      </c>
    </row>
    <row r="1053">
      <c r="A1053" s="23" t="n">
        <v>34729</v>
      </c>
      <c r="B1053" s="25">
        <f>VLOOKUP(Table2634[[#This Row],[Date]],'DB Money Supply'!$A:$D,4)</f>
        <v/>
      </c>
      <c r="C1053" s="31">
        <f>(Table2634[[#This Row],[M1 Money Stock, Billions of Dollars, Weekly, Seasonally Adjusted]]-B1052)/B1052</f>
        <v/>
      </c>
      <c r="D1053" s="35">
        <f>((1+Table2634[[#This Row],[Weekly change]])^52)-1</f>
        <v/>
      </c>
      <c r="E1053" s="25">
        <f>AVERAGE(B1050:B1053)</f>
        <v/>
      </c>
      <c r="F1053" s="33">
        <f>(Table2634[[#This Row],[4 weeks average]]-B1001)/B1001</f>
        <v/>
      </c>
    </row>
    <row r="1054">
      <c r="A1054" s="23" t="n">
        <v>34736</v>
      </c>
      <c r="B1054" s="25">
        <f>VLOOKUP(Table2634[[#This Row],[Date]],'DB Money Supply'!$A:$D,4)</f>
        <v/>
      </c>
      <c r="C1054" s="31">
        <f>(Table2634[[#This Row],[M1 Money Stock, Billions of Dollars, Weekly, Seasonally Adjusted]]-B1053)/B1053</f>
        <v/>
      </c>
      <c r="D1054" s="35">
        <f>((1+Table2634[[#This Row],[Weekly change]])^52)-1</f>
        <v/>
      </c>
      <c r="E1054" s="25">
        <f>AVERAGE(B1051:B1054)</f>
        <v/>
      </c>
      <c r="F1054" s="33">
        <f>(Table2634[[#This Row],[4 weeks average]]-B1002)/B1002</f>
        <v/>
      </c>
    </row>
    <row r="1055">
      <c r="A1055" s="23" t="n">
        <v>34743</v>
      </c>
      <c r="B1055" s="25">
        <f>VLOOKUP(Table2634[[#This Row],[Date]],'DB Money Supply'!$A:$D,4)</f>
        <v/>
      </c>
      <c r="C1055" s="31">
        <f>(Table2634[[#This Row],[M1 Money Stock, Billions of Dollars, Weekly, Seasonally Adjusted]]-B1054)/B1054</f>
        <v/>
      </c>
      <c r="D1055" s="35">
        <f>((1+Table2634[[#This Row],[Weekly change]])^52)-1</f>
        <v/>
      </c>
      <c r="E1055" s="25">
        <f>AVERAGE(B1052:B1055)</f>
        <v/>
      </c>
      <c r="F1055" s="33">
        <f>(Table2634[[#This Row],[4 weeks average]]-B1003)/B1003</f>
        <v/>
      </c>
    </row>
    <row r="1056">
      <c r="A1056" s="23" t="n">
        <v>34750</v>
      </c>
      <c r="B1056" s="25">
        <f>VLOOKUP(Table2634[[#This Row],[Date]],'DB Money Supply'!$A:$D,4)</f>
        <v/>
      </c>
      <c r="C1056" s="31">
        <f>(Table2634[[#This Row],[M1 Money Stock, Billions of Dollars, Weekly, Seasonally Adjusted]]-B1055)/B1055</f>
        <v/>
      </c>
      <c r="D1056" s="35">
        <f>((1+Table2634[[#This Row],[Weekly change]])^52)-1</f>
        <v/>
      </c>
      <c r="E1056" s="25">
        <f>AVERAGE(B1053:B1056)</f>
        <v/>
      </c>
      <c r="F1056" s="33">
        <f>(Table2634[[#This Row],[4 weeks average]]-B1004)/B1004</f>
        <v/>
      </c>
    </row>
    <row r="1057">
      <c r="A1057" s="23" t="n">
        <v>34757</v>
      </c>
      <c r="B1057" s="25">
        <f>VLOOKUP(Table2634[[#This Row],[Date]],'DB Money Supply'!$A:$D,4)</f>
        <v/>
      </c>
      <c r="C1057" s="31">
        <f>(Table2634[[#This Row],[M1 Money Stock, Billions of Dollars, Weekly, Seasonally Adjusted]]-B1056)/B1056</f>
        <v/>
      </c>
      <c r="D1057" s="35">
        <f>((1+Table2634[[#This Row],[Weekly change]])^52)-1</f>
        <v/>
      </c>
      <c r="E1057" s="25">
        <f>AVERAGE(B1054:B1057)</f>
        <v/>
      </c>
      <c r="F1057" s="33">
        <f>(Table2634[[#This Row],[4 weeks average]]-B1005)/B1005</f>
        <v/>
      </c>
    </row>
    <row r="1058">
      <c r="A1058" s="23" t="n">
        <v>34764</v>
      </c>
      <c r="B1058" s="25">
        <f>VLOOKUP(Table2634[[#This Row],[Date]],'DB Money Supply'!$A:$D,4)</f>
        <v/>
      </c>
      <c r="C1058" s="31">
        <f>(Table2634[[#This Row],[M1 Money Stock, Billions of Dollars, Weekly, Seasonally Adjusted]]-B1057)/B1057</f>
        <v/>
      </c>
      <c r="D1058" s="35">
        <f>((1+Table2634[[#This Row],[Weekly change]])^52)-1</f>
        <v/>
      </c>
      <c r="E1058" s="25">
        <f>AVERAGE(B1055:B1058)</f>
        <v/>
      </c>
      <c r="F1058" s="33">
        <f>(Table2634[[#This Row],[4 weeks average]]-B1006)/B1006</f>
        <v/>
      </c>
    </row>
    <row r="1059">
      <c r="A1059" s="23" t="n">
        <v>34771</v>
      </c>
      <c r="B1059" s="25">
        <f>VLOOKUP(Table2634[[#This Row],[Date]],'DB Money Supply'!$A:$D,4)</f>
        <v/>
      </c>
      <c r="C1059" s="31">
        <f>(Table2634[[#This Row],[M1 Money Stock, Billions of Dollars, Weekly, Seasonally Adjusted]]-B1058)/B1058</f>
        <v/>
      </c>
      <c r="D1059" s="35">
        <f>((1+Table2634[[#This Row],[Weekly change]])^52)-1</f>
        <v/>
      </c>
      <c r="E1059" s="25">
        <f>AVERAGE(B1056:B1059)</f>
        <v/>
      </c>
      <c r="F1059" s="33">
        <f>(Table2634[[#This Row],[4 weeks average]]-B1007)/B1007</f>
        <v/>
      </c>
    </row>
    <row r="1060">
      <c r="A1060" s="23" t="n">
        <v>34778</v>
      </c>
      <c r="B1060" s="25">
        <f>VLOOKUP(Table2634[[#This Row],[Date]],'DB Money Supply'!$A:$D,4)</f>
        <v/>
      </c>
      <c r="C1060" s="31">
        <f>(Table2634[[#This Row],[M1 Money Stock, Billions of Dollars, Weekly, Seasonally Adjusted]]-B1059)/B1059</f>
        <v/>
      </c>
      <c r="D1060" s="35">
        <f>((1+Table2634[[#This Row],[Weekly change]])^52)-1</f>
        <v/>
      </c>
      <c r="E1060" s="25">
        <f>AVERAGE(B1057:B1060)</f>
        <v/>
      </c>
      <c r="F1060" s="33">
        <f>(Table2634[[#This Row],[4 weeks average]]-B1008)/B1008</f>
        <v/>
      </c>
    </row>
    <row r="1061">
      <c r="A1061" s="23" t="n">
        <v>34785</v>
      </c>
      <c r="B1061" s="25">
        <f>VLOOKUP(Table2634[[#This Row],[Date]],'DB Money Supply'!$A:$D,4)</f>
        <v/>
      </c>
      <c r="C1061" s="31">
        <f>(Table2634[[#This Row],[M1 Money Stock, Billions of Dollars, Weekly, Seasonally Adjusted]]-B1060)/B1060</f>
        <v/>
      </c>
      <c r="D1061" s="35">
        <f>((1+Table2634[[#This Row],[Weekly change]])^52)-1</f>
        <v/>
      </c>
      <c r="E1061" s="25">
        <f>AVERAGE(B1058:B1061)</f>
        <v/>
      </c>
      <c r="F1061" s="33">
        <f>(Table2634[[#This Row],[4 weeks average]]-B1009)/B1009</f>
        <v/>
      </c>
    </row>
    <row r="1062">
      <c r="A1062" s="23" t="n">
        <v>34792</v>
      </c>
      <c r="B1062" s="25">
        <f>VLOOKUP(Table2634[[#This Row],[Date]],'DB Money Supply'!$A:$D,4)</f>
        <v/>
      </c>
      <c r="C1062" s="31">
        <f>(Table2634[[#This Row],[M1 Money Stock, Billions of Dollars, Weekly, Seasonally Adjusted]]-B1061)/B1061</f>
        <v/>
      </c>
      <c r="D1062" s="35">
        <f>((1+Table2634[[#This Row],[Weekly change]])^52)-1</f>
        <v/>
      </c>
      <c r="E1062" s="25">
        <f>AVERAGE(B1059:B1062)</f>
        <v/>
      </c>
      <c r="F1062" s="33">
        <f>(Table2634[[#This Row],[4 weeks average]]-B1010)/B1010</f>
        <v/>
      </c>
    </row>
    <row r="1063">
      <c r="A1063" s="23" t="n">
        <v>34799</v>
      </c>
      <c r="B1063" s="25">
        <f>VLOOKUP(Table2634[[#This Row],[Date]],'DB Money Supply'!$A:$D,4)</f>
        <v/>
      </c>
      <c r="C1063" s="31">
        <f>(Table2634[[#This Row],[M1 Money Stock, Billions of Dollars, Weekly, Seasonally Adjusted]]-B1062)/B1062</f>
        <v/>
      </c>
      <c r="D1063" s="35">
        <f>((1+Table2634[[#This Row],[Weekly change]])^52)-1</f>
        <v/>
      </c>
      <c r="E1063" s="25">
        <f>AVERAGE(B1060:B1063)</f>
        <v/>
      </c>
      <c r="F1063" s="33">
        <f>(Table2634[[#This Row],[4 weeks average]]-B1011)/B1011</f>
        <v/>
      </c>
    </row>
    <row r="1064">
      <c r="A1064" s="23" t="n">
        <v>34806</v>
      </c>
      <c r="B1064" s="25">
        <f>VLOOKUP(Table2634[[#This Row],[Date]],'DB Money Supply'!$A:$D,4)</f>
        <v/>
      </c>
      <c r="C1064" s="31">
        <f>(Table2634[[#This Row],[M1 Money Stock, Billions of Dollars, Weekly, Seasonally Adjusted]]-B1063)/B1063</f>
        <v/>
      </c>
      <c r="D1064" s="35">
        <f>((1+Table2634[[#This Row],[Weekly change]])^52)-1</f>
        <v/>
      </c>
      <c r="E1064" s="25">
        <f>AVERAGE(B1061:B1064)</f>
        <v/>
      </c>
      <c r="F1064" s="33">
        <f>(Table2634[[#This Row],[4 weeks average]]-B1012)/B1012</f>
        <v/>
      </c>
    </row>
    <row r="1065">
      <c r="A1065" s="23" t="n">
        <v>34813</v>
      </c>
      <c r="B1065" s="25">
        <f>VLOOKUP(Table2634[[#This Row],[Date]],'DB Money Supply'!$A:$D,4)</f>
        <v/>
      </c>
      <c r="C1065" s="31">
        <f>(Table2634[[#This Row],[M1 Money Stock, Billions of Dollars, Weekly, Seasonally Adjusted]]-B1064)/B1064</f>
        <v/>
      </c>
      <c r="D1065" s="35">
        <f>((1+Table2634[[#This Row],[Weekly change]])^52)-1</f>
        <v/>
      </c>
      <c r="E1065" s="25">
        <f>AVERAGE(B1062:B1065)</f>
        <v/>
      </c>
      <c r="F1065" s="33">
        <f>(Table2634[[#This Row],[4 weeks average]]-B1013)/B1013</f>
        <v/>
      </c>
    </row>
    <row r="1066">
      <c r="A1066" s="23" t="n">
        <v>34820</v>
      </c>
      <c r="B1066" s="25">
        <f>VLOOKUP(Table2634[[#This Row],[Date]],'DB Money Supply'!$A:$D,4)</f>
        <v/>
      </c>
      <c r="C1066" s="31">
        <f>(Table2634[[#This Row],[M1 Money Stock, Billions of Dollars, Weekly, Seasonally Adjusted]]-B1065)/B1065</f>
        <v/>
      </c>
      <c r="D1066" s="35">
        <f>((1+Table2634[[#This Row],[Weekly change]])^52)-1</f>
        <v/>
      </c>
      <c r="E1066" s="25">
        <f>AVERAGE(B1063:B1066)</f>
        <v/>
      </c>
      <c r="F1066" s="33">
        <f>(Table2634[[#This Row],[4 weeks average]]-B1014)/B1014</f>
        <v/>
      </c>
    </row>
    <row r="1067">
      <c r="A1067" s="23" t="n">
        <v>34827</v>
      </c>
      <c r="B1067" s="25">
        <f>VLOOKUP(Table2634[[#This Row],[Date]],'DB Money Supply'!$A:$D,4)</f>
        <v/>
      </c>
      <c r="C1067" s="31">
        <f>(Table2634[[#This Row],[M1 Money Stock, Billions of Dollars, Weekly, Seasonally Adjusted]]-B1066)/B1066</f>
        <v/>
      </c>
      <c r="D1067" s="35">
        <f>((1+Table2634[[#This Row],[Weekly change]])^52)-1</f>
        <v/>
      </c>
      <c r="E1067" s="25">
        <f>AVERAGE(B1064:B1067)</f>
        <v/>
      </c>
      <c r="F1067" s="33">
        <f>(Table2634[[#This Row],[4 weeks average]]-B1015)/B1015</f>
        <v/>
      </c>
    </row>
    <row r="1068">
      <c r="A1068" s="23" t="n">
        <v>34834</v>
      </c>
      <c r="B1068" s="25">
        <f>VLOOKUP(Table2634[[#This Row],[Date]],'DB Money Supply'!$A:$D,4)</f>
        <v/>
      </c>
      <c r="C1068" s="31">
        <f>(Table2634[[#This Row],[M1 Money Stock, Billions of Dollars, Weekly, Seasonally Adjusted]]-B1067)/B1067</f>
        <v/>
      </c>
      <c r="D1068" s="35">
        <f>((1+Table2634[[#This Row],[Weekly change]])^52)-1</f>
        <v/>
      </c>
      <c r="E1068" s="25">
        <f>AVERAGE(B1065:B1068)</f>
        <v/>
      </c>
      <c r="F1068" s="33">
        <f>(Table2634[[#This Row],[4 weeks average]]-B1016)/B1016</f>
        <v/>
      </c>
    </row>
    <row r="1069">
      <c r="A1069" s="23" t="n">
        <v>34841</v>
      </c>
      <c r="B1069" s="25">
        <f>VLOOKUP(Table2634[[#This Row],[Date]],'DB Money Supply'!$A:$D,4)</f>
        <v/>
      </c>
      <c r="C1069" s="31">
        <f>(Table2634[[#This Row],[M1 Money Stock, Billions of Dollars, Weekly, Seasonally Adjusted]]-B1068)/B1068</f>
        <v/>
      </c>
      <c r="D1069" s="35">
        <f>((1+Table2634[[#This Row],[Weekly change]])^52)-1</f>
        <v/>
      </c>
      <c r="E1069" s="25">
        <f>AVERAGE(B1066:B1069)</f>
        <v/>
      </c>
      <c r="F1069" s="33">
        <f>(Table2634[[#This Row],[4 weeks average]]-B1017)/B1017</f>
        <v/>
      </c>
    </row>
    <row r="1070">
      <c r="A1070" s="23" t="n">
        <v>34848</v>
      </c>
      <c r="B1070" s="25">
        <f>VLOOKUP(Table2634[[#This Row],[Date]],'DB Money Supply'!$A:$D,4)</f>
        <v/>
      </c>
      <c r="C1070" s="31">
        <f>(Table2634[[#This Row],[M1 Money Stock, Billions of Dollars, Weekly, Seasonally Adjusted]]-B1069)/B1069</f>
        <v/>
      </c>
      <c r="D1070" s="35">
        <f>((1+Table2634[[#This Row],[Weekly change]])^52)-1</f>
        <v/>
      </c>
      <c r="E1070" s="25">
        <f>AVERAGE(B1067:B1070)</f>
        <v/>
      </c>
      <c r="F1070" s="33">
        <f>(Table2634[[#This Row],[4 weeks average]]-B1018)/B1018</f>
        <v/>
      </c>
    </row>
    <row r="1071">
      <c r="A1071" s="23" t="n">
        <v>34855</v>
      </c>
      <c r="B1071" s="25">
        <f>VLOOKUP(Table2634[[#This Row],[Date]],'DB Money Supply'!$A:$D,4)</f>
        <v/>
      </c>
      <c r="C1071" s="31">
        <f>(Table2634[[#This Row],[M1 Money Stock, Billions of Dollars, Weekly, Seasonally Adjusted]]-B1070)/B1070</f>
        <v/>
      </c>
      <c r="D1071" s="35">
        <f>((1+Table2634[[#This Row],[Weekly change]])^52)-1</f>
        <v/>
      </c>
      <c r="E1071" s="25">
        <f>AVERAGE(B1068:B1071)</f>
        <v/>
      </c>
      <c r="F1071" s="33">
        <f>(Table2634[[#This Row],[4 weeks average]]-B1019)/B1019</f>
        <v/>
      </c>
    </row>
    <row r="1072">
      <c r="A1072" s="23" t="n">
        <v>34862</v>
      </c>
      <c r="B1072" s="25">
        <f>VLOOKUP(Table2634[[#This Row],[Date]],'DB Money Supply'!$A:$D,4)</f>
        <v/>
      </c>
      <c r="C1072" s="31">
        <f>(Table2634[[#This Row],[M1 Money Stock, Billions of Dollars, Weekly, Seasonally Adjusted]]-B1071)/B1071</f>
        <v/>
      </c>
      <c r="D1072" s="35">
        <f>((1+Table2634[[#This Row],[Weekly change]])^52)-1</f>
        <v/>
      </c>
      <c r="E1072" s="25">
        <f>AVERAGE(B1069:B1072)</f>
        <v/>
      </c>
      <c r="F1072" s="33">
        <f>(Table2634[[#This Row],[4 weeks average]]-B1020)/B1020</f>
        <v/>
      </c>
    </row>
    <row r="1073">
      <c r="A1073" s="23" t="n">
        <v>34869</v>
      </c>
      <c r="B1073" s="25">
        <f>VLOOKUP(Table2634[[#This Row],[Date]],'DB Money Supply'!$A:$D,4)</f>
        <v/>
      </c>
      <c r="C1073" s="31">
        <f>(Table2634[[#This Row],[M1 Money Stock, Billions of Dollars, Weekly, Seasonally Adjusted]]-B1072)/B1072</f>
        <v/>
      </c>
      <c r="D1073" s="35">
        <f>((1+Table2634[[#This Row],[Weekly change]])^52)-1</f>
        <v/>
      </c>
      <c r="E1073" s="25">
        <f>AVERAGE(B1070:B1073)</f>
        <v/>
      </c>
      <c r="F1073" s="33">
        <f>(Table2634[[#This Row],[4 weeks average]]-B1021)/B1021</f>
        <v/>
      </c>
    </row>
    <row r="1074">
      <c r="A1074" s="23" t="n">
        <v>34876</v>
      </c>
      <c r="B1074" s="25">
        <f>VLOOKUP(Table2634[[#This Row],[Date]],'DB Money Supply'!$A:$D,4)</f>
        <v/>
      </c>
      <c r="C1074" s="31">
        <f>(Table2634[[#This Row],[M1 Money Stock, Billions of Dollars, Weekly, Seasonally Adjusted]]-B1073)/B1073</f>
        <v/>
      </c>
      <c r="D1074" s="35">
        <f>((1+Table2634[[#This Row],[Weekly change]])^52)-1</f>
        <v/>
      </c>
      <c r="E1074" s="25">
        <f>AVERAGE(B1071:B1074)</f>
        <v/>
      </c>
      <c r="F1074" s="33">
        <f>(Table2634[[#This Row],[4 weeks average]]-B1022)/B1022</f>
        <v/>
      </c>
    </row>
    <row r="1075">
      <c r="A1075" s="23" t="n">
        <v>34883</v>
      </c>
      <c r="B1075" s="25">
        <f>VLOOKUP(Table2634[[#This Row],[Date]],'DB Money Supply'!$A:$D,4)</f>
        <v/>
      </c>
      <c r="C1075" s="31">
        <f>(Table2634[[#This Row],[M1 Money Stock, Billions of Dollars, Weekly, Seasonally Adjusted]]-B1074)/B1074</f>
        <v/>
      </c>
      <c r="D1075" s="35">
        <f>((1+Table2634[[#This Row],[Weekly change]])^52)-1</f>
        <v/>
      </c>
      <c r="E1075" s="25">
        <f>AVERAGE(B1072:B1075)</f>
        <v/>
      </c>
      <c r="F1075" s="33">
        <f>(Table2634[[#This Row],[4 weeks average]]-B1023)/B1023</f>
        <v/>
      </c>
    </row>
    <row r="1076">
      <c r="A1076" s="23" t="n">
        <v>34890</v>
      </c>
      <c r="B1076" s="25">
        <f>VLOOKUP(Table2634[[#This Row],[Date]],'DB Money Supply'!$A:$D,4)</f>
        <v/>
      </c>
      <c r="C1076" s="31">
        <f>(Table2634[[#This Row],[M1 Money Stock, Billions of Dollars, Weekly, Seasonally Adjusted]]-B1075)/B1075</f>
        <v/>
      </c>
      <c r="D1076" s="35">
        <f>((1+Table2634[[#This Row],[Weekly change]])^52)-1</f>
        <v/>
      </c>
      <c r="E1076" s="25">
        <f>AVERAGE(B1073:B1076)</f>
        <v/>
      </c>
      <c r="F1076" s="33">
        <f>(Table2634[[#This Row],[4 weeks average]]-B1024)/B1024</f>
        <v/>
      </c>
    </row>
    <row r="1077">
      <c r="A1077" s="23" t="n">
        <v>34897</v>
      </c>
      <c r="B1077" s="25">
        <f>VLOOKUP(Table2634[[#This Row],[Date]],'DB Money Supply'!$A:$D,4)</f>
        <v/>
      </c>
      <c r="C1077" s="31">
        <f>(Table2634[[#This Row],[M1 Money Stock, Billions of Dollars, Weekly, Seasonally Adjusted]]-B1076)/B1076</f>
        <v/>
      </c>
      <c r="D1077" s="35">
        <f>((1+Table2634[[#This Row],[Weekly change]])^52)-1</f>
        <v/>
      </c>
      <c r="E1077" s="25">
        <f>AVERAGE(B1074:B1077)</f>
        <v/>
      </c>
      <c r="F1077" s="33">
        <f>(Table2634[[#This Row],[4 weeks average]]-B1025)/B1025</f>
        <v/>
      </c>
    </row>
    <row r="1078">
      <c r="A1078" s="23" t="n">
        <v>34904</v>
      </c>
      <c r="B1078" s="25">
        <f>VLOOKUP(Table2634[[#This Row],[Date]],'DB Money Supply'!$A:$D,4)</f>
        <v/>
      </c>
      <c r="C1078" s="31">
        <f>(Table2634[[#This Row],[M1 Money Stock, Billions of Dollars, Weekly, Seasonally Adjusted]]-B1077)/B1077</f>
        <v/>
      </c>
      <c r="D1078" s="35">
        <f>((1+Table2634[[#This Row],[Weekly change]])^52)-1</f>
        <v/>
      </c>
      <c r="E1078" s="25">
        <f>AVERAGE(B1075:B1078)</f>
        <v/>
      </c>
      <c r="F1078" s="33">
        <f>(Table2634[[#This Row],[4 weeks average]]-B1026)/B1026</f>
        <v/>
      </c>
    </row>
    <row r="1079">
      <c r="A1079" s="23" t="n">
        <v>34911</v>
      </c>
      <c r="B1079" s="25">
        <f>VLOOKUP(Table2634[[#This Row],[Date]],'DB Money Supply'!$A:$D,4)</f>
        <v/>
      </c>
      <c r="C1079" s="31">
        <f>(Table2634[[#This Row],[M1 Money Stock, Billions of Dollars, Weekly, Seasonally Adjusted]]-B1078)/B1078</f>
        <v/>
      </c>
      <c r="D1079" s="35">
        <f>((1+Table2634[[#This Row],[Weekly change]])^52)-1</f>
        <v/>
      </c>
      <c r="E1079" s="25">
        <f>AVERAGE(B1076:B1079)</f>
        <v/>
      </c>
      <c r="F1079" s="33">
        <f>(Table2634[[#This Row],[4 weeks average]]-B1027)/B1027</f>
        <v/>
      </c>
    </row>
    <row r="1080">
      <c r="A1080" s="23" t="n">
        <v>34918</v>
      </c>
      <c r="B1080" s="25">
        <f>VLOOKUP(Table2634[[#This Row],[Date]],'DB Money Supply'!$A:$D,4)</f>
        <v/>
      </c>
      <c r="C1080" s="31">
        <f>(Table2634[[#This Row],[M1 Money Stock, Billions of Dollars, Weekly, Seasonally Adjusted]]-B1079)/B1079</f>
        <v/>
      </c>
      <c r="D1080" s="35">
        <f>((1+Table2634[[#This Row],[Weekly change]])^52)-1</f>
        <v/>
      </c>
      <c r="E1080" s="25">
        <f>AVERAGE(B1077:B1080)</f>
        <v/>
      </c>
      <c r="F1080" s="33">
        <f>(Table2634[[#This Row],[4 weeks average]]-B1028)/B1028</f>
        <v/>
      </c>
    </row>
    <row r="1081">
      <c r="A1081" s="23" t="n">
        <v>34925</v>
      </c>
      <c r="B1081" s="25">
        <f>VLOOKUP(Table2634[[#This Row],[Date]],'DB Money Supply'!$A:$D,4)</f>
        <v/>
      </c>
      <c r="C1081" s="31">
        <f>(Table2634[[#This Row],[M1 Money Stock, Billions of Dollars, Weekly, Seasonally Adjusted]]-B1080)/B1080</f>
        <v/>
      </c>
      <c r="D1081" s="35">
        <f>((1+Table2634[[#This Row],[Weekly change]])^52)-1</f>
        <v/>
      </c>
      <c r="E1081" s="25">
        <f>AVERAGE(B1078:B1081)</f>
        <v/>
      </c>
      <c r="F1081" s="33">
        <f>(Table2634[[#This Row],[4 weeks average]]-B1029)/B1029</f>
        <v/>
      </c>
    </row>
    <row r="1082">
      <c r="A1082" s="23" t="n">
        <v>34932</v>
      </c>
      <c r="B1082" s="25">
        <f>VLOOKUP(Table2634[[#This Row],[Date]],'DB Money Supply'!$A:$D,4)</f>
        <v/>
      </c>
      <c r="C1082" s="31">
        <f>(Table2634[[#This Row],[M1 Money Stock, Billions of Dollars, Weekly, Seasonally Adjusted]]-B1081)/B1081</f>
        <v/>
      </c>
      <c r="D1082" s="35">
        <f>((1+Table2634[[#This Row],[Weekly change]])^52)-1</f>
        <v/>
      </c>
      <c r="E1082" s="25">
        <f>AVERAGE(B1079:B1082)</f>
        <v/>
      </c>
      <c r="F1082" s="33">
        <f>(Table2634[[#This Row],[4 weeks average]]-B1030)/B1030</f>
        <v/>
      </c>
    </row>
    <row r="1083">
      <c r="A1083" s="23" t="n">
        <v>34939</v>
      </c>
      <c r="B1083" s="25">
        <f>VLOOKUP(Table2634[[#This Row],[Date]],'DB Money Supply'!$A:$D,4)</f>
        <v/>
      </c>
      <c r="C1083" s="31">
        <f>(Table2634[[#This Row],[M1 Money Stock, Billions of Dollars, Weekly, Seasonally Adjusted]]-B1082)/B1082</f>
        <v/>
      </c>
      <c r="D1083" s="35">
        <f>((1+Table2634[[#This Row],[Weekly change]])^52)-1</f>
        <v/>
      </c>
      <c r="E1083" s="25">
        <f>AVERAGE(B1080:B1083)</f>
        <v/>
      </c>
      <c r="F1083" s="33">
        <f>(Table2634[[#This Row],[4 weeks average]]-B1031)/B1031</f>
        <v/>
      </c>
    </row>
    <row r="1084">
      <c r="A1084" s="23" t="n">
        <v>34946</v>
      </c>
      <c r="B1084" s="25">
        <f>VLOOKUP(Table2634[[#This Row],[Date]],'DB Money Supply'!$A:$D,4)</f>
        <v/>
      </c>
      <c r="C1084" s="31">
        <f>(Table2634[[#This Row],[M1 Money Stock, Billions of Dollars, Weekly, Seasonally Adjusted]]-B1083)/B1083</f>
        <v/>
      </c>
      <c r="D1084" s="35">
        <f>((1+Table2634[[#This Row],[Weekly change]])^52)-1</f>
        <v/>
      </c>
      <c r="E1084" s="25">
        <f>AVERAGE(B1081:B1084)</f>
        <v/>
      </c>
      <c r="F1084" s="33">
        <f>(Table2634[[#This Row],[4 weeks average]]-B1032)/B1032</f>
        <v/>
      </c>
    </row>
    <row r="1085">
      <c r="A1085" s="23" t="n">
        <v>34953</v>
      </c>
      <c r="B1085" s="25">
        <f>VLOOKUP(Table2634[[#This Row],[Date]],'DB Money Supply'!$A:$D,4)</f>
        <v/>
      </c>
      <c r="C1085" s="31">
        <f>(Table2634[[#This Row],[M1 Money Stock, Billions of Dollars, Weekly, Seasonally Adjusted]]-B1084)/B1084</f>
        <v/>
      </c>
      <c r="D1085" s="35">
        <f>((1+Table2634[[#This Row],[Weekly change]])^52)-1</f>
        <v/>
      </c>
      <c r="E1085" s="25">
        <f>AVERAGE(B1082:B1085)</f>
        <v/>
      </c>
      <c r="F1085" s="33">
        <f>(Table2634[[#This Row],[4 weeks average]]-B1033)/B1033</f>
        <v/>
      </c>
    </row>
    <row r="1086">
      <c r="A1086" s="23" t="n">
        <v>34960</v>
      </c>
      <c r="B1086" s="25">
        <f>VLOOKUP(Table2634[[#This Row],[Date]],'DB Money Supply'!$A:$D,4)</f>
        <v/>
      </c>
      <c r="C1086" s="31">
        <f>(Table2634[[#This Row],[M1 Money Stock, Billions of Dollars, Weekly, Seasonally Adjusted]]-B1085)/B1085</f>
        <v/>
      </c>
      <c r="D1086" s="35">
        <f>((1+Table2634[[#This Row],[Weekly change]])^52)-1</f>
        <v/>
      </c>
      <c r="E1086" s="25">
        <f>AVERAGE(B1083:B1086)</f>
        <v/>
      </c>
      <c r="F1086" s="33">
        <f>(Table2634[[#This Row],[4 weeks average]]-B1034)/B1034</f>
        <v/>
      </c>
    </row>
    <row r="1087">
      <c r="A1087" s="23" t="n">
        <v>34967</v>
      </c>
      <c r="B1087" s="25">
        <f>VLOOKUP(Table2634[[#This Row],[Date]],'DB Money Supply'!$A:$D,4)</f>
        <v/>
      </c>
      <c r="C1087" s="31">
        <f>(Table2634[[#This Row],[M1 Money Stock, Billions of Dollars, Weekly, Seasonally Adjusted]]-B1086)/B1086</f>
        <v/>
      </c>
      <c r="D1087" s="35">
        <f>((1+Table2634[[#This Row],[Weekly change]])^52)-1</f>
        <v/>
      </c>
      <c r="E1087" s="25">
        <f>AVERAGE(B1084:B1087)</f>
        <v/>
      </c>
      <c r="F1087" s="33">
        <f>(Table2634[[#This Row],[4 weeks average]]-B1035)/B1035</f>
        <v/>
      </c>
    </row>
    <row r="1088">
      <c r="A1088" s="23" t="n">
        <v>34974</v>
      </c>
      <c r="B1088" s="25">
        <f>VLOOKUP(Table2634[[#This Row],[Date]],'DB Money Supply'!$A:$D,4)</f>
        <v/>
      </c>
      <c r="C1088" s="31">
        <f>(Table2634[[#This Row],[M1 Money Stock, Billions of Dollars, Weekly, Seasonally Adjusted]]-B1087)/B1087</f>
        <v/>
      </c>
      <c r="D1088" s="35">
        <f>((1+Table2634[[#This Row],[Weekly change]])^52)-1</f>
        <v/>
      </c>
      <c r="E1088" s="25">
        <f>AVERAGE(B1085:B1088)</f>
        <v/>
      </c>
      <c r="F1088" s="33">
        <f>(Table2634[[#This Row],[4 weeks average]]-B1036)/B1036</f>
        <v/>
      </c>
    </row>
    <row r="1089">
      <c r="A1089" s="23" t="n">
        <v>34981</v>
      </c>
      <c r="B1089" s="25">
        <f>VLOOKUP(Table2634[[#This Row],[Date]],'DB Money Supply'!$A:$D,4)</f>
        <v/>
      </c>
      <c r="C1089" s="31">
        <f>(Table2634[[#This Row],[M1 Money Stock, Billions of Dollars, Weekly, Seasonally Adjusted]]-B1088)/B1088</f>
        <v/>
      </c>
      <c r="D1089" s="35">
        <f>((1+Table2634[[#This Row],[Weekly change]])^52)-1</f>
        <v/>
      </c>
      <c r="E1089" s="25">
        <f>AVERAGE(B1086:B1089)</f>
        <v/>
      </c>
      <c r="F1089" s="33">
        <f>(Table2634[[#This Row],[4 weeks average]]-B1037)/B1037</f>
        <v/>
      </c>
    </row>
    <row r="1090">
      <c r="A1090" s="23" t="n">
        <v>34988</v>
      </c>
      <c r="B1090" s="25">
        <f>VLOOKUP(Table2634[[#This Row],[Date]],'DB Money Supply'!$A:$D,4)</f>
        <v/>
      </c>
      <c r="C1090" s="31">
        <f>(Table2634[[#This Row],[M1 Money Stock, Billions of Dollars, Weekly, Seasonally Adjusted]]-B1089)/B1089</f>
        <v/>
      </c>
      <c r="D1090" s="35">
        <f>((1+Table2634[[#This Row],[Weekly change]])^52)-1</f>
        <v/>
      </c>
      <c r="E1090" s="25">
        <f>AVERAGE(B1087:B1090)</f>
        <v/>
      </c>
      <c r="F1090" s="33">
        <f>(Table2634[[#This Row],[4 weeks average]]-B1038)/B1038</f>
        <v/>
      </c>
    </row>
    <row r="1091">
      <c r="A1091" s="23" t="n">
        <v>34995</v>
      </c>
      <c r="B1091" s="25">
        <f>VLOOKUP(Table2634[[#This Row],[Date]],'DB Money Supply'!$A:$D,4)</f>
        <v/>
      </c>
      <c r="C1091" s="31">
        <f>(Table2634[[#This Row],[M1 Money Stock, Billions of Dollars, Weekly, Seasonally Adjusted]]-B1090)/B1090</f>
        <v/>
      </c>
      <c r="D1091" s="35">
        <f>((1+Table2634[[#This Row],[Weekly change]])^52)-1</f>
        <v/>
      </c>
      <c r="E1091" s="25">
        <f>AVERAGE(B1088:B1091)</f>
        <v/>
      </c>
      <c r="F1091" s="33">
        <f>(Table2634[[#This Row],[4 weeks average]]-B1039)/B1039</f>
        <v/>
      </c>
    </row>
    <row r="1092">
      <c r="A1092" s="23" t="n">
        <v>35002</v>
      </c>
      <c r="B1092" s="25">
        <f>VLOOKUP(Table2634[[#This Row],[Date]],'DB Money Supply'!$A:$D,4)</f>
        <v/>
      </c>
      <c r="C1092" s="31">
        <f>(Table2634[[#This Row],[M1 Money Stock, Billions of Dollars, Weekly, Seasonally Adjusted]]-B1091)/B1091</f>
        <v/>
      </c>
      <c r="D1092" s="35">
        <f>((1+Table2634[[#This Row],[Weekly change]])^52)-1</f>
        <v/>
      </c>
      <c r="E1092" s="25">
        <f>AVERAGE(B1089:B1092)</f>
        <v/>
      </c>
      <c r="F1092" s="33">
        <f>(Table2634[[#This Row],[4 weeks average]]-B1040)/B1040</f>
        <v/>
      </c>
    </row>
    <row r="1093">
      <c r="A1093" s="23" t="n">
        <v>35009</v>
      </c>
      <c r="B1093" s="25">
        <f>VLOOKUP(Table2634[[#This Row],[Date]],'DB Money Supply'!$A:$D,4)</f>
        <v/>
      </c>
      <c r="C1093" s="31">
        <f>(Table2634[[#This Row],[M1 Money Stock, Billions of Dollars, Weekly, Seasonally Adjusted]]-B1092)/B1092</f>
        <v/>
      </c>
      <c r="D1093" s="35">
        <f>((1+Table2634[[#This Row],[Weekly change]])^52)-1</f>
        <v/>
      </c>
      <c r="E1093" s="25">
        <f>AVERAGE(B1090:B1093)</f>
        <v/>
      </c>
      <c r="F1093" s="33">
        <f>(Table2634[[#This Row],[4 weeks average]]-B1041)/B1041</f>
        <v/>
      </c>
    </row>
    <row r="1094">
      <c r="A1094" s="23" t="n">
        <v>35016</v>
      </c>
      <c r="B1094" s="25">
        <f>VLOOKUP(Table2634[[#This Row],[Date]],'DB Money Supply'!$A:$D,4)</f>
        <v/>
      </c>
      <c r="C1094" s="31">
        <f>(Table2634[[#This Row],[M1 Money Stock, Billions of Dollars, Weekly, Seasonally Adjusted]]-B1093)/B1093</f>
        <v/>
      </c>
      <c r="D1094" s="35">
        <f>((1+Table2634[[#This Row],[Weekly change]])^52)-1</f>
        <v/>
      </c>
      <c r="E1094" s="25">
        <f>AVERAGE(B1091:B1094)</f>
        <v/>
      </c>
      <c r="F1094" s="33">
        <f>(Table2634[[#This Row],[4 weeks average]]-B1042)/B1042</f>
        <v/>
      </c>
    </row>
    <row r="1095">
      <c r="A1095" s="23" t="n">
        <v>35023</v>
      </c>
      <c r="B1095" s="25">
        <f>VLOOKUP(Table2634[[#This Row],[Date]],'DB Money Supply'!$A:$D,4)</f>
        <v/>
      </c>
      <c r="C1095" s="31">
        <f>(Table2634[[#This Row],[M1 Money Stock, Billions of Dollars, Weekly, Seasonally Adjusted]]-B1094)/B1094</f>
        <v/>
      </c>
      <c r="D1095" s="35">
        <f>((1+Table2634[[#This Row],[Weekly change]])^52)-1</f>
        <v/>
      </c>
      <c r="E1095" s="25">
        <f>AVERAGE(B1092:B1095)</f>
        <v/>
      </c>
      <c r="F1095" s="33">
        <f>(Table2634[[#This Row],[4 weeks average]]-B1043)/B1043</f>
        <v/>
      </c>
    </row>
    <row r="1096">
      <c r="A1096" s="23" t="n">
        <v>35030</v>
      </c>
      <c r="B1096" s="25">
        <f>VLOOKUP(Table2634[[#This Row],[Date]],'DB Money Supply'!$A:$D,4)</f>
        <v/>
      </c>
      <c r="C1096" s="31">
        <f>(Table2634[[#This Row],[M1 Money Stock, Billions of Dollars, Weekly, Seasonally Adjusted]]-B1095)/B1095</f>
        <v/>
      </c>
      <c r="D1096" s="35">
        <f>((1+Table2634[[#This Row],[Weekly change]])^52)-1</f>
        <v/>
      </c>
      <c r="E1096" s="25">
        <f>AVERAGE(B1093:B1096)</f>
        <v/>
      </c>
      <c r="F1096" s="33">
        <f>(Table2634[[#This Row],[4 weeks average]]-B1044)/B1044</f>
        <v/>
      </c>
    </row>
    <row r="1097">
      <c r="A1097" s="23" t="n">
        <v>35037</v>
      </c>
      <c r="B1097" s="25">
        <f>VLOOKUP(Table2634[[#This Row],[Date]],'DB Money Supply'!$A:$D,4)</f>
        <v/>
      </c>
      <c r="C1097" s="31">
        <f>(Table2634[[#This Row],[M1 Money Stock, Billions of Dollars, Weekly, Seasonally Adjusted]]-B1096)/B1096</f>
        <v/>
      </c>
      <c r="D1097" s="35">
        <f>((1+Table2634[[#This Row],[Weekly change]])^52)-1</f>
        <v/>
      </c>
      <c r="E1097" s="25">
        <f>AVERAGE(B1094:B1097)</f>
        <v/>
      </c>
      <c r="F1097" s="33">
        <f>(Table2634[[#This Row],[4 weeks average]]-B1045)/B1045</f>
        <v/>
      </c>
    </row>
    <row r="1098">
      <c r="A1098" s="23" t="n">
        <v>35044</v>
      </c>
      <c r="B1098" s="25">
        <f>VLOOKUP(Table2634[[#This Row],[Date]],'DB Money Supply'!$A:$D,4)</f>
        <v/>
      </c>
      <c r="C1098" s="31">
        <f>(Table2634[[#This Row],[M1 Money Stock, Billions of Dollars, Weekly, Seasonally Adjusted]]-B1097)/B1097</f>
        <v/>
      </c>
      <c r="D1098" s="35">
        <f>((1+Table2634[[#This Row],[Weekly change]])^52)-1</f>
        <v/>
      </c>
      <c r="E1098" s="25">
        <f>AVERAGE(B1095:B1098)</f>
        <v/>
      </c>
      <c r="F1098" s="33">
        <f>(Table2634[[#This Row],[4 weeks average]]-B1046)/B1046</f>
        <v/>
      </c>
    </row>
    <row r="1099">
      <c r="A1099" s="23" t="n">
        <v>35051</v>
      </c>
      <c r="B1099" s="25">
        <f>VLOOKUP(Table2634[[#This Row],[Date]],'DB Money Supply'!$A:$D,4)</f>
        <v/>
      </c>
      <c r="C1099" s="31">
        <f>(Table2634[[#This Row],[M1 Money Stock, Billions of Dollars, Weekly, Seasonally Adjusted]]-B1098)/B1098</f>
        <v/>
      </c>
      <c r="D1099" s="35">
        <f>((1+Table2634[[#This Row],[Weekly change]])^52)-1</f>
        <v/>
      </c>
      <c r="E1099" s="25">
        <f>AVERAGE(B1096:B1099)</f>
        <v/>
      </c>
      <c r="F1099" s="33">
        <f>(Table2634[[#This Row],[4 weeks average]]-B1047)/B1047</f>
        <v/>
      </c>
    </row>
    <row r="1100">
      <c r="A1100" s="23" t="n">
        <v>35058</v>
      </c>
      <c r="B1100" s="25">
        <f>VLOOKUP(Table2634[[#This Row],[Date]],'DB Money Supply'!$A:$D,4)</f>
        <v/>
      </c>
      <c r="C1100" s="31">
        <f>(Table2634[[#This Row],[M1 Money Stock, Billions of Dollars, Weekly, Seasonally Adjusted]]-B1099)/B1099</f>
        <v/>
      </c>
      <c r="D1100" s="35">
        <f>((1+Table2634[[#This Row],[Weekly change]])^52)-1</f>
        <v/>
      </c>
      <c r="E1100" s="25">
        <f>AVERAGE(B1097:B1100)</f>
        <v/>
      </c>
      <c r="F1100" s="33">
        <f>(Table2634[[#This Row],[4 weeks average]]-B1048)/B1048</f>
        <v/>
      </c>
    </row>
    <row r="1101">
      <c r="A1101" s="23" t="n">
        <v>35065</v>
      </c>
      <c r="B1101" s="25">
        <f>VLOOKUP(Table2634[[#This Row],[Date]],'DB Money Supply'!$A:$D,4)</f>
        <v/>
      </c>
      <c r="C1101" s="31">
        <f>(Table2634[[#This Row],[M1 Money Stock, Billions of Dollars, Weekly, Seasonally Adjusted]]-B1100)/B1100</f>
        <v/>
      </c>
      <c r="D1101" s="35">
        <f>((1+Table2634[[#This Row],[Weekly change]])^52)-1</f>
        <v/>
      </c>
      <c r="E1101" s="25">
        <f>AVERAGE(B1098:B1101)</f>
        <v/>
      </c>
      <c r="F1101" s="33">
        <f>(Table2634[[#This Row],[4 weeks average]]-B1049)/B1049</f>
        <v/>
      </c>
    </row>
    <row r="1102">
      <c r="A1102" s="23" t="n">
        <v>35072</v>
      </c>
      <c r="B1102" s="25">
        <f>VLOOKUP(Table2634[[#This Row],[Date]],'DB Money Supply'!$A:$D,4)</f>
        <v/>
      </c>
      <c r="C1102" s="31">
        <f>(Table2634[[#This Row],[M1 Money Stock, Billions of Dollars, Weekly, Seasonally Adjusted]]-B1101)/B1101</f>
        <v/>
      </c>
      <c r="D1102" s="35">
        <f>((1+Table2634[[#This Row],[Weekly change]])^52)-1</f>
        <v/>
      </c>
      <c r="E1102" s="25">
        <f>AVERAGE(B1099:B1102)</f>
        <v/>
      </c>
      <c r="F1102" s="33">
        <f>(Table2634[[#This Row],[4 weeks average]]-B1050)/B1050</f>
        <v/>
      </c>
    </row>
    <row r="1103">
      <c r="A1103" s="23" t="n">
        <v>35079</v>
      </c>
      <c r="B1103" s="25">
        <f>VLOOKUP(Table2634[[#This Row],[Date]],'DB Money Supply'!$A:$D,4)</f>
        <v/>
      </c>
      <c r="C1103" s="31">
        <f>(Table2634[[#This Row],[M1 Money Stock, Billions of Dollars, Weekly, Seasonally Adjusted]]-B1102)/B1102</f>
        <v/>
      </c>
      <c r="D1103" s="35">
        <f>((1+Table2634[[#This Row],[Weekly change]])^52)-1</f>
        <v/>
      </c>
      <c r="E1103" s="25">
        <f>AVERAGE(B1100:B1103)</f>
        <v/>
      </c>
      <c r="F1103" s="33">
        <f>(Table2634[[#This Row],[4 weeks average]]-B1051)/B1051</f>
        <v/>
      </c>
    </row>
    <row r="1104">
      <c r="A1104" s="23" t="n">
        <v>35086</v>
      </c>
      <c r="B1104" s="25">
        <f>VLOOKUP(Table2634[[#This Row],[Date]],'DB Money Supply'!$A:$D,4)</f>
        <v/>
      </c>
      <c r="C1104" s="31">
        <f>(Table2634[[#This Row],[M1 Money Stock, Billions of Dollars, Weekly, Seasonally Adjusted]]-B1103)/B1103</f>
        <v/>
      </c>
      <c r="D1104" s="35">
        <f>((1+Table2634[[#This Row],[Weekly change]])^52)-1</f>
        <v/>
      </c>
      <c r="E1104" s="25">
        <f>AVERAGE(B1101:B1104)</f>
        <v/>
      </c>
      <c r="F1104" s="33">
        <f>(Table2634[[#This Row],[4 weeks average]]-B1052)/B1052</f>
        <v/>
      </c>
    </row>
    <row r="1105">
      <c r="A1105" s="23" t="n">
        <v>35093</v>
      </c>
      <c r="B1105" s="25">
        <f>VLOOKUP(Table2634[[#This Row],[Date]],'DB Money Supply'!$A:$D,4)</f>
        <v/>
      </c>
      <c r="C1105" s="31">
        <f>(Table2634[[#This Row],[M1 Money Stock, Billions of Dollars, Weekly, Seasonally Adjusted]]-B1104)/B1104</f>
        <v/>
      </c>
      <c r="D1105" s="35">
        <f>((1+Table2634[[#This Row],[Weekly change]])^52)-1</f>
        <v/>
      </c>
      <c r="E1105" s="25">
        <f>AVERAGE(B1102:B1105)</f>
        <v/>
      </c>
      <c r="F1105" s="33">
        <f>(Table2634[[#This Row],[4 weeks average]]-B1053)/B1053</f>
        <v/>
      </c>
    </row>
    <row r="1106">
      <c r="A1106" s="23" t="n">
        <v>35100</v>
      </c>
      <c r="B1106" s="25">
        <f>VLOOKUP(Table2634[[#This Row],[Date]],'DB Money Supply'!$A:$D,4)</f>
        <v/>
      </c>
      <c r="C1106" s="31">
        <f>(Table2634[[#This Row],[M1 Money Stock, Billions of Dollars, Weekly, Seasonally Adjusted]]-B1105)/B1105</f>
        <v/>
      </c>
      <c r="D1106" s="35">
        <f>((1+Table2634[[#This Row],[Weekly change]])^52)-1</f>
        <v/>
      </c>
      <c r="E1106" s="25">
        <f>AVERAGE(B1103:B1106)</f>
        <v/>
      </c>
      <c r="F1106" s="33">
        <f>(Table2634[[#This Row],[4 weeks average]]-B1054)/B1054</f>
        <v/>
      </c>
    </row>
    <row r="1107">
      <c r="A1107" s="23" t="n">
        <v>35107</v>
      </c>
      <c r="B1107" s="25">
        <f>VLOOKUP(Table2634[[#This Row],[Date]],'DB Money Supply'!$A:$D,4)</f>
        <v/>
      </c>
      <c r="C1107" s="31">
        <f>(Table2634[[#This Row],[M1 Money Stock, Billions of Dollars, Weekly, Seasonally Adjusted]]-B1106)/B1106</f>
        <v/>
      </c>
      <c r="D1107" s="35">
        <f>((1+Table2634[[#This Row],[Weekly change]])^52)-1</f>
        <v/>
      </c>
      <c r="E1107" s="25">
        <f>AVERAGE(B1104:B1107)</f>
        <v/>
      </c>
      <c r="F1107" s="33">
        <f>(Table2634[[#This Row],[4 weeks average]]-B1055)/B1055</f>
        <v/>
      </c>
    </row>
    <row r="1108">
      <c r="A1108" s="23" t="n">
        <v>35114</v>
      </c>
      <c r="B1108" s="25">
        <f>VLOOKUP(Table2634[[#This Row],[Date]],'DB Money Supply'!$A:$D,4)</f>
        <v/>
      </c>
      <c r="C1108" s="31">
        <f>(Table2634[[#This Row],[M1 Money Stock, Billions of Dollars, Weekly, Seasonally Adjusted]]-B1107)/B1107</f>
        <v/>
      </c>
      <c r="D1108" s="35">
        <f>((1+Table2634[[#This Row],[Weekly change]])^52)-1</f>
        <v/>
      </c>
      <c r="E1108" s="25">
        <f>AVERAGE(B1105:B1108)</f>
        <v/>
      </c>
      <c r="F1108" s="33">
        <f>(Table2634[[#This Row],[4 weeks average]]-B1056)/B1056</f>
        <v/>
      </c>
    </row>
    <row r="1109">
      <c r="A1109" s="23" t="n">
        <v>35121</v>
      </c>
      <c r="B1109" s="25">
        <f>VLOOKUP(Table2634[[#This Row],[Date]],'DB Money Supply'!$A:$D,4)</f>
        <v/>
      </c>
      <c r="C1109" s="31">
        <f>(Table2634[[#This Row],[M1 Money Stock, Billions of Dollars, Weekly, Seasonally Adjusted]]-B1108)/B1108</f>
        <v/>
      </c>
      <c r="D1109" s="35">
        <f>((1+Table2634[[#This Row],[Weekly change]])^52)-1</f>
        <v/>
      </c>
      <c r="E1109" s="25">
        <f>AVERAGE(B1106:B1109)</f>
        <v/>
      </c>
      <c r="F1109" s="33">
        <f>(Table2634[[#This Row],[4 weeks average]]-B1057)/B1057</f>
        <v/>
      </c>
    </row>
    <row r="1110">
      <c r="A1110" s="23" t="n">
        <v>35128</v>
      </c>
      <c r="B1110" s="25">
        <f>VLOOKUP(Table2634[[#This Row],[Date]],'DB Money Supply'!$A:$D,4)</f>
        <v/>
      </c>
      <c r="C1110" s="31">
        <f>(Table2634[[#This Row],[M1 Money Stock, Billions of Dollars, Weekly, Seasonally Adjusted]]-B1109)/B1109</f>
        <v/>
      </c>
      <c r="D1110" s="35">
        <f>((1+Table2634[[#This Row],[Weekly change]])^52)-1</f>
        <v/>
      </c>
      <c r="E1110" s="25">
        <f>AVERAGE(B1107:B1110)</f>
        <v/>
      </c>
      <c r="F1110" s="33">
        <f>(Table2634[[#This Row],[4 weeks average]]-B1058)/B1058</f>
        <v/>
      </c>
    </row>
    <row r="1111">
      <c r="A1111" s="23" t="n">
        <v>35135</v>
      </c>
      <c r="B1111" s="25">
        <f>VLOOKUP(Table2634[[#This Row],[Date]],'DB Money Supply'!$A:$D,4)</f>
        <v/>
      </c>
      <c r="C1111" s="31">
        <f>(Table2634[[#This Row],[M1 Money Stock, Billions of Dollars, Weekly, Seasonally Adjusted]]-B1110)/B1110</f>
        <v/>
      </c>
      <c r="D1111" s="35">
        <f>((1+Table2634[[#This Row],[Weekly change]])^52)-1</f>
        <v/>
      </c>
      <c r="E1111" s="25">
        <f>AVERAGE(B1108:B1111)</f>
        <v/>
      </c>
      <c r="F1111" s="33">
        <f>(Table2634[[#This Row],[4 weeks average]]-B1059)/B1059</f>
        <v/>
      </c>
    </row>
    <row r="1112">
      <c r="A1112" s="23" t="n">
        <v>35142</v>
      </c>
      <c r="B1112" s="25">
        <f>VLOOKUP(Table2634[[#This Row],[Date]],'DB Money Supply'!$A:$D,4)</f>
        <v/>
      </c>
      <c r="C1112" s="31">
        <f>(Table2634[[#This Row],[M1 Money Stock, Billions of Dollars, Weekly, Seasonally Adjusted]]-B1111)/B1111</f>
        <v/>
      </c>
      <c r="D1112" s="35">
        <f>((1+Table2634[[#This Row],[Weekly change]])^52)-1</f>
        <v/>
      </c>
      <c r="E1112" s="25">
        <f>AVERAGE(B1109:B1112)</f>
        <v/>
      </c>
      <c r="F1112" s="33">
        <f>(Table2634[[#This Row],[4 weeks average]]-B1060)/B1060</f>
        <v/>
      </c>
    </row>
    <row r="1113">
      <c r="A1113" s="23" t="n">
        <v>35149</v>
      </c>
      <c r="B1113" s="25">
        <f>VLOOKUP(Table2634[[#This Row],[Date]],'DB Money Supply'!$A:$D,4)</f>
        <v/>
      </c>
      <c r="C1113" s="31">
        <f>(Table2634[[#This Row],[M1 Money Stock, Billions of Dollars, Weekly, Seasonally Adjusted]]-B1112)/B1112</f>
        <v/>
      </c>
      <c r="D1113" s="35">
        <f>((1+Table2634[[#This Row],[Weekly change]])^52)-1</f>
        <v/>
      </c>
      <c r="E1113" s="25">
        <f>AVERAGE(B1110:B1113)</f>
        <v/>
      </c>
      <c r="F1113" s="33">
        <f>(Table2634[[#This Row],[4 weeks average]]-B1061)/B1061</f>
        <v/>
      </c>
    </row>
    <row r="1114">
      <c r="A1114" s="23" t="n">
        <v>35156</v>
      </c>
      <c r="B1114" s="25">
        <f>VLOOKUP(Table2634[[#This Row],[Date]],'DB Money Supply'!$A:$D,4)</f>
        <v/>
      </c>
      <c r="C1114" s="31">
        <f>(Table2634[[#This Row],[M1 Money Stock, Billions of Dollars, Weekly, Seasonally Adjusted]]-B1113)/B1113</f>
        <v/>
      </c>
      <c r="D1114" s="35">
        <f>((1+Table2634[[#This Row],[Weekly change]])^52)-1</f>
        <v/>
      </c>
      <c r="E1114" s="25">
        <f>AVERAGE(B1111:B1114)</f>
        <v/>
      </c>
      <c r="F1114" s="33">
        <f>(Table2634[[#This Row],[4 weeks average]]-B1062)/B1062</f>
        <v/>
      </c>
    </row>
    <row r="1115">
      <c r="A1115" s="23" t="n">
        <v>35163</v>
      </c>
      <c r="B1115" s="25">
        <f>VLOOKUP(Table2634[[#This Row],[Date]],'DB Money Supply'!$A:$D,4)</f>
        <v/>
      </c>
      <c r="C1115" s="31">
        <f>(Table2634[[#This Row],[M1 Money Stock, Billions of Dollars, Weekly, Seasonally Adjusted]]-B1114)/B1114</f>
        <v/>
      </c>
      <c r="D1115" s="35">
        <f>((1+Table2634[[#This Row],[Weekly change]])^52)-1</f>
        <v/>
      </c>
      <c r="E1115" s="25">
        <f>AVERAGE(B1112:B1115)</f>
        <v/>
      </c>
      <c r="F1115" s="33">
        <f>(Table2634[[#This Row],[4 weeks average]]-B1063)/B1063</f>
        <v/>
      </c>
    </row>
    <row r="1116">
      <c r="A1116" s="23" t="n">
        <v>35170</v>
      </c>
      <c r="B1116" s="25">
        <f>VLOOKUP(Table2634[[#This Row],[Date]],'DB Money Supply'!$A:$D,4)</f>
        <v/>
      </c>
      <c r="C1116" s="31">
        <f>(Table2634[[#This Row],[M1 Money Stock, Billions of Dollars, Weekly, Seasonally Adjusted]]-B1115)/B1115</f>
        <v/>
      </c>
      <c r="D1116" s="35">
        <f>((1+Table2634[[#This Row],[Weekly change]])^52)-1</f>
        <v/>
      </c>
      <c r="E1116" s="25">
        <f>AVERAGE(B1113:B1116)</f>
        <v/>
      </c>
      <c r="F1116" s="33">
        <f>(Table2634[[#This Row],[4 weeks average]]-B1064)/B1064</f>
        <v/>
      </c>
    </row>
    <row r="1117">
      <c r="A1117" s="23" t="n">
        <v>35177</v>
      </c>
      <c r="B1117" s="25">
        <f>VLOOKUP(Table2634[[#This Row],[Date]],'DB Money Supply'!$A:$D,4)</f>
        <v/>
      </c>
      <c r="C1117" s="31">
        <f>(Table2634[[#This Row],[M1 Money Stock, Billions of Dollars, Weekly, Seasonally Adjusted]]-B1116)/B1116</f>
        <v/>
      </c>
      <c r="D1117" s="35">
        <f>((1+Table2634[[#This Row],[Weekly change]])^52)-1</f>
        <v/>
      </c>
      <c r="E1117" s="25">
        <f>AVERAGE(B1114:B1117)</f>
        <v/>
      </c>
      <c r="F1117" s="33">
        <f>(Table2634[[#This Row],[4 weeks average]]-B1065)/B1065</f>
        <v/>
      </c>
    </row>
    <row r="1118">
      <c r="A1118" s="23" t="n">
        <v>35184</v>
      </c>
      <c r="B1118" s="25">
        <f>VLOOKUP(Table2634[[#This Row],[Date]],'DB Money Supply'!$A:$D,4)</f>
        <v/>
      </c>
      <c r="C1118" s="31">
        <f>(Table2634[[#This Row],[M1 Money Stock, Billions of Dollars, Weekly, Seasonally Adjusted]]-B1117)/B1117</f>
        <v/>
      </c>
      <c r="D1118" s="35">
        <f>((1+Table2634[[#This Row],[Weekly change]])^52)-1</f>
        <v/>
      </c>
      <c r="E1118" s="25">
        <f>AVERAGE(B1115:B1118)</f>
        <v/>
      </c>
      <c r="F1118" s="33">
        <f>(Table2634[[#This Row],[4 weeks average]]-B1066)/B1066</f>
        <v/>
      </c>
    </row>
    <row r="1119">
      <c r="A1119" s="23" t="n">
        <v>35191</v>
      </c>
      <c r="B1119" s="25">
        <f>VLOOKUP(Table2634[[#This Row],[Date]],'DB Money Supply'!$A:$D,4)</f>
        <v/>
      </c>
      <c r="C1119" s="31">
        <f>(Table2634[[#This Row],[M1 Money Stock, Billions of Dollars, Weekly, Seasonally Adjusted]]-B1118)/B1118</f>
        <v/>
      </c>
      <c r="D1119" s="35">
        <f>((1+Table2634[[#This Row],[Weekly change]])^52)-1</f>
        <v/>
      </c>
      <c r="E1119" s="25">
        <f>AVERAGE(B1116:B1119)</f>
        <v/>
      </c>
      <c r="F1119" s="33">
        <f>(Table2634[[#This Row],[4 weeks average]]-B1067)/B1067</f>
        <v/>
      </c>
    </row>
    <row r="1120">
      <c r="A1120" s="23" t="n">
        <v>35198</v>
      </c>
      <c r="B1120" s="25">
        <f>VLOOKUP(Table2634[[#This Row],[Date]],'DB Money Supply'!$A:$D,4)</f>
        <v/>
      </c>
      <c r="C1120" s="31">
        <f>(Table2634[[#This Row],[M1 Money Stock, Billions of Dollars, Weekly, Seasonally Adjusted]]-B1119)/B1119</f>
        <v/>
      </c>
      <c r="D1120" s="35">
        <f>((1+Table2634[[#This Row],[Weekly change]])^52)-1</f>
        <v/>
      </c>
      <c r="E1120" s="25">
        <f>AVERAGE(B1117:B1120)</f>
        <v/>
      </c>
      <c r="F1120" s="33">
        <f>(Table2634[[#This Row],[4 weeks average]]-B1068)/B1068</f>
        <v/>
      </c>
    </row>
    <row r="1121">
      <c r="A1121" s="23" t="n">
        <v>35205</v>
      </c>
      <c r="B1121" s="25">
        <f>VLOOKUP(Table2634[[#This Row],[Date]],'DB Money Supply'!$A:$D,4)</f>
        <v/>
      </c>
      <c r="C1121" s="31">
        <f>(Table2634[[#This Row],[M1 Money Stock, Billions of Dollars, Weekly, Seasonally Adjusted]]-B1120)/B1120</f>
        <v/>
      </c>
      <c r="D1121" s="35">
        <f>((1+Table2634[[#This Row],[Weekly change]])^52)-1</f>
        <v/>
      </c>
      <c r="E1121" s="25">
        <f>AVERAGE(B1118:B1121)</f>
        <v/>
      </c>
      <c r="F1121" s="33">
        <f>(Table2634[[#This Row],[4 weeks average]]-B1069)/B1069</f>
        <v/>
      </c>
    </row>
    <row r="1122">
      <c r="A1122" s="23" t="n">
        <v>35212</v>
      </c>
      <c r="B1122" s="25">
        <f>VLOOKUP(Table2634[[#This Row],[Date]],'DB Money Supply'!$A:$D,4)</f>
        <v/>
      </c>
      <c r="C1122" s="31">
        <f>(Table2634[[#This Row],[M1 Money Stock, Billions of Dollars, Weekly, Seasonally Adjusted]]-B1121)/B1121</f>
        <v/>
      </c>
      <c r="D1122" s="35">
        <f>((1+Table2634[[#This Row],[Weekly change]])^52)-1</f>
        <v/>
      </c>
      <c r="E1122" s="25">
        <f>AVERAGE(B1119:B1122)</f>
        <v/>
      </c>
      <c r="F1122" s="33">
        <f>(Table2634[[#This Row],[4 weeks average]]-B1070)/B1070</f>
        <v/>
      </c>
    </row>
    <row r="1123">
      <c r="A1123" s="23" t="n">
        <v>35219</v>
      </c>
      <c r="B1123" s="25">
        <f>VLOOKUP(Table2634[[#This Row],[Date]],'DB Money Supply'!$A:$D,4)</f>
        <v/>
      </c>
      <c r="C1123" s="31">
        <f>(Table2634[[#This Row],[M1 Money Stock, Billions of Dollars, Weekly, Seasonally Adjusted]]-B1122)/B1122</f>
        <v/>
      </c>
      <c r="D1123" s="35">
        <f>((1+Table2634[[#This Row],[Weekly change]])^52)-1</f>
        <v/>
      </c>
      <c r="E1123" s="25">
        <f>AVERAGE(B1120:B1123)</f>
        <v/>
      </c>
      <c r="F1123" s="33">
        <f>(Table2634[[#This Row],[4 weeks average]]-B1071)/B1071</f>
        <v/>
      </c>
    </row>
    <row r="1124">
      <c r="A1124" s="23" t="n">
        <v>35226</v>
      </c>
      <c r="B1124" s="25">
        <f>VLOOKUP(Table2634[[#This Row],[Date]],'DB Money Supply'!$A:$D,4)</f>
        <v/>
      </c>
      <c r="C1124" s="31">
        <f>(Table2634[[#This Row],[M1 Money Stock, Billions of Dollars, Weekly, Seasonally Adjusted]]-B1123)/B1123</f>
        <v/>
      </c>
      <c r="D1124" s="35">
        <f>((1+Table2634[[#This Row],[Weekly change]])^52)-1</f>
        <v/>
      </c>
      <c r="E1124" s="25">
        <f>AVERAGE(B1121:B1124)</f>
        <v/>
      </c>
      <c r="F1124" s="33">
        <f>(Table2634[[#This Row],[4 weeks average]]-B1072)/B1072</f>
        <v/>
      </c>
    </row>
    <row r="1125">
      <c r="A1125" s="23" t="n">
        <v>35233</v>
      </c>
      <c r="B1125" s="25">
        <f>VLOOKUP(Table2634[[#This Row],[Date]],'DB Money Supply'!$A:$D,4)</f>
        <v/>
      </c>
      <c r="C1125" s="31">
        <f>(Table2634[[#This Row],[M1 Money Stock, Billions of Dollars, Weekly, Seasonally Adjusted]]-B1124)/B1124</f>
        <v/>
      </c>
      <c r="D1125" s="35">
        <f>((1+Table2634[[#This Row],[Weekly change]])^52)-1</f>
        <v/>
      </c>
      <c r="E1125" s="25">
        <f>AVERAGE(B1122:B1125)</f>
        <v/>
      </c>
      <c r="F1125" s="33">
        <f>(Table2634[[#This Row],[4 weeks average]]-B1073)/B1073</f>
        <v/>
      </c>
    </row>
    <row r="1126">
      <c r="A1126" s="23" t="n">
        <v>35240</v>
      </c>
      <c r="B1126" s="25">
        <f>VLOOKUP(Table2634[[#This Row],[Date]],'DB Money Supply'!$A:$D,4)</f>
        <v/>
      </c>
      <c r="C1126" s="31">
        <f>(Table2634[[#This Row],[M1 Money Stock, Billions of Dollars, Weekly, Seasonally Adjusted]]-B1125)/B1125</f>
        <v/>
      </c>
      <c r="D1126" s="35">
        <f>((1+Table2634[[#This Row],[Weekly change]])^52)-1</f>
        <v/>
      </c>
      <c r="E1126" s="25">
        <f>AVERAGE(B1123:B1126)</f>
        <v/>
      </c>
      <c r="F1126" s="33">
        <f>(Table2634[[#This Row],[4 weeks average]]-B1074)/B1074</f>
        <v/>
      </c>
    </row>
    <row r="1127">
      <c r="A1127" s="23" t="n">
        <v>35247</v>
      </c>
      <c r="B1127" s="25">
        <f>VLOOKUP(Table2634[[#This Row],[Date]],'DB Money Supply'!$A:$D,4)</f>
        <v/>
      </c>
      <c r="C1127" s="31">
        <f>(Table2634[[#This Row],[M1 Money Stock, Billions of Dollars, Weekly, Seasonally Adjusted]]-B1126)/B1126</f>
        <v/>
      </c>
      <c r="D1127" s="35">
        <f>((1+Table2634[[#This Row],[Weekly change]])^52)-1</f>
        <v/>
      </c>
      <c r="E1127" s="25">
        <f>AVERAGE(B1124:B1127)</f>
        <v/>
      </c>
      <c r="F1127" s="33">
        <f>(Table2634[[#This Row],[4 weeks average]]-B1075)/B1075</f>
        <v/>
      </c>
    </row>
    <row r="1128">
      <c r="A1128" s="23" t="n">
        <v>35254</v>
      </c>
      <c r="B1128" s="25">
        <f>VLOOKUP(Table2634[[#This Row],[Date]],'DB Money Supply'!$A:$D,4)</f>
        <v/>
      </c>
      <c r="C1128" s="31">
        <f>(Table2634[[#This Row],[M1 Money Stock, Billions of Dollars, Weekly, Seasonally Adjusted]]-B1127)/B1127</f>
        <v/>
      </c>
      <c r="D1128" s="35">
        <f>((1+Table2634[[#This Row],[Weekly change]])^52)-1</f>
        <v/>
      </c>
      <c r="E1128" s="25">
        <f>AVERAGE(B1125:B1128)</f>
        <v/>
      </c>
      <c r="F1128" s="33">
        <f>(Table2634[[#This Row],[4 weeks average]]-B1076)/B1076</f>
        <v/>
      </c>
    </row>
    <row r="1129">
      <c r="A1129" s="23" t="n">
        <v>35261</v>
      </c>
      <c r="B1129" s="25">
        <f>VLOOKUP(Table2634[[#This Row],[Date]],'DB Money Supply'!$A:$D,4)</f>
        <v/>
      </c>
      <c r="C1129" s="31">
        <f>(Table2634[[#This Row],[M1 Money Stock, Billions of Dollars, Weekly, Seasonally Adjusted]]-B1128)/B1128</f>
        <v/>
      </c>
      <c r="D1129" s="35">
        <f>((1+Table2634[[#This Row],[Weekly change]])^52)-1</f>
        <v/>
      </c>
      <c r="E1129" s="25">
        <f>AVERAGE(B1126:B1129)</f>
        <v/>
      </c>
      <c r="F1129" s="33">
        <f>(Table2634[[#This Row],[4 weeks average]]-B1077)/B1077</f>
        <v/>
      </c>
    </row>
    <row r="1130">
      <c r="A1130" s="23" t="n">
        <v>35268</v>
      </c>
      <c r="B1130" s="25">
        <f>VLOOKUP(Table2634[[#This Row],[Date]],'DB Money Supply'!$A:$D,4)</f>
        <v/>
      </c>
      <c r="C1130" s="31">
        <f>(Table2634[[#This Row],[M1 Money Stock, Billions of Dollars, Weekly, Seasonally Adjusted]]-B1129)/B1129</f>
        <v/>
      </c>
      <c r="D1130" s="35">
        <f>((1+Table2634[[#This Row],[Weekly change]])^52)-1</f>
        <v/>
      </c>
      <c r="E1130" s="25">
        <f>AVERAGE(B1127:B1130)</f>
        <v/>
      </c>
      <c r="F1130" s="33">
        <f>(Table2634[[#This Row],[4 weeks average]]-B1078)/B1078</f>
        <v/>
      </c>
    </row>
    <row r="1131">
      <c r="A1131" s="23" t="n">
        <v>35275</v>
      </c>
      <c r="B1131" s="25">
        <f>VLOOKUP(Table2634[[#This Row],[Date]],'DB Money Supply'!$A:$D,4)</f>
        <v/>
      </c>
      <c r="C1131" s="31">
        <f>(Table2634[[#This Row],[M1 Money Stock, Billions of Dollars, Weekly, Seasonally Adjusted]]-B1130)/B1130</f>
        <v/>
      </c>
      <c r="D1131" s="35">
        <f>((1+Table2634[[#This Row],[Weekly change]])^52)-1</f>
        <v/>
      </c>
      <c r="E1131" s="25">
        <f>AVERAGE(B1128:B1131)</f>
        <v/>
      </c>
      <c r="F1131" s="33">
        <f>(Table2634[[#This Row],[4 weeks average]]-B1079)/B1079</f>
        <v/>
      </c>
    </row>
    <row r="1132">
      <c r="A1132" s="23" t="n">
        <v>35282</v>
      </c>
      <c r="B1132" s="25">
        <f>VLOOKUP(Table2634[[#This Row],[Date]],'DB Money Supply'!$A:$D,4)</f>
        <v/>
      </c>
      <c r="C1132" s="31">
        <f>(Table2634[[#This Row],[M1 Money Stock, Billions of Dollars, Weekly, Seasonally Adjusted]]-B1131)/B1131</f>
        <v/>
      </c>
      <c r="D1132" s="35">
        <f>((1+Table2634[[#This Row],[Weekly change]])^52)-1</f>
        <v/>
      </c>
      <c r="E1132" s="25">
        <f>AVERAGE(B1129:B1132)</f>
        <v/>
      </c>
      <c r="F1132" s="33">
        <f>(Table2634[[#This Row],[4 weeks average]]-B1080)/B1080</f>
        <v/>
      </c>
    </row>
    <row r="1133">
      <c r="A1133" s="23" t="n">
        <v>35289</v>
      </c>
      <c r="B1133" s="25">
        <f>VLOOKUP(Table2634[[#This Row],[Date]],'DB Money Supply'!$A:$D,4)</f>
        <v/>
      </c>
      <c r="C1133" s="31">
        <f>(Table2634[[#This Row],[M1 Money Stock, Billions of Dollars, Weekly, Seasonally Adjusted]]-B1132)/B1132</f>
        <v/>
      </c>
      <c r="D1133" s="35">
        <f>((1+Table2634[[#This Row],[Weekly change]])^52)-1</f>
        <v/>
      </c>
      <c r="E1133" s="25">
        <f>AVERAGE(B1130:B1133)</f>
        <v/>
      </c>
      <c r="F1133" s="33">
        <f>(Table2634[[#This Row],[4 weeks average]]-B1081)/B1081</f>
        <v/>
      </c>
    </row>
    <row r="1134">
      <c r="A1134" s="23" t="n">
        <v>35296</v>
      </c>
      <c r="B1134" s="25">
        <f>VLOOKUP(Table2634[[#This Row],[Date]],'DB Money Supply'!$A:$D,4)</f>
        <v/>
      </c>
      <c r="C1134" s="31">
        <f>(Table2634[[#This Row],[M1 Money Stock, Billions of Dollars, Weekly, Seasonally Adjusted]]-B1133)/B1133</f>
        <v/>
      </c>
      <c r="D1134" s="35">
        <f>((1+Table2634[[#This Row],[Weekly change]])^52)-1</f>
        <v/>
      </c>
      <c r="E1134" s="25">
        <f>AVERAGE(B1131:B1134)</f>
        <v/>
      </c>
      <c r="F1134" s="33">
        <f>(Table2634[[#This Row],[4 weeks average]]-B1082)/B1082</f>
        <v/>
      </c>
    </row>
    <row r="1135">
      <c r="A1135" s="23" t="n">
        <v>35303</v>
      </c>
      <c r="B1135" s="25">
        <f>VLOOKUP(Table2634[[#This Row],[Date]],'DB Money Supply'!$A:$D,4)</f>
        <v/>
      </c>
      <c r="C1135" s="31">
        <f>(Table2634[[#This Row],[M1 Money Stock, Billions of Dollars, Weekly, Seasonally Adjusted]]-B1134)/B1134</f>
        <v/>
      </c>
      <c r="D1135" s="35">
        <f>((1+Table2634[[#This Row],[Weekly change]])^52)-1</f>
        <v/>
      </c>
      <c r="E1135" s="25">
        <f>AVERAGE(B1132:B1135)</f>
        <v/>
      </c>
      <c r="F1135" s="33">
        <f>(Table2634[[#This Row],[4 weeks average]]-B1083)/B1083</f>
        <v/>
      </c>
    </row>
    <row r="1136">
      <c r="A1136" s="23" t="n">
        <v>35310</v>
      </c>
      <c r="B1136" s="25">
        <f>VLOOKUP(Table2634[[#This Row],[Date]],'DB Money Supply'!$A:$D,4)</f>
        <v/>
      </c>
      <c r="C1136" s="31">
        <f>(Table2634[[#This Row],[M1 Money Stock, Billions of Dollars, Weekly, Seasonally Adjusted]]-B1135)/B1135</f>
        <v/>
      </c>
      <c r="D1136" s="35">
        <f>((1+Table2634[[#This Row],[Weekly change]])^52)-1</f>
        <v/>
      </c>
      <c r="E1136" s="25">
        <f>AVERAGE(B1133:B1136)</f>
        <v/>
      </c>
      <c r="F1136" s="33">
        <f>(Table2634[[#This Row],[4 weeks average]]-B1084)/B1084</f>
        <v/>
      </c>
    </row>
    <row r="1137">
      <c r="A1137" s="23" t="n">
        <v>35317</v>
      </c>
      <c r="B1137" s="25">
        <f>VLOOKUP(Table2634[[#This Row],[Date]],'DB Money Supply'!$A:$D,4)</f>
        <v/>
      </c>
      <c r="C1137" s="31">
        <f>(Table2634[[#This Row],[M1 Money Stock, Billions of Dollars, Weekly, Seasonally Adjusted]]-B1136)/B1136</f>
        <v/>
      </c>
      <c r="D1137" s="35">
        <f>((1+Table2634[[#This Row],[Weekly change]])^52)-1</f>
        <v/>
      </c>
      <c r="E1137" s="25">
        <f>AVERAGE(B1134:B1137)</f>
        <v/>
      </c>
      <c r="F1137" s="33">
        <f>(Table2634[[#This Row],[4 weeks average]]-B1085)/B1085</f>
        <v/>
      </c>
    </row>
    <row r="1138">
      <c r="A1138" s="23" t="n">
        <v>35324</v>
      </c>
      <c r="B1138" s="25">
        <f>VLOOKUP(Table2634[[#This Row],[Date]],'DB Money Supply'!$A:$D,4)</f>
        <v/>
      </c>
      <c r="C1138" s="31">
        <f>(Table2634[[#This Row],[M1 Money Stock, Billions of Dollars, Weekly, Seasonally Adjusted]]-B1137)/B1137</f>
        <v/>
      </c>
      <c r="D1138" s="35">
        <f>((1+Table2634[[#This Row],[Weekly change]])^52)-1</f>
        <v/>
      </c>
      <c r="E1138" s="25">
        <f>AVERAGE(B1135:B1138)</f>
        <v/>
      </c>
      <c r="F1138" s="33">
        <f>(Table2634[[#This Row],[4 weeks average]]-B1086)/B1086</f>
        <v/>
      </c>
    </row>
    <row r="1139">
      <c r="A1139" s="23" t="n">
        <v>35331</v>
      </c>
      <c r="B1139" s="25">
        <f>VLOOKUP(Table2634[[#This Row],[Date]],'DB Money Supply'!$A:$D,4)</f>
        <v/>
      </c>
      <c r="C1139" s="31">
        <f>(Table2634[[#This Row],[M1 Money Stock, Billions of Dollars, Weekly, Seasonally Adjusted]]-B1138)/B1138</f>
        <v/>
      </c>
      <c r="D1139" s="35">
        <f>((1+Table2634[[#This Row],[Weekly change]])^52)-1</f>
        <v/>
      </c>
      <c r="E1139" s="25">
        <f>AVERAGE(B1136:B1139)</f>
        <v/>
      </c>
      <c r="F1139" s="33">
        <f>(Table2634[[#This Row],[4 weeks average]]-B1087)/B1087</f>
        <v/>
      </c>
    </row>
    <row r="1140">
      <c r="A1140" s="23" t="n">
        <v>35338</v>
      </c>
      <c r="B1140" s="25">
        <f>VLOOKUP(Table2634[[#This Row],[Date]],'DB Money Supply'!$A:$D,4)</f>
        <v/>
      </c>
      <c r="C1140" s="31">
        <f>(Table2634[[#This Row],[M1 Money Stock, Billions of Dollars, Weekly, Seasonally Adjusted]]-B1139)/B1139</f>
        <v/>
      </c>
      <c r="D1140" s="35">
        <f>((1+Table2634[[#This Row],[Weekly change]])^52)-1</f>
        <v/>
      </c>
      <c r="E1140" s="25">
        <f>AVERAGE(B1137:B1140)</f>
        <v/>
      </c>
      <c r="F1140" s="33">
        <f>(Table2634[[#This Row],[4 weeks average]]-B1088)/B1088</f>
        <v/>
      </c>
    </row>
    <row r="1141">
      <c r="A1141" s="23" t="n">
        <v>35345</v>
      </c>
      <c r="B1141" s="25">
        <f>VLOOKUP(Table2634[[#This Row],[Date]],'DB Money Supply'!$A:$D,4)</f>
        <v/>
      </c>
      <c r="C1141" s="31">
        <f>(Table2634[[#This Row],[M1 Money Stock, Billions of Dollars, Weekly, Seasonally Adjusted]]-B1140)/B1140</f>
        <v/>
      </c>
      <c r="D1141" s="35">
        <f>((1+Table2634[[#This Row],[Weekly change]])^52)-1</f>
        <v/>
      </c>
      <c r="E1141" s="25">
        <f>AVERAGE(B1138:B1141)</f>
        <v/>
      </c>
      <c r="F1141" s="33">
        <f>(Table2634[[#This Row],[4 weeks average]]-B1089)/B1089</f>
        <v/>
      </c>
    </row>
    <row r="1142">
      <c r="A1142" s="23" t="n">
        <v>35352</v>
      </c>
      <c r="B1142" s="25">
        <f>VLOOKUP(Table2634[[#This Row],[Date]],'DB Money Supply'!$A:$D,4)</f>
        <v/>
      </c>
      <c r="C1142" s="31">
        <f>(Table2634[[#This Row],[M1 Money Stock, Billions of Dollars, Weekly, Seasonally Adjusted]]-B1141)/B1141</f>
        <v/>
      </c>
      <c r="D1142" s="35">
        <f>((1+Table2634[[#This Row],[Weekly change]])^52)-1</f>
        <v/>
      </c>
      <c r="E1142" s="25">
        <f>AVERAGE(B1139:B1142)</f>
        <v/>
      </c>
      <c r="F1142" s="33">
        <f>(Table2634[[#This Row],[4 weeks average]]-B1090)/B1090</f>
        <v/>
      </c>
    </row>
    <row r="1143">
      <c r="A1143" s="23" t="n">
        <v>35359</v>
      </c>
      <c r="B1143" s="25">
        <f>VLOOKUP(Table2634[[#This Row],[Date]],'DB Money Supply'!$A:$D,4)</f>
        <v/>
      </c>
      <c r="C1143" s="31">
        <f>(Table2634[[#This Row],[M1 Money Stock, Billions of Dollars, Weekly, Seasonally Adjusted]]-B1142)/B1142</f>
        <v/>
      </c>
      <c r="D1143" s="35">
        <f>((1+Table2634[[#This Row],[Weekly change]])^52)-1</f>
        <v/>
      </c>
      <c r="E1143" s="25">
        <f>AVERAGE(B1140:B1143)</f>
        <v/>
      </c>
      <c r="F1143" s="33">
        <f>(Table2634[[#This Row],[4 weeks average]]-B1091)/B1091</f>
        <v/>
      </c>
    </row>
    <row r="1144">
      <c r="A1144" s="23" t="n">
        <v>35366</v>
      </c>
      <c r="B1144" s="25">
        <f>VLOOKUP(Table2634[[#This Row],[Date]],'DB Money Supply'!$A:$D,4)</f>
        <v/>
      </c>
      <c r="C1144" s="31">
        <f>(Table2634[[#This Row],[M1 Money Stock, Billions of Dollars, Weekly, Seasonally Adjusted]]-B1143)/B1143</f>
        <v/>
      </c>
      <c r="D1144" s="35">
        <f>((1+Table2634[[#This Row],[Weekly change]])^52)-1</f>
        <v/>
      </c>
      <c r="E1144" s="25">
        <f>AVERAGE(B1141:B1144)</f>
        <v/>
      </c>
      <c r="F1144" s="33">
        <f>(Table2634[[#This Row],[4 weeks average]]-B1092)/B1092</f>
        <v/>
      </c>
    </row>
    <row r="1145">
      <c r="A1145" s="23" t="n">
        <v>35373</v>
      </c>
      <c r="B1145" s="25">
        <f>VLOOKUP(Table2634[[#This Row],[Date]],'DB Money Supply'!$A:$D,4)</f>
        <v/>
      </c>
      <c r="C1145" s="31">
        <f>(Table2634[[#This Row],[M1 Money Stock, Billions of Dollars, Weekly, Seasonally Adjusted]]-B1144)/B1144</f>
        <v/>
      </c>
      <c r="D1145" s="35">
        <f>((1+Table2634[[#This Row],[Weekly change]])^52)-1</f>
        <v/>
      </c>
      <c r="E1145" s="25">
        <f>AVERAGE(B1142:B1145)</f>
        <v/>
      </c>
      <c r="F1145" s="33">
        <f>(Table2634[[#This Row],[4 weeks average]]-B1093)/B1093</f>
        <v/>
      </c>
    </row>
    <row r="1146">
      <c r="A1146" s="23" t="n">
        <v>35380</v>
      </c>
      <c r="B1146" s="25">
        <f>VLOOKUP(Table2634[[#This Row],[Date]],'DB Money Supply'!$A:$D,4)</f>
        <v/>
      </c>
      <c r="C1146" s="31">
        <f>(Table2634[[#This Row],[M1 Money Stock, Billions of Dollars, Weekly, Seasonally Adjusted]]-B1145)/B1145</f>
        <v/>
      </c>
      <c r="D1146" s="35">
        <f>((1+Table2634[[#This Row],[Weekly change]])^52)-1</f>
        <v/>
      </c>
      <c r="E1146" s="25">
        <f>AVERAGE(B1143:B1146)</f>
        <v/>
      </c>
      <c r="F1146" s="33">
        <f>(Table2634[[#This Row],[4 weeks average]]-B1094)/B1094</f>
        <v/>
      </c>
    </row>
    <row r="1147">
      <c r="A1147" s="23" t="n">
        <v>35387</v>
      </c>
      <c r="B1147" s="25">
        <f>VLOOKUP(Table2634[[#This Row],[Date]],'DB Money Supply'!$A:$D,4)</f>
        <v/>
      </c>
      <c r="C1147" s="31">
        <f>(Table2634[[#This Row],[M1 Money Stock, Billions of Dollars, Weekly, Seasonally Adjusted]]-B1146)/B1146</f>
        <v/>
      </c>
      <c r="D1147" s="35">
        <f>((1+Table2634[[#This Row],[Weekly change]])^52)-1</f>
        <v/>
      </c>
      <c r="E1147" s="25">
        <f>AVERAGE(B1144:B1147)</f>
        <v/>
      </c>
      <c r="F1147" s="33">
        <f>(Table2634[[#This Row],[4 weeks average]]-B1095)/B1095</f>
        <v/>
      </c>
    </row>
    <row r="1148">
      <c r="A1148" s="23" t="n">
        <v>35394</v>
      </c>
      <c r="B1148" s="25">
        <f>VLOOKUP(Table2634[[#This Row],[Date]],'DB Money Supply'!$A:$D,4)</f>
        <v/>
      </c>
      <c r="C1148" s="31">
        <f>(Table2634[[#This Row],[M1 Money Stock, Billions of Dollars, Weekly, Seasonally Adjusted]]-B1147)/B1147</f>
        <v/>
      </c>
      <c r="D1148" s="35">
        <f>((1+Table2634[[#This Row],[Weekly change]])^52)-1</f>
        <v/>
      </c>
      <c r="E1148" s="25">
        <f>AVERAGE(B1145:B1148)</f>
        <v/>
      </c>
      <c r="F1148" s="33">
        <f>(Table2634[[#This Row],[4 weeks average]]-B1096)/B1096</f>
        <v/>
      </c>
    </row>
    <row r="1149">
      <c r="A1149" s="23" t="n">
        <v>35401</v>
      </c>
      <c r="B1149" s="25">
        <f>VLOOKUP(Table2634[[#This Row],[Date]],'DB Money Supply'!$A:$D,4)</f>
        <v/>
      </c>
      <c r="C1149" s="31">
        <f>(Table2634[[#This Row],[M1 Money Stock, Billions of Dollars, Weekly, Seasonally Adjusted]]-B1148)/B1148</f>
        <v/>
      </c>
      <c r="D1149" s="35">
        <f>((1+Table2634[[#This Row],[Weekly change]])^52)-1</f>
        <v/>
      </c>
      <c r="E1149" s="25">
        <f>AVERAGE(B1146:B1149)</f>
        <v/>
      </c>
      <c r="F1149" s="33">
        <f>(Table2634[[#This Row],[4 weeks average]]-B1097)/B1097</f>
        <v/>
      </c>
    </row>
    <row r="1150">
      <c r="A1150" s="23" t="n">
        <v>35408</v>
      </c>
      <c r="B1150" s="25">
        <f>VLOOKUP(Table2634[[#This Row],[Date]],'DB Money Supply'!$A:$D,4)</f>
        <v/>
      </c>
      <c r="C1150" s="31">
        <f>(Table2634[[#This Row],[M1 Money Stock, Billions of Dollars, Weekly, Seasonally Adjusted]]-B1149)/B1149</f>
        <v/>
      </c>
      <c r="D1150" s="35">
        <f>((1+Table2634[[#This Row],[Weekly change]])^52)-1</f>
        <v/>
      </c>
      <c r="E1150" s="25">
        <f>AVERAGE(B1147:B1150)</f>
        <v/>
      </c>
      <c r="F1150" s="33">
        <f>(Table2634[[#This Row],[4 weeks average]]-B1098)/B1098</f>
        <v/>
      </c>
    </row>
    <row r="1151">
      <c r="A1151" s="23" t="n">
        <v>35415</v>
      </c>
      <c r="B1151" s="25">
        <f>VLOOKUP(Table2634[[#This Row],[Date]],'DB Money Supply'!$A:$D,4)</f>
        <v/>
      </c>
      <c r="C1151" s="31">
        <f>(Table2634[[#This Row],[M1 Money Stock, Billions of Dollars, Weekly, Seasonally Adjusted]]-B1150)/B1150</f>
        <v/>
      </c>
      <c r="D1151" s="35">
        <f>((1+Table2634[[#This Row],[Weekly change]])^52)-1</f>
        <v/>
      </c>
      <c r="E1151" s="25">
        <f>AVERAGE(B1148:B1151)</f>
        <v/>
      </c>
      <c r="F1151" s="33">
        <f>(Table2634[[#This Row],[4 weeks average]]-B1099)/B1099</f>
        <v/>
      </c>
    </row>
    <row r="1152">
      <c r="A1152" s="23" t="n">
        <v>35422</v>
      </c>
      <c r="B1152" s="25">
        <f>VLOOKUP(Table2634[[#This Row],[Date]],'DB Money Supply'!$A:$D,4)</f>
        <v/>
      </c>
      <c r="C1152" s="31">
        <f>(Table2634[[#This Row],[M1 Money Stock, Billions of Dollars, Weekly, Seasonally Adjusted]]-B1151)/B1151</f>
        <v/>
      </c>
      <c r="D1152" s="35">
        <f>((1+Table2634[[#This Row],[Weekly change]])^52)-1</f>
        <v/>
      </c>
      <c r="E1152" s="25">
        <f>AVERAGE(B1149:B1152)</f>
        <v/>
      </c>
      <c r="F1152" s="33">
        <f>(Table2634[[#This Row],[4 weeks average]]-B1100)/B1100</f>
        <v/>
      </c>
    </row>
    <row r="1153">
      <c r="A1153" s="23" t="n">
        <v>35429</v>
      </c>
      <c r="B1153" s="25">
        <f>VLOOKUP(Table2634[[#This Row],[Date]],'DB Money Supply'!$A:$D,4)</f>
        <v/>
      </c>
      <c r="C1153" s="31">
        <f>(Table2634[[#This Row],[M1 Money Stock, Billions of Dollars, Weekly, Seasonally Adjusted]]-B1152)/B1152</f>
        <v/>
      </c>
      <c r="D1153" s="35">
        <f>((1+Table2634[[#This Row],[Weekly change]])^52)-1</f>
        <v/>
      </c>
      <c r="E1153" s="25">
        <f>AVERAGE(B1150:B1153)</f>
        <v/>
      </c>
      <c r="F1153" s="33">
        <f>(Table2634[[#This Row],[4 weeks average]]-B1101)/B1101</f>
        <v/>
      </c>
    </row>
    <row r="1154">
      <c r="A1154" s="23" t="n">
        <v>35436</v>
      </c>
      <c r="B1154" s="25">
        <f>VLOOKUP(Table2634[[#This Row],[Date]],'DB Money Supply'!$A:$D,4)</f>
        <v/>
      </c>
      <c r="C1154" s="31">
        <f>(Table2634[[#This Row],[M1 Money Stock, Billions of Dollars, Weekly, Seasonally Adjusted]]-B1153)/B1153</f>
        <v/>
      </c>
      <c r="D1154" s="35">
        <f>((1+Table2634[[#This Row],[Weekly change]])^52)-1</f>
        <v/>
      </c>
      <c r="E1154" s="25">
        <f>AVERAGE(B1151:B1154)</f>
        <v/>
      </c>
      <c r="F1154" s="33">
        <f>(Table2634[[#This Row],[4 weeks average]]-B1102)/B1102</f>
        <v/>
      </c>
    </row>
    <row r="1155">
      <c r="A1155" s="23" t="n">
        <v>35443</v>
      </c>
      <c r="B1155" s="25">
        <f>VLOOKUP(Table2634[[#This Row],[Date]],'DB Money Supply'!$A:$D,4)</f>
        <v/>
      </c>
      <c r="C1155" s="31">
        <f>(Table2634[[#This Row],[M1 Money Stock, Billions of Dollars, Weekly, Seasonally Adjusted]]-B1154)/B1154</f>
        <v/>
      </c>
      <c r="D1155" s="35">
        <f>((1+Table2634[[#This Row],[Weekly change]])^52)-1</f>
        <v/>
      </c>
      <c r="E1155" s="25">
        <f>AVERAGE(B1152:B1155)</f>
        <v/>
      </c>
      <c r="F1155" s="33">
        <f>(Table2634[[#This Row],[4 weeks average]]-B1103)/B1103</f>
        <v/>
      </c>
    </row>
    <row r="1156">
      <c r="A1156" s="23" t="n">
        <v>35450</v>
      </c>
      <c r="B1156" s="25">
        <f>VLOOKUP(Table2634[[#This Row],[Date]],'DB Money Supply'!$A:$D,4)</f>
        <v/>
      </c>
      <c r="C1156" s="31">
        <f>(Table2634[[#This Row],[M1 Money Stock, Billions of Dollars, Weekly, Seasonally Adjusted]]-B1155)/B1155</f>
        <v/>
      </c>
      <c r="D1156" s="35">
        <f>((1+Table2634[[#This Row],[Weekly change]])^52)-1</f>
        <v/>
      </c>
      <c r="E1156" s="25">
        <f>AVERAGE(B1153:B1156)</f>
        <v/>
      </c>
      <c r="F1156" s="33">
        <f>(Table2634[[#This Row],[4 weeks average]]-B1104)/B1104</f>
        <v/>
      </c>
    </row>
    <row r="1157">
      <c r="A1157" s="23" t="n">
        <v>35457</v>
      </c>
      <c r="B1157" s="25">
        <f>VLOOKUP(Table2634[[#This Row],[Date]],'DB Money Supply'!$A:$D,4)</f>
        <v/>
      </c>
      <c r="C1157" s="31">
        <f>(Table2634[[#This Row],[M1 Money Stock, Billions of Dollars, Weekly, Seasonally Adjusted]]-B1156)/B1156</f>
        <v/>
      </c>
      <c r="D1157" s="35">
        <f>((1+Table2634[[#This Row],[Weekly change]])^52)-1</f>
        <v/>
      </c>
      <c r="E1157" s="25">
        <f>AVERAGE(B1154:B1157)</f>
        <v/>
      </c>
      <c r="F1157" s="33">
        <f>(Table2634[[#This Row],[4 weeks average]]-B1105)/B1105</f>
        <v/>
      </c>
    </row>
    <row r="1158">
      <c r="A1158" s="23" t="n">
        <v>35464</v>
      </c>
      <c r="B1158" s="25">
        <f>VLOOKUP(Table2634[[#This Row],[Date]],'DB Money Supply'!$A:$D,4)</f>
        <v/>
      </c>
      <c r="C1158" s="31">
        <f>(Table2634[[#This Row],[M1 Money Stock, Billions of Dollars, Weekly, Seasonally Adjusted]]-B1157)/B1157</f>
        <v/>
      </c>
      <c r="D1158" s="35">
        <f>((1+Table2634[[#This Row],[Weekly change]])^52)-1</f>
        <v/>
      </c>
      <c r="E1158" s="25">
        <f>AVERAGE(B1155:B1158)</f>
        <v/>
      </c>
      <c r="F1158" s="33">
        <f>(Table2634[[#This Row],[4 weeks average]]-B1106)/B1106</f>
        <v/>
      </c>
    </row>
    <row r="1159">
      <c r="A1159" s="23" t="n">
        <v>35471</v>
      </c>
      <c r="B1159" s="25">
        <f>VLOOKUP(Table2634[[#This Row],[Date]],'DB Money Supply'!$A:$D,4)</f>
        <v/>
      </c>
      <c r="C1159" s="31">
        <f>(Table2634[[#This Row],[M1 Money Stock, Billions of Dollars, Weekly, Seasonally Adjusted]]-B1158)/B1158</f>
        <v/>
      </c>
      <c r="D1159" s="35">
        <f>((1+Table2634[[#This Row],[Weekly change]])^52)-1</f>
        <v/>
      </c>
      <c r="E1159" s="25">
        <f>AVERAGE(B1156:B1159)</f>
        <v/>
      </c>
      <c r="F1159" s="33">
        <f>(Table2634[[#This Row],[4 weeks average]]-B1107)/B1107</f>
        <v/>
      </c>
    </row>
    <row r="1160">
      <c r="A1160" s="23" t="n">
        <v>35478</v>
      </c>
      <c r="B1160" s="25">
        <f>VLOOKUP(Table2634[[#This Row],[Date]],'DB Money Supply'!$A:$D,4)</f>
        <v/>
      </c>
      <c r="C1160" s="31">
        <f>(Table2634[[#This Row],[M1 Money Stock, Billions of Dollars, Weekly, Seasonally Adjusted]]-B1159)/B1159</f>
        <v/>
      </c>
      <c r="D1160" s="35">
        <f>((1+Table2634[[#This Row],[Weekly change]])^52)-1</f>
        <v/>
      </c>
      <c r="E1160" s="25">
        <f>AVERAGE(B1157:B1160)</f>
        <v/>
      </c>
      <c r="F1160" s="33">
        <f>(Table2634[[#This Row],[4 weeks average]]-B1108)/B1108</f>
        <v/>
      </c>
    </row>
    <row r="1161">
      <c r="A1161" s="23" t="n">
        <v>35485</v>
      </c>
      <c r="B1161" s="25">
        <f>VLOOKUP(Table2634[[#This Row],[Date]],'DB Money Supply'!$A:$D,4)</f>
        <v/>
      </c>
      <c r="C1161" s="31">
        <f>(Table2634[[#This Row],[M1 Money Stock, Billions of Dollars, Weekly, Seasonally Adjusted]]-B1160)/B1160</f>
        <v/>
      </c>
      <c r="D1161" s="35">
        <f>((1+Table2634[[#This Row],[Weekly change]])^52)-1</f>
        <v/>
      </c>
      <c r="E1161" s="25">
        <f>AVERAGE(B1158:B1161)</f>
        <v/>
      </c>
      <c r="F1161" s="33">
        <f>(Table2634[[#This Row],[4 weeks average]]-B1109)/B1109</f>
        <v/>
      </c>
    </row>
    <row r="1162">
      <c r="A1162" s="23" t="n">
        <v>35492</v>
      </c>
      <c r="B1162" s="25">
        <f>VLOOKUP(Table2634[[#This Row],[Date]],'DB Money Supply'!$A:$D,4)</f>
        <v/>
      </c>
      <c r="C1162" s="31">
        <f>(Table2634[[#This Row],[M1 Money Stock, Billions of Dollars, Weekly, Seasonally Adjusted]]-B1161)/B1161</f>
        <v/>
      </c>
      <c r="D1162" s="35">
        <f>((1+Table2634[[#This Row],[Weekly change]])^52)-1</f>
        <v/>
      </c>
      <c r="E1162" s="25">
        <f>AVERAGE(B1159:B1162)</f>
        <v/>
      </c>
      <c r="F1162" s="33">
        <f>(Table2634[[#This Row],[4 weeks average]]-B1110)/B1110</f>
        <v/>
      </c>
    </row>
    <row r="1163">
      <c r="A1163" s="23" t="n">
        <v>35499</v>
      </c>
      <c r="B1163" s="25">
        <f>VLOOKUP(Table2634[[#This Row],[Date]],'DB Money Supply'!$A:$D,4)</f>
        <v/>
      </c>
      <c r="C1163" s="31">
        <f>(Table2634[[#This Row],[M1 Money Stock, Billions of Dollars, Weekly, Seasonally Adjusted]]-B1162)/B1162</f>
        <v/>
      </c>
      <c r="D1163" s="35">
        <f>((1+Table2634[[#This Row],[Weekly change]])^52)-1</f>
        <v/>
      </c>
      <c r="E1163" s="25">
        <f>AVERAGE(B1160:B1163)</f>
        <v/>
      </c>
      <c r="F1163" s="33">
        <f>(Table2634[[#This Row],[4 weeks average]]-B1111)/B1111</f>
        <v/>
      </c>
    </row>
    <row r="1164">
      <c r="A1164" s="23" t="n">
        <v>35506</v>
      </c>
      <c r="B1164" s="25">
        <f>VLOOKUP(Table2634[[#This Row],[Date]],'DB Money Supply'!$A:$D,4)</f>
        <v/>
      </c>
      <c r="C1164" s="31">
        <f>(Table2634[[#This Row],[M1 Money Stock, Billions of Dollars, Weekly, Seasonally Adjusted]]-B1163)/B1163</f>
        <v/>
      </c>
      <c r="D1164" s="35">
        <f>((1+Table2634[[#This Row],[Weekly change]])^52)-1</f>
        <v/>
      </c>
      <c r="E1164" s="25">
        <f>AVERAGE(B1161:B1164)</f>
        <v/>
      </c>
      <c r="F1164" s="33">
        <f>(Table2634[[#This Row],[4 weeks average]]-B1112)/B1112</f>
        <v/>
      </c>
    </row>
    <row r="1165">
      <c r="A1165" s="23" t="n">
        <v>35513</v>
      </c>
      <c r="B1165" s="25">
        <f>VLOOKUP(Table2634[[#This Row],[Date]],'DB Money Supply'!$A:$D,4)</f>
        <v/>
      </c>
      <c r="C1165" s="31">
        <f>(Table2634[[#This Row],[M1 Money Stock, Billions of Dollars, Weekly, Seasonally Adjusted]]-B1164)/B1164</f>
        <v/>
      </c>
      <c r="D1165" s="35">
        <f>((1+Table2634[[#This Row],[Weekly change]])^52)-1</f>
        <v/>
      </c>
      <c r="E1165" s="25">
        <f>AVERAGE(B1162:B1165)</f>
        <v/>
      </c>
      <c r="F1165" s="33">
        <f>(Table2634[[#This Row],[4 weeks average]]-B1113)/B1113</f>
        <v/>
      </c>
    </row>
    <row r="1166">
      <c r="A1166" s="23" t="n">
        <v>35520</v>
      </c>
      <c r="B1166" s="25">
        <f>VLOOKUP(Table2634[[#This Row],[Date]],'DB Money Supply'!$A:$D,4)</f>
        <v/>
      </c>
      <c r="C1166" s="31">
        <f>(Table2634[[#This Row],[M1 Money Stock, Billions of Dollars, Weekly, Seasonally Adjusted]]-B1165)/B1165</f>
        <v/>
      </c>
      <c r="D1166" s="35">
        <f>((1+Table2634[[#This Row],[Weekly change]])^52)-1</f>
        <v/>
      </c>
      <c r="E1166" s="25">
        <f>AVERAGE(B1163:B1166)</f>
        <v/>
      </c>
      <c r="F1166" s="33">
        <f>(Table2634[[#This Row],[4 weeks average]]-B1114)/B1114</f>
        <v/>
      </c>
    </row>
    <row r="1167">
      <c r="A1167" s="23" t="n">
        <v>35527</v>
      </c>
      <c r="B1167" s="25">
        <f>VLOOKUP(Table2634[[#This Row],[Date]],'DB Money Supply'!$A:$D,4)</f>
        <v/>
      </c>
      <c r="C1167" s="31">
        <f>(Table2634[[#This Row],[M1 Money Stock, Billions of Dollars, Weekly, Seasonally Adjusted]]-B1166)/B1166</f>
        <v/>
      </c>
      <c r="D1167" s="35">
        <f>((1+Table2634[[#This Row],[Weekly change]])^52)-1</f>
        <v/>
      </c>
      <c r="E1167" s="25">
        <f>AVERAGE(B1164:B1167)</f>
        <v/>
      </c>
      <c r="F1167" s="33">
        <f>(Table2634[[#This Row],[4 weeks average]]-B1115)/B1115</f>
        <v/>
      </c>
    </row>
    <row r="1168">
      <c r="A1168" s="23" t="n">
        <v>35534</v>
      </c>
      <c r="B1168" s="25">
        <f>VLOOKUP(Table2634[[#This Row],[Date]],'DB Money Supply'!$A:$D,4)</f>
        <v/>
      </c>
      <c r="C1168" s="31">
        <f>(Table2634[[#This Row],[M1 Money Stock, Billions of Dollars, Weekly, Seasonally Adjusted]]-B1167)/B1167</f>
        <v/>
      </c>
      <c r="D1168" s="35">
        <f>((1+Table2634[[#This Row],[Weekly change]])^52)-1</f>
        <v/>
      </c>
      <c r="E1168" s="25">
        <f>AVERAGE(B1165:B1168)</f>
        <v/>
      </c>
      <c r="F1168" s="33">
        <f>(Table2634[[#This Row],[4 weeks average]]-B1116)/B1116</f>
        <v/>
      </c>
    </row>
    <row r="1169">
      <c r="A1169" s="23" t="n">
        <v>35541</v>
      </c>
      <c r="B1169" s="25">
        <f>VLOOKUP(Table2634[[#This Row],[Date]],'DB Money Supply'!$A:$D,4)</f>
        <v/>
      </c>
      <c r="C1169" s="31">
        <f>(Table2634[[#This Row],[M1 Money Stock, Billions of Dollars, Weekly, Seasonally Adjusted]]-B1168)/B1168</f>
        <v/>
      </c>
      <c r="D1169" s="35">
        <f>((1+Table2634[[#This Row],[Weekly change]])^52)-1</f>
        <v/>
      </c>
      <c r="E1169" s="25">
        <f>AVERAGE(B1166:B1169)</f>
        <v/>
      </c>
      <c r="F1169" s="33">
        <f>(Table2634[[#This Row],[4 weeks average]]-B1117)/B1117</f>
        <v/>
      </c>
    </row>
    <row r="1170">
      <c r="A1170" s="23" t="n">
        <v>35548</v>
      </c>
      <c r="B1170" s="25">
        <f>VLOOKUP(Table2634[[#This Row],[Date]],'DB Money Supply'!$A:$D,4)</f>
        <v/>
      </c>
      <c r="C1170" s="31">
        <f>(Table2634[[#This Row],[M1 Money Stock, Billions of Dollars, Weekly, Seasonally Adjusted]]-B1169)/B1169</f>
        <v/>
      </c>
      <c r="D1170" s="35">
        <f>((1+Table2634[[#This Row],[Weekly change]])^52)-1</f>
        <v/>
      </c>
      <c r="E1170" s="25">
        <f>AVERAGE(B1167:B1170)</f>
        <v/>
      </c>
      <c r="F1170" s="33">
        <f>(Table2634[[#This Row],[4 weeks average]]-B1118)/B1118</f>
        <v/>
      </c>
    </row>
    <row r="1171">
      <c r="A1171" s="23" t="n">
        <v>35555</v>
      </c>
      <c r="B1171" s="25">
        <f>VLOOKUP(Table2634[[#This Row],[Date]],'DB Money Supply'!$A:$D,4)</f>
        <v/>
      </c>
      <c r="C1171" s="31">
        <f>(Table2634[[#This Row],[M1 Money Stock, Billions of Dollars, Weekly, Seasonally Adjusted]]-B1170)/B1170</f>
        <v/>
      </c>
      <c r="D1171" s="35">
        <f>((1+Table2634[[#This Row],[Weekly change]])^52)-1</f>
        <v/>
      </c>
      <c r="E1171" s="25">
        <f>AVERAGE(B1168:B1171)</f>
        <v/>
      </c>
      <c r="F1171" s="33">
        <f>(Table2634[[#This Row],[4 weeks average]]-B1119)/B1119</f>
        <v/>
      </c>
    </row>
    <row r="1172">
      <c r="A1172" s="23" t="n">
        <v>35562</v>
      </c>
      <c r="B1172" s="25">
        <f>VLOOKUP(Table2634[[#This Row],[Date]],'DB Money Supply'!$A:$D,4)</f>
        <v/>
      </c>
      <c r="C1172" s="31">
        <f>(Table2634[[#This Row],[M1 Money Stock, Billions of Dollars, Weekly, Seasonally Adjusted]]-B1171)/B1171</f>
        <v/>
      </c>
      <c r="D1172" s="35">
        <f>((1+Table2634[[#This Row],[Weekly change]])^52)-1</f>
        <v/>
      </c>
      <c r="E1172" s="25">
        <f>AVERAGE(B1169:B1172)</f>
        <v/>
      </c>
      <c r="F1172" s="33">
        <f>(Table2634[[#This Row],[4 weeks average]]-B1120)/B1120</f>
        <v/>
      </c>
    </row>
    <row r="1173">
      <c r="A1173" s="23" t="n">
        <v>35569</v>
      </c>
      <c r="B1173" s="25">
        <f>VLOOKUP(Table2634[[#This Row],[Date]],'DB Money Supply'!$A:$D,4)</f>
        <v/>
      </c>
      <c r="C1173" s="31">
        <f>(Table2634[[#This Row],[M1 Money Stock, Billions of Dollars, Weekly, Seasonally Adjusted]]-B1172)/B1172</f>
        <v/>
      </c>
      <c r="D1173" s="35">
        <f>((1+Table2634[[#This Row],[Weekly change]])^52)-1</f>
        <v/>
      </c>
      <c r="E1173" s="25">
        <f>AVERAGE(B1170:B1173)</f>
        <v/>
      </c>
      <c r="F1173" s="33">
        <f>(Table2634[[#This Row],[4 weeks average]]-B1121)/B1121</f>
        <v/>
      </c>
    </row>
    <row r="1174">
      <c r="A1174" s="23" t="n">
        <v>35576</v>
      </c>
      <c r="B1174" s="25">
        <f>VLOOKUP(Table2634[[#This Row],[Date]],'DB Money Supply'!$A:$D,4)</f>
        <v/>
      </c>
      <c r="C1174" s="31">
        <f>(Table2634[[#This Row],[M1 Money Stock, Billions of Dollars, Weekly, Seasonally Adjusted]]-B1173)/B1173</f>
        <v/>
      </c>
      <c r="D1174" s="35">
        <f>((1+Table2634[[#This Row],[Weekly change]])^52)-1</f>
        <v/>
      </c>
      <c r="E1174" s="25">
        <f>AVERAGE(B1171:B1174)</f>
        <v/>
      </c>
      <c r="F1174" s="33">
        <f>(Table2634[[#This Row],[4 weeks average]]-B1122)/B1122</f>
        <v/>
      </c>
    </row>
    <row r="1175">
      <c r="A1175" s="23" t="n">
        <v>35583</v>
      </c>
      <c r="B1175" s="25">
        <f>VLOOKUP(Table2634[[#This Row],[Date]],'DB Money Supply'!$A:$D,4)</f>
        <v/>
      </c>
      <c r="C1175" s="31">
        <f>(Table2634[[#This Row],[M1 Money Stock, Billions of Dollars, Weekly, Seasonally Adjusted]]-B1174)/B1174</f>
        <v/>
      </c>
      <c r="D1175" s="35">
        <f>((1+Table2634[[#This Row],[Weekly change]])^52)-1</f>
        <v/>
      </c>
      <c r="E1175" s="25">
        <f>AVERAGE(B1172:B1175)</f>
        <v/>
      </c>
      <c r="F1175" s="33">
        <f>(Table2634[[#This Row],[4 weeks average]]-B1123)/B1123</f>
        <v/>
      </c>
    </row>
    <row r="1176">
      <c r="A1176" s="23" t="n">
        <v>35590</v>
      </c>
      <c r="B1176" s="25">
        <f>VLOOKUP(Table2634[[#This Row],[Date]],'DB Money Supply'!$A:$D,4)</f>
        <v/>
      </c>
      <c r="C1176" s="31">
        <f>(Table2634[[#This Row],[M1 Money Stock, Billions of Dollars, Weekly, Seasonally Adjusted]]-B1175)/B1175</f>
        <v/>
      </c>
      <c r="D1176" s="35">
        <f>((1+Table2634[[#This Row],[Weekly change]])^52)-1</f>
        <v/>
      </c>
      <c r="E1176" s="25">
        <f>AVERAGE(B1173:B1176)</f>
        <v/>
      </c>
      <c r="F1176" s="33">
        <f>(Table2634[[#This Row],[4 weeks average]]-B1124)/B1124</f>
        <v/>
      </c>
    </row>
    <row r="1177">
      <c r="A1177" s="23" t="n">
        <v>35597</v>
      </c>
      <c r="B1177" s="25">
        <f>VLOOKUP(Table2634[[#This Row],[Date]],'DB Money Supply'!$A:$D,4)</f>
        <v/>
      </c>
      <c r="C1177" s="31">
        <f>(Table2634[[#This Row],[M1 Money Stock, Billions of Dollars, Weekly, Seasonally Adjusted]]-B1176)/B1176</f>
        <v/>
      </c>
      <c r="D1177" s="35">
        <f>((1+Table2634[[#This Row],[Weekly change]])^52)-1</f>
        <v/>
      </c>
      <c r="E1177" s="25">
        <f>AVERAGE(B1174:B1177)</f>
        <v/>
      </c>
      <c r="F1177" s="33">
        <f>(Table2634[[#This Row],[4 weeks average]]-B1125)/B1125</f>
        <v/>
      </c>
    </row>
    <row r="1178">
      <c r="A1178" s="23" t="n">
        <v>35604</v>
      </c>
      <c r="B1178" s="25">
        <f>VLOOKUP(Table2634[[#This Row],[Date]],'DB Money Supply'!$A:$D,4)</f>
        <v/>
      </c>
      <c r="C1178" s="31">
        <f>(Table2634[[#This Row],[M1 Money Stock, Billions of Dollars, Weekly, Seasonally Adjusted]]-B1177)/B1177</f>
        <v/>
      </c>
      <c r="D1178" s="35">
        <f>((1+Table2634[[#This Row],[Weekly change]])^52)-1</f>
        <v/>
      </c>
      <c r="E1178" s="25">
        <f>AVERAGE(B1175:B1178)</f>
        <v/>
      </c>
      <c r="F1178" s="33">
        <f>(Table2634[[#This Row],[4 weeks average]]-B1126)/B1126</f>
        <v/>
      </c>
    </row>
    <row r="1179">
      <c r="A1179" s="23" t="n">
        <v>35611</v>
      </c>
      <c r="B1179" s="25">
        <f>VLOOKUP(Table2634[[#This Row],[Date]],'DB Money Supply'!$A:$D,4)</f>
        <v/>
      </c>
      <c r="C1179" s="31">
        <f>(Table2634[[#This Row],[M1 Money Stock, Billions of Dollars, Weekly, Seasonally Adjusted]]-B1178)/B1178</f>
        <v/>
      </c>
      <c r="D1179" s="35">
        <f>((1+Table2634[[#This Row],[Weekly change]])^52)-1</f>
        <v/>
      </c>
      <c r="E1179" s="25">
        <f>AVERAGE(B1176:B1179)</f>
        <v/>
      </c>
      <c r="F1179" s="33">
        <f>(Table2634[[#This Row],[4 weeks average]]-B1127)/B1127</f>
        <v/>
      </c>
    </row>
    <row r="1180">
      <c r="A1180" s="23" t="n">
        <v>35618</v>
      </c>
      <c r="B1180" s="25">
        <f>VLOOKUP(Table2634[[#This Row],[Date]],'DB Money Supply'!$A:$D,4)</f>
        <v/>
      </c>
      <c r="C1180" s="31">
        <f>(Table2634[[#This Row],[M1 Money Stock, Billions of Dollars, Weekly, Seasonally Adjusted]]-B1179)/B1179</f>
        <v/>
      </c>
      <c r="D1180" s="35">
        <f>((1+Table2634[[#This Row],[Weekly change]])^52)-1</f>
        <v/>
      </c>
      <c r="E1180" s="25">
        <f>AVERAGE(B1177:B1180)</f>
        <v/>
      </c>
      <c r="F1180" s="33">
        <f>(Table2634[[#This Row],[4 weeks average]]-B1128)/B1128</f>
        <v/>
      </c>
    </row>
    <row r="1181">
      <c r="A1181" s="23" t="n">
        <v>35625</v>
      </c>
      <c r="B1181" s="25">
        <f>VLOOKUP(Table2634[[#This Row],[Date]],'DB Money Supply'!$A:$D,4)</f>
        <v/>
      </c>
      <c r="C1181" s="31">
        <f>(Table2634[[#This Row],[M1 Money Stock, Billions of Dollars, Weekly, Seasonally Adjusted]]-B1180)/B1180</f>
        <v/>
      </c>
      <c r="D1181" s="35">
        <f>((1+Table2634[[#This Row],[Weekly change]])^52)-1</f>
        <v/>
      </c>
      <c r="E1181" s="25">
        <f>AVERAGE(B1178:B1181)</f>
        <v/>
      </c>
      <c r="F1181" s="33">
        <f>(Table2634[[#This Row],[4 weeks average]]-B1129)/B1129</f>
        <v/>
      </c>
    </row>
    <row r="1182">
      <c r="A1182" s="23" t="n">
        <v>35632</v>
      </c>
      <c r="B1182" s="25">
        <f>VLOOKUP(Table2634[[#This Row],[Date]],'DB Money Supply'!$A:$D,4)</f>
        <v/>
      </c>
      <c r="C1182" s="31">
        <f>(Table2634[[#This Row],[M1 Money Stock, Billions of Dollars, Weekly, Seasonally Adjusted]]-B1181)/B1181</f>
        <v/>
      </c>
      <c r="D1182" s="35">
        <f>((1+Table2634[[#This Row],[Weekly change]])^52)-1</f>
        <v/>
      </c>
      <c r="E1182" s="25">
        <f>AVERAGE(B1179:B1182)</f>
        <v/>
      </c>
      <c r="F1182" s="33">
        <f>(Table2634[[#This Row],[4 weeks average]]-B1130)/B1130</f>
        <v/>
      </c>
    </row>
    <row r="1183">
      <c r="A1183" s="23" t="n">
        <v>35639</v>
      </c>
      <c r="B1183" s="25">
        <f>VLOOKUP(Table2634[[#This Row],[Date]],'DB Money Supply'!$A:$D,4)</f>
        <v/>
      </c>
      <c r="C1183" s="31">
        <f>(Table2634[[#This Row],[M1 Money Stock, Billions of Dollars, Weekly, Seasonally Adjusted]]-B1182)/B1182</f>
        <v/>
      </c>
      <c r="D1183" s="35">
        <f>((1+Table2634[[#This Row],[Weekly change]])^52)-1</f>
        <v/>
      </c>
      <c r="E1183" s="25">
        <f>AVERAGE(B1180:B1183)</f>
        <v/>
      </c>
      <c r="F1183" s="33">
        <f>(Table2634[[#This Row],[4 weeks average]]-B1131)/B1131</f>
        <v/>
      </c>
    </row>
    <row r="1184">
      <c r="A1184" s="23" t="n">
        <v>35646</v>
      </c>
      <c r="B1184" s="25">
        <f>VLOOKUP(Table2634[[#This Row],[Date]],'DB Money Supply'!$A:$D,4)</f>
        <v/>
      </c>
      <c r="C1184" s="31">
        <f>(Table2634[[#This Row],[M1 Money Stock, Billions of Dollars, Weekly, Seasonally Adjusted]]-B1183)/B1183</f>
        <v/>
      </c>
      <c r="D1184" s="35">
        <f>((1+Table2634[[#This Row],[Weekly change]])^52)-1</f>
        <v/>
      </c>
      <c r="E1184" s="25">
        <f>AVERAGE(B1181:B1184)</f>
        <v/>
      </c>
      <c r="F1184" s="33">
        <f>(Table2634[[#This Row],[4 weeks average]]-B1132)/B1132</f>
        <v/>
      </c>
    </row>
    <row r="1185">
      <c r="A1185" s="23" t="n">
        <v>35653</v>
      </c>
      <c r="B1185" s="25">
        <f>VLOOKUP(Table2634[[#This Row],[Date]],'DB Money Supply'!$A:$D,4)</f>
        <v/>
      </c>
      <c r="C1185" s="31">
        <f>(Table2634[[#This Row],[M1 Money Stock, Billions of Dollars, Weekly, Seasonally Adjusted]]-B1184)/B1184</f>
        <v/>
      </c>
      <c r="D1185" s="35">
        <f>((1+Table2634[[#This Row],[Weekly change]])^52)-1</f>
        <v/>
      </c>
      <c r="E1185" s="25">
        <f>AVERAGE(B1182:B1185)</f>
        <v/>
      </c>
      <c r="F1185" s="33">
        <f>(Table2634[[#This Row],[4 weeks average]]-B1133)/B1133</f>
        <v/>
      </c>
    </row>
    <row r="1186">
      <c r="A1186" s="23" t="n">
        <v>35660</v>
      </c>
      <c r="B1186" s="25">
        <f>VLOOKUP(Table2634[[#This Row],[Date]],'DB Money Supply'!$A:$D,4)</f>
        <v/>
      </c>
      <c r="C1186" s="31">
        <f>(Table2634[[#This Row],[M1 Money Stock, Billions of Dollars, Weekly, Seasonally Adjusted]]-B1185)/B1185</f>
        <v/>
      </c>
      <c r="D1186" s="35">
        <f>((1+Table2634[[#This Row],[Weekly change]])^52)-1</f>
        <v/>
      </c>
      <c r="E1186" s="25">
        <f>AVERAGE(B1183:B1186)</f>
        <v/>
      </c>
      <c r="F1186" s="33">
        <f>(Table2634[[#This Row],[4 weeks average]]-B1134)/B1134</f>
        <v/>
      </c>
    </row>
    <row r="1187">
      <c r="A1187" s="23" t="n">
        <v>35667</v>
      </c>
      <c r="B1187" s="25">
        <f>VLOOKUP(Table2634[[#This Row],[Date]],'DB Money Supply'!$A:$D,4)</f>
        <v/>
      </c>
      <c r="C1187" s="31">
        <f>(Table2634[[#This Row],[M1 Money Stock, Billions of Dollars, Weekly, Seasonally Adjusted]]-B1186)/B1186</f>
        <v/>
      </c>
      <c r="D1187" s="35">
        <f>((1+Table2634[[#This Row],[Weekly change]])^52)-1</f>
        <v/>
      </c>
      <c r="E1187" s="25">
        <f>AVERAGE(B1184:B1187)</f>
        <v/>
      </c>
      <c r="F1187" s="33">
        <f>(Table2634[[#This Row],[4 weeks average]]-B1135)/B1135</f>
        <v/>
      </c>
    </row>
    <row r="1188">
      <c r="A1188" s="23" t="n">
        <v>35674</v>
      </c>
      <c r="B1188" s="25">
        <f>VLOOKUP(Table2634[[#This Row],[Date]],'DB Money Supply'!$A:$D,4)</f>
        <v/>
      </c>
      <c r="C1188" s="31">
        <f>(Table2634[[#This Row],[M1 Money Stock, Billions of Dollars, Weekly, Seasonally Adjusted]]-B1187)/B1187</f>
        <v/>
      </c>
      <c r="D1188" s="35">
        <f>((1+Table2634[[#This Row],[Weekly change]])^52)-1</f>
        <v/>
      </c>
      <c r="E1188" s="25">
        <f>AVERAGE(B1185:B1188)</f>
        <v/>
      </c>
      <c r="F1188" s="33">
        <f>(Table2634[[#This Row],[4 weeks average]]-B1136)/B1136</f>
        <v/>
      </c>
    </row>
    <row r="1189">
      <c r="A1189" s="23" t="n">
        <v>35681</v>
      </c>
      <c r="B1189" s="25">
        <f>VLOOKUP(Table2634[[#This Row],[Date]],'DB Money Supply'!$A:$D,4)</f>
        <v/>
      </c>
      <c r="C1189" s="31">
        <f>(Table2634[[#This Row],[M1 Money Stock, Billions of Dollars, Weekly, Seasonally Adjusted]]-B1188)/B1188</f>
        <v/>
      </c>
      <c r="D1189" s="35">
        <f>((1+Table2634[[#This Row],[Weekly change]])^52)-1</f>
        <v/>
      </c>
      <c r="E1189" s="25">
        <f>AVERAGE(B1186:B1189)</f>
        <v/>
      </c>
      <c r="F1189" s="33">
        <f>(Table2634[[#This Row],[4 weeks average]]-B1137)/B1137</f>
        <v/>
      </c>
    </row>
    <row r="1190">
      <c r="A1190" s="23" t="n">
        <v>35688</v>
      </c>
      <c r="B1190" s="25">
        <f>VLOOKUP(Table2634[[#This Row],[Date]],'DB Money Supply'!$A:$D,4)</f>
        <v/>
      </c>
      <c r="C1190" s="31">
        <f>(Table2634[[#This Row],[M1 Money Stock, Billions of Dollars, Weekly, Seasonally Adjusted]]-B1189)/B1189</f>
        <v/>
      </c>
      <c r="D1190" s="35">
        <f>((1+Table2634[[#This Row],[Weekly change]])^52)-1</f>
        <v/>
      </c>
      <c r="E1190" s="25">
        <f>AVERAGE(B1187:B1190)</f>
        <v/>
      </c>
      <c r="F1190" s="33">
        <f>(Table2634[[#This Row],[4 weeks average]]-B1138)/B1138</f>
        <v/>
      </c>
    </row>
    <row r="1191">
      <c r="A1191" s="23" t="n">
        <v>35695</v>
      </c>
      <c r="B1191" s="25">
        <f>VLOOKUP(Table2634[[#This Row],[Date]],'DB Money Supply'!$A:$D,4)</f>
        <v/>
      </c>
      <c r="C1191" s="31">
        <f>(Table2634[[#This Row],[M1 Money Stock, Billions of Dollars, Weekly, Seasonally Adjusted]]-B1190)/B1190</f>
        <v/>
      </c>
      <c r="D1191" s="35">
        <f>((1+Table2634[[#This Row],[Weekly change]])^52)-1</f>
        <v/>
      </c>
      <c r="E1191" s="25">
        <f>AVERAGE(B1188:B1191)</f>
        <v/>
      </c>
      <c r="F1191" s="33">
        <f>(Table2634[[#This Row],[4 weeks average]]-B1139)/B1139</f>
        <v/>
      </c>
    </row>
    <row r="1192">
      <c r="A1192" s="23" t="n">
        <v>35702</v>
      </c>
      <c r="B1192" s="25">
        <f>VLOOKUP(Table2634[[#This Row],[Date]],'DB Money Supply'!$A:$D,4)</f>
        <v/>
      </c>
      <c r="C1192" s="31">
        <f>(Table2634[[#This Row],[M1 Money Stock, Billions of Dollars, Weekly, Seasonally Adjusted]]-B1191)/B1191</f>
        <v/>
      </c>
      <c r="D1192" s="35">
        <f>((1+Table2634[[#This Row],[Weekly change]])^52)-1</f>
        <v/>
      </c>
      <c r="E1192" s="25">
        <f>AVERAGE(B1189:B1192)</f>
        <v/>
      </c>
      <c r="F1192" s="33">
        <f>(Table2634[[#This Row],[4 weeks average]]-B1140)/B1140</f>
        <v/>
      </c>
    </row>
    <row r="1193">
      <c r="A1193" s="23" t="n">
        <v>35709</v>
      </c>
      <c r="B1193" s="25">
        <f>VLOOKUP(Table2634[[#This Row],[Date]],'DB Money Supply'!$A:$D,4)</f>
        <v/>
      </c>
      <c r="C1193" s="31">
        <f>(Table2634[[#This Row],[M1 Money Stock, Billions of Dollars, Weekly, Seasonally Adjusted]]-B1192)/B1192</f>
        <v/>
      </c>
      <c r="D1193" s="35">
        <f>((1+Table2634[[#This Row],[Weekly change]])^52)-1</f>
        <v/>
      </c>
      <c r="E1193" s="25">
        <f>AVERAGE(B1190:B1193)</f>
        <v/>
      </c>
      <c r="F1193" s="33">
        <f>(Table2634[[#This Row],[4 weeks average]]-B1141)/B1141</f>
        <v/>
      </c>
    </row>
    <row r="1194">
      <c r="A1194" s="23" t="n">
        <v>35716</v>
      </c>
      <c r="B1194" s="25">
        <f>VLOOKUP(Table2634[[#This Row],[Date]],'DB Money Supply'!$A:$D,4)</f>
        <v/>
      </c>
      <c r="C1194" s="31">
        <f>(Table2634[[#This Row],[M1 Money Stock, Billions of Dollars, Weekly, Seasonally Adjusted]]-B1193)/B1193</f>
        <v/>
      </c>
      <c r="D1194" s="35">
        <f>((1+Table2634[[#This Row],[Weekly change]])^52)-1</f>
        <v/>
      </c>
      <c r="E1194" s="25">
        <f>AVERAGE(B1191:B1194)</f>
        <v/>
      </c>
      <c r="F1194" s="33">
        <f>(Table2634[[#This Row],[4 weeks average]]-B1142)/B1142</f>
        <v/>
      </c>
    </row>
    <row r="1195">
      <c r="A1195" s="23" t="n">
        <v>35723</v>
      </c>
      <c r="B1195" s="25">
        <f>VLOOKUP(Table2634[[#This Row],[Date]],'DB Money Supply'!$A:$D,4)</f>
        <v/>
      </c>
      <c r="C1195" s="31">
        <f>(Table2634[[#This Row],[M1 Money Stock, Billions of Dollars, Weekly, Seasonally Adjusted]]-B1194)/B1194</f>
        <v/>
      </c>
      <c r="D1195" s="35">
        <f>((1+Table2634[[#This Row],[Weekly change]])^52)-1</f>
        <v/>
      </c>
      <c r="E1195" s="25">
        <f>AVERAGE(B1192:B1195)</f>
        <v/>
      </c>
      <c r="F1195" s="33">
        <f>(Table2634[[#This Row],[4 weeks average]]-B1143)/B1143</f>
        <v/>
      </c>
    </row>
    <row r="1196">
      <c r="A1196" s="23" t="n">
        <v>35730</v>
      </c>
      <c r="B1196" s="25">
        <f>VLOOKUP(Table2634[[#This Row],[Date]],'DB Money Supply'!$A:$D,4)</f>
        <v/>
      </c>
      <c r="C1196" s="31">
        <f>(Table2634[[#This Row],[M1 Money Stock, Billions of Dollars, Weekly, Seasonally Adjusted]]-B1195)/B1195</f>
        <v/>
      </c>
      <c r="D1196" s="35">
        <f>((1+Table2634[[#This Row],[Weekly change]])^52)-1</f>
        <v/>
      </c>
      <c r="E1196" s="25">
        <f>AVERAGE(B1193:B1196)</f>
        <v/>
      </c>
      <c r="F1196" s="33">
        <f>(Table2634[[#This Row],[4 weeks average]]-B1144)/B1144</f>
        <v/>
      </c>
    </row>
    <row r="1197">
      <c r="A1197" s="23" t="n">
        <v>35737</v>
      </c>
      <c r="B1197" s="25">
        <f>VLOOKUP(Table2634[[#This Row],[Date]],'DB Money Supply'!$A:$D,4)</f>
        <v/>
      </c>
      <c r="C1197" s="31">
        <f>(Table2634[[#This Row],[M1 Money Stock, Billions of Dollars, Weekly, Seasonally Adjusted]]-B1196)/B1196</f>
        <v/>
      </c>
      <c r="D1197" s="35">
        <f>((1+Table2634[[#This Row],[Weekly change]])^52)-1</f>
        <v/>
      </c>
      <c r="E1197" s="25">
        <f>AVERAGE(B1194:B1197)</f>
        <v/>
      </c>
      <c r="F1197" s="33">
        <f>(Table2634[[#This Row],[4 weeks average]]-B1145)/B1145</f>
        <v/>
      </c>
    </row>
    <row r="1198">
      <c r="A1198" s="23" t="n">
        <v>35744</v>
      </c>
      <c r="B1198" s="25">
        <f>VLOOKUP(Table2634[[#This Row],[Date]],'DB Money Supply'!$A:$D,4)</f>
        <v/>
      </c>
      <c r="C1198" s="31">
        <f>(Table2634[[#This Row],[M1 Money Stock, Billions of Dollars, Weekly, Seasonally Adjusted]]-B1197)/B1197</f>
        <v/>
      </c>
      <c r="D1198" s="35">
        <f>((1+Table2634[[#This Row],[Weekly change]])^52)-1</f>
        <v/>
      </c>
      <c r="E1198" s="25">
        <f>AVERAGE(B1195:B1198)</f>
        <v/>
      </c>
      <c r="F1198" s="33">
        <f>(Table2634[[#This Row],[4 weeks average]]-B1146)/B1146</f>
        <v/>
      </c>
    </row>
    <row r="1199">
      <c r="A1199" s="23" t="n">
        <v>35751</v>
      </c>
      <c r="B1199" s="25">
        <f>VLOOKUP(Table2634[[#This Row],[Date]],'DB Money Supply'!$A:$D,4)</f>
        <v/>
      </c>
      <c r="C1199" s="31">
        <f>(Table2634[[#This Row],[M1 Money Stock, Billions of Dollars, Weekly, Seasonally Adjusted]]-B1198)/B1198</f>
        <v/>
      </c>
      <c r="D1199" s="35">
        <f>((1+Table2634[[#This Row],[Weekly change]])^52)-1</f>
        <v/>
      </c>
      <c r="E1199" s="25">
        <f>AVERAGE(B1196:B1199)</f>
        <v/>
      </c>
      <c r="F1199" s="33">
        <f>(Table2634[[#This Row],[4 weeks average]]-B1147)/B1147</f>
        <v/>
      </c>
    </row>
    <row r="1200">
      <c r="A1200" s="23" t="n">
        <v>35758</v>
      </c>
      <c r="B1200" s="25">
        <f>VLOOKUP(Table2634[[#This Row],[Date]],'DB Money Supply'!$A:$D,4)</f>
        <v/>
      </c>
      <c r="C1200" s="31">
        <f>(Table2634[[#This Row],[M1 Money Stock, Billions of Dollars, Weekly, Seasonally Adjusted]]-B1199)/B1199</f>
        <v/>
      </c>
      <c r="D1200" s="35">
        <f>((1+Table2634[[#This Row],[Weekly change]])^52)-1</f>
        <v/>
      </c>
      <c r="E1200" s="25">
        <f>AVERAGE(B1197:B1200)</f>
        <v/>
      </c>
      <c r="F1200" s="33">
        <f>(Table2634[[#This Row],[4 weeks average]]-B1148)/B1148</f>
        <v/>
      </c>
    </row>
    <row r="1201">
      <c r="A1201" s="23" t="n">
        <v>35765</v>
      </c>
      <c r="B1201" s="25">
        <f>VLOOKUP(Table2634[[#This Row],[Date]],'DB Money Supply'!$A:$D,4)</f>
        <v/>
      </c>
      <c r="C1201" s="31">
        <f>(Table2634[[#This Row],[M1 Money Stock, Billions of Dollars, Weekly, Seasonally Adjusted]]-B1200)/B1200</f>
        <v/>
      </c>
      <c r="D1201" s="35">
        <f>((1+Table2634[[#This Row],[Weekly change]])^52)-1</f>
        <v/>
      </c>
      <c r="E1201" s="25">
        <f>AVERAGE(B1198:B1201)</f>
        <v/>
      </c>
      <c r="F1201" s="33">
        <f>(Table2634[[#This Row],[4 weeks average]]-B1149)/B1149</f>
        <v/>
      </c>
    </row>
    <row r="1202">
      <c r="A1202" s="23" t="n">
        <v>35772</v>
      </c>
      <c r="B1202" s="25">
        <f>VLOOKUP(Table2634[[#This Row],[Date]],'DB Money Supply'!$A:$D,4)</f>
        <v/>
      </c>
      <c r="C1202" s="31">
        <f>(Table2634[[#This Row],[M1 Money Stock, Billions of Dollars, Weekly, Seasonally Adjusted]]-B1201)/B1201</f>
        <v/>
      </c>
      <c r="D1202" s="35">
        <f>((1+Table2634[[#This Row],[Weekly change]])^52)-1</f>
        <v/>
      </c>
      <c r="E1202" s="25">
        <f>AVERAGE(B1199:B1202)</f>
        <v/>
      </c>
      <c r="F1202" s="33">
        <f>(Table2634[[#This Row],[4 weeks average]]-B1150)/B1150</f>
        <v/>
      </c>
    </row>
    <row r="1203">
      <c r="A1203" s="23" t="n">
        <v>35779</v>
      </c>
      <c r="B1203" s="25">
        <f>VLOOKUP(Table2634[[#This Row],[Date]],'DB Money Supply'!$A:$D,4)</f>
        <v/>
      </c>
      <c r="C1203" s="31">
        <f>(Table2634[[#This Row],[M1 Money Stock, Billions of Dollars, Weekly, Seasonally Adjusted]]-B1202)/B1202</f>
        <v/>
      </c>
      <c r="D1203" s="35">
        <f>((1+Table2634[[#This Row],[Weekly change]])^52)-1</f>
        <v/>
      </c>
      <c r="E1203" s="25">
        <f>AVERAGE(B1200:B1203)</f>
        <v/>
      </c>
      <c r="F1203" s="33">
        <f>(Table2634[[#This Row],[4 weeks average]]-B1151)/B1151</f>
        <v/>
      </c>
    </row>
    <row r="1204">
      <c r="A1204" s="23" t="n">
        <v>35786</v>
      </c>
      <c r="B1204" s="25">
        <f>VLOOKUP(Table2634[[#This Row],[Date]],'DB Money Supply'!$A:$D,4)</f>
        <v/>
      </c>
      <c r="C1204" s="31">
        <f>(Table2634[[#This Row],[M1 Money Stock, Billions of Dollars, Weekly, Seasonally Adjusted]]-B1203)/B1203</f>
        <v/>
      </c>
      <c r="D1204" s="35">
        <f>((1+Table2634[[#This Row],[Weekly change]])^52)-1</f>
        <v/>
      </c>
      <c r="E1204" s="25">
        <f>AVERAGE(B1201:B1204)</f>
        <v/>
      </c>
      <c r="F1204" s="33">
        <f>(Table2634[[#This Row],[4 weeks average]]-B1152)/B1152</f>
        <v/>
      </c>
    </row>
    <row r="1205">
      <c r="A1205" s="23" t="n">
        <v>35793</v>
      </c>
      <c r="B1205" s="25">
        <f>VLOOKUP(Table2634[[#This Row],[Date]],'DB Money Supply'!$A:$D,4)</f>
        <v/>
      </c>
      <c r="C1205" s="31">
        <f>(Table2634[[#This Row],[M1 Money Stock, Billions of Dollars, Weekly, Seasonally Adjusted]]-B1204)/B1204</f>
        <v/>
      </c>
      <c r="D1205" s="35">
        <f>((1+Table2634[[#This Row],[Weekly change]])^52)-1</f>
        <v/>
      </c>
      <c r="E1205" s="25">
        <f>AVERAGE(B1202:B1205)</f>
        <v/>
      </c>
      <c r="F1205" s="33">
        <f>(Table2634[[#This Row],[4 weeks average]]-B1153)/B1153</f>
        <v/>
      </c>
    </row>
    <row r="1206">
      <c r="A1206" s="23" t="n">
        <v>35800</v>
      </c>
      <c r="B1206" s="25">
        <f>VLOOKUP(Table2634[[#This Row],[Date]],'DB Money Supply'!$A:$D,4)</f>
        <v/>
      </c>
      <c r="C1206" s="31">
        <f>(Table2634[[#This Row],[M1 Money Stock, Billions of Dollars, Weekly, Seasonally Adjusted]]-B1205)/B1205</f>
        <v/>
      </c>
      <c r="D1206" s="35">
        <f>((1+Table2634[[#This Row],[Weekly change]])^52)-1</f>
        <v/>
      </c>
      <c r="E1206" s="25">
        <f>AVERAGE(B1203:B1206)</f>
        <v/>
      </c>
      <c r="F1206" s="33">
        <f>(Table2634[[#This Row],[4 weeks average]]-B1154)/B1154</f>
        <v/>
      </c>
    </row>
    <row r="1207">
      <c r="A1207" s="23" t="n">
        <v>35807</v>
      </c>
      <c r="B1207" s="25">
        <f>VLOOKUP(Table2634[[#This Row],[Date]],'DB Money Supply'!$A:$D,4)</f>
        <v/>
      </c>
      <c r="C1207" s="31">
        <f>(Table2634[[#This Row],[M1 Money Stock, Billions of Dollars, Weekly, Seasonally Adjusted]]-B1206)/B1206</f>
        <v/>
      </c>
      <c r="D1207" s="35">
        <f>((1+Table2634[[#This Row],[Weekly change]])^52)-1</f>
        <v/>
      </c>
      <c r="E1207" s="25">
        <f>AVERAGE(B1204:B1207)</f>
        <v/>
      </c>
      <c r="F1207" s="33">
        <f>(Table2634[[#This Row],[4 weeks average]]-B1155)/B1155</f>
        <v/>
      </c>
    </row>
    <row r="1208">
      <c r="A1208" s="23" t="n">
        <v>35814</v>
      </c>
      <c r="B1208" s="25">
        <f>VLOOKUP(Table2634[[#This Row],[Date]],'DB Money Supply'!$A:$D,4)</f>
        <v/>
      </c>
      <c r="C1208" s="31">
        <f>(Table2634[[#This Row],[M1 Money Stock, Billions of Dollars, Weekly, Seasonally Adjusted]]-B1207)/B1207</f>
        <v/>
      </c>
      <c r="D1208" s="35">
        <f>((1+Table2634[[#This Row],[Weekly change]])^52)-1</f>
        <v/>
      </c>
      <c r="E1208" s="25">
        <f>AVERAGE(B1205:B1208)</f>
        <v/>
      </c>
      <c r="F1208" s="33">
        <f>(Table2634[[#This Row],[4 weeks average]]-B1156)/B1156</f>
        <v/>
      </c>
    </row>
    <row r="1209">
      <c r="A1209" s="23" t="n">
        <v>35821</v>
      </c>
      <c r="B1209" s="25">
        <f>VLOOKUP(Table2634[[#This Row],[Date]],'DB Money Supply'!$A:$D,4)</f>
        <v/>
      </c>
      <c r="C1209" s="31">
        <f>(Table2634[[#This Row],[M1 Money Stock, Billions of Dollars, Weekly, Seasonally Adjusted]]-B1208)/B1208</f>
        <v/>
      </c>
      <c r="D1209" s="35">
        <f>((1+Table2634[[#This Row],[Weekly change]])^52)-1</f>
        <v/>
      </c>
      <c r="E1209" s="25">
        <f>AVERAGE(B1206:B1209)</f>
        <v/>
      </c>
      <c r="F1209" s="33">
        <f>(Table2634[[#This Row],[4 weeks average]]-B1157)/B1157</f>
        <v/>
      </c>
    </row>
    <row r="1210">
      <c r="A1210" s="23" t="n">
        <v>35828</v>
      </c>
      <c r="B1210" s="25">
        <f>VLOOKUP(Table2634[[#This Row],[Date]],'DB Money Supply'!$A:$D,4)</f>
        <v/>
      </c>
      <c r="C1210" s="31">
        <f>(Table2634[[#This Row],[M1 Money Stock, Billions of Dollars, Weekly, Seasonally Adjusted]]-B1209)/B1209</f>
        <v/>
      </c>
      <c r="D1210" s="35">
        <f>((1+Table2634[[#This Row],[Weekly change]])^52)-1</f>
        <v/>
      </c>
      <c r="E1210" s="25">
        <f>AVERAGE(B1207:B1210)</f>
        <v/>
      </c>
      <c r="F1210" s="33">
        <f>(Table2634[[#This Row],[4 weeks average]]-B1158)/B1158</f>
        <v/>
      </c>
    </row>
    <row r="1211">
      <c r="A1211" s="23" t="n">
        <v>35835</v>
      </c>
      <c r="B1211" s="25">
        <f>VLOOKUP(Table2634[[#This Row],[Date]],'DB Money Supply'!$A:$D,4)</f>
        <v/>
      </c>
      <c r="C1211" s="31">
        <f>(Table2634[[#This Row],[M1 Money Stock, Billions of Dollars, Weekly, Seasonally Adjusted]]-B1210)/B1210</f>
        <v/>
      </c>
      <c r="D1211" s="35">
        <f>((1+Table2634[[#This Row],[Weekly change]])^52)-1</f>
        <v/>
      </c>
      <c r="E1211" s="25">
        <f>AVERAGE(B1208:B1211)</f>
        <v/>
      </c>
      <c r="F1211" s="33">
        <f>(Table2634[[#This Row],[4 weeks average]]-B1159)/B1159</f>
        <v/>
      </c>
    </row>
    <row r="1212">
      <c r="A1212" s="23" t="n">
        <v>35842</v>
      </c>
      <c r="B1212" s="25">
        <f>VLOOKUP(Table2634[[#This Row],[Date]],'DB Money Supply'!$A:$D,4)</f>
        <v/>
      </c>
      <c r="C1212" s="31">
        <f>(Table2634[[#This Row],[M1 Money Stock, Billions of Dollars, Weekly, Seasonally Adjusted]]-B1211)/B1211</f>
        <v/>
      </c>
      <c r="D1212" s="35">
        <f>((1+Table2634[[#This Row],[Weekly change]])^52)-1</f>
        <v/>
      </c>
      <c r="E1212" s="25">
        <f>AVERAGE(B1209:B1212)</f>
        <v/>
      </c>
      <c r="F1212" s="33">
        <f>(Table2634[[#This Row],[4 weeks average]]-B1160)/B1160</f>
        <v/>
      </c>
    </row>
    <row r="1213">
      <c r="A1213" s="23" t="n">
        <v>35849</v>
      </c>
      <c r="B1213" s="25">
        <f>VLOOKUP(Table2634[[#This Row],[Date]],'DB Money Supply'!$A:$D,4)</f>
        <v/>
      </c>
      <c r="C1213" s="31">
        <f>(Table2634[[#This Row],[M1 Money Stock, Billions of Dollars, Weekly, Seasonally Adjusted]]-B1212)/B1212</f>
        <v/>
      </c>
      <c r="D1213" s="35">
        <f>((1+Table2634[[#This Row],[Weekly change]])^52)-1</f>
        <v/>
      </c>
      <c r="E1213" s="25">
        <f>AVERAGE(B1210:B1213)</f>
        <v/>
      </c>
      <c r="F1213" s="33">
        <f>(Table2634[[#This Row],[4 weeks average]]-B1161)/B1161</f>
        <v/>
      </c>
    </row>
    <row r="1214">
      <c r="A1214" s="23" t="n">
        <v>35856</v>
      </c>
      <c r="B1214" s="25">
        <f>VLOOKUP(Table2634[[#This Row],[Date]],'DB Money Supply'!$A:$D,4)</f>
        <v/>
      </c>
      <c r="C1214" s="31">
        <f>(Table2634[[#This Row],[M1 Money Stock, Billions of Dollars, Weekly, Seasonally Adjusted]]-B1213)/B1213</f>
        <v/>
      </c>
      <c r="D1214" s="35">
        <f>((1+Table2634[[#This Row],[Weekly change]])^52)-1</f>
        <v/>
      </c>
      <c r="E1214" s="25">
        <f>AVERAGE(B1211:B1214)</f>
        <v/>
      </c>
      <c r="F1214" s="33">
        <f>(Table2634[[#This Row],[4 weeks average]]-B1162)/B1162</f>
        <v/>
      </c>
    </row>
    <row r="1215">
      <c r="A1215" s="23" t="n">
        <v>35863</v>
      </c>
      <c r="B1215" s="25">
        <f>VLOOKUP(Table2634[[#This Row],[Date]],'DB Money Supply'!$A:$D,4)</f>
        <v/>
      </c>
      <c r="C1215" s="31">
        <f>(Table2634[[#This Row],[M1 Money Stock, Billions of Dollars, Weekly, Seasonally Adjusted]]-B1214)/B1214</f>
        <v/>
      </c>
      <c r="D1215" s="35">
        <f>((1+Table2634[[#This Row],[Weekly change]])^52)-1</f>
        <v/>
      </c>
      <c r="E1215" s="25">
        <f>AVERAGE(B1212:B1215)</f>
        <v/>
      </c>
      <c r="F1215" s="33">
        <f>(Table2634[[#This Row],[4 weeks average]]-B1163)/B1163</f>
        <v/>
      </c>
    </row>
    <row r="1216">
      <c r="A1216" s="23" t="n">
        <v>35870</v>
      </c>
      <c r="B1216" s="25">
        <f>VLOOKUP(Table2634[[#This Row],[Date]],'DB Money Supply'!$A:$D,4)</f>
        <v/>
      </c>
      <c r="C1216" s="31">
        <f>(Table2634[[#This Row],[M1 Money Stock, Billions of Dollars, Weekly, Seasonally Adjusted]]-B1215)/B1215</f>
        <v/>
      </c>
      <c r="D1216" s="35">
        <f>((1+Table2634[[#This Row],[Weekly change]])^52)-1</f>
        <v/>
      </c>
      <c r="E1216" s="25">
        <f>AVERAGE(B1213:B1216)</f>
        <v/>
      </c>
      <c r="F1216" s="33">
        <f>(Table2634[[#This Row],[4 weeks average]]-B1164)/B1164</f>
        <v/>
      </c>
    </row>
    <row r="1217">
      <c r="A1217" s="23" t="n">
        <v>35877</v>
      </c>
      <c r="B1217" s="25">
        <f>VLOOKUP(Table2634[[#This Row],[Date]],'DB Money Supply'!$A:$D,4)</f>
        <v/>
      </c>
      <c r="C1217" s="31">
        <f>(Table2634[[#This Row],[M1 Money Stock, Billions of Dollars, Weekly, Seasonally Adjusted]]-B1216)/B1216</f>
        <v/>
      </c>
      <c r="D1217" s="35">
        <f>((1+Table2634[[#This Row],[Weekly change]])^52)-1</f>
        <v/>
      </c>
      <c r="E1217" s="25">
        <f>AVERAGE(B1214:B1217)</f>
        <v/>
      </c>
      <c r="F1217" s="33">
        <f>(Table2634[[#This Row],[4 weeks average]]-B1165)/B1165</f>
        <v/>
      </c>
    </row>
    <row r="1218">
      <c r="A1218" s="23" t="n">
        <v>35884</v>
      </c>
      <c r="B1218" s="25">
        <f>VLOOKUP(Table2634[[#This Row],[Date]],'DB Money Supply'!$A:$D,4)</f>
        <v/>
      </c>
      <c r="C1218" s="31">
        <f>(Table2634[[#This Row],[M1 Money Stock, Billions of Dollars, Weekly, Seasonally Adjusted]]-B1217)/B1217</f>
        <v/>
      </c>
      <c r="D1218" s="35">
        <f>((1+Table2634[[#This Row],[Weekly change]])^52)-1</f>
        <v/>
      </c>
      <c r="E1218" s="25">
        <f>AVERAGE(B1215:B1218)</f>
        <v/>
      </c>
      <c r="F1218" s="33">
        <f>(Table2634[[#This Row],[4 weeks average]]-B1166)/B1166</f>
        <v/>
      </c>
    </row>
    <row r="1219">
      <c r="A1219" s="23" t="n">
        <v>35891</v>
      </c>
      <c r="B1219" s="25">
        <f>VLOOKUP(Table2634[[#This Row],[Date]],'DB Money Supply'!$A:$D,4)</f>
        <v/>
      </c>
      <c r="C1219" s="31">
        <f>(Table2634[[#This Row],[M1 Money Stock, Billions of Dollars, Weekly, Seasonally Adjusted]]-B1218)/B1218</f>
        <v/>
      </c>
      <c r="D1219" s="35">
        <f>((1+Table2634[[#This Row],[Weekly change]])^52)-1</f>
        <v/>
      </c>
      <c r="E1219" s="25">
        <f>AVERAGE(B1216:B1219)</f>
        <v/>
      </c>
      <c r="F1219" s="33">
        <f>(Table2634[[#This Row],[4 weeks average]]-B1167)/B1167</f>
        <v/>
      </c>
    </row>
    <row r="1220">
      <c r="A1220" s="23" t="n">
        <v>35898</v>
      </c>
      <c r="B1220" s="25">
        <f>VLOOKUP(Table2634[[#This Row],[Date]],'DB Money Supply'!$A:$D,4)</f>
        <v/>
      </c>
      <c r="C1220" s="31">
        <f>(Table2634[[#This Row],[M1 Money Stock, Billions of Dollars, Weekly, Seasonally Adjusted]]-B1219)/B1219</f>
        <v/>
      </c>
      <c r="D1220" s="35">
        <f>((1+Table2634[[#This Row],[Weekly change]])^52)-1</f>
        <v/>
      </c>
      <c r="E1220" s="25">
        <f>AVERAGE(B1217:B1220)</f>
        <v/>
      </c>
      <c r="F1220" s="33">
        <f>(Table2634[[#This Row],[4 weeks average]]-B1168)/B1168</f>
        <v/>
      </c>
    </row>
    <row r="1221">
      <c r="A1221" s="23" t="n">
        <v>35905</v>
      </c>
      <c r="B1221" s="25">
        <f>VLOOKUP(Table2634[[#This Row],[Date]],'DB Money Supply'!$A:$D,4)</f>
        <v/>
      </c>
      <c r="C1221" s="31">
        <f>(Table2634[[#This Row],[M1 Money Stock, Billions of Dollars, Weekly, Seasonally Adjusted]]-B1220)/B1220</f>
        <v/>
      </c>
      <c r="D1221" s="35">
        <f>((1+Table2634[[#This Row],[Weekly change]])^52)-1</f>
        <v/>
      </c>
      <c r="E1221" s="25">
        <f>AVERAGE(B1218:B1221)</f>
        <v/>
      </c>
      <c r="F1221" s="33">
        <f>(Table2634[[#This Row],[4 weeks average]]-B1169)/B1169</f>
        <v/>
      </c>
    </row>
    <row r="1222">
      <c r="A1222" s="23" t="n">
        <v>35912</v>
      </c>
      <c r="B1222" s="25">
        <f>VLOOKUP(Table2634[[#This Row],[Date]],'DB Money Supply'!$A:$D,4)</f>
        <v/>
      </c>
      <c r="C1222" s="31">
        <f>(Table2634[[#This Row],[M1 Money Stock, Billions of Dollars, Weekly, Seasonally Adjusted]]-B1221)/B1221</f>
        <v/>
      </c>
      <c r="D1222" s="35">
        <f>((1+Table2634[[#This Row],[Weekly change]])^52)-1</f>
        <v/>
      </c>
      <c r="E1222" s="25">
        <f>AVERAGE(B1219:B1222)</f>
        <v/>
      </c>
      <c r="F1222" s="33">
        <f>(Table2634[[#This Row],[4 weeks average]]-B1170)/B1170</f>
        <v/>
      </c>
    </row>
    <row r="1223">
      <c r="A1223" s="23" t="n">
        <v>35919</v>
      </c>
      <c r="B1223" s="25">
        <f>VLOOKUP(Table2634[[#This Row],[Date]],'DB Money Supply'!$A:$D,4)</f>
        <v/>
      </c>
      <c r="C1223" s="31">
        <f>(Table2634[[#This Row],[M1 Money Stock, Billions of Dollars, Weekly, Seasonally Adjusted]]-B1222)/B1222</f>
        <v/>
      </c>
      <c r="D1223" s="35">
        <f>((1+Table2634[[#This Row],[Weekly change]])^52)-1</f>
        <v/>
      </c>
      <c r="E1223" s="25">
        <f>AVERAGE(B1220:B1223)</f>
        <v/>
      </c>
      <c r="F1223" s="33">
        <f>(Table2634[[#This Row],[4 weeks average]]-B1171)/B1171</f>
        <v/>
      </c>
    </row>
    <row r="1224">
      <c r="A1224" s="23" t="n">
        <v>35926</v>
      </c>
      <c r="B1224" s="25">
        <f>VLOOKUP(Table2634[[#This Row],[Date]],'DB Money Supply'!$A:$D,4)</f>
        <v/>
      </c>
      <c r="C1224" s="31">
        <f>(Table2634[[#This Row],[M1 Money Stock, Billions of Dollars, Weekly, Seasonally Adjusted]]-B1223)/B1223</f>
        <v/>
      </c>
      <c r="D1224" s="35">
        <f>((1+Table2634[[#This Row],[Weekly change]])^52)-1</f>
        <v/>
      </c>
      <c r="E1224" s="25">
        <f>AVERAGE(B1221:B1224)</f>
        <v/>
      </c>
      <c r="F1224" s="33">
        <f>(Table2634[[#This Row],[4 weeks average]]-B1172)/B1172</f>
        <v/>
      </c>
    </row>
    <row r="1225">
      <c r="A1225" s="23" t="n">
        <v>35933</v>
      </c>
      <c r="B1225" s="25">
        <f>VLOOKUP(Table2634[[#This Row],[Date]],'DB Money Supply'!$A:$D,4)</f>
        <v/>
      </c>
      <c r="C1225" s="31">
        <f>(Table2634[[#This Row],[M1 Money Stock, Billions of Dollars, Weekly, Seasonally Adjusted]]-B1224)/B1224</f>
        <v/>
      </c>
      <c r="D1225" s="35">
        <f>((1+Table2634[[#This Row],[Weekly change]])^52)-1</f>
        <v/>
      </c>
      <c r="E1225" s="25">
        <f>AVERAGE(B1222:B1225)</f>
        <v/>
      </c>
      <c r="F1225" s="33">
        <f>(Table2634[[#This Row],[4 weeks average]]-B1173)/B1173</f>
        <v/>
      </c>
    </row>
    <row r="1226">
      <c r="A1226" s="23" t="n">
        <v>35940</v>
      </c>
      <c r="B1226" s="25">
        <f>VLOOKUP(Table2634[[#This Row],[Date]],'DB Money Supply'!$A:$D,4)</f>
        <v/>
      </c>
      <c r="C1226" s="31">
        <f>(Table2634[[#This Row],[M1 Money Stock, Billions of Dollars, Weekly, Seasonally Adjusted]]-B1225)/B1225</f>
        <v/>
      </c>
      <c r="D1226" s="35">
        <f>((1+Table2634[[#This Row],[Weekly change]])^52)-1</f>
        <v/>
      </c>
      <c r="E1226" s="25">
        <f>AVERAGE(B1223:B1226)</f>
        <v/>
      </c>
      <c r="F1226" s="33">
        <f>(Table2634[[#This Row],[4 weeks average]]-B1174)/B1174</f>
        <v/>
      </c>
    </row>
    <row r="1227">
      <c r="A1227" s="23" t="n">
        <v>35947</v>
      </c>
      <c r="B1227" s="25">
        <f>VLOOKUP(Table2634[[#This Row],[Date]],'DB Money Supply'!$A:$D,4)</f>
        <v/>
      </c>
      <c r="C1227" s="31">
        <f>(Table2634[[#This Row],[M1 Money Stock, Billions of Dollars, Weekly, Seasonally Adjusted]]-B1226)/B1226</f>
        <v/>
      </c>
      <c r="D1227" s="35">
        <f>((1+Table2634[[#This Row],[Weekly change]])^52)-1</f>
        <v/>
      </c>
      <c r="E1227" s="25">
        <f>AVERAGE(B1224:B1227)</f>
        <v/>
      </c>
      <c r="F1227" s="33">
        <f>(Table2634[[#This Row],[4 weeks average]]-B1175)/B1175</f>
        <v/>
      </c>
    </row>
    <row r="1228">
      <c r="A1228" s="23" t="n">
        <v>35954</v>
      </c>
      <c r="B1228" s="25">
        <f>VLOOKUP(Table2634[[#This Row],[Date]],'DB Money Supply'!$A:$D,4)</f>
        <v/>
      </c>
      <c r="C1228" s="31">
        <f>(Table2634[[#This Row],[M1 Money Stock, Billions of Dollars, Weekly, Seasonally Adjusted]]-B1227)/B1227</f>
        <v/>
      </c>
      <c r="D1228" s="35">
        <f>((1+Table2634[[#This Row],[Weekly change]])^52)-1</f>
        <v/>
      </c>
      <c r="E1228" s="25">
        <f>AVERAGE(B1225:B1228)</f>
        <v/>
      </c>
      <c r="F1228" s="33">
        <f>(Table2634[[#This Row],[4 weeks average]]-B1176)/B1176</f>
        <v/>
      </c>
    </row>
    <row r="1229">
      <c r="A1229" s="23" t="n">
        <v>35961</v>
      </c>
      <c r="B1229" s="25">
        <f>VLOOKUP(Table2634[[#This Row],[Date]],'DB Money Supply'!$A:$D,4)</f>
        <v/>
      </c>
      <c r="C1229" s="31">
        <f>(Table2634[[#This Row],[M1 Money Stock, Billions of Dollars, Weekly, Seasonally Adjusted]]-B1228)/B1228</f>
        <v/>
      </c>
      <c r="D1229" s="35">
        <f>((1+Table2634[[#This Row],[Weekly change]])^52)-1</f>
        <v/>
      </c>
      <c r="E1229" s="25">
        <f>AVERAGE(B1226:B1229)</f>
        <v/>
      </c>
      <c r="F1229" s="33">
        <f>(Table2634[[#This Row],[4 weeks average]]-B1177)/B1177</f>
        <v/>
      </c>
    </row>
    <row r="1230">
      <c r="A1230" s="23" t="n">
        <v>35968</v>
      </c>
      <c r="B1230" s="25">
        <f>VLOOKUP(Table2634[[#This Row],[Date]],'DB Money Supply'!$A:$D,4)</f>
        <v/>
      </c>
      <c r="C1230" s="31">
        <f>(Table2634[[#This Row],[M1 Money Stock, Billions of Dollars, Weekly, Seasonally Adjusted]]-B1229)/B1229</f>
        <v/>
      </c>
      <c r="D1230" s="35">
        <f>((1+Table2634[[#This Row],[Weekly change]])^52)-1</f>
        <v/>
      </c>
      <c r="E1230" s="25">
        <f>AVERAGE(B1227:B1230)</f>
        <v/>
      </c>
      <c r="F1230" s="33">
        <f>(Table2634[[#This Row],[4 weeks average]]-B1178)/B1178</f>
        <v/>
      </c>
    </row>
    <row r="1231">
      <c r="A1231" s="23" t="n">
        <v>35975</v>
      </c>
      <c r="B1231" s="25">
        <f>VLOOKUP(Table2634[[#This Row],[Date]],'DB Money Supply'!$A:$D,4)</f>
        <v/>
      </c>
      <c r="C1231" s="31">
        <f>(Table2634[[#This Row],[M1 Money Stock, Billions of Dollars, Weekly, Seasonally Adjusted]]-B1230)/B1230</f>
        <v/>
      </c>
      <c r="D1231" s="35">
        <f>((1+Table2634[[#This Row],[Weekly change]])^52)-1</f>
        <v/>
      </c>
      <c r="E1231" s="25">
        <f>AVERAGE(B1228:B1231)</f>
        <v/>
      </c>
      <c r="F1231" s="33">
        <f>(Table2634[[#This Row],[4 weeks average]]-B1179)/B1179</f>
        <v/>
      </c>
    </row>
    <row r="1232">
      <c r="A1232" s="23" t="n">
        <v>35982</v>
      </c>
      <c r="B1232" s="25">
        <f>VLOOKUP(Table2634[[#This Row],[Date]],'DB Money Supply'!$A:$D,4)</f>
        <v/>
      </c>
      <c r="C1232" s="31">
        <f>(Table2634[[#This Row],[M1 Money Stock, Billions of Dollars, Weekly, Seasonally Adjusted]]-B1231)/B1231</f>
        <v/>
      </c>
      <c r="D1232" s="35">
        <f>((1+Table2634[[#This Row],[Weekly change]])^52)-1</f>
        <v/>
      </c>
      <c r="E1232" s="25">
        <f>AVERAGE(B1229:B1232)</f>
        <v/>
      </c>
      <c r="F1232" s="33">
        <f>(Table2634[[#This Row],[4 weeks average]]-B1180)/B1180</f>
        <v/>
      </c>
    </row>
    <row r="1233">
      <c r="A1233" s="23" t="n">
        <v>35989</v>
      </c>
      <c r="B1233" s="25">
        <f>VLOOKUP(Table2634[[#This Row],[Date]],'DB Money Supply'!$A:$D,4)</f>
        <v/>
      </c>
      <c r="C1233" s="31">
        <f>(Table2634[[#This Row],[M1 Money Stock, Billions of Dollars, Weekly, Seasonally Adjusted]]-B1232)/B1232</f>
        <v/>
      </c>
      <c r="D1233" s="35">
        <f>((1+Table2634[[#This Row],[Weekly change]])^52)-1</f>
        <v/>
      </c>
      <c r="E1233" s="25">
        <f>AVERAGE(B1230:B1233)</f>
        <v/>
      </c>
      <c r="F1233" s="33">
        <f>(Table2634[[#This Row],[4 weeks average]]-B1181)/B1181</f>
        <v/>
      </c>
    </row>
    <row r="1234">
      <c r="A1234" s="23" t="n">
        <v>35996</v>
      </c>
      <c r="B1234" s="25">
        <f>VLOOKUP(Table2634[[#This Row],[Date]],'DB Money Supply'!$A:$D,4)</f>
        <v/>
      </c>
      <c r="C1234" s="31">
        <f>(Table2634[[#This Row],[M1 Money Stock, Billions of Dollars, Weekly, Seasonally Adjusted]]-B1233)/B1233</f>
        <v/>
      </c>
      <c r="D1234" s="35">
        <f>((1+Table2634[[#This Row],[Weekly change]])^52)-1</f>
        <v/>
      </c>
      <c r="E1234" s="25">
        <f>AVERAGE(B1231:B1234)</f>
        <v/>
      </c>
      <c r="F1234" s="33">
        <f>(Table2634[[#This Row],[4 weeks average]]-B1182)/B1182</f>
        <v/>
      </c>
    </row>
    <row r="1235">
      <c r="A1235" s="23" t="n">
        <v>36003</v>
      </c>
      <c r="B1235" s="25">
        <f>VLOOKUP(Table2634[[#This Row],[Date]],'DB Money Supply'!$A:$D,4)</f>
        <v/>
      </c>
      <c r="C1235" s="31">
        <f>(Table2634[[#This Row],[M1 Money Stock, Billions of Dollars, Weekly, Seasonally Adjusted]]-B1234)/B1234</f>
        <v/>
      </c>
      <c r="D1235" s="35">
        <f>((1+Table2634[[#This Row],[Weekly change]])^52)-1</f>
        <v/>
      </c>
      <c r="E1235" s="25">
        <f>AVERAGE(B1232:B1235)</f>
        <v/>
      </c>
      <c r="F1235" s="33">
        <f>(Table2634[[#This Row],[4 weeks average]]-B1183)/B1183</f>
        <v/>
      </c>
    </row>
    <row r="1236">
      <c r="A1236" s="23" t="n">
        <v>36010</v>
      </c>
      <c r="B1236" s="25">
        <f>VLOOKUP(Table2634[[#This Row],[Date]],'DB Money Supply'!$A:$D,4)</f>
        <v/>
      </c>
      <c r="C1236" s="31">
        <f>(Table2634[[#This Row],[M1 Money Stock, Billions of Dollars, Weekly, Seasonally Adjusted]]-B1235)/B1235</f>
        <v/>
      </c>
      <c r="D1236" s="35">
        <f>((1+Table2634[[#This Row],[Weekly change]])^52)-1</f>
        <v/>
      </c>
      <c r="E1236" s="25">
        <f>AVERAGE(B1233:B1236)</f>
        <v/>
      </c>
      <c r="F1236" s="33">
        <f>(Table2634[[#This Row],[4 weeks average]]-B1184)/B1184</f>
        <v/>
      </c>
    </row>
    <row r="1237">
      <c r="A1237" s="23" t="n">
        <v>36017</v>
      </c>
      <c r="B1237" s="25">
        <f>VLOOKUP(Table2634[[#This Row],[Date]],'DB Money Supply'!$A:$D,4)</f>
        <v/>
      </c>
      <c r="C1237" s="31">
        <f>(Table2634[[#This Row],[M1 Money Stock, Billions of Dollars, Weekly, Seasonally Adjusted]]-B1236)/B1236</f>
        <v/>
      </c>
      <c r="D1237" s="35">
        <f>((1+Table2634[[#This Row],[Weekly change]])^52)-1</f>
        <v/>
      </c>
      <c r="E1237" s="25">
        <f>AVERAGE(B1234:B1237)</f>
        <v/>
      </c>
      <c r="F1237" s="33">
        <f>(Table2634[[#This Row],[4 weeks average]]-B1185)/B1185</f>
        <v/>
      </c>
    </row>
    <row r="1238">
      <c r="A1238" s="23" t="n">
        <v>36024</v>
      </c>
      <c r="B1238" s="25">
        <f>VLOOKUP(Table2634[[#This Row],[Date]],'DB Money Supply'!$A:$D,4)</f>
        <v/>
      </c>
      <c r="C1238" s="31">
        <f>(Table2634[[#This Row],[M1 Money Stock, Billions of Dollars, Weekly, Seasonally Adjusted]]-B1237)/B1237</f>
        <v/>
      </c>
      <c r="D1238" s="35">
        <f>((1+Table2634[[#This Row],[Weekly change]])^52)-1</f>
        <v/>
      </c>
      <c r="E1238" s="25">
        <f>AVERAGE(B1235:B1238)</f>
        <v/>
      </c>
      <c r="F1238" s="33">
        <f>(Table2634[[#This Row],[4 weeks average]]-B1186)/B1186</f>
        <v/>
      </c>
    </row>
    <row r="1239">
      <c r="A1239" s="23" t="n">
        <v>36031</v>
      </c>
      <c r="B1239" s="25">
        <f>VLOOKUP(Table2634[[#This Row],[Date]],'DB Money Supply'!$A:$D,4)</f>
        <v/>
      </c>
      <c r="C1239" s="31">
        <f>(Table2634[[#This Row],[M1 Money Stock, Billions of Dollars, Weekly, Seasonally Adjusted]]-B1238)/B1238</f>
        <v/>
      </c>
      <c r="D1239" s="35">
        <f>((1+Table2634[[#This Row],[Weekly change]])^52)-1</f>
        <v/>
      </c>
      <c r="E1239" s="25">
        <f>AVERAGE(B1236:B1239)</f>
        <v/>
      </c>
      <c r="F1239" s="33">
        <f>(Table2634[[#This Row],[4 weeks average]]-B1187)/B1187</f>
        <v/>
      </c>
    </row>
    <row r="1240">
      <c r="A1240" s="23" t="n">
        <v>36038</v>
      </c>
      <c r="B1240" s="25">
        <f>VLOOKUP(Table2634[[#This Row],[Date]],'DB Money Supply'!$A:$D,4)</f>
        <v/>
      </c>
      <c r="C1240" s="31">
        <f>(Table2634[[#This Row],[M1 Money Stock, Billions of Dollars, Weekly, Seasonally Adjusted]]-B1239)/B1239</f>
        <v/>
      </c>
      <c r="D1240" s="35">
        <f>((1+Table2634[[#This Row],[Weekly change]])^52)-1</f>
        <v/>
      </c>
      <c r="E1240" s="25">
        <f>AVERAGE(B1237:B1240)</f>
        <v/>
      </c>
      <c r="F1240" s="33">
        <f>(Table2634[[#This Row],[4 weeks average]]-B1188)/B1188</f>
        <v/>
      </c>
    </row>
    <row r="1241">
      <c r="A1241" s="23" t="n">
        <v>36045</v>
      </c>
      <c r="B1241" s="25">
        <f>VLOOKUP(Table2634[[#This Row],[Date]],'DB Money Supply'!$A:$D,4)</f>
        <v/>
      </c>
      <c r="C1241" s="31">
        <f>(Table2634[[#This Row],[M1 Money Stock, Billions of Dollars, Weekly, Seasonally Adjusted]]-B1240)/B1240</f>
        <v/>
      </c>
      <c r="D1241" s="35">
        <f>((1+Table2634[[#This Row],[Weekly change]])^52)-1</f>
        <v/>
      </c>
      <c r="E1241" s="25">
        <f>AVERAGE(B1238:B1241)</f>
        <v/>
      </c>
      <c r="F1241" s="33">
        <f>(Table2634[[#This Row],[4 weeks average]]-B1189)/B1189</f>
        <v/>
      </c>
    </row>
    <row r="1242">
      <c r="A1242" s="23" t="n">
        <v>36052</v>
      </c>
      <c r="B1242" s="25">
        <f>VLOOKUP(Table2634[[#This Row],[Date]],'DB Money Supply'!$A:$D,4)</f>
        <v/>
      </c>
      <c r="C1242" s="31">
        <f>(Table2634[[#This Row],[M1 Money Stock, Billions of Dollars, Weekly, Seasonally Adjusted]]-B1241)/B1241</f>
        <v/>
      </c>
      <c r="D1242" s="35">
        <f>((1+Table2634[[#This Row],[Weekly change]])^52)-1</f>
        <v/>
      </c>
      <c r="E1242" s="25">
        <f>AVERAGE(B1239:B1242)</f>
        <v/>
      </c>
      <c r="F1242" s="33">
        <f>(Table2634[[#This Row],[4 weeks average]]-B1190)/B1190</f>
        <v/>
      </c>
    </row>
    <row r="1243">
      <c r="A1243" s="23" t="n">
        <v>36059</v>
      </c>
      <c r="B1243" s="25">
        <f>VLOOKUP(Table2634[[#This Row],[Date]],'DB Money Supply'!$A:$D,4)</f>
        <v/>
      </c>
      <c r="C1243" s="31">
        <f>(Table2634[[#This Row],[M1 Money Stock, Billions of Dollars, Weekly, Seasonally Adjusted]]-B1242)/B1242</f>
        <v/>
      </c>
      <c r="D1243" s="35">
        <f>((1+Table2634[[#This Row],[Weekly change]])^52)-1</f>
        <v/>
      </c>
      <c r="E1243" s="25">
        <f>AVERAGE(B1240:B1243)</f>
        <v/>
      </c>
      <c r="F1243" s="33">
        <f>(Table2634[[#This Row],[4 weeks average]]-B1191)/B1191</f>
        <v/>
      </c>
    </row>
    <row r="1244">
      <c r="A1244" s="23" t="n">
        <v>36066</v>
      </c>
      <c r="B1244" s="25">
        <f>VLOOKUP(Table2634[[#This Row],[Date]],'DB Money Supply'!$A:$D,4)</f>
        <v/>
      </c>
      <c r="C1244" s="31">
        <f>(Table2634[[#This Row],[M1 Money Stock, Billions of Dollars, Weekly, Seasonally Adjusted]]-B1243)/B1243</f>
        <v/>
      </c>
      <c r="D1244" s="35">
        <f>((1+Table2634[[#This Row],[Weekly change]])^52)-1</f>
        <v/>
      </c>
      <c r="E1244" s="25">
        <f>AVERAGE(B1241:B1244)</f>
        <v/>
      </c>
      <c r="F1244" s="33">
        <f>(Table2634[[#This Row],[4 weeks average]]-B1192)/B1192</f>
        <v/>
      </c>
    </row>
    <row r="1245">
      <c r="A1245" s="23" t="n">
        <v>36073</v>
      </c>
      <c r="B1245" s="25">
        <f>VLOOKUP(Table2634[[#This Row],[Date]],'DB Money Supply'!$A:$D,4)</f>
        <v/>
      </c>
      <c r="C1245" s="31">
        <f>(Table2634[[#This Row],[M1 Money Stock, Billions of Dollars, Weekly, Seasonally Adjusted]]-B1244)/B1244</f>
        <v/>
      </c>
      <c r="D1245" s="35">
        <f>((1+Table2634[[#This Row],[Weekly change]])^52)-1</f>
        <v/>
      </c>
      <c r="E1245" s="25">
        <f>AVERAGE(B1242:B1245)</f>
        <v/>
      </c>
      <c r="F1245" s="33">
        <f>(Table2634[[#This Row],[4 weeks average]]-B1193)/B1193</f>
        <v/>
      </c>
    </row>
    <row r="1246">
      <c r="A1246" s="23" t="n">
        <v>36080</v>
      </c>
      <c r="B1246" s="25">
        <f>VLOOKUP(Table2634[[#This Row],[Date]],'DB Money Supply'!$A:$D,4)</f>
        <v/>
      </c>
      <c r="C1246" s="31">
        <f>(Table2634[[#This Row],[M1 Money Stock, Billions of Dollars, Weekly, Seasonally Adjusted]]-B1245)/B1245</f>
        <v/>
      </c>
      <c r="D1246" s="35">
        <f>((1+Table2634[[#This Row],[Weekly change]])^52)-1</f>
        <v/>
      </c>
      <c r="E1246" s="25">
        <f>AVERAGE(B1243:B1246)</f>
        <v/>
      </c>
      <c r="F1246" s="33">
        <f>(Table2634[[#This Row],[4 weeks average]]-B1194)/B1194</f>
        <v/>
      </c>
    </row>
    <row r="1247">
      <c r="A1247" s="23" t="n">
        <v>36087</v>
      </c>
      <c r="B1247" s="25">
        <f>VLOOKUP(Table2634[[#This Row],[Date]],'DB Money Supply'!$A:$D,4)</f>
        <v/>
      </c>
      <c r="C1247" s="31">
        <f>(Table2634[[#This Row],[M1 Money Stock, Billions of Dollars, Weekly, Seasonally Adjusted]]-B1246)/B1246</f>
        <v/>
      </c>
      <c r="D1247" s="35">
        <f>((1+Table2634[[#This Row],[Weekly change]])^52)-1</f>
        <v/>
      </c>
      <c r="E1247" s="25">
        <f>AVERAGE(B1244:B1247)</f>
        <v/>
      </c>
      <c r="F1247" s="33">
        <f>(Table2634[[#This Row],[4 weeks average]]-B1195)/B1195</f>
        <v/>
      </c>
    </row>
    <row r="1248">
      <c r="A1248" s="23" t="n">
        <v>36094</v>
      </c>
      <c r="B1248" s="25">
        <f>VLOOKUP(Table2634[[#This Row],[Date]],'DB Money Supply'!$A:$D,4)</f>
        <v/>
      </c>
      <c r="C1248" s="31">
        <f>(Table2634[[#This Row],[M1 Money Stock, Billions of Dollars, Weekly, Seasonally Adjusted]]-B1247)/B1247</f>
        <v/>
      </c>
      <c r="D1248" s="35">
        <f>((1+Table2634[[#This Row],[Weekly change]])^52)-1</f>
        <v/>
      </c>
      <c r="E1248" s="25">
        <f>AVERAGE(B1245:B1248)</f>
        <v/>
      </c>
      <c r="F1248" s="33">
        <f>(Table2634[[#This Row],[4 weeks average]]-B1196)/B1196</f>
        <v/>
      </c>
    </row>
    <row r="1249">
      <c r="A1249" s="23" t="n">
        <v>36101</v>
      </c>
      <c r="B1249" s="25">
        <f>VLOOKUP(Table2634[[#This Row],[Date]],'DB Money Supply'!$A:$D,4)</f>
        <v/>
      </c>
      <c r="C1249" s="31">
        <f>(Table2634[[#This Row],[M1 Money Stock, Billions of Dollars, Weekly, Seasonally Adjusted]]-B1248)/B1248</f>
        <v/>
      </c>
      <c r="D1249" s="35">
        <f>((1+Table2634[[#This Row],[Weekly change]])^52)-1</f>
        <v/>
      </c>
      <c r="E1249" s="25">
        <f>AVERAGE(B1246:B1249)</f>
        <v/>
      </c>
      <c r="F1249" s="33">
        <f>(Table2634[[#This Row],[4 weeks average]]-B1197)/B1197</f>
        <v/>
      </c>
    </row>
    <row r="1250">
      <c r="A1250" s="23" t="n">
        <v>36108</v>
      </c>
      <c r="B1250" s="25">
        <f>VLOOKUP(Table2634[[#This Row],[Date]],'DB Money Supply'!$A:$D,4)</f>
        <v/>
      </c>
      <c r="C1250" s="31">
        <f>(Table2634[[#This Row],[M1 Money Stock, Billions of Dollars, Weekly, Seasonally Adjusted]]-B1249)/B1249</f>
        <v/>
      </c>
      <c r="D1250" s="35">
        <f>((1+Table2634[[#This Row],[Weekly change]])^52)-1</f>
        <v/>
      </c>
      <c r="E1250" s="25">
        <f>AVERAGE(B1247:B1250)</f>
        <v/>
      </c>
      <c r="F1250" s="33">
        <f>(Table2634[[#This Row],[4 weeks average]]-B1198)/B1198</f>
        <v/>
      </c>
    </row>
    <row r="1251">
      <c r="A1251" s="23" t="n">
        <v>36115</v>
      </c>
      <c r="B1251" s="25">
        <f>VLOOKUP(Table2634[[#This Row],[Date]],'DB Money Supply'!$A:$D,4)</f>
        <v/>
      </c>
      <c r="C1251" s="31">
        <f>(Table2634[[#This Row],[M1 Money Stock, Billions of Dollars, Weekly, Seasonally Adjusted]]-B1250)/B1250</f>
        <v/>
      </c>
      <c r="D1251" s="35">
        <f>((1+Table2634[[#This Row],[Weekly change]])^52)-1</f>
        <v/>
      </c>
      <c r="E1251" s="25">
        <f>AVERAGE(B1248:B1251)</f>
        <v/>
      </c>
      <c r="F1251" s="33">
        <f>(Table2634[[#This Row],[4 weeks average]]-B1199)/B1199</f>
        <v/>
      </c>
    </row>
    <row r="1252">
      <c r="A1252" s="23" t="n">
        <v>36122</v>
      </c>
      <c r="B1252" s="25">
        <f>VLOOKUP(Table2634[[#This Row],[Date]],'DB Money Supply'!$A:$D,4)</f>
        <v/>
      </c>
      <c r="C1252" s="31">
        <f>(Table2634[[#This Row],[M1 Money Stock, Billions of Dollars, Weekly, Seasonally Adjusted]]-B1251)/B1251</f>
        <v/>
      </c>
      <c r="D1252" s="35">
        <f>((1+Table2634[[#This Row],[Weekly change]])^52)-1</f>
        <v/>
      </c>
      <c r="E1252" s="25">
        <f>AVERAGE(B1249:B1252)</f>
        <v/>
      </c>
      <c r="F1252" s="33">
        <f>(Table2634[[#This Row],[4 weeks average]]-B1200)/B1200</f>
        <v/>
      </c>
    </row>
    <row r="1253">
      <c r="A1253" s="23" t="n">
        <v>36129</v>
      </c>
      <c r="B1253" s="25">
        <f>VLOOKUP(Table2634[[#This Row],[Date]],'DB Money Supply'!$A:$D,4)</f>
        <v/>
      </c>
      <c r="C1253" s="31">
        <f>(Table2634[[#This Row],[M1 Money Stock, Billions of Dollars, Weekly, Seasonally Adjusted]]-B1252)/B1252</f>
        <v/>
      </c>
      <c r="D1253" s="35">
        <f>((1+Table2634[[#This Row],[Weekly change]])^52)-1</f>
        <v/>
      </c>
      <c r="E1253" s="25">
        <f>AVERAGE(B1250:B1253)</f>
        <v/>
      </c>
      <c r="F1253" s="33">
        <f>(Table2634[[#This Row],[4 weeks average]]-B1201)/B1201</f>
        <v/>
      </c>
    </row>
    <row r="1254">
      <c r="A1254" s="23" t="n">
        <v>36136</v>
      </c>
      <c r="B1254" s="25">
        <f>VLOOKUP(Table2634[[#This Row],[Date]],'DB Money Supply'!$A:$D,4)</f>
        <v/>
      </c>
      <c r="C1254" s="31">
        <f>(Table2634[[#This Row],[M1 Money Stock, Billions of Dollars, Weekly, Seasonally Adjusted]]-B1253)/B1253</f>
        <v/>
      </c>
      <c r="D1254" s="35">
        <f>((1+Table2634[[#This Row],[Weekly change]])^52)-1</f>
        <v/>
      </c>
      <c r="E1254" s="25">
        <f>AVERAGE(B1251:B1254)</f>
        <v/>
      </c>
      <c r="F1254" s="33">
        <f>(Table2634[[#This Row],[4 weeks average]]-B1202)/B1202</f>
        <v/>
      </c>
    </row>
    <row r="1255">
      <c r="A1255" s="23" t="n">
        <v>36143</v>
      </c>
      <c r="B1255" s="25">
        <f>VLOOKUP(Table2634[[#This Row],[Date]],'DB Money Supply'!$A:$D,4)</f>
        <v/>
      </c>
      <c r="C1255" s="31">
        <f>(Table2634[[#This Row],[M1 Money Stock, Billions of Dollars, Weekly, Seasonally Adjusted]]-B1254)/B1254</f>
        <v/>
      </c>
      <c r="D1255" s="35">
        <f>((1+Table2634[[#This Row],[Weekly change]])^52)-1</f>
        <v/>
      </c>
      <c r="E1255" s="25">
        <f>AVERAGE(B1252:B1255)</f>
        <v/>
      </c>
      <c r="F1255" s="33">
        <f>(Table2634[[#This Row],[4 weeks average]]-B1203)/B1203</f>
        <v/>
      </c>
    </row>
    <row r="1256">
      <c r="A1256" s="23" t="n">
        <v>36150</v>
      </c>
      <c r="B1256" s="25">
        <f>VLOOKUP(Table2634[[#This Row],[Date]],'DB Money Supply'!$A:$D,4)</f>
        <v/>
      </c>
      <c r="C1256" s="31">
        <f>(Table2634[[#This Row],[M1 Money Stock, Billions of Dollars, Weekly, Seasonally Adjusted]]-B1255)/B1255</f>
        <v/>
      </c>
      <c r="D1256" s="35">
        <f>((1+Table2634[[#This Row],[Weekly change]])^52)-1</f>
        <v/>
      </c>
      <c r="E1256" s="25">
        <f>AVERAGE(B1253:B1256)</f>
        <v/>
      </c>
      <c r="F1256" s="33">
        <f>(Table2634[[#This Row],[4 weeks average]]-B1204)/B1204</f>
        <v/>
      </c>
    </row>
    <row r="1257">
      <c r="A1257" s="23" t="n">
        <v>36157</v>
      </c>
      <c r="B1257" s="25">
        <f>VLOOKUP(Table2634[[#This Row],[Date]],'DB Money Supply'!$A:$D,4)</f>
        <v/>
      </c>
      <c r="C1257" s="31">
        <f>(Table2634[[#This Row],[M1 Money Stock, Billions of Dollars, Weekly, Seasonally Adjusted]]-B1256)/B1256</f>
        <v/>
      </c>
      <c r="D1257" s="35">
        <f>((1+Table2634[[#This Row],[Weekly change]])^52)-1</f>
        <v/>
      </c>
      <c r="E1257" s="25">
        <f>AVERAGE(B1254:B1257)</f>
        <v/>
      </c>
      <c r="F1257" s="33">
        <f>(Table2634[[#This Row],[4 weeks average]]-B1205)/B1205</f>
        <v/>
      </c>
    </row>
    <row r="1258">
      <c r="A1258" s="23" t="n">
        <v>36164</v>
      </c>
      <c r="B1258" s="25">
        <f>VLOOKUP(Table2634[[#This Row],[Date]],'DB Money Supply'!$A:$D,4)</f>
        <v/>
      </c>
      <c r="C1258" s="31">
        <f>(Table2634[[#This Row],[M1 Money Stock, Billions of Dollars, Weekly, Seasonally Adjusted]]-B1257)/B1257</f>
        <v/>
      </c>
      <c r="D1258" s="35">
        <f>((1+Table2634[[#This Row],[Weekly change]])^52)-1</f>
        <v/>
      </c>
      <c r="E1258" s="25">
        <f>AVERAGE(B1255:B1258)</f>
        <v/>
      </c>
      <c r="F1258" s="33">
        <f>(Table2634[[#This Row],[4 weeks average]]-B1206)/B1206</f>
        <v/>
      </c>
    </row>
    <row r="1259">
      <c r="A1259" s="23" t="n">
        <v>36171</v>
      </c>
      <c r="B1259" s="25">
        <f>VLOOKUP(Table2634[[#This Row],[Date]],'DB Money Supply'!$A:$D,4)</f>
        <v/>
      </c>
      <c r="C1259" s="31">
        <f>(Table2634[[#This Row],[M1 Money Stock, Billions of Dollars, Weekly, Seasonally Adjusted]]-B1258)/B1258</f>
        <v/>
      </c>
      <c r="D1259" s="35">
        <f>((1+Table2634[[#This Row],[Weekly change]])^52)-1</f>
        <v/>
      </c>
      <c r="E1259" s="25">
        <f>AVERAGE(B1256:B1259)</f>
        <v/>
      </c>
      <c r="F1259" s="33">
        <f>(Table2634[[#This Row],[4 weeks average]]-B1207)/B1207</f>
        <v/>
      </c>
    </row>
    <row r="1260">
      <c r="A1260" s="23" t="n">
        <v>36178</v>
      </c>
      <c r="B1260" s="25">
        <f>VLOOKUP(Table2634[[#This Row],[Date]],'DB Money Supply'!$A:$D,4)</f>
        <v/>
      </c>
      <c r="C1260" s="31">
        <f>(Table2634[[#This Row],[M1 Money Stock, Billions of Dollars, Weekly, Seasonally Adjusted]]-B1259)/B1259</f>
        <v/>
      </c>
      <c r="D1260" s="35">
        <f>((1+Table2634[[#This Row],[Weekly change]])^52)-1</f>
        <v/>
      </c>
      <c r="E1260" s="25">
        <f>AVERAGE(B1257:B1260)</f>
        <v/>
      </c>
      <c r="F1260" s="33">
        <f>(Table2634[[#This Row],[4 weeks average]]-B1208)/B1208</f>
        <v/>
      </c>
    </row>
    <row r="1261">
      <c r="A1261" s="23" t="n">
        <v>36185</v>
      </c>
      <c r="B1261" s="25">
        <f>VLOOKUP(Table2634[[#This Row],[Date]],'DB Money Supply'!$A:$D,4)</f>
        <v/>
      </c>
      <c r="C1261" s="31">
        <f>(Table2634[[#This Row],[M1 Money Stock, Billions of Dollars, Weekly, Seasonally Adjusted]]-B1260)/B1260</f>
        <v/>
      </c>
      <c r="D1261" s="35">
        <f>((1+Table2634[[#This Row],[Weekly change]])^52)-1</f>
        <v/>
      </c>
      <c r="E1261" s="25">
        <f>AVERAGE(B1258:B1261)</f>
        <v/>
      </c>
      <c r="F1261" s="33">
        <f>(Table2634[[#This Row],[4 weeks average]]-B1209)/B1209</f>
        <v/>
      </c>
    </row>
    <row r="1262">
      <c r="A1262" s="23" t="n">
        <v>36192</v>
      </c>
      <c r="B1262" s="25">
        <f>VLOOKUP(Table2634[[#This Row],[Date]],'DB Money Supply'!$A:$D,4)</f>
        <v/>
      </c>
      <c r="C1262" s="31">
        <f>(Table2634[[#This Row],[M1 Money Stock, Billions of Dollars, Weekly, Seasonally Adjusted]]-B1261)/B1261</f>
        <v/>
      </c>
      <c r="D1262" s="35">
        <f>((1+Table2634[[#This Row],[Weekly change]])^52)-1</f>
        <v/>
      </c>
      <c r="E1262" s="25">
        <f>AVERAGE(B1259:B1262)</f>
        <v/>
      </c>
      <c r="F1262" s="33">
        <f>(Table2634[[#This Row],[4 weeks average]]-B1210)/B1210</f>
        <v/>
      </c>
    </row>
    <row r="1263">
      <c r="A1263" s="23" t="n">
        <v>36199</v>
      </c>
      <c r="B1263" s="25">
        <f>VLOOKUP(Table2634[[#This Row],[Date]],'DB Money Supply'!$A:$D,4)</f>
        <v/>
      </c>
      <c r="C1263" s="31">
        <f>(Table2634[[#This Row],[M1 Money Stock, Billions of Dollars, Weekly, Seasonally Adjusted]]-B1262)/B1262</f>
        <v/>
      </c>
      <c r="D1263" s="35">
        <f>((1+Table2634[[#This Row],[Weekly change]])^52)-1</f>
        <v/>
      </c>
      <c r="E1263" s="25">
        <f>AVERAGE(B1260:B1263)</f>
        <v/>
      </c>
      <c r="F1263" s="33">
        <f>(Table2634[[#This Row],[4 weeks average]]-B1211)/B1211</f>
        <v/>
      </c>
    </row>
    <row r="1264">
      <c r="A1264" s="23" t="n">
        <v>36206</v>
      </c>
      <c r="B1264" s="25">
        <f>VLOOKUP(Table2634[[#This Row],[Date]],'DB Money Supply'!$A:$D,4)</f>
        <v/>
      </c>
      <c r="C1264" s="31">
        <f>(Table2634[[#This Row],[M1 Money Stock, Billions of Dollars, Weekly, Seasonally Adjusted]]-B1263)/B1263</f>
        <v/>
      </c>
      <c r="D1264" s="35">
        <f>((1+Table2634[[#This Row],[Weekly change]])^52)-1</f>
        <v/>
      </c>
      <c r="E1264" s="25">
        <f>AVERAGE(B1261:B1264)</f>
        <v/>
      </c>
      <c r="F1264" s="33">
        <f>(Table2634[[#This Row],[4 weeks average]]-B1212)/B1212</f>
        <v/>
      </c>
    </row>
    <row r="1265">
      <c r="A1265" s="23" t="n">
        <v>36213</v>
      </c>
      <c r="B1265" s="25">
        <f>VLOOKUP(Table2634[[#This Row],[Date]],'DB Money Supply'!$A:$D,4)</f>
        <v/>
      </c>
      <c r="C1265" s="31">
        <f>(Table2634[[#This Row],[M1 Money Stock, Billions of Dollars, Weekly, Seasonally Adjusted]]-B1264)/B1264</f>
        <v/>
      </c>
      <c r="D1265" s="35">
        <f>((1+Table2634[[#This Row],[Weekly change]])^52)-1</f>
        <v/>
      </c>
      <c r="E1265" s="25">
        <f>AVERAGE(B1262:B1265)</f>
        <v/>
      </c>
      <c r="F1265" s="33">
        <f>(Table2634[[#This Row],[4 weeks average]]-B1213)/B1213</f>
        <v/>
      </c>
    </row>
    <row r="1266">
      <c r="A1266" s="23" t="n">
        <v>36220</v>
      </c>
      <c r="B1266" s="25">
        <f>VLOOKUP(Table2634[[#This Row],[Date]],'DB Money Supply'!$A:$D,4)</f>
        <v/>
      </c>
      <c r="C1266" s="31">
        <f>(Table2634[[#This Row],[M1 Money Stock, Billions of Dollars, Weekly, Seasonally Adjusted]]-B1265)/B1265</f>
        <v/>
      </c>
      <c r="D1266" s="35">
        <f>((1+Table2634[[#This Row],[Weekly change]])^52)-1</f>
        <v/>
      </c>
      <c r="E1266" s="25">
        <f>AVERAGE(B1263:B1266)</f>
        <v/>
      </c>
      <c r="F1266" s="33">
        <f>(Table2634[[#This Row],[4 weeks average]]-B1214)/B1214</f>
        <v/>
      </c>
    </row>
    <row r="1267">
      <c r="A1267" s="23" t="n">
        <v>36227</v>
      </c>
      <c r="B1267" s="25">
        <f>VLOOKUP(Table2634[[#This Row],[Date]],'DB Money Supply'!$A:$D,4)</f>
        <v/>
      </c>
      <c r="C1267" s="31">
        <f>(Table2634[[#This Row],[M1 Money Stock, Billions of Dollars, Weekly, Seasonally Adjusted]]-B1266)/B1266</f>
        <v/>
      </c>
      <c r="D1267" s="35">
        <f>((1+Table2634[[#This Row],[Weekly change]])^52)-1</f>
        <v/>
      </c>
      <c r="E1267" s="25">
        <f>AVERAGE(B1264:B1267)</f>
        <v/>
      </c>
      <c r="F1267" s="33">
        <f>(Table2634[[#This Row],[4 weeks average]]-B1215)/B1215</f>
        <v/>
      </c>
    </row>
    <row r="1268">
      <c r="A1268" s="23" t="n">
        <v>36234</v>
      </c>
      <c r="B1268" s="25">
        <f>VLOOKUP(Table2634[[#This Row],[Date]],'DB Money Supply'!$A:$D,4)</f>
        <v/>
      </c>
      <c r="C1268" s="31">
        <f>(Table2634[[#This Row],[M1 Money Stock, Billions of Dollars, Weekly, Seasonally Adjusted]]-B1267)/B1267</f>
        <v/>
      </c>
      <c r="D1268" s="35">
        <f>((1+Table2634[[#This Row],[Weekly change]])^52)-1</f>
        <v/>
      </c>
      <c r="E1268" s="25">
        <f>AVERAGE(B1265:B1268)</f>
        <v/>
      </c>
      <c r="F1268" s="33">
        <f>(Table2634[[#This Row],[4 weeks average]]-B1216)/B1216</f>
        <v/>
      </c>
    </row>
    <row r="1269">
      <c r="A1269" s="23" t="n">
        <v>36241</v>
      </c>
      <c r="B1269" s="25">
        <f>VLOOKUP(Table2634[[#This Row],[Date]],'DB Money Supply'!$A:$D,4)</f>
        <v/>
      </c>
      <c r="C1269" s="31">
        <f>(Table2634[[#This Row],[M1 Money Stock, Billions of Dollars, Weekly, Seasonally Adjusted]]-B1268)/B1268</f>
        <v/>
      </c>
      <c r="D1269" s="35">
        <f>((1+Table2634[[#This Row],[Weekly change]])^52)-1</f>
        <v/>
      </c>
      <c r="E1269" s="25">
        <f>AVERAGE(B1266:B1269)</f>
        <v/>
      </c>
      <c r="F1269" s="33">
        <f>(Table2634[[#This Row],[4 weeks average]]-B1217)/B1217</f>
        <v/>
      </c>
    </row>
    <row r="1270">
      <c r="A1270" s="23" t="n">
        <v>36248</v>
      </c>
      <c r="B1270" s="25">
        <f>VLOOKUP(Table2634[[#This Row],[Date]],'DB Money Supply'!$A:$D,4)</f>
        <v/>
      </c>
      <c r="C1270" s="31">
        <f>(Table2634[[#This Row],[M1 Money Stock, Billions of Dollars, Weekly, Seasonally Adjusted]]-B1269)/B1269</f>
        <v/>
      </c>
      <c r="D1270" s="35">
        <f>((1+Table2634[[#This Row],[Weekly change]])^52)-1</f>
        <v/>
      </c>
      <c r="E1270" s="25">
        <f>AVERAGE(B1267:B1270)</f>
        <v/>
      </c>
      <c r="F1270" s="33">
        <f>(Table2634[[#This Row],[4 weeks average]]-B1218)/B1218</f>
        <v/>
      </c>
    </row>
    <row r="1271">
      <c r="A1271" s="23" t="n">
        <v>36255</v>
      </c>
      <c r="B1271" s="25">
        <f>VLOOKUP(Table2634[[#This Row],[Date]],'DB Money Supply'!$A:$D,4)</f>
        <v/>
      </c>
      <c r="C1271" s="31">
        <f>(Table2634[[#This Row],[M1 Money Stock, Billions of Dollars, Weekly, Seasonally Adjusted]]-B1270)/B1270</f>
        <v/>
      </c>
      <c r="D1271" s="35">
        <f>((1+Table2634[[#This Row],[Weekly change]])^52)-1</f>
        <v/>
      </c>
      <c r="E1271" s="25">
        <f>AVERAGE(B1268:B1271)</f>
        <v/>
      </c>
      <c r="F1271" s="33">
        <f>(Table2634[[#This Row],[4 weeks average]]-B1219)/B1219</f>
        <v/>
      </c>
    </row>
    <row r="1272">
      <c r="A1272" s="23" t="n">
        <v>36262</v>
      </c>
      <c r="B1272" s="25">
        <f>VLOOKUP(Table2634[[#This Row],[Date]],'DB Money Supply'!$A:$D,4)</f>
        <v/>
      </c>
      <c r="C1272" s="31">
        <f>(Table2634[[#This Row],[M1 Money Stock, Billions of Dollars, Weekly, Seasonally Adjusted]]-B1271)/B1271</f>
        <v/>
      </c>
      <c r="D1272" s="35">
        <f>((1+Table2634[[#This Row],[Weekly change]])^52)-1</f>
        <v/>
      </c>
      <c r="E1272" s="25">
        <f>AVERAGE(B1269:B1272)</f>
        <v/>
      </c>
      <c r="F1272" s="33">
        <f>(Table2634[[#This Row],[4 weeks average]]-B1220)/B1220</f>
        <v/>
      </c>
    </row>
    <row r="1273">
      <c r="A1273" s="23" t="n">
        <v>36269</v>
      </c>
      <c r="B1273" s="25">
        <f>VLOOKUP(Table2634[[#This Row],[Date]],'DB Money Supply'!$A:$D,4)</f>
        <v/>
      </c>
      <c r="C1273" s="31">
        <f>(Table2634[[#This Row],[M1 Money Stock, Billions of Dollars, Weekly, Seasonally Adjusted]]-B1272)/B1272</f>
        <v/>
      </c>
      <c r="D1273" s="35">
        <f>((1+Table2634[[#This Row],[Weekly change]])^52)-1</f>
        <v/>
      </c>
      <c r="E1273" s="25">
        <f>AVERAGE(B1270:B1273)</f>
        <v/>
      </c>
      <c r="F1273" s="33">
        <f>(Table2634[[#This Row],[4 weeks average]]-B1221)/B1221</f>
        <v/>
      </c>
    </row>
    <row r="1274">
      <c r="A1274" s="23" t="n">
        <v>36276</v>
      </c>
      <c r="B1274" s="25">
        <f>VLOOKUP(Table2634[[#This Row],[Date]],'DB Money Supply'!$A:$D,4)</f>
        <v/>
      </c>
      <c r="C1274" s="31">
        <f>(Table2634[[#This Row],[M1 Money Stock, Billions of Dollars, Weekly, Seasonally Adjusted]]-B1273)/B1273</f>
        <v/>
      </c>
      <c r="D1274" s="35">
        <f>((1+Table2634[[#This Row],[Weekly change]])^52)-1</f>
        <v/>
      </c>
      <c r="E1274" s="25">
        <f>AVERAGE(B1271:B1274)</f>
        <v/>
      </c>
      <c r="F1274" s="33">
        <f>(Table2634[[#This Row],[4 weeks average]]-B1222)/B1222</f>
        <v/>
      </c>
    </row>
    <row r="1275">
      <c r="A1275" s="23" t="n">
        <v>36283</v>
      </c>
      <c r="B1275" s="25">
        <f>VLOOKUP(Table2634[[#This Row],[Date]],'DB Money Supply'!$A:$D,4)</f>
        <v/>
      </c>
      <c r="C1275" s="31">
        <f>(Table2634[[#This Row],[M1 Money Stock, Billions of Dollars, Weekly, Seasonally Adjusted]]-B1274)/B1274</f>
        <v/>
      </c>
      <c r="D1275" s="35">
        <f>((1+Table2634[[#This Row],[Weekly change]])^52)-1</f>
        <v/>
      </c>
      <c r="E1275" s="25">
        <f>AVERAGE(B1272:B1275)</f>
        <v/>
      </c>
      <c r="F1275" s="33">
        <f>(Table2634[[#This Row],[4 weeks average]]-B1223)/B1223</f>
        <v/>
      </c>
    </row>
    <row r="1276">
      <c r="A1276" s="23" t="n">
        <v>36290</v>
      </c>
      <c r="B1276" s="25">
        <f>VLOOKUP(Table2634[[#This Row],[Date]],'DB Money Supply'!$A:$D,4)</f>
        <v/>
      </c>
      <c r="C1276" s="31">
        <f>(Table2634[[#This Row],[M1 Money Stock, Billions of Dollars, Weekly, Seasonally Adjusted]]-B1275)/B1275</f>
        <v/>
      </c>
      <c r="D1276" s="35">
        <f>((1+Table2634[[#This Row],[Weekly change]])^52)-1</f>
        <v/>
      </c>
      <c r="E1276" s="25">
        <f>AVERAGE(B1273:B1276)</f>
        <v/>
      </c>
      <c r="F1276" s="33">
        <f>(Table2634[[#This Row],[4 weeks average]]-B1224)/B1224</f>
        <v/>
      </c>
    </row>
    <row r="1277">
      <c r="A1277" s="23" t="n">
        <v>36297</v>
      </c>
      <c r="B1277" s="25">
        <f>VLOOKUP(Table2634[[#This Row],[Date]],'DB Money Supply'!$A:$D,4)</f>
        <v/>
      </c>
      <c r="C1277" s="31">
        <f>(Table2634[[#This Row],[M1 Money Stock, Billions of Dollars, Weekly, Seasonally Adjusted]]-B1276)/B1276</f>
        <v/>
      </c>
      <c r="D1277" s="35">
        <f>((1+Table2634[[#This Row],[Weekly change]])^52)-1</f>
        <v/>
      </c>
      <c r="E1277" s="25">
        <f>AVERAGE(B1274:B1277)</f>
        <v/>
      </c>
      <c r="F1277" s="33">
        <f>(Table2634[[#This Row],[4 weeks average]]-B1225)/B1225</f>
        <v/>
      </c>
    </row>
    <row r="1278">
      <c r="A1278" s="23" t="n">
        <v>36304</v>
      </c>
      <c r="B1278" s="25">
        <f>VLOOKUP(Table2634[[#This Row],[Date]],'DB Money Supply'!$A:$D,4)</f>
        <v/>
      </c>
      <c r="C1278" s="31">
        <f>(Table2634[[#This Row],[M1 Money Stock, Billions of Dollars, Weekly, Seasonally Adjusted]]-B1277)/B1277</f>
        <v/>
      </c>
      <c r="D1278" s="35">
        <f>((1+Table2634[[#This Row],[Weekly change]])^52)-1</f>
        <v/>
      </c>
      <c r="E1278" s="25">
        <f>AVERAGE(B1275:B1278)</f>
        <v/>
      </c>
      <c r="F1278" s="33">
        <f>(Table2634[[#This Row],[4 weeks average]]-B1226)/B1226</f>
        <v/>
      </c>
    </row>
    <row r="1279">
      <c r="A1279" s="23" t="n">
        <v>36311</v>
      </c>
      <c r="B1279" s="25">
        <f>VLOOKUP(Table2634[[#This Row],[Date]],'DB Money Supply'!$A:$D,4)</f>
        <v/>
      </c>
      <c r="C1279" s="31">
        <f>(Table2634[[#This Row],[M1 Money Stock, Billions of Dollars, Weekly, Seasonally Adjusted]]-B1278)/B1278</f>
        <v/>
      </c>
      <c r="D1279" s="35">
        <f>((1+Table2634[[#This Row],[Weekly change]])^52)-1</f>
        <v/>
      </c>
      <c r="E1279" s="25">
        <f>AVERAGE(B1276:B1279)</f>
        <v/>
      </c>
      <c r="F1279" s="33">
        <f>(Table2634[[#This Row],[4 weeks average]]-B1227)/B1227</f>
        <v/>
      </c>
    </row>
    <row r="1280">
      <c r="A1280" s="23" t="n">
        <v>36318</v>
      </c>
      <c r="B1280" s="25">
        <f>VLOOKUP(Table2634[[#This Row],[Date]],'DB Money Supply'!$A:$D,4)</f>
        <v/>
      </c>
      <c r="C1280" s="31">
        <f>(Table2634[[#This Row],[M1 Money Stock, Billions of Dollars, Weekly, Seasonally Adjusted]]-B1279)/B1279</f>
        <v/>
      </c>
      <c r="D1280" s="35">
        <f>((1+Table2634[[#This Row],[Weekly change]])^52)-1</f>
        <v/>
      </c>
      <c r="E1280" s="25">
        <f>AVERAGE(B1277:B1280)</f>
        <v/>
      </c>
      <c r="F1280" s="33">
        <f>(Table2634[[#This Row],[4 weeks average]]-B1228)/B1228</f>
        <v/>
      </c>
    </row>
    <row r="1281">
      <c r="A1281" s="23" t="n">
        <v>36325</v>
      </c>
      <c r="B1281" s="25">
        <f>VLOOKUP(Table2634[[#This Row],[Date]],'DB Money Supply'!$A:$D,4)</f>
        <v/>
      </c>
      <c r="C1281" s="31">
        <f>(Table2634[[#This Row],[M1 Money Stock, Billions of Dollars, Weekly, Seasonally Adjusted]]-B1280)/B1280</f>
        <v/>
      </c>
      <c r="D1281" s="35">
        <f>((1+Table2634[[#This Row],[Weekly change]])^52)-1</f>
        <v/>
      </c>
      <c r="E1281" s="25">
        <f>AVERAGE(B1278:B1281)</f>
        <v/>
      </c>
      <c r="F1281" s="33">
        <f>(Table2634[[#This Row],[4 weeks average]]-B1229)/B1229</f>
        <v/>
      </c>
    </row>
    <row r="1282">
      <c r="A1282" s="23" t="n">
        <v>36332</v>
      </c>
      <c r="B1282" s="25">
        <f>VLOOKUP(Table2634[[#This Row],[Date]],'DB Money Supply'!$A:$D,4)</f>
        <v/>
      </c>
      <c r="C1282" s="31">
        <f>(Table2634[[#This Row],[M1 Money Stock, Billions of Dollars, Weekly, Seasonally Adjusted]]-B1281)/B1281</f>
        <v/>
      </c>
      <c r="D1282" s="35">
        <f>((1+Table2634[[#This Row],[Weekly change]])^52)-1</f>
        <v/>
      </c>
      <c r="E1282" s="25">
        <f>AVERAGE(B1279:B1282)</f>
        <v/>
      </c>
      <c r="F1282" s="33">
        <f>(Table2634[[#This Row],[4 weeks average]]-B1230)/B1230</f>
        <v/>
      </c>
    </row>
    <row r="1283">
      <c r="A1283" s="23" t="n">
        <v>36339</v>
      </c>
      <c r="B1283" s="25">
        <f>VLOOKUP(Table2634[[#This Row],[Date]],'DB Money Supply'!$A:$D,4)</f>
        <v/>
      </c>
      <c r="C1283" s="31">
        <f>(Table2634[[#This Row],[M1 Money Stock, Billions of Dollars, Weekly, Seasonally Adjusted]]-B1282)/B1282</f>
        <v/>
      </c>
      <c r="D1283" s="35">
        <f>((1+Table2634[[#This Row],[Weekly change]])^52)-1</f>
        <v/>
      </c>
      <c r="E1283" s="25">
        <f>AVERAGE(B1280:B1283)</f>
        <v/>
      </c>
      <c r="F1283" s="33">
        <f>(Table2634[[#This Row],[4 weeks average]]-B1231)/B1231</f>
        <v/>
      </c>
    </row>
    <row r="1284">
      <c r="A1284" s="23" t="n">
        <v>36346</v>
      </c>
      <c r="B1284" s="25">
        <f>VLOOKUP(Table2634[[#This Row],[Date]],'DB Money Supply'!$A:$D,4)</f>
        <v/>
      </c>
      <c r="C1284" s="31">
        <f>(Table2634[[#This Row],[M1 Money Stock, Billions of Dollars, Weekly, Seasonally Adjusted]]-B1283)/B1283</f>
        <v/>
      </c>
      <c r="D1284" s="35">
        <f>((1+Table2634[[#This Row],[Weekly change]])^52)-1</f>
        <v/>
      </c>
      <c r="E1284" s="25">
        <f>AVERAGE(B1281:B1284)</f>
        <v/>
      </c>
      <c r="F1284" s="33">
        <f>(Table2634[[#This Row],[4 weeks average]]-B1232)/B1232</f>
        <v/>
      </c>
    </row>
    <row r="1285">
      <c r="A1285" s="23" t="n">
        <v>36353</v>
      </c>
      <c r="B1285" s="25">
        <f>VLOOKUP(Table2634[[#This Row],[Date]],'DB Money Supply'!$A:$D,4)</f>
        <v/>
      </c>
      <c r="C1285" s="31">
        <f>(Table2634[[#This Row],[M1 Money Stock, Billions of Dollars, Weekly, Seasonally Adjusted]]-B1284)/B1284</f>
        <v/>
      </c>
      <c r="D1285" s="35">
        <f>((1+Table2634[[#This Row],[Weekly change]])^52)-1</f>
        <v/>
      </c>
      <c r="E1285" s="25">
        <f>AVERAGE(B1282:B1285)</f>
        <v/>
      </c>
      <c r="F1285" s="33">
        <f>(Table2634[[#This Row],[4 weeks average]]-B1233)/B1233</f>
        <v/>
      </c>
    </row>
    <row r="1286">
      <c r="A1286" s="23" t="n">
        <v>36360</v>
      </c>
      <c r="B1286" s="25">
        <f>VLOOKUP(Table2634[[#This Row],[Date]],'DB Money Supply'!$A:$D,4)</f>
        <v/>
      </c>
      <c r="C1286" s="31">
        <f>(Table2634[[#This Row],[M1 Money Stock, Billions of Dollars, Weekly, Seasonally Adjusted]]-B1285)/B1285</f>
        <v/>
      </c>
      <c r="D1286" s="35">
        <f>((1+Table2634[[#This Row],[Weekly change]])^52)-1</f>
        <v/>
      </c>
      <c r="E1286" s="25">
        <f>AVERAGE(B1283:B1286)</f>
        <v/>
      </c>
      <c r="F1286" s="33">
        <f>(Table2634[[#This Row],[4 weeks average]]-B1234)/B1234</f>
        <v/>
      </c>
    </row>
    <row r="1287">
      <c r="A1287" s="23" t="n">
        <v>36367</v>
      </c>
      <c r="B1287" s="25">
        <f>VLOOKUP(Table2634[[#This Row],[Date]],'DB Money Supply'!$A:$D,4)</f>
        <v/>
      </c>
      <c r="C1287" s="31">
        <f>(Table2634[[#This Row],[M1 Money Stock, Billions of Dollars, Weekly, Seasonally Adjusted]]-B1286)/B1286</f>
        <v/>
      </c>
      <c r="D1287" s="35">
        <f>((1+Table2634[[#This Row],[Weekly change]])^52)-1</f>
        <v/>
      </c>
      <c r="E1287" s="25">
        <f>AVERAGE(B1284:B1287)</f>
        <v/>
      </c>
      <c r="F1287" s="33">
        <f>(Table2634[[#This Row],[4 weeks average]]-B1235)/B1235</f>
        <v/>
      </c>
    </row>
    <row r="1288">
      <c r="A1288" s="23" t="n">
        <v>36374</v>
      </c>
      <c r="B1288" s="25">
        <f>VLOOKUP(Table2634[[#This Row],[Date]],'DB Money Supply'!$A:$D,4)</f>
        <v/>
      </c>
      <c r="C1288" s="31">
        <f>(Table2634[[#This Row],[M1 Money Stock, Billions of Dollars, Weekly, Seasonally Adjusted]]-B1287)/B1287</f>
        <v/>
      </c>
      <c r="D1288" s="35">
        <f>((1+Table2634[[#This Row],[Weekly change]])^52)-1</f>
        <v/>
      </c>
      <c r="E1288" s="25">
        <f>AVERAGE(B1285:B1288)</f>
        <v/>
      </c>
      <c r="F1288" s="33">
        <f>(Table2634[[#This Row],[4 weeks average]]-B1236)/B1236</f>
        <v/>
      </c>
    </row>
    <row r="1289">
      <c r="A1289" s="23" t="n">
        <v>36381</v>
      </c>
      <c r="B1289" s="25">
        <f>VLOOKUP(Table2634[[#This Row],[Date]],'DB Money Supply'!$A:$D,4)</f>
        <v/>
      </c>
      <c r="C1289" s="31">
        <f>(Table2634[[#This Row],[M1 Money Stock, Billions of Dollars, Weekly, Seasonally Adjusted]]-B1288)/B1288</f>
        <v/>
      </c>
      <c r="D1289" s="35">
        <f>((1+Table2634[[#This Row],[Weekly change]])^52)-1</f>
        <v/>
      </c>
      <c r="E1289" s="25">
        <f>AVERAGE(B1286:B1289)</f>
        <v/>
      </c>
      <c r="F1289" s="33">
        <f>(Table2634[[#This Row],[4 weeks average]]-B1237)/B1237</f>
        <v/>
      </c>
    </row>
    <row r="1290">
      <c r="A1290" s="23" t="n">
        <v>36388</v>
      </c>
      <c r="B1290" s="25">
        <f>VLOOKUP(Table2634[[#This Row],[Date]],'DB Money Supply'!$A:$D,4)</f>
        <v/>
      </c>
      <c r="C1290" s="31">
        <f>(Table2634[[#This Row],[M1 Money Stock, Billions of Dollars, Weekly, Seasonally Adjusted]]-B1289)/B1289</f>
        <v/>
      </c>
      <c r="D1290" s="35">
        <f>((1+Table2634[[#This Row],[Weekly change]])^52)-1</f>
        <v/>
      </c>
      <c r="E1290" s="25">
        <f>AVERAGE(B1287:B1290)</f>
        <v/>
      </c>
      <c r="F1290" s="33">
        <f>(Table2634[[#This Row],[4 weeks average]]-B1238)/B1238</f>
        <v/>
      </c>
    </row>
    <row r="1291">
      <c r="A1291" s="23" t="n">
        <v>36395</v>
      </c>
      <c r="B1291" s="25">
        <f>VLOOKUP(Table2634[[#This Row],[Date]],'DB Money Supply'!$A:$D,4)</f>
        <v/>
      </c>
      <c r="C1291" s="31">
        <f>(Table2634[[#This Row],[M1 Money Stock, Billions of Dollars, Weekly, Seasonally Adjusted]]-B1290)/B1290</f>
        <v/>
      </c>
      <c r="D1291" s="35">
        <f>((1+Table2634[[#This Row],[Weekly change]])^52)-1</f>
        <v/>
      </c>
      <c r="E1291" s="25">
        <f>AVERAGE(B1288:B1291)</f>
        <v/>
      </c>
      <c r="F1291" s="33">
        <f>(Table2634[[#This Row],[4 weeks average]]-B1239)/B1239</f>
        <v/>
      </c>
    </row>
    <row r="1292">
      <c r="A1292" s="23" t="n">
        <v>36402</v>
      </c>
      <c r="B1292" s="25">
        <f>VLOOKUP(Table2634[[#This Row],[Date]],'DB Money Supply'!$A:$D,4)</f>
        <v/>
      </c>
      <c r="C1292" s="31">
        <f>(Table2634[[#This Row],[M1 Money Stock, Billions of Dollars, Weekly, Seasonally Adjusted]]-B1291)/B1291</f>
        <v/>
      </c>
      <c r="D1292" s="35">
        <f>((1+Table2634[[#This Row],[Weekly change]])^52)-1</f>
        <v/>
      </c>
      <c r="E1292" s="25">
        <f>AVERAGE(B1289:B1292)</f>
        <v/>
      </c>
      <c r="F1292" s="33">
        <f>(Table2634[[#This Row],[4 weeks average]]-B1240)/B1240</f>
        <v/>
      </c>
    </row>
    <row r="1293">
      <c r="A1293" s="23" t="n">
        <v>36409</v>
      </c>
      <c r="B1293" s="25">
        <f>VLOOKUP(Table2634[[#This Row],[Date]],'DB Money Supply'!$A:$D,4)</f>
        <v/>
      </c>
      <c r="C1293" s="31">
        <f>(Table2634[[#This Row],[M1 Money Stock, Billions of Dollars, Weekly, Seasonally Adjusted]]-B1292)/B1292</f>
        <v/>
      </c>
      <c r="D1293" s="35">
        <f>((1+Table2634[[#This Row],[Weekly change]])^52)-1</f>
        <v/>
      </c>
      <c r="E1293" s="25">
        <f>AVERAGE(B1290:B1293)</f>
        <v/>
      </c>
      <c r="F1293" s="33">
        <f>(Table2634[[#This Row],[4 weeks average]]-B1241)/B1241</f>
        <v/>
      </c>
    </row>
    <row r="1294">
      <c r="A1294" s="23" t="n">
        <v>36416</v>
      </c>
      <c r="B1294" s="25">
        <f>VLOOKUP(Table2634[[#This Row],[Date]],'DB Money Supply'!$A:$D,4)</f>
        <v/>
      </c>
      <c r="C1294" s="31">
        <f>(Table2634[[#This Row],[M1 Money Stock, Billions of Dollars, Weekly, Seasonally Adjusted]]-B1293)/B1293</f>
        <v/>
      </c>
      <c r="D1294" s="35">
        <f>((1+Table2634[[#This Row],[Weekly change]])^52)-1</f>
        <v/>
      </c>
      <c r="E1294" s="25">
        <f>AVERAGE(B1291:B1294)</f>
        <v/>
      </c>
      <c r="F1294" s="33">
        <f>(Table2634[[#This Row],[4 weeks average]]-B1242)/B1242</f>
        <v/>
      </c>
    </row>
    <row r="1295">
      <c r="A1295" s="23" t="n">
        <v>36423</v>
      </c>
      <c r="B1295" s="25">
        <f>VLOOKUP(Table2634[[#This Row],[Date]],'DB Money Supply'!$A:$D,4)</f>
        <v/>
      </c>
      <c r="C1295" s="31">
        <f>(Table2634[[#This Row],[M1 Money Stock, Billions of Dollars, Weekly, Seasonally Adjusted]]-B1294)/B1294</f>
        <v/>
      </c>
      <c r="D1295" s="35">
        <f>((1+Table2634[[#This Row],[Weekly change]])^52)-1</f>
        <v/>
      </c>
      <c r="E1295" s="25">
        <f>AVERAGE(B1292:B1295)</f>
        <v/>
      </c>
      <c r="F1295" s="33">
        <f>(Table2634[[#This Row],[4 weeks average]]-B1243)/B1243</f>
        <v/>
      </c>
    </row>
    <row r="1296">
      <c r="A1296" s="23" t="n">
        <v>36430</v>
      </c>
      <c r="B1296" s="25">
        <f>VLOOKUP(Table2634[[#This Row],[Date]],'DB Money Supply'!$A:$D,4)</f>
        <v/>
      </c>
      <c r="C1296" s="31">
        <f>(Table2634[[#This Row],[M1 Money Stock, Billions of Dollars, Weekly, Seasonally Adjusted]]-B1295)/B1295</f>
        <v/>
      </c>
      <c r="D1296" s="35">
        <f>((1+Table2634[[#This Row],[Weekly change]])^52)-1</f>
        <v/>
      </c>
      <c r="E1296" s="25">
        <f>AVERAGE(B1293:B1296)</f>
        <v/>
      </c>
      <c r="F1296" s="33">
        <f>(Table2634[[#This Row],[4 weeks average]]-B1244)/B1244</f>
        <v/>
      </c>
    </row>
    <row r="1297">
      <c r="A1297" s="23" t="n">
        <v>36437</v>
      </c>
      <c r="B1297" s="25">
        <f>VLOOKUP(Table2634[[#This Row],[Date]],'DB Money Supply'!$A:$D,4)</f>
        <v/>
      </c>
      <c r="C1297" s="31">
        <f>(Table2634[[#This Row],[M1 Money Stock, Billions of Dollars, Weekly, Seasonally Adjusted]]-B1296)/B1296</f>
        <v/>
      </c>
      <c r="D1297" s="35">
        <f>((1+Table2634[[#This Row],[Weekly change]])^52)-1</f>
        <v/>
      </c>
      <c r="E1297" s="25">
        <f>AVERAGE(B1294:B1297)</f>
        <v/>
      </c>
      <c r="F1297" s="33">
        <f>(Table2634[[#This Row],[4 weeks average]]-B1245)/B1245</f>
        <v/>
      </c>
    </row>
    <row r="1298">
      <c r="A1298" s="23" t="n">
        <v>36444</v>
      </c>
      <c r="B1298" s="25">
        <f>VLOOKUP(Table2634[[#This Row],[Date]],'DB Money Supply'!$A:$D,4)</f>
        <v/>
      </c>
      <c r="C1298" s="31">
        <f>(Table2634[[#This Row],[M1 Money Stock, Billions of Dollars, Weekly, Seasonally Adjusted]]-B1297)/B1297</f>
        <v/>
      </c>
      <c r="D1298" s="35">
        <f>((1+Table2634[[#This Row],[Weekly change]])^52)-1</f>
        <v/>
      </c>
      <c r="E1298" s="25">
        <f>AVERAGE(B1295:B1298)</f>
        <v/>
      </c>
      <c r="F1298" s="33">
        <f>(Table2634[[#This Row],[4 weeks average]]-B1246)/B1246</f>
        <v/>
      </c>
    </row>
    <row r="1299">
      <c r="A1299" s="23" t="n">
        <v>36451</v>
      </c>
      <c r="B1299" s="25">
        <f>VLOOKUP(Table2634[[#This Row],[Date]],'DB Money Supply'!$A:$D,4)</f>
        <v/>
      </c>
      <c r="C1299" s="31">
        <f>(Table2634[[#This Row],[M1 Money Stock, Billions of Dollars, Weekly, Seasonally Adjusted]]-B1298)/B1298</f>
        <v/>
      </c>
      <c r="D1299" s="35">
        <f>((1+Table2634[[#This Row],[Weekly change]])^52)-1</f>
        <v/>
      </c>
      <c r="E1299" s="25">
        <f>AVERAGE(B1296:B1299)</f>
        <v/>
      </c>
      <c r="F1299" s="33">
        <f>(Table2634[[#This Row],[4 weeks average]]-B1247)/B1247</f>
        <v/>
      </c>
    </row>
    <row r="1300">
      <c r="A1300" s="23" t="n">
        <v>36458</v>
      </c>
      <c r="B1300" s="25">
        <f>VLOOKUP(Table2634[[#This Row],[Date]],'DB Money Supply'!$A:$D,4)</f>
        <v/>
      </c>
      <c r="C1300" s="31">
        <f>(Table2634[[#This Row],[M1 Money Stock, Billions of Dollars, Weekly, Seasonally Adjusted]]-B1299)/B1299</f>
        <v/>
      </c>
      <c r="D1300" s="35">
        <f>((1+Table2634[[#This Row],[Weekly change]])^52)-1</f>
        <v/>
      </c>
      <c r="E1300" s="25">
        <f>AVERAGE(B1297:B1300)</f>
        <v/>
      </c>
      <c r="F1300" s="33">
        <f>(Table2634[[#This Row],[4 weeks average]]-B1248)/B1248</f>
        <v/>
      </c>
    </row>
    <row r="1301">
      <c r="A1301" s="23" t="n">
        <v>36465</v>
      </c>
      <c r="B1301" s="25">
        <f>VLOOKUP(Table2634[[#This Row],[Date]],'DB Money Supply'!$A:$D,4)</f>
        <v/>
      </c>
      <c r="C1301" s="31">
        <f>(Table2634[[#This Row],[M1 Money Stock, Billions of Dollars, Weekly, Seasonally Adjusted]]-B1300)/B1300</f>
        <v/>
      </c>
      <c r="D1301" s="35">
        <f>((1+Table2634[[#This Row],[Weekly change]])^52)-1</f>
        <v/>
      </c>
      <c r="E1301" s="25">
        <f>AVERAGE(B1298:B1301)</f>
        <v/>
      </c>
      <c r="F1301" s="33">
        <f>(Table2634[[#This Row],[4 weeks average]]-B1249)/B1249</f>
        <v/>
      </c>
    </row>
    <row r="1302">
      <c r="A1302" s="23" t="n">
        <v>36472</v>
      </c>
      <c r="B1302" s="25">
        <f>VLOOKUP(Table2634[[#This Row],[Date]],'DB Money Supply'!$A:$D,4)</f>
        <v/>
      </c>
      <c r="C1302" s="31">
        <f>(Table2634[[#This Row],[M1 Money Stock, Billions of Dollars, Weekly, Seasonally Adjusted]]-B1301)/B1301</f>
        <v/>
      </c>
      <c r="D1302" s="35">
        <f>((1+Table2634[[#This Row],[Weekly change]])^52)-1</f>
        <v/>
      </c>
      <c r="E1302" s="25">
        <f>AVERAGE(B1299:B1302)</f>
        <v/>
      </c>
      <c r="F1302" s="33">
        <f>(Table2634[[#This Row],[4 weeks average]]-B1250)/B1250</f>
        <v/>
      </c>
    </row>
    <row r="1303">
      <c r="A1303" s="23" t="n">
        <v>36479</v>
      </c>
      <c r="B1303" s="25">
        <f>VLOOKUP(Table2634[[#This Row],[Date]],'DB Money Supply'!$A:$D,4)</f>
        <v/>
      </c>
      <c r="C1303" s="31">
        <f>(Table2634[[#This Row],[M1 Money Stock, Billions of Dollars, Weekly, Seasonally Adjusted]]-B1302)/B1302</f>
        <v/>
      </c>
      <c r="D1303" s="35">
        <f>((1+Table2634[[#This Row],[Weekly change]])^52)-1</f>
        <v/>
      </c>
      <c r="E1303" s="25">
        <f>AVERAGE(B1300:B1303)</f>
        <v/>
      </c>
      <c r="F1303" s="33">
        <f>(Table2634[[#This Row],[4 weeks average]]-B1251)/B1251</f>
        <v/>
      </c>
    </row>
    <row r="1304">
      <c r="A1304" s="23" t="n">
        <v>36486</v>
      </c>
      <c r="B1304" s="25">
        <f>VLOOKUP(Table2634[[#This Row],[Date]],'DB Money Supply'!$A:$D,4)</f>
        <v/>
      </c>
      <c r="C1304" s="31">
        <f>(Table2634[[#This Row],[M1 Money Stock, Billions of Dollars, Weekly, Seasonally Adjusted]]-B1303)/B1303</f>
        <v/>
      </c>
      <c r="D1304" s="35">
        <f>((1+Table2634[[#This Row],[Weekly change]])^52)-1</f>
        <v/>
      </c>
      <c r="E1304" s="25">
        <f>AVERAGE(B1301:B1304)</f>
        <v/>
      </c>
      <c r="F1304" s="33">
        <f>(Table2634[[#This Row],[4 weeks average]]-B1252)/B1252</f>
        <v/>
      </c>
    </row>
    <row r="1305">
      <c r="A1305" s="23" t="n">
        <v>36493</v>
      </c>
      <c r="B1305" s="25">
        <f>VLOOKUP(Table2634[[#This Row],[Date]],'DB Money Supply'!$A:$D,4)</f>
        <v/>
      </c>
      <c r="C1305" s="31">
        <f>(Table2634[[#This Row],[M1 Money Stock, Billions of Dollars, Weekly, Seasonally Adjusted]]-B1304)/B1304</f>
        <v/>
      </c>
      <c r="D1305" s="35">
        <f>((1+Table2634[[#This Row],[Weekly change]])^52)-1</f>
        <v/>
      </c>
      <c r="E1305" s="25">
        <f>AVERAGE(B1302:B1305)</f>
        <v/>
      </c>
      <c r="F1305" s="33">
        <f>(Table2634[[#This Row],[4 weeks average]]-B1253)/B1253</f>
        <v/>
      </c>
    </row>
    <row r="1306">
      <c r="A1306" s="23" t="n">
        <v>36500</v>
      </c>
      <c r="B1306" s="25">
        <f>VLOOKUP(Table2634[[#This Row],[Date]],'DB Money Supply'!$A:$D,4)</f>
        <v/>
      </c>
      <c r="C1306" s="31">
        <f>(Table2634[[#This Row],[M1 Money Stock, Billions of Dollars, Weekly, Seasonally Adjusted]]-B1305)/B1305</f>
        <v/>
      </c>
      <c r="D1306" s="35">
        <f>((1+Table2634[[#This Row],[Weekly change]])^52)-1</f>
        <v/>
      </c>
      <c r="E1306" s="25">
        <f>AVERAGE(B1303:B1306)</f>
        <v/>
      </c>
      <c r="F1306" s="33">
        <f>(Table2634[[#This Row],[4 weeks average]]-B1254)/B1254</f>
        <v/>
      </c>
    </row>
    <row r="1307">
      <c r="A1307" s="23" t="n">
        <v>36507</v>
      </c>
      <c r="B1307" s="25">
        <f>VLOOKUP(Table2634[[#This Row],[Date]],'DB Money Supply'!$A:$D,4)</f>
        <v/>
      </c>
      <c r="C1307" s="31">
        <f>(Table2634[[#This Row],[M1 Money Stock, Billions of Dollars, Weekly, Seasonally Adjusted]]-B1306)/B1306</f>
        <v/>
      </c>
      <c r="D1307" s="35">
        <f>((1+Table2634[[#This Row],[Weekly change]])^52)-1</f>
        <v/>
      </c>
      <c r="E1307" s="25">
        <f>AVERAGE(B1304:B1307)</f>
        <v/>
      </c>
      <c r="F1307" s="33">
        <f>(Table2634[[#This Row],[4 weeks average]]-B1255)/B1255</f>
        <v/>
      </c>
    </row>
    <row r="1308">
      <c r="A1308" s="23" t="n">
        <v>36514</v>
      </c>
      <c r="B1308" s="25">
        <f>VLOOKUP(Table2634[[#This Row],[Date]],'DB Money Supply'!$A:$D,4)</f>
        <v/>
      </c>
      <c r="C1308" s="31">
        <f>(Table2634[[#This Row],[M1 Money Stock, Billions of Dollars, Weekly, Seasonally Adjusted]]-B1307)/B1307</f>
        <v/>
      </c>
      <c r="D1308" s="35">
        <f>((1+Table2634[[#This Row],[Weekly change]])^52)-1</f>
        <v/>
      </c>
      <c r="E1308" s="25">
        <f>AVERAGE(B1305:B1308)</f>
        <v/>
      </c>
      <c r="F1308" s="33">
        <f>(Table2634[[#This Row],[4 weeks average]]-B1256)/B1256</f>
        <v/>
      </c>
    </row>
    <row r="1309">
      <c r="A1309" s="23" t="n">
        <v>36521</v>
      </c>
      <c r="B1309" s="25">
        <f>VLOOKUP(Table2634[[#This Row],[Date]],'DB Money Supply'!$A:$D,4)</f>
        <v/>
      </c>
      <c r="C1309" s="31">
        <f>(Table2634[[#This Row],[M1 Money Stock, Billions of Dollars, Weekly, Seasonally Adjusted]]-B1308)/B1308</f>
        <v/>
      </c>
      <c r="D1309" s="35">
        <f>((1+Table2634[[#This Row],[Weekly change]])^52)-1</f>
        <v/>
      </c>
      <c r="E1309" s="25">
        <f>AVERAGE(B1306:B1309)</f>
        <v/>
      </c>
      <c r="F1309" s="33">
        <f>(Table2634[[#This Row],[4 weeks average]]-B1257)/B1257</f>
        <v/>
      </c>
    </row>
    <row r="1310">
      <c r="A1310" s="23" t="n">
        <v>36528</v>
      </c>
      <c r="B1310" s="25">
        <f>VLOOKUP(Table2634[[#This Row],[Date]],'DB Money Supply'!$A:$D,4)</f>
        <v/>
      </c>
      <c r="C1310" s="31">
        <f>(Table2634[[#This Row],[M1 Money Stock, Billions of Dollars, Weekly, Seasonally Adjusted]]-B1309)/B1309</f>
        <v/>
      </c>
      <c r="D1310" s="35">
        <f>((1+Table2634[[#This Row],[Weekly change]])^52)-1</f>
        <v/>
      </c>
      <c r="E1310" s="25">
        <f>AVERAGE(B1307:B1310)</f>
        <v/>
      </c>
      <c r="F1310" s="33">
        <f>(Table2634[[#This Row],[4 weeks average]]-B1258)/B1258</f>
        <v/>
      </c>
    </row>
    <row r="1311">
      <c r="A1311" s="23" t="n">
        <v>36535</v>
      </c>
      <c r="B1311" s="25">
        <f>VLOOKUP(Table2634[[#This Row],[Date]],'DB Money Supply'!$A:$D,4)</f>
        <v/>
      </c>
      <c r="C1311" s="31">
        <f>(Table2634[[#This Row],[M1 Money Stock, Billions of Dollars, Weekly, Seasonally Adjusted]]-B1310)/B1310</f>
        <v/>
      </c>
      <c r="D1311" s="35">
        <f>((1+Table2634[[#This Row],[Weekly change]])^52)-1</f>
        <v/>
      </c>
      <c r="E1311" s="25">
        <f>AVERAGE(B1308:B1311)</f>
        <v/>
      </c>
      <c r="F1311" s="33">
        <f>(Table2634[[#This Row],[4 weeks average]]-B1259)/B1259</f>
        <v/>
      </c>
    </row>
    <row r="1312">
      <c r="A1312" s="23" t="n">
        <v>36542</v>
      </c>
      <c r="B1312" s="25">
        <f>VLOOKUP(Table2634[[#This Row],[Date]],'DB Money Supply'!$A:$D,4)</f>
        <v/>
      </c>
      <c r="C1312" s="31">
        <f>(Table2634[[#This Row],[M1 Money Stock, Billions of Dollars, Weekly, Seasonally Adjusted]]-B1311)/B1311</f>
        <v/>
      </c>
      <c r="D1312" s="35">
        <f>((1+Table2634[[#This Row],[Weekly change]])^52)-1</f>
        <v/>
      </c>
      <c r="E1312" s="25">
        <f>AVERAGE(B1309:B1312)</f>
        <v/>
      </c>
      <c r="F1312" s="33">
        <f>(Table2634[[#This Row],[4 weeks average]]-B1260)/B1260</f>
        <v/>
      </c>
    </row>
    <row r="1313">
      <c r="A1313" s="23" t="n">
        <v>36549</v>
      </c>
      <c r="B1313" s="25">
        <f>VLOOKUP(Table2634[[#This Row],[Date]],'DB Money Supply'!$A:$D,4)</f>
        <v/>
      </c>
      <c r="C1313" s="31">
        <f>(Table2634[[#This Row],[M1 Money Stock, Billions of Dollars, Weekly, Seasonally Adjusted]]-B1312)/B1312</f>
        <v/>
      </c>
      <c r="D1313" s="35">
        <f>((1+Table2634[[#This Row],[Weekly change]])^52)-1</f>
        <v/>
      </c>
      <c r="E1313" s="25">
        <f>AVERAGE(B1310:B1313)</f>
        <v/>
      </c>
      <c r="F1313" s="33">
        <f>(Table2634[[#This Row],[4 weeks average]]-B1261)/B1261</f>
        <v/>
      </c>
    </row>
    <row r="1314">
      <c r="A1314" s="23" t="n">
        <v>36556</v>
      </c>
      <c r="B1314" s="25">
        <f>VLOOKUP(Table2634[[#This Row],[Date]],'DB Money Supply'!$A:$D,4)</f>
        <v/>
      </c>
      <c r="C1314" s="31">
        <f>(Table2634[[#This Row],[M1 Money Stock, Billions of Dollars, Weekly, Seasonally Adjusted]]-B1313)/B1313</f>
        <v/>
      </c>
      <c r="D1314" s="35">
        <f>((1+Table2634[[#This Row],[Weekly change]])^52)-1</f>
        <v/>
      </c>
      <c r="E1314" s="25">
        <f>AVERAGE(B1311:B1314)</f>
        <v/>
      </c>
      <c r="F1314" s="33">
        <f>(Table2634[[#This Row],[4 weeks average]]-B1262)/B1262</f>
        <v/>
      </c>
    </row>
    <row r="1315">
      <c r="A1315" s="23" t="n">
        <v>36563</v>
      </c>
      <c r="B1315" s="25">
        <f>VLOOKUP(Table2634[[#This Row],[Date]],'DB Money Supply'!$A:$D,4)</f>
        <v/>
      </c>
      <c r="C1315" s="31">
        <f>(Table2634[[#This Row],[M1 Money Stock, Billions of Dollars, Weekly, Seasonally Adjusted]]-B1314)/B1314</f>
        <v/>
      </c>
      <c r="D1315" s="35">
        <f>((1+Table2634[[#This Row],[Weekly change]])^52)-1</f>
        <v/>
      </c>
      <c r="E1315" s="25">
        <f>AVERAGE(B1312:B1315)</f>
        <v/>
      </c>
      <c r="F1315" s="33">
        <f>(Table2634[[#This Row],[4 weeks average]]-B1263)/B1263</f>
        <v/>
      </c>
    </row>
    <row r="1316">
      <c r="A1316" s="23" t="n">
        <v>36570</v>
      </c>
      <c r="B1316" s="25">
        <f>VLOOKUP(Table2634[[#This Row],[Date]],'DB Money Supply'!$A:$D,4)</f>
        <v/>
      </c>
      <c r="C1316" s="31">
        <f>(Table2634[[#This Row],[M1 Money Stock, Billions of Dollars, Weekly, Seasonally Adjusted]]-B1315)/B1315</f>
        <v/>
      </c>
      <c r="D1316" s="35">
        <f>((1+Table2634[[#This Row],[Weekly change]])^52)-1</f>
        <v/>
      </c>
      <c r="E1316" s="25">
        <f>AVERAGE(B1313:B1316)</f>
        <v/>
      </c>
      <c r="F1316" s="33">
        <f>(Table2634[[#This Row],[4 weeks average]]-B1264)/B1264</f>
        <v/>
      </c>
    </row>
    <row r="1317">
      <c r="A1317" s="23" t="n">
        <v>36577</v>
      </c>
      <c r="B1317" s="25">
        <f>VLOOKUP(Table2634[[#This Row],[Date]],'DB Money Supply'!$A:$D,4)</f>
        <v/>
      </c>
      <c r="C1317" s="31">
        <f>(Table2634[[#This Row],[M1 Money Stock, Billions of Dollars, Weekly, Seasonally Adjusted]]-B1316)/B1316</f>
        <v/>
      </c>
      <c r="D1317" s="35">
        <f>((1+Table2634[[#This Row],[Weekly change]])^52)-1</f>
        <v/>
      </c>
      <c r="E1317" s="25">
        <f>AVERAGE(B1314:B1317)</f>
        <v/>
      </c>
      <c r="F1317" s="33">
        <f>(Table2634[[#This Row],[4 weeks average]]-B1265)/B1265</f>
        <v/>
      </c>
    </row>
    <row r="1318">
      <c r="A1318" s="23" t="n">
        <v>36584</v>
      </c>
      <c r="B1318" s="25">
        <f>VLOOKUP(Table2634[[#This Row],[Date]],'DB Money Supply'!$A:$D,4)</f>
        <v/>
      </c>
      <c r="C1318" s="31">
        <f>(Table2634[[#This Row],[M1 Money Stock, Billions of Dollars, Weekly, Seasonally Adjusted]]-B1317)/B1317</f>
        <v/>
      </c>
      <c r="D1318" s="35">
        <f>((1+Table2634[[#This Row],[Weekly change]])^52)-1</f>
        <v/>
      </c>
      <c r="E1318" s="25">
        <f>AVERAGE(B1315:B1318)</f>
        <v/>
      </c>
      <c r="F1318" s="33">
        <f>(Table2634[[#This Row],[4 weeks average]]-B1266)/B1266</f>
        <v/>
      </c>
    </row>
    <row r="1319">
      <c r="A1319" s="23" t="n">
        <v>36591</v>
      </c>
      <c r="B1319" s="25">
        <f>VLOOKUP(Table2634[[#This Row],[Date]],'DB Money Supply'!$A:$D,4)</f>
        <v/>
      </c>
      <c r="C1319" s="31">
        <f>(Table2634[[#This Row],[M1 Money Stock, Billions of Dollars, Weekly, Seasonally Adjusted]]-B1318)/B1318</f>
        <v/>
      </c>
      <c r="D1319" s="35">
        <f>((1+Table2634[[#This Row],[Weekly change]])^52)-1</f>
        <v/>
      </c>
      <c r="E1319" s="25">
        <f>AVERAGE(B1316:B1319)</f>
        <v/>
      </c>
      <c r="F1319" s="33">
        <f>(Table2634[[#This Row],[4 weeks average]]-B1267)/B1267</f>
        <v/>
      </c>
    </row>
    <row r="1320">
      <c r="A1320" s="23" t="n">
        <v>36598</v>
      </c>
      <c r="B1320" s="25">
        <f>VLOOKUP(Table2634[[#This Row],[Date]],'DB Money Supply'!$A:$D,4)</f>
        <v/>
      </c>
      <c r="C1320" s="31">
        <f>(Table2634[[#This Row],[M1 Money Stock, Billions of Dollars, Weekly, Seasonally Adjusted]]-B1319)/B1319</f>
        <v/>
      </c>
      <c r="D1320" s="35">
        <f>((1+Table2634[[#This Row],[Weekly change]])^52)-1</f>
        <v/>
      </c>
      <c r="E1320" s="25">
        <f>AVERAGE(B1317:B1320)</f>
        <v/>
      </c>
      <c r="F1320" s="33">
        <f>(Table2634[[#This Row],[4 weeks average]]-B1268)/B1268</f>
        <v/>
      </c>
    </row>
    <row r="1321">
      <c r="A1321" s="23" t="n">
        <v>36605</v>
      </c>
      <c r="B1321" s="25">
        <f>VLOOKUP(Table2634[[#This Row],[Date]],'DB Money Supply'!$A:$D,4)</f>
        <v/>
      </c>
      <c r="C1321" s="31">
        <f>(Table2634[[#This Row],[M1 Money Stock, Billions of Dollars, Weekly, Seasonally Adjusted]]-B1320)/B1320</f>
        <v/>
      </c>
      <c r="D1321" s="35">
        <f>((1+Table2634[[#This Row],[Weekly change]])^52)-1</f>
        <v/>
      </c>
      <c r="E1321" s="25">
        <f>AVERAGE(B1318:B1321)</f>
        <v/>
      </c>
      <c r="F1321" s="33">
        <f>(Table2634[[#This Row],[4 weeks average]]-B1269)/B1269</f>
        <v/>
      </c>
    </row>
    <row r="1322">
      <c r="A1322" s="23" t="n">
        <v>36612</v>
      </c>
      <c r="B1322" s="25">
        <f>VLOOKUP(Table2634[[#This Row],[Date]],'DB Money Supply'!$A:$D,4)</f>
        <v/>
      </c>
      <c r="C1322" s="31">
        <f>(Table2634[[#This Row],[M1 Money Stock, Billions of Dollars, Weekly, Seasonally Adjusted]]-B1321)/B1321</f>
        <v/>
      </c>
      <c r="D1322" s="35">
        <f>((1+Table2634[[#This Row],[Weekly change]])^52)-1</f>
        <v/>
      </c>
      <c r="E1322" s="25">
        <f>AVERAGE(B1319:B1322)</f>
        <v/>
      </c>
      <c r="F1322" s="33">
        <f>(Table2634[[#This Row],[4 weeks average]]-B1270)/B1270</f>
        <v/>
      </c>
    </row>
    <row r="1323">
      <c r="A1323" s="23" t="n">
        <v>36619</v>
      </c>
      <c r="B1323" s="25">
        <f>VLOOKUP(Table2634[[#This Row],[Date]],'DB Money Supply'!$A:$D,4)</f>
        <v/>
      </c>
      <c r="C1323" s="31">
        <f>(Table2634[[#This Row],[M1 Money Stock, Billions of Dollars, Weekly, Seasonally Adjusted]]-B1322)/B1322</f>
        <v/>
      </c>
      <c r="D1323" s="35">
        <f>((1+Table2634[[#This Row],[Weekly change]])^52)-1</f>
        <v/>
      </c>
      <c r="E1323" s="25">
        <f>AVERAGE(B1320:B1323)</f>
        <v/>
      </c>
      <c r="F1323" s="33">
        <f>(Table2634[[#This Row],[4 weeks average]]-B1271)/B1271</f>
        <v/>
      </c>
    </row>
    <row r="1324">
      <c r="A1324" s="23" t="n">
        <v>36626</v>
      </c>
      <c r="B1324" s="25">
        <f>VLOOKUP(Table2634[[#This Row],[Date]],'DB Money Supply'!$A:$D,4)</f>
        <v/>
      </c>
      <c r="C1324" s="31">
        <f>(Table2634[[#This Row],[M1 Money Stock, Billions of Dollars, Weekly, Seasonally Adjusted]]-B1323)/B1323</f>
        <v/>
      </c>
      <c r="D1324" s="35">
        <f>((1+Table2634[[#This Row],[Weekly change]])^52)-1</f>
        <v/>
      </c>
      <c r="E1324" s="25">
        <f>AVERAGE(B1321:B1324)</f>
        <v/>
      </c>
      <c r="F1324" s="33">
        <f>(Table2634[[#This Row],[4 weeks average]]-B1272)/B1272</f>
        <v/>
      </c>
    </row>
    <row r="1325">
      <c r="A1325" s="23" t="n">
        <v>36633</v>
      </c>
      <c r="B1325" s="25">
        <f>VLOOKUP(Table2634[[#This Row],[Date]],'DB Money Supply'!$A:$D,4)</f>
        <v/>
      </c>
      <c r="C1325" s="31">
        <f>(Table2634[[#This Row],[M1 Money Stock, Billions of Dollars, Weekly, Seasonally Adjusted]]-B1324)/B1324</f>
        <v/>
      </c>
      <c r="D1325" s="35">
        <f>((1+Table2634[[#This Row],[Weekly change]])^52)-1</f>
        <v/>
      </c>
      <c r="E1325" s="25">
        <f>AVERAGE(B1322:B1325)</f>
        <v/>
      </c>
      <c r="F1325" s="33">
        <f>(Table2634[[#This Row],[4 weeks average]]-B1273)/B1273</f>
        <v/>
      </c>
    </row>
    <row r="1326">
      <c r="A1326" s="23" t="n">
        <v>36640</v>
      </c>
      <c r="B1326" s="25">
        <f>VLOOKUP(Table2634[[#This Row],[Date]],'DB Money Supply'!$A:$D,4)</f>
        <v/>
      </c>
      <c r="C1326" s="31">
        <f>(Table2634[[#This Row],[M1 Money Stock, Billions of Dollars, Weekly, Seasonally Adjusted]]-B1325)/B1325</f>
        <v/>
      </c>
      <c r="D1326" s="35">
        <f>((1+Table2634[[#This Row],[Weekly change]])^52)-1</f>
        <v/>
      </c>
      <c r="E1326" s="25">
        <f>AVERAGE(B1323:B1326)</f>
        <v/>
      </c>
      <c r="F1326" s="33">
        <f>(Table2634[[#This Row],[4 weeks average]]-B1274)/B1274</f>
        <v/>
      </c>
    </row>
    <row r="1327">
      <c r="A1327" s="23" t="n">
        <v>36647</v>
      </c>
      <c r="B1327" s="25">
        <f>VLOOKUP(Table2634[[#This Row],[Date]],'DB Money Supply'!$A:$D,4)</f>
        <v/>
      </c>
      <c r="C1327" s="31">
        <f>(Table2634[[#This Row],[M1 Money Stock, Billions of Dollars, Weekly, Seasonally Adjusted]]-B1326)/B1326</f>
        <v/>
      </c>
      <c r="D1327" s="35">
        <f>((1+Table2634[[#This Row],[Weekly change]])^52)-1</f>
        <v/>
      </c>
      <c r="E1327" s="25">
        <f>AVERAGE(B1324:B1327)</f>
        <v/>
      </c>
      <c r="F1327" s="33">
        <f>(Table2634[[#This Row],[4 weeks average]]-B1275)/B1275</f>
        <v/>
      </c>
    </row>
    <row r="1328">
      <c r="A1328" s="23" t="n">
        <v>36654</v>
      </c>
      <c r="B1328" s="25">
        <f>VLOOKUP(Table2634[[#This Row],[Date]],'DB Money Supply'!$A:$D,4)</f>
        <v/>
      </c>
      <c r="C1328" s="31">
        <f>(Table2634[[#This Row],[M1 Money Stock, Billions of Dollars, Weekly, Seasonally Adjusted]]-B1327)/B1327</f>
        <v/>
      </c>
      <c r="D1328" s="35">
        <f>((1+Table2634[[#This Row],[Weekly change]])^52)-1</f>
        <v/>
      </c>
      <c r="E1328" s="25">
        <f>AVERAGE(B1325:B1328)</f>
        <v/>
      </c>
      <c r="F1328" s="33">
        <f>(Table2634[[#This Row],[4 weeks average]]-B1276)/B1276</f>
        <v/>
      </c>
    </row>
    <row r="1329">
      <c r="A1329" s="23" t="n">
        <v>36661</v>
      </c>
      <c r="B1329" s="25">
        <f>VLOOKUP(Table2634[[#This Row],[Date]],'DB Money Supply'!$A:$D,4)</f>
        <v/>
      </c>
      <c r="C1329" s="31">
        <f>(Table2634[[#This Row],[M1 Money Stock, Billions of Dollars, Weekly, Seasonally Adjusted]]-B1328)/B1328</f>
        <v/>
      </c>
      <c r="D1329" s="35">
        <f>((1+Table2634[[#This Row],[Weekly change]])^52)-1</f>
        <v/>
      </c>
      <c r="E1329" s="25">
        <f>AVERAGE(B1326:B1329)</f>
        <v/>
      </c>
      <c r="F1329" s="33">
        <f>(Table2634[[#This Row],[4 weeks average]]-B1277)/B1277</f>
        <v/>
      </c>
    </row>
    <row r="1330">
      <c r="A1330" s="23" t="n">
        <v>36668</v>
      </c>
      <c r="B1330" s="25">
        <f>VLOOKUP(Table2634[[#This Row],[Date]],'DB Money Supply'!$A:$D,4)</f>
        <v/>
      </c>
      <c r="C1330" s="31">
        <f>(Table2634[[#This Row],[M1 Money Stock, Billions of Dollars, Weekly, Seasonally Adjusted]]-B1329)/B1329</f>
        <v/>
      </c>
      <c r="D1330" s="35">
        <f>((1+Table2634[[#This Row],[Weekly change]])^52)-1</f>
        <v/>
      </c>
      <c r="E1330" s="25">
        <f>AVERAGE(B1327:B1330)</f>
        <v/>
      </c>
      <c r="F1330" s="33">
        <f>(Table2634[[#This Row],[4 weeks average]]-B1278)/B1278</f>
        <v/>
      </c>
    </row>
    <row r="1331">
      <c r="A1331" s="23" t="n">
        <v>36675</v>
      </c>
      <c r="B1331" s="25">
        <f>VLOOKUP(Table2634[[#This Row],[Date]],'DB Money Supply'!$A:$D,4)</f>
        <v/>
      </c>
      <c r="C1331" s="31">
        <f>(Table2634[[#This Row],[M1 Money Stock, Billions of Dollars, Weekly, Seasonally Adjusted]]-B1330)/B1330</f>
        <v/>
      </c>
      <c r="D1331" s="35">
        <f>((1+Table2634[[#This Row],[Weekly change]])^52)-1</f>
        <v/>
      </c>
      <c r="E1331" s="25">
        <f>AVERAGE(B1328:B1331)</f>
        <v/>
      </c>
      <c r="F1331" s="33">
        <f>(Table2634[[#This Row],[4 weeks average]]-B1279)/B1279</f>
        <v/>
      </c>
    </row>
    <row r="1332">
      <c r="A1332" s="23" t="n">
        <v>36682</v>
      </c>
      <c r="B1332" s="25">
        <f>VLOOKUP(Table2634[[#This Row],[Date]],'DB Money Supply'!$A:$D,4)</f>
        <v/>
      </c>
      <c r="C1332" s="31">
        <f>(Table2634[[#This Row],[M1 Money Stock, Billions of Dollars, Weekly, Seasonally Adjusted]]-B1331)/B1331</f>
        <v/>
      </c>
      <c r="D1332" s="35">
        <f>((1+Table2634[[#This Row],[Weekly change]])^52)-1</f>
        <v/>
      </c>
      <c r="E1332" s="25">
        <f>AVERAGE(B1329:B1332)</f>
        <v/>
      </c>
      <c r="F1332" s="33">
        <f>(Table2634[[#This Row],[4 weeks average]]-B1280)/B1280</f>
        <v/>
      </c>
    </row>
    <row r="1333">
      <c r="A1333" s="23" t="n">
        <v>36689</v>
      </c>
      <c r="B1333" s="25">
        <f>VLOOKUP(Table2634[[#This Row],[Date]],'DB Money Supply'!$A:$D,4)</f>
        <v/>
      </c>
      <c r="C1333" s="31">
        <f>(Table2634[[#This Row],[M1 Money Stock, Billions of Dollars, Weekly, Seasonally Adjusted]]-B1332)/B1332</f>
        <v/>
      </c>
      <c r="D1333" s="35">
        <f>((1+Table2634[[#This Row],[Weekly change]])^52)-1</f>
        <v/>
      </c>
      <c r="E1333" s="25">
        <f>AVERAGE(B1330:B1333)</f>
        <v/>
      </c>
      <c r="F1333" s="33">
        <f>(Table2634[[#This Row],[4 weeks average]]-B1281)/B1281</f>
        <v/>
      </c>
    </row>
    <row r="1334">
      <c r="A1334" s="23" t="n">
        <v>36696</v>
      </c>
      <c r="B1334" s="25">
        <f>VLOOKUP(Table2634[[#This Row],[Date]],'DB Money Supply'!$A:$D,4)</f>
        <v/>
      </c>
      <c r="C1334" s="31">
        <f>(Table2634[[#This Row],[M1 Money Stock, Billions of Dollars, Weekly, Seasonally Adjusted]]-B1333)/B1333</f>
        <v/>
      </c>
      <c r="D1334" s="35">
        <f>((1+Table2634[[#This Row],[Weekly change]])^52)-1</f>
        <v/>
      </c>
      <c r="E1334" s="25">
        <f>AVERAGE(B1331:B1334)</f>
        <v/>
      </c>
      <c r="F1334" s="33">
        <f>(Table2634[[#This Row],[4 weeks average]]-B1282)/B1282</f>
        <v/>
      </c>
    </row>
    <row r="1335">
      <c r="A1335" s="23" t="n">
        <v>36703</v>
      </c>
      <c r="B1335" s="25">
        <f>VLOOKUP(Table2634[[#This Row],[Date]],'DB Money Supply'!$A:$D,4)</f>
        <v/>
      </c>
      <c r="C1335" s="31">
        <f>(Table2634[[#This Row],[M1 Money Stock, Billions of Dollars, Weekly, Seasonally Adjusted]]-B1334)/B1334</f>
        <v/>
      </c>
      <c r="D1335" s="35">
        <f>((1+Table2634[[#This Row],[Weekly change]])^52)-1</f>
        <v/>
      </c>
      <c r="E1335" s="25">
        <f>AVERAGE(B1332:B1335)</f>
        <v/>
      </c>
      <c r="F1335" s="33">
        <f>(Table2634[[#This Row],[4 weeks average]]-B1283)/B1283</f>
        <v/>
      </c>
    </row>
    <row r="1336">
      <c r="A1336" s="23" t="n">
        <v>36710</v>
      </c>
      <c r="B1336" s="25">
        <f>VLOOKUP(Table2634[[#This Row],[Date]],'DB Money Supply'!$A:$D,4)</f>
        <v/>
      </c>
      <c r="C1336" s="31">
        <f>(Table2634[[#This Row],[M1 Money Stock, Billions of Dollars, Weekly, Seasonally Adjusted]]-B1335)/B1335</f>
        <v/>
      </c>
      <c r="D1336" s="35">
        <f>((1+Table2634[[#This Row],[Weekly change]])^52)-1</f>
        <v/>
      </c>
      <c r="E1336" s="25">
        <f>AVERAGE(B1333:B1336)</f>
        <v/>
      </c>
      <c r="F1336" s="33">
        <f>(Table2634[[#This Row],[4 weeks average]]-B1284)/B1284</f>
        <v/>
      </c>
    </row>
    <row r="1337">
      <c r="A1337" s="23" t="n">
        <v>36717</v>
      </c>
      <c r="B1337" s="25">
        <f>VLOOKUP(Table2634[[#This Row],[Date]],'DB Money Supply'!$A:$D,4)</f>
        <v/>
      </c>
      <c r="C1337" s="31">
        <f>(Table2634[[#This Row],[M1 Money Stock, Billions of Dollars, Weekly, Seasonally Adjusted]]-B1336)/B1336</f>
        <v/>
      </c>
      <c r="D1337" s="35">
        <f>((1+Table2634[[#This Row],[Weekly change]])^52)-1</f>
        <v/>
      </c>
      <c r="E1337" s="25">
        <f>AVERAGE(B1334:B1337)</f>
        <v/>
      </c>
      <c r="F1337" s="33">
        <f>(Table2634[[#This Row],[4 weeks average]]-B1285)/B1285</f>
        <v/>
      </c>
    </row>
    <row r="1338">
      <c r="A1338" s="23" t="n">
        <v>36724</v>
      </c>
      <c r="B1338" s="25">
        <f>VLOOKUP(Table2634[[#This Row],[Date]],'DB Money Supply'!$A:$D,4)</f>
        <v/>
      </c>
      <c r="C1338" s="31">
        <f>(Table2634[[#This Row],[M1 Money Stock, Billions of Dollars, Weekly, Seasonally Adjusted]]-B1337)/B1337</f>
        <v/>
      </c>
      <c r="D1338" s="35">
        <f>((1+Table2634[[#This Row],[Weekly change]])^52)-1</f>
        <v/>
      </c>
      <c r="E1338" s="25">
        <f>AVERAGE(B1335:B1338)</f>
        <v/>
      </c>
      <c r="F1338" s="33">
        <f>(Table2634[[#This Row],[4 weeks average]]-B1286)/B1286</f>
        <v/>
      </c>
    </row>
    <row r="1339">
      <c r="A1339" s="23" t="n">
        <v>36731</v>
      </c>
      <c r="B1339" s="25">
        <f>VLOOKUP(Table2634[[#This Row],[Date]],'DB Money Supply'!$A:$D,4)</f>
        <v/>
      </c>
      <c r="C1339" s="31">
        <f>(Table2634[[#This Row],[M1 Money Stock, Billions of Dollars, Weekly, Seasonally Adjusted]]-B1338)/B1338</f>
        <v/>
      </c>
      <c r="D1339" s="35">
        <f>((1+Table2634[[#This Row],[Weekly change]])^52)-1</f>
        <v/>
      </c>
      <c r="E1339" s="25">
        <f>AVERAGE(B1336:B1339)</f>
        <v/>
      </c>
      <c r="F1339" s="33">
        <f>(Table2634[[#This Row],[4 weeks average]]-B1287)/B1287</f>
        <v/>
      </c>
    </row>
    <row r="1340">
      <c r="A1340" s="23" t="n">
        <v>36738</v>
      </c>
      <c r="B1340" s="25">
        <f>VLOOKUP(Table2634[[#This Row],[Date]],'DB Money Supply'!$A:$D,4)</f>
        <v/>
      </c>
      <c r="C1340" s="31">
        <f>(Table2634[[#This Row],[M1 Money Stock, Billions of Dollars, Weekly, Seasonally Adjusted]]-B1339)/B1339</f>
        <v/>
      </c>
      <c r="D1340" s="35">
        <f>((1+Table2634[[#This Row],[Weekly change]])^52)-1</f>
        <v/>
      </c>
      <c r="E1340" s="25">
        <f>AVERAGE(B1337:B1340)</f>
        <v/>
      </c>
      <c r="F1340" s="33">
        <f>(Table2634[[#This Row],[4 weeks average]]-B1288)/B1288</f>
        <v/>
      </c>
    </row>
    <row r="1341">
      <c r="A1341" s="23" t="n">
        <v>36745</v>
      </c>
      <c r="B1341" s="25">
        <f>VLOOKUP(Table2634[[#This Row],[Date]],'DB Money Supply'!$A:$D,4)</f>
        <v/>
      </c>
      <c r="C1341" s="31">
        <f>(Table2634[[#This Row],[M1 Money Stock, Billions of Dollars, Weekly, Seasonally Adjusted]]-B1340)/B1340</f>
        <v/>
      </c>
      <c r="D1341" s="35">
        <f>((1+Table2634[[#This Row],[Weekly change]])^52)-1</f>
        <v/>
      </c>
      <c r="E1341" s="25">
        <f>AVERAGE(B1338:B1341)</f>
        <v/>
      </c>
      <c r="F1341" s="33">
        <f>(Table2634[[#This Row],[4 weeks average]]-B1289)/B1289</f>
        <v/>
      </c>
    </row>
    <row r="1342">
      <c r="A1342" s="23" t="n">
        <v>36752</v>
      </c>
      <c r="B1342" s="25">
        <f>VLOOKUP(Table2634[[#This Row],[Date]],'DB Money Supply'!$A:$D,4)</f>
        <v/>
      </c>
      <c r="C1342" s="31">
        <f>(Table2634[[#This Row],[M1 Money Stock, Billions of Dollars, Weekly, Seasonally Adjusted]]-B1341)/B1341</f>
        <v/>
      </c>
      <c r="D1342" s="35">
        <f>((1+Table2634[[#This Row],[Weekly change]])^52)-1</f>
        <v/>
      </c>
      <c r="E1342" s="25">
        <f>AVERAGE(B1339:B1342)</f>
        <v/>
      </c>
      <c r="F1342" s="33">
        <f>(Table2634[[#This Row],[4 weeks average]]-B1290)/B1290</f>
        <v/>
      </c>
    </row>
    <row r="1343">
      <c r="A1343" s="23" t="n">
        <v>36759</v>
      </c>
      <c r="B1343" s="25">
        <f>VLOOKUP(Table2634[[#This Row],[Date]],'DB Money Supply'!$A:$D,4)</f>
        <v/>
      </c>
      <c r="C1343" s="31">
        <f>(Table2634[[#This Row],[M1 Money Stock, Billions of Dollars, Weekly, Seasonally Adjusted]]-B1342)/B1342</f>
        <v/>
      </c>
      <c r="D1343" s="35">
        <f>((1+Table2634[[#This Row],[Weekly change]])^52)-1</f>
        <v/>
      </c>
      <c r="E1343" s="25">
        <f>AVERAGE(B1340:B1343)</f>
        <v/>
      </c>
      <c r="F1343" s="33">
        <f>(Table2634[[#This Row],[4 weeks average]]-B1291)/B1291</f>
        <v/>
      </c>
    </row>
    <row r="1344">
      <c r="A1344" s="23" t="n">
        <v>36766</v>
      </c>
      <c r="B1344" s="25">
        <f>VLOOKUP(Table2634[[#This Row],[Date]],'DB Money Supply'!$A:$D,4)</f>
        <v/>
      </c>
      <c r="C1344" s="31">
        <f>(Table2634[[#This Row],[M1 Money Stock, Billions of Dollars, Weekly, Seasonally Adjusted]]-B1343)/B1343</f>
        <v/>
      </c>
      <c r="D1344" s="35">
        <f>((1+Table2634[[#This Row],[Weekly change]])^52)-1</f>
        <v/>
      </c>
      <c r="E1344" s="25">
        <f>AVERAGE(B1341:B1344)</f>
        <v/>
      </c>
      <c r="F1344" s="33">
        <f>(Table2634[[#This Row],[4 weeks average]]-B1292)/B1292</f>
        <v/>
      </c>
    </row>
    <row r="1345">
      <c r="A1345" s="23" t="n">
        <v>36773</v>
      </c>
      <c r="B1345" s="25">
        <f>VLOOKUP(Table2634[[#This Row],[Date]],'DB Money Supply'!$A:$D,4)</f>
        <v/>
      </c>
      <c r="C1345" s="31">
        <f>(Table2634[[#This Row],[M1 Money Stock, Billions of Dollars, Weekly, Seasonally Adjusted]]-B1344)/B1344</f>
        <v/>
      </c>
      <c r="D1345" s="35">
        <f>((1+Table2634[[#This Row],[Weekly change]])^52)-1</f>
        <v/>
      </c>
      <c r="E1345" s="25">
        <f>AVERAGE(B1342:B1345)</f>
        <v/>
      </c>
      <c r="F1345" s="33">
        <f>(Table2634[[#This Row],[4 weeks average]]-B1293)/B1293</f>
        <v/>
      </c>
    </row>
    <row r="1346">
      <c r="A1346" s="23" t="n">
        <v>36780</v>
      </c>
      <c r="B1346" s="25">
        <f>VLOOKUP(Table2634[[#This Row],[Date]],'DB Money Supply'!$A:$D,4)</f>
        <v/>
      </c>
      <c r="C1346" s="31">
        <f>(Table2634[[#This Row],[M1 Money Stock, Billions of Dollars, Weekly, Seasonally Adjusted]]-B1345)/B1345</f>
        <v/>
      </c>
      <c r="D1346" s="35">
        <f>((1+Table2634[[#This Row],[Weekly change]])^52)-1</f>
        <v/>
      </c>
      <c r="E1346" s="25">
        <f>AVERAGE(B1343:B1346)</f>
        <v/>
      </c>
      <c r="F1346" s="33">
        <f>(Table2634[[#This Row],[4 weeks average]]-B1294)/B1294</f>
        <v/>
      </c>
    </row>
    <row r="1347">
      <c r="A1347" s="23" t="n">
        <v>36787</v>
      </c>
      <c r="B1347" s="25">
        <f>VLOOKUP(Table2634[[#This Row],[Date]],'DB Money Supply'!$A:$D,4)</f>
        <v/>
      </c>
      <c r="C1347" s="31">
        <f>(Table2634[[#This Row],[M1 Money Stock, Billions of Dollars, Weekly, Seasonally Adjusted]]-B1346)/B1346</f>
        <v/>
      </c>
      <c r="D1347" s="35">
        <f>((1+Table2634[[#This Row],[Weekly change]])^52)-1</f>
        <v/>
      </c>
      <c r="E1347" s="25">
        <f>AVERAGE(B1344:B1347)</f>
        <v/>
      </c>
      <c r="F1347" s="33">
        <f>(Table2634[[#This Row],[4 weeks average]]-B1295)/B1295</f>
        <v/>
      </c>
    </row>
    <row r="1348">
      <c r="A1348" s="23" t="n">
        <v>36794</v>
      </c>
      <c r="B1348" s="25">
        <f>VLOOKUP(Table2634[[#This Row],[Date]],'DB Money Supply'!$A:$D,4)</f>
        <v/>
      </c>
      <c r="C1348" s="31">
        <f>(Table2634[[#This Row],[M1 Money Stock, Billions of Dollars, Weekly, Seasonally Adjusted]]-B1347)/B1347</f>
        <v/>
      </c>
      <c r="D1348" s="35">
        <f>((1+Table2634[[#This Row],[Weekly change]])^52)-1</f>
        <v/>
      </c>
      <c r="E1348" s="25">
        <f>AVERAGE(B1345:B1348)</f>
        <v/>
      </c>
      <c r="F1348" s="33">
        <f>(Table2634[[#This Row],[4 weeks average]]-B1296)/B1296</f>
        <v/>
      </c>
    </row>
    <row r="1349">
      <c r="A1349" s="23" t="n">
        <v>36801</v>
      </c>
      <c r="B1349" s="25">
        <f>VLOOKUP(Table2634[[#This Row],[Date]],'DB Money Supply'!$A:$D,4)</f>
        <v/>
      </c>
      <c r="C1349" s="31">
        <f>(Table2634[[#This Row],[M1 Money Stock, Billions of Dollars, Weekly, Seasonally Adjusted]]-B1348)/B1348</f>
        <v/>
      </c>
      <c r="D1349" s="35">
        <f>((1+Table2634[[#This Row],[Weekly change]])^52)-1</f>
        <v/>
      </c>
      <c r="E1349" s="25">
        <f>AVERAGE(B1346:B1349)</f>
        <v/>
      </c>
      <c r="F1349" s="33">
        <f>(Table2634[[#This Row],[4 weeks average]]-B1297)/B1297</f>
        <v/>
      </c>
    </row>
    <row r="1350">
      <c r="A1350" s="23" t="n">
        <v>36808</v>
      </c>
      <c r="B1350" s="25">
        <f>VLOOKUP(Table2634[[#This Row],[Date]],'DB Money Supply'!$A:$D,4)</f>
        <v/>
      </c>
      <c r="C1350" s="31">
        <f>(Table2634[[#This Row],[M1 Money Stock, Billions of Dollars, Weekly, Seasonally Adjusted]]-B1349)/B1349</f>
        <v/>
      </c>
      <c r="D1350" s="35">
        <f>((1+Table2634[[#This Row],[Weekly change]])^52)-1</f>
        <v/>
      </c>
      <c r="E1350" s="25">
        <f>AVERAGE(B1347:B1350)</f>
        <v/>
      </c>
      <c r="F1350" s="33">
        <f>(Table2634[[#This Row],[4 weeks average]]-B1298)/B1298</f>
        <v/>
      </c>
    </row>
    <row r="1351">
      <c r="A1351" s="23" t="n">
        <v>36815</v>
      </c>
      <c r="B1351" s="25">
        <f>VLOOKUP(Table2634[[#This Row],[Date]],'DB Money Supply'!$A:$D,4)</f>
        <v/>
      </c>
      <c r="C1351" s="31">
        <f>(Table2634[[#This Row],[M1 Money Stock, Billions of Dollars, Weekly, Seasonally Adjusted]]-B1350)/B1350</f>
        <v/>
      </c>
      <c r="D1351" s="35">
        <f>((1+Table2634[[#This Row],[Weekly change]])^52)-1</f>
        <v/>
      </c>
      <c r="E1351" s="25">
        <f>AVERAGE(B1348:B1351)</f>
        <v/>
      </c>
      <c r="F1351" s="33">
        <f>(Table2634[[#This Row],[4 weeks average]]-B1299)/B1299</f>
        <v/>
      </c>
    </row>
    <row r="1352">
      <c r="A1352" s="23" t="n">
        <v>36822</v>
      </c>
      <c r="B1352" s="25">
        <f>VLOOKUP(Table2634[[#This Row],[Date]],'DB Money Supply'!$A:$D,4)</f>
        <v/>
      </c>
      <c r="C1352" s="31">
        <f>(Table2634[[#This Row],[M1 Money Stock, Billions of Dollars, Weekly, Seasonally Adjusted]]-B1351)/B1351</f>
        <v/>
      </c>
      <c r="D1352" s="35">
        <f>((1+Table2634[[#This Row],[Weekly change]])^52)-1</f>
        <v/>
      </c>
      <c r="E1352" s="25">
        <f>AVERAGE(B1349:B1352)</f>
        <v/>
      </c>
      <c r="F1352" s="33">
        <f>(Table2634[[#This Row],[4 weeks average]]-B1300)/B1300</f>
        <v/>
      </c>
    </row>
    <row r="1353">
      <c r="A1353" s="23" t="n">
        <v>36829</v>
      </c>
      <c r="B1353" s="25">
        <f>VLOOKUP(Table2634[[#This Row],[Date]],'DB Money Supply'!$A:$D,4)</f>
        <v/>
      </c>
      <c r="C1353" s="31">
        <f>(Table2634[[#This Row],[M1 Money Stock, Billions of Dollars, Weekly, Seasonally Adjusted]]-B1352)/B1352</f>
        <v/>
      </c>
      <c r="D1353" s="35">
        <f>((1+Table2634[[#This Row],[Weekly change]])^52)-1</f>
        <v/>
      </c>
      <c r="E1353" s="25">
        <f>AVERAGE(B1350:B1353)</f>
        <v/>
      </c>
      <c r="F1353" s="33">
        <f>(Table2634[[#This Row],[4 weeks average]]-B1301)/B1301</f>
        <v/>
      </c>
    </row>
    <row r="1354">
      <c r="A1354" s="23" t="n">
        <v>36836</v>
      </c>
      <c r="B1354" s="25">
        <f>VLOOKUP(Table2634[[#This Row],[Date]],'DB Money Supply'!$A:$D,4)</f>
        <v/>
      </c>
      <c r="C1354" s="31">
        <f>(Table2634[[#This Row],[M1 Money Stock, Billions of Dollars, Weekly, Seasonally Adjusted]]-B1353)/B1353</f>
        <v/>
      </c>
      <c r="D1354" s="35">
        <f>((1+Table2634[[#This Row],[Weekly change]])^52)-1</f>
        <v/>
      </c>
      <c r="E1354" s="25">
        <f>AVERAGE(B1351:B1354)</f>
        <v/>
      </c>
      <c r="F1354" s="33">
        <f>(Table2634[[#This Row],[4 weeks average]]-B1302)/B1302</f>
        <v/>
      </c>
    </row>
    <row r="1355">
      <c r="A1355" s="23" t="n">
        <v>36843</v>
      </c>
      <c r="B1355" s="25">
        <f>VLOOKUP(Table2634[[#This Row],[Date]],'DB Money Supply'!$A:$D,4)</f>
        <v/>
      </c>
      <c r="C1355" s="31">
        <f>(Table2634[[#This Row],[M1 Money Stock, Billions of Dollars, Weekly, Seasonally Adjusted]]-B1354)/B1354</f>
        <v/>
      </c>
      <c r="D1355" s="35">
        <f>((1+Table2634[[#This Row],[Weekly change]])^52)-1</f>
        <v/>
      </c>
      <c r="E1355" s="25">
        <f>AVERAGE(B1352:B1355)</f>
        <v/>
      </c>
      <c r="F1355" s="33">
        <f>(Table2634[[#This Row],[4 weeks average]]-B1303)/B1303</f>
        <v/>
      </c>
    </row>
    <row r="1356">
      <c r="A1356" s="23" t="n">
        <v>36850</v>
      </c>
      <c r="B1356" s="25">
        <f>VLOOKUP(Table2634[[#This Row],[Date]],'DB Money Supply'!$A:$D,4)</f>
        <v/>
      </c>
      <c r="C1356" s="31">
        <f>(Table2634[[#This Row],[M1 Money Stock, Billions of Dollars, Weekly, Seasonally Adjusted]]-B1355)/B1355</f>
        <v/>
      </c>
      <c r="D1356" s="35">
        <f>((1+Table2634[[#This Row],[Weekly change]])^52)-1</f>
        <v/>
      </c>
      <c r="E1356" s="25">
        <f>AVERAGE(B1353:B1356)</f>
        <v/>
      </c>
      <c r="F1356" s="33">
        <f>(Table2634[[#This Row],[4 weeks average]]-B1304)/B1304</f>
        <v/>
      </c>
    </row>
    <row r="1357">
      <c r="A1357" s="23" t="n">
        <v>36857</v>
      </c>
      <c r="B1357" s="25">
        <f>VLOOKUP(Table2634[[#This Row],[Date]],'DB Money Supply'!$A:$D,4)</f>
        <v/>
      </c>
      <c r="C1357" s="31">
        <f>(Table2634[[#This Row],[M1 Money Stock, Billions of Dollars, Weekly, Seasonally Adjusted]]-B1356)/B1356</f>
        <v/>
      </c>
      <c r="D1357" s="35">
        <f>((1+Table2634[[#This Row],[Weekly change]])^52)-1</f>
        <v/>
      </c>
      <c r="E1357" s="25">
        <f>AVERAGE(B1354:B1357)</f>
        <v/>
      </c>
      <c r="F1357" s="33">
        <f>(Table2634[[#This Row],[4 weeks average]]-B1305)/B1305</f>
        <v/>
      </c>
    </row>
    <row r="1358">
      <c r="A1358" s="23" t="n">
        <v>36864</v>
      </c>
      <c r="B1358" s="25">
        <f>VLOOKUP(Table2634[[#This Row],[Date]],'DB Money Supply'!$A:$D,4)</f>
        <v/>
      </c>
      <c r="C1358" s="31">
        <f>(Table2634[[#This Row],[M1 Money Stock, Billions of Dollars, Weekly, Seasonally Adjusted]]-B1357)/B1357</f>
        <v/>
      </c>
      <c r="D1358" s="35">
        <f>((1+Table2634[[#This Row],[Weekly change]])^52)-1</f>
        <v/>
      </c>
      <c r="E1358" s="25">
        <f>AVERAGE(B1355:B1358)</f>
        <v/>
      </c>
      <c r="F1358" s="33">
        <f>(Table2634[[#This Row],[4 weeks average]]-B1306)/B1306</f>
        <v/>
      </c>
    </row>
    <row r="1359">
      <c r="A1359" s="23" t="n">
        <v>36871</v>
      </c>
      <c r="B1359" s="25">
        <f>VLOOKUP(Table2634[[#This Row],[Date]],'DB Money Supply'!$A:$D,4)</f>
        <v/>
      </c>
      <c r="C1359" s="31">
        <f>(Table2634[[#This Row],[M1 Money Stock, Billions of Dollars, Weekly, Seasonally Adjusted]]-B1358)/B1358</f>
        <v/>
      </c>
      <c r="D1359" s="35">
        <f>((1+Table2634[[#This Row],[Weekly change]])^52)-1</f>
        <v/>
      </c>
      <c r="E1359" s="25">
        <f>AVERAGE(B1356:B1359)</f>
        <v/>
      </c>
      <c r="F1359" s="33">
        <f>(Table2634[[#This Row],[4 weeks average]]-B1307)/B1307</f>
        <v/>
      </c>
    </row>
    <row r="1360">
      <c r="A1360" s="23" t="n">
        <v>36878</v>
      </c>
      <c r="B1360" s="25">
        <f>VLOOKUP(Table2634[[#This Row],[Date]],'DB Money Supply'!$A:$D,4)</f>
        <v/>
      </c>
      <c r="C1360" s="31">
        <f>(Table2634[[#This Row],[M1 Money Stock, Billions of Dollars, Weekly, Seasonally Adjusted]]-B1359)/B1359</f>
        <v/>
      </c>
      <c r="D1360" s="35">
        <f>((1+Table2634[[#This Row],[Weekly change]])^52)-1</f>
        <v/>
      </c>
      <c r="E1360" s="25">
        <f>AVERAGE(B1357:B1360)</f>
        <v/>
      </c>
      <c r="F1360" s="33">
        <f>(Table2634[[#This Row],[4 weeks average]]-B1308)/B1308</f>
        <v/>
      </c>
    </row>
    <row r="1361">
      <c r="A1361" s="23" t="n">
        <v>36885</v>
      </c>
      <c r="B1361" s="25">
        <f>VLOOKUP(Table2634[[#This Row],[Date]],'DB Money Supply'!$A:$D,4)</f>
        <v/>
      </c>
      <c r="C1361" s="31">
        <f>(Table2634[[#This Row],[M1 Money Stock, Billions of Dollars, Weekly, Seasonally Adjusted]]-B1360)/B1360</f>
        <v/>
      </c>
      <c r="D1361" s="35">
        <f>((1+Table2634[[#This Row],[Weekly change]])^52)-1</f>
        <v/>
      </c>
      <c r="E1361" s="25">
        <f>AVERAGE(B1358:B1361)</f>
        <v/>
      </c>
      <c r="F1361" s="33">
        <f>(Table2634[[#This Row],[4 weeks average]]-B1309)/B1309</f>
        <v/>
      </c>
    </row>
    <row r="1362">
      <c r="A1362" s="23" t="n">
        <v>36892</v>
      </c>
      <c r="B1362" s="25">
        <f>VLOOKUP(Table2634[[#This Row],[Date]],'DB Money Supply'!$A:$D,4)</f>
        <v/>
      </c>
      <c r="C1362" s="31">
        <f>(Table2634[[#This Row],[M1 Money Stock, Billions of Dollars, Weekly, Seasonally Adjusted]]-B1361)/B1361</f>
        <v/>
      </c>
      <c r="D1362" s="35">
        <f>((1+Table2634[[#This Row],[Weekly change]])^52)-1</f>
        <v/>
      </c>
      <c r="E1362" s="25">
        <f>AVERAGE(B1359:B1362)</f>
        <v/>
      </c>
      <c r="F1362" s="33">
        <f>(Table2634[[#This Row],[4 weeks average]]-B1310)/B1310</f>
        <v/>
      </c>
    </row>
    <row r="1363">
      <c r="A1363" s="23" t="n">
        <v>36899</v>
      </c>
      <c r="B1363" s="25">
        <f>VLOOKUP(Table2634[[#This Row],[Date]],'DB Money Supply'!$A:$D,4)</f>
        <v/>
      </c>
      <c r="C1363" s="31">
        <f>(Table2634[[#This Row],[M1 Money Stock, Billions of Dollars, Weekly, Seasonally Adjusted]]-B1362)/B1362</f>
        <v/>
      </c>
      <c r="D1363" s="35">
        <f>((1+Table2634[[#This Row],[Weekly change]])^52)-1</f>
        <v/>
      </c>
      <c r="E1363" s="25">
        <f>AVERAGE(B1360:B1363)</f>
        <v/>
      </c>
      <c r="F1363" s="33">
        <f>(Table2634[[#This Row],[4 weeks average]]-B1311)/B1311</f>
        <v/>
      </c>
    </row>
    <row r="1364">
      <c r="A1364" s="23" t="n">
        <v>36906</v>
      </c>
      <c r="B1364" s="25">
        <f>VLOOKUP(Table2634[[#This Row],[Date]],'DB Money Supply'!$A:$D,4)</f>
        <v/>
      </c>
      <c r="C1364" s="31">
        <f>(Table2634[[#This Row],[M1 Money Stock, Billions of Dollars, Weekly, Seasonally Adjusted]]-B1363)/B1363</f>
        <v/>
      </c>
      <c r="D1364" s="35">
        <f>((1+Table2634[[#This Row],[Weekly change]])^52)-1</f>
        <v/>
      </c>
      <c r="E1364" s="25">
        <f>AVERAGE(B1361:B1364)</f>
        <v/>
      </c>
      <c r="F1364" s="33">
        <f>(Table2634[[#This Row],[4 weeks average]]-B1312)/B1312</f>
        <v/>
      </c>
    </row>
    <row r="1365">
      <c r="A1365" s="23" t="n">
        <v>36913</v>
      </c>
      <c r="B1365" s="25">
        <f>VLOOKUP(Table2634[[#This Row],[Date]],'DB Money Supply'!$A:$D,4)</f>
        <v/>
      </c>
      <c r="C1365" s="31">
        <f>(Table2634[[#This Row],[M1 Money Stock, Billions of Dollars, Weekly, Seasonally Adjusted]]-B1364)/B1364</f>
        <v/>
      </c>
      <c r="D1365" s="35">
        <f>((1+Table2634[[#This Row],[Weekly change]])^52)-1</f>
        <v/>
      </c>
      <c r="E1365" s="25">
        <f>AVERAGE(B1362:B1365)</f>
        <v/>
      </c>
      <c r="F1365" s="33">
        <f>(Table2634[[#This Row],[4 weeks average]]-B1313)/B1313</f>
        <v/>
      </c>
    </row>
    <row r="1366">
      <c r="A1366" s="23" t="n">
        <v>36920</v>
      </c>
      <c r="B1366" s="25">
        <f>VLOOKUP(Table2634[[#This Row],[Date]],'DB Money Supply'!$A:$D,4)</f>
        <v/>
      </c>
      <c r="C1366" s="31">
        <f>(Table2634[[#This Row],[M1 Money Stock, Billions of Dollars, Weekly, Seasonally Adjusted]]-B1365)/B1365</f>
        <v/>
      </c>
      <c r="D1366" s="35">
        <f>((1+Table2634[[#This Row],[Weekly change]])^52)-1</f>
        <v/>
      </c>
      <c r="E1366" s="25">
        <f>AVERAGE(B1363:B1366)</f>
        <v/>
      </c>
      <c r="F1366" s="33">
        <f>(Table2634[[#This Row],[4 weeks average]]-B1314)/B1314</f>
        <v/>
      </c>
    </row>
    <row r="1367">
      <c r="A1367" s="23" t="n">
        <v>36927</v>
      </c>
      <c r="B1367" s="25">
        <f>VLOOKUP(Table2634[[#This Row],[Date]],'DB Money Supply'!$A:$D,4)</f>
        <v/>
      </c>
      <c r="C1367" s="31">
        <f>(Table2634[[#This Row],[M1 Money Stock, Billions of Dollars, Weekly, Seasonally Adjusted]]-B1366)/B1366</f>
        <v/>
      </c>
      <c r="D1367" s="35">
        <f>((1+Table2634[[#This Row],[Weekly change]])^52)-1</f>
        <v/>
      </c>
      <c r="E1367" s="25">
        <f>AVERAGE(B1364:B1367)</f>
        <v/>
      </c>
      <c r="F1367" s="33">
        <f>(Table2634[[#This Row],[4 weeks average]]-B1315)/B1315</f>
        <v/>
      </c>
    </row>
    <row r="1368">
      <c r="A1368" s="23" t="n">
        <v>36934</v>
      </c>
      <c r="B1368" s="25">
        <f>VLOOKUP(Table2634[[#This Row],[Date]],'DB Money Supply'!$A:$D,4)</f>
        <v/>
      </c>
      <c r="C1368" s="31">
        <f>(Table2634[[#This Row],[M1 Money Stock, Billions of Dollars, Weekly, Seasonally Adjusted]]-B1367)/B1367</f>
        <v/>
      </c>
      <c r="D1368" s="35">
        <f>((1+Table2634[[#This Row],[Weekly change]])^52)-1</f>
        <v/>
      </c>
      <c r="E1368" s="25">
        <f>AVERAGE(B1365:B1368)</f>
        <v/>
      </c>
      <c r="F1368" s="33">
        <f>(Table2634[[#This Row],[4 weeks average]]-B1316)/B1316</f>
        <v/>
      </c>
    </row>
    <row r="1369">
      <c r="A1369" s="23" t="n">
        <v>36941</v>
      </c>
      <c r="B1369" s="25">
        <f>VLOOKUP(Table2634[[#This Row],[Date]],'DB Money Supply'!$A:$D,4)</f>
        <v/>
      </c>
      <c r="C1369" s="31">
        <f>(Table2634[[#This Row],[M1 Money Stock, Billions of Dollars, Weekly, Seasonally Adjusted]]-B1368)/B1368</f>
        <v/>
      </c>
      <c r="D1369" s="35">
        <f>((1+Table2634[[#This Row],[Weekly change]])^52)-1</f>
        <v/>
      </c>
      <c r="E1369" s="25">
        <f>AVERAGE(B1366:B1369)</f>
        <v/>
      </c>
      <c r="F1369" s="33">
        <f>(Table2634[[#This Row],[4 weeks average]]-B1317)/B1317</f>
        <v/>
      </c>
    </row>
    <row r="1370">
      <c r="A1370" s="23" t="n">
        <v>36948</v>
      </c>
      <c r="B1370" s="25">
        <f>VLOOKUP(Table2634[[#This Row],[Date]],'DB Money Supply'!$A:$D,4)</f>
        <v/>
      </c>
      <c r="C1370" s="31">
        <f>(Table2634[[#This Row],[M1 Money Stock, Billions of Dollars, Weekly, Seasonally Adjusted]]-B1369)/B1369</f>
        <v/>
      </c>
      <c r="D1370" s="35">
        <f>((1+Table2634[[#This Row],[Weekly change]])^52)-1</f>
        <v/>
      </c>
      <c r="E1370" s="25">
        <f>AVERAGE(B1367:B1370)</f>
        <v/>
      </c>
      <c r="F1370" s="33">
        <f>(Table2634[[#This Row],[4 weeks average]]-B1318)/B1318</f>
        <v/>
      </c>
    </row>
    <row r="1371">
      <c r="A1371" s="23" t="n">
        <v>36955</v>
      </c>
      <c r="B1371" s="25">
        <f>VLOOKUP(Table2634[[#This Row],[Date]],'DB Money Supply'!$A:$D,4)</f>
        <v/>
      </c>
      <c r="C1371" s="31">
        <f>(Table2634[[#This Row],[M1 Money Stock, Billions of Dollars, Weekly, Seasonally Adjusted]]-B1370)/B1370</f>
        <v/>
      </c>
      <c r="D1371" s="35">
        <f>((1+Table2634[[#This Row],[Weekly change]])^52)-1</f>
        <v/>
      </c>
      <c r="E1371" s="25">
        <f>AVERAGE(B1368:B1371)</f>
        <v/>
      </c>
      <c r="F1371" s="33">
        <f>(Table2634[[#This Row],[4 weeks average]]-B1319)/B1319</f>
        <v/>
      </c>
    </row>
    <row r="1372">
      <c r="A1372" s="23" t="n">
        <v>36962</v>
      </c>
      <c r="B1372" s="25">
        <f>VLOOKUP(Table2634[[#This Row],[Date]],'DB Money Supply'!$A:$D,4)</f>
        <v/>
      </c>
      <c r="C1372" s="31">
        <f>(Table2634[[#This Row],[M1 Money Stock, Billions of Dollars, Weekly, Seasonally Adjusted]]-B1371)/B1371</f>
        <v/>
      </c>
      <c r="D1372" s="35">
        <f>((1+Table2634[[#This Row],[Weekly change]])^52)-1</f>
        <v/>
      </c>
      <c r="E1372" s="25">
        <f>AVERAGE(B1369:B1372)</f>
        <v/>
      </c>
      <c r="F1372" s="33">
        <f>(Table2634[[#This Row],[4 weeks average]]-B1320)/B1320</f>
        <v/>
      </c>
    </row>
    <row r="1373">
      <c r="A1373" s="23" t="n">
        <v>36969</v>
      </c>
      <c r="B1373" s="25">
        <f>VLOOKUP(Table2634[[#This Row],[Date]],'DB Money Supply'!$A:$D,4)</f>
        <v/>
      </c>
      <c r="C1373" s="31">
        <f>(Table2634[[#This Row],[M1 Money Stock, Billions of Dollars, Weekly, Seasonally Adjusted]]-B1372)/B1372</f>
        <v/>
      </c>
      <c r="D1373" s="35">
        <f>((1+Table2634[[#This Row],[Weekly change]])^52)-1</f>
        <v/>
      </c>
      <c r="E1373" s="25">
        <f>AVERAGE(B1370:B1373)</f>
        <v/>
      </c>
      <c r="F1373" s="33">
        <f>(Table2634[[#This Row],[4 weeks average]]-B1321)/B1321</f>
        <v/>
      </c>
    </row>
    <row r="1374">
      <c r="A1374" s="23" t="n">
        <v>36976</v>
      </c>
      <c r="B1374" s="25">
        <f>VLOOKUP(Table2634[[#This Row],[Date]],'DB Money Supply'!$A:$D,4)</f>
        <v/>
      </c>
      <c r="C1374" s="31">
        <f>(Table2634[[#This Row],[M1 Money Stock, Billions of Dollars, Weekly, Seasonally Adjusted]]-B1373)/B1373</f>
        <v/>
      </c>
      <c r="D1374" s="35">
        <f>((1+Table2634[[#This Row],[Weekly change]])^52)-1</f>
        <v/>
      </c>
      <c r="E1374" s="25">
        <f>AVERAGE(B1371:B1374)</f>
        <v/>
      </c>
      <c r="F1374" s="33">
        <f>(Table2634[[#This Row],[4 weeks average]]-B1322)/B1322</f>
        <v/>
      </c>
    </row>
    <row r="1375">
      <c r="A1375" s="23" t="n">
        <v>36983</v>
      </c>
      <c r="B1375" s="25">
        <f>VLOOKUP(Table2634[[#This Row],[Date]],'DB Money Supply'!$A:$D,4)</f>
        <v/>
      </c>
      <c r="C1375" s="31">
        <f>(Table2634[[#This Row],[M1 Money Stock, Billions of Dollars, Weekly, Seasonally Adjusted]]-B1374)/B1374</f>
        <v/>
      </c>
      <c r="D1375" s="35">
        <f>((1+Table2634[[#This Row],[Weekly change]])^52)-1</f>
        <v/>
      </c>
      <c r="E1375" s="25">
        <f>AVERAGE(B1372:B1375)</f>
        <v/>
      </c>
      <c r="F1375" s="33">
        <f>(Table2634[[#This Row],[4 weeks average]]-B1323)/B1323</f>
        <v/>
      </c>
    </row>
    <row r="1376">
      <c r="A1376" s="23" t="n">
        <v>36990</v>
      </c>
      <c r="B1376" s="25">
        <f>VLOOKUP(Table2634[[#This Row],[Date]],'DB Money Supply'!$A:$D,4)</f>
        <v/>
      </c>
      <c r="C1376" s="31">
        <f>(Table2634[[#This Row],[M1 Money Stock, Billions of Dollars, Weekly, Seasonally Adjusted]]-B1375)/B1375</f>
        <v/>
      </c>
      <c r="D1376" s="35">
        <f>((1+Table2634[[#This Row],[Weekly change]])^52)-1</f>
        <v/>
      </c>
      <c r="E1376" s="25">
        <f>AVERAGE(B1373:B1376)</f>
        <v/>
      </c>
      <c r="F1376" s="33">
        <f>(Table2634[[#This Row],[4 weeks average]]-B1324)/B1324</f>
        <v/>
      </c>
    </row>
    <row r="1377">
      <c r="A1377" s="23" t="n">
        <v>36997</v>
      </c>
      <c r="B1377" s="25">
        <f>VLOOKUP(Table2634[[#This Row],[Date]],'DB Money Supply'!$A:$D,4)</f>
        <v/>
      </c>
      <c r="C1377" s="31">
        <f>(Table2634[[#This Row],[M1 Money Stock, Billions of Dollars, Weekly, Seasonally Adjusted]]-B1376)/B1376</f>
        <v/>
      </c>
      <c r="D1377" s="35">
        <f>((1+Table2634[[#This Row],[Weekly change]])^52)-1</f>
        <v/>
      </c>
      <c r="E1377" s="25">
        <f>AVERAGE(B1374:B1377)</f>
        <v/>
      </c>
      <c r="F1377" s="33">
        <f>(Table2634[[#This Row],[4 weeks average]]-B1325)/B1325</f>
        <v/>
      </c>
    </row>
    <row r="1378">
      <c r="A1378" s="23" t="n">
        <v>37004</v>
      </c>
      <c r="B1378" s="25">
        <f>VLOOKUP(Table2634[[#This Row],[Date]],'DB Money Supply'!$A:$D,4)</f>
        <v/>
      </c>
      <c r="C1378" s="31">
        <f>(Table2634[[#This Row],[M1 Money Stock, Billions of Dollars, Weekly, Seasonally Adjusted]]-B1377)/B1377</f>
        <v/>
      </c>
      <c r="D1378" s="35">
        <f>((1+Table2634[[#This Row],[Weekly change]])^52)-1</f>
        <v/>
      </c>
      <c r="E1378" s="25">
        <f>AVERAGE(B1375:B1378)</f>
        <v/>
      </c>
      <c r="F1378" s="33">
        <f>(Table2634[[#This Row],[4 weeks average]]-B1326)/B1326</f>
        <v/>
      </c>
    </row>
    <row r="1379">
      <c r="A1379" s="23" t="n">
        <v>37011</v>
      </c>
      <c r="B1379" s="25">
        <f>VLOOKUP(Table2634[[#This Row],[Date]],'DB Money Supply'!$A:$D,4)</f>
        <v/>
      </c>
      <c r="C1379" s="31">
        <f>(Table2634[[#This Row],[M1 Money Stock, Billions of Dollars, Weekly, Seasonally Adjusted]]-B1378)/B1378</f>
        <v/>
      </c>
      <c r="D1379" s="35">
        <f>((1+Table2634[[#This Row],[Weekly change]])^52)-1</f>
        <v/>
      </c>
      <c r="E1379" s="25">
        <f>AVERAGE(B1376:B1379)</f>
        <v/>
      </c>
      <c r="F1379" s="33">
        <f>(Table2634[[#This Row],[4 weeks average]]-B1327)/B1327</f>
        <v/>
      </c>
    </row>
    <row r="1380">
      <c r="A1380" s="23" t="n">
        <v>37018</v>
      </c>
      <c r="B1380" s="25">
        <f>VLOOKUP(Table2634[[#This Row],[Date]],'DB Money Supply'!$A:$D,4)</f>
        <v/>
      </c>
      <c r="C1380" s="31">
        <f>(Table2634[[#This Row],[M1 Money Stock, Billions of Dollars, Weekly, Seasonally Adjusted]]-B1379)/B1379</f>
        <v/>
      </c>
      <c r="D1380" s="35">
        <f>((1+Table2634[[#This Row],[Weekly change]])^52)-1</f>
        <v/>
      </c>
      <c r="E1380" s="25">
        <f>AVERAGE(B1377:B1380)</f>
        <v/>
      </c>
      <c r="F1380" s="33">
        <f>(Table2634[[#This Row],[4 weeks average]]-B1328)/B1328</f>
        <v/>
      </c>
    </row>
    <row r="1381">
      <c r="A1381" s="23" t="n">
        <v>37025</v>
      </c>
      <c r="B1381" s="25">
        <f>VLOOKUP(Table2634[[#This Row],[Date]],'DB Money Supply'!$A:$D,4)</f>
        <v/>
      </c>
      <c r="C1381" s="31">
        <f>(Table2634[[#This Row],[M1 Money Stock, Billions of Dollars, Weekly, Seasonally Adjusted]]-B1380)/B1380</f>
        <v/>
      </c>
      <c r="D1381" s="35">
        <f>((1+Table2634[[#This Row],[Weekly change]])^52)-1</f>
        <v/>
      </c>
      <c r="E1381" s="25">
        <f>AVERAGE(B1378:B1381)</f>
        <v/>
      </c>
      <c r="F1381" s="33">
        <f>(Table2634[[#This Row],[4 weeks average]]-B1329)/B1329</f>
        <v/>
      </c>
    </row>
    <row r="1382">
      <c r="A1382" s="23" t="n">
        <v>37032</v>
      </c>
      <c r="B1382" s="25">
        <f>VLOOKUP(Table2634[[#This Row],[Date]],'DB Money Supply'!$A:$D,4)</f>
        <v/>
      </c>
      <c r="C1382" s="31">
        <f>(Table2634[[#This Row],[M1 Money Stock, Billions of Dollars, Weekly, Seasonally Adjusted]]-B1381)/B1381</f>
        <v/>
      </c>
      <c r="D1382" s="35">
        <f>((1+Table2634[[#This Row],[Weekly change]])^52)-1</f>
        <v/>
      </c>
      <c r="E1382" s="25">
        <f>AVERAGE(B1379:B1382)</f>
        <v/>
      </c>
      <c r="F1382" s="33">
        <f>(Table2634[[#This Row],[4 weeks average]]-B1330)/B1330</f>
        <v/>
      </c>
    </row>
    <row r="1383">
      <c r="A1383" s="23" t="n">
        <v>37039</v>
      </c>
      <c r="B1383" s="25">
        <f>VLOOKUP(Table2634[[#This Row],[Date]],'DB Money Supply'!$A:$D,4)</f>
        <v/>
      </c>
      <c r="C1383" s="31">
        <f>(Table2634[[#This Row],[M1 Money Stock, Billions of Dollars, Weekly, Seasonally Adjusted]]-B1382)/B1382</f>
        <v/>
      </c>
      <c r="D1383" s="35">
        <f>((1+Table2634[[#This Row],[Weekly change]])^52)-1</f>
        <v/>
      </c>
      <c r="E1383" s="25">
        <f>AVERAGE(B1380:B1383)</f>
        <v/>
      </c>
      <c r="F1383" s="33">
        <f>(Table2634[[#This Row],[4 weeks average]]-B1331)/B1331</f>
        <v/>
      </c>
    </row>
    <row r="1384">
      <c r="A1384" s="23" t="n">
        <v>37046</v>
      </c>
      <c r="B1384" s="25">
        <f>VLOOKUP(Table2634[[#This Row],[Date]],'DB Money Supply'!$A:$D,4)</f>
        <v/>
      </c>
      <c r="C1384" s="31">
        <f>(Table2634[[#This Row],[M1 Money Stock, Billions of Dollars, Weekly, Seasonally Adjusted]]-B1383)/B1383</f>
        <v/>
      </c>
      <c r="D1384" s="35">
        <f>((1+Table2634[[#This Row],[Weekly change]])^52)-1</f>
        <v/>
      </c>
      <c r="E1384" s="25">
        <f>AVERAGE(B1381:B1384)</f>
        <v/>
      </c>
      <c r="F1384" s="33">
        <f>(Table2634[[#This Row],[4 weeks average]]-B1332)/B1332</f>
        <v/>
      </c>
    </row>
    <row r="1385">
      <c r="A1385" s="23" t="n">
        <v>37053</v>
      </c>
      <c r="B1385" s="25">
        <f>VLOOKUP(Table2634[[#This Row],[Date]],'DB Money Supply'!$A:$D,4)</f>
        <v/>
      </c>
      <c r="C1385" s="31">
        <f>(Table2634[[#This Row],[M1 Money Stock, Billions of Dollars, Weekly, Seasonally Adjusted]]-B1384)/B1384</f>
        <v/>
      </c>
      <c r="D1385" s="35">
        <f>((1+Table2634[[#This Row],[Weekly change]])^52)-1</f>
        <v/>
      </c>
      <c r="E1385" s="25">
        <f>AVERAGE(B1382:B1385)</f>
        <v/>
      </c>
      <c r="F1385" s="33">
        <f>(Table2634[[#This Row],[4 weeks average]]-B1333)/B1333</f>
        <v/>
      </c>
    </row>
    <row r="1386">
      <c r="A1386" s="23" t="n">
        <v>37060</v>
      </c>
      <c r="B1386" s="25">
        <f>VLOOKUP(Table2634[[#This Row],[Date]],'DB Money Supply'!$A:$D,4)</f>
        <v/>
      </c>
      <c r="C1386" s="31">
        <f>(Table2634[[#This Row],[M1 Money Stock, Billions of Dollars, Weekly, Seasonally Adjusted]]-B1385)/B1385</f>
        <v/>
      </c>
      <c r="D1386" s="35">
        <f>((1+Table2634[[#This Row],[Weekly change]])^52)-1</f>
        <v/>
      </c>
      <c r="E1386" s="25">
        <f>AVERAGE(B1383:B1386)</f>
        <v/>
      </c>
      <c r="F1386" s="33">
        <f>(Table2634[[#This Row],[4 weeks average]]-B1334)/B1334</f>
        <v/>
      </c>
    </row>
    <row r="1387">
      <c r="A1387" s="23" t="n">
        <v>37067</v>
      </c>
      <c r="B1387" s="25">
        <f>VLOOKUP(Table2634[[#This Row],[Date]],'DB Money Supply'!$A:$D,4)</f>
        <v/>
      </c>
      <c r="C1387" s="31">
        <f>(Table2634[[#This Row],[M1 Money Stock, Billions of Dollars, Weekly, Seasonally Adjusted]]-B1386)/B1386</f>
        <v/>
      </c>
      <c r="D1387" s="35">
        <f>((1+Table2634[[#This Row],[Weekly change]])^52)-1</f>
        <v/>
      </c>
      <c r="E1387" s="25">
        <f>AVERAGE(B1384:B1387)</f>
        <v/>
      </c>
      <c r="F1387" s="33">
        <f>(Table2634[[#This Row],[4 weeks average]]-B1335)/B1335</f>
        <v/>
      </c>
    </row>
    <row r="1388">
      <c r="A1388" s="23" t="n">
        <v>37074</v>
      </c>
      <c r="B1388" s="25">
        <f>VLOOKUP(Table2634[[#This Row],[Date]],'DB Money Supply'!$A:$D,4)</f>
        <v/>
      </c>
      <c r="C1388" s="31">
        <f>(Table2634[[#This Row],[M1 Money Stock, Billions of Dollars, Weekly, Seasonally Adjusted]]-B1387)/B1387</f>
        <v/>
      </c>
      <c r="D1388" s="35">
        <f>((1+Table2634[[#This Row],[Weekly change]])^52)-1</f>
        <v/>
      </c>
      <c r="E1388" s="25">
        <f>AVERAGE(B1385:B1388)</f>
        <v/>
      </c>
      <c r="F1388" s="33">
        <f>(Table2634[[#This Row],[4 weeks average]]-B1336)/B1336</f>
        <v/>
      </c>
    </row>
    <row r="1389">
      <c r="A1389" s="23" t="n">
        <v>37081</v>
      </c>
      <c r="B1389" s="25">
        <f>VLOOKUP(Table2634[[#This Row],[Date]],'DB Money Supply'!$A:$D,4)</f>
        <v/>
      </c>
      <c r="C1389" s="31">
        <f>(Table2634[[#This Row],[M1 Money Stock, Billions of Dollars, Weekly, Seasonally Adjusted]]-B1388)/B1388</f>
        <v/>
      </c>
      <c r="D1389" s="35">
        <f>((1+Table2634[[#This Row],[Weekly change]])^52)-1</f>
        <v/>
      </c>
      <c r="E1389" s="25">
        <f>AVERAGE(B1386:B1389)</f>
        <v/>
      </c>
      <c r="F1389" s="33">
        <f>(Table2634[[#This Row],[4 weeks average]]-B1337)/B1337</f>
        <v/>
      </c>
    </row>
    <row r="1390">
      <c r="A1390" s="23" t="n">
        <v>37088</v>
      </c>
      <c r="B1390" s="25">
        <f>VLOOKUP(Table2634[[#This Row],[Date]],'DB Money Supply'!$A:$D,4)</f>
        <v/>
      </c>
      <c r="C1390" s="31">
        <f>(Table2634[[#This Row],[M1 Money Stock, Billions of Dollars, Weekly, Seasonally Adjusted]]-B1389)/B1389</f>
        <v/>
      </c>
      <c r="D1390" s="35">
        <f>((1+Table2634[[#This Row],[Weekly change]])^52)-1</f>
        <v/>
      </c>
      <c r="E1390" s="25">
        <f>AVERAGE(B1387:B1390)</f>
        <v/>
      </c>
      <c r="F1390" s="33">
        <f>(Table2634[[#This Row],[4 weeks average]]-B1338)/B1338</f>
        <v/>
      </c>
    </row>
    <row r="1391">
      <c r="A1391" s="23" t="n">
        <v>37095</v>
      </c>
      <c r="B1391" s="25">
        <f>VLOOKUP(Table2634[[#This Row],[Date]],'DB Money Supply'!$A:$D,4)</f>
        <v/>
      </c>
      <c r="C1391" s="31">
        <f>(Table2634[[#This Row],[M1 Money Stock, Billions of Dollars, Weekly, Seasonally Adjusted]]-B1390)/B1390</f>
        <v/>
      </c>
      <c r="D1391" s="35">
        <f>((1+Table2634[[#This Row],[Weekly change]])^52)-1</f>
        <v/>
      </c>
      <c r="E1391" s="25">
        <f>AVERAGE(B1388:B1391)</f>
        <v/>
      </c>
      <c r="F1391" s="33">
        <f>(Table2634[[#This Row],[4 weeks average]]-B1339)/B1339</f>
        <v/>
      </c>
    </row>
    <row r="1392">
      <c r="A1392" s="23" t="n">
        <v>37102</v>
      </c>
      <c r="B1392" s="25">
        <f>VLOOKUP(Table2634[[#This Row],[Date]],'DB Money Supply'!$A:$D,4)</f>
        <v/>
      </c>
      <c r="C1392" s="31">
        <f>(Table2634[[#This Row],[M1 Money Stock, Billions of Dollars, Weekly, Seasonally Adjusted]]-B1391)/B1391</f>
        <v/>
      </c>
      <c r="D1392" s="35">
        <f>((1+Table2634[[#This Row],[Weekly change]])^52)-1</f>
        <v/>
      </c>
      <c r="E1392" s="25">
        <f>AVERAGE(B1389:B1392)</f>
        <v/>
      </c>
      <c r="F1392" s="33">
        <f>(Table2634[[#This Row],[4 weeks average]]-B1340)/B1340</f>
        <v/>
      </c>
    </row>
    <row r="1393">
      <c r="A1393" s="23" t="n">
        <v>37109</v>
      </c>
      <c r="B1393" s="25">
        <f>VLOOKUP(Table2634[[#This Row],[Date]],'DB Money Supply'!$A:$D,4)</f>
        <v/>
      </c>
      <c r="C1393" s="31">
        <f>(Table2634[[#This Row],[M1 Money Stock, Billions of Dollars, Weekly, Seasonally Adjusted]]-B1392)/B1392</f>
        <v/>
      </c>
      <c r="D1393" s="35">
        <f>((1+Table2634[[#This Row],[Weekly change]])^52)-1</f>
        <v/>
      </c>
      <c r="E1393" s="25">
        <f>AVERAGE(B1390:B1393)</f>
        <v/>
      </c>
      <c r="F1393" s="33">
        <f>(Table2634[[#This Row],[4 weeks average]]-B1341)/B1341</f>
        <v/>
      </c>
    </row>
    <row r="1394">
      <c r="A1394" s="23" t="n">
        <v>37116</v>
      </c>
      <c r="B1394" s="25">
        <f>VLOOKUP(Table2634[[#This Row],[Date]],'DB Money Supply'!$A:$D,4)</f>
        <v/>
      </c>
      <c r="C1394" s="31">
        <f>(Table2634[[#This Row],[M1 Money Stock, Billions of Dollars, Weekly, Seasonally Adjusted]]-B1393)/B1393</f>
        <v/>
      </c>
      <c r="D1394" s="35">
        <f>((1+Table2634[[#This Row],[Weekly change]])^52)-1</f>
        <v/>
      </c>
      <c r="E1394" s="25">
        <f>AVERAGE(B1391:B1394)</f>
        <v/>
      </c>
      <c r="F1394" s="33">
        <f>(Table2634[[#This Row],[4 weeks average]]-B1342)/B1342</f>
        <v/>
      </c>
    </row>
    <row r="1395">
      <c r="A1395" s="23" t="n">
        <v>37123</v>
      </c>
      <c r="B1395" s="25">
        <f>VLOOKUP(Table2634[[#This Row],[Date]],'DB Money Supply'!$A:$D,4)</f>
        <v/>
      </c>
      <c r="C1395" s="31">
        <f>(Table2634[[#This Row],[M1 Money Stock, Billions of Dollars, Weekly, Seasonally Adjusted]]-B1394)/B1394</f>
        <v/>
      </c>
      <c r="D1395" s="35">
        <f>((1+Table2634[[#This Row],[Weekly change]])^52)-1</f>
        <v/>
      </c>
      <c r="E1395" s="25">
        <f>AVERAGE(B1392:B1395)</f>
        <v/>
      </c>
      <c r="F1395" s="33">
        <f>(Table2634[[#This Row],[4 weeks average]]-B1343)/B1343</f>
        <v/>
      </c>
    </row>
    <row r="1396">
      <c r="A1396" s="23" t="n">
        <v>37130</v>
      </c>
      <c r="B1396" s="25">
        <f>VLOOKUP(Table2634[[#This Row],[Date]],'DB Money Supply'!$A:$D,4)</f>
        <v/>
      </c>
      <c r="C1396" s="31">
        <f>(Table2634[[#This Row],[M1 Money Stock, Billions of Dollars, Weekly, Seasonally Adjusted]]-B1395)/B1395</f>
        <v/>
      </c>
      <c r="D1396" s="35">
        <f>((1+Table2634[[#This Row],[Weekly change]])^52)-1</f>
        <v/>
      </c>
      <c r="E1396" s="25">
        <f>AVERAGE(B1393:B1396)</f>
        <v/>
      </c>
      <c r="F1396" s="33">
        <f>(Table2634[[#This Row],[4 weeks average]]-B1344)/B1344</f>
        <v/>
      </c>
    </row>
    <row r="1397">
      <c r="A1397" s="23" t="n">
        <v>37137</v>
      </c>
      <c r="B1397" s="25">
        <f>VLOOKUP(Table2634[[#This Row],[Date]],'DB Money Supply'!$A:$D,4)</f>
        <v/>
      </c>
      <c r="C1397" s="31">
        <f>(Table2634[[#This Row],[M1 Money Stock, Billions of Dollars, Weekly, Seasonally Adjusted]]-B1396)/B1396</f>
        <v/>
      </c>
      <c r="D1397" s="35">
        <f>((1+Table2634[[#This Row],[Weekly change]])^52)-1</f>
        <v/>
      </c>
      <c r="E1397" s="25">
        <f>AVERAGE(B1394:B1397)</f>
        <v/>
      </c>
      <c r="F1397" s="33">
        <f>(Table2634[[#This Row],[4 weeks average]]-B1345)/B1345</f>
        <v/>
      </c>
    </row>
    <row r="1398">
      <c r="A1398" s="23" t="n">
        <v>37144</v>
      </c>
      <c r="B1398" s="25">
        <f>VLOOKUP(Table2634[[#This Row],[Date]],'DB Money Supply'!$A:$D,4)</f>
        <v/>
      </c>
      <c r="C1398" s="31">
        <f>(Table2634[[#This Row],[M1 Money Stock, Billions of Dollars, Weekly, Seasonally Adjusted]]-B1397)/B1397</f>
        <v/>
      </c>
      <c r="D1398" s="35">
        <f>((1+Table2634[[#This Row],[Weekly change]])^52)-1</f>
        <v/>
      </c>
      <c r="E1398" s="25">
        <f>AVERAGE(B1395:B1398)</f>
        <v/>
      </c>
      <c r="F1398" s="33">
        <f>(Table2634[[#This Row],[4 weeks average]]-B1346)/B1346</f>
        <v/>
      </c>
    </row>
    <row r="1399">
      <c r="A1399" s="23" t="n">
        <v>37151</v>
      </c>
      <c r="B1399" s="25">
        <f>VLOOKUP(Table2634[[#This Row],[Date]],'DB Money Supply'!$A:$D,4)</f>
        <v/>
      </c>
      <c r="C1399" s="31">
        <f>(Table2634[[#This Row],[M1 Money Stock, Billions of Dollars, Weekly, Seasonally Adjusted]]-B1398)/B1398</f>
        <v/>
      </c>
      <c r="D1399" s="35">
        <f>((1+Table2634[[#This Row],[Weekly change]])^52)-1</f>
        <v/>
      </c>
      <c r="E1399" s="25">
        <f>AVERAGE(B1396:B1399)</f>
        <v/>
      </c>
      <c r="F1399" s="33">
        <f>(Table2634[[#This Row],[4 weeks average]]-B1347)/B1347</f>
        <v/>
      </c>
    </row>
    <row r="1400">
      <c r="A1400" s="23" t="n">
        <v>37158</v>
      </c>
      <c r="B1400" s="25">
        <f>VLOOKUP(Table2634[[#This Row],[Date]],'DB Money Supply'!$A:$D,4)</f>
        <v/>
      </c>
      <c r="C1400" s="31">
        <f>(Table2634[[#This Row],[M1 Money Stock, Billions of Dollars, Weekly, Seasonally Adjusted]]-B1399)/B1399</f>
        <v/>
      </c>
      <c r="D1400" s="35">
        <f>((1+Table2634[[#This Row],[Weekly change]])^52)-1</f>
        <v/>
      </c>
      <c r="E1400" s="25">
        <f>AVERAGE(B1397:B1400)</f>
        <v/>
      </c>
      <c r="F1400" s="33">
        <f>(Table2634[[#This Row],[4 weeks average]]-B1348)/B1348</f>
        <v/>
      </c>
    </row>
    <row r="1401">
      <c r="A1401" s="23" t="n">
        <v>37165</v>
      </c>
      <c r="B1401" s="25">
        <f>VLOOKUP(Table2634[[#This Row],[Date]],'DB Money Supply'!$A:$D,4)</f>
        <v/>
      </c>
      <c r="C1401" s="31">
        <f>(Table2634[[#This Row],[M1 Money Stock, Billions of Dollars, Weekly, Seasonally Adjusted]]-B1400)/B1400</f>
        <v/>
      </c>
      <c r="D1401" s="35">
        <f>((1+Table2634[[#This Row],[Weekly change]])^52)-1</f>
        <v/>
      </c>
      <c r="E1401" s="25">
        <f>AVERAGE(B1398:B1401)</f>
        <v/>
      </c>
      <c r="F1401" s="33">
        <f>(Table2634[[#This Row],[4 weeks average]]-B1349)/B1349</f>
        <v/>
      </c>
    </row>
    <row r="1402">
      <c r="A1402" s="23" t="n">
        <v>37172</v>
      </c>
      <c r="B1402" s="25">
        <f>VLOOKUP(Table2634[[#This Row],[Date]],'DB Money Supply'!$A:$D,4)</f>
        <v/>
      </c>
      <c r="C1402" s="31">
        <f>(Table2634[[#This Row],[M1 Money Stock, Billions of Dollars, Weekly, Seasonally Adjusted]]-B1401)/B1401</f>
        <v/>
      </c>
      <c r="D1402" s="35">
        <f>((1+Table2634[[#This Row],[Weekly change]])^52)-1</f>
        <v/>
      </c>
      <c r="E1402" s="25">
        <f>AVERAGE(B1399:B1402)</f>
        <v/>
      </c>
      <c r="F1402" s="33">
        <f>(Table2634[[#This Row],[4 weeks average]]-B1350)/B1350</f>
        <v/>
      </c>
    </row>
    <row r="1403">
      <c r="A1403" s="23" t="n">
        <v>37179</v>
      </c>
      <c r="B1403" s="25">
        <f>VLOOKUP(Table2634[[#This Row],[Date]],'DB Money Supply'!$A:$D,4)</f>
        <v/>
      </c>
      <c r="C1403" s="31">
        <f>(Table2634[[#This Row],[M1 Money Stock, Billions of Dollars, Weekly, Seasonally Adjusted]]-B1402)/B1402</f>
        <v/>
      </c>
      <c r="D1403" s="35">
        <f>((1+Table2634[[#This Row],[Weekly change]])^52)-1</f>
        <v/>
      </c>
      <c r="E1403" s="25">
        <f>AVERAGE(B1400:B1403)</f>
        <v/>
      </c>
      <c r="F1403" s="33">
        <f>(Table2634[[#This Row],[4 weeks average]]-B1351)/B1351</f>
        <v/>
      </c>
    </row>
    <row r="1404">
      <c r="A1404" s="23" t="n">
        <v>37186</v>
      </c>
      <c r="B1404" s="25">
        <f>VLOOKUP(Table2634[[#This Row],[Date]],'DB Money Supply'!$A:$D,4)</f>
        <v/>
      </c>
      <c r="C1404" s="31">
        <f>(Table2634[[#This Row],[M1 Money Stock, Billions of Dollars, Weekly, Seasonally Adjusted]]-B1403)/B1403</f>
        <v/>
      </c>
      <c r="D1404" s="35">
        <f>((1+Table2634[[#This Row],[Weekly change]])^52)-1</f>
        <v/>
      </c>
      <c r="E1404" s="25">
        <f>AVERAGE(B1401:B1404)</f>
        <v/>
      </c>
      <c r="F1404" s="33">
        <f>(Table2634[[#This Row],[4 weeks average]]-B1352)/B1352</f>
        <v/>
      </c>
    </row>
    <row r="1405">
      <c r="A1405" s="23" t="n">
        <v>37193</v>
      </c>
      <c r="B1405" s="25">
        <f>VLOOKUP(Table2634[[#This Row],[Date]],'DB Money Supply'!$A:$D,4)</f>
        <v/>
      </c>
      <c r="C1405" s="31">
        <f>(Table2634[[#This Row],[M1 Money Stock, Billions of Dollars, Weekly, Seasonally Adjusted]]-B1404)/B1404</f>
        <v/>
      </c>
      <c r="D1405" s="35">
        <f>((1+Table2634[[#This Row],[Weekly change]])^52)-1</f>
        <v/>
      </c>
      <c r="E1405" s="25">
        <f>AVERAGE(B1402:B1405)</f>
        <v/>
      </c>
      <c r="F1405" s="33">
        <f>(Table2634[[#This Row],[4 weeks average]]-B1353)/B1353</f>
        <v/>
      </c>
    </row>
    <row r="1406">
      <c r="A1406" s="23" t="n">
        <v>37200</v>
      </c>
      <c r="B1406" s="25">
        <f>VLOOKUP(Table2634[[#This Row],[Date]],'DB Money Supply'!$A:$D,4)</f>
        <v/>
      </c>
      <c r="C1406" s="31">
        <f>(Table2634[[#This Row],[M1 Money Stock, Billions of Dollars, Weekly, Seasonally Adjusted]]-B1405)/B1405</f>
        <v/>
      </c>
      <c r="D1406" s="35">
        <f>((1+Table2634[[#This Row],[Weekly change]])^52)-1</f>
        <v/>
      </c>
      <c r="E1406" s="25">
        <f>AVERAGE(B1403:B1406)</f>
        <v/>
      </c>
      <c r="F1406" s="33">
        <f>(Table2634[[#This Row],[4 weeks average]]-B1354)/B1354</f>
        <v/>
      </c>
    </row>
    <row r="1407">
      <c r="A1407" s="23" t="n">
        <v>37207</v>
      </c>
      <c r="B1407" s="25">
        <f>VLOOKUP(Table2634[[#This Row],[Date]],'DB Money Supply'!$A:$D,4)</f>
        <v/>
      </c>
      <c r="C1407" s="31">
        <f>(Table2634[[#This Row],[M1 Money Stock, Billions of Dollars, Weekly, Seasonally Adjusted]]-B1406)/B1406</f>
        <v/>
      </c>
      <c r="D1407" s="35">
        <f>((1+Table2634[[#This Row],[Weekly change]])^52)-1</f>
        <v/>
      </c>
      <c r="E1407" s="25">
        <f>AVERAGE(B1404:B1407)</f>
        <v/>
      </c>
      <c r="F1407" s="33">
        <f>(Table2634[[#This Row],[4 weeks average]]-B1355)/B1355</f>
        <v/>
      </c>
    </row>
    <row r="1408">
      <c r="A1408" s="23" t="n">
        <v>37214</v>
      </c>
      <c r="B1408" s="25">
        <f>VLOOKUP(Table2634[[#This Row],[Date]],'DB Money Supply'!$A:$D,4)</f>
        <v/>
      </c>
      <c r="C1408" s="31">
        <f>(Table2634[[#This Row],[M1 Money Stock, Billions of Dollars, Weekly, Seasonally Adjusted]]-B1407)/B1407</f>
        <v/>
      </c>
      <c r="D1408" s="35">
        <f>((1+Table2634[[#This Row],[Weekly change]])^52)-1</f>
        <v/>
      </c>
      <c r="E1408" s="25">
        <f>AVERAGE(B1405:B1408)</f>
        <v/>
      </c>
      <c r="F1408" s="33">
        <f>(Table2634[[#This Row],[4 weeks average]]-B1356)/B1356</f>
        <v/>
      </c>
    </row>
    <row r="1409">
      <c r="A1409" s="23" t="n">
        <v>37221</v>
      </c>
      <c r="B1409" s="25">
        <f>VLOOKUP(Table2634[[#This Row],[Date]],'DB Money Supply'!$A:$D,4)</f>
        <v/>
      </c>
      <c r="C1409" s="31">
        <f>(Table2634[[#This Row],[M1 Money Stock, Billions of Dollars, Weekly, Seasonally Adjusted]]-B1408)/B1408</f>
        <v/>
      </c>
      <c r="D1409" s="35">
        <f>((1+Table2634[[#This Row],[Weekly change]])^52)-1</f>
        <v/>
      </c>
      <c r="E1409" s="25">
        <f>AVERAGE(B1406:B1409)</f>
        <v/>
      </c>
      <c r="F1409" s="33">
        <f>(Table2634[[#This Row],[4 weeks average]]-B1357)/B1357</f>
        <v/>
      </c>
    </row>
    <row r="1410">
      <c r="A1410" s="23" t="n">
        <v>37228</v>
      </c>
      <c r="B1410" s="25">
        <f>VLOOKUP(Table2634[[#This Row],[Date]],'DB Money Supply'!$A:$D,4)</f>
        <v/>
      </c>
      <c r="C1410" s="31">
        <f>(Table2634[[#This Row],[M1 Money Stock, Billions of Dollars, Weekly, Seasonally Adjusted]]-B1409)/B1409</f>
        <v/>
      </c>
      <c r="D1410" s="35">
        <f>((1+Table2634[[#This Row],[Weekly change]])^52)-1</f>
        <v/>
      </c>
      <c r="E1410" s="25">
        <f>AVERAGE(B1407:B1410)</f>
        <v/>
      </c>
      <c r="F1410" s="33">
        <f>(Table2634[[#This Row],[4 weeks average]]-B1358)/B1358</f>
        <v/>
      </c>
    </row>
    <row r="1411">
      <c r="A1411" s="23" t="n">
        <v>37235</v>
      </c>
      <c r="B1411" s="25">
        <f>VLOOKUP(Table2634[[#This Row],[Date]],'DB Money Supply'!$A:$D,4)</f>
        <v/>
      </c>
      <c r="C1411" s="31">
        <f>(Table2634[[#This Row],[M1 Money Stock, Billions of Dollars, Weekly, Seasonally Adjusted]]-B1410)/B1410</f>
        <v/>
      </c>
      <c r="D1411" s="35">
        <f>((1+Table2634[[#This Row],[Weekly change]])^52)-1</f>
        <v/>
      </c>
      <c r="E1411" s="25">
        <f>AVERAGE(B1408:B1411)</f>
        <v/>
      </c>
      <c r="F1411" s="33">
        <f>(Table2634[[#This Row],[4 weeks average]]-B1359)/B1359</f>
        <v/>
      </c>
    </row>
    <row r="1412">
      <c r="A1412" s="23" t="n">
        <v>37242</v>
      </c>
      <c r="B1412" s="25">
        <f>VLOOKUP(Table2634[[#This Row],[Date]],'DB Money Supply'!$A:$D,4)</f>
        <v/>
      </c>
      <c r="C1412" s="31">
        <f>(Table2634[[#This Row],[M1 Money Stock, Billions of Dollars, Weekly, Seasonally Adjusted]]-B1411)/B1411</f>
        <v/>
      </c>
      <c r="D1412" s="35">
        <f>((1+Table2634[[#This Row],[Weekly change]])^52)-1</f>
        <v/>
      </c>
      <c r="E1412" s="25">
        <f>AVERAGE(B1409:B1412)</f>
        <v/>
      </c>
      <c r="F1412" s="33">
        <f>(Table2634[[#This Row],[4 weeks average]]-B1360)/B1360</f>
        <v/>
      </c>
    </row>
    <row r="1413">
      <c r="A1413" s="23" t="n">
        <v>37249</v>
      </c>
      <c r="B1413" s="25">
        <f>VLOOKUP(Table2634[[#This Row],[Date]],'DB Money Supply'!$A:$D,4)</f>
        <v/>
      </c>
      <c r="C1413" s="31">
        <f>(Table2634[[#This Row],[M1 Money Stock, Billions of Dollars, Weekly, Seasonally Adjusted]]-B1412)/B1412</f>
        <v/>
      </c>
      <c r="D1413" s="35">
        <f>((1+Table2634[[#This Row],[Weekly change]])^52)-1</f>
        <v/>
      </c>
      <c r="E1413" s="25">
        <f>AVERAGE(B1410:B1413)</f>
        <v/>
      </c>
      <c r="F1413" s="33">
        <f>(Table2634[[#This Row],[4 weeks average]]-B1361)/B1361</f>
        <v/>
      </c>
    </row>
    <row r="1414">
      <c r="A1414" s="23" t="n">
        <v>37256</v>
      </c>
      <c r="B1414" s="25">
        <f>VLOOKUP(Table2634[[#This Row],[Date]],'DB Money Supply'!$A:$D,4)</f>
        <v/>
      </c>
      <c r="C1414" s="31">
        <f>(Table2634[[#This Row],[M1 Money Stock, Billions of Dollars, Weekly, Seasonally Adjusted]]-B1413)/B1413</f>
        <v/>
      </c>
      <c r="D1414" s="35">
        <f>((1+Table2634[[#This Row],[Weekly change]])^52)-1</f>
        <v/>
      </c>
      <c r="E1414" s="25">
        <f>AVERAGE(B1411:B1414)</f>
        <v/>
      </c>
      <c r="F1414" s="33">
        <f>(Table2634[[#This Row],[4 weeks average]]-B1362)/B1362</f>
        <v/>
      </c>
    </row>
    <row r="1415">
      <c r="A1415" s="23" t="n">
        <v>37263</v>
      </c>
      <c r="B1415" s="25">
        <f>VLOOKUP(Table2634[[#This Row],[Date]],'DB Money Supply'!$A:$D,4)</f>
        <v/>
      </c>
      <c r="C1415" s="31">
        <f>(Table2634[[#This Row],[M1 Money Stock, Billions of Dollars, Weekly, Seasonally Adjusted]]-B1414)/B1414</f>
        <v/>
      </c>
      <c r="D1415" s="35">
        <f>((1+Table2634[[#This Row],[Weekly change]])^52)-1</f>
        <v/>
      </c>
      <c r="E1415" s="25">
        <f>AVERAGE(B1412:B1415)</f>
        <v/>
      </c>
      <c r="F1415" s="33">
        <f>(Table2634[[#This Row],[4 weeks average]]-B1363)/B1363</f>
        <v/>
      </c>
    </row>
    <row r="1416">
      <c r="A1416" s="23" t="n">
        <v>37270</v>
      </c>
      <c r="B1416" s="25">
        <f>VLOOKUP(Table2634[[#This Row],[Date]],'DB Money Supply'!$A:$D,4)</f>
        <v/>
      </c>
      <c r="C1416" s="31">
        <f>(Table2634[[#This Row],[M1 Money Stock, Billions of Dollars, Weekly, Seasonally Adjusted]]-B1415)/B1415</f>
        <v/>
      </c>
      <c r="D1416" s="35">
        <f>((1+Table2634[[#This Row],[Weekly change]])^52)-1</f>
        <v/>
      </c>
      <c r="E1416" s="25">
        <f>AVERAGE(B1413:B1416)</f>
        <v/>
      </c>
      <c r="F1416" s="33">
        <f>(Table2634[[#This Row],[4 weeks average]]-B1364)/B1364</f>
        <v/>
      </c>
    </row>
    <row r="1417">
      <c r="A1417" s="23" t="n">
        <v>37277</v>
      </c>
      <c r="B1417" s="25">
        <f>VLOOKUP(Table2634[[#This Row],[Date]],'DB Money Supply'!$A:$D,4)</f>
        <v/>
      </c>
      <c r="C1417" s="31">
        <f>(Table2634[[#This Row],[M1 Money Stock, Billions of Dollars, Weekly, Seasonally Adjusted]]-B1416)/B1416</f>
        <v/>
      </c>
      <c r="D1417" s="35">
        <f>((1+Table2634[[#This Row],[Weekly change]])^52)-1</f>
        <v/>
      </c>
      <c r="E1417" s="25">
        <f>AVERAGE(B1414:B1417)</f>
        <v/>
      </c>
      <c r="F1417" s="33">
        <f>(Table2634[[#This Row],[4 weeks average]]-B1365)/B1365</f>
        <v/>
      </c>
    </row>
    <row r="1418">
      <c r="A1418" s="23" t="n">
        <v>37284</v>
      </c>
      <c r="B1418" s="25">
        <f>VLOOKUP(Table2634[[#This Row],[Date]],'DB Money Supply'!$A:$D,4)</f>
        <v/>
      </c>
      <c r="C1418" s="31">
        <f>(Table2634[[#This Row],[M1 Money Stock, Billions of Dollars, Weekly, Seasonally Adjusted]]-B1417)/B1417</f>
        <v/>
      </c>
      <c r="D1418" s="35">
        <f>((1+Table2634[[#This Row],[Weekly change]])^52)-1</f>
        <v/>
      </c>
      <c r="E1418" s="25">
        <f>AVERAGE(B1415:B1418)</f>
        <v/>
      </c>
      <c r="F1418" s="33">
        <f>(Table2634[[#This Row],[4 weeks average]]-B1366)/B1366</f>
        <v/>
      </c>
    </row>
    <row r="1419">
      <c r="A1419" s="23" t="n">
        <v>37291</v>
      </c>
      <c r="B1419" s="25">
        <f>VLOOKUP(Table2634[[#This Row],[Date]],'DB Money Supply'!$A:$D,4)</f>
        <v/>
      </c>
      <c r="C1419" s="31">
        <f>(Table2634[[#This Row],[M1 Money Stock, Billions of Dollars, Weekly, Seasonally Adjusted]]-B1418)/B1418</f>
        <v/>
      </c>
      <c r="D1419" s="35">
        <f>((1+Table2634[[#This Row],[Weekly change]])^52)-1</f>
        <v/>
      </c>
      <c r="E1419" s="25">
        <f>AVERAGE(B1416:B1419)</f>
        <v/>
      </c>
      <c r="F1419" s="33">
        <f>(Table2634[[#This Row],[4 weeks average]]-B1367)/B1367</f>
        <v/>
      </c>
    </row>
    <row r="1420">
      <c r="A1420" s="23" t="n">
        <v>37298</v>
      </c>
      <c r="B1420" s="25">
        <f>VLOOKUP(Table2634[[#This Row],[Date]],'DB Money Supply'!$A:$D,4)</f>
        <v/>
      </c>
      <c r="C1420" s="31">
        <f>(Table2634[[#This Row],[M1 Money Stock, Billions of Dollars, Weekly, Seasonally Adjusted]]-B1419)/B1419</f>
        <v/>
      </c>
      <c r="D1420" s="35">
        <f>((1+Table2634[[#This Row],[Weekly change]])^52)-1</f>
        <v/>
      </c>
      <c r="E1420" s="25">
        <f>AVERAGE(B1417:B1420)</f>
        <v/>
      </c>
      <c r="F1420" s="33">
        <f>(Table2634[[#This Row],[4 weeks average]]-B1368)/B1368</f>
        <v/>
      </c>
    </row>
    <row r="1421">
      <c r="A1421" s="23" t="n">
        <v>37305</v>
      </c>
      <c r="B1421" s="25">
        <f>VLOOKUP(Table2634[[#This Row],[Date]],'DB Money Supply'!$A:$D,4)</f>
        <v/>
      </c>
      <c r="C1421" s="31">
        <f>(Table2634[[#This Row],[M1 Money Stock, Billions of Dollars, Weekly, Seasonally Adjusted]]-B1420)/B1420</f>
        <v/>
      </c>
      <c r="D1421" s="35">
        <f>((1+Table2634[[#This Row],[Weekly change]])^52)-1</f>
        <v/>
      </c>
      <c r="E1421" s="25">
        <f>AVERAGE(B1418:B1421)</f>
        <v/>
      </c>
      <c r="F1421" s="33">
        <f>(Table2634[[#This Row],[4 weeks average]]-B1369)/B1369</f>
        <v/>
      </c>
    </row>
    <row r="1422">
      <c r="A1422" s="23" t="n">
        <v>37312</v>
      </c>
      <c r="B1422" s="25">
        <f>VLOOKUP(Table2634[[#This Row],[Date]],'DB Money Supply'!$A:$D,4)</f>
        <v/>
      </c>
      <c r="C1422" s="31">
        <f>(Table2634[[#This Row],[M1 Money Stock, Billions of Dollars, Weekly, Seasonally Adjusted]]-B1421)/B1421</f>
        <v/>
      </c>
      <c r="D1422" s="35">
        <f>((1+Table2634[[#This Row],[Weekly change]])^52)-1</f>
        <v/>
      </c>
      <c r="E1422" s="25">
        <f>AVERAGE(B1419:B1422)</f>
        <v/>
      </c>
      <c r="F1422" s="33">
        <f>(Table2634[[#This Row],[4 weeks average]]-B1370)/B1370</f>
        <v/>
      </c>
    </row>
    <row r="1423">
      <c r="A1423" s="23" t="n">
        <v>37319</v>
      </c>
      <c r="B1423" s="25">
        <f>VLOOKUP(Table2634[[#This Row],[Date]],'DB Money Supply'!$A:$D,4)</f>
        <v/>
      </c>
      <c r="C1423" s="31">
        <f>(Table2634[[#This Row],[M1 Money Stock, Billions of Dollars, Weekly, Seasonally Adjusted]]-B1422)/B1422</f>
        <v/>
      </c>
      <c r="D1423" s="35">
        <f>((1+Table2634[[#This Row],[Weekly change]])^52)-1</f>
        <v/>
      </c>
      <c r="E1423" s="25">
        <f>AVERAGE(B1420:B1423)</f>
        <v/>
      </c>
      <c r="F1423" s="33">
        <f>(Table2634[[#This Row],[4 weeks average]]-B1371)/B1371</f>
        <v/>
      </c>
    </row>
    <row r="1424">
      <c r="A1424" s="23" t="n">
        <v>37326</v>
      </c>
      <c r="B1424" s="25">
        <f>VLOOKUP(Table2634[[#This Row],[Date]],'DB Money Supply'!$A:$D,4)</f>
        <v/>
      </c>
      <c r="C1424" s="31">
        <f>(Table2634[[#This Row],[M1 Money Stock, Billions of Dollars, Weekly, Seasonally Adjusted]]-B1423)/B1423</f>
        <v/>
      </c>
      <c r="D1424" s="35">
        <f>((1+Table2634[[#This Row],[Weekly change]])^52)-1</f>
        <v/>
      </c>
      <c r="E1424" s="25">
        <f>AVERAGE(B1421:B1424)</f>
        <v/>
      </c>
      <c r="F1424" s="33">
        <f>(Table2634[[#This Row],[4 weeks average]]-B1372)/B1372</f>
        <v/>
      </c>
    </row>
    <row r="1425">
      <c r="A1425" s="23" t="n">
        <v>37333</v>
      </c>
      <c r="B1425" s="25">
        <f>VLOOKUP(Table2634[[#This Row],[Date]],'DB Money Supply'!$A:$D,4)</f>
        <v/>
      </c>
      <c r="C1425" s="31">
        <f>(Table2634[[#This Row],[M1 Money Stock, Billions of Dollars, Weekly, Seasonally Adjusted]]-B1424)/B1424</f>
        <v/>
      </c>
      <c r="D1425" s="35">
        <f>((1+Table2634[[#This Row],[Weekly change]])^52)-1</f>
        <v/>
      </c>
      <c r="E1425" s="25">
        <f>AVERAGE(B1422:B1425)</f>
        <v/>
      </c>
      <c r="F1425" s="33">
        <f>(Table2634[[#This Row],[4 weeks average]]-B1373)/B1373</f>
        <v/>
      </c>
    </row>
    <row r="1426">
      <c r="A1426" s="23" t="n">
        <v>37340</v>
      </c>
      <c r="B1426" s="25">
        <f>VLOOKUP(Table2634[[#This Row],[Date]],'DB Money Supply'!$A:$D,4)</f>
        <v/>
      </c>
      <c r="C1426" s="31">
        <f>(Table2634[[#This Row],[M1 Money Stock, Billions of Dollars, Weekly, Seasonally Adjusted]]-B1425)/B1425</f>
        <v/>
      </c>
      <c r="D1426" s="35">
        <f>((1+Table2634[[#This Row],[Weekly change]])^52)-1</f>
        <v/>
      </c>
      <c r="E1426" s="25">
        <f>AVERAGE(B1423:B1426)</f>
        <v/>
      </c>
      <c r="F1426" s="33">
        <f>(Table2634[[#This Row],[4 weeks average]]-B1374)/B1374</f>
        <v/>
      </c>
    </row>
    <row r="1427">
      <c r="A1427" s="23" t="n">
        <v>37347</v>
      </c>
      <c r="B1427" s="25">
        <f>VLOOKUP(Table2634[[#This Row],[Date]],'DB Money Supply'!$A:$D,4)</f>
        <v/>
      </c>
      <c r="C1427" s="31">
        <f>(Table2634[[#This Row],[M1 Money Stock, Billions of Dollars, Weekly, Seasonally Adjusted]]-B1426)/B1426</f>
        <v/>
      </c>
      <c r="D1427" s="35">
        <f>((1+Table2634[[#This Row],[Weekly change]])^52)-1</f>
        <v/>
      </c>
      <c r="E1427" s="25">
        <f>AVERAGE(B1424:B1427)</f>
        <v/>
      </c>
      <c r="F1427" s="33">
        <f>(Table2634[[#This Row],[4 weeks average]]-B1375)/B1375</f>
        <v/>
      </c>
    </row>
    <row r="1428">
      <c r="A1428" s="23" t="n">
        <v>37354</v>
      </c>
      <c r="B1428" s="25">
        <f>VLOOKUP(Table2634[[#This Row],[Date]],'DB Money Supply'!$A:$D,4)</f>
        <v/>
      </c>
      <c r="C1428" s="31">
        <f>(Table2634[[#This Row],[M1 Money Stock, Billions of Dollars, Weekly, Seasonally Adjusted]]-B1427)/B1427</f>
        <v/>
      </c>
      <c r="D1428" s="35">
        <f>((1+Table2634[[#This Row],[Weekly change]])^52)-1</f>
        <v/>
      </c>
      <c r="E1428" s="25">
        <f>AVERAGE(B1425:B1428)</f>
        <v/>
      </c>
      <c r="F1428" s="33">
        <f>(Table2634[[#This Row],[4 weeks average]]-B1376)/B1376</f>
        <v/>
      </c>
    </row>
    <row r="1429">
      <c r="A1429" s="23" t="n">
        <v>37361</v>
      </c>
      <c r="B1429" s="25">
        <f>VLOOKUP(Table2634[[#This Row],[Date]],'DB Money Supply'!$A:$D,4)</f>
        <v/>
      </c>
      <c r="C1429" s="31">
        <f>(Table2634[[#This Row],[M1 Money Stock, Billions of Dollars, Weekly, Seasonally Adjusted]]-B1428)/B1428</f>
        <v/>
      </c>
      <c r="D1429" s="35">
        <f>((1+Table2634[[#This Row],[Weekly change]])^52)-1</f>
        <v/>
      </c>
      <c r="E1429" s="25">
        <f>AVERAGE(B1426:B1429)</f>
        <v/>
      </c>
      <c r="F1429" s="33">
        <f>(Table2634[[#This Row],[4 weeks average]]-B1377)/B1377</f>
        <v/>
      </c>
    </row>
    <row r="1430">
      <c r="A1430" s="23" t="n">
        <v>37368</v>
      </c>
      <c r="B1430" s="25">
        <f>VLOOKUP(Table2634[[#This Row],[Date]],'DB Money Supply'!$A:$D,4)</f>
        <v/>
      </c>
      <c r="C1430" s="31">
        <f>(Table2634[[#This Row],[M1 Money Stock, Billions of Dollars, Weekly, Seasonally Adjusted]]-B1429)/B1429</f>
        <v/>
      </c>
      <c r="D1430" s="35">
        <f>((1+Table2634[[#This Row],[Weekly change]])^52)-1</f>
        <v/>
      </c>
      <c r="E1430" s="25">
        <f>AVERAGE(B1427:B1430)</f>
        <v/>
      </c>
      <c r="F1430" s="33">
        <f>(Table2634[[#This Row],[4 weeks average]]-B1378)/B1378</f>
        <v/>
      </c>
    </row>
    <row r="1431">
      <c r="A1431" s="23" t="n">
        <v>37375</v>
      </c>
      <c r="B1431" s="25">
        <f>VLOOKUP(Table2634[[#This Row],[Date]],'DB Money Supply'!$A:$D,4)</f>
        <v/>
      </c>
      <c r="C1431" s="31">
        <f>(Table2634[[#This Row],[M1 Money Stock, Billions of Dollars, Weekly, Seasonally Adjusted]]-B1430)/B1430</f>
        <v/>
      </c>
      <c r="D1431" s="35">
        <f>((1+Table2634[[#This Row],[Weekly change]])^52)-1</f>
        <v/>
      </c>
      <c r="E1431" s="25">
        <f>AVERAGE(B1428:B1431)</f>
        <v/>
      </c>
      <c r="F1431" s="33">
        <f>(Table2634[[#This Row],[4 weeks average]]-B1379)/B1379</f>
        <v/>
      </c>
    </row>
    <row r="1432">
      <c r="A1432" s="23" t="n">
        <v>37382</v>
      </c>
      <c r="B1432" s="25">
        <f>VLOOKUP(Table2634[[#This Row],[Date]],'DB Money Supply'!$A:$D,4)</f>
        <v/>
      </c>
      <c r="C1432" s="31">
        <f>(Table2634[[#This Row],[M1 Money Stock, Billions of Dollars, Weekly, Seasonally Adjusted]]-B1431)/B1431</f>
        <v/>
      </c>
      <c r="D1432" s="35">
        <f>((1+Table2634[[#This Row],[Weekly change]])^52)-1</f>
        <v/>
      </c>
      <c r="E1432" s="25">
        <f>AVERAGE(B1429:B1432)</f>
        <v/>
      </c>
      <c r="F1432" s="33">
        <f>(Table2634[[#This Row],[4 weeks average]]-B1380)/B1380</f>
        <v/>
      </c>
    </row>
    <row r="1433">
      <c r="A1433" s="23" t="n">
        <v>37389</v>
      </c>
      <c r="B1433" s="25">
        <f>VLOOKUP(Table2634[[#This Row],[Date]],'DB Money Supply'!$A:$D,4)</f>
        <v/>
      </c>
      <c r="C1433" s="31">
        <f>(Table2634[[#This Row],[M1 Money Stock, Billions of Dollars, Weekly, Seasonally Adjusted]]-B1432)/B1432</f>
        <v/>
      </c>
      <c r="D1433" s="35">
        <f>((1+Table2634[[#This Row],[Weekly change]])^52)-1</f>
        <v/>
      </c>
      <c r="E1433" s="25">
        <f>AVERAGE(B1430:B1433)</f>
        <v/>
      </c>
      <c r="F1433" s="33">
        <f>(Table2634[[#This Row],[4 weeks average]]-B1381)/B1381</f>
        <v/>
      </c>
    </row>
    <row r="1434">
      <c r="A1434" s="23" t="n">
        <v>37396</v>
      </c>
      <c r="B1434" s="25">
        <f>VLOOKUP(Table2634[[#This Row],[Date]],'DB Money Supply'!$A:$D,4)</f>
        <v/>
      </c>
      <c r="C1434" s="31">
        <f>(Table2634[[#This Row],[M1 Money Stock, Billions of Dollars, Weekly, Seasonally Adjusted]]-B1433)/B1433</f>
        <v/>
      </c>
      <c r="D1434" s="35">
        <f>((1+Table2634[[#This Row],[Weekly change]])^52)-1</f>
        <v/>
      </c>
      <c r="E1434" s="25">
        <f>AVERAGE(B1431:B1434)</f>
        <v/>
      </c>
      <c r="F1434" s="33">
        <f>(Table2634[[#This Row],[4 weeks average]]-B1382)/B1382</f>
        <v/>
      </c>
    </row>
    <row r="1435">
      <c r="A1435" s="23" t="n">
        <v>37403</v>
      </c>
      <c r="B1435" s="25">
        <f>VLOOKUP(Table2634[[#This Row],[Date]],'DB Money Supply'!$A:$D,4)</f>
        <v/>
      </c>
      <c r="C1435" s="31">
        <f>(Table2634[[#This Row],[M1 Money Stock, Billions of Dollars, Weekly, Seasonally Adjusted]]-B1434)/B1434</f>
        <v/>
      </c>
      <c r="D1435" s="35">
        <f>((1+Table2634[[#This Row],[Weekly change]])^52)-1</f>
        <v/>
      </c>
      <c r="E1435" s="25">
        <f>AVERAGE(B1432:B1435)</f>
        <v/>
      </c>
      <c r="F1435" s="33">
        <f>(Table2634[[#This Row],[4 weeks average]]-B1383)/B1383</f>
        <v/>
      </c>
    </row>
    <row r="1436">
      <c r="A1436" s="23" t="n">
        <v>37410</v>
      </c>
      <c r="B1436" s="25">
        <f>VLOOKUP(Table2634[[#This Row],[Date]],'DB Money Supply'!$A:$D,4)</f>
        <v/>
      </c>
      <c r="C1436" s="31">
        <f>(Table2634[[#This Row],[M1 Money Stock, Billions of Dollars, Weekly, Seasonally Adjusted]]-B1435)/B1435</f>
        <v/>
      </c>
      <c r="D1436" s="35">
        <f>((1+Table2634[[#This Row],[Weekly change]])^52)-1</f>
        <v/>
      </c>
      <c r="E1436" s="25">
        <f>AVERAGE(B1433:B1436)</f>
        <v/>
      </c>
      <c r="F1436" s="33">
        <f>(Table2634[[#This Row],[4 weeks average]]-B1384)/B1384</f>
        <v/>
      </c>
    </row>
    <row r="1437">
      <c r="A1437" s="23" t="n">
        <v>37417</v>
      </c>
      <c r="B1437" s="25">
        <f>VLOOKUP(Table2634[[#This Row],[Date]],'DB Money Supply'!$A:$D,4)</f>
        <v/>
      </c>
      <c r="C1437" s="31">
        <f>(Table2634[[#This Row],[M1 Money Stock, Billions of Dollars, Weekly, Seasonally Adjusted]]-B1436)/B1436</f>
        <v/>
      </c>
      <c r="D1437" s="35">
        <f>((1+Table2634[[#This Row],[Weekly change]])^52)-1</f>
        <v/>
      </c>
      <c r="E1437" s="25">
        <f>AVERAGE(B1434:B1437)</f>
        <v/>
      </c>
      <c r="F1437" s="33">
        <f>(Table2634[[#This Row],[4 weeks average]]-B1385)/B1385</f>
        <v/>
      </c>
    </row>
    <row r="1438">
      <c r="A1438" s="23" t="n">
        <v>37424</v>
      </c>
      <c r="B1438" s="25">
        <f>VLOOKUP(Table2634[[#This Row],[Date]],'DB Money Supply'!$A:$D,4)</f>
        <v/>
      </c>
      <c r="C1438" s="31">
        <f>(Table2634[[#This Row],[M1 Money Stock, Billions of Dollars, Weekly, Seasonally Adjusted]]-B1437)/B1437</f>
        <v/>
      </c>
      <c r="D1438" s="35">
        <f>((1+Table2634[[#This Row],[Weekly change]])^52)-1</f>
        <v/>
      </c>
      <c r="E1438" s="25">
        <f>AVERAGE(B1435:B1438)</f>
        <v/>
      </c>
      <c r="F1438" s="33">
        <f>(Table2634[[#This Row],[4 weeks average]]-B1386)/B1386</f>
        <v/>
      </c>
    </row>
    <row r="1439">
      <c r="A1439" s="23" t="n">
        <v>37431</v>
      </c>
      <c r="B1439" s="25">
        <f>VLOOKUP(Table2634[[#This Row],[Date]],'DB Money Supply'!$A:$D,4)</f>
        <v/>
      </c>
      <c r="C1439" s="31">
        <f>(Table2634[[#This Row],[M1 Money Stock, Billions of Dollars, Weekly, Seasonally Adjusted]]-B1438)/B1438</f>
        <v/>
      </c>
      <c r="D1439" s="35">
        <f>((1+Table2634[[#This Row],[Weekly change]])^52)-1</f>
        <v/>
      </c>
      <c r="E1439" s="25">
        <f>AVERAGE(B1436:B1439)</f>
        <v/>
      </c>
      <c r="F1439" s="33">
        <f>(Table2634[[#This Row],[4 weeks average]]-B1387)/B1387</f>
        <v/>
      </c>
    </row>
    <row r="1440">
      <c r="A1440" s="23" t="n">
        <v>37438</v>
      </c>
      <c r="B1440" s="25">
        <f>VLOOKUP(Table2634[[#This Row],[Date]],'DB Money Supply'!$A:$D,4)</f>
        <v/>
      </c>
      <c r="C1440" s="31">
        <f>(Table2634[[#This Row],[M1 Money Stock, Billions of Dollars, Weekly, Seasonally Adjusted]]-B1439)/B1439</f>
        <v/>
      </c>
      <c r="D1440" s="35">
        <f>((1+Table2634[[#This Row],[Weekly change]])^52)-1</f>
        <v/>
      </c>
      <c r="E1440" s="25">
        <f>AVERAGE(B1437:B1440)</f>
        <v/>
      </c>
      <c r="F1440" s="33">
        <f>(Table2634[[#This Row],[4 weeks average]]-B1388)/B1388</f>
        <v/>
      </c>
    </row>
    <row r="1441">
      <c r="A1441" s="23" t="n">
        <v>37445</v>
      </c>
      <c r="B1441" s="25">
        <f>VLOOKUP(Table2634[[#This Row],[Date]],'DB Money Supply'!$A:$D,4)</f>
        <v/>
      </c>
      <c r="C1441" s="31">
        <f>(Table2634[[#This Row],[M1 Money Stock, Billions of Dollars, Weekly, Seasonally Adjusted]]-B1440)/B1440</f>
        <v/>
      </c>
      <c r="D1441" s="35">
        <f>((1+Table2634[[#This Row],[Weekly change]])^52)-1</f>
        <v/>
      </c>
      <c r="E1441" s="25">
        <f>AVERAGE(B1438:B1441)</f>
        <v/>
      </c>
      <c r="F1441" s="33">
        <f>(Table2634[[#This Row],[4 weeks average]]-B1389)/B1389</f>
        <v/>
      </c>
    </row>
    <row r="1442">
      <c r="A1442" s="23" t="n">
        <v>37452</v>
      </c>
      <c r="B1442" s="25">
        <f>VLOOKUP(Table2634[[#This Row],[Date]],'DB Money Supply'!$A:$D,4)</f>
        <v/>
      </c>
      <c r="C1442" s="31">
        <f>(Table2634[[#This Row],[M1 Money Stock, Billions of Dollars, Weekly, Seasonally Adjusted]]-B1441)/B1441</f>
        <v/>
      </c>
      <c r="D1442" s="35">
        <f>((1+Table2634[[#This Row],[Weekly change]])^52)-1</f>
        <v/>
      </c>
      <c r="E1442" s="25">
        <f>AVERAGE(B1439:B1442)</f>
        <v/>
      </c>
      <c r="F1442" s="33">
        <f>(Table2634[[#This Row],[4 weeks average]]-B1390)/B1390</f>
        <v/>
      </c>
    </row>
    <row r="1443">
      <c r="A1443" s="23" t="n">
        <v>37459</v>
      </c>
      <c r="B1443" s="25">
        <f>VLOOKUP(Table2634[[#This Row],[Date]],'DB Money Supply'!$A:$D,4)</f>
        <v/>
      </c>
      <c r="C1443" s="31">
        <f>(Table2634[[#This Row],[M1 Money Stock, Billions of Dollars, Weekly, Seasonally Adjusted]]-B1442)/B1442</f>
        <v/>
      </c>
      <c r="D1443" s="35">
        <f>((1+Table2634[[#This Row],[Weekly change]])^52)-1</f>
        <v/>
      </c>
      <c r="E1443" s="25">
        <f>AVERAGE(B1440:B1443)</f>
        <v/>
      </c>
      <c r="F1443" s="33">
        <f>(Table2634[[#This Row],[4 weeks average]]-B1391)/B1391</f>
        <v/>
      </c>
    </row>
    <row r="1444">
      <c r="A1444" s="23" t="n">
        <v>37466</v>
      </c>
      <c r="B1444" s="25">
        <f>VLOOKUP(Table2634[[#This Row],[Date]],'DB Money Supply'!$A:$D,4)</f>
        <v/>
      </c>
      <c r="C1444" s="31">
        <f>(Table2634[[#This Row],[M1 Money Stock, Billions of Dollars, Weekly, Seasonally Adjusted]]-B1443)/B1443</f>
        <v/>
      </c>
      <c r="D1444" s="35">
        <f>((1+Table2634[[#This Row],[Weekly change]])^52)-1</f>
        <v/>
      </c>
      <c r="E1444" s="25">
        <f>AVERAGE(B1441:B1444)</f>
        <v/>
      </c>
      <c r="F1444" s="33">
        <f>(Table2634[[#This Row],[4 weeks average]]-B1392)/B1392</f>
        <v/>
      </c>
    </row>
    <row r="1445">
      <c r="A1445" s="23" t="n">
        <v>37473</v>
      </c>
      <c r="B1445" s="25">
        <f>VLOOKUP(Table2634[[#This Row],[Date]],'DB Money Supply'!$A:$D,4)</f>
        <v/>
      </c>
      <c r="C1445" s="31">
        <f>(Table2634[[#This Row],[M1 Money Stock, Billions of Dollars, Weekly, Seasonally Adjusted]]-B1444)/B1444</f>
        <v/>
      </c>
      <c r="D1445" s="35">
        <f>((1+Table2634[[#This Row],[Weekly change]])^52)-1</f>
        <v/>
      </c>
      <c r="E1445" s="25">
        <f>AVERAGE(B1442:B1445)</f>
        <v/>
      </c>
      <c r="F1445" s="33">
        <f>(Table2634[[#This Row],[4 weeks average]]-B1393)/B1393</f>
        <v/>
      </c>
    </row>
    <row r="1446">
      <c r="A1446" s="23" t="n">
        <v>37480</v>
      </c>
      <c r="B1446" s="25">
        <f>VLOOKUP(Table2634[[#This Row],[Date]],'DB Money Supply'!$A:$D,4)</f>
        <v/>
      </c>
      <c r="C1446" s="31">
        <f>(Table2634[[#This Row],[M1 Money Stock, Billions of Dollars, Weekly, Seasonally Adjusted]]-B1445)/B1445</f>
        <v/>
      </c>
      <c r="D1446" s="35">
        <f>((1+Table2634[[#This Row],[Weekly change]])^52)-1</f>
        <v/>
      </c>
      <c r="E1446" s="25">
        <f>AVERAGE(B1443:B1446)</f>
        <v/>
      </c>
      <c r="F1446" s="33">
        <f>(Table2634[[#This Row],[4 weeks average]]-B1394)/B1394</f>
        <v/>
      </c>
    </row>
    <row r="1447">
      <c r="A1447" s="23" t="n">
        <v>37487</v>
      </c>
      <c r="B1447" s="25">
        <f>VLOOKUP(Table2634[[#This Row],[Date]],'DB Money Supply'!$A:$D,4)</f>
        <v/>
      </c>
      <c r="C1447" s="31">
        <f>(Table2634[[#This Row],[M1 Money Stock, Billions of Dollars, Weekly, Seasonally Adjusted]]-B1446)/B1446</f>
        <v/>
      </c>
      <c r="D1447" s="35">
        <f>((1+Table2634[[#This Row],[Weekly change]])^52)-1</f>
        <v/>
      </c>
      <c r="E1447" s="25">
        <f>AVERAGE(B1444:B1447)</f>
        <v/>
      </c>
      <c r="F1447" s="33">
        <f>(Table2634[[#This Row],[4 weeks average]]-B1395)/B1395</f>
        <v/>
      </c>
    </row>
    <row r="1448">
      <c r="A1448" s="23" t="n">
        <v>37494</v>
      </c>
      <c r="B1448" s="25">
        <f>VLOOKUP(Table2634[[#This Row],[Date]],'DB Money Supply'!$A:$D,4)</f>
        <v/>
      </c>
      <c r="C1448" s="31">
        <f>(Table2634[[#This Row],[M1 Money Stock, Billions of Dollars, Weekly, Seasonally Adjusted]]-B1447)/B1447</f>
        <v/>
      </c>
      <c r="D1448" s="35">
        <f>((1+Table2634[[#This Row],[Weekly change]])^52)-1</f>
        <v/>
      </c>
      <c r="E1448" s="25">
        <f>AVERAGE(B1445:B1448)</f>
        <v/>
      </c>
      <c r="F1448" s="33">
        <f>(Table2634[[#This Row],[4 weeks average]]-B1396)/B1396</f>
        <v/>
      </c>
    </row>
    <row r="1449">
      <c r="A1449" s="23" t="n">
        <v>37501</v>
      </c>
      <c r="B1449" s="25">
        <f>VLOOKUP(Table2634[[#This Row],[Date]],'DB Money Supply'!$A:$D,4)</f>
        <v/>
      </c>
      <c r="C1449" s="31">
        <f>(Table2634[[#This Row],[M1 Money Stock, Billions of Dollars, Weekly, Seasonally Adjusted]]-B1448)/B1448</f>
        <v/>
      </c>
      <c r="D1449" s="35">
        <f>((1+Table2634[[#This Row],[Weekly change]])^52)-1</f>
        <v/>
      </c>
      <c r="E1449" s="25">
        <f>AVERAGE(B1446:B1449)</f>
        <v/>
      </c>
      <c r="F1449" s="33">
        <f>(Table2634[[#This Row],[4 weeks average]]-B1397)/B1397</f>
        <v/>
      </c>
    </row>
    <row r="1450">
      <c r="A1450" s="23" t="n">
        <v>37508</v>
      </c>
      <c r="B1450" s="25">
        <f>VLOOKUP(Table2634[[#This Row],[Date]],'DB Money Supply'!$A:$D,4)</f>
        <v/>
      </c>
      <c r="C1450" s="31">
        <f>(Table2634[[#This Row],[M1 Money Stock, Billions of Dollars, Weekly, Seasonally Adjusted]]-B1449)/B1449</f>
        <v/>
      </c>
      <c r="D1450" s="35">
        <f>((1+Table2634[[#This Row],[Weekly change]])^52)-1</f>
        <v/>
      </c>
      <c r="E1450" s="25">
        <f>AVERAGE(B1447:B1450)</f>
        <v/>
      </c>
      <c r="F1450" s="33">
        <f>(Table2634[[#This Row],[4 weeks average]]-B1398)/B1398</f>
        <v/>
      </c>
    </row>
    <row r="1451">
      <c r="A1451" s="23" t="n">
        <v>37515</v>
      </c>
      <c r="B1451" s="25">
        <f>VLOOKUP(Table2634[[#This Row],[Date]],'DB Money Supply'!$A:$D,4)</f>
        <v/>
      </c>
      <c r="C1451" s="31">
        <f>(Table2634[[#This Row],[M1 Money Stock, Billions of Dollars, Weekly, Seasonally Adjusted]]-B1450)/B1450</f>
        <v/>
      </c>
      <c r="D1451" s="35">
        <f>((1+Table2634[[#This Row],[Weekly change]])^52)-1</f>
        <v/>
      </c>
      <c r="E1451" s="25">
        <f>AVERAGE(B1448:B1451)</f>
        <v/>
      </c>
      <c r="F1451" s="33">
        <f>(Table2634[[#This Row],[4 weeks average]]-B1399)/B1399</f>
        <v/>
      </c>
    </row>
    <row r="1452">
      <c r="A1452" s="23" t="n">
        <v>37522</v>
      </c>
      <c r="B1452" s="25">
        <f>VLOOKUP(Table2634[[#This Row],[Date]],'DB Money Supply'!$A:$D,4)</f>
        <v/>
      </c>
      <c r="C1452" s="31">
        <f>(Table2634[[#This Row],[M1 Money Stock, Billions of Dollars, Weekly, Seasonally Adjusted]]-B1451)/B1451</f>
        <v/>
      </c>
      <c r="D1452" s="35">
        <f>((1+Table2634[[#This Row],[Weekly change]])^52)-1</f>
        <v/>
      </c>
      <c r="E1452" s="25">
        <f>AVERAGE(B1449:B1452)</f>
        <v/>
      </c>
      <c r="F1452" s="33">
        <f>(Table2634[[#This Row],[4 weeks average]]-B1400)/B1400</f>
        <v/>
      </c>
    </row>
    <row r="1453">
      <c r="A1453" s="23" t="n">
        <v>37529</v>
      </c>
      <c r="B1453" s="25">
        <f>VLOOKUP(Table2634[[#This Row],[Date]],'DB Money Supply'!$A:$D,4)</f>
        <v/>
      </c>
      <c r="C1453" s="31">
        <f>(Table2634[[#This Row],[M1 Money Stock, Billions of Dollars, Weekly, Seasonally Adjusted]]-B1452)/B1452</f>
        <v/>
      </c>
      <c r="D1453" s="35">
        <f>((1+Table2634[[#This Row],[Weekly change]])^52)-1</f>
        <v/>
      </c>
      <c r="E1453" s="25">
        <f>AVERAGE(B1450:B1453)</f>
        <v/>
      </c>
      <c r="F1453" s="33">
        <f>(Table2634[[#This Row],[4 weeks average]]-B1401)/B1401</f>
        <v/>
      </c>
    </row>
    <row r="1454">
      <c r="A1454" s="23" t="n">
        <v>37536</v>
      </c>
      <c r="B1454" s="25">
        <f>VLOOKUP(Table2634[[#This Row],[Date]],'DB Money Supply'!$A:$D,4)</f>
        <v/>
      </c>
      <c r="C1454" s="31">
        <f>(Table2634[[#This Row],[M1 Money Stock, Billions of Dollars, Weekly, Seasonally Adjusted]]-B1453)/B1453</f>
        <v/>
      </c>
      <c r="D1454" s="35">
        <f>((1+Table2634[[#This Row],[Weekly change]])^52)-1</f>
        <v/>
      </c>
      <c r="E1454" s="25">
        <f>AVERAGE(B1451:B1454)</f>
        <v/>
      </c>
      <c r="F1454" s="33">
        <f>(Table2634[[#This Row],[4 weeks average]]-B1402)/B1402</f>
        <v/>
      </c>
    </row>
    <row r="1455">
      <c r="A1455" s="23" t="n">
        <v>37543</v>
      </c>
      <c r="B1455" s="25">
        <f>VLOOKUP(Table2634[[#This Row],[Date]],'DB Money Supply'!$A:$D,4)</f>
        <v/>
      </c>
      <c r="C1455" s="31">
        <f>(Table2634[[#This Row],[M1 Money Stock, Billions of Dollars, Weekly, Seasonally Adjusted]]-B1454)/B1454</f>
        <v/>
      </c>
      <c r="D1455" s="35">
        <f>((1+Table2634[[#This Row],[Weekly change]])^52)-1</f>
        <v/>
      </c>
      <c r="E1455" s="25">
        <f>AVERAGE(B1452:B1455)</f>
        <v/>
      </c>
      <c r="F1455" s="33">
        <f>(Table2634[[#This Row],[4 weeks average]]-B1403)/B1403</f>
        <v/>
      </c>
    </row>
    <row r="1456">
      <c r="A1456" s="23" t="n">
        <v>37550</v>
      </c>
      <c r="B1456" s="25">
        <f>VLOOKUP(Table2634[[#This Row],[Date]],'DB Money Supply'!$A:$D,4)</f>
        <v/>
      </c>
      <c r="C1456" s="31">
        <f>(Table2634[[#This Row],[M1 Money Stock, Billions of Dollars, Weekly, Seasonally Adjusted]]-B1455)/B1455</f>
        <v/>
      </c>
      <c r="D1456" s="35">
        <f>((1+Table2634[[#This Row],[Weekly change]])^52)-1</f>
        <v/>
      </c>
      <c r="E1456" s="25">
        <f>AVERAGE(B1453:B1456)</f>
        <v/>
      </c>
      <c r="F1456" s="33">
        <f>(Table2634[[#This Row],[4 weeks average]]-B1404)/B1404</f>
        <v/>
      </c>
    </row>
    <row r="1457">
      <c r="A1457" s="23" t="n">
        <v>37557</v>
      </c>
      <c r="B1457" s="25">
        <f>VLOOKUP(Table2634[[#This Row],[Date]],'DB Money Supply'!$A:$D,4)</f>
        <v/>
      </c>
      <c r="C1457" s="31">
        <f>(Table2634[[#This Row],[M1 Money Stock, Billions of Dollars, Weekly, Seasonally Adjusted]]-B1456)/B1456</f>
        <v/>
      </c>
      <c r="D1457" s="35">
        <f>((1+Table2634[[#This Row],[Weekly change]])^52)-1</f>
        <v/>
      </c>
      <c r="E1457" s="25">
        <f>AVERAGE(B1454:B1457)</f>
        <v/>
      </c>
      <c r="F1457" s="33">
        <f>(Table2634[[#This Row],[4 weeks average]]-B1405)/B1405</f>
        <v/>
      </c>
    </row>
    <row r="1458">
      <c r="A1458" s="23" t="n">
        <v>37564</v>
      </c>
      <c r="B1458" s="25">
        <f>VLOOKUP(Table2634[[#This Row],[Date]],'DB Money Supply'!$A:$D,4)</f>
        <v/>
      </c>
      <c r="C1458" s="31">
        <f>(Table2634[[#This Row],[M1 Money Stock, Billions of Dollars, Weekly, Seasonally Adjusted]]-B1457)/B1457</f>
        <v/>
      </c>
      <c r="D1458" s="35">
        <f>((1+Table2634[[#This Row],[Weekly change]])^52)-1</f>
        <v/>
      </c>
      <c r="E1458" s="25">
        <f>AVERAGE(B1455:B1458)</f>
        <v/>
      </c>
      <c r="F1458" s="33">
        <f>(Table2634[[#This Row],[4 weeks average]]-B1406)/B1406</f>
        <v/>
      </c>
    </row>
    <row r="1459">
      <c r="A1459" s="23" t="n">
        <v>37571</v>
      </c>
      <c r="B1459" s="25">
        <f>VLOOKUP(Table2634[[#This Row],[Date]],'DB Money Supply'!$A:$D,4)</f>
        <v/>
      </c>
      <c r="C1459" s="31">
        <f>(Table2634[[#This Row],[M1 Money Stock, Billions of Dollars, Weekly, Seasonally Adjusted]]-B1458)/B1458</f>
        <v/>
      </c>
      <c r="D1459" s="35">
        <f>((1+Table2634[[#This Row],[Weekly change]])^52)-1</f>
        <v/>
      </c>
      <c r="E1459" s="25">
        <f>AVERAGE(B1456:B1459)</f>
        <v/>
      </c>
      <c r="F1459" s="33">
        <f>(Table2634[[#This Row],[4 weeks average]]-B1407)/B1407</f>
        <v/>
      </c>
    </row>
    <row r="1460">
      <c r="A1460" s="23" t="n">
        <v>37578</v>
      </c>
      <c r="B1460" s="25">
        <f>VLOOKUP(Table2634[[#This Row],[Date]],'DB Money Supply'!$A:$D,4)</f>
        <v/>
      </c>
      <c r="C1460" s="31">
        <f>(Table2634[[#This Row],[M1 Money Stock, Billions of Dollars, Weekly, Seasonally Adjusted]]-B1459)/B1459</f>
        <v/>
      </c>
      <c r="D1460" s="35">
        <f>((1+Table2634[[#This Row],[Weekly change]])^52)-1</f>
        <v/>
      </c>
      <c r="E1460" s="25">
        <f>AVERAGE(B1457:B1460)</f>
        <v/>
      </c>
      <c r="F1460" s="33">
        <f>(Table2634[[#This Row],[4 weeks average]]-B1408)/B1408</f>
        <v/>
      </c>
    </row>
    <row r="1461">
      <c r="A1461" s="23" t="n">
        <v>37585</v>
      </c>
      <c r="B1461" s="25">
        <f>VLOOKUP(Table2634[[#This Row],[Date]],'DB Money Supply'!$A:$D,4)</f>
        <v/>
      </c>
      <c r="C1461" s="31">
        <f>(Table2634[[#This Row],[M1 Money Stock, Billions of Dollars, Weekly, Seasonally Adjusted]]-B1460)/B1460</f>
        <v/>
      </c>
      <c r="D1461" s="35">
        <f>((1+Table2634[[#This Row],[Weekly change]])^52)-1</f>
        <v/>
      </c>
      <c r="E1461" s="25">
        <f>AVERAGE(B1458:B1461)</f>
        <v/>
      </c>
      <c r="F1461" s="33">
        <f>(Table2634[[#This Row],[4 weeks average]]-B1409)/B1409</f>
        <v/>
      </c>
    </row>
    <row r="1462">
      <c r="A1462" s="23" t="n">
        <v>37592</v>
      </c>
      <c r="B1462" s="25">
        <f>VLOOKUP(Table2634[[#This Row],[Date]],'DB Money Supply'!$A:$D,4)</f>
        <v/>
      </c>
      <c r="C1462" s="31">
        <f>(Table2634[[#This Row],[M1 Money Stock, Billions of Dollars, Weekly, Seasonally Adjusted]]-B1461)/B1461</f>
        <v/>
      </c>
      <c r="D1462" s="35">
        <f>((1+Table2634[[#This Row],[Weekly change]])^52)-1</f>
        <v/>
      </c>
      <c r="E1462" s="25">
        <f>AVERAGE(B1459:B1462)</f>
        <v/>
      </c>
      <c r="F1462" s="33">
        <f>(Table2634[[#This Row],[4 weeks average]]-B1410)/B1410</f>
        <v/>
      </c>
    </row>
    <row r="1463">
      <c r="A1463" s="23" t="n">
        <v>37599</v>
      </c>
      <c r="B1463" s="25">
        <f>VLOOKUP(Table2634[[#This Row],[Date]],'DB Money Supply'!$A:$D,4)</f>
        <v/>
      </c>
      <c r="C1463" s="31">
        <f>(Table2634[[#This Row],[M1 Money Stock, Billions of Dollars, Weekly, Seasonally Adjusted]]-B1462)/B1462</f>
        <v/>
      </c>
      <c r="D1463" s="35">
        <f>((1+Table2634[[#This Row],[Weekly change]])^52)-1</f>
        <v/>
      </c>
      <c r="E1463" s="25">
        <f>AVERAGE(B1460:B1463)</f>
        <v/>
      </c>
      <c r="F1463" s="33">
        <f>(Table2634[[#This Row],[4 weeks average]]-B1411)/B1411</f>
        <v/>
      </c>
    </row>
    <row r="1464">
      <c r="A1464" s="23" t="n">
        <v>37606</v>
      </c>
      <c r="B1464" s="25">
        <f>VLOOKUP(Table2634[[#This Row],[Date]],'DB Money Supply'!$A:$D,4)</f>
        <v/>
      </c>
      <c r="C1464" s="31">
        <f>(Table2634[[#This Row],[M1 Money Stock, Billions of Dollars, Weekly, Seasonally Adjusted]]-B1463)/B1463</f>
        <v/>
      </c>
      <c r="D1464" s="35">
        <f>((1+Table2634[[#This Row],[Weekly change]])^52)-1</f>
        <v/>
      </c>
      <c r="E1464" s="25">
        <f>AVERAGE(B1461:B1464)</f>
        <v/>
      </c>
      <c r="F1464" s="33">
        <f>(Table2634[[#This Row],[4 weeks average]]-B1412)/B1412</f>
        <v/>
      </c>
    </row>
    <row r="1465">
      <c r="A1465" s="23" t="n">
        <v>37613</v>
      </c>
      <c r="B1465" s="25">
        <f>VLOOKUP(Table2634[[#This Row],[Date]],'DB Money Supply'!$A:$D,4)</f>
        <v/>
      </c>
      <c r="C1465" s="31">
        <f>(Table2634[[#This Row],[M1 Money Stock, Billions of Dollars, Weekly, Seasonally Adjusted]]-B1464)/B1464</f>
        <v/>
      </c>
      <c r="D1465" s="35">
        <f>((1+Table2634[[#This Row],[Weekly change]])^52)-1</f>
        <v/>
      </c>
      <c r="E1465" s="25">
        <f>AVERAGE(B1462:B1465)</f>
        <v/>
      </c>
      <c r="F1465" s="33">
        <f>(Table2634[[#This Row],[4 weeks average]]-B1413)/B1413</f>
        <v/>
      </c>
    </row>
    <row r="1466">
      <c r="A1466" s="23" t="n">
        <v>37620</v>
      </c>
      <c r="B1466" s="25">
        <f>VLOOKUP(Table2634[[#This Row],[Date]],'DB Money Supply'!$A:$D,4)</f>
        <v/>
      </c>
      <c r="C1466" s="31">
        <f>(Table2634[[#This Row],[M1 Money Stock, Billions of Dollars, Weekly, Seasonally Adjusted]]-B1465)/B1465</f>
        <v/>
      </c>
      <c r="D1466" s="35">
        <f>((1+Table2634[[#This Row],[Weekly change]])^52)-1</f>
        <v/>
      </c>
      <c r="E1466" s="25">
        <f>AVERAGE(B1463:B1466)</f>
        <v/>
      </c>
      <c r="F1466" s="33">
        <f>(Table2634[[#This Row],[4 weeks average]]-B1414)/B1414</f>
        <v/>
      </c>
    </row>
    <row r="1467">
      <c r="A1467" s="23" t="n">
        <v>37627</v>
      </c>
      <c r="B1467" s="25">
        <f>VLOOKUP(Table2634[[#This Row],[Date]],'DB Money Supply'!$A:$D,4)</f>
        <v/>
      </c>
      <c r="C1467" s="31">
        <f>(Table2634[[#This Row],[M1 Money Stock, Billions of Dollars, Weekly, Seasonally Adjusted]]-B1466)/B1466</f>
        <v/>
      </c>
      <c r="D1467" s="35">
        <f>((1+Table2634[[#This Row],[Weekly change]])^52)-1</f>
        <v/>
      </c>
      <c r="E1467" s="25">
        <f>AVERAGE(B1464:B1467)</f>
        <v/>
      </c>
      <c r="F1467" s="33">
        <f>(Table2634[[#This Row],[4 weeks average]]-B1415)/B1415</f>
        <v/>
      </c>
    </row>
    <row r="1468">
      <c r="A1468" s="23" t="n">
        <v>37634</v>
      </c>
      <c r="B1468" s="25">
        <f>VLOOKUP(Table2634[[#This Row],[Date]],'DB Money Supply'!$A:$D,4)</f>
        <v/>
      </c>
      <c r="C1468" s="31">
        <f>(Table2634[[#This Row],[M1 Money Stock, Billions of Dollars, Weekly, Seasonally Adjusted]]-B1467)/B1467</f>
        <v/>
      </c>
      <c r="D1468" s="35">
        <f>((1+Table2634[[#This Row],[Weekly change]])^52)-1</f>
        <v/>
      </c>
      <c r="E1468" s="25">
        <f>AVERAGE(B1465:B1468)</f>
        <v/>
      </c>
      <c r="F1468" s="33">
        <f>(Table2634[[#This Row],[4 weeks average]]-B1416)/B1416</f>
        <v/>
      </c>
    </row>
    <row r="1469">
      <c r="A1469" s="23" t="n">
        <v>37641</v>
      </c>
      <c r="B1469" s="25">
        <f>VLOOKUP(Table2634[[#This Row],[Date]],'DB Money Supply'!$A:$D,4)</f>
        <v/>
      </c>
      <c r="C1469" s="31">
        <f>(Table2634[[#This Row],[M1 Money Stock, Billions of Dollars, Weekly, Seasonally Adjusted]]-B1468)/B1468</f>
        <v/>
      </c>
      <c r="D1469" s="35">
        <f>((1+Table2634[[#This Row],[Weekly change]])^52)-1</f>
        <v/>
      </c>
      <c r="E1469" s="25">
        <f>AVERAGE(B1466:B1469)</f>
        <v/>
      </c>
      <c r="F1469" s="33">
        <f>(Table2634[[#This Row],[4 weeks average]]-B1417)/B1417</f>
        <v/>
      </c>
    </row>
    <row r="1470">
      <c r="A1470" s="23" t="n">
        <v>37648</v>
      </c>
      <c r="B1470" s="25">
        <f>VLOOKUP(Table2634[[#This Row],[Date]],'DB Money Supply'!$A:$D,4)</f>
        <v/>
      </c>
      <c r="C1470" s="31">
        <f>(Table2634[[#This Row],[M1 Money Stock, Billions of Dollars, Weekly, Seasonally Adjusted]]-B1469)/B1469</f>
        <v/>
      </c>
      <c r="D1470" s="35">
        <f>((1+Table2634[[#This Row],[Weekly change]])^52)-1</f>
        <v/>
      </c>
      <c r="E1470" s="25">
        <f>AVERAGE(B1467:B1470)</f>
        <v/>
      </c>
      <c r="F1470" s="33">
        <f>(Table2634[[#This Row],[4 weeks average]]-B1418)/B1418</f>
        <v/>
      </c>
    </row>
    <row r="1471">
      <c r="A1471" s="23" t="n">
        <v>37655</v>
      </c>
      <c r="B1471" s="25">
        <f>VLOOKUP(Table2634[[#This Row],[Date]],'DB Money Supply'!$A:$D,4)</f>
        <v/>
      </c>
      <c r="C1471" s="31">
        <f>(Table2634[[#This Row],[M1 Money Stock, Billions of Dollars, Weekly, Seasonally Adjusted]]-B1470)/B1470</f>
        <v/>
      </c>
      <c r="D1471" s="35">
        <f>((1+Table2634[[#This Row],[Weekly change]])^52)-1</f>
        <v/>
      </c>
      <c r="E1471" s="25">
        <f>AVERAGE(B1468:B1471)</f>
        <v/>
      </c>
      <c r="F1471" s="33">
        <f>(Table2634[[#This Row],[4 weeks average]]-B1419)/B1419</f>
        <v/>
      </c>
    </row>
    <row r="1472">
      <c r="A1472" s="23" t="n">
        <v>37662</v>
      </c>
      <c r="B1472" s="25">
        <f>VLOOKUP(Table2634[[#This Row],[Date]],'DB Money Supply'!$A:$D,4)</f>
        <v/>
      </c>
      <c r="C1472" s="31">
        <f>(Table2634[[#This Row],[M1 Money Stock, Billions of Dollars, Weekly, Seasonally Adjusted]]-B1471)/B1471</f>
        <v/>
      </c>
      <c r="D1472" s="35">
        <f>((1+Table2634[[#This Row],[Weekly change]])^52)-1</f>
        <v/>
      </c>
      <c r="E1472" s="25">
        <f>AVERAGE(B1469:B1472)</f>
        <v/>
      </c>
      <c r="F1472" s="33">
        <f>(Table2634[[#This Row],[4 weeks average]]-B1420)/B1420</f>
        <v/>
      </c>
    </row>
    <row r="1473">
      <c r="A1473" s="23" t="n">
        <v>37669</v>
      </c>
      <c r="B1473" s="25">
        <f>VLOOKUP(Table2634[[#This Row],[Date]],'DB Money Supply'!$A:$D,4)</f>
        <v/>
      </c>
      <c r="C1473" s="31">
        <f>(Table2634[[#This Row],[M1 Money Stock, Billions of Dollars, Weekly, Seasonally Adjusted]]-B1472)/B1472</f>
        <v/>
      </c>
      <c r="D1473" s="35">
        <f>((1+Table2634[[#This Row],[Weekly change]])^52)-1</f>
        <v/>
      </c>
      <c r="E1473" s="25">
        <f>AVERAGE(B1470:B1473)</f>
        <v/>
      </c>
      <c r="F1473" s="33">
        <f>(Table2634[[#This Row],[4 weeks average]]-B1421)/B1421</f>
        <v/>
      </c>
    </row>
    <row r="1474">
      <c r="A1474" s="23" t="n">
        <v>37676</v>
      </c>
      <c r="B1474" s="25">
        <f>VLOOKUP(Table2634[[#This Row],[Date]],'DB Money Supply'!$A:$D,4)</f>
        <v/>
      </c>
      <c r="C1474" s="31">
        <f>(Table2634[[#This Row],[M1 Money Stock, Billions of Dollars, Weekly, Seasonally Adjusted]]-B1473)/B1473</f>
        <v/>
      </c>
      <c r="D1474" s="35">
        <f>((1+Table2634[[#This Row],[Weekly change]])^52)-1</f>
        <v/>
      </c>
      <c r="E1474" s="25">
        <f>AVERAGE(B1471:B1474)</f>
        <v/>
      </c>
      <c r="F1474" s="33">
        <f>(Table2634[[#This Row],[4 weeks average]]-B1422)/B1422</f>
        <v/>
      </c>
    </row>
    <row r="1475">
      <c r="A1475" s="23" t="n">
        <v>37683</v>
      </c>
      <c r="B1475" s="25">
        <f>VLOOKUP(Table2634[[#This Row],[Date]],'DB Money Supply'!$A:$D,4)</f>
        <v/>
      </c>
      <c r="C1475" s="31">
        <f>(Table2634[[#This Row],[M1 Money Stock, Billions of Dollars, Weekly, Seasonally Adjusted]]-B1474)/B1474</f>
        <v/>
      </c>
      <c r="D1475" s="35">
        <f>((1+Table2634[[#This Row],[Weekly change]])^52)-1</f>
        <v/>
      </c>
      <c r="E1475" s="25">
        <f>AVERAGE(B1472:B1475)</f>
        <v/>
      </c>
      <c r="F1475" s="33">
        <f>(Table2634[[#This Row],[4 weeks average]]-B1423)/B1423</f>
        <v/>
      </c>
    </row>
    <row r="1476">
      <c r="A1476" s="23" t="n">
        <v>37690</v>
      </c>
      <c r="B1476" s="25">
        <f>VLOOKUP(Table2634[[#This Row],[Date]],'DB Money Supply'!$A:$D,4)</f>
        <v/>
      </c>
      <c r="C1476" s="31">
        <f>(Table2634[[#This Row],[M1 Money Stock, Billions of Dollars, Weekly, Seasonally Adjusted]]-B1475)/B1475</f>
        <v/>
      </c>
      <c r="D1476" s="35">
        <f>((1+Table2634[[#This Row],[Weekly change]])^52)-1</f>
        <v/>
      </c>
      <c r="E1476" s="25">
        <f>AVERAGE(B1473:B1476)</f>
        <v/>
      </c>
      <c r="F1476" s="33">
        <f>(Table2634[[#This Row],[4 weeks average]]-B1424)/B1424</f>
        <v/>
      </c>
    </row>
    <row r="1477">
      <c r="A1477" s="23" t="n">
        <v>37697</v>
      </c>
      <c r="B1477" s="25">
        <f>VLOOKUP(Table2634[[#This Row],[Date]],'DB Money Supply'!$A:$D,4)</f>
        <v/>
      </c>
      <c r="C1477" s="31">
        <f>(Table2634[[#This Row],[M1 Money Stock, Billions of Dollars, Weekly, Seasonally Adjusted]]-B1476)/B1476</f>
        <v/>
      </c>
      <c r="D1477" s="35">
        <f>((1+Table2634[[#This Row],[Weekly change]])^52)-1</f>
        <v/>
      </c>
      <c r="E1477" s="25">
        <f>AVERAGE(B1474:B1477)</f>
        <v/>
      </c>
      <c r="F1477" s="33">
        <f>(Table2634[[#This Row],[4 weeks average]]-B1425)/B1425</f>
        <v/>
      </c>
    </row>
    <row r="1478">
      <c r="A1478" s="23" t="n">
        <v>37704</v>
      </c>
      <c r="B1478" s="25">
        <f>VLOOKUP(Table2634[[#This Row],[Date]],'DB Money Supply'!$A:$D,4)</f>
        <v/>
      </c>
      <c r="C1478" s="31">
        <f>(Table2634[[#This Row],[M1 Money Stock, Billions of Dollars, Weekly, Seasonally Adjusted]]-B1477)/B1477</f>
        <v/>
      </c>
      <c r="D1478" s="35">
        <f>((1+Table2634[[#This Row],[Weekly change]])^52)-1</f>
        <v/>
      </c>
      <c r="E1478" s="25">
        <f>AVERAGE(B1475:B1478)</f>
        <v/>
      </c>
      <c r="F1478" s="33">
        <f>(Table2634[[#This Row],[4 weeks average]]-B1426)/B1426</f>
        <v/>
      </c>
    </row>
    <row r="1479">
      <c r="A1479" s="23" t="n">
        <v>37711</v>
      </c>
      <c r="B1479" s="25">
        <f>VLOOKUP(Table2634[[#This Row],[Date]],'DB Money Supply'!$A:$D,4)</f>
        <v/>
      </c>
      <c r="C1479" s="31">
        <f>(Table2634[[#This Row],[M1 Money Stock, Billions of Dollars, Weekly, Seasonally Adjusted]]-B1478)/B1478</f>
        <v/>
      </c>
      <c r="D1479" s="35">
        <f>((1+Table2634[[#This Row],[Weekly change]])^52)-1</f>
        <v/>
      </c>
      <c r="E1479" s="25">
        <f>AVERAGE(B1476:B1479)</f>
        <v/>
      </c>
      <c r="F1479" s="33">
        <f>(Table2634[[#This Row],[4 weeks average]]-B1427)/B1427</f>
        <v/>
      </c>
    </row>
    <row r="1480">
      <c r="A1480" s="23" t="n">
        <v>37718</v>
      </c>
      <c r="B1480" s="25">
        <f>VLOOKUP(Table2634[[#This Row],[Date]],'DB Money Supply'!$A:$D,4)</f>
        <v/>
      </c>
      <c r="C1480" s="31">
        <f>(Table2634[[#This Row],[M1 Money Stock, Billions of Dollars, Weekly, Seasonally Adjusted]]-B1479)/B1479</f>
        <v/>
      </c>
      <c r="D1480" s="35">
        <f>((1+Table2634[[#This Row],[Weekly change]])^52)-1</f>
        <v/>
      </c>
      <c r="E1480" s="25">
        <f>AVERAGE(B1477:B1480)</f>
        <v/>
      </c>
      <c r="F1480" s="33">
        <f>(Table2634[[#This Row],[4 weeks average]]-B1428)/B1428</f>
        <v/>
      </c>
    </row>
    <row r="1481">
      <c r="A1481" s="23" t="n">
        <v>37725</v>
      </c>
      <c r="B1481" s="25">
        <f>VLOOKUP(Table2634[[#This Row],[Date]],'DB Money Supply'!$A:$D,4)</f>
        <v/>
      </c>
      <c r="C1481" s="31">
        <f>(Table2634[[#This Row],[M1 Money Stock, Billions of Dollars, Weekly, Seasonally Adjusted]]-B1480)/B1480</f>
        <v/>
      </c>
      <c r="D1481" s="35">
        <f>((1+Table2634[[#This Row],[Weekly change]])^52)-1</f>
        <v/>
      </c>
      <c r="E1481" s="25">
        <f>AVERAGE(B1478:B1481)</f>
        <v/>
      </c>
      <c r="F1481" s="33">
        <f>(Table2634[[#This Row],[4 weeks average]]-B1429)/B1429</f>
        <v/>
      </c>
    </row>
    <row r="1482">
      <c r="A1482" s="23" t="n">
        <v>37732</v>
      </c>
      <c r="B1482" s="25">
        <f>VLOOKUP(Table2634[[#This Row],[Date]],'DB Money Supply'!$A:$D,4)</f>
        <v/>
      </c>
      <c r="C1482" s="31">
        <f>(Table2634[[#This Row],[M1 Money Stock, Billions of Dollars, Weekly, Seasonally Adjusted]]-B1481)/B1481</f>
        <v/>
      </c>
      <c r="D1482" s="35">
        <f>((1+Table2634[[#This Row],[Weekly change]])^52)-1</f>
        <v/>
      </c>
      <c r="E1482" s="25">
        <f>AVERAGE(B1479:B1482)</f>
        <v/>
      </c>
      <c r="F1482" s="33">
        <f>(Table2634[[#This Row],[4 weeks average]]-B1430)/B1430</f>
        <v/>
      </c>
    </row>
    <row r="1483">
      <c r="A1483" s="23" t="n">
        <v>37739</v>
      </c>
      <c r="B1483" s="25">
        <f>VLOOKUP(Table2634[[#This Row],[Date]],'DB Money Supply'!$A:$D,4)</f>
        <v/>
      </c>
      <c r="C1483" s="31">
        <f>(Table2634[[#This Row],[M1 Money Stock, Billions of Dollars, Weekly, Seasonally Adjusted]]-B1482)/B1482</f>
        <v/>
      </c>
      <c r="D1483" s="35">
        <f>((1+Table2634[[#This Row],[Weekly change]])^52)-1</f>
        <v/>
      </c>
      <c r="E1483" s="25">
        <f>AVERAGE(B1480:B1483)</f>
        <v/>
      </c>
      <c r="F1483" s="33">
        <f>(Table2634[[#This Row],[4 weeks average]]-B1431)/B1431</f>
        <v/>
      </c>
    </row>
    <row r="1484">
      <c r="A1484" s="23" t="n">
        <v>37746</v>
      </c>
      <c r="B1484" s="25">
        <f>VLOOKUP(Table2634[[#This Row],[Date]],'DB Money Supply'!$A:$D,4)</f>
        <v/>
      </c>
      <c r="C1484" s="31">
        <f>(Table2634[[#This Row],[M1 Money Stock, Billions of Dollars, Weekly, Seasonally Adjusted]]-B1483)/B1483</f>
        <v/>
      </c>
      <c r="D1484" s="35">
        <f>((1+Table2634[[#This Row],[Weekly change]])^52)-1</f>
        <v/>
      </c>
      <c r="E1484" s="25">
        <f>AVERAGE(B1481:B1484)</f>
        <v/>
      </c>
      <c r="F1484" s="33">
        <f>(Table2634[[#This Row],[4 weeks average]]-B1432)/B1432</f>
        <v/>
      </c>
    </row>
    <row r="1485">
      <c r="A1485" s="23" t="n">
        <v>37753</v>
      </c>
      <c r="B1485" s="25">
        <f>VLOOKUP(Table2634[[#This Row],[Date]],'DB Money Supply'!$A:$D,4)</f>
        <v/>
      </c>
      <c r="C1485" s="31">
        <f>(Table2634[[#This Row],[M1 Money Stock, Billions of Dollars, Weekly, Seasonally Adjusted]]-B1484)/B1484</f>
        <v/>
      </c>
      <c r="D1485" s="35">
        <f>((1+Table2634[[#This Row],[Weekly change]])^52)-1</f>
        <v/>
      </c>
      <c r="E1485" s="25">
        <f>AVERAGE(B1482:B1485)</f>
        <v/>
      </c>
      <c r="F1485" s="33">
        <f>(Table2634[[#This Row],[4 weeks average]]-B1433)/B1433</f>
        <v/>
      </c>
    </row>
    <row r="1486">
      <c r="A1486" s="23" t="n">
        <v>37760</v>
      </c>
      <c r="B1486" s="25">
        <f>VLOOKUP(Table2634[[#This Row],[Date]],'DB Money Supply'!$A:$D,4)</f>
        <v/>
      </c>
      <c r="C1486" s="31">
        <f>(Table2634[[#This Row],[M1 Money Stock, Billions of Dollars, Weekly, Seasonally Adjusted]]-B1485)/B1485</f>
        <v/>
      </c>
      <c r="D1486" s="35">
        <f>((1+Table2634[[#This Row],[Weekly change]])^52)-1</f>
        <v/>
      </c>
      <c r="E1486" s="25">
        <f>AVERAGE(B1483:B1486)</f>
        <v/>
      </c>
      <c r="F1486" s="33">
        <f>(Table2634[[#This Row],[4 weeks average]]-B1434)/B1434</f>
        <v/>
      </c>
    </row>
    <row r="1487">
      <c r="A1487" s="23" t="n">
        <v>37767</v>
      </c>
      <c r="B1487" s="25">
        <f>VLOOKUP(Table2634[[#This Row],[Date]],'DB Money Supply'!$A:$D,4)</f>
        <v/>
      </c>
      <c r="C1487" s="31">
        <f>(Table2634[[#This Row],[M1 Money Stock, Billions of Dollars, Weekly, Seasonally Adjusted]]-B1486)/B1486</f>
        <v/>
      </c>
      <c r="D1487" s="35">
        <f>((1+Table2634[[#This Row],[Weekly change]])^52)-1</f>
        <v/>
      </c>
      <c r="E1487" s="25">
        <f>AVERAGE(B1484:B1487)</f>
        <v/>
      </c>
      <c r="F1487" s="33">
        <f>(Table2634[[#This Row],[4 weeks average]]-B1435)/B1435</f>
        <v/>
      </c>
    </row>
    <row r="1488">
      <c r="A1488" s="23" t="n">
        <v>37774</v>
      </c>
      <c r="B1488" s="25">
        <f>VLOOKUP(Table2634[[#This Row],[Date]],'DB Money Supply'!$A:$D,4)</f>
        <v/>
      </c>
      <c r="C1488" s="31">
        <f>(Table2634[[#This Row],[M1 Money Stock, Billions of Dollars, Weekly, Seasonally Adjusted]]-B1487)/B1487</f>
        <v/>
      </c>
      <c r="D1488" s="35">
        <f>((1+Table2634[[#This Row],[Weekly change]])^52)-1</f>
        <v/>
      </c>
      <c r="E1488" s="25">
        <f>AVERAGE(B1485:B1488)</f>
        <v/>
      </c>
      <c r="F1488" s="33">
        <f>(Table2634[[#This Row],[4 weeks average]]-B1436)/B1436</f>
        <v/>
      </c>
    </row>
    <row r="1489">
      <c r="A1489" s="23" t="n">
        <v>37781</v>
      </c>
      <c r="B1489" s="25">
        <f>VLOOKUP(Table2634[[#This Row],[Date]],'DB Money Supply'!$A:$D,4)</f>
        <v/>
      </c>
      <c r="C1489" s="31">
        <f>(Table2634[[#This Row],[M1 Money Stock, Billions of Dollars, Weekly, Seasonally Adjusted]]-B1488)/B1488</f>
        <v/>
      </c>
      <c r="D1489" s="35">
        <f>((1+Table2634[[#This Row],[Weekly change]])^52)-1</f>
        <v/>
      </c>
      <c r="E1489" s="25">
        <f>AVERAGE(B1486:B1489)</f>
        <v/>
      </c>
      <c r="F1489" s="33">
        <f>(Table2634[[#This Row],[4 weeks average]]-B1437)/B1437</f>
        <v/>
      </c>
    </row>
    <row r="1490">
      <c r="A1490" s="23" t="n">
        <v>37788</v>
      </c>
      <c r="B1490" s="25">
        <f>VLOOKUP(Table2634[[#This Row],[Date]],'DB Money Supply'!$A:$D,4)</f>
        <v/>
      </c>
      <c r="C1490" s="31">
        <f>(Table2634[[#This Row],[M1 Money Stock, Billions of Dollars, Weekly, Seasonally Adjusted]]-B1489)/B1489</f>
        <v/>
      </c>
      <c r="D1490" s="35">
        <f>((1+Table2634[[#This Row],[Weekly change]])^52)-1</f>
        <v/>
      </c>
      <c r="E1490" s="25">
        <f>AVERAGE(B1487:B1490)</f>
        <v/>
      </c>
      <c r="F1490" s="33">
        <f>(Table2634[[#This Row],[4 weeks average]]-B1438)/B1438</f>
        <v/>
      </c>
    </row>
    <row r="1491">
      <c r="A1491" s="23" t="n">
        <v>37795</v>
      </c>
      <c r="B1491" s="25">
        <f>VLOOKUP(Table2634[[#This Row],[Date]],'DB Money Supply'!$A:$D,4)</f>
        <v/>
      </c>
      <c r="C1491" s="31">
        <f>(Table2634[[#This Row],[M1 Money Stock, Billions of Dollars, Weekly, Seasonally Adjusted]]-B1490)/B1490</f>
        <v/>
      </c>
      <c r="D1491" s="35">
        <f>((1+Table2634[[#This Row],[Weekly change]])^52)-1</f>
        <v/>
      </c>
      <c r="E1491" s="25">
        <f>AVERAGE(B1488:B1491)</f>
        <v/>
      </c>
      <c r="F1491" s="33">
        <f>(Table2634[[#This Row],[4 weeks average]]-B1439)/B1439</f>
        <v/>
      </c>
    </row>
    <row r="1492">
      <c r="A1492" s="23" t="n">
        <v>37802</v>
      </c>
      <c r="B1492" s="25">
        <f>VLOOKUP(Table2634[[#This Row],[Date]],'DB Money Supply'!$A:$D,4)</f>
        <v/>
      </c>
      <c r="C1492" s="31">
        <f>(Table2634[[#This Row],[M1 Money Stock, Billions of Dollars, Weekly, Seasonally Adjusted]]-B1491)/B1491</f>
        <v/>
      </c>
      <c r="D1492" s="35">
        <f>((1+Table2634[[#This Row],[Weekly change]])^52)-1</f>
        <v/>
      </c>
      <c r="E1492" s="25">
        <f>AVERAGE(B1489:B1492)</f>
        <v/>
      </c>
      <c r="F1492" s="33">
        <f>(Table2634[[#This Row],[4 weeks average]]-B1440)/B1440</f>
        <v/>
      </c>
    </row>
    <row r="1493">
      <c r="A1493" s="23" t="n">
        <v>37809</v>
      </c>
      <c r="B1493" s="25">
        <f>VLOOKUP(Table2634[[#This Row],[Date]],'DB Money Supply'!$A:$D,4)</f>
        <v/>
      </c>
      <c r="C1493" s="31">
        <f>(Table2634[[#This Row],[M1 Money Stock, Billions of Dollars, Weekly, Seasonally Adjusted]]-B1492)/B1492</f>
        <v/>
      </c>
      <c r="D1493" s="35">
        <f>((1+Table2634[[#This Row],[Weekly change]])^52)-1</f>
        <v/>
      </c>
      <c r="E1493" s="25">
        <f>AVERAGE(B1490:B1493)</f>
        <v/>
      </c>
      <c r="F1493" s="33">
        <f>(Table2634[[#This Row],[4 weeks average]]-B1441)/B1441</f>
        <v/>
      </c>
    </row>
    <row r="1494">
      <c r="A1494" s="23" t="n">
        <v>37816</v>
      </c>
      <c r="B1494" s="25">
        <f>VLOOKUP(Table2634[[#This Row],[Date]],'DB Money Supply'!$A:$D,4)</f>
        <v/>
      </c>
      <c r="C1494" s="31">
        <f>(Table2634[[#This Row],[M1 Money Stock, Billions of Dollars, Weekly, Seasonally Adjusted]]-B1493)/B1493</f>
        <v/>
      </c>
      <c r="D1494" s="35">
        <f>((1+Table2634[[#This Row],[Weekly change]])^52)-1</f>
        <v/>
      </c>
      <c r="E1494" s="25">
        <f>AVERAGE(B1491:B1494)</f>
        <v/>
      </c>
      <c r="F1494" s="33">
        <f>(Table2634[[#This Row],[4 weeks average]]-B1442)/B1442</f>
        <v/>
      </c>
    </row>
    <row r="1495">
      <c r="A1495" s="23" t="n">
        <v>37823</v>
      </c>
      <c r="B1495" s="25">
        <f>VLOOKUP(Table2634[[#This Row],[Date]],'DB Money Supply'!$A:$D,4)</f>
        <v/>
      </c>
      <c r="C1495" s="31">
        <f>(Table2634[[#This Row],[M1 Money Stock, Billions of Dollars, Weekly, Seasonally Adjusted]]-B1494)/B1494</f>
        <v/>
      </c>
      <c r="D1495" s="35">
        <f>((1+Table2634[[#This Row],[Weekly change]])^52)-1</f>
        <v/>
      </c>
      <c r="E1495" s="25">
        <f>AVERAGE(B1492:B1495)</f>
        <v/>
      </c>
      <c r="F1495" s="33">
        <f>(Table2634[[#This Row],[4 weeks average]]-B1443)/B1443</f>
        <v/>
      </c>
    </row>
    <row r="1496">
      <c r="A1496" s="23" t="n">
        <v>37830</v>
      </c>
      <c r="B1496" s="25">
        <f>VLOOKUP(Table2634[[#This Row],[Date]],'DB Money Supply'!$A:$D,4)</f>
        <v/>
      </c>
      <c r="C1496" s="31">
        <f>(Table2634[[#This Row],[M1 Money Stock, Billions of Dollars, Weekly, Seasonally Adjusted]]-B1495)/B1495</f>
        <v/>
      </c>
      <c r="D1496" s="35">
        <f>((1+Table2634[[#This Row],[Weekly change]])^52)-1</f>
        <v/>
      </c>
      <c r="E1496" s="25">
        <f>AVERAGE(B1493:B1496)</f>
        <v/>
      </c>
      <c r="F1496" s="33">
        <f>(Table2634[[#This Row],[4 weeks average]]-B1444)/B1444</f>
        <v/>
      </c>
    </row>
    <row r="1497">
      <c r="A1497" s="23" t="n">
        <v>37837</v>
      </c>
      <c r="B1497" s="25">
        <f>VLOOKUP(Table2634[[#This Row],[Date]],'DB Money Supply'!$A:$D,4)</f>
        <v/>
      </c>
      <c r="C1497" s="31">
        <f>(Table2634[[#This Row],[M1 Money Stock, Billions of Dollars, Weekly, Seasonally Adjusted]]-B1496)/B1496</f>
        <v/>
      </c>
      <c r="D1497" s="35">
        <f>((1+Table2634[[#This Row],[Weekly change]])^52)-1</f>
        <v/>
      </c>
      <c r="E1497" s="25">
        <f>AVERAGE(B1494:B1497)</f>
        <v/>
      </c>
      <c r="F1497" s="33">
        <f>(Table2634[[#This Row],[4 weeks average]]-B1445)/B1445</f>
        <v/>
      </c>
    </row>
    <row r="1498">
      <c r="A1498" s="23" t="n">
        <v>37844</v>
      </c>
      <c r="B1498" s="25">
        <f>VLOOKUP(Table2634[[#This Row],[Date]],'DB Money Supply'!$A:$D,4)</f>
        <v/>
      </c>
      <c r="C1498" s="31">
        <f>(Table2634[[#This Row],[M1 Money Stock, Billions of Dollars, Weekly, Seasonally Adjusted]]-B1497)/B1497</f>
        <v/>
      </c>
      <c r="D1498" s="35">
        <f>((1+Table2634[[#This Row],[Weekly change]])^52)-1</f>
        <v/>
      </c>
      <c r="E1498" s="25">
        <f>AVERAGE(B1495:B1498)</f>
        <v/>
      </c>
      <c r="F1498" s="33">
        <f>(Table2634[[#This Row],[4 weeks average]]-B1446)/B1446</f>
        <v/>
      </c>
    </row>
    <row r="1499">
      <c r="A1499" s="23" t="n">
        <v>37851</v>
      </c>
      <c r="B1499" s="25">
        <f>VLOOKUP(Table2634[[#This Row],[Date]],'DB Money Supply'!$A:$D,4)</f>
        <v/>
      </c>
      <c r="C1499" s="31">
        <f>(Table2634[[#This Row],[M1 Money Stock, Billions of Dollars, Weekly, Seasonally Adjusted]]-B1498)/B1498</f>
        <v/>
      </c>
      <c r="D1499" s="35">
        <f>((1+Table2634[[#This Row],[Weekly change]])^52)-1</f>
        <v/>
      </c>
      <c r="E1499" s="25">
        <f>AVERAGE(B1496:B1499)</f>
        <v/>
      </c>
      <c r="F1499" s="33">
        <f>(Table2634[[#This Row],[4 weeks average]]-B1447)/B1447</f>
        <v/>
      </c>
    </row>
    <row r="1500">
      <c r="A1500" s="23" t="n">
        <v>37858</v>
      </c>
      <c r="B1500" s="25">
        <f>VLOOKUP(Table2634[[#This Row],[Date]],'DB Money Supply'!$A:$D,4)</f>
        <v/>
      </c>
      <c r="C1500" s="31">
        <f>(Table2634[[#This Row],[M1 Money Stock, Billions of Dollars, Weekly, Seasonally Adjusted]]-B1499)/B1499</f>
        <v/>
      </c>
      <c r="D1500" s="35">
        <f>((1+Table2634[[#This Row],[Weekly change]])^52)-1</f>
        <v/>
      </c>
      <c r="E1500" s="25">
        <f>AVERAGE(B1497:B1500)</f>
        <v/>
      </c>
      <c r="F1500" s="33">
        <f>(Table2634[[#This Row],[4 weeks average]]-B1448)/B1448</f>
        <v/>
      </c>
    </row>
    <row r="1501">
      <c r="A1501" s="23" t="n">
        <v>37865</v>
      </c>
      <c r="B1501" s="25">
        <f>VLOOKUP(Table2634[[#This Row],[Date]],'DB Money Supply'!$A:$D,4)</f>
        <v/>
      </c>
      <c r="C1501" s="31">
        <f>(Table2634[[#This Row],[M1 Money Stock, Billions of Dollars, Weekly, Seasonally Adjusted]]-B1500)/B1500</f>
        <v/>
      </c>
      <c r="D1501" s="35">
        <f>((1+Table2634[[#This Row],[Weekly change]])^52)-1</f>
        <v/>
      </c>
      <c r="E1501" s="25">
        <f>AVERAGE(B1498:B1501)</f>
        <v/>
      </c>
      <c r="F1501" s="33">
        <f>(Table2634[[#This Row],[4 weeks average]]-B1449)/B1449</f>
        <v/>
      </c>
    </row>
    <row r="1502">
      <c r="A1502" s="23" t="n">
        <v>37872</v>
      </c>
      <c r="B1502" s="25">
        <f>VLOOKUP(Table2634[[#This Row],[Date]],'DB Money Supply'!$A:$D,4)</f>
        <v/>
      </c>
      <c r="C1502" s="31">
        <f>(Table2634[[#This Row],[M1 Money Stock, Billions of Dollars, Weekly, Seasonally Adjusted]]-B1501)/B1501</f>
        <v/>
      </c>
      <c r="D1502" s="35">
        <f>((1+Table2634[[#This Row],[Weekly change]])^52)-1</f>
        <v/>
      </c>
      <c r="E1502" s="25">
        <f>AVERAGE(B1499:B1502)</f>
        <v/>
      </c>
      <c r="F1502" s="33">
        <f>(Table2634[[#This Row],[4 weeks average]]-B1450)/B1450</f>
        <v/>
      </c>
    </row>
    <row r="1503">
      <c r="A1503" s="23" t="n">
        <v>37879</v>
      </c>
      <c r="B1503" s="25">
        <f>VLOOKUP(Table2634[[#This Row],[Date]],'DB Money Supply'!$A:$D,4)</f>
        <v/>
      </c>
      <c r="C1503" s="31">
        <f>(Table2634[[#This Row],[M1 Money Stock, Billions of Dollars, Weekly, Seasonally Adjusted]]-B1502)/B1502</f>
        <v/>
      </c>
      <c r="D1503" s="35">
        <f>((1+Table2634[[#This Row],[Weekly change]])^52)-1</f>
        <v/>
      </c>
      <c r="E1503" s="25">
        <f>AVERAGE(B1500:B1503)</f>
        <v/>
      </c>
      <c r="F1503" s="33">
        <f>(Table2634[[#This Row],[4 weeks average]]-B1451)/B1451</f>
        <v/>
      </c>
    </row>
    <row r="1504">
      <c r="A1504" s="23" t="n">
        <v>37886</v>
      </c>
      <c r="B1504" s="25">
        <f>VLOOKUP(Table2634[[#This Row],[Date]],'DB Money Supply'!$A:$D,4)</f>
        <v/>
      </c>
      <c r="C1504" s="31">
        <f>(Table2634[[#This Row],[M1 Money Stock, Billions of Dollars, Weekly, Seasonally Adjusted]]-B1503)/B1503</f>
        <v/>
      </c>
      <c r="D1504" s="35">
        <f>((1+Table2634[[#This Row],[Weekly change]])^52)-1</f>
        <v/>
      </c>
      <c r="E1504" s="25">
        <f>AVERAGE(B1501:B1504)</f>
        <v/>
      </c>
      <c r="F1504" s="33">
        <f>(Table2634[[#This Row],[4 weeks average]]-B1452)/B1452</f>
        <v/>
      </c>
    </row>
    <row r="1505">
      <c r="A1505" s="23" t="n">
        <v>37893</v>
      </c>
      <c r="B1505" s="25">
        <f>VLOOKUP(Table2634[[#This Row],[Date]],'DB Money Supply'!$A:$D,4)</f>
        <v/>
      </c>
      <c r="C1505" s="31">
        <f>(Table2634[[#This Row],[M1 Money Stock, Billions of Dollars, Weekly, Seasonally Adjusted]]-B1504)/B1504</f>
        <v/>
      </c>
      <c r="D1505" s="35">
        <f>((1+Table2634[[#This Row],[Weekly change]])^52)-1</f>
        <v/>
      </c>
      <c r="E1505" s="25">
        <f>AVERAGE(B1502:B1505)</f>
        <v/>
      </c>
      <c r="F1505" s="33">
        <f>(Table2634[[#This Row],[4 weeks average]]-B1453)/B1453</f>
        <v/>
      </c>
    </row>
    <row r="1506">
      <c r="A1506" s="23" t="n">
        <v>37900</v>
      </c>
      <c r="B1506" s="25">
        <f>VLOOKUP(Table2634[[#This Row],[Date]],'DB Money Supply'!$A:$D,4)</f>
        <v/>
      </c>
      <c r="C1506" s="31">
        <f>(Table2634[[#This Row],[M1 Money Stock, Billions of Dollars, Weekly, Seasonally Adjusted]]-B1505)/B1505</f>
        <v/>
      </c>
      <c r="D1506" s="35">
        <f>((1+Table2634[[#This Row],[Weekly change]])^52)-1</f>
        <v/>
      </c>
      <c r="E1506" s="25">
        <f>AVERAGE(B1503:B1506)</f>
        <v/>
      </c>
      <c r="F1506" s="33">
        <f>(Table2634[[#This Row],[4 weeks average]]-B1454)/B1454</f>
        <v/>
      </c>
    </row>
    <row r="1507">
      <c r="A1507" s="23" t="n">
        <v>37907</v>
      </c>
      <c r="B1507" s="25">
        <f>VLOOKUP(Table2634[[#This Row],[Date]],'DB Money Supply'!$A:$D,4)</f>
        <v/>
      </c>
      <c r="C1507" s="31">
        <f>(Table2634[[#This Row],[M1 Money Stock, Billions of Dollars, Weekly, Seasonally Adjusted]]-B1506)/B1506</f>
        <v/>
      </c>
      <c r="D1507" s="35">
        <f>((1+Table2634[[#This Row],[Weekly change]])^52)-1</f>
        <v/>
      </c>
      <c r="E1507" s="25">
        <f>AVERAGE(B1504:B1507)</f>
        <v/>
      </c>
      <c r="F1507" s="33">
        <f>(Table2634[[#This Row],[4 weeks average]]-B1455)/B1455</f>
        <v/>
      </c>
    </row>
    <row r="1508">
      <c r="A1508" s="23" t="n">
        <v>37914</v>
      </c>
      <c r="B1508" s="25">
        <f>VLOOKUP(Table2634[[#This Row],[Date]],'DB Money Supply'!$A:$D,4)</f>
        <v/>
      </c>
      <c r="C1508" s="31">
        <f>(Table2634[[#This Row],[M1 Money Stock, Billions of Dollars, Weekly, Seasonally Adjusted]]-B1507)/B1507</f>
        <v/>
      </c>
      <c r="D1508" s="35">
        <f>((1+Table2634[[#This Row],[Weekly change]])^52)-1</f>
        <v/>
      </c>
      <c r="E1508" s="25">
        <f>AVERAGE(B1505:B1508)</f>
        <v/>
      </c>
      <c r="F1508" s="33">
        <f>(Table2634[[#This Row],[4 weeks average]]-B1456)/B1456</f>
        <v/>
      </c>
    </row>
    <row r="1509">
      <c r="A1509" s="23" t="n">
        <v>37921</v>
      </c>
      <c r="B1509" s="25">
        <f>VLOOKUP(Table2634[[#This Row],[Date]],'DB Money Supply'!$A:$D,4)</f>
        <v/>
      </c>
      <c r="C1509" s="31">
        <f>(Table2634[[#This Row],[M1 Money Stock, Billions of Dollars, Weekly, Seasonally Adjusted]]-B1508)/B1508</f>
        <v/>
      </c>
      <c r="D1509" s="35">
        <f>((1+Table2634[[#This Row],[Weekly change]])^52)-1</f>
        <v/>
      </c>
      <c r="E1509" s="25">
        <f>AVERAGE(B1506:B1509)</f>
        <v/>
      </c>
      <c r="F1509" s="33">
        <f>(Table2634[[#This Row],[4 weeks average]]-B1457)/B1457</f>
        <v/>
      </c>
    </row>
    <row r="1510">
      <c r="A1510" s="23" t="n">
        <v>37928</v>
      </c>
      <c r="B1510" s="25">
        <f>VLOOKUP(Table2634[[#This Row],[Date]],'DB Money Supply'!$A:$D,4)</f>
        <v/>
      </c>
      <c r="C1510" s="31">
        <f>(Table2634[[#This Row],[M1 Money Stock, Billions of Dollars, Weekly, Seasonally Adjusted]]-B1509)/B1509</f>
        <v/>
      </c>
      <c r="D1510" s="35">
        <f>((1+Table2634[[#This Row],[Weekly change]])^52)-1</f>
        <v/>
      </c>
      <c r="E1510" s="25">
        <f>AVERAGE(B1507:B1510)</f>
        <v/>
      </c>
      <c r="F1510" s="33">
        <f>(Table2634[[#This Row],[4 weeks average]]-B1458)/B1458</f>
        <v/>
      </c>
    </row>
    <row r="1511">
      <c r="A1511" s="23" t="n">
        <v>37935</v>
      </c>
      <c r="B1511" s="25">
        <f>VLOOKUP(Table2634[[#This Row],[Date]],'DB Money Supply'!$A:$D,4)</f>
        <v/>
      </c>
      <c r="C1511" s="31">
        <f>(Table2634[[#This Row],[M1 Money Stock, Billions of Dollars, Weekly, Seasonally Adjusted]]-B1510)/B1510</f>
        <v/>
      </c>
      <c r="D1511" s="35">
        <f>((1+Table2634[[#This Row],[Weekly change]])^52)-1</f>
        <v/>
      </c>
      <c r="E1511" s="25">
        <f>AVERAGE(B1508:B1511)</f>
        <v/>
      </c>
      <c r="F1511" s="33">
        <f>(Table2634[[#This Row],[4 weeks average]]-B1459)/B1459</f>
        <v/>
      </c>
    </row>
    <row r="1512">
      <c r="A1512" s="23" t="n">
        <v>37942</v>
      </c>
      <c r="B1512" s="25">
        <f>VLOOKUP(Table2634[[#This Row],[Date]],'DB Money Supply'!$A:$D,4)</f>
        <v/>
      </c>
      <c r="C1512" s="31">
        <f>(Table2634[[#This Row],[M1 Money Stock, Billions of Dollars, Weekly, Seasonally Adjusted]]-B1511)/B1511</f>
        <v/>
      </c>
      <c r="D1512" s="35">
        <f>((1+Table2634[[#This Row],[Weekly change]])^52)-1</f>
        <v/>
      </c>
      <c r="E1512" s="25">
        <f>AVERAGE(B1509:B1512)</f>
        <v/>
      </c>
      <c r="F1512" s="33">
        <f>(Table2634[[#This Row],[4 weeks average]]-B1460)/B1460</f>
        <v/>
      </c>
    </row>
    <row r="1513">
      <c r="A1513" s="23" t="n">
        <v>37949</v>
      </c>
      <c r="B1513" s="25">
        <f>VLOOKUP(Table2634[[#This Row],[Date]],'DB Money Supply'!$A:$D,4)</f>
        <v/>
      </c>
      <c r="C1513" s="31">
        <f>(Table2634[[#This Row],[M1 Money Stock, Billions of Dollars, Weekly, Seasonally Adjusted]]-B1512)/B1512</f>
        <v/>
      </c>
      <c r="D1513" s="35">
        <f>((1+Table2634[[#This Row],[Weekly change]])^52)-1</f>
        <v/>
      </c>
      <c r="E1513" s="25">
        <f>AVERAGE(B1510:B1513)</f>
        <v/>
      </c>
      <c r="F1513" s="33">
        <f>(Table2634[[#This Row],[4 weeks average]]-B1461)/B1461</f>
        <v/>
      </c>
    </row>
    <row r="1514">
      <c r="A1514" s="23" t="n">
        <v>37956</v>
      </c>
      <c r="B1514" s="25">
        <f>VLOOKUP(Table2634[[#This Row],[Date]],'DB Money Supply'!$A:$D,4)</f>
        <v/>
      </c>
      <c r="C1514" s="31">
        <f>(Table2634[[#This Row],[M1 Money Stock, Billions of Dollars, Weekly, Seasonally Adjusted]]-B1513)/B1513</f>
        <v/>
      </c>
      <c r="D1514" s="35">
        <f>((1+Table2634[[#This Row],[Weekly change]])^52)-1</f>
        <v/>
      </c>
      <c r="E1514" s="25">
        <f>AVERAGE(B1511:B1514)</f>
        <v/>
      </c>
      <c r="F1514" s="33">
        <f>(Table2634[[#This Row],[4 weeks average]]-B1462)/B1462</f>
        <v/>
      </c>
    </row>
    <row r="1515">
      <c r="A1515" s="23" t="n">
        <v>37963</v>
      </c>
      <c r="B1515" s="25">
        <f>VLOOKUP(Table2634[[#This Row],[Date]],'DB Money Supply'!$A:$D,4)</f>
        <v/>
      </c>
      <c r="C1515" s="31">
        <f>(Table2634[[#This Row],[M1 Money Stock, Billions of Dollars, Weekly, Seasonally Adjusted]]-B1514)/B1514</f>
        <v/>
      </c>
      <c r="D1515" s="35">
        <f>((1+Table2634[[#This Row],[Weekly change]])^52)-1</f>
        <v/>
      </c>
      <c r="E1515" s="25">
        <f>AVERAGE(B1512:B1515)</f>
        <v/>
      </c>
      <c r="F1515" s="33">
        <f>(Table2634[[#This Row],[4 weeks average]]-B1463)/B1463</f>
        <v/>
      </c>
    </row>
    <row r="1516">
      <c r="A1516" s="23" t="n">
        <v>37970</v>
      </c>
      <c r="B1516" s="25">
        <f>VLOOKUP(Table2634[[#This Row],[Date]],'DB Money Supply'!$A:$D,4)</f>
        <v/>
      </c>
      <c r="C1516" s="31">
        <f>(Table2634[[#This Row],[M1 Money Stock, Billions of Dollars, Weekly, Seasonally Adjusted]]-B1515)/B1515</f>
        <v/>
      </c>
      <c r="D1516" s="35">
        <f>((1+Table2634[[#This Row],[Weekly change]])^52)-1</f>
        <v/>
      </c>
      <c r="E1516" s="25">
        <f>AVERAGE(B1513:B1516)</f>
        <v/>
      </c>
      <c r="F1516" s="33">
        <f>(Table2634[[#This Row],[4 weeks average]]-B1464)/B1464</f>
        <v/>
      </c>
    </row>
    <row r="1517">
      <c r="A1517" s="23" t="n">
        <v>37977</v>
      </c>
      <c r="B1517" s="25">
        <f>VLOOKUP(Table2634[[#This Row],[Date]],'DB Money Supply'!$A:$D,4)</f>
        <v/>
      </c>
      <c r="C1517" s="31">
        <f>(Table2634[[#This Row],[M1 Money Stock, Billions of Dollars, Weekly, Seasonally Adjusted]]-B1516)/B1516</f>
        <v/>
      </c>
      <c r="D1517" s="35">
        <f>((1+Table2634[[#This Row],[Weekly change]])^52)-1</f>
        <v/>
      </c>
      <c r="E1517" s="25">
        <f>AVERAGE(B1514:B1517)</f>
        <v/>
      </c>
      <c r="F1517" s="33">
        <f>(Table2634[[#This Row],[4 weeks average]]-B1465)/B1465</f>
        <v/>
      </c>
    </row>
    <row r="1518">
      <c r="A1518" s="23" t="n">
        <v>37984</v>
      </c>
      <c r="B1518" s="25">
        <f>VLOOKUP(Table2634[[#This Row],[Date]],'DB Money Supply'!$A:$D,4)</f>
        <v/>
      </c>
      <c r="C1518" s="31">
        <f>(Table2634[[#This Row],[M1 Money Stock, Billions of Dollars, Weekly, Seasonally Adjusted]]-B1517)/B1517</f>
        <v/>
      </c>
      <c r="D1518" s="35">
        <f>((1+Table2634[[#This Row],[Weekly change]])^52)-1</f>
        <v/>
      </c>
      <c r="E1518" s="25">
        <f>AVERAGE(B1515:B1518)</f>
        <v/>
      </c>
      <c r="F1518" s="33">
        <f>(Table2634[[#This Row],[4 weeks average]]-B1466)/B1466</f>
        <v/>
      </c>
    </row>
    <row r="1519">
      <c r="A1519" s="23" t="n">
        <v>37991</v>
      </c>
      <c r="B1519" s="25">
        <f>VLOOKUP(Table2634[[#This Row],[Date]],'DB Money Supply'!$A:$D,4)</f>
        <v/>
      </c>
      <c r="C1519" s="31">
        <f>(Table2634[[#This Row],[M1 Money Stock, Billions of Dollars, Weekly, Seasonally Adjusted]]-B1518)/B1518</f>
        <v/>
      </c>
      <c r="D1519" s="35">
        <f>((1+Table2634[[#This Row],[Weekly change]])^52)-1</f>
        <v/>
      </c>
      <c r="E1519" s="25">
        <f>AVERAGE(B1516:B1519)</f>
        <v/>
      </c>
      <c r="F1519" s="33">
        <f>(Table2634[[#This Row],[4 weeks average]]-B1467)/B1467</f>
        <v/>
      </c>
    </row>
    <row r="1520">
      <c r="A1520" s="23" t="n">
        <v>37998</v>
      </c>
      <c r="B1520" s="25">
        <f>VLOOKUP(Table2634[[#This Row],[Date]],'DB Money Supply'!$A:$D,4)</f>
        <v/>
      </c>
      <c r="C1520" s="31">
        <f>(Table2634[[#This Row],[M1 Money Stock, Billions of Dollars, Weekly, Seasonally Adjusted]]-B1519)/B1519</f>
        <v/>
      </c>
      <c r="D1520" s="35">
        <f>((1+Table2634[[#This Row],[Weekly change]])^52)-1</f>
        <v/>
      </c>
      <c r="E1520" s="25">
        <f>AVERAGE(B1517:B1520)</f>
        <v/>
      </c>
      <c r="F1520" s="33">
        <f>(Table2634[[#This Row],[4 weeks average]]-B1468)/B1468</f>
        <v/>
      </c>
    </row>
    <row r="1521">
      <c r="A1521" s="23" t="n">
        <v>38005</v>
      </c>
      <c r="B1521" s="25">
        <f>VLOOKUP(Table2634[[#This Row],[Date]],'DB Money Supply'!$A:$D,4)</f>
        <v/>
      </c>
      <c r="C1521" s="31">
        <f>(Table2634[[#This Row],[M1 Money Stock, Billions of Dollars, Weekly, Seasonally Adjusted]]-B1520)/B1520</f>
        <v/>
      </c>
      <c r="D1521" s="35">
        <f>((1+Table2634[[#This Row],[Weekly change]])^52)-1</f>
        <v/>
      </c>
      <c r="E1521" s="25">
        <f>AVERAGE(B1518:B1521)</f>
        <v/>
      </c>
      <c r="F1521" s="33">
        <f>(Table2634[[#This Row],[4 weeks average]]-B1469)/B1469</f>
        <v/>
      </c>
    </row>
    <row r="1522">
      <c r="A1522" s="23" t="n">
        <v>38012</v>
      </c>
      <c r="B1522" s="25">
        <f>VLOOKUP(Table2634[[#This Row],[Date]],'DB Money Supply'!$A:$D,4)</f>
        <v/>
      </c>
      <c r="C1522" s="31">
        <f>(Table2634[[#This Row],[M1 Money Stock, Billions of Dollars, Weekly, Seasonally Adjusted]]-B1521)/B1521</f>
        <v/>
      </c>
      <c r="D1522" s="35">
        <f>((1+Table2634[[#This Row],[Weekly change]])^52)-1</f>
        <v/>
      </c>
      <c r="E1522" s="25">
        <f>AVERAGE(B1519:B1522)</f>
        <v/>
      </c>
      <c r="F1522" s="33">
        <f>(Table2634[[#This Row],[4 weeks average]]-B1470)/B1470</f>
        <v/>
      </c>
    </row>
    <row r="1523">
      <c r="A1523" s="23" t="n">
        <v>38019</v>
      </c>
      <c r="B1523" s="25">
        <f>VLOOKUP(Table2634[[#This Row],[Date]],'DB Money Supply'!$A:$D,4)</f>
        <v/>
      </c>
      <c r="C1523" s="31">
        <f>(Table2634[[#This Row],[M1 Money Stock, Billions of Dollars, Weekly, Seasonally Adjusted]]-B1522)/B1522</f>
        <v/>
      </c>
      <c r="D1523" s="35">
        <f>((1+Table2634[[#This Row],[Weekly change]])^52)-1</f>
        <v/>
      </c>
      <c r="E1523" s="25">
        <f>AVERAGE(B1520:B1523)</f>
        <v/>
      </c>
      <c r="F1523" s="33">
        <f>(Table2634[[#This Row],[4 weeks average]]-B1471)/B1471</f>
        <v/>
      </c>
    </row>
    <row r="1524">
      <c r="A1524" s="23" t="n">
        <v>38026</v>
      </c>
      <c r="B1524" s="25">
        <f>VLOOKUP(Table2634[[#This Row],[Date]],'DB Money Supply'!$A:$D,4)</f>
        <v/>
      </c>
      <c r="C1524" s="31">
        <f>(Table2634[[#This Row],[M1 Money Stock, Billions of Dollars, Weekly, Seasonally Adjusted]]-B1523)/B1523</f>
        <v/>
      </c>
      <c r="D1524" s="35">
        <f>((1+Table2634[[#This Row],[Weekly change]])^52)-1</f>
        <v/>
      </c>
      <c r="E1524" s="25">
        <f>AVERAGE(B1521:B1524)</f>
        <v/>
      </c>
      <c r="F1524" s="33">
        <f>(Table2634[[#This Row],[4 weeks average]]-B1472)/B1472</f>
        <v/>
      </c>
    </row>
    <row r="1525">
      <c r="A1525" s="23" t="n">
        <v>38033</v>
      </c>
      <c r="B1525" s="25">
        <f>VLOOKUP(Table2634[[#This Row],[Date]],'DB Money Supply'!$A:$D,4)</f>
        <v/>
      </c>
      <c r="C1525" s="31">
        <f>(Table2634[[#This Row],[M1 Money Stock, Billions of Dollars, Weekly, Seasonally Adjusted]]-B1524)/B1524</f>
        <v/>
      </c>
      <c r="D1525" s="35">
        <f>((1+Table2634[[#This Row],[Weekly change]])^52)-1</f>
        <v/>
      </c>
      <c r="E1525" s="25">
        <f>AVERAGE(B1522:B1525)</f>
        <v/>
      </c>
      <c r="F1525" s="33">
        <f>(Table2634[[#This Row],[4 weeks average]]-B1473)/B1473</f>
        <v/>
      </c>
    </row>
    <row r="1526">
      <c r="A1526" s="23" t="n">
        <v>38040</v>
      </c>
      <c r="B1526" s="25">
        <f>VLOOKUP(Table2634[[#This Row],[Date]],'DB Money Supply'!$A:$D,4)</f>
        <v/>
      </c>
      <c r="C1526" s="31">
        <f>(Table2634[[#This Row],[M1 Money Stock, Billions of Dollars, Weekly, Seasonally Adjusted]]-B1525)/B1525</f>
        <v/>
      </c>
      <c r="D1526" s="35">
        <f>((1+Table2634[[#This Row],[Weekly change]])^52)-1</f>
        <v/>
      </c>
      <c r="E1526" s="25">
        <f>AVERAGE(B1523:B1526)</f>
        <v/>
      </c>
      <c r="F1526" s="33">
        <f>(Table2634[[#This Row],[4 weeks average]]-B1474)/B1474</f>
        <v/>
      </c>
    </row>
    <row r="1527">
      <c r="A1527" s="23" t="n">
        <v>38047</v>
      </c>
      <c r="B1527" s="25">
        <f>VLOOKUP(Table2634[[#This Row],[Date]],'DB Money Supply'!$A:$D,4)</f>
        <v/>
      </c>
      <c r="C1527" s="31">
        <f>(Table2634[[#This Row],[M1 Money Stock, Billions of Dollars, Weekly, Seasonally Adjusted]]-B1526)/B1526</f>
        <v/>
      </c>
      <c r="D1527" s="35">
        <f>((1+Table2634[[#This Row],[Weekly change]])^52)-1</f>
        <v/>
      </c>
      <c r="E1527" s="25">
        <f>AVERAGE(B1524:B1527)</f>
        <v/>
      </c>
      <c r="F1527" s="33">
        <f>(Table2634[[#This Row],[4 weeks average]]-B1475)/B1475</f>
        <v/>
      </c>
    </row>
    <row r="1528">
      <c r="A1528" s="23" t="n">
        <v>38054</v>
      </c>
      <c r="B1528" s="25">
        <f>VLOOKUP(Table2634[[#This Row],[Date]],'DB Money Supply'!$A:$D,4)</f>
        <v/>
      </c>
      <c r="C1528" s="31">
        <f>(Table2634[[#This Row],[M1 Money Stock, Billions of Dollars, Weekly, Seasonally Adjusted]]-B1527)/B1527</f>
        <v/>
      </c>
      <c r="D1528" s="35">
        <f>((1+Table2634[[#This Row],[Weekly change]])^52)-1</f>
        <v/>
      </c>
      <c r="E1528" s="25">
        <f>AVERAGE(B1525:B1528)</f>
        <v/>
      </c>
      <c r="F1528" s="33">
        <f>(Table2634[[#This Row],[4 weeks average]]-B1476)/B1476</f>
        <v/>
      </c>
    </row>
    <row r="1529">
      <c r="A1529" s="23" t="n">
        <v>38061</v>
      </c>
      <c r="B1529" s="25">
        <f>VLOOKUP(Table2634[[#This Row],[Date]],'DB Money Supply'!$A:$D,4)</f>
        <v/>
      </c>
      <c r="C1529" s="31">
        <f>(Table2634[[#This Row],[M1 Money Stock, Billions of Dollars, Weekly, Seasonally Adjusted]]-B1528)/B1528</f>
        <v/>
      </c>
      <c r="D1529" s="35">
        <f>((1+Table2634[[#This Row],[Weekly change]])^52)-1</f>
        <v/>
      </c>
      <c r="E1529" s="25">
        <f>AVERAGE(B1526:B1529)</f>
        <v/>
      </c>
      <c r="F1529" s="33">
        <f>(Table2634[[#This Row],[4 weeks average]]-B1477)/B1477</f>
        <v/>
      </c>
    </row>
    <row r="1530">
      <c r="A1530" s="23" t="n">
        <v>38068</v>
      </c>
      <c r="B1530" s="25">
        <f>VLOOKUP(Table2634[[#This Row],[Date]],'DB Money Supply'!$A:$D,4)</f>
        <v/>
      </c>
      <c r="C1530" s="31">
        <f>(Table2634[[#This Row],[M1 Money Stock, Billions of Dollars, Weekly, Seasonally Adjusted]]-B1529)/B1529</f>
        <v/>
      </c>
      <c r="D1530" s="35">
        <f>((1+Table2634[[#This Row],[Weekly change]])^52)-1</f>
        <v/>
      </c>
      <c r="E1530" s="25">
        <f>AVERAGE(B1527:B1530)</f>
        <v/>
      </c>
      <c r="F1530" s="33">
        <f>(Table2634[[#This Row],[4 weeks average]]-B1478)/B1478</f>
        <v/>
      </c>
    </row>
    <row r="1531">
      <c r="A1531" s="23" t="n">
        <v>38075</v>
      </c>
      <c r="B1531" s="25">
        <f>VLOOKUP(Table2634[[#This Row],[Date]],'DB Money Supply'!$A:$D,4)</f>
        <v/>
      </c>
      <c r="C1531" s="31">
        <f>(Table2634[[#This Row],[M1 Money Stock, Billions of Dollars, Weekly, Seasonally Adjusted]]-B1530)/B1530</f>
        <v/>
      </c>
      <c r="D1531" s="35">
        <f>((1+Table2634[[#This Row],[Weekly change]])^52)-1</f>
        <v/>
      </c>
      <c r="E1531" s="25">
        <f>AVERAGE(B1528:B1531)</f>
        <v/>
      </c>
      <c r="F1531" s="33">
        <f>(Table2634[[#This Row],[4 weeks average]]-B1479)/B1479</f>
        <v/>
      </c>
    </row>
    <row r="1532">
      <c r="A1532" s="23" t="n">
        <v>38082</v>
      </c>
      <c r="B1532" s="25">
        <f>VLOOKUP(Table2634[[#This Row],[Date]],'DB Money Supply'!$A:$D,4)</f>
        <v/>
      </c>
      <c r="C1532" s="31">
        <f>(Table2634[[#This Row],[M1 Money Stock, Billions of Dollars, Weekly, Seasonally Adjusted]]-B1531)/B1531</f>
        <v/>
      </c>
      <c r="D1532" s="35">
        <f>((1+Table2634[[#This Row],[Weekly change]])^52)-1</f>
        <v/>
      </c>
      <c r="E1532" s="25">
        <f>AVERAGE(B1529:B1532)</f>
        <v/>
      </c>
      <c r="F1532" s="33">
        <f>(Table2634[[#This Row],[4 weeks average]]-B1480)/B1480</f>
        <v/>
      </c>
    </row>
    <row r="1533">
      <c r="A1533" s="23" t="n">
        <v>38089</v>
      </c>
      <c r="B1533" s="25">
        <f>VLOOKUP(Table2634[[#This Row],[Date]],'DB Money Supply'!$A:$D,4)</f>
        <v/>
      </c>
      <c r="C1533" s="31">
        <f>(Table2634[[#This Row],[M1 Money Stock, Billions of Dollars, Weekly, Seasonally Adjusted]]-B1532)/B1532</f>
        <v/>
      </c>
      <c r="D1533" s="35">
        <f>((1+Table2634[[#This Row],[Weekly change]])^52)-1</f>
        <v/>
      </c>
      <c r="E1533" s="25">
        <f>AVERAGE(B1530:B1533)</f>
        <v/>
      </c>
      <c r="F1533" s="33">
        <f>(Table2634[[#This Row],[4 weeks average]]-B1481)/B1481</f>
        <v/>
      </c>
    </row>
    <row r="1534">
      <c r="A1534" s="23" t="n">
        <v>38096</v>
      </c>
      <c r="B1534" s="25">
        <f>VLOOKUP(Table2634[[#This Row],[Date]],'DB Money Supply'!$A:$D,4)</f>
        <v/>
      </c>
      <c r="C1534" s="31">
        <f>(Table2634[[#This Row],[M1 Money Stock, Billions of Dollars, Weekly, Seasonally Adjusted]]-B1533)/B1533</f>
        <v/>
      </c>
      <c r="D1534" s="35">
        <f>((1+Table2634[[#This Row],[Weekly change]])^52)-1</f>
        <v/>
      </c>
      <c r="E1534" s="25">
        <f>AVERAGE(B1531:B1534)</f>
        <v/>
      </c>
      <c r="F1534" s="33">
        <f>(Table2634[[#This Row],[4 weeks average]]-B1482)/B1482</f>
        <v/>
      </c>
    </row>
    <row r="1535">
      <c r="A1535" s="23" t="n">
        <v>38103</v>
      </c>
      <c r="B1535" s="25">
        <f>VLOOKUP(Table2634[[#This Row],[Date]],'DB Money Supply'!$A:$D,4)</f>
        <v/>
      </c>
      <c r="C1535" s="31">
        <f>(Table2634[[#This Row],[M1 Money Stock, Billions of Dollars, Weekly, Seasonally Adjusted]]-B1534)/B1534</f>
        <v/>
      </c>
      <c r="D1535" s="35">
        <f>((1+Table2634[[#This Row],[Weekly change]])^52)-1</f>
        <v/>
      </c>
      <c r="E1535" s="25">
        <f>AVERAGE(B1532:B1535)</f>
        <v/>
      </c>
      <c r="F1535" s="33">
        <f>(Table2634[[#This Row],[4 weeks average]]-B1483)/B1483</f>
        <v/>
      </c>
    </row>
    <row r="1536">
      <c r="A1536" s="23" t="n">
        <v>38110</v>
      </c>
      <c r="B1536" s="25">
        <f>VLOOKUP(Table2634[[#This Row],[Date]],'DB Money Supply'!$A:$D,4)</f>
        <v/>
      </c>
      <c r="C1536" s="31">
        <f>(Table2634[[#This Row],[M1 Money Stock, Billions of Dollars, Weekly, Seasonally Adjusted]]-B1535)/B1535</f>
        <v/>
      </c>
      <c r="D1536" s="35">
        <f>((1+Table2634[[#This Row],[Weekly change]])^52)-1</f>
        <v/>
      </c>
      <c r="E1536" s="25">
        <f>AVERAGE(B1533:B1536)</f>
        <v/>
      </c>
      <c r="F1536" s="33">
        <f>(Table2634[[#This Row],[4 weeks average]]-B1484)/B1484</f>
        <v/>
      </c>
    </row>
    <row r="1537">
      <c r="A1537" s="23" t="n">
        <v>38117</v>
      </c>
      <c r="B1537" s="25">
        <f>VLOOKUP(Table2634[[#This Row],[Date]],'DB Money Supply'!$A:$D,4)</f>
        <v/>
      </c>
      <c r="C1537" s="31">
        <f>(Table2634[[#This Row],[M1 Money Stock, Billions of Dollars, Weekly, Seasonally Adjusted]]-B1536)/B1536</f>
        <v/>
      </c>
      <c r="D1537" s="35">
        <f>((1+Table2634[[#This Row],[Weekly change]])^52)-1</f>
        <v/>
      </c>
      <c r="E1537" s="25">
        <f>AVERAGE(B1534:B1537)</f>
        <v/>
      </c>
      <c r="F1537" s="33">
        <f>(Table2634[[#This Row],[4 weeks average]]-B1485)/B1485</f>
        <v/>
      </c>
    </row>
    <row r="1538">
      <c r="A1538" s="23" t="n">
        <v>38124</v>
      </c>
      <c r="B1538" s="25">
        <f>VLOOKUP(Table2634[[#This Row],[Date]],'DB Money Supply'!$A:$D,4)</f>
        <v/>
      </c>
      <c r="C1538" s="31">
        <f>(Table2634[[#This Row],[M1 Money Stock, Billions of Dollars, Weekly, Seasonally Adjusted]]-B1537)/B1537</f>
        <v/>
      </c>
      <c r="D1538" s="35">
        <f>((1+Table2634[[#This Row],[Weekly change]])^52)-1</f>
        <v/>
      </c>
      <c r="E1538" s="25">
        <f>AVERAGE(B1535:B1538)</f>
        <v/>
      </c>
      <c r="F1538" s="33">
        <f>(Table2634[[#This Row],[4 weeks average]]-B1486)/B1486</f>
        <v/>
      </c>
    </row>
    <row r="1539">
      <c r="A1539" s="23" t="n">
        <v>38131</v>
      </c>
      <c r="B1539" s="25">
        <f>VLOOKUP(Table2634[[#This Row],[Date]],'DB Money Supply'!$A:$D,4)</f>
        <v/>
      </c>
      <c r="C1539" s="31">
        <f>(Table2634[[#This Row],[M1 Money Stock, Billions of Dollars, Weekly, Seasonally Adjusted]]-B1538)/B1538</f>
        <v/>
      </c>
      <c r="D1539" s="35">
        <f>((1+Table2634[[#This Row],[Weekly change]])^52)-1</f>
        <v/>
      </c>
      <c r="E1539" s="25">
        <f>AVERAGE(B1536:B1539)</f>
        <v/>
      </c>
      <c r="F1539" s="33">
        <f>(Table2634[[#This Row],[4 weeks average]]-B1487)/B1487</f>
        <v/>
      </c>
    </row>
    <row r="1540">
      <c r="A1540" s="23" t="n">
        <v>38138</v>
      </c>
      <c r="B1540" s="25">
        <f>VLOOKUP(Table2634[[#This Row],[Date]],'DB Money Supply'!$A:$D,4)</f>
        <v/>
      </c>
      <c r="C1540" s="31">
        <f>(Table2634[[#This Row],[M1 Money Stock, Billions of Dollars, Weekly, Seasonally Adjusted]]-B1539)/B1539</f>
        <v/>
      </c>
      <c r="D1540" s="35">
        <f>((1+Table2634[[#This Row],[Weekly change]])^52)-1</f>
        <v/>
      </c>
      <c r="E1540" s="25">
        <f>AVERAGE(B1537:B1540)</f>
        <v/>
      </c>
      <c r="F1540" s="33">
        <f>(Table2634[[#This Row],[4 weeks average]]-B1488)/B1488</f>
        <v/>
      </c>
    </row>
    <row r="1541">
      <c r="A1541" s="23" t="n">
        <v>38145</v>
      </c>
      <c r="B1541" s="25">
        <f>VLOOKUP(Table2634[[#This Row],[Date]],'DB Money Supply'!$A:$D,4)</f>
        <v/>
      </c>
      <c r="C1541" s="31">
        <f>(Table2634[[#This Row],[M1 Money Stock, Billions of Dollars, Weekly, Seasonally Adjusted]]-B1540)/B1540</f>
        <v/>
      </c>
      <c r="D1541" s="35">
        <f>((1+Table2634[[#This Row],[Weekly change]])^52)-1</f>
        <v/>
      </c>
      <c r="E1541" s="25">
        <f>AVERAGE(B1538:B1541)</f>
        <v/>
      </c>
      <c r="F1541" s="33">
        <f>(Table2634[[#This Row],[4 weeks average]]-B1489)/B1489</f>
        <v/>
      </c>
    </row>
    <row r="1542">
      <c r="A1542" s="23" t="n">
        <v>38152</v>
      </c>
      <c r="B1542" s="25">
        <f>VLOOKUP(Table2634[[#This Row],[Date]],'DB Money Supply'!$A:$D,4)</f>
        <v/>
      </c>
      <c r="C1542" s="31">
        <f>(Table2634[[#This Row],[M1 Money Stock, Billions of Dollars, Weekly, Seasonally Adjusted]]-B1541)/B1541</f>
        <v/>
      </c>
      <c r="D1542" s="35">
        <f>((1+Table2634[[#This Row],[Weekly change]])^52)-1</f>
        <v/>
      </c>
      <c r="E1542" s="25">
        <f>AVERAGE(B1539:B1542)</f>
        <v/>
      </c>
      <c r="F1542" s="33">
        <f>(Table2634[[#This Row],[4 weeks average]]-B1490)/B1490</f>
        <v/>
      </c>
    </row>
    <row r="1543">
      <c r="A1543" s="23" t="n">
        <v>38159</v>
      </c>
      <c r="B1543" s="25">
        <f>VLOOKUP(Table2634[[#This Row],[Date]],'DB Money Supply'!$A:$D,4)</f>
        <v/>
      </c>
      <c r="C1543" s="31">
        <f>(Table2634[[#This Row],[M1 Money Stock, Billions of Dollars, Weekly, Seasonally Adjusted]]-B1542)/B1542</f>
        <v/>
      </c>
      <c r="D1543" s="35">
        <f>((1+Table2634[[#This Row],[Weekly change]])^52)-1</f>
        <v/>
      </c>
      <c r="E1543" s="25">
        <f>AVERAGE(B1540:B1543)</f>
        <v/>
      </c>
      <c r="F1543" s="33">
        <f>(Table2634[[#This Row],[4 weeks average]]-B1491)/B1491</f>
        <v/>
      </c>
    </row>
    <row r="1544">
      <c r="A1544" s="23" t="n">
        <v>38166</v>
      </c>
      <c r="B1544" s="25">
        <f>VLOOKUP(Table2634[[#This Row],[Date]],'DB Money Supply'!$A:$D,4)</f>
        <v/>
      </c>
      <c r="C1544" s="31">
        <f>(Table2634[[#This Row],[M1 Money Stock, Billions of Dollars, Weekly, Seasonally Adjusted]]-B1543)/B1543</f>
        <v/>
      </c>
      <c r="D1544" s="35">
        <f>((1+Table2634[[#This Row],[Weekly change]])^52)-1</f>
        <v/>
      </c>
      <c r="E1544" s="25">
        <f>AVERAGE(B1541:B1544)</f>
        <v/>
      </c>
      <c r="F1544" s="33">
        <f>(Table2634[[#This Row],[4 weeks average]]-B1492)/B1492</f>
        <v/>
      </c>
    </row>
    <row r="1545">
      <c r="A1545" s="23" t="n">
        <v>38173</v>
      </c>
      <c r="B1545" s="25">
        <f>VLOOKUP(Table2634[[#This Row],[Date]],'DB Money Supply'!$A:$D,4)</f>
        <v/>
      </c>
      <c r="C1545" s="31">
        <f>(Table2634[[#This Row],[M1 Money Stock, Billions of Dollars, Weekly, Seasonally Adjusted]]-B1544)/B1544</f>
        <v/>
      </c>
      <c r="D1545" s="35">
        <f>((1+Table2634[[#This Row],[Weekly change]])^52)-1</f>
        <v/>
      </c>
      <c r="E1545" s="25">
        <f>AVERAGE(B1542:B1545)</f>
        <v/>
      </c>
      <c r="F1545" s="33">
        <f>(Table2634[[#This Row],[4 weeks average]]-B1493)/B1493</f>
        <v/>
      </c>
    </row>
    <row r="1546">
      <c r="A1546" s="23" t="n">
        <v>38180</v>
      </c>
      <c r="B1546" s="25">
        <f>VLOOKUP(Table2634[[#This Row],[Date]],'DB Money Supply'!$A:$D,4)</f>
        <v/>
      </c>
      <c r="C1546" s="31">
        <f>(Table2634[[#This Row],[M1 Money Stock, Billions of Dollars, Weekly, Seasonally Adjusted]]-B1545)/B1545</f>
        <v/>
      </c>
      <c r="D1546" s="35">
        <f>((1+Table2634[[#This Row],[Weekly change]])^52)-1</f>
        <v/>
      </c>
      <c r="E1546" s="25">
        <f>AVERAGE(B1543:B1546)</f>
        <v/>
      </c>
      <c r="F1546" s="33">
        <f>(Table2634[[#This Row],[4 weeks average]]-B1494)/B1494</f>
        <v/>
      </c>
    </row>
    <row r="1547">
      <c r="A1547" s="23" t="n">
        <v>38187</v>
      </c>
      <c r="B1547" s="25">
        <f>VLOOKUP(Table2634[[#This Row],[Date]],'DB Money Supply'!$A:$D,4)</f>
        <v/>
      </c>
      <c r="C1547" s="31">
        <f>(Table2634[[#This Row],[M1 Money Stock, Billions of Dollars, Weekly, Seasonally Adjusted]]-B1546)/B1546</f>
        <v/>
      </c>
      <c r="D1547" s="35">
        <f>((1+Table2634[[#This Row],[Weekly change]])^52)-1</f>
        <v/>
      </c>
      <c r="E1547" s="25">
        <f>AVERAGE(B1544:B1547)</f>
        <v/>
      </c>
      <c r="F1547" s="33">
        <f>(Table2634[[#This Row],[4 weeks average]]-B1495)/B1495</f>
        <v/>
      </c>
    </row>
    <row r="1548">
      <c r="A1548" s="23" t="n">
        <v>38194</v>
      </c>
      <c r="B1548" s="25">
        <f>VLOOKUP(Table2634[[#This Row],[Date]],'DB Money Supply'!$A:$D,4)</f>
        <v/>
      </c>
      <c r="C1548" s="31">
        <f>(Table2634[[#This Row],[M1 Money Stock, Billions of Dollars, Weekly, Seasonally Adjusted]]-B1547)/B1547</f>
        <v/>
      </c>
      <c r="D1548" s="35">
        <f>((1+Table2634[[#This Row],[Weekly change]])^52)-1</f>
        <v/>
      </c>
      <c r="E1548" s="25">
        <f>AVERAGE(B1545:B1548)</f>
        <v/>
      </c>
      <c r="F1548" s="33">
        <f>(Table2634[[#This Row],[4 weeks average]]-B1496)/B1496</f>
        <v/>
      </c>
    </row>
    <row r="1549">
      <c r="A1549" s="23" t="n">
        <v>38201</v>
      </c>
      <c r="B1549" s="25">
        <f>VLOOKUP(Table2634[[#This Row],[Date]],'DB Money Supply'!$A:$D,4)</f>
        <v/>
      </c>
      <c r="C1549" s="31">
        <f>(Table2634[[#This Row],[M1 Money Stock, Billions of Dollars, Weekly, Seasonally Adjusted]]-B1548)/B1548</f>
        <v/>
      </c>
      <c r="D1549" s="35">
        <f>((1+Table2634[[#This Row],[Weekly change]])^52)-1</f>
        <v/>
      </c>
      <c r="E1549" s="25">
        <f>AVERAGE(B1546:B1549)</f>
        <v/>
      </c>
      <c r="F1549" s="33">
        <f>(Table2634[[#This Row],[4 weeks average]]-B1497)/B1497</f>
        <v/>
      </c>
    </row>
    <row r="1550">
      <c r="A1550" s="23" t="n">
        <v>38208</v>
      </c>
      <c r="B1550" s="25">
        <f>VLOOKUP(Table2634[[#This Row],[Date]],'DB Money Supply'!$A:$D,4)</f>
        <v/>
      </c>
      <c r="C1550" s="31">
        <f>(Table2634[[#This Row],[M1 Money Stock, Billions of Dollars, Weekly, Seasonally Adjusted]]-B1549)/B1549</f>
        <v/>
      </c>
      <c r="D1550" s="35">
        <f>((1+Table2634[[#This Row],[Weekly change]])^52)-1</f>
        <v/>
      </c>
      <c r="E1550" s="25">
        <f>AVERAGE(B1547:B1550)</f>
        <v/>
      </c>
      <c r="F1550" s="33">
        <f>(Table2634[[#This Row],[4 weeks average]]-B1498)/B1498</f>
        <v/>
      </c>
    </row>
    <row r="1551">
      <c r="A1551" s="23" t="n">
        <v>38215</v>
      </c>
      <c r="B1551" s="25">
        <f>VLOOKUP(Table2634[[#This Row],[Date]],'DB Money Supply'!$A:$D,4)</f>
        <v/>
      </c>
      <c r="C1551" s="31">
        <f>(Table2634[[#This Row],[M1 Money Stock, Billions of Dollars, Weekly, Seasonally Adjusted]]-B1550)/B1550</f>
        <v/>
      </c>
      <c r="D1551" s="35">
        <f>((1+Table2634[[#This Row],[Weekly change]])^52)-1</f>
        <v/>
      </c>
      <c r="E1551" s="25">
        <f>AVERAGE(B1548:B1551)</f>
        <v/>
      </c>
      <c r="F1551" s="33">
        <f>(Table2634[[#This Row],[4 weeks average]]-B1499)/B1499</f>
        <v/>
      </c>
    </row>
    <row r="1552">
      <c r="A1552" s="23" t="n">
        <v>38222</v>
      </c>
      <c r="B1552" s="25">
        <f>VLOOKUP(Table2634[[#This Row],[Date]],'DB Money Supply'!$A:$D,4)</f>
        <v/>
      </c>
      <c r="C1552" s="31">
        <f>(Table2634[[#This Row],[M1 Money Stock, Billions of Dollars, Weekly, Seasonally Adjusted]]-B1551)/B1551</f>
        <v/>
      </c>
      <c r="D1552" s="35">
        <f>((1+Table2634[[#This Row],[Weekly change]])^52)-1</f>
        <v/>
      </c>
      <c r="E1552" s="25">
        <f>AVERAGE(B1549:B1552)</f>
        <v/>
      </c>
      <c r="F1552" s="33">
        <f>(Table2634[[#This Row],[4 weeks average]]-B1500)/B1500</f>
        <v/>
      </c>
    </row>
    <row r="1553">
      <c r="A1553" s="23" t="n">
        <v>38229</v>
      </c>
      <c r="B1553" s="25">
        <f>VLOOKUP(Table2634[[#This Row],[Date]],'DB Money Supply'!$A:$D,4)</f>
        <v/>
      </c>
      <c r="C1553" s="31">
        <f>(Table2634[[#This Row],[M1 Money Stock, Billions of Dollars, Weekly, Seasonally Adjusted]]-B1552)/B1552</f>
        <v/>
      </c>
      <c r="D1553" s="35">
        <f>((1+Table2634[[#This Row],[Weekly change]])^52)-1</f>
        <v/>
      </c>
      <c r="E1553" s="25">
        <f>AVERAGE(B1550:B1553)</f>
        <v/>
      </c>
      <c r="F1553" s="33">
        <f>(Table2634[[#This Row],[4 weeks average]]-B1501)/B1501</f>
        <v/>
      </c>
    </row>
    <row r="1554">
      <c r="A1554" s="23" t="n">
        <v>38236</v>
      </c>
      <c r="B1554" s="25">
        <f>VLOOKUP(Table2634[[#This Row],[Date]],'DB Money Supply'!$A:$D,4)</f>
        <v/>
      </c>
      <c r="C1554" s="31">
        <f>(Table2634[[#This Row],[M1 Money Stock, Billions of Dollars, Weekly, Seasonally Adjusted]]-B1553)/B1553</f>
        <v/>
      </c>
      <c r="D1554" s="35">
        <f>((1+Table2634[[#This Row],[Weekly change]])^52)-1</f>
        <v/>
      </c>
      <c r="E1554" s="25">
        <f>AVERAGE(B1551:B1554)</f>
        <v/>
      </c>
      <c r="F1554" s="33">
        <f>(Table2634[[#This Row],[4 weeks average]]-B1502)/B1502</f>
        <v/>
      </c>
    </row>
    <row r="1555">
      <c r="A1555" s="23" t="n">
        <v>38243</v>
      </c>
      <c r="B1555" s="25">
        <f>VLOOKUP(Table2634[[#This Row],[Date]],'DB Money Supply'!$A:$D,4)</f>
        <v/>
      </c>
      <c r="C1555" s="31">
        <f>(Table2634[[#This Row],[M1 Money Stock, Billions of Dollars, Weekly, Seasonally Adjusted]]-B1554)/B1554</f>
        <v/>
      </c>
      <c r="D1555" s="35">
        <f>((1+Table2634[[#This Row],[Weekly change]])^52)-1</f>
        <v/>
      </c>
      <c r="E1555" s="25">
        <f>AVERAGE(B1552:B1555)</f>
        <v/>
      </c>
      <c r="F1555" s="33">
        <f>(Table2634[[#This Row],[4 weeks average]]-B1503)/B1503</f>
        <v/>
      </c>
    </row>
    <row r="1556">
      <c r="A1556" s="23" t="n">
        <v>38250</v>
      </c>
      <c r="B1556" s="25">
        <f>VLOOKUP(Table2634[[#This Row],[Date]],'DB Money Supply'!$A:$D,4)</f>
        <v/>
      </c>
      <c r="C1556" s="31">
        <f>(Table2634[[#This Row],[M1 Money Stock, Billions of Dollars, Weekly, Seasonally Adjusted]]-B1555)/B1555</f>
        <v/>
      </c>
      <c r="D1556" s="35">
        <f>((1+Table2634[[#This Row],[Weekly change]])^52)-1</f>
        <v/>
      </c>
      <c r="E1556" s="25">
        <f>AVERAGE(B1553:B1556)</f>
        <v/>
      </c>
      <c r="F1556" s="33">
        <f>(Table2634[[#This Row],[4 weeks average]]-B1504)/B1504</f>
        <v/>
      </c>
    </row>
    <row r="1557">
      <c r="A1557" s="23" t="n">
        <v>38257</v>
      </c>
      <c r="B1557" s="25">
        <f>VLOOKUP(Table2634[[#This Row],[Date]],'DB Money Supply'!$A:$D,4)</f>
        <v/>
      </c>
      <c r="C1557" s="31">
        <f>(Table2634[[#This Row],[M1 Money Stock, Billions of Dollars, Weekly, Seasonally Adjusted]]-B1556)/B1556</f>
        <v/>
      </c>
      <c r="D1557" s="35">
        <f>((1+Table2634[[#This Row],[Weekly change]])^52)-1</f>
        <v/>
      </c>
      <c r="E1557" s="25">
        <f>AVERAGE(B1554:B1557)</f>
        <v/>
      </c>
      <c r="F1557" s="33">
        <f>(Table2634[[#This Row],[4 weeks average]]-B1505)/B1505</f>
        <v/>
      </c>
    </row>
    <row r="1558">
      <c r="A1558" s="23" t="n">
        <v>38264</v>
      </c>
      <c r="B1558" s="25">
        <f>VLOOKUP(Table2634[[#This Row],[Date]],'DB Money Supply'!$A:$D,4)</f>
        <v/>
      </c>
      <c r="C1558" s="31">
        <f>(Table2634[[#This Row],[M1 Money Stock, Billions of Dollars, Weekly, Seasonally Adjusted]]-B1557)/B1557</f>
        <v/>
      </c>
      <c r="D1558" s="35">
        <f>((1+Table2634[[#This Row],[Weekly change]])^52)-1</f>
        <v/>
      </c>
      <c r="E1558" s="25">
        <f>AVERAGE(B1555:B1558)</f>
        <v/>
      </c>
      <c r="F1558" s="33">
        <f>(Table2634[[#This Row],[4 weeks average]]-B1506)/B1506</f>
        <v/>
      </c>
    </row>
    <row r="1559">
      <c r="A1559" s="23" t="n">
        <v>38271</v>
      </c>
      <c r="B1559" s="25">
        <f>VLOOKUP(Table2634[[#This Row],[Date]],'DB Money Supply'!$A:$D,4)</f>
        <v/>
      </c>
      <c r="C1559" s="31">
        <f>(Table2634[[#This Row],[M1 Money Stock, Billions of Dollars, Weekly, Seasonally Adjusted]]-B1558)/B1558</f>
        <v/>
      </c>
      <c r="D1559" s="35">
        <f>((1+Table2634[[#This Row],[Weekly change]])^52)-1</f>
        <v/>
      </c>
      <c r="E1559" s="25">
        <f>AVERAGE(B1556:B1559)</f>
        <v/>
      </c>
      <c r="F1559" s="33">
        <f>(Table2634[[#This Row],[4 weeks average]]-B1507)/B1507</f>
        <v/>
      </c>
    </row>
    <row r="1560">
      <c r="A1560" s="23" t="n">
        <v>38278</v>
      </c>
      <c r="B1560" s="25">
        <f>VLOOKUP(Table2634[[#This Row],[Date]],'DB Money Supply'!$A:$D,4)</f>
        <v/>
      </c>
      <c r="C1560" s="31">
        <f>(Table2634[[#This Row],[M1 Money Stock, Billions of Dollars, Weekly, Seasonally Adjusted]]-B1559)/B1559</f>
        <v/>
      </c>
      <c r="D1560" s="35">
        <f>((1+Table2634[[#This Row],[Weekly change]])^52)-1</f>
        <v/>
      </c>
      <c r="E1560" s="25">
        <f>AVERAGE(B1557:B1560)</f>
        <v/>
      </c>
      <c r="F1560" s="33">
        <f>(Table2634[[#This Row],[4 weeks average]]-B1508)/B1508</f>
        <v/>
      </c>
    </row>
    <row r="1561">
      <c r="A1561" s="23" t="n">
        <v>38285</v>
      </c>
      <c r="B1561" s="25">
        <f>VLOOKUP(Table2634[[#This Row],[Date]],'DB Money Supply'!$A:$D,4)</f>
        <v/>
      </c>
      <c r="C1561" s="31">
        <f>(Table2634[[#This Row],[M1 Money Stock, Billions of Dollars, Weekly, Seasonally Adjusted]]-B1560)/B1560</f>
        <v/>
      </c>
      <c r="D1561" s="35">
        <f>((1+Table2634[[#This Row],[Weekly change]])^52)-1</f>
        <v/>
      </c>
      <c r="E1561" s="25">
        <f>AVERAGE(B1558:B1561)</f>
        <v/>
      </c>
      <c r="F1561" s="33">
        <f>(Table2634[[#This Row],[4 weeks average]]-B1509)/B1509</f>
        <v/>
      </c>
    </row>
    <row r="1562">
      <c r="A1562" s="23" t="n">
        <v>38292</v>
      </c>
      <c r="B1562" s="25">
        <f>VLOOKUP(Table2634[[#This Row],[Date]],'DB Money Supply'!$A:$D,4)</f>
        <v/>
      </c>
      <c r="C1562" s="31">
        <f>(Table2634[[#This Row],[M1 Money Stock, Billions of Dollars, Weekly, Seasonally Adjusted]]-B1561)/B1561</f>
        <v/>
      </c>
      <c r="D1562" s="35">
        <f>((1+Table2634[[#This Row],[Weekly change]])^52)-1</f>
        <v/>
      </c>
      <c r="E1562" s="25">
        <f>AVERAGE(B1559:B1562)</f>
        <v/>
      </c>
      <c r="F1562" s="33">
        <f>(Table2634[[#This Row],[4 weeks average]]-B1510)/B1510</f>
        <v/>
      </c>
    </row>
    <row r="1563">
      <c r="A1563" s="23" t="n">
        <v>38299</v>
      </c>
      <c r="B1563" s="25">
        <f>VLOOKUP(Table2634[[#This Row],[Date]],'DB Money Supply'!$A:$D,4)</f>
        <v/>
      </c>
      <c r="C1563" s="31">
        <f>(Table2634[[#This Row],[M1 Money Stock, Billions of Dollars, Weekly, Seasonally Adjusted]]-B1562)/B1562</f>
        <v/>
      </c>
      <c r="D1563" s="35">
        <f>((1+Table2634[[#This Row],[Weekly change]])^52)-1</f>
        <v/>
      </c>
      <c r="E1563" s="25">
        <f>AVERAGE(B1560:B1563)</f>
        <v/>
      </c>
      <c r="F1563" s="33">
        <f>(Table2634[[#This Row],[4 weeks average]]-B1511)/B1511</f>
        <v/>
      </c>
    </row>
    <row r="1564">
      <c r="A1564" s="23" t="n">
        <v>38306</v>
      </c>
      <c r="B1564" s="25">
        <f>VLOOKUP(Table2634[[#This Row],[Date]],'DB Money Supply'!$A:$D,4)</f>
        <v/>
      </c>
      <c r="C1564" s="31">
        <f>(Table2634[[#This Row],[M1 Money Stock, Billions of Dollars, Weekly, Seasonally Adjusted]]-B1563)/B1563</f>
        <v/>
      </c>
      <c r="D1564" s="35">
        <f>((1+Table2634[[#This Row],[Weekly change]])^52)-1</f>
        <v/>
      </c>
      <c r="E1564" s="25">
        <f>AVERAGE(B1561:B1564)</f>
        <v/>
      </c>
      <c r="F1564" s="33">
        <f>(Table2634[[#This Row],[4 weeks average]]-B1512)/B1512</f>
        <v/>
      </c>
    </row>
    <row r="1565">
      <c r="A1565" s="23" t="n">
        <v>38313</v>
      </c>
      <c r="B1565" s="25">
        <f>VLOOKUP(Table2634[[#This Row],[Date]],'DB Money Supply'!$A:$D,4)</f>
        <v/>
      </c>
      <c r="C1565" s="31">
        <f>(Table2634[[#This Row],[M1 Money Stock, Billions of Dollars, Weekly, Seasonally Adjusted]]-B1564)/B1564</f>
        <v/>
      </c>
      <c r="D1565" s="35">
        <f>((1+Table2634[[#This Row],[Weekly change]])^52)-1</f>
        <v/>
      </c>
      <c r="E1565" s="25">
        <f>AVERAGE(B1562:B1565)</f>
        <v/>
      </c>
      <c r="F1565" s="33">
        <f>(Table2634[[#This Row],[4 weeks average]]-B1513)/B1513</f>
        <v/>
      </c>
    </row>
    <row r="1566">
      <c r="A1566" s="23" t="n">
        <v>38320</v>
      </c>
      <c r="B1566" s="25">
        <f>VLOOKUP(Table2634[[#This Row],[Date]],'DB Money Supply'!$A:$D,4)</f>
        <v/>
      </c>
      <c r="C1566" s="31">
        <f>(Table2634[[#This Row],[M1 Money Stock, Billions of Dollars, Weekly, Seasonally Adjusted]]-B1565)/B1565</f>
        <v/>
      </c>
      <c r="D1566" s="35">
        <f>((1+Table2634[[#This Row],[Weekly change]])^52)-1</f>
        <v/>
      </c>
      <c r="E1566" s="25">
        <f>AVERAGE(B1563:B1566)</f>
        <v/>
      </c>
      <c r="F1566" s="33">
        <f>(Table2634[[#This Row],[4 weeks average]]-B1514)/B1514</f>
        <v/>
      </c>
    </row>
    <row r="1567">
      <c r="A1567" s="23" t="n">
        <v>38327</v>
      </c>
      <c r="B1567" s="25">
        <f>VLOOKUP(Table2634[[#This Row],[Date]],'DB Money Supply'!$A:$D,4)</f>
        <v/>
      </c>
      <c r="C1567" s="31">
        <f>(Table2634[[#This Row],[M1 Money Stock, Billions of Dollars, Weekly, Seasonally Adjusted]]-B1566)/B1566</f>
        <v/>
      </c>
      <c r="D1567" s="35">
        <f>((1+Table2634[[#This Row],[Weekly change]])^52)-1</f>
        <v/>
      </c>
      <c r="E1567" s="25">
        <f>AVERAGE(B1564:B1567)</f>
        <v/>
      </c>
      <c r="F1567" s="33">
        <f>(Table2634[[#This Row],[4 weeks average]]-B1515)/B1515</f>
        <v/>
      </c>
    </row>
    <row r="1568">
      <c r="A1568" s="23" t="n">
        <v>38334</v>
      </c>
      <c r="B1568" s="25">
        <f>VLOOKUP(Table2634[[#This Row],[Date]],'DB Money Supply'!$A:$D,4)</f>
        <v/>
      </c>
      <c r="C1568" s="31">
        <f>(Table2634[[#This Row],[M1 Money Stock, Billions of Dollars, Weekly, Seasonally Adjusted]]-B1567)/B1567</f>
        <v/>
      </c>
      <c r="D1568" s="35">
        <f>((1+Table2634[[#This Row],[Weekly change]])^52)-1</f>
        <v/>
      </c>
      <c r="E1568" s="25">
        <f>AVERAGE(B1565:B1568)</f>
        <v/>
      </c>
      <c r="F1568" s="33">
        <f>(Table2634[[#This Row],[4 weeks average]]-B1516)/B1516</f>
        <v/>
      </c>
    </row>
    <row r="1569">
      <c r="A1569" s="23" t="n">
        <v>38341</v>
      </c>
      <c r="B1569" s="25">
        <f>VLOOKUP(Table2634[[#This Row],[Date]],'DB Money Supply'!$A:$D,4)</f>
        <v/>
      </c>
      <c r="C1569" s="31">
        <f>(Table2634[[#This Row],[M1 Money Stock, Billions of Dollars, Weekly, Seasonally Adjusted]]-B1568)/B1568</f>
        <v/>
      </c>
      <c r="D1569" s="35">
        <f>((1+Table2634[[#This Row],[Weekly change]])^52)-1</f>
        <v/>
      </c>
      <c r="E1569" s="25">
        <f>AVERAGE(B1566:B1569)</f>
        <v/>
      </c>
      <c r="F1569" s="33">
        <f>(Table2634[[#This Row],[4 weeks average]]-B1517)/B1517</f>
        <v/>
      </c>
    </row>
    <row r="1570">
      <c r="A1570" s="23" t="n">
        <v>38348</v>
      </c>
      <c r="B1570" s="25">
        <f>VLOOKUP(Table2634[[#This Row],[Date]],'DB Money Supply'!$A:$D,4)</f>
        <v/>
      </c>
      <c r="C1570" s="31">
        <f>(Table2634[[#This Row],[M1 Money Stock, Billions of Dollars, Weekly, Seasonally Adjusted]]-B1569)/B1569</f>
        <v/>
      </c>
      <c r="D1570" s="35">
        <f>((1+Table2634[[#This Row],[Weekly change]])^52)-1</f>
        <v/>
      </c>
      <c r="E1570" s="25">
        <f>AVERAGE(B1567:B1570)</f>
        <v/>
      </c>
      <c r="F1570" s="33">
        <f>(Table2634[[#This Row],[4 weeks average]]-B1518)/B1518</f>
        <v/>
      </c>
    </row>
    <row r="1571">
      <c r="A1571" s="23" t="n">
        <v>38355</v>
      </c>
      <c r="B1571" s="25">
        <f>VLOOKUP(Table2634[[#This Row],[Date]],'DB Money Supply'!$A:$D,4)</f>
        <v/>
      </c>
      <c r="C1571" s="31">
        <f>(Table2634[[#This Row],[M1 Money Stock, Billions of Dollars, Weekly, Seasonally Adjusted]]-B1570)/B1570</f>
        <v/>
      </c>
      <c r="D1571" s="35">
        <f>((1+Table2634[[#This Row],[Weekly change]])^52)-1</f>
        <v/>
      </c>
      <c r="E1571" s="25">
        <f>AVERAGE(B1568:B1571)</f>
        <v/>
      </c>
      <c r="F1571" s="33">
        <f>(Table2634[[#This Row],[4 weeks average]]-B1519)/B1519</f>
        <v/>
      </c>
    </row>
    <row r="1572">
      <c r="A1572" s="23" t="n">
        <v>38362</v>
      </c>
      <c r="B1572" s="25">
        <f>VLOOKUP(Table2634[[#This Row],[Date]],'DB Money Supply'!$A:$D,4)</f>
        <v/>
      </c>
      <c r="C1572" s="31">
        <f>(Table2634[[#This Row],[M1 Money Stock, Billions of Dollars, Weekly, Seasonally Adjusted]]-B1571)/B1571</f>
        <v/>
      </c>
      <c r="D1572" s="35">
        <f>((1+Table2634[[#This Row],[Weekly change]])^52)-1</f>
        <v/>
      </c>
      <c r="E1572" s="25">
        <f>AVERAGE(B1569:B1572)</f>
        <v/>
      </c>
      <c r="F1572" s="33">
        <f>(Table2634[[#This Row],[4 weeks average]]-B1520)/B1520</f>
        <v/>
      </c>
    </row>
    <row r="1573">
      <c r="A1573" s="23" t="n">
        <v>38369</v>
      </c>
      <c r="B1573" s="25">
        <f>VLOOKUP(Table2634[[#This Row],[Date]],'DB Money Supply'!$A:$D,4)</f>
        <v/>
      </c>
      <c r="C1573" s="31">
        <f>(Table2634[[#This Row],[M1 Money Stock, Billions of Dollars, Weekly, Seasonally Adjusted]]-B1572)/B1572</f>
        <v/>
      </c>
      <c r="D1573" s="35">
        <f>((1+Table2634[[#This Row],[Weekly change]])^52)-1</f>
        <v/>
      </c>
      <c r="E1573" s="25">
        <f>AVERAGE(B1570:B1573)</f>
        <v/>
      </c>
      <c r="F1573" s="33">
        <f>(Table2634[[#This Row],[4 weeks average]]-B1521)/B1521</f>
        <v/>
      </c>
    </row>
    <row r="1574">
      <c r="A1574" s="23" t="n">
        <v>38376</v>
      </c>
      <c r="B1574" s="25">
        <f>VLOOKUP(Table2634[[#This Row],[Date]],'DB Money Supply'!$A:$D,4)</f>
        <v/>
      </c>
      <c r="C1574" s="31">
        <f>(Table2634[[#This Row],[M1 Money Stock, Billions of Dollars, Weekly, Seasonally Adjusted]]-B1573)/B1573</f>
        <v/>
      </c>
      <c r="D1574" s="35">
        <f>((1+Table2634[[#This Row],[Weekly change]])^52)-1</f>
        <v/>
      </c>
      <c r="E1574" s="25">
        <f>AVERAGE(B1571:B1574)</f>
        <v/>
      </c>
      <c r="F1574" s="33">
        <f>(Table2634[[#This Row],[4 weeks average]]-B1522)/B1522</f>
        <v/>
      </c>
    </row>
    <row r="1575">
      <c r="A1575" s="23" t="n">
        <v>38383</v>
      </c>
      <c r="B1575" s="25">
        <f>VLOOKUP(Table2634[[#This Row],[Date]],'DB Money Supply'!$A:$D,4)</f>
        <v/>
      </c>
      <c r="C1575" s="31">
        <f>(Table2634[[#This Row],[M1 Money Stock, Billions of Dollars, Weekly, Seasonally Adjusted]]-B1574)/B1574</f>
        <v/>
      </c>
      <c r="D1575" s="35">
        <f>((1+Table2634[[#This Row],[Weekly change]])^52)-1</f>
        <v/>
      </c>
      <c r="E1575" s="25">
        <f>AVERAGE(B1572:B1575)</f>
        <v/>
      </c>
      <c r="F1575" s="33">
        <f>(Table2634[[#This Row],[4 weeks average]]-B1523)/B1523</f>
        <v/>
      </c>
    </row>
    <row r="1576">
      <c r="A1576" s="23" t="n">
        <v>38390</v>
      </c>
      <c r="B1576" s="25">
        <f>VLOOKUP(Table2634[[#This Row],[Date]],'DB Money Supply'!$A:$D,4)</f>
        <v/>
      </c>
      <c r="C1576" s="31">
        <f>(Table2634[[#This Row],[M1 Money Stock, Billions of Dollars, Weekly, Seasonally Adjusted]]-B1575)/B1575</f>
        <v/>
      </c>
      <c r="D1576" s="35">
        <f>((1+Table2634[[#This Row],[Weekly change]])^52)-1</f>
        <v/>
      </c>
      <c r="E1576" s="25">
        <f>AVERAGE(B1573:B1576)</f>
        <v/>
      </c>
      <c r="F1576" s="33">
        <f>(Table2634[[#This Row],[4 weeks average]]-B1524)/B1524</f>
        <v/>
      </c>
    </row>
    <row r="1577">
      <c r="A1577" s="23" t="n">
        <v>38397</v>
      </c>
      <c r="B1577" s="25">
        <f>VLOOKUP(Table2634[[#This Row],[Date]],'DB Money Supply'!$A:$D,4)</f>
        <v/>
      </c>
      <c r="C1577" s="31">
        <f>(Table2634[[#This Row],[M1 Money Stock, Billions of Dollars, Weekly, Seasonally Adjusted]]-B1576)/B1576</f>
        <v/>
      </c>
      <c r="D1577" s="35">
        <f>((1+Table2634[[#This Row],[Weekly change]])^52)-1</f>
        <v/>
      </c>
      <c r="E1577" s="25">
        <f>AVERAGE(B1574:B1577)</f>
        <v/>
      </c>
      <c r="F1577" s="33">
        <f>(Table2634[[#This Row],[4 weeks average]]-B1525)/B1525</f>
        <v/>
      </c>
    </row>
    <row r="1578">
      <c r="A1578" s="23" t="n">
        <v>38404</v>
      </c>
      <c r="B1578" s="25">
        <f>VLOOKUP(Table2634[[#This Row],[Date]],'DB Money Supply'!$A:$D,4)</f>
        <v/>
      </c>
      <c r="C1578" s="31">
        <f>(Table2634[[#This Row],[M1 Money Stock, Billions of Dollars, Weekly, Seasonally Adjusted]]-B1577)/B1577</f>
        <v/>
      </c>
      <c r="D1578" s="35">
        <f>((1+Table2634[[#This Row],[Weekly change]])^52)-1</f>
        <v/>
      </c>
      <c r="E1578" s="25">
        <f>AVERAGE(B1575:B1578)</f>
        <v/>
      </c>
      <c r="F1578" s="33">
        <f>(Table2634[[#This Row],[4 weeks average]]-B1526)/B1526</f>
        <v/>
      </c>
    </row>
    <row r="1579">
      <c r="A1579" s="23" t="n">
        <v>38411</v>
      </c>
      <c r="B1579" s="25">
        <f>VLOOKUP(Table2634[[#This Row],[Date]],'DB Money Supply'!$A:$D,4)</f>
        <v/>
      </c>
      <c r="C1579" s="31">
        <f>(Table2634[[#This Row],[M1 Money Stock, Billions of Dollars, Weekly, Seasonally Adjusted]]-B1578)/B1578</f>
        <v/>
      </c>
      <c r="D1579" s="35">
        <f>((1+Table2634[[#This Row],[Weekly change]])^52)-1</f>
        <v/>
      </c>
      <c r="E1579" s="25">
        <f>AVERAGE(B1576:B1579)</f>
        <v/>
      </c>
      <c r="F1579" s="33">
        <f>(Table2634[[#This Row],[4 weeks average]]-B1527)/B1527</f>
        <v/>
      </c>
    </row>
    <row r="1580">
      <c r="A1580" s="23" t="n">
        <v>38418</v>
      </c>
      <c r="B1580" s="25">
        <f>VLOOKUP(Table2634[[#This Row],[Date]],'DB Money Supply'!$A:$D,4)</f>
        <v/>
      </c>
      <c r="C1580" s="31">
        <f>(Table2634[[#This Row],[M1 Money Stock, Billions of Dollars, Weekly, Seasonally Adjusted]]-B1579)/B1579</f>
        <v/>
      </c>
      <c r="D1580" s="35">
        <f>((1+Table2634[[#This Row],[Weekly change]])^52)-1</f>
        <v/>
      </c>
      <c r="E1580" s="25">
        <f>AVERAGE(B1577:B1580)</f>
        <v/>
      </c>
      <c r="F1580" s="33">
        <f>(Table2634[[#This Row],[4 weeks average]]-B1528)/B1528</f>
        <v/>
      </c>
    </row>
    <row r="1581">
      <c r="A1581" s="23" t="n">
        <v>38425</v>
      </c>
      <c r="B1581" s="25">
        <f>VLOOKUP(Table2634[[#This Row],[Date]],'DB Money Supply'!$A:$D,4)</f>
        <v/>
      </c>
      <c r="C1581" s="31">
        <f>(Table2634[[#This Row],[M1 Money Stock, Billions of Dollars, Weekly, Seasonally Adjusted]]-B1580)/B1580</f>
        <v/>
      </c>
      <c r="D1581" s="35">
        <f>((1+Table2634[[#This Row],[Weekly change]])^52)-1</f>
        <v/>
      </c>
      <c r="E1581" s="25">
        <f>AVERAGE(B1578:B1581)</f>
        <v/>
      </c>
      <c r="F1581" s="33">
        <f>(Table2634[[#This Row],[4 weeks average]]-B1529)/B1529</f>
        <v/>
      </c>
    </row>
    <row r="1582">
      <c r="A1582" s="23" t="n">
        <v>38432</v>
      </c>
      <c r="B1582" s="25">
        <f>VLOOKUP(Table2634[[#This Row],[Date]],'DB Money Supply'!$A:$D,4)</f>
        <v/>
      </c>
      <c r="C1582" s="31">
        <f>(Table2634[[#This Row],[M1 Money Stock, Billions of Dollars, Weekly, Seasonally Adjusted]]-B1581)/B1581</f>
        <v/>
      </c>
      <c r="D1582" s="35">
        <f>((1+Table2634[[#This Row],[Weekly change]])^52)-1</f>
        <v/>
      </c>
      <c r="E1582" s="25">
        <f>AVERAGE(B1579:B1582)</f>
        <v/>
      </c>
      <c r="F1582" s="33">
        <f>(Table2634[[#This Row],[4 weeks average]]-B1530)/B1530</f>
        <v/>
      </c>
    </row>
    <row r="1583">
      <c r="A1583" s="23" t="n">
        <v>38439</v>
      </c>
      <c r="B1583" s="25">
        <f>VLOOKUP(Table2634[[#This Row],[Date]],'DB Money Supply'!$A:$D,4)</f>
        <v/>
      </c>
      <c r="C1583" s="31">
        <f>(Table2634[[#This Row],[M1 Money Stock, Billions of Dollars, Weekly, Seasonally Adjusted]]-B1582)/B1582</f>
        <v/>
      </c>
      <c r="D1583" s="35">
        <f>((1+Table2634[[#This Row],[Weekly change]])^52)-1</f>
        <v/>
      </c>
      <c r="E1583" s="25">
        <f>AVERAGE(B1580:B1583)</f>
        <v/>
      </c>
      <c r="F1583" s="33">
        <f>(Table2634[[#This Row],[4 weeks average]]-B1531)/B1531</f>
        <v/>
      </c>
    </row>
    <row r="1584">
      <c r="A1584" s="23" t="n">
        <v>38446</v>
      </c>
      <c r="B1584" s="25">
        <f>VLOOKUP(Table2634[[#This Row],[Date]],'DB Money Supply'!$A:$D,4)</f>
        <v/>
      </c>
      <c r="C1584" s="31">
        <f>(Table2634[[#This Row],[M1 Money Stock, Billions of Dollars, Weekly, Seasonally Adjusted]]-B1583)/B1583</f>
        <v/>
      </c>
      <c r="D1584" s="35">
        <f>((1+Table2634[[#This Row],[Weekly change]])^52)-1</f>
        <v/>
      </c>
      <c r="E1584" s="25">
        <f>AVERAGE(B1581:B1584)</f>
        <v/>
      </c>
      <c r="F1584" s="33">
        <f>(Table2634[[#This Row],[4 weeks average]]-B1532)/B1532</f>
        <v/>
      </c>
    </row>
    <row r="1585">
      <c r="A1585" s="23" t="n">
        <v>38453</v>
      </c>
      <c r="B1585" s="25">
        <f>VLOOKUP(Table2634[[#This Row],[Date]],'DB Money Supply'!$A:$D,4)</f>
        <v/>
      </c>
      <c r="C1585" s="31">
        <f>(Table2634[[#This Row],[M1 Money Stock, Billions of Dollars, Weekly, Seasonally Adjusted]]-B1584)/B1584</f>
        <v/>
      </c>
      <c r="D1585" s="35">
        <f>((1+Table2634[[#This Row],[Weekly change]])^52)-1</f>
        <v/>
      </c>
      <c r="E1585" s="25">
        <f>AVERAGE(B1582:B1585)</f>
        <v/>
      </c>
      <c r="F1585" s="33">
        <f>(Table2634[[#This Row],[4 weeks average]]-B1533)/B1533</f>
        <v/>
      </c>
    </row>
    <row r="1586">
      <c r="A1586" s="23" t="n">
        <v>38460</v>
      </c>
      <c r="B1586" s="25">
        <f>VLOOKUP(Table2634[[#This Row],[Date]],'DB Money Supply'!$A:$D,4)</f>
        <v/>
      </c>
      <c r="C1586" s="31">
        <f>(Table2634[[#This Row],[M1 Money Stock, Billions of Dollars, Weekly, Seasonally Adjusted]]-B1585)/B1585</f>
        <v/>
      </c>
      <c r="D1586" s="35">
        <f>((1+Table2634[[#This Row],[Weekly change]])^52)-1</f>
        <v/>
      </c>
      <c r="E1586" s="25">
        <f>AVERAGE(B1583:B1586)</f>
        <v/>
      </c>
      <c r="F1586" s="33">
        <f>(Table2634[[#This Row],[4 weeks average]]-B1534)/B1534</f>
        <v/>
      </c>
    </row>
    <row r="1587">
      <c r="A1587" s="23" t="n">
        <v>38467</v>
      </c>
      <c r="B1587" s="25">
        <f>VLOOKUP(Table2634[[#This Row],[Date]],'DB Money Supply'!$A:$D,4)</f>
        <v/>
      </c>
      <c r="C1587" s="31">
        <f>(Table2634[[#This Row],[M1 Money Stock, Billions of Dollars, Weekly, Seasonally Adjusted]]-B1586)/B1586</f>
        <v/>
      </c>
      <c r="D1587" s="35">
        <f>((1+Table2634[[#This Row],[Weekly change]])^52)-1</f>
        <v/>
      </c>
      <c r="E1587" s="25">
        <f>AVERAGE(B1584:B1587)</f>
        <v/>
      </c>
      <c r="F1587" s="33">
        <f>(Table2634[[#This Row],[4 weeks average]]-B1535)/B1535</f>
        <v/>
      </c>
    </row>
    <row r="1588">
      <c r="A1588" s="23" t="n">
        <v>38474</v>
      </c>
      <c r="B1588" s="25">
        <f>VLOOKUP(Table2634[[#This Row],[Date]],'DB Money Supply'!$A:$D,4)</f>
        <v/>
      </c>
      <c r="C1588" s="31">
        <f>(Table2634[[#This Row],[M1 Money Stock, Billions of Dollars, Weekly, Seasonally Adjusted]]-B1587)/B1587</f>
        <v/>
      </c>
      <c r="D1588" s="35">
        <f>((1+Table2634[[#This Row],[Weekly change]])^52)-1</f>
        <v/>
      </c>
      <c r="E1588" s="25">
        <f>AVERAGE(B1585:B1588)</f>
        <v/>
      </c>
      <c r="F1588" s="33">
        <f>(Table2634[[#This Row],[4 weeks average]]-B1536)/B1536</f>
        <v/>
      </c>
    </row>
    <row r="1589">
      <c r="A1589" s="23" t="n">
        <v>38481</v>
      </c>
      <c r="B1589" s="25">
        <f>VLOOKUP(Table2634[[#This Row],[Date]],'DB Money Supply'!$A:$D,4)</f>
        <v/>
      </c>
      <c r="C1589" s="31">
        <f>(Table2634[[#This Row],[M1 Money Stock, Billions of Dollars, Weekly, Seasonally Adjusted]]-B1588)/B1588</f>
        <v/>
      </c>
      <c r="D1589" s="35">
        <f>((1+Table2634[[#This Row],[Weekly change]])^52)-1</f>
        <v/>
      </c>
      <c r="E1589" s="25">
        <f>AVERAGE(B1586:B1589)</f>
        <v/>
      </c>
      <c r="F1589" s="33">
        <f>(Table2634[[#This Row],[4 weeks average]]-B1537)/B1537</f>
        <v/>
      </c>
    </row>
    <row r="1590">
      <c r="A1590" s="23" t="n">
        <v>38488</v>
      </c>
      <c r="B1590" s="25">
        <f>VLOOKUP(Table2634[[#This Row],[Date]],'DB Money Supply'!$A:$D,4)</f>
        <v/>
      </c>
      <c r="C1590" s="31">
        <f>(Table2634[[#This Row],[M1 Money Stock, Billions of Dollars, Weekly, Seasonally Adjusted]]-B1589)/B1589</f>
        <v/>
      </c>
      <c r="D1590" s="35">
        <f>((1+Table2634[[#This Row],[Weekly change]])^52)-1</f>
        <v/>
      </c>
      <c r="E1590" s="25">
        <f>AVERAGE(B1587:B1590)</f>
        <v/>
      </c>
      <c r="F1590" s="33">
        <f>(Table2634[[#This Row],[4 weeks average]]-B1538)/B1538</f>
        <v/>
      </c>
    </row>
    <row r="1591">
      <c r="A1591" s="23" t="n">
        <v>38495</v>
      </c>
      <c r="B1591" s="25">
        <f>VLOOKUP(Table2634[[#This Row],[Date]],'DB Money Supply'!$A:$D,4)</f>
        <v/>
      </c>
      <c r="C1591" s="31">
        <f>(Table2634[[#This Row],[M1 Money Stock, Billions of Dollars, Weekly, Seasonally Adjusted]]-B1590)/B1590</f>
        <v/>
      </c>
      <c r="D1591" s="35">
        <f>((1+Table2634[[#This Row],[Weekly change]])^52)-1</f>
        <v/>
      </c>
      <c r="E1591" s="25">
        <f>AVERAGE(B1588:B1591)</f>
        <v/>
      </c>
      <c r="F1591" s="33">
        <f>(Table2634[[#This Row],[4 weeks average]]-B1539)/B1539</f>
        <v/>
      </c>
    </row>
    <row r="1592">
      <c r="A1592" s="23" t="n">
        <v>38502</v>
      </c>
      <c r="B1592" s="25">
        <f>VLOOKUP(Table2634[[#This Row],[Date]],'DB Money Supply'!$A:$D,4)</f>
        <v/>
      </c>
      <c r="C1592" s="31">
        <f>(Table2634[[#This Row],[M1 Money Stock, Billions of Dollars, Weekly, Seasonally Adjusted]]-B1591)/B1591</f>
        <v/>
      </c>
      <c r="D1592" s="35">
        <f>((1+Table2634[[#This Row],[Weekly change]])^52)-1</f>
        <v/>
      </c>
      <c r="E1592" s="25">
        <f>AVERAGE(B1589:B1592)</f>
        <v/>
      </c>
      <c r="F1592" s="33">
        <f>(Table2634[[#This Row],[4 weeks average]]-B1540)/B1540</f>
        <v/>
      </c>
    </row>
    <row r="1593">
      <c r="A1593" s="23" t="n">
        <v>38509</v>
      </c>
      <c r="B1593" s="25">
        <f>VLOOKUP(Table2634[[#This Row],[Date]],'DB Money Supply'!$A:$D,4)</f>
        <v/>
      </c>
      <c r="C1593" s="31">
        <f>(Table2634[[#This Row],[M1 Money Stock, Billions of Dollars, Weekly, Seasonally Adjusted]]-B1592)/B1592</f>
        <v/>
      </c>
      <c r="D1593" s="35">
        <f>((1+Table2634[[#This Row],[Weekly change]])^52)-1</f>
        <v/>
      </c>
      <c r="E1593" s="25">
        <f>AVERAGE(B1590:B1593)</f>
        <v/>
      </c>
      <c r="F1593" s="33">
        <f>(Table2634[[#This Row],[4 weeks average]]-B1541)/B1541</f>
        <v/>
      </c>
    </row>
    <row r="1594">
      <c r="A1594" s="23" t="n">
        <v>38516</v>
      </c>
      <c r="B1594" s="25">
        <f>VLOOKUP(Table2634[[#This Row],[Date]],'DB Money Supply'!$A:$D,4)</f>
        <v/>
      </c>
      <c r="C1594" s="31">
        <f>(Table2634[[#This Row],[M1 Money Stock, Billions of Dollars, Weekly, Seasonally Adjusted]]-B1593)/B1593</f>
        <v/>
      </c>
      <c r="D1594" s="35">
        <f>((1+Table2634[[#This Row],[Weekly change]])^52)-1</f>
        <v/>
      </c>
      <c r="E1594" s="25">
        <f>AVERAGE(B1591:B1594)</f>
        <v/>
      </c>
      <c r="F1594" s="33">
        <f>(Table2634[[#This Row],[4 weeks average]]-B1542)/B1542</f>
        <v/>
      </c>
    </row>
    <row r="1595">
      <c r="A1595" s="23" t="n">
        <v>38523</v>
      </c>
      <c r="B1595" s="25">
        <f>VLOOKUP(Table2634[[#This Row],[Date]],'DB Money Supply'!$A:$D,4)</f>
        <v/>
      </c>
      <c r="C1595" s="31">
        <f>(Table2634[[#This Row],[M1 Money Stock, Billions of Dollars, Weekly, Seasonally Adjusted]]-B1594)/B1594</f>
        <v/>
      </c>
      <c r="D1595" s="35">
        <f>((1+Table2634[[#This Row],[Weekly change]])^52)-1</f>
        <v/>
      </c>
      <c r="E1595" s="25">
        <f>AVERAGE(B1592:B1595)</f>
        <v/>
      </c>
      <c r="F1595" s="33">
        <f>(Table2634[[#This Row],[4 weeks average]]-B1543)/B1543</f>
        <v/>
      </c>
    </row>
    <row r="1596">
      <c r="A1596" s="23" t="n">
        <v>38530</v>
      </c>
      <c r="B1596" s="25">
        <f>VLOOKUP(Table2634[[#This Row],[Date]],'DB Money Supply'!$A:$D,4)</f>
        <v/>
      </c>
      <c r="C1596" s="31">
        <f>(Table2634[[#This Row],[M1 Money Stock, Billions of Dollars, Weekly, Seasonally Adjusted]]-B1595)/B1595</f>
        <v/>
      </c>
      <c r="D1596" s="35">
        <f>((1+Table2634[[#This Row],[Weekly change]])^52)-1</f>
        <v/>
      </c>
      <c r="E1596" s="25">
        <f>AVERAGE(B1593:B1596)</f>
        <v/>
      </c>
      <c r="F1596" s="33">
        <f>(Table2634[[#This Row],[4 weeks average]]-B1544)/B1544</f>
        <v/>
      </c>
    </row>
    <row r="1597">
      <c r="A1597" s="23" t="n">
        <v>38537</v>
      </c>
      <c r="B1597" s="25">
        <f>VLOOKUP(Table2634[[#This Row],[Date]],'DB Money Supply'!$A:$D,4)</f>
        <v/>
      </c>
      <c r="C1597" s="31">
        <f>(Table2634[[#This Row],[M1 Money Stock, Billions of Dollars, Weekly, Seasonally Adjusted]]-B1596)/B1596</f>
        <v/>
      </c>
      <c r="D1597" s="35">
        <f>((1+Table2634[[#This Row],[Weekly change]])^52)-1</f>
        <v/>
      </c>
      <c r="E1597" s="25">
        <f>AVERAGE(B1594:B1597)</f>
        <v/>
      </c>
      <c r="F1597" s="33">
        <f>(Table2634[[#This Row],[4 weeks average]]-B1545)/B1545</f>
        <v/>
      </c>
    </row>
    <row r="1598">
      <c r="A1598" s="23" t="n">
        <v>38544</v>
      </c>
      <c r="B1598" s="25">
        <f>VLOOKUP(Table2634[[#This Row],[Date]],'DB Money Supply'!$A:$D,4)</f>
        <v/>
      </c>
      <c r="C1598" s="31">
        <f>(Table2634[[#This Row],[M1 Money Stock, Billions of Dollars, Weekly, Seasonally Adjusted]]-B1597)/B1597</f>
        <v/>
      </c>
      <c r="D1598" s="35">
        <f>((1+Table2634[[#This Row],[Weekly change]])^52)-1</f>
        <v/>
      </c>
      <c r="E1598" s="25">
        <f>AVERAGE(B1595:B1598)</f>
        <v/>
      </c>
      <c r="F1598" s="33">
        <f>(Table2634[[#This Row],[4 weeks average]]-B1546)/B1546</f>
        <v/>
      </c>
    </row>
    <row r="1599">
      <c r="A1599" s="23" t="n">
        <v>38551</v>
      </c>
      <c r="B1599" s="25">
        <f>VLOOKUP(Table2634[[#This Row],[Date]],'DB Money Supply'!$A:$D,4)</f>
        <v/>
      </c>
      <c r="C1599" s="31">
        <f>(Table2634[[#This Row],[M1 Money Stock, Billions of Dollars, Weekly, Seasonally Adjusted]]-B1598)/B1598</f>
        <v/>
      </c>
      <c r="D1599" s="35">
        <f>((1+Table2634[[#This Row],[Weekly change]])^52)-1</f>
        <v/>
      </c>
      <c r="E1599" s="25">
        <f>AVERAGE(B1596:B1599)</f>
        <v/>
      </c>
      <c r="F1599" s="33">
        <f>(Table2634[[#This Row],[4 weeks average]]-B1547)/B1547</f>
        <v/>
      </c>
    </row>
    <row r="1600">
      <c r="A1600" s="23" t="n">
        <v>38558</v>
      </c>
      <c r="B1600" s="25">
        <f>VLOOKUP(Table2634[[#This Row],[Date]],'DB Money Supply'!$A:$D,4)</f>
        <v/>
      </c>
      <c r="C1600" s="31">
        <f>(Table2634[[#This Row],[M1 Money Stock, Billions of Dollars, Weekly, Seasonally Adjusted]]-B1599)/B1599</f>
        <v/>
      </c>
      <c r="D1600" s="35">
        <f>((1+Table2634[[#This Row],[Weekly change]])^52)-1</f>
        <v/>
      </c>
      <c r="E1600" s="25">
        <f>AVERAGE(B1597:B1600)</f>
        <v/>
      </c>
      <c r="F1600" s="33">
        <f>(Table2634[[#This Row],[4 weeks average]]-B1548)/B1548</f>
        <v/>
      </c>
    </row>
    <row r="1601">
      <c r="A1601" s="23" t="n">
        <v>38565</v>
      </c>
      <c r="B1601" s="25">
        <f>VLOOKUP(Table2634[[#This Row],[Date]],'DB Money Supply'!$A:$D,4)</f>
        <v/>
      </c>
      <c r="C1601" s="31">
        <f>(Table2634[[#This Row],[M1 Money Stock, Billions of Dollars, Weekly, Seasonally Adjusted]]-B1600)/B1600</f>
        <v/>
      </c>
      <c r="D1601" s="35">
        <f>((1+Table2634[[#This Row],[Weekly change]])^52)-1</f>
        <v/>
      </c>
      <c r="E1601" s="25">
        <f>AVERAGE(B1598:B1601)</f>
        <v/>
      </c>
      <c r="F1601" s="33">
        <f>(Table2634[[#This Row],[4 weeks average]]-B1549)/B1549</f>
        <v/>
      </c>
    </row>
    <row r="1602">
      <c r="A1602" s="23" t="n">
        <v>38572</v>
      </c>
      <c r="B1602" s="25">
        <f>VLOOKUP(Table2634[[#This Row],[Date]],'DB Money Supply'!$A:$D,4)</f>
        <v/>
      </c>
      <c r="C1602" s="31">
        <f>(Table2634[[#This Row],[M1 Money Stock, Billions of Dollars, Weekly, Seasonally Adjusted]]-B1601)/B1601</f>
        <v/>
      </c>
      <c r="D1602" s="35">
        <f>((1+Table2634[[#This Row],[Weekly change]])^52)-1</f>
        <v/>
      </c>
      <c r="E1602" s="25">
        <f>AVERAGE(B1599:B1602)</f>
        <v/>
      </c>
      <c r="F1602" s="33">
        <f>(Table2634[[#This Row],[4 weeks average]]-B1550)/B1550</f>
        <v/>
      </c>
    </row>
    <row r="1603">
      <c r="A1603" s="23" t="n">
        <v>38579</v>
      </c>
      <c r="B1603" s="25">
        <f>VLOOKUP(Table2634[[#This Row],[Date]],'DB Money Supply'!$A:$D,4)</f>
        <v/>
      </c>
      <c r="C1603" s="31">
        <f>(Table2634[[#This Row],[M1 Money Stock, Billions of Dollars, Weekly, Seasonally Adjusted]]-B1602)/B1602</f>
        <v/>
      </c>
      <c r="D1603" s="35">
        <f>((1+Table2634[[#This Row],[Weekly change]])^52)-1</f>
        <v/>
      </c>
      <c r="E1603" s="25">
        <f>AVERAGE(B1600:B1603)</f>
        <v/>
      </c>
      <c r="F1603" s="33">
        <f>(Table2634[[#This Row],[4 weeks average]]-B1551)/B1551</f>
        <v/>
      </c>
    </row>
    <row r="1604">
      <c r="A1604" s="23" t="n">
        <v>38586</v>
      </c>
      <c r="B1604" s="25">
        <f>VLOOKUP(Table2634[[#This Row],[Date]],'DB Money Supply'!$A:$D,4)</f>
        <v/>
      </c>
      <c r="C1604" s="31">
        <f>(Table2634[[#This Row],[M1 Money Stock, Billions of Dollars, Weekly, Seasonally Adjusted]]-B1603)/B1603</f>
        <v/>
      </c>
      <c r="D1604" s="35">
        <f>((1+Table2634[[#This Row],[Weekly change]])^52)-1</f>
        <v/>
      </c>
      <c r="E1604" s="25">
        <f>AVERAGE(B1601:B1604)</f>
        <v/>
      </c>
      <c r="F1604" s="33">
        <f>(Table2634[[#This Row],[4 weeks average]]-B1552)/B1552</f>
        <v/>
      </c>
    </row>
    <row r="1605">
      <c r="A1605" s="23" t="n">
        <v>38593</v>
      </c>
      <c r="B1605" s="25">
        <f>VLOOKUP(Table2634[[#This Row],[Date]],'DB Money Supply'!$A:$D,4)</f>
        <v/>
      </c>
      <c r="C1605" s="31">
        <f>(Table2634[[#This Row],[M1 Money Stock, Billions of Dollars, Weekly, Seasonally Adjusted]]-B1604)/B1604</f>
        <v/>
      </c>
      <c r="D1605" s="35">
        <f>((1+Table2634[[#This Row],[Weekly change]])^52)-1</f>
        <v/>
      </c>
      <c r="E1605" s="25">
        <f>AVERAGE(B1602:B1605)</f>
        <v/>
      </c>
      <c r="F1605" s="33">
        <f>(Table2634[[#This Row],[4 weeks average]]-B1553)/B1553</f>
        <v/>
      </c>
    </row>
    <row r="1606">
      <c r="A1606" s="23" t="n">
        <v>38600</v>
      </c>
      <c r="B1606" s="25">
        <f>VLOOKUP(Table2634[[#This Row],[Date]],'DB Money Supply'!$A:$D,4)</f>
        <v/>
      </c>
      <c r="C1606" s="31">
        <f>(Table2634[[#This Row],[M1 Money Stock, Billions of Dollars, Weekly, Seasonally Adjusted]]-B1605)/B1605</f>
        <v/>
      </c>
      <c r="D1606" s="35">
        <f>((1+Table2634[[#This Row],[Weekly change]])^52)-1</f>
        <v/>
      </c>
      <c r="E1606" s="25">
        <f>AVERAGE(B1603:B1606)</f>
        <v/>
      </c>
      <c r="F1606" s="33">
        <f>(Table2634[[#This Row],[4 weeks average]]-B1554)/B1554</f>
        <v/>
      </c>
    </row>
    <row r="1607">
      <c r="A1607" s="23" t="n">
        <v>38607</v>
      </c>
      <c r="B1607" s="25">
        <f>VLOOKUP(Table2634[[#This Row],[Date]],'DB Money Supply'!$A:$D,4)</f>
        <v/>
      </c>
      <c r="C1607" s="31">
        <f>(Table2634[[#This Row],[M1 Money Stock, Billions of Dollars, Weekly, Seasonally Adjusted]]-B1606)/B1606</f>
        <v/>
      </c>
      <c r="D1607" s="35">
        <f>((1+Table2634[[#This Row],[Weekly change]])^52)-1</f>
        <v/>
      </c>
      <c r="E1607" s="25">
        <f>AVERAGE(B1604:B1607)</f>
        <v/>
      </c>
      <c r="F1607" s="33">
        <f>(Table2634[[#This Row],[4 weeks average]]-B1555)/B1555</f>
        <v/>
      </c>
    </row>
    <row r="1608">
      <c r="A1608" s="23" t="n">
        <v>38614</v>
      </c>
      <c r="B1608" s="25">
        <f>VLOOKUP(Table2634[[#This Row],[Date]],'DB Money Supply'!$A:$D,4)</f>
        <v/>
      </c>
      <c r="C1608" s="31">
        <f>(Table2634[[#This Row],[M1 Money Stock, Billions of Dollars, Weekly, Seasonally Adjusted]]-B1607)/B1607</f>
        <v/>
      </c>
      <c r="D1608" s="35">
        <f>((1+Table2634[[#This Row],[Weekly change]])^52)-1</f>
        <v/>
      </c>
      <c r="E1608" s="25">
        <f>AVERAGE(B1605:B1608)</f>
        <v/>
      </c>
      <c r="F1608" s="33">
        <f>(Table2634[[#This Row],[4 weeks average]]-B1556)/B1556</f>
        <v/>
      </c>
    </row>
    <row r="1609">
      <c r="A1609" s="23" t="n">
        <v>38621</v>
      </c>
      <c r="B1609" s="25">
        <f>VLOOKUP(Table2634[[#This Row],[Date]],'DB Money Supply'!$A:$D,4)</f>
        <v/>
      </c>
      <c r="C1609" s="31">
        <f>(Table2634[[#This Row],[M1 Money Stock, Billions of Dollars, Weekly, Seasonally Adjusted]]-B1608)/B1608</f>
        <v/>
      </c>
      <c r="D1609" s="35">
        <f>((1+Table2634[[#This Row],[Weekly change]])^52)-1</f>
        <v/>
      </c>
      <c r="E1609" s="25">
        <f>AVERAGE(B1606:B1609)</f>
        <v/>
      </c>
      <c r="F1609" s="33">
        <f>(Table2634[[#This Row],[4 weeks average]]-B1557)/B1557</f>
        <v/>
      </c>
    </row>
    <row r="1610">
      <c r="A1610" s="23" t="n">
        <v>38628</v>
      </c>
      <c r="B1610" s="25">
        <f>VLOOKUP(Table2634[[#This Row],[Date]],'DB Money Supply'!$A:$D,4)</f>
        <v/>
      </c>
      <c r="C1610" s="31">
        <f>(Table2634[[#This Row],[M1 Money Stock, Billions of Dollars, Weekly, Seasonally Adjusted]]-B1609)/B1609</f>
        <v/>
      </c>
      <c r="D1610" s="35">
        <f>((1+Table2634[[#This Row],[Weekly change]])^52)-1</f>
        <v/>
      </c>
      <c r="E1610" s="25">
        <f>AVERAGE(B1607:B1610)</f>
        <v/>
      </c>
      <c r="F1610" s="33">
        <f>(Table2634[[#This Row],[4 weeks average]]-B1558)/B1558</f>
        <v/>
      </c>
    </row>
    <row r="1611">
      <c r="A1611" s="23" t="n">
        <v>38635</v>
      </c>
      <c r="B1611" s="25">
        <f>VLOOKUP(Table2634[[#This Row],[Date]],'DB Money Supply'!$A:$D,4)</f>
        <v/>
      </c>
      <c r="C1611" s="31">
        <f>(Table2634[[#This Row],[M1 Money Stock, Billions of Dollars, Weekly, Seasonally Adjusted]]-B1610)/B1610</f>
        <v/>
      </c>
      <c r="D1611" s="35">
        <f>((1+Table2634[[#This Row],[Weekly change]])^52)-1</f>
        <v/>
      </c>
      <c r="E1611" s="25">
        <f>AVERAGE(B1608:B1611)</f>
        <v/>
      </c>
      <c r="F1611" s="33">
        <f>(Table2634[[#This Row],[4 weeks average]]-B1559)/B1559</f>
        <v/>
      </c>
    </row>
    <row r="1612">
      <c r="A1612" s="23" t="n">
        <v>38642</v>
      </c>
      <c r="B1612" s="25">
        <f>VLOOKUP(Table2634[[#This Row],[Date]],'DB Money Supply'!$A:$D,4)</f>
        <v/>
      </c>
      <c r="C1612" s="31">
        <f>(Table2634[[#This Row],[M1 Money Stock, Billions of Dollars, Weekly, Seasonally Adjusted]]-B1611)/B1611</f>
        <v/>
      </c>
      <c r="D1612" s="35">
        <f>((1+Table2634[[#This Row],[Weekly change]])^52)-1</f>
        <v/>
      </c>
      <c r="E1612" s="25">
        <f>AVERAGE(B1609:B1612)</f>
        <v/>
      </c>
      <c r="F1612" s="33">
        <f>(Table2634[[#This Row],[4 weeks average]]-B1560)/B1560</f>
        <v/>
      </c>
    </row>
    <row r="1613">
      <c r="A1613" s="23" t="n">
        <v>38649</v>
      </c>
      <c r="B1613" s="25">
        <f>VLOOKUP(Table2634[[#This Row],[Date]],'DB Money Supply'!$A:$D,4)</f>
        <v/>
      </c>
      <c r="C1613" s="31">
        <f>(Table2634[[#This Row],[M1 Money Stock, Billions of Dollars, Weekly, Seasonally Adjusted]]-B1612)/B1612</f>
        <v/>
      </c>
      <c r="D1613" s="35">
        <f>((1+Table2634[[#This Row],[Weekly change]])^52)-1</f>
        <v/>
      </c>
      <c r="E1613" s="25">
        <f>AVERAGE(B1610:B1613)</f>
        <v/>
      </c>
      <c r="F1613" s="33">
        <f>(Table2634[[#This Row],[4 weeks average]]-B1561)/B1561</f>
        <v/>
      </c>
    </row>
    <row r="1614">
      <c r="A1614" s="23" t="n">
        <v>38656</v>
      </c>
      <c r="B1614" s="25">
        <f>VLOOKUP(Table2634[[#This Row],[Date]],'DB Money Supply'!$A:$D,4)</f>
        <v/>
      </c>
      <c r="C1614" s="31">
        <f>(Table2634[[#This Row],[M1 Money Stock, Billions of Dollars, Weekly, Seasonally Adjusted]]-B1613)/B1613</f>
        <v/>
      </c>
      <c r="D1614" s="35">
        <f>((1+Table2634[[#This Row],[Weekly change]])^52)-1</f>
        <v/>
      </c>
      <c r="E1614" s="25">
        <f>AVERAGE(B1611:B1614)</f>
        <v/>
      </c>
      <c r="F1614" s="33">
        <f>(Table2634[[#This Row],[4 weeks average]]-B1562)/B1562</f>
        <v/>
      </c>
    </row>
    <row r="1615">
      <c r="A1615" s="23" t="n">
        <v>38663</v>
      </c>
      <c r="B1615" s="25">
        <f>VLOOKUP(Table2634[[#This Row],[Date]],'DB Money Supply'!$A:$D,4)</f>
        <v/>
      </c>
      <c r="C1615" s="31">
        <f>(Table2634[[#This Row],[M1 Money Stock, Billions of Dollars, Weekly, Seasonally Adjusted]]-B1614)/B1614</f>
        <v/>
      </c>
      <c r="D1615" s="35">
        <f>((1+Table2634[[#This Row],[Weekly change]])^52)-1</f>
        <v/>
      </c>
      <c r="E1615" s="25">
        <f>AVERAGE(B1612:B1615)</f>
        <v/>
      </c>
      <c r="F1615" s="33">
        <f>(Table2634[[#This Row],[4 weeks average]]-B1563)/B1563</f>
        <v/>
      </c>
    </row>
    <row r="1616">
      <c r="A1616" s="23" t="n">
        <v>38670</v>
      </c>
      <c r="B1616" s="25">
        <f>VLOOKUP(Table2634[[#This Row],[Date]],'DB Money Supply'!$A:$D,4)</f>
        <v/>
      </c>
      <c r="C1616" s="31">
        <f>(Table2634[[#This Row],[M1 Money Stock, Billions of Dollars, Weekly, Seasonally Adjusted]]-B1615)/B1615</f>
        <v/>
      </c>
      <c r="D1616" s="35">
        <f>((1+Table2634[[#This Row],[Weekly change]])^52)-1</f>
        <v/>
      </c>
      <c r="E1616" s="25">
        <f>AVERAGE(B1613:B1616)</f>
        <v/>
      </c>
      <c r="F1616" s="33">
        <f>(Table2634[[#This Row],[4 weeks average]]-B1564)/B1564</f>
        <v/>
      </c>
    </row>
    <row r="1617">
      <c r="A1617" s="23" t="n">
        <v>38677</v>
      </c>
      <c r="B1617" s="25">
        <f>VLOOKUP(Table2634[[#This Row],[Date]],'DB Money Supply'!$A:$D,4)</f>
        <v/>
      </c>
      <c r="C1617" s="31">
        <f>(Table2634[[#This Row],[M1 Money Stock, Billions of Dollars, Weekly, Seasonally Adjusted]]-B1616)/B1616</f>
        <v/>
      </c>
      <c r="D1617" s="35">
        <f>((1+Table2634[[#This Row],[Weekly change]])^52)-1</f>
        <v/>
      </c>
      <c r="E1617" s="25">
        <f>AVERAGE(B1614:B1617)</f>
        <v/>
      </c>
      <c r="F1617" s="33">
        <f>(Table2634[[#This Row],[4 weeks average]]-B1565)/B1565</f>
        <v/>
      </c>
    </row>
    <row r="1618">
      <c r="A1618" s="23" t="n">
        <v>38684</v>
      </c>
      <c r="B1618" s="25">
        <f>VLOOKUP(Table2634[[#This Row],[Date]],'DB Money Supply'!$A:$D,4)</f>
        <v/>
      </c>
      <c r="C1618" s="31">
        <f>(Table2634[[#This Row],[M1 Money Stock, Billions of Dollars, Weekly, Seasonally Adjusted]]-B1617)/B1617</f>
        <v/>
      </c>
      <c r="D1618" s="35">
        <f>((1+Table2634[[#This Row],[Weekly change]])^52)-1</f>
        <v/>
      </c>
      <c r="E1618" s="25">
        <f>AVERAGE(B1615:B1618)</f>
        <v/>
      </c>
      <c r="F1618" s="33">
        <f>(Table2634[[#This Row],[4 weeks average]]-B1566)/B1566</f>
        <v/>
      </c>
    </row>
    <row r="1619">
      <c r="A1619" s="23" t="n">
        <v>38691</v>
      </c>
      <c r="B1619" s="25">
        <f>VLOOKUP(Table2634[[#This Row],[Date]],'DB Money Supply'!$A:$D,4)</f>
        <v/>
      </c>
      <c r="C1619" s="31">
        <f>(Table2634[[#This Row],[M1 Money Stock, Billions of Dollars, Weekly, Seasonally Adjusted]]-B1618)/B1618</f>
        <v/>
      </c>
      <c r="D1619" s="35">
        <f>((1+Table2634[[#This Row],[Weekly change]])^52)-1</f>
        <v/>
      </c>
      <c r="E1619" s="25">
        <f>AVERAGE(B1616:B1619)</f>
        <v/>
      </c>
      <c r="F1619" s="33">
        <f>(Table2634[[#This Row],[4 weeks average]]-B1567)/B1567</f>
        <v/>
      </c>
    </row>
    <row r="1620">
      <c r="A1620" s="23" t="n">
        <v>38698</v>
      </c>
      <c r="B1620" s="25">
        <f>VLOOKUP(Table2634[[#This Row],[Date]],'DB Money Supply'!$A:$D,4)</f>
        <v/>
      </c>
      <c r="C1620" s="31">
        <f>(Table2634[[#This Row],[M1 Money Stock, Billions of Dollars, Weekly, Seasonally Adjusted]]-B1619)/B1619</f>
        <v/>
      </c>
      <c r="D1620" s="35">
        <f>((1+Table2634[[#This Row],[Weekly change]])^52)-1</f>
        <v/>
      </c>
      <c r="E1620" s="25">
        <f>AVERAGE(B1617:B1620)</f>
        <v/>
      </c>
      <c r="F1620" s="33">
        <f>(Table2634[[#This Row],[4 weeks average]]-B1568)/B1568</f>
        <v/>
      </c>
    </row>
    <row r="1621">
      <c r="A1621" s="23" t="n">
        <v>38705</v>
      </c>
      <c r="B1621" s="25">
        <f>VLOOKUP(Table2634[[#This Row],[Date]],'DB Money Supply'!$A:$D,4)</f>
        <v/>
      </c>
      <c r="C1621" s="31">
        <f>(Table2634[[#This Row],[M1 Money Stock, Billions of Dollars, Weekly, Seasonally Adjusted]]-B1620)/B1620</f>
        <v/>
      </c>
      <c r="D1621" s="35">
        <f>((1+Table2634[[#This Row],[Weekly change]])^52)-1</f>
        <v/>
      </c>
      <c r="E1621" s="25">
        <f>AVERAGE(B1618:B1621)</f>
        <v/>
      </c>
      <c r="F1621" s="33">
        <f>(Table2634[[#This Row],[4 weeks average]]-B1569)/B1569</f>
        <v/>
      </c>
    </row>
    <row r="1622">
      <c r="A1622" s="23" t="n">
        <v>38712</v>
      </c>
      <c r="B1622" s="25">
        <f>VLOOKUP(Table2634[[#This Row],[Date]],'DB Money Supply'!$A:$D,4)</f>
        <v/>
      </c>
      <c r="C1622" s="31">
        <f>(Table2634[[#This Row],[M1 Money Stock, Billions of Dollars, Weekly, Seasonally Adjusted]]-B1621)/B1621</f>
        <v/>
      </c>
      <c r="D1622" s="35">
        <f>((1+Table2634[[#This Row],[Weekly change]])^52)-1</f>
        <v/>
      </c>
      <c r="E1622" s="25">
        <f>AVERAGE(B1619:B1622)</f>
        <v/>
      </c>
      <c r="F1622" s="33">
        <f>(Table2634[[#This Row],[4 weeks average]]-B1570)/B1570</f>
        <v/>
      </c>
    </row>
    <row r="1623">
      <c r="A1623" s="23" t="n">
        <v>38719</v>
      </c>
      <c r="B1623" s="25">
        <f>VLOOKUP(Table2634[[#This Row],[Date]],'DB Money Supply'!$A:$D,4)</f>
        <v/>
      </c>
      <c r="C1623" s="31">
        <f>(Table2634[[#This Row],[M1 Money Stock, Billions of Dollars, Weekly, Seasonally Adjusted]]-B1622)/B1622</f>
        <v/>
      </c>
      <c r="D1623" s="35">
        <f>((1+Table2634[[#This Row],[Weekly change]])^52)-1</f>
        <v/>
      </c>
      <c r="E1623" s="25">
        <f>AVERAGE(B1620:B1623)</f>
        <v/>
      </c>
      <c r="F1623" s="33">
        <f>(Table2634[[#This Row],[4 weeks average]]-B1571)/B1571</f>
        <v/>
      </c>
    </row>
    <row r="1624">
      <c r="A1624" s="23" t="n">
        <v>38726</v>
      </c>
      <c r="B1624" s="25">
        <f>VLOOKUP(Table2634[[#This Row],[Date]],'DB Money Supply'!$A:$D,4)</f>
        <v/>
      </c>
      <c r="C1624" s="31">
        <f>(Table2634[[#This Row],[M1 Money Stock, Billions of Dollars, Weekly, Seasonally Adjusted]]-B1623)/B1623</f>
        <v/>
      </c>
      <c r="D1624" s="35">
        <f>((1+Table2634[[#This Row],[Weekly change]])^52)-1</f>
        <v/>
      </c>
      <c r="E1624" s="25">
        <f>AVERAGE(B1621:B1624)</f>
        <v/>
      </c>
      <c r="F1624" s="33">
        <f>(Table2634[[#This Row],[4 weeks average]]-B1572)/B1572</f>
        <v/>
      </c>
    </row>
    <row r="1625">
      <c r="A1625" s="23" t="n">
        <v>38733</v>
      </c>
      <c r="B1625" s="25">
        <f>VLOOKUP(Table2634[[#This Row],[Date]],'DB Money Supply'!$A:$D,4)</f>
        <v/>
      </c>
      <c r="C1625" s="31">
        <f>(Table2634[[#This Row],[M1 Money Stock, Billions of Dollars, Weekly, Seasonally Adjusted]]-B1624)/B1624</f>
        <v/>
      </c>
      <c r="D1625" s="35">
        <f>((1+Table2634[[#This Row],[Weekly change]])^52)-1</f>
        <v/>
      </c>
      <c r="E1625" s="25">
        <f>AVERAGE(B1622:B1625)</f>
        <v/>
      </c>
      <c r="F1625" s="33">
        <f>(Table2634[[#This Row],[4 weeks average]]-B1573)/B1573</f>
        <v/>
      </c>
    </row>
    <row r="1626">
      <c r="A1626" s="23" t="n">
        <v>38740</v>
      </c>
      <c r="B1626" s="25">
        <f>VLOOKUP(Table2634[[#This Row],[Date]],'DB Money Supply'!$A:$D,4)</f>
        <v/>
      </c>
      <c r="C1626" s="31">
        <f>(Table2634[[#This Row],[M1 Money Stock, Billions of Dollars, Weekly, Seasonally Adjusted]]-B1625)/B1625</f>
        <v/>
      </c>
      <c r="D1626" s="35">
        <f>((1+Table2634[[#This Row],[Weekly change]])^52)-1</f>
        <v/>
      </c>
      <c r="E1626" s="25">
        <f>AVERAGE(B1623:B1626)</f>
        <v/>
      </c>
      <c r="F1626" s="33">
        <f>(Table2634[[#This Row],[4 weeks average]]-B1574)/B1574</f>
        <v/>
      </c>
    </row>
    <row r="1627">
      <c r="A1627" s="23" t="n">
        <v>38747</v>
      </c>
      <c r="B1627" s="25">
        <f>VLOOKUP(Table2634[[#This Row],[Date]],'DB Money Supply'!$A:$D,4)</f>
        <v/>
      </c>
      <c r="C1627" s="31">
        <f>(Table2634[[#This Row],[M1 Money Stock, Billions of Dollars, Weekly, Seasonally Adjusted]]-B1626)/B1626</f>
        <v/>
      </c>
      <c r="D1627" s="35">
        <f>((1+Table2634[[#This Row],[Weekly change]])^52)-1</f>
        <v/>
      </c>
      <c r="E1627" s="25">
        <f>AVERAGE(B1624:B1627)</f>
        <v/>
      </c>
      <c r="F1627" s="33">
        <f>(Table2634[[#This Row],[4 weeks average]]-B1575)/B1575</f>
        <v/>
      </c>
    </row>
    <row r="1628">
      <c r="A1628" s="23" t="n">
        <v>38754</v>
      </c>
      <c r="B1628" s="25">
        <f>VLOOKUP(Table2634[[#This Row],[Date]],'DB Money Supply'!$A:$D,4)</f>
        <v/>
      </c>
      <c r="C1628" s="31">
        <f>(Table2634[[#This Row],[M1 Money Stock, Billions of Dollars, Weekly, Seasonally Adjusted]]-B1627)/B1627</f>
        <v/>
      </c>
      <c r="D1628" s="35">
        <f>((1+Table2634[[#This Row],[Weekly change]])^52)-1</f>
        <v/>
      </c>
      <c r="E1628" s="25">
        <f>AVERAGE(B1625:B1628)</f>
        <v/>
      </c>
      <c r="F1628" s="33">
        <f>(Table2634[[#This Row],[4 weeks average]]-B1576)/B1576</f>
        <v/>
      </c>
    </row>
    <row r="1629">
      <c r="A1629" s="23" t="n">
        <v>38761</v>
      </c>
      <c r="B1629" s="25">
        <f>VLOOKUP(Table2634[[#This Row],[Date]],'DB Money Supply'!$A:$D,4)</f>
        <v/>
      </c>
      <c r="C1629" s="31">
        <f>(Table2634[[#This Row],[M1 Money Stock, Billions of Dollars, Weekly, Seasonally Adjusted]]-B1628)/B1628</f>
        <v/>
      </c>
      <c r="D1629" s="35">
        <f>((1+Table2634[[#This Row],[Weekly change]])^52)-1</f>
        <v/>
      </c>
      <c r="E1629" s="25">
        <f>AVERAGE(B1626:B1629)</f>
        <v/>
      </c>
      <c r="F1629" s="33">
        <f>(Table2634[[#This Row],[4 weeks average]]-B1577)/B1577</f>
        <v/>
      </c>
    </row>
    <row r="1630">
      <c r="A1630" s="23" t="n">
        <v>38768</v>
      </c>
      <c r="B1630" s="25">
        <f>VLOOKUP(Table2634[[#This Row],[Date]],'DB Money Supply'!$A:$D,4)</f>
        <v/>
      </c>
      <c r="C1630" s="31">
        <f>(Table2634[[#This Row],[M1 Money Stock, Billions of Dollars, Weekly, Seasonally Adjusted]]-B1629)/B1629</f>
        <v/>
      </c>
      <c r="D1630" s="35">
        <f>((1+Table2634[[#This Row],[Weekly change]])^52)-1</f>
        <v/>
      </c>
      <c r="E1630" s="25">
        <f>AVERAGE(B1627:B1630)</f>
        <v/>
      </c>
      <c r="F1630" s="33">
        <f>(Table2634[[#This Row],[4 weeks average]]-B1578)/B1578</f>
        <v/>
      </c>
    </row>
    <row r="1631">
      <c r="A1631" s="23" t="n">
        <v>38775</v>
      </c>
      <c r="B1631" s="25">
        <f>VLOOKUP(Table2634[[#This Row],[Date]],'DB Money Supply'!$A:$D,4)</f>
        <v/>
      </c>
      <c r="C1631" s="31">
        <f>(Table2634[[#This Row],[M1 Money Stock, Billions of Dollars, Weekly, Seasonally Adjusted]]-B1630)/B1630</f>
        <v/>
      </c>
      <c r="D1631" s="35">
        <f>((1+Table2634[[#This Row],[Weekly change]])^52)-1</f>
        <v/>
      </c>
      <c r="E1631" s="25">
        <f>AVERAGE(B1628:B1631)</f>
        <v/>
      </c>
      <c r="F1631" s="33">
        <f>(Table2634[[#This Row],[4 weeks average]]-B1579)/B1579</f>
        <v/>
      </c>
    </row>
    <row r="1632">
      <c r="A1632" s="23" t="n">
        <v>38782</v>
      </c>
      <c r="B1632" s="25">
        <f>VLOOKUP(Table2634[[#This Row],[Date]],'DB Money Supply'!$A:$D,4)</f>
        <v/>
      </c>
      <c r="C1632" s="31">
        <f>(Table2634[[#This Row],[M1 Money Stock, Billions of Dollars, Weekly, Seasonally Adjusted]]-B1631)/B1631</f>
        <v/>
      </c>
      <c r="D1632" s="35">
        <f>((1+Table2634[[#This Row],[Weekly change]])^52)-1</f>
        <v/>
      </c>
      <c r="E1632" s="25">
        <f>AVERAGE(B1629:B1632)</f>
        <v/>
      </c>
      <c r="F1632" s="33">
        <f>(Table2634[[#This Row],[4 weeks average]]-B1580)/B1580</f>
        <v/>
      </c>
    </row>
    <row r="1633">
      <c r="A1633" s="23" t="n">
        <v>38789</v>
      </c>
      <c r="B1633" s="25">
        <f>VLOOKUP(Table2634[[#This Row],[Date]],'DB Money Supply'!$A:$D,4)</f>
        <v/>
      </c>
      <c r="C1633" s="31">
        <f>(Table2634[[#This Row],[M1 Money Stock, Billions of Dollars, Weekly, Seasonally Adjusted]]-B1632)/B1632</f>
        <v/>
      </c>
      <c r="D1633" s="35">
        <f>((1+Table2634[[#This Row],[Weekly change]])^52)-1</f>
        <v/>
      </c>
      <c r="E1633" s="25">
        <f>AVERAGE(B1630:B1633)</f>
        <v/>
      </c>
      <c r="F1633" s="33">
        <f>(Table2634[[#This Row],[4 weeks average]]-B1581)/B1581</f>
        <v/>
      </c>
    </row>
    <row r="1634">
      <c r="A1634" s="23" t="n">
        <v>38796</v>
      </c>
      <c r="B1634" s="25">
        <f>VLOOKUP(Table2634[[#This Row],[Date]],'DB Money Supply'!$A:$D,4)</f>
        <v/>
      </c>
      <c r="C1634" s="31">
        <f>(Table2634[[#This Row],[M1 Money Stock, Billions of Dollars, Weekly, Seasonally Adjusted]]-B1633)/B1633</f>
        <v/>
      </c>
      <c r="D1634" s="35">
        <f>((1+Table2634[[#This Row],[Weekly change]])^52)-1</f>
        <v/>
      </c>
      <c r="E1634" s="25">
        <f>AVERAGE(B1631:B1634)</f>
        <v/>
      </c>
      <c r="F1634" s="33">
        <f>(Table2634[[#This Row],[4 weeks average]]-B1582)/B1582</f>
        <v/>
      </c>
    </row>
    <row r="1635">
      <c r="A1635" s="23" t="n">
        <v>38803</v>
      </c>
      <c r="B1635" s="25">
        <f>VLOOKUP(Table2634[[#This Row],[Date]],'DB Money Supply'!$A:$D,4)</f>
        <v/>
      </c>
      <c r="C1635" s="31">
        <f>(Table2634[[#This Row],[M1 Money Stock, Billions of Dollars, Weekly, Seasonally Adjusted]]-B1634)/B1634</f>
        <v/>
      </c>
      <c r="D1635" s="35">
        <f>((1+Table2634[[#This Row],[Weekly change]])^52)-1</f>
        <v/>
      </c>
      <c r="E1635" s="25">
        <f>AVERAGE(B1632:B1635)</f>
        <v/>
      </c>
      <c r="F1635" s="33">
        <f>(Table2634[[#This Row],[4 weeks average]]-B1583)/B1583</f>
        <v/>
      </c>
    </row>
    <row r="1636">
      <c r="A1636" s="23" t="n">
        <v>38810</v>
      </c>
      <c r="B1636" s="25">
        <f>VLOOKUP(Table2634[[#This Row],[Date]],'DB Money Supply'!$A:$D,4)</f>
        <v/>
      </c>
      <c r="C1636" s="31">
        <f>(Table2634[[#This Row],[M1 Money Stock, Billions of Dollars, Weekly, Seasonally Adjusted]]-B1635)/B1635</f>
        <v/>
      </c>
      <c r="D1636" s="35">
        <f>((1+Table2634[[#This Row],[Weekly change]])^52)-1</f>
        <v/>
      </c>
      <c r="E1636" s="25">
        <f>AVERAGE(B1633:B1636)</f>
        <v/>
      </c>
      <c r="F1636" s="33">
        <f>(Table2634[[#This Row],[4 weeks average]]-B1584)/B1584</f>
        <v/>
      </c>
    </row>
    <row r="1637">
      <c r="A1637" s="23" t="n">
        <v>38817</v>
      </c>
      <c r="B1637" s="25">
        <f>VLOOKUP(Table2634[[#This Row],[Date]],'DB Money Supply'!$A:$D,4)</f>
        <v/>
      </c>
      <c r="C1637" s="31">
        <f>(Table2634[[#This Row],[M1 Money Stock, Billions of Dollars, Weekly, Seasonally Adjusted]]-B1636)/B1636</f>
        <v/>
      </c>
      <c r="D1637" s="35">
        <f>((1+Table2634[[#This Row],[Weekly change]])^52)-1</f>
        <v/>
      </c>
      <c r="E1637" s="25">
        <f>AVERAGE(B1634:B1637)</f>
        <v/>
      </c>
      <c r="F1637" s="33">
        <f>(Table2634[[#This Row],[4 weeks average]]-B1585)/B1585</f>
        <v/>
      </c>
    </row>
    <row r="1638">
      <c r="A1638" s="23" t="n">
        <v>38824</v>
      </c>
      <c r="B1638" s="25">
        <f>VLOOKUP(Table2634[[#This Row],[Date]],'DB Money Supply'!$A:$D,4)</f>
        <v/>
      </c>
      <c r="C1638" s="31">
        <f>(Table2634[[#This Row],[M1 Money Stock, Billions of Dollars, Weekly, Seasonally Adjusted]]-B1637)/B1637</f>
        <v/>
      </c>
      <c r="D1638" s="35">
        <f>((1+Table2634[[#This Row],[Weekly change]])^52)-1</f>
        <v/>
      </c>
      <c r="E1638" s="25">
        <f>AVERAGE(B1635:B1638)</f>
        <v/>
      </c>
      <c r="F1638" s="33">
        <f>(Table2634[[#This Row],[4 weeks average]]-B1586)/B1586</f>
        <v/>
      </c>
    </row>
    <row r="1639">
      <c r="A1639" s="23" t="n">
        <v>38831</v>
      </c>
      <c r="B1639" s="25">
        <f>VLOOKUP(Table2634[[#This Row],[Date]],'DB Money Supply'!$A:$D,4)</f>
        <v/>
      </c>
      <c r="C1639" s="31">
        <f>(Table2634[[#This Row],[M1 Money Stock, Billions of Dollars, Weekly, Seasonally Adjusted]]-B1638)/B1638</f>
        <v/>
      </c>
      <c r="D1639" s="35">
        <f>((1+Table2634[[#This Row],[Weekly change]])^52)-1</f>
        <v/>
      </c>
      <c r="E1639" s="25">
        <f>AVERAGE(B1636:B1639)</f>
        <v/>
      </c>
      <c r="F1639" s="33">
        <f>(Table2634[[#This Row],[4 weeks average]]-B1587)/B1587</f>
        <v/>
      </c>
    </row>
    <row r="1640">
      <c r="A1640" s="23" t="n">
        <v>38838</v>
      </c>
      <c r="B1640" s="25">
        <f>VLOOKUP(Table2634[[#This Row],[Date]],'DB Money Supply'!$A:$D,4)</f>
        <v/>
      </c>
      <c r="C1640" s="31">
        <f>(Table2634[[#This Row],[M1 Money Stock, Billions of Dollars, Weekly, Seasonally Adjusted]]-B1639)/B1639</f>
        <v/>
      </c>
      <c r="D1640" s="35">
        <f>((1+Table2634[[#This Row],[Weekly change]])^52)-1</f>
        <v/>
      </c>
      <c r="E1640" s="25">
        <f>AVERAGE(B1637:B1640)</f>
        <v/>
      </c>
      <c r="F1640" s="33">
        <f>(Table2634[[#This Row],[4 weeks average]]-B1588)/B1588</f>
        <v/>
      </c>
    </row>
    <row r="1641">
      <c r="A1641" s="23" t="n">
        <v>38845</v>
      </c>
      <c r="B1641" s="25">
        <f>VLOOKUP(Table2634[[#This Row],[Date]],'DB Money Supply'!$A:$D,4)</f>
        <v/>
      </c>
      <c r="C1641" s="31">
        <f>(Table2634[[#This Row],[M1 Money Stock, Billions of Dollars, Weekly, Seasonally Adjusted]]-B1640)/B1640</f>
        <v/>
      </c>
      <c r="D1641" s="35">
        <f>((1+Table2634[[#This Row],[Weekly change]])^52)-1</f>
        <v/>
      </c>
      <c r="E1641" s="25">
        <f>AVERAGE(B1638:B1641)</f>
        <v/>
      </c>
      <c r="F1641" s="33">
        <f>(Table2634[[#This Row],[4 weeks average]]-B1589)/B1589</f>
        <v/>
      </c>
    </row>
    <row r="1642">
      <c r="A1642" s="23" t="n">
        <v>38852</v>
      </c>
      <c r="B1642" s="25">
        <f>VLOOKUP(Table2634[[#This Row],[Date]],'DB Money Supply'!$A:$D,4)</f>
        <v/>
      </c>
      <c r="C1642" s="31">
        <f>(Table2634[[#This Row],[M1 Money Stock, Billions of Dollars, Weekly, Seasonally Adjusted]]-B1641)/B1641</f>
        <v/>
      </c>
      <c r="D1642" s="35">
        <f>((1+Table2634[[#This Row],[Weekly change]])^52)-1</f>
        <v/>
      </c>
      <c r="E1642" s="25">
        <f>AVERAGE(B1639:B1642)</f>
        <v/>
      </c>
      <c r="F1642" s="33">
        <f>(Table2634[[#This Row],[4 weeks average]]-B1590)/B1590</f>
        <v/>
      </c>
    </row>
    <row r="1643">
      <c r="A1643" s="23" t="n">
        <v>38859</v>
      </c>
      <c r="B1643" s="25">
        <f>VLOOKUP(Table2634[[#This Row],[Date]],'DB Money Supply'!$A:$D,4)</f>
        <v/>
      </c>
      <c r="C1643" s="31">
        <f>(Table2634[[#This Row],[M1 Money Stock, Billions of Dollars, Weekly, Seasonally Adjusted]]-B1642)/B1642</f>
        <v/>
      </c>
      <c r="D1643" s="35">
        <f>((1+Table2634[[#This Row],[Weekly change]])^52)-1</f>
        <v/>
      </c>
      <c r="E1643" s="25">
        <f>AVERAGE(B1640:B1643)</f>
        <v/>
      </c>
      <c r="F1643" s="33">
        <f>(Table2634[[#This Row],[4 weeks average]]-B1591)/B1591</f>
        <v/>
      </c>
    </row>
    <row r="1644">
      <c r="A1644" s="23" t="n">
        <v>38866</v>
      </c>
      <c r="B1644" s="25">
        <f>VLOOKUP(Table2634[[#This Row],[Date]],'DB Money Supply'!$A:$D,4)</f>
        <v/>
      </c>
      <c r="C1644" s="31">
        <f>(Table2634[[#This Row],[M1 Money Stock, Billions of Dollars, Weekly, Seasonally Adjusted]]-B1643)/B1643</f>
        <v/>
      </c>
      <c r="D1644" s="35">
        <f>((1+Table2634[[#This Row],[Weekly change]])^52)-1</f>
        <v/>
      </c>
      <c r="E1644" s="25">
        <f>AVERAGE(B1641:B1644)</f>
        <v/>
      </c>
      <c r="F1644" s="33">
        <f>(Table2634[[#This Row],[4 weeks average]]-B1592)/B1592</f>
        <v/>
      </c>
    </row>
    <row r="1645">
      <c r="A1645" s="23" t="n">
        <v>38873</v>
      </c>
      <c r="B1645" s="25">
        <f>VLOOKUP(Table2634[[#This Row],[Date]],'DB Money Supply'!$A:$D,4)</f>
        <v/>
      </c>
      <c r="C1645" s="31">
        <f>(Table2634[[#This Row],[M1 Money Stock, Billions of Dollars, Weekly, Seasonally Adjusted]]-B1644)/B1644</f>
        <v/>
      </c>
      <c r="D1645" s="35">
        <f>((1+Table2634[[#This Row],[Weekly change]])^52)-1</f>
        <v/>
      </c>
      <c r="E1645" s="25">
        <f>AVERAGE(B1642:B1645)</f>
        <v/>
      </c>
      <c r="F1645" s="33">
        <f>(Table2634[[#This Row],[4 weeks average]]-B1593)/B1593</f>
        <v/>
      </c>
    </row>
    <row r="1646">
      <c r="A1646" s="23" t="n">
        <v>38880</v>
      </c>
      <c r="B1646" s="25">
        <f>VLOOKUP(Table2634[[#This Row],[Date]],'DB Money Supply'!$A:$D,4)</f>
        <v/>
      </c>
      <c r="C1646" s="31">
        <f>(Table2634[[#This Row],[M1 Money Stock, Billions of Dollars, Weekly, Seasonally Adjusted]]-B1645)/B1645</f>
        <v/>
      </c>
      <c r="D1646" s="35">
        <f>((1+Table2634[[#This Row],[Weekly change]])^52)-1</f>
        <v/>
      </c>
      <c r="E1646" s="25">
        <f>AVERAGE(B1643:B1646)</f>
        <v/>
      </c>
      <c r="F1646" s="33">
        <f>(Table2634[[#This Row],[4 weeks average]]-B1594)/B1594</f>
        <v/>
      </c>
    </row>
    <row r="1647">
      <c r="A1647" s="23" t="n">
        <v>38887</v>
      </c>
      <c r="B1647" s="25">
        <f>VLOOKUP(Table2634[[#This Row],[Date]],'DB Money Supply'!$A:$D,4)</f>
        <v/>
      </c>
      <c r="C1647" s="31">
        <f>(Table2634[[#This Row],[M1 Money Stock, Billions of Dollars, Weekly, Seasonally Adjusted]]-B1646)/B1646</f>
        <v/>
      </c>
      <c r="D1647" s="35">
        <f>((1+Table2634[[#This Row],[Weekly change]])^52)-1</f>
        <v/>
      </c>
      <c r="E1647" s="25">
        <f>AVERAGE(B1644:B1647)</f>
        <v/>
      </c>
      <c r="F1647" s="33">
        <f>(Table2634[[#This Row],[4 weeks average]]-B1595)/B1595</f>
        <v/>
      </c>
    </row>
    <row r="1648">
      <c r="A1648" s="23" t="n">
        <v>38894</v>
      </c>
      <c r="B1648" s="25">
        <f>VLOOKUP(Table2634[[#This Row],[Date]],'DB Money Supply'!$A:$D,4)</f>
        <v/>
      </c>
      <c r="C1648" s="31">
        <f>(Table2634[[#This Row],[M1 Money Stock, Billions of Dollars, Weekly, Seasonally Adjusted]]-B1647)/B1647</f>
        <v/>
      </c>
      <c r="D1648" s="35">
        <f>((1+Table2634[[#This Row],[Weekly change]])^52)-1</f>
        <v/>
      </c>
      <c r="E1648" s="25">
        <f>AVERAGE(B1645:B1648)</f>
        <v/>
      </c>
      <c r="F1648" s="33">
        <f>(Table2634[[#This Row],[4 weeks average]]-B1596)/B1596</f>
        <v/>
      </c>
    </row>
    <row r="1649">
      <c r="A1649" s="23" t="n">
        <v>38901</v>
      </c>
      <c r="B1649" s="25">
        <f>VLOOKUP(Table2634[[#This Row],[Date]],'DB Money Supply'!$A:$D,4)</f>
        <v/>
      </c>
      <c r="C1649" s="31">
        <f>(Table2634[[#This Row],[M1 Money Stock, Billions of Dollars, Weekly, Seasonally Adjusted]]-B1648)/B1648</f>
        <v/>
      </c>
      <c r="D1649" s="35">
        <f>((1+Table2634[[#This Row],[Weekly change]])^52)-1</f>
        <v/>
      </c>
      <c r="E1649" s="25">
        <f>AVERAGE(B1646:B1649)</f>
        <v/>
      </c>
      <c r="F1649" s="33">
        <f>(Table2634[[#This Row],[4 weeks average]]-B1597)/B1597</f>
        <v/>
      </c>
    </row>
    <row r="1650">
      <c r="A1650" s="23" t="n">
        <v>38908</v>
      </c>
      <c r="B1650" s="25">
        <f>VLOOKUP(Table2634[[#This Row],[Date]],'DB Money Supply'!$A:$D,4)</f>
        <v/>
      </c>
      <c r="C1650" s="31">
        <f>(Table2634[[#This Row],[M1 Money Stock, Billions of Dollars, Weekly, Seasonally Adjusted]]-B1649)/B1649</f>
        <v/>
      </c>
      <c r="D1650" s="35">
        <f>((1+Table2634[[#This Row],[Weekly change]])^52)-1</f>
        <v/>
      </c>
      <c r="E1650" s="25">
        <f>AVERAGE(B1647:B1650)</f>
        <v/>
      </c>
      <c r="F1650" s="33">
        <f>(Table2634[[#This Row],[4 weeks average]]-B1598)/B1598</f>
        <v/>
      </c>
    </row>
    <row r="1651">
      <c r="A1651" s="23" t="n">
        <v>38915</v>
      </c>
      <c r="B1651" s="25">
        <f>VLOOKUP(Table2634[[#This Row],[Date]],'DB Money Supply'!$A:$D,4)</f>
        <v/>
      </c>
      <c r="C1651" s="31">
        <f>(Table2634[[#This Row],[M1 Money Stock, Billions of Dollars, Weekly, Seasonally Adjusted]]-B1650)/B1650</f>
        <v/>
      </c>
      <c r="D1651" s="35">
        <f>((1+Table2634[[#This Row],[Weekly change]])^52)-1</f>
        <v/>
      </c>
      <c r="E1651" s="25">
        <f>AVERAGE(B1648:B1651)</f>
        <v/>
      </c>
      <c r="F1651" s="33">
        <f>(Table2634[[#This Row],[4 weeks average]]-B1599)/B1599</f>
        <v/>
      </c>
    </row>
    <row r="1652">
      <c r="A1652" s="23" t="n">
        <v>38922</v>
      </c>
      <c r="B1652" s="25">
        <f>VLOOKUP(Table2634[[#This Row],[Date]],'DB Money Supply'!$A:$D,4)</f>
        <v/>
      </c>
      <c r="C1652" s="31">
        <f>(Table2634[[#This Row],[M1 Money Stock, Billions of Dollars, Weekly, Seasonally Adjusted]]-B1651)/B1651</f>
        <v/>
      </c>
      <c r="D1652" s="35">
        <f>((1+Table2634[[#This Row],[Weekly change]])^52)-1</f>
        <v/>
      </c>
      <c r="E1652" s="25">
        <f>AVERAGE(B1649:B1652)</f>
        <v/>
      </c>
      <c r="F1652" s="33">
        <f>(Table2634[[#This Row],[4 weeks average]]-B1600)/B1600</f>
        <v/>
      </c>
    </row>
    <row r="1653">
      <c r="A1653" s="23" t="n">
        <v>38929</v>
      </c>
      <c r="B1653" s="25">
        <f>VLOOKUP(Table2634[[#This Row],[Date]],'DB Money Supply'!$A:$D,4)</f>
        <v/>
      </c>
      <c r="C1653" s="31">
        <f>(Table2634[[#This Row],[M1 Money Stock, Billions of Dollars, Weekly, Seasonally Adjusted]]-B1652)/B1652</f>
        <v/>
      </c>
      <c r="D1653" s="35">
        <f>((1+Table2634[[#This Row],[Weekly change]])^52)-1</f>
        <v/>
      </c>
      <c r="E1653" s="25">
        <f>AVERAGE(B1650:B1653)</f>
        <v/>
      </c>
      <c r="F1653" s="33">
        <f>(Table2634[[#This Row],[4 weeks average]]-B1601)/B1601</f>
        <v/>
      </c>
    </row>
    <row r="1654">
      <c r="A1654" s="23" t="n">
        <v>38936</v>
      </c>
      <c r="B1654" s="25">
        <f>VLOOKUP(Table2634[[#This Row],[Date]],'DB Money Supply'!$A:$D,4)</f>
        <v/>
      </c>
      <c r="C1654" s="31">
        <f>(Table2634[[#This Row],[M1 Money Stock, Billions of Dollars, Weekly, Seasonally Adjusted]]-B1653)/B1653</f>
        <v/>
      </c>
      <c r="D1654" s="35">
        <f>((1+Table2634[[#This Row],[Weekly change]])^52)-1</f>
        <v/>
      </c>
      <c r="E1654" s="25">
        <f>AVERAGE(B1651:B1654)</f>
        <v/>
      </c>
      <c r="F1654" s="33">
        <f>(Table2634[[#This Row],[4 weeks average]]-B1602)/B1602</f>
        <v/>
      </c>
    </row>
    <row r="1655">
      <c r="A1655" s="23" t="n">
        <v>38943</v>
      </c>
      <c r="B1655" s="25">
        <f>VLOOKUP(Table2634[[#This Row],[Date]],'DB Money Supply'!$A:$D,4)</f>
        <v/>
      </c>
      <c r="C1655" s="31">
        <f>(Table2634[[#This Row],[M1 Money Stock, Billions of Dollars, Weekly, Seasonally Adjusted]]-B1654)/B1654</f>
        <v/>
      </c>
      <c r="D1655" s="35">
        <f>((1+Table2634[[#This Row],[Weekly change]])^52)-1</f>
        <v/>
      </c>
      <c r="E1655" s="25">
        <f>AVERAGE(B1652:B1655)</f>
        <v/>
      </c>
      <c r="F1655" s="33">
        <f>(Table2634[[#This Row],[4 weeks average]]-B1603)/B1603</f>
        <v/>
      </c>
    </row>
    <row r="1656">
      <c r="A1656" s="23" t="n">
        <v>38950</v>
      </c>
      <c r="B1656" s="25">
        <f>VLOOKUP(Table2634[[#This Row],[Date]],'DB Money Supply'!$A:$D,4)</f>
        <v/>
      </c>
      <c r="C1656" s="31">
        <f>(Table2634[[#This Row],[M1 Money Stock, Billions of Dollars, Weekly, Seasonally Adjusted]]-B1655)/B1655</f>
        <v/>
      </c>
      <c r="D1656" s="35">
        <f>((1+Table2634[[#This Row],[Weekly change]])^52)-1</f>
        <v/>
      </c>
      <c r="E1656" s="25">
        <f>AVERAGE(B1653:B1656)</f>
        <v/>
      </c>
      <c r="F1656" s="33">
        <f>(Table2634[[#This Row],[4 weeks average]]-B1604)/B1604</f>
        <v/>
      </c>
    </row>
    <row r="1657">
      <c r="A1657" s="23" t="n">
        <v>38957</v>
      </c>
      <c r="B1657" s="25">
        <f>VLOOKUP(Table2634[[#This Row],[Date]],'DB Money Supply'!$A:$D,4)</f>
        <v/>
      </c>
      <c r="C1657" s="31">
        <f>(Table2634[[#This Row],[M1 Money Stock, Billions of Dollars, Weekly, Seasonally Adjusted]]-B1656)/B1656</f>
        <v/>
      </c>
      <c r="D1657" s="35">
        <f>((1+Table2634[[#This Row],[Weekly change]])^52)-1</f>
        <v/>
      </c>
      <c r="E1657" s="25">
        <f>AVERAGE(B1654:B1657)</f>
        <v/>
      </c>
      <c r="F1657" s="33">
        <f>(Table2634[[#This Row],[4 weeks average]]-B1605)/B1605</f>
        <v/>
      </c>
    </row>
    <row r="1658">
      <c r="A1658" s="23" t="n">
        <v>38964</v>
      </c>
      <c r="B1658" s="25">
        <f>VLOOKUP(Table2634[[#This Row],[Date]],'DB Money Supply'!$A:$D,4)</f>
        <v/>
      </c>
      <c r="C1658" s="31">
        <f>(Table2634[[#This Row],[M1 Money Stock, Billions of Dollars, Weekly, Seasonally Adjusted]]-B1657)/B1657</f>
        <v/>
      </c>
      <c r="D1658" s="35">
        <f>((1+Table2634[[#This Row],[Weekly change]])^52)-1</f>
        <v/>
      </c>
      <c r="E1658" s="25">
        <f>AVERAGE(B1655:B1658)</f>
        <v/>
      </c>
      <c r="F1658" s="33">
        <f>(Table2634[[#This Row],[4 weeks average]]-B1606)/B1606</f>
        <v/>
      </c>
    </row>
    <row r="1659">
      <c r="A1659" s="23" t="n">
        <v>38971</v>
      </c>
      <c r="B1659" s="25">
        <f>VLOOKUP(Table2634[[#This Row],[Date]],'DB Money Supply'!$A:$D,4)</f>
        <v/>
      </c>
      <c r="C1659" s="31">
        <f>(Table2634[[#This Row],[M1 Money Stock, Billions of Dollars, Weekly, Seasonally Adjusted]]-B1658)/B1658</f>
        <v/>
      </c>
      <c r="D1659" s="35">
        <f>((1+Table2634[[#This Row],[Weekly change]])^52)-1</f>
        <v/>
      </c>
      <c r="E1659" s="25">
        <f>AVERAGE(B1656:B1659)</f>
        <v/>
      </c>
      <c r="F1659" s="33">
        <f>(Table2634[[#This Row],[4 weeks average]]-B1607)/B1607</f>
        <v/>
      </c>
    </row>
    <row r="1660">
      <c r="A1660" s="23" t="n">
        <v>38978</v>
      </c>
      <c r="B1660" s="25">
        <f>VLOOKUP(Table2634[[#This Row],[Date]],'DB Money Supply'!$A:$D,4)</f>
        <v/>
      </c>
      <c r="C1660" s="31">
        <f>(Table2634[[#This Row],[M1 Money Stock, Billions of Dollars, Weekly, Seasonally Adjusted]]-B1659)/B1659</f>
        <v/>
      </c>
      <c r="D1660" s="35">
        <f>((1+Table2634[[#This Row],[Weekly change]])^52)-1</f>
        <v/>
      </c>
      <c r="E1660" s="25">
        <f>AVERAGE(B1657:B1660)</f>
        <v/>
      </c>
      <c r="F1660" s="33">
        <f>(Table2634[[#This Row],[4 weeks average]]-B1608)/B1608</f>
        <v/>
      </c>
    </row>
    <row r="1661">
      <c r="A1661" s="23" t="n">
        <v>38985</v>
      </c>
      <c r="B1661" s="25">
        <f>VLOOKUP(Table2634[[#This Row],[Date]],'DB Money Supply'!$A:$D,4)</f>
        <v/>
      </c>
      <c r="C1661" s="31">
        <f>(Table2634[[#This Row],[M1 Money Stock, Billions of Dollars, Weekly, Seasonally Adjusted]]-B1660)/B1660</f>
        <v/>
      </c>
      <c r="D1661" s="35">
        <f>((1+Table2634[[#This Row],[Weekly change]])^52)-1</f>
        <v/>
      </c>
      <c r="E1661" s="25">
        <f>AVERAGE(B1658:B1661)</f>
        <v/>
      </c>
      <c r="F1661" s="33">
        <f>(Table2634[[#This Row],[4 weeks average]]-B1609)/B1609</f>
        <v/>
      </c>
    </row>
    <row r="1662">
      <c r="A1662" s="23" t="n">
        <v>38992</v>
      </c>
      <c r="B1662" s="25">
        <f>VLOOKUP(Table2634[[#This Row],[Date]],'DB Money Supply'!$A:$D,4)</f>
        <v/>
      </c>
      <c r="C1662" s="31">
        <f>(Table2634[[#This Row],[M1 Money Stock, Billions of Dollars, Weekly, Seasonally Adjusted]]-B1661)/B1661</f>
        <v/>
      </c>
      <c r="D1662" s="35">
        <f>((1+Table2634[[#This Row],[Weekly change]])^52)-1</f>
        <v/>
      </c>
      <c r="E1662" s="25">
        <f>AVERAGE(B1659:B1662)</f>
        <v/>
      </c>
      <c r="F1662" s="33">
        <f>(Table2634[[#This Row],[4 weeks average]]-B1610)/B1610</f>
        <v/>
      </c>
    </row>
    <row r="1663">
      <c r="A1663" s="23" t="n">
        <v>38999</v>
      </c>
      <c r="B1663" s="25">
        <f>VLOOKUP(Table2634[[#This Row],[Date]],'DB Money Supply'!$A:$D,4)</f>
        <v/>
      </c>
      <c r="C1663" s="31">
        <f>(Table2634[[#This Row],[M1 Money Stock, Billions of Dollars, Weekly, Seasonally Adjusted]]-B1662)/B1662</f>
        <v/>
      </c>
      <c r="D1663" s="35">
        <f>((1+Table2634[[#This Row],[Weekly change]])^52)-1</f>
        <v/>
      </c>
      <c r="E1663" s="25">
        <f>AVERAGE(B1660:B1663)</f>
        <v/>
      </c>
      <c r="F1663" s="33">
        <f>(Table2634[[#This Row],[4 weeks average]]-B1611)/B1611</f>
        <v/>
      </c>
    </row>
    <row r="1664">
      <c r="A1664" s="23" t="n">
        <v>39006</v>
      </c>
      <c r="B1664" s="25">
        <f>VLOOKUP(Table2634[[#This Row],[Date]],'DB Money Supply'!$A:$D,4)</f>
        <v/>
      </c>
      <c r="C1664" s="31">
        <f>(Table2634[[#This Row],[M1 Money Stock, Billions of Dollars, Weekly, Seasonally Adjusted]]-B1663)/B1663</f>
        <v/>
      </c>
      <c r="D1664" s="35">
        <f>((1+Table2634[[#This Row],[Weekly change]])^52)-1</f>
        <v/>
      </c>
      <c r="E1664" s="25">
        <f>AVERAGE(B1661:B1664)</f>
        <v/>
      </c>
      <c r="F1664" s="33">
        <f>(Table2634[[#This Row],[4 weeks average]]-B1612)/B1612</f>
        <v/>
      </c>
    </row>
    <row r="1665">
      <c r="A1665" s="23" t="n">
        <v>39013</v>
      </c>
      <c r="B1665" s="25">
        <f>VLOOKUP(Table2634[[#This Row],[Date]],'DB Money Supply'!$A:$D,4)</f>
        <v/>
      </c>
      <c r="C1665" s="31">
        <f>(Table2634[[#This Row],[M1 Money Stock, Billions of Dollars, Weekly, Seasonally Adjusted]]-B1664)/B1664</f>
        <v/>
      </c>
      <c r="D1665" s="35">
        <f>((1+Table2634[[#This Row],[Weekly change]])^52)-1</f>
        <v/>
      </c>
      <c r="E1665" s="25">
        <f>AVERAGE(B1662:B1665)</f>
        <v/>
      </c>
      <c r="F1665" s="33">
        <f>(Table2634[[#This Row],[4 weeks average]]-B1613)/B1613</f>
        <v/>
      </c>
    </row>
    <row r="1666">
      <c r="A1666" s="23" t="n">
        <v>39020</v>
      </c>
      <c r="B1666" s="25">
        <f>VLOOKUP(Table2634[[#This Row],[Date]],'DB Money Supply'!$A:$D,4)</f>
        <v/>
      </c>
      <c r="C1666" s="31">
        <f>(Table2634[[#This Row],[M1 Money Stock, Billions of Dollars, Weekly, Seasonally Adjusted]]-B1665)/B1665</f>
        <v/>
      </c>
      <c r="D1666" s="35">
        <f>((1+Table2634[[#This Row],[Weekly change]])^52)-1</f>
        <v/>
      </c>
      <c r="E1666" s="25">
        <f>AVERAGE(B1663:B1666)</f>
        <v/>
      </c>
      <c r="F1666" s="33">
        <f>(Table2634[[#This Row],[4 weeks average]]-B1614)/B1614</f>
        <v/>
      </c>
    </row>
    <row r="1667">
      <c r="A1667" s="23" t="n">
        <v>39027</v>
      </c>
      <c r="B1667" s="25">
        <f>VLOOKUP(Table2634[[#This Row],[Date]],'DB Money Supply'!$A:$D,4)</f>
        <v/>
      </c>
      <c r="C1667" s="31">
        <f>(Table2634[[#This Row],[M1 Money Stock, Billions of Dollars, Weekly, Seasonally Adjusted]]-B1666)/B1666</f>
        <v/>
      </c>
      <c r="D1667" s="35">
        <f>((1+Table2634[[#This Row],[Weekly change]])^52)-1</f>
        <v/>
      </c>
      <c r="E1667" s="25">
        <f>AVERAGE(B1664:B1667)</f>
        <v/>
      </c>
      <c r="F1667" s="33">
        <f>(Table2634[[#This Row],[4 weeks average]]-B1615)/B1615</f>
        <v/>
      </c>
    </row>
    <row r="1668">
      <c r="A1668" s="23" t="n">
        <v>39034</v>
      </c>
      <c r="B1668" s="25">
        <f>VLOOKUP(Table2634[[#This Row],[Date]],'DB Money Supply'!$A:$D,4)</f>
        <v/>
      </c>
      <c r="C1668" s="31">
        <f>(Table2634[[#This Row],[M1 Money Stock, Billions of Dollars, Weekly, Seasonally Adjusted]]-B1667)/B1667</f>
        <v/>
      </c>
      <c r="D1668" s="35">
        <f>((1+Table2634[[#This Row],[Weekly change]])^52)-1</f>
        <v/>
      </c>
      <c r="E1668" s="25">
        <f>AVERAGE(B1665:B1668)</f>
        <v/>
      </c>
      <c r="F1668" s="33">
        <f>(Table2634[[#This Row],[4 weeks average]]-B1616)/B1616</f>
        <v/>
      </c>
    </row>
    <row r="1669">
      <c r="A1669" s="23" t="n">
        <v>39041</v>
      </c>
      <c r="B1669" s="25">
        <f>VLOOKUP(Table2634[[#This Row],[Date]],'DB Money Supply'!$A:$D,4)</f>
        <v/>
      </c>
      <c r="C1669" s="31">
        <f>(Table2634[[#This Row],[M1 Money Stock, Billions of Dollars, Weekly, Seasonally Adjusted]]-B1668)/B1668</f>
        <v/>
      </c>
      <c r="D1669" s="35">
        <f>((1+Table2634[[#This Row],[Weekly change]])^52)-1</f>
        <v/>
      </c>
      <c r="E1669" s="25">
        <f>AVERAGE(B1666:B1669)</f>
        <v/>
      </c>
      <c r="F1669" s="33">
        <f>(Table2634[[#This Row],[4 weeks average]]-B1617)/B1617</f>
        <v/>
      </c>
    </row>
    <row r="1670">
      <c r="A1670" s="23" t="n">
        <v>39048</v>
      </c>
      <c r="B1670" s="25">
        <f>VLOOKUP(Table2634[[#This Row],[Date]],'DB Money Supply'!$A:$D,4)</f>
        <v/>
      </c>
      <c r="C1670" s="31">
        <f>(Table2634[[#This Row],[M1 Money Stock, Billions of Dollars, Weekly, Seasonally Adjusted]]-B1669)/B1669</f>
        <v/>
      </c>
      <c r="D1670" s="35">
        <f>((1+Table2634[[#This Row],[Weekly change]])^52)-1</f>
        <v/>
      </c>
      <c r="E1670" s="25">
        <f>AVERAGE(B1667:B1670)</f>
        <v/>
      </c>
      <c r="F1670" s="33">
        <f>(Table2634[[#This Row],[4 weeks average]]-B1618)/B1618</f>
        <v/>
      </c>
    </row>
    <row r="1671">
      <c r="A1671" s="23" t="n">
        <v>39055</v>
      </c>
      <c r="B1671" s="25">
        <f>VLOOKUP(Table2634[[#This Row],[Date]],'DB Money Supply'!$A:$D,4)</f>
        <v/>
      </c>
      <c r="C1671" s="31">
        <f>(Table2634[[#This Row],[M1 Money Stock, Billions of Dollars, Weekly, Seasonally Adjusted]]-B1670)/B1670</f>
        <v/>
      </c>
      <c r="D1671" s="35">
        <f>((1+Table2634[[#This Row],[Weekly change]])^52)-1</f>
        <v/>
      </c>
      <c r="E1671" s="25">
        <f>AVERAGE(B1668:B1671)</f>
        <v/>
      </c>
      <c r="F1671" s="33">
        <f>(Table2634[[#This Row],[4 weeks average]]-B1619)/B1619</f>
        <v/>
      </c>
    </row>
    <row r="1672">
      <c r="A1672" s="23" t="n">
        <v>39062</v>
      </c>
      <c r="B1672" s="25">
        <f>VLOOKUP(Table2634[[#This Row],[Date]],'DB Money Supply'!$A:$D,4)</f>
        <v/>
      </c>
      <c r="C1672" s="31">
        <f>(Table2634[[#This Row],[M1 Money Stock, Billions of Dollars, Weekly, Seasonally Adjusted]]-B1671)/B1671</f>
        <v/>
      </c>
      <c r="D1672" s="35">
        <f>((1+Table2634[[#This Row],[Weekly change]])^52)-1</f>
        <v/>
      </c>
      <c r="E1672" s="25">
        <f>AVERAGE(B1669:B1672)</f>
        <v/>
      </c>
      <c r="F1672" s="33">
        <f>(Table2634[[#This Row],[4 weeks average]]-B1620)/B1620</f>
        <v/>
      </c>
    </row>
    <row r="1673">
      <c r="A1673" s="23" t="n">
        <v>39069</v>
      </c>
      <c r="B1673" s="25">
        <f>VLOOKUP(Table2634[[#This Row],[Date]],'DB Money Supply'!$A:$D,4)</f>
        <v/>
      </c>
      <c r="C1673" s="31">
        <f>(Table2634[[#This Row],[M1 Money Stock, Billions of Dollars, Weekly, Seasonally Adjusted]]-B1672)/B1672</f>
        <v/>
      </c>
      <c r="D1673" s="35">
        <f>((1+Table2634[[#This Row],[Weekly change]])^52)-1</f>
        <v/>
      </c>
      <c r="E1673" s="25">
        <f>AVERAGE(B1670:B1673)</f>
        <v/>
      </c>
      <c r="F1673" s="33">
        <f>(Table2634[[#This Row],[4 weeks average]]-B1621)/B1621</f>
        <v/>
      </c>
    </row>
    <row r="1674">
      <c r="A1674" s="23" t="n">
        <v>39076</v>
      </c>
      <c r="B1674" s="25">
        <f>VLOOKUP(Table2634[[#This Row],[Date]],'DB Money Supply'!$A:$D,4)</f>
        <v/>
      </c>
      <c r="C1674" s="31">
        <f>(Table2634[[#This Row],[M1 Money Stock, Billions of Dollars, Weekly, Seasonally Adjusted]]-B1673)/B1673</f>
        <v/>
      </c>
      <c r="D1674" s="35">
        <f>((1+Table2634[[#This Row],[Weekly change]])^52)-1</f>
        <v/>
      </c>
      <c r="E1674" s="25">
        <f>AVERAGE(B1671:B1674)</f>
        <v/>
      </c>
      <c r="F1674" s="33">
        <f>(Table2634[[#This Row],[4 weeks average]]-B1622)/B1622</f>
        <v/>
      </c>
    </row>
    <row r="1675">
      <c r="A1675" s="23" t="n">
        <v>39083</v>
      </c>
      <c r="B1675" s="25">
        <f>VLOOKUP(Table2634[[#This Row],[Date]],'DB Money Supply'!$A:$D,4)</f>
        <v/>
      </c>
      <c r="C1675" s="31">
        <f>(Table2634[[#This Row],[M1 Money Stock, Billions of Dollars, Weekly, Seasonally Adjusted]]-B1674)/B1674</f>
        <v/>
      </c>
      <c r="D1675" s="35">
        <f>((1+Table2634[[#This Row],[Weekly change]])^52)-1</f>
        <v/>
      </c>
      <c r="E1675" s="25">
        <f>AVERAGE(B1672:B1675)</f>
        <v/>
      </c>
      <c r="F1675" s="33">
        <f>(Table2634[[#This Row],[4 weeks average]]-B1623)/B1623</f>
        <v/>
      </c>
    </row>
    <row r="1676">
      <c r="A1676" s="23" t="n">
        <v>39090</v>
      </c>
      <c r="B1676" s="25">
        <f>VLOOKUP(Table2634[[#This Row],[Date]],'DB Money Supply'!$A:$D,4)</f>
        <v/>
      </c>
      <c r="C1676" s="31">
        <f>(Table2634[[#This Row],[M1 Money Stock, Billions of Dollars, Weekly, Seasonally Adjusted]]-B1675)/B1675</f>
        <v/>
      </c>
      <c r="D1676" s="35">
        <f>((1+Table2634[[#This Row],[Weekly change]])^52)-1</f>
        <v/>
      </c>
      <c r="E1676" s="25">
        <f>AVERAGE(B1673:B1676)</f>
        <v/>
      </c>
      <c r="F1676" s="33">
        <f>(Table2634[[#This Row],[4 weeks average]]-B1624)/B1624</f>
        <v/>
      </c>
    </row>
    <row r="1677">
      <c r="A1677" s="23" t="n">
        <v>39097</v>
      </c>
      <c r="B1677" s="25">
        <f>VLOOKUP(Table2634[[#This Row],[Date]],'DB Money Supply'!$A:$D,4)</f>
        <v/>
      </c>
      <c r="C1677" s="31">
        <f>(Table2634[[#This Row],[M1 Money Stock, Billions of Dollars, Weekly, Seasonally Adjusted]]-B1676)/B1676</f>
        <v/>
      </c>
      <c r="D1677" s="35">
        <f>((1+Table2634[[#This Row],[Weekly change]])^52)-1</f>
        <v/>
      </c>
      <c r="E1677" s="25">
        <f>AVERAGE(B1674:B1677)</f>
        <v/>
      </c>
      <c r="F1677" s="33">
        <f>(Table2634[[#This Row],[4 weeks average]]-B1625)/B1625</f>
        <v/>
      </c>
    </row>
    <row r="1678">
      <c r="A1678" s="23" t="n">
        <v>39104</v>
      </c>
      <c r="B1678" s="25">
        <f>VLOOKUP(Table2634[[#This Row],[Date]],'DB Money Supply'!$A:$D,4)</f>
        <v/>
      </c>
      <c r="C1678" s="31">
        <f>(Table2634[[#This Row],[M1 Money Stock, Billions of Dollars, Weekly, Seasonally Adjusted]]-B1677)/B1677</f>
        <v/>
      </c>
      <c r="D1678" s="35">
        <f>((1+Table2634[[#This Row],[Weekly change]])^52)-1</f>
        <v/>
      </c>
      <c r="E1678" s="25">
        <f>AVERAGE(B1675:B1678)</f>
        <v/>
      </c>
      <c r="F1678" s="33">
        <f>(Table2634[[#This Row],[4 weeks average]]-B1626)/B1626</f>
        <v/>
      </c>
    </row>
    <row r="1679">
      <c r="A1679" s="23" t="n">
        <v>39111</v>
      </c>
      <c r="B1679" s="25">
        <f>VLOOKUP(Table2634[[#This Row],[Date]],'DB Money Supply'!$A:$D,4)</f>
        <v/>
      </c>
      <c r="C1679" s="31">
        <f>(Table2634[[#This Row],[M1 Money Stock, Billions of Dollars, Weekly, Seasonally Adjusted]]-B1678)/B1678</f>
        <v/>
      </c>
      <c r="D1679" s="35">
        <f>((1+Table2634[[#This Row],[Weekly change]])^52)-1</f>
        <v/>
      </c>
      <c r="E1679" s="25">
        <f>AVERAGE(B1676:B1679)</f>
        <v/>
      </c>
      <c r="F1679" s="33">
        <f>(Table2634[[#This Row],[4 weeks average]]-B1627)/B1627</f>
        <v/>
      </c>
    </row>
    <row r="1680">
      <c r="A1680" s="23" t="n">
        <v>39118</v>
      </c>
      <c r="B1680" s="25">
        <f>VLOOKUP(Table2634[[#This Row],[Date]],'DB Money Supply'!$A:$D,4)</f>
        <v/>
      </c>
      <c r="C1680" s="31">
        <f>(Table2634[[#This Row],[M1 Money Stock, Billions of Dollars, Weekly, Seasonally Adjusted]]-B1679)/B1679</f>
        <v/>
      </c>
      <c r="D1680" s="35">
        <f>((1+Table2634[[#This Row],[Weekly change]])^52)-1</f>
        <v/>
      </c>
      <c r="E1680" s="25">
        <f>AVERAGE(B1677:B1680)</f>
        <v/>
      </c>
      <c r="F1680" s="33">
        <f>(Table2634[[#This Row],[4 weeks average]]-B1628)/B1628</f>
        <v/>
      </c>
    </row>
    <row r="1681">
      <c r="A1681" s="23" t="n">
        <v>39125</v>
      </c>
      <c r="B1681" s="25">
        <f>VLOOKUP(Table2634[[#This Row],[Date]],'DB Money Supply'!$A:$D,4)</f>
        <v/>
      </c>
      <c r="C1681" s="31">
        <f>(Table2634[[#This Row],[M1 Money Stock, Billions of Dollars, Weekly, Seasonally Adjusted]]-B1680)/B1680</f>
        <v/>
      </c>
      <c r="D1681" s="35">
        <f>((1+Table2634[[#This Row],[Weekly change]])^52)-1</f>
        <v/>
      </c>
      <c r="E1681" s="25">
        <f>AVERAGE(B1678:B1681)</f>
        <v/>
      </c>
      <c r="F1681" s="33">
        <f>(Table2634[[#This Row],[4 weeks average]]-B1629)/B1629</f>
        <v/>
      </c>
    </row>
    <row r="1682">
      <c r="A1682" s="23" t="n">
        <v>39132</v>
      </c>
      <c r="B1682" s="25">
        <f>VLOOKUP(Table2634[[#This Row],[Date]],'DB Money Supply'!$A:$D,4)</f>
        <v/>
      </c>
      <c r="C1682" s="31">
        <f>(Table2634[[#This Row],[M1 Money Stock, Billions of Dollars, Weekly, Seasonally Adjusted]]-B1681)/B1681</f>
        <v/>
      </c>
      <c r="D1682" s="35">
        <f>((1+Table2634[[#This Row],[Weekly change]])^52)-1</f>
        <v/>
      </c>
      <c r="E1682" s="25">
        <f>AVERAGE(B1679:B1682)</f>
        <v/>
      </c>
      <c r="F1682" s="33">
        <f>(Table2634[[#This Row],[4 weeks average]]-B1630)/B1630</f>
        <v/>
      </c>
    </row>
    <row r="1683">
      <c r="A1683" s="23" t="n">
        <v>39139</v>
      </c>
      <c r="B1683" s="25">
        <f>VLOOKUP(Table2634[[#This Row],[Date]],'DB Money Supply'!$A:$D,4)</f>
        <v/>
      </c>
      <c r="C1683" s="31">
        <f>(Table2634[[#This Row],[M1 Money Stock, Billions of Dollars, Weekly, Seasonally Adjusted]]-B1682)/B1682</f>
        <v/>
      </c>
      <c r="D1683" s="35">
        <f>((1+Table2634[[#This Row],[Weekly change]])^52)-1</f>
        <v/>
      </c>
      <c r="E1683" s="25">
        <f>AVERAGE(B1680:B1683)</f>
        <v/>
      </c>
      <c r="F1683" s="33">
        <f>(Table2634[[#This Row],[4 weeks average]]-B1631)/B1631</f>
        <v/>
      </c>
    </row>
    <row r="1684">
      <c r="A1684" s="23" t="n">
        <v>39146</v>
      </c>
      <c r="B1684" s="25">
        <f>VLOOKUP(Table2634[[#This Row],[Date]],'DB Money Supply'!$A:$D,4)</f>
        <v/>
      </c>
      <c r="C1684" s="31">
        <f>(Table2634[[#This Row],[M1 Money Stock, Billions of Dollars, Weekly, Seasonally Adjusted]]-B1683)/B1683</f>
        <v/>
      </c>
      <c r="D1684" s="35">
        <f>((1+Table2634[[#This Row],[Weekly change]])^52)-1</f>
        <v/>
      </c>
      <c r="E1684" s="25">
        <f>AVERAGE(B1681:B1684)</f>
        <v/>
      </c>
      <c r="F1684" s="33">
        <f>(Table2634[[#This Row],[4 weeks average]]-B1632)/B1632</f>
        <v/>
      </c>
    </row>
    <row r="1685">
      <c r="A1685" s="23" t="n">
        <v>39153</v>
      </c>
      <c r="B1685" s="25">
        <f>VLOOKUP(Table2634[[#This Row],[Date]],'DB Money Supply'!$A:$D,4)</f>
        <v/>
      </c>
      <c r="C1685" s="31">
        <f>(Table2634[[#This Row],[M1 Money Stock, Billions of Dollars, Weekly, Seasonally Adjusted]]-B1684)/B1684</f>
        <v/>
      </c>
      <c r="D1685" s="35">
        <f>((1+Table2634[[#This Row],[Weekly change]])^52)-1</f>
        <v/>
      </c>
      <c r="E1685" s="25">
        <f>AVERAGE(B1682:B1685)</f>
        <v/>
      </c>
      <c r="F1685" s="33">
        <f>(Table2634[[#This Row],[4 weeks average]]-B1633)/B1633</f>
        <v/>
      </c>
    </row>
    <row r="1686">
      <c r="A1686" s="23" t="n">
        <v>39160</v>
      </c>
      <c r="B1686" s="25">
        <f>VLOOKUP(Table2634[[#This Row],[Date]],'DB Money Supply'!$A:$D,4)</f>
        <v/>
      </c>
      <c r="C1686" s="31">
        <f>(Table2634[[#This Row],[M1 Money Stock, Billions of Dollars, Weekly, Seasonally Adjusted]]-B1685)/B1685</f>
        <v/>
      </c>
      <c r="D1686" s="35">
        <f>((1+Table2634[[#This Row],[Weekly change]])^52)-1</f>
        <v/>
      </c>
      <c r="E1686" s="25">
        <f>AVERAGE(B1683:B1686)</f>
        <v/>
      </c>
      <c r="F1686" s="33">
        <f>(Table2634[[#This Row],[4 weeks average]]-B1634)/B1634</f>
        <v/>
      </c>
    </row>
    <row r="1687">
      <c r="A1687" s="23" t="n">
        <v>39167</v>
      </c>
      <c r="B1687" s="25">
        <f>VLOOKUP(Table2634[[#This Row],[Date]],'DB Money Supply'!$A:$D,4)</f>
        <v/>
      </c>
      <c r="C1687" s="31">
        <f>(Table2634[[#This Row],[M1 Money Stock, Billions of Dollars, Weekly, Seasonally Adjusted]]-B1686)/B1686</f>
        <v/>
      </c>
      <c r="D1687" s="35">
        <f>((1+Table2634[[#This Row],[Weekly change]])^52)-1</f>
        <v/>
      </c>
      <c r="E1687" s="25">
        <f>AVERAGE(B1684:B1687)</f>
        <v/>
      </c>
      <c r="F1687" s="33">
        <f>(Table2634[[#This Row],[4 weeks average]]-B1635)/B1635</f>
        <v/>
      </c>
    </row>
    <row r="1688">
      <c r="A1688" s="23" t="n">
        <v>39174</v>
      </c>
      <c r="B1688" s="25">
        <f>VLOOKUP(Table2634[[#This Row],[Date]],'DB Money Supply'!$A:$D,4)</f>
        <v/>
      </c>
      <c r="C1688" s="31">
        <f>(Table2634[[#This Row],[M1 Money Stock, Billions of Dollars, Weekly, Seasonally Adjusted]]-B1687)/B1687</f>
        <v/>
      </c>
      <c r="D1688" s="35">
        <f>((1+Table2634[[#This Row],[Weekly change]])^52)-1</f>
        <v/>
      </c>
      <c r="E1688" s="25">
        <f>AVERAGE(B1685:B1688)</f>
        <v/>
      </c>
      <c r="F1688" s="33">
        <f>(Table2634[[#This Row],[4 weeks average]]-B1636)/B1636</f>
        <v/>
      </c>
    </row>
    <row r="1689">
      <c r="A1689" s="23" t="n">
        <v>39181</v>
      </c>
      <c r="B1689" s="25">
        <f>VLOOKUP(Table2634[[#This Row],[Date]],'DB Money Supply'!$A:$D,4)</f>
        <v/>
      </c>
      <c r="C1689" s="31">
        <f>(Table2634[[#This Row],[M1 Money Stock, Billions of Dollars, Weekly, Seasonally Adjusted]]-B1688)/B1688</f>
        <v/>
      </c>
      <c r="D1689" s="35">
        <f>((1+Table2634[[#This Row],[Weekly change]])^52)-1</f>
        <v/>
      </c>
      <c r="E1689" s="25">
        <f>AVERAGE(B1686:B1689)</f>
        <v/>
      </c>
      <c r="F1689" s="33">
        <f>(Table2634[[#This Row],[4 weeks average]]-B1637)/B1637</f>
        <v/>
      </c>
    </row>
    <row r="1690">
      <c r="A1690" s="23" t="n">
        <v>39188</v>
      </c>
      <c r="B1690" s="25">
        <f>VLOOKUP(Table2634[[#This Row],[Date]],'DB Money Supply'!$A:$D,4)</f>
        <v/>
      </c>
      <c r="C1690" s="31">
        <f>(Table2634[[#This Row],[M1 Money Stock, Billions of Dollars, Weekly, Seasonally Adjusted]]-B1689)/B1689</f>
        <v/>
      </c>
      <c r="D1690" s="35">
        <f>((1+Table2634[[#This Row],[Weekly change]])^52)-1</f>
        <v/>
      </c>
      <c r="E1690" s="25">
        <f>AVERAGE(B1687:B1690)</f>
        <v/>
      </c>
      <c r="F1690" s="33">
        <f>(Table2634[[#This Row],[4 weeks average]]-B1638)/B1638</f>
        <v/>
      </c>
    </row>
    <row r="1691">
      <c r="A1691" s="23" t="n">
        <v>39195</v>
      </c>
      <c r="B1691" s="25">
        <f>VLOOKUP(Table2634[[#This Row],[Date]],'DB Money Supply'!$A:$D,4)</f>
        <v/>
      </c>
      <c r="C1691" s="31">
        <f>(Table2634[[#This Row],[M1 Money Stock, Billions of Dollars, Weekly, Seasonally Adjusted]]-B1690)/B1690</f>
        <v/>
      </c>
      <c r="D1691" s="35">
        <f>((1+Table2634[[#This Row],[Weekly change]])^52)-1</f>
        <v/>
      </c>
      <c r="E1691" s="25">
        <f>AVERAGE(B1688:B1691)</f>
        <v/>
      </c>
      <c r="F1691" s="33">
        <f>(Table2634[[#This Row],[4 weeks average]]-B1639)/B1639</f>
        <v/>
      </c>
    </row>
    <row r="1692">
      <c r="A1692" s="23" t="n">
        <v>39202</v>
      </c>
      <c r="B1692" s="25">
        <f>VLOOKUP(Table2634[[#This Row],[Date]],'DB Money Supply'!$A:$D,4)</f>
        <v/>
      </c>
      <c r="C1692" s="31">
        <f>(Table2634[[#This Row],[M1 Money Stock, Billions of Dollars, Weekly, Seasonally Adjusted]]-B1691)/B1691</f>
        <v/>
      </c>
      <c r="D1692" s="35">
        <f>((1+Table2634[[#This Row],[Weekly change]])^52)-1</f>
        <v/>
      </c>
      <c r="E1692" s="25">
        <f>AVERAGE(B1689:B1692)</f>
        <v/>
      </c>
      <c r="F1692" s="33">
        <f>(Table2634[[#This Row],[4 weeks average]]-B1640)/B1640</f>
        <v/>
      </c>
    </row>
    <row r="1693">
      <c r="A1693" s="23" t="n">
        <v>39209</v>
      </c>
      <c r="B1693" s="25">
        <f>VLOOKUP(Table2634[[#This Row],[Date]],'DB Money Supply'!$A:$D,4)</f>
        <v/>
      </c>
      <c r="C1693" s="31">
        <f>(Table2634[[#This Row],[M1 Money Stock, Billions of Dollars, Weekly, Seasonally Adjusted]]-B1692)/B1692</f>
        <v/>
      </c>
      <c r="D1693" s="35">
        <f>((1+Table2634[[#This Row],[Weekly change]])^52)-1</f>
        <v/>
      </c>
      <c r="E1693" s="25">
        <f>AVERAGE(B1690:B1693)</f>
        <v/>
      </c>
      <c r="F1693" s="33">
        <f>(Table2634[[#This Row],[4 weeks average]]-B1641)/B1641</f>
        <v/>
      </c>
    </row>
    <row r="1694">
      <c r="A1694" s="23" t="n">
        <v>39216</v>
      </c>
      <c r="B1694" s="25">
        <f>VLOOKUP(Table2634[[#This Row],[Date]],'DB Money Supply'!$A:$D,4)</f>
        <v/>
      </c>
      <c r="C1694" s="31">
        <f>(Table2634[[#This Row],[M1 Money Stock, Billions of Dollars, Weekly, Seasonally Adjusted]]-B1693)/B1693</f>
        <v/>
      </c>
      <c r="D1694" s="35">
        <f>((1+Table2634[[#This Row],[Weekly change]])^52)-1</f>
        <v/>
      </c>
      <c r="E1694" s="25">
        <f>AVERAGE(B1691:B1694)</f>
        <v/>
      </c>
      <c r="F1694" s="33">
        <f>(Table2634[[#This Row],[4 weeks average]]-B1642)/B1642</f>
        <v/>
      </c>
    </row>
    <row r="1695">
      <c r="A1695" s="23" t="n">
        <v>39223</v>
      </c>
      <c r="B1695" s="25">
        <f>VLOOKUP(Table2634[[#This Row],[Date]],'DB Money Supply'!$A:$D,4)</f>
        <v/>
      </c>
      <c r="C1695" s="31">
        <f>(Table2634[[#This Row],[M1 Money Stock, Billions of Dollars, Weekly, Seasonally Adjusted]]-B1694)/B1694</f>
        <v/>
      </c>
      <c r="D1695" s="35">
        <f>((1+Table2634[[#This Row],[Weekly change]])^52)-1</f>
        <v/>
      </c>
      <c r="E1695" s="25">
        <f>AVERAGE(B1692:B1695)</f>
        <v/>
      </c>
      <c r="F1695" s="33">
        <f>(Table2634[[#This Row],[4 weeks average]]-B1643)/B1643</f>
        <v/>
      </c>
    </row>
    <row r="1696">
      <c r="A1696" s="23" t="n">
        <v>39230</v>
      </c>
      <c r="B1696" s="25">
        <f>VLOOKUP(Table2634[[#This Row],[Date]],'DB Money Supply'!$A:$D,4)</f>
        <v/>
      </c>
      <c r="C1696" s="31">
        <f>(Table2634[[#This Row],[M1 Money Stock, Billions of Dollars, Weekly, Seasonally Adjusted]]-B1695)/B1695</f>
        <v/>
      </c>
      <c r="D1696" s="35">
        <f>((1+Table2634[[#This Row],[Weekly change]])^52)-1</f>
        <v/>
      </c>
      <c r="E1696" s="25">
        <f>AVERAGE(B1693:B1696)</f>
        <v/>
      </c>
      <c r="F1696" s="33">
        <f>(Table2634[[#This Row],[4 weeks average]]-B1644)/B1644</f>
        <v/>
      </c>
    </row>
    <row r="1697">
      <c r="A1697" s="23" t="n">
        <v>39237</v>
      </c>
      <c r="B1697" s="25">
        <f>VLOOKUP(Table2634[[#This Row],[Date]],'DB Money Supply'!$A:$D,4)</f>
        <v/>
      </c>
      <c r="C1697" s="31">
        <f>(Table2634[[#This Row],[M1 Money Stock, Billions of Dollars, Weekly, Seasonally Adjusted]]-B1696)/B1696</f>
        <v/>
      </c>
      <c r="D1697" s="35">
        <f>((1+Table2634[[#This Row],[Weekly change]])^52)-1</f>
        <v/>
      </c>
      <c r="E1697" s="25">
        <f>AVERAGE(B1694:B1697)</f>
        <v/>
      </c>
      <c r="F1697" s="33">
        <f>(Table2634[[#This Row],[4 weeks average]]-B1645)/B1645</f>
        <v/>
      </c>
    </row>
    <row r="1698">
      <c r="A1698" s="23" t="n">
        <v>39244</v>
      </c>
      <c r="B1698" s="25">
        <f>VLOOKUP(Table2634[[#This Row],[Date]],'DB Money Supply'!$A:$D,4)</f>
        <v/>
      </c>
      <c r="C1698" s="31">
        <f>(Table2634[[#This Row],[M1 Money Stock, Billions of Dollars, Weekly, Seasonally Adjusted]]-B1697)/B1697</f>
        <v/>
      </c>
      <c r="D1698" s="35">
        <f>((1+Table2634[[#This Row],[Weekly change]])^52)-1</f>
        <v/>
      </c>
      <c r="E1698" s="25">
        <f>AVERAGE(B1695:B1698)</f>
        <v/>
      </c>
      <c r="F1698" s="33">
        <f>(Table2634[[#This Row],[4 weeks average]]-B1646)/B1646</f>
        <v/>
      </c>
    </row>
    <row r="1699">
      <c r="A1699" s="23" t="n">
        <v>39251</v>
      </c>
      <c r="B1699" s="25">
        <f>VLOOKUP(Table2634[[#This Row],[Date]],'DB Money Supply'!$A:$D,4)</f>
        <v/>
      </c>
      <c r="C1699" s="31">
        <f>(Table2634[[#This Row],[M1 Money Stock, Billions of Dollars, Weekly, Seasonally Adjusted]]-B1698)/B1698</f>
        <v/>
      </c>
      <c r="D1699" s="35">
        <f>((1+Table2634[[#This Row],[Weekly change]])^52)-1</f>
        <v/>
      </c>
      <c r="E1699" s="25">
        <f>AVERAGE(B1696:B1699)</f>
        <v/>
      </c>
      <c r="F1699" s="33">
        <f>(Table2634[[#This Row],[4 weeks average]]-B1647)/B1647</f>
        <v/>
      </c>
    </row>
    <row r="1700">
      <c r="A1700" s="23" t="n">
        <v>39258</v>
      </c>
      <c r="B1700" s="25">
        <f>VLOOKUP(Table2634[[#This Row],[Date]],'DB Money Supply'!$A:$D,4)</f>
        <v/>
      </c>
      <c r="C1700" s="31">
        <f>(Table2634[[#This Row],[M1 Money Stock, Billions of Dollars, Weekly, Seasonally Adjusted]]-B1699)/B1699</f>
        <v/>
      </c>
      <c r="D1700" s="35">
        <f>((1+Table2634[[#This Row],[Weekly change]])^52)-1</f>
        <v/>
      </c>
      <c r="E1700" s="25">
        <f>AVERAGE(B1697:B1700)</f>
        <v/>
      </c>
      <c r="F1700" s="33">
        <f>(Table2634[[#This Row],[4 weeks average]]-B1648)/B1648</f>
        <v/>
      </c>
    </row>
    <row r="1701">
      <c r="A1701" s="23" t="n">
        <v>39265</v>
      </c>
      <c r="B1701" s="25">
        <f>VLOOKUP(Table2634[[#This Row],[Date]],'DB Money Supply'!$A:$D,4)</f>
        <v/>
      </c>
      <c r="C1701" s="31">
        <f>(Table2634[[#This Row],[M1 Money Stock, Billions of Dollars, Weekly, Seasonally Adjusted]]-B1700)/B1700</f>
        <v/>
      </c>
      <c r="D1701" s="35">
        <f>((1+Table2634[[#This Row],[Weekly change]])^52)-1</f>
        <v/>
      </c>
      <c r="E1701" s="25">
        <f>AVERAGE(B1698:B1701)</f>
        <v/>
      </c>
      <c r="F1701" s="33">
        <f>(Table2634[[#This Row],[4 weeks average]]-B1649)/B1649</f>
        <v/>
      </c>
    </row>
    <row r="1702">
      <c r="A1702" s="23" t="n">
        <v>39272</v>
      </c>
      <c r="B1702" s="25">
        <f>VLOOKUP(Table2634[[#This Row],[Date]],'DB Money Supply'!$A:$D,4)</f>
        <v/>
      </c>
      <c r="C1702" s="31">
        <f>(Table2634[[#This Row],[M1 Money Stock, Billions of Dollars, Weekly, Seasonally Adjusted]]-B1701)/B1701</f>
        <v/>
      </c>
      <c r="D1702" s="35">
        <f>((1+Table2634[[#This Row],[Weekly change]])^52)-1</f>
        <v/>
      </c>
      <c r="E1702" s="25">
        <f>AVERAGE(B1699:B1702)</f>
        <v/>
      </c>
      <c r="F1702" s="33">
        <f>(Table2634[[#This Row],[4 weeks average]]-B1650)/B1650</f>
        <v/>
      </c>
    </row>
    <row r="1703">
      <c r="A1703" s="23" t="n">
        <v>39279</v>
      </c>
      <c r="B1703" s="25">
        <f>VLOOKUP(Table2634[[#This Row],[Date]],'DB Money Supply'!$A:$D,4)</f>
        <v/>
      </c>
      <c r="C1703" s="31">
        <f>(Table2634[[#This Row],[M1 Money Stock, Billions of Dollars, Weekly, Seasonally Adjusted]]-B1702)/B1702</f>
        <v/>
      </c>
      <c r="D1703" s="35">
        <f>((1+Table2634[[#This Row],[Weekly change]])^52)-1</f>
        <v/>
      </c>
      <c r="E1703" s="25">
        <f>AVERAGE(B1700:B1703)</f>
        <v/>
      </c>
      <c r="F1703" s="33">
        <f>(Table2634[[#This Row],[4 weeks average]]-B1651)/B1651</f>
        <v/>
      </c>
    </row>
    <row r="1704">
      <c r="A1704" s="23" t="n">
        <v>39286</v>
      </c>
      <c r="B1704" s="25">
        <f>VLOOKUP(Table2634[[#This Row],[Date]],'DB Money Supply'!$A:$D,4)</f>
        <v/>
      </c>
      <c r="C1704" s="31">
        <f>(Table2634[[#This Row],[M1 Money Stock, Billions of Dollars, Weekly, Seasonally Adjusted]]-B1703)/B1703</f>
        <v/>
      </c>
      <c r="D1704" s="35">
        <f>((1+Table2634[[#This Row],[Weekly change]])^52)-1</f>
        <v/>
      </c>
      <c r="E1704" s="25">
        <f>AVERAGE(B1701:B1704)</f>
        <v/>
      </c>
      <c r="F1704" s="33">
        <f>(Table2634[[#This Row],[4 weeks average]]-B1652)/B1652</f>
        <v/>
      </c>
    </row>
    <row r="1705">
      <c r="A1705" s="23" t="n">
        <v>39293</v>
      </c>
      <c r="B1705" s="25">
        <f>VLOOKUP(Table2634[[#This Row],[Date]],'DB Money Supply'!$A:$D,4)</f>
        <v/>
      </c>
      <c r="C1705" s="31">
        <f>(Table2634[[#This Row],[M1 Money Stock, Billions of Dollars, Weekly, Seasonally Adjusted]]-B1704)/B1704</f>
        <v/>
      </c>
      <c r="D1705" s="35">
        <f>((1+Table2634[[#This Row],[Weekly change]])^52)-1</f>
        <v/>
      </c>
      <c r="E1705" s="25">
        <f>AVERAGE(B1702:B1705)</f>
        <v/>
      </c>
      <c r="F1705" s="33">
        <f>(Table2634[[#This Row],[4 weeks average]]-B1653)/B1653</f>
        <v/>
      </c>
    </row>
    <row r="1706">
      <c r="A1706" s="23" t="n">
        <v>39300</v>
      </c>
      <c r="B1706" s="25">
        <f>VLOOKUP(Table2634[[#This Row],[Date]],'DB Money Supply'!$A:$D,4)</f>
        <v/>
      </c>
      <c r="C1706" s="31">
        <f>(Table2634[[#This Row],[M1 Money Stock, Billions of Dollars, Weekly, Seasonally Adjusted]]-B1705)/B1705</f>
        <v/>
      </c>
      <c r="D1706" s="35">
        <f>((1+Table2634[[#This Row],[Weekly change]])^52)-1</f>
        <v/>
      </c>
      <c r="E1706" s="25">
        <f>AVERAGE(B1703:B1706)</f>
        <v/>
      </c>
      <c r="F1706" s="33">
        <f>(Table2634[[#This Row],[4 weeks average]]-B1654)/B1654</f>
        <v/>
      </c>
    </row>
    <row r="1707">
      <c r="A1707" s="23" t="n">
        <v>39307</v>
      </c>
      <c r="B1707" s="25">
        <f>VLOOKUP(Table2634[[#This Row],[Date]],'DB Money Supply'!$A:$D,4)</f>
        <v/>
      </c>
      <c r="C1707" s="31">
        <f>(Table2634[[#This Row],[M1 Money Stock, Billions of Dollars, Weekly, Seasonally Adjusted]]-B1706)/B1706</f>
        <v/>
      </c>
      <c r="D1707" s="35">
        <f>((1+Table2634[[#This Row],[Weekly change]])^52)-1</f>
        <v/>
      </c>
      <c r="E1707" s="25">
        <f>AVERAGE(B1704:B1707)</f>
        <v/>
      </c>
      <c r="F1707" s="33">
        <f>(Table2634[[#This Row],[4 weeks average]]-B1655)/B1655</f>
        <v/>
      </c>
    </row>
    <row r="1708">
      <c r="A1708" s="23" t="n">
        <v>39314</v>
      </c>
      <c r="B1708" s="25">
        <f>VLOOKUP(Table2634[[#This Row],[Date]],'DB Money Supply'!$A:$D,4)</f>
        <v/>
      </c>
      <c r="C1708" s="31">
        <f>(Table2634[[#This Row],[M1 Money Stock, Billions of Dollars, Weekly, Seasonally Adjusted]]-B1707)/B1707</f>
        <v/>
      </c>
      <c r="D1708" s="35">
        <f>((1+Table2634[[#This Row],[Weekly change]])^52)-1</f>
        <v/>
      </c>
      <c r="E1708" s="25">
        <f>AVERAGE(B1705:B1708)</f>
        <v/>
      </c>
      <c r="F1708" s="33">
        <f>(Table2634[[#This Row],[4 weeks average]]-B1656)/B1656</f>
        <v/>
      </c>
    </row>
    <row r="1709">
      <c r="A1709" s="23" t="n">
        <v>39321</v>
      </c>
      <c r="B1709" s="25">
        <f>VLOOKUP(Table2634[[#This Row],[Date]],'DB Money Supply'!$A:$D,4)</f>
        <v/>
      </c>
      <c r="C1709" s="31">
        <f>(Table2634[[#This Row],[M1 Money Stock, Billions of Dollars, Weekly, Seasonally Adjusted]]-B1708)/B1708</f>
        <v/>
      </c>
      <c r="D1709" s="35">
        <f>((1+Table2634[[#This Row],[Weekly change]])^52)-1</f>
        <v/>
      </c>
      <c r="E1709" s="25">
        <f>AVERAGE(B1706:B1709)</f>
        <v/>
      </c>
      <c r="F1709" s="33">
        <f>(Table2634[[#This Row],[4 weeks average]]-B1657)/B1657</f>
        <v/>
      </c>
    </row>
    <row r="1710">
      <c r="A1710" s="23" t="n">
        <v>39328</v>
      </c>
      <c r="B1710" s="25">
        <f>VLOOKUP(Table2634[[#This Row],[Date]],'DB Money Supply'!$A:$D,4)</f>
        <v/>
      </c>
      <c r="C1710" s="31">
        <f>(Table2634[[#This Row],[M1 Money Stock, Billions of Dollars, Weekly, Seasonally Adjusted]]-B1709)/B1709</f>
        <v/>
      </c>
      <c r="D1710" s="35">
        <f>((1+Table2634[[#This Row],[Weekly change]])^52)-1</f>
        <v/>
      </c>
      <c r="E1710" s="25">
        <f>AVERAGE(B1707:B1710)</f>
        <v/>
      </c>
      <c r="F1710" s="33">
        <f>(Table2634[[#This Row],[4 weeks average]]-B1658)/B1658</f>
        <v/>
      </c>
    </row>
    <row r="1711">
      <c r="A1711" s="23" t="n">
        <v>39335</v>
      </c>
      <c r="B1711" s="25">
        <f>VLOOKUP(Table2634[[#This Row],[Date]],'DB Money Supply'!$A:$D,4)</f>
        <v/>
      </c>
      <c r="C1711" s="31">
        <f>(Table2634[[#This Row],[M1 Money Stock, Billions of Dollars, Weekly, Seasonally Adjusted]]-B1710)/B1710</f>
        <v/>
      </c>
      <c r="D1711" s="35">
        <f>((1+Table2634[[#This Row],[Weekly change]])^52)-1</f>
        <v/>
      </c>
      <c r="E1711" s="25">
        <f>AVERAGE(B1708:B1711)</f>
        <v/>
      </c>
      <c r="F1711" s="33">
        <f>(Table2634[[#This Row],[4 weeks average]]-B1659)/B1659</f>
        <v/>
      </c>
    </row>
    <row r="1712">
      <c r="A1712" s="23" t="n">
        <v>39342</v>
      </c>
      <c r="B1712" s="25">
        <f>VLOOKUP(Table2634[[#This Row],[Date]],'DB Money Supply'!$A:$D,4)</f>
        <v/>
      </c>
      <c r="C1712" s="31">
        <f>(Table2634[[#This Row],[M1 Money Stock, Billions of Dollars, Weekly, Seasonally Adjusted]]-B1711)/B1711</f>
        <v/>
      </c>
      <c r="D1712" s="35">
        <f>((1+Table2634[[#This Row],[Weekly change]])^52)-1</f>
        <v/>
      </c>
      <c r="E1712" s="25">
        <f>AVERAGE(B1709:B1712)</f>
        <v/>
      </c>
      <c r="F1712" s="33">
        <f>(Table2634[[#This Row],[4 weeks average]]-B1660)/B1660</f>
        <v/>
      </c>
    </row>
    <row r="1713">
      <c r="A1713" s="23" t="n">
        <v>39349</v>
      </c>
      <c r="B1713" s="25">
        <f>VLOOKUP(Table2634[[#This Row],[Date]],'DB Money Supply'!$A:$D,4)</f>
        <v/>
      </c>
      <c r="C1713" s="31">
        <f>(Table2634[[#This Row],[M1 Money Stock, Billions of Dollars, Weekly, Seasonally Adjusted]]-B1712)/B1712</f>
        <v/>
      </c>
      <c r="D1713" s="35">
        <f>((1+Table2634[[#This Row],[Weekly change]])^52)-1</f>
        <v/>
      </c>
      <c r="E1713" s="25">
        <f>AVERAGE(B1710:B1713)</f>
        <v/>
      </c>
      <c r="F1713" s="33">
        <f>(Table2634[[#This Row],[4 weeks average]]-B1661)/B1661</f>
        <v/>
      </c>
    </row>
    <row r="1714">
      <c r="A1714" s="23" t="n">
        <v>39356</v>
      </c>
      <c r="B1714" s="25">
        <f>VLOOKUP(Table2634[[#This Row],[Date]],'DB Money Supply'!$A:$D,4)</f>
        <v/>
      </c>
      <c r="C1714" s="31">
        <f>(Table2634[[#This Row],[M1 Money Stock, Billions of Dollars, Weekly, Seasonally Adjusted]]-B1713)/B1713</f>
        <v/>
      </c>
      <c r="D1714" s="35">
        <f>((1+Table2634[[#This Row],[Weekly change]])^52)-1</f>
        <v/>
      </c>
      <c r="E1714" s="25">
        <f>AVERAGE(B1711:B1714)</f>
        <v/>
      </c>
      <c r="F1714" s="33">
        <f>(Table2634[[#This Row],[4 weeks average]]-B1662)/B1662</f>
        <v/>
      </c>
    </row>
    <row r="1715">
      <c r="A1715" s="23" t="n">
        <v>39363</v>
      </c>
      <c r="B1715" s="25">
        <f>VLOOKUP(Table2634[[#This Row],[Date]],'DB Money Supply'!$A:$D,4)</f>
        <v/>
      </c>
      <c r="C1715" s="31">
        <f>(Table2634[[#This Row],[M1 Money Stock, Billions of Dollars, Weekly, Seasonally Adjusted]]-B1714)/B1714</f>
        <v/>
      </c>
      <c r="D1715" s="35">
        <f>((1+Table2634[[#This Row],[Weekly change]])^52)-1</f>
        <v/>
      </c>
      <c r="E1715" s="25">
        <f>AVERAGE(B1712:B1715)</f>
        <v/>
      </c>
      <c r="F1715" s="33">
        <f>(Table2634[[#This Row],[4 weeks average]]-B1663)/B1663</f>
        <v/>
      </c>
    </row>
    <row r="1716">
      <c r="A1716" s="23" t="n">
        <v>39370</v>
      </c>
      <c r="B1716" s="25">
        <f>VLOOKUP(Table2634[[#This Row],[Date]],'DB Money Supply'!$A:$D,4)</f>
        <v/>
      </c>
      <c r="C1716" s="31">
        <f>(Table2634[[#This Row],[M1 Money Stock, Billions of Dollars, Weekly, Seasonally Adjusted]]-B1715)/B1715</f>
        <v/>
      </c>
      <c r="D1716" s="35">
        <f>((1+Table2634[[#This Row],[Weekly change]])^52)-1</f>
        <v/>
      </c>
      <c r="E1716" s="25">
        <f>AVERAGE(B1713:B1716)</f>
        <v/>
      </c>
      <c r="F1716" s="33">
        <f>(Table2634[[#This Row],[4 weeks average]]-B1664)/B1664</f>
        <v/>
      </c>
    </row>
    <row r="1717">
      <c r="A1717" s="23" t="n">
        <v>39377</v>
      </c>
      <c r="B1717" s="25">
        <f>VLOOKUP(Table2634[[#This Row],[Date]],'DB Money Supply'!$A:$D,4)</f>
        <v/>
      </c>
      <c r="C1717" s="31">
        <f>(Table2634[[#This Row],[M1 Money Stock, Billions of Dollars, Weekly, Seasonally Adjusted]]-B1716)/B1716</f>
        <v/>
      </c>
      <c r="D1717" s="35">
        <f>((1+Table2634[[#This Row],[Weekly change]])^52)-1</f>
        <v/>
      </c>
      <c r="E1717" s="25">
        <f>AVERAGE(B1714:B1717)</f>
        <v/>
      </c>
      <c r="F1717" s="33">
        <f>(Table2634[[#This Row],[4 weeks average]]-B1665)/B1665</f>
        <v/>
      </c>
    </row>
    <row r="1718">
      <c r="A1718" s="23" t="n">
        <v>39384</v>
      </c>
      <c r="B1718" s="25">
        <f>VLOOKUP(Table2634[[#This Row],[Date]],'DB Money Supply'!$A:$D,4)</f>
        <v/>
      </c>
      <c r="C1718" s="31">
        <f>(Table2634[[#This Row],[M1 Money Stock, Billions of Dollars, Weekly, Seasonally Adjusted]]-B1717)/B1717</f>
        <v/>
      </c>
      <c r="D1718" s="35">
        <f>((1+Table2634[[#This Row],[Weekly change]])^52)-1</f>
        <v/>
      </c>
      <c r="E1718" s="25">
        <f>AVERAGE(B1715:B1718)</f>
        <v/>
      </c>
      <c r="F1718" s="33">
        <f>(Table2634[[#This Row],[4 weeks average]]-B1666)/B1666</f>
        <v/>
      </c>
    </row>
    <row r="1719">
      <c r="A1719" s="23" t="n">
        <v>39391</v>
      </c>
      <c r="B1719" s="25">
        <f>VLOOKUP(Table2634[[#This Row],[Date]],'DB Money Supply'!$A:$D,4)</f>
        <v/>
      </c>
      <c r="C1719" s="31">
        <f>(Table2634[[#This Row],[M1 Money Stock, Billions of Dollars, Weekly, Seasonally Adjusted]]-B1718)/B1718</f>
        <v/>
      </c>
      <c r="D1719" s="35">
        <f>((1+Table2634[[#This Row],[Weekly change]])^52)-1</f>
        <v/>
      </c>
      <c r="E1719" s="25">
        <f>AVERAGE(B1716:B1719)</f>
        <v/>
      </c>
      <c r="F1719" s="33">
        <f>(Table2634[[#This Row],[4 weeks average]]-B1667)/B1667</f>
        <v/>
      </c>
    </row>
    <row r="1720">
      <c r="A1720" s="23" t="n">
        <v>39398</v>
      </c>
      <c r="B1720" s="25">
        <f>VLOOKUP(Table2634[[#This Row],[Date]],'DB Money Supply'!$A:$D,4)</f>
        <v/>
      </c>
      <c r="C1720" s="31">
        <f>(Table2634[[#This Row],[M1 Money Stock, Billions of Dollars, Weekly, Seasonally Adjusted]]-B1719)/B1719</f>
        <v/>
      </c>
      <c r="D1720" s="35">
        <f>((1+Table2634[[#This Row],[Weekly change]])^52)-1</f>
        <v/>
      </c>
      <c r="E1720" s="25">
        <f>AVERAGE(B1717:B1720)</f>
        <v/>
      </c>
      <c r="F1720" s="33">
        <f>(Table2634[[#This Row],[4 weeks average]]-B1668)/B1668</f>
        <v/>
      </c>
    </row>
    <row r="1721">
      <c r="A1721" s="23" t="n">
        <v>39405</v>
      </c>
      <c r="B1721" s="25">
        <f>VLOOKUP(Table2634[[#This Row],[Date]],'DB Money Supply'!$A:$D,4)</f>
        <v/>
      </c>
      <c r="C1721" s="31">
        <f>(Table2634[[#This Row],[M1 Money Stock, Billions of Dollars, Weekly, Seasonally Adjusted]]-B1720)/B1720</f>
        <v/>
      </c>
      <c r="D1721" s="35">
        <f>((1+Table2634[[#This Row],[Weekly change]])^52)-1</f>
        <v/>
      </c>
      <c r="E1721" s="25">
        <f>AVERAGE(B1718:B1721)</f>
        <v/>
      </c>
      <c r="F1721" s="33">
        <f>(Table2634[[#This Row],[4 weeks average]]-B1669)/B1669</f>
        <v/>
      </c>
    </row>
    <row r="1722">
      <c r="A1722" s="23" t="n">
        <v>39412</v>
      </c>
      <c r="B1722" s="25">
        <f>VLOOKUP(Table2634[[#This Row],[Date]],'DB Money Supply'!$A:$D,4)</f>
        <v/>
      </c>
      <c r="C1722" s="31">
        <f>(Table2634[[#This Row],[M1 Money Stock, Billions of Dollars, Weekly, Seasonally Adjusted]]-B1721)/B1721</f>
        <v/>
      </c>
      <c r="D1722" s="35">
        <f>((1+Table2634[[#This Row],[Weekly change]])^52)-1</f>
        <v/>
      </c>
      <c r="E1722" s="25">
        <f>AVERAGE(B1719:B1722)</f>
        <v/>
      </c>
      <c r="F1722" s="33">
        <f>(Table2634[[#This Row],[4 weeks average]]-B1670)/B1670</f>
        <v/>
      </c>
    </row>
    <row r="1723">
      <c r="A1723" s="23" t="n">
        <v>39419</v>
      </c>
      <c r="B1723" s="25">
        <f>VLOOKUP(Table2634[[#This Row],[Date]],'DB Money Supply'!$A:$D,4)</f>
        <v/>
      </c>
      <c r="C1723" s="31">
        <f>(Table2634[[#This Row],[M1 Money Stock, Billions of Dollars, Weekly, Seasonally Adjusted]]-B1722)/B1722</f>
        <v/>
      </c>
      <c r="D1723" s="35">
        <f>((1+Table2634[[#This Row],[Weekly change]])^52)-1</f>
        <v/>
      </c>
      <c r="E1723" s="25">
        <f>AVERAGE(B1720:B1723)</f>
        <v/>
      </c>
      <c r="F1723" s="33">
        <f>(Table2634[[#This Row],[4 weeks average]]-B1671)/B1671</f>
        <v/>
      </c>
    </row>
    <row r="1724">
      <c r="A1724" s="23" t="n">
        <v>39426</v>
      </c>
      <c r="B1724" s="25">
        <f>VLOOKUP(Table2634[[#This Row],[Date]],'DB Money Supply'!$A:$D,4)</f>
        <v/>
      </c>
      <c r="C1724" s="31">
        <f>(Table2634[[#This Row],[M1 Money Stock, Billions of Dollars, Weekly, Seasonally Adjusted]]-B1723)/B1723</f>
        <v/>
      </c>
      <c r="D1724" s="35">
        <f>((1+Table2634[[#This Row],[Weekly change]])^52)-1</f>
        <v/>
      </c>
      <c r="E1724" s="25">
        <f>AVERAGE(B1721:B1724)</f>
        <v/>
      </c>
      <c r="F1724" s="33">
        <f>(Table2634[[#This Row],[4 weeks average]]-B1672)/B1672</f>
        <v/>
      </c>
    </row>
    <row r="1725">
      <c r="A1725" s="23" t="n">
        <v>39433</v>
      </c>
      <c r="B1725" s="25">
        <f>VLOOKUP(Table2634[[#This Row],[Date]],'DB Money Supply'!$A:$D,4)</f>
        <v/>
      </c>
      <c r="C1725" s="31">
        <f>(Table2634[[#This Row],[M1 Money Stock, Billions of Dollars, Weekly, Seasonally Adjusted]]-B1724)/B1724</f>
        <v/>
      </c>
      <c r="D1725" s="35">
        <f>((1+Table2634[[#This Row],[Weekly change]])^52)-1</f>
        <v/>
      </c>
      <c r="E1725" s="25">
        <f>AVERAGE(B1722:B1725)</f>
        <v/>
      </c>
      <c r="F1725" s="33">
        <f>(Table2634[[#This Row],[4 weeks average]]-B1673)/B1673</f>
        <v/>
      </c>
    </row>
    <row r="1726">
      <c r="A1726" s="23" t="n">
        <v>39440</v>
      </c>
      <c r="B1726" s="25">
        <f>VLOOKUP(Table2634[[#This Row],[Date]],'DB Money Supply'!$A:$D,4)</f>
        <v/>
      </c>
      <c r="C1726" s="31">
        <f>(Table2634[[#This Row],[M1 Money Stock, Billions of Dollars, Weekly, Seasonally Adjusted]]-B1725)/B1725</f>
        <v/>
      </c>
      <c r="D1726" s="35">
        <f>((1+Table2634[[#This Row],[Weekly change]])^52)-1</f>
        <v/>
      </c>
      <c r="E1726" s="25">
        <f>AVERAGE(B1723:B1726)</f>
        <v/>
      </c>
      <c r="F1726" s="33">
        <f>(Table2634[[#This Row],[4 weeks average]]-B1674)/B1674</f>
        <v/>
      </c>
    </row>
    <row r="1727">
      <c r="A1727" s="23" t="n">
        <v>39447</v>
      </c>
      <c r="B1727" s="25">
        <f>VLOOKUP(Table2634[[#This Row],[Date]],'DB Money Supply'!$A:$D,4)</f>
        <v/>
      </c>
      <c r="C1727" s="31">
        <f>(Table2634[[#This Row],[M1 Money Stock, Billions of Dollars, Weekly, Seasonally Adjusted]]-B1726)/B1726</f>
        <v/>
      </c>
      <c r="D1727" s="35">
        <f>((1+Table2634[[#This Row],[Weekly change]])^52)-1</f>
        <v/>
      </c>
      <c r="E1727" s="25">
        <f>AVERAGE(B1724:B1727)</f>
        <v/>
      </c>
      <c r="F1727" s="33">
        <f>(Table2634[[#This Row],[4 weeks average]]-B1675)/B1675</f>
        <v/>
      </c>
    </row>
    <row r="1728">
      <c r="A1728" s="23" t="n">
        <v>39454</v>
      </c>
      <c r="B1728" s="25">
        <f>VLOOKUP(Table2634[[#This Row],[Date]],'DB Money Supply'!$A:$D,4)</f>
        <v/>
      </c>
      <c r="C1728" s="31">
        <f>(Table2634[[#This Row],[M1 Money Stock, Billions of Dollars, Weekly, Seasonally Adjusted]]-B1727)/B1727</f>
        <v/>
      </c>
      <c r="D1728" s="35">
        <f>((1+Table2634[[#This Row],[Weekly change]])^52)-1</f>
        <v/>
      </c>
      <c r="E1728" s="25">
        <f>AVERAGE(B1725:B1728)</f>
        <v/>
      </c>
      <c r="F1728" s="33">
        <f>(Table2634[[#This Row],[4 weeks average]]-B1676)/B1676</f>
        <v/>
      </c>
    </row>
    <row r="1729">
      <c r="A1729" s="23" t="n">
        <v>39461</v>
      </c>
      <c r="B1729" s="25">
        <f>VLOOKUP(Table2634[[#This Row],[Date]],'DB Money Supply'!$A:$D,4)</f>
        <v/>
      </c>
      <c r="C1729" s="31">
        <f>(Table2634[[#This Row],[M1 Money Stock, Billions of Dollars, Weekly, Seasonally Adjusted]]-B1728)/B1728</f>
        <v/>
      </c>
      <c r="D1729" s="35">
        <f>((1+Table2634[[#This Row],[Weekly change]])^52)-1</f>
        <v/>
      </c>
      <c r="E1729" s="25">
        <f>AVERAGE(B1726:B1729)</f>
        <v/>
      </c>
      <c r="F1729" s="33">
        <f>(Table2634[[#This Row],[4 weeks average]]-B1677)/B1677</f>
        <v/>
      </c>
    </row>
    <row r="1730">
      <c r="A1730" s="23" t="n">
        <v>39468</v>
      </c>
      <c r="B1730" s="25">
        <f>VLOOKUP(Table2634[[#This Row],[Date]],'DB Money Supply'!$A:$D,4)</f>
        <v/>
      </c>
      <c r="C1730" s="31">
        <f>(Table2634[[#This Row],[M1 Money Stock, Billions of Dollars, Weekly, Seasonally Adjusted]]-B1729)/B1729</f>
        <v/>
      </c>
      <c r="D1730" s="35">
        <f>((1+Table2634[[#This Row],[Weekly change]])^52)-1</f>
        <v/>
      </c>
      <c r="E1730" s="25">
        <f>AVERAGE(B1727:B1730)</f>
        <v/>
      </c>
      <c r="F1730" s="33">
        <f>(Table2634[[#This Row],[4 weeks average]]-B1678)/B1678</f>
        <v/>
      </c>
    </row>
    <row r="1731">
      <c r="A1731" s="23" t="n">
        <v>39475</v>
      </c>
      <c r="B1731" s="25">
        <f>VLOOKUP(Table2634[[#This Row],[Date]],'DB Money Supply'!$A:$D,4)</f>
        <v/>
      </c>
      <c r="C1731" s="31">
        <f>(Table2634[[#This Row],[M1 Money Stock, Billions of Dollars, Weekly, Seasonally Adjusted]]-B1730)/B1730</f>
        <v/>
      </c>
      <c r="D1731" s="35">
        <f>((1+Table2634[[#This Row],[Weekly change]])^52)-1</f>
        <v/>
      </c>
      <c r="E1731" s="25">
        <f>AVERAGE(B1728:B1731)</f>
        <v/>
      </c>
      <c r="F1731" s="33">
        <f>(Table2634[[#This Row],[4 weeks average]]-B1679)/B1679</f>
        <v/>
      </c>
    </row>
    <row r="1732">
      <c r="A1732" s="23" t="n">
        <v>39482</v>
      </c>
      <c r="B1732" s="25">
        <f>VLOOKUP(Table2634[[#This Row],[Date]],'DB Money Supply'!$A:$D,4)</f>
        <v/>
      </c>
      <c r="C1732" s="31">
        <f>(Table2634[[#This Row],[M1 Money Stock, Billions of Dollars, Weekly, Seasonally Adjusted]]-B1731)/B1731</f>
        <v/>
      </c>
      <c r="D1732" s="35">
        <f>((1+Table2634[[#This Row],[Weekly change]])^52)-1</f>
        <v/>
      </c>
      <c r="E1732" s="25">
        <f>AVERAGE(B1729:B1732)</f>
        <v/>
      </c>
      <c r="F1732" s="33">
        <f>(Table2634[[#This Row],[4 weeks average]]-B1680)/B1680</f>
        <v/>
      </c>
    </row>
    <row r="1733">
      <c r="A1733" s="23" t="n">
        <v>39489</v>
      </c>
      <c r="B1733" s="25">
        <f>VLOOKUP(Table2634[[#This Row],[Date]],'DB Money Supply'!$A:$D,4)</f>
        <v/>
      </c>
      <c r="C1733" s="31">
        <f>(Table2634[[#This Row],[M1 Money Stock, Billions of Dollars, Weekly, Seasonally Adjusted]]-B1732)/B1732</f>
        <v/>
      </c>
      <c r="D1733" s="35">
        <f>((1+Table2634[[#This Row],[Weekly change]])^52)-1</f>
        <v/>
      </c>
      <c r="E1733" s="25">
        <f>AVERAGE(B1730:B1733)</f>
        <v/>
      </c>
      <c r="F1733" s="33">
        <f>(Table2634[[#This Row],[4 weeks average]]-B1681)/B1681</f>
        <v/>
      </c>
    </row>
    <row r="1734">
      <c r="A1734" s="23" t="n">
        <v>39496</v>
      </c>
      <c r="B1734" s="25">
        <f>VLOOKUP(Table2634[[#This Row],[Date]],'DB Money Supply'!$A:$D,4)</f>
        <v/>
      </c>
      <c r="C1734" s="31">
        <f>(Table2634[[#This Row],[M1 Money Stock, Billions of Dollars, Weekly, Seasonally Adjusted]]-B1733)/B1733</f>
        <v/>
      </c>
      <c r="D1734" s="35">
        <f>((1+Table2634[[#This Row],[Weekly change]])^52)-1</f>
        <v/>
      </c>
      <c r="E1734" s="25">
        <f>AVERAGE(B1731:B1734)</f>
        <v/>
      </c>
      <c r="F1734" s="33">
        <f>(Table2634[[#This Row],[4 weeks average]]-B1682)/B1682</f>
        <v/>
      </c>
    </row>
    <row r="1735">
      <c r="A1735" s="23" t="n">
        <v>39503</v>
      </c>
      <c r="B1735" s="25">
        <f>VLOOKUP(Table2634[[#This Row],[Date]],'DB Money Supply'!$A:$D,4)</f>
        <v/>
      </c>
      <c r="C1735" s="31">
        <f>(Table2634[[#This Row],[M1 Money Stock, Billions of Dollars, Weekly, Seasonally Adjusted]]-B1734)/B1734</f>
        <v/>
      </c>
      <c r="D1735" s="35">
        <f>((1+Table2634[[#This Row],[Weekly change]])^52)-1</f>
        <v/>
      </c>
      <c r="E1735" s="25">
        <f>AVERAGE(B1732:B1735)</f>
        <v/>
      </c>
      <c r="F1735" s="33">
        <f>(Table2634[[#This Row],[4 weeks average]]-B1683)/B1683</f>
        <v/>
      </c>
    </row>
    <row r="1736">
      <c r="A1736" s="23" t="n">
        <v>39510</v>
      </c>
      <c r="B1736" s="25">
        <f>VLOOKUP(Table2634[[#This Row],[Date]],'DB Money Supply'!$A:$D,4)</f>
        <v/>
      </c>
      <c r="C1736" s="31">
        <f>(Table2634[[#This Row],[M1 Money Stock, Billions of Dollars, Weekly, Seasonally Adjusted]]-B1735)/B1735</f>
        <v/>
      </c>
      <c r="D1736" s="35">
        <f>((1+Table2634[[#This Row],[Weekly change]])^52)-1</f>
        <v/>
      </c>
      <c r="E1736" s="25">
        <f>AVERAGE(B1733:B1736)</f>
        <v/>
      </c>
      <c r="F1736" s="33">
        <f>(Table2634[[#This Row],[4 weeks average]]-B1684)/B1684</f>
        <v/>
      </c>
    </row>
    <row r="1737">
      <c r="A1737" s="23" t="n">
        <v>39517</v>
      </c>
      <c r="B1737" s="25">
        <f>VLOOKUP(Table2634[[#This Row],[Date]],'DB Money Supply'!$A:$D,4)</f>
        <v/>
      </c>
      <c r="C1737" s="31">
        <f>(Table2634[[#This Row],[M1 Money Stock, Billions of Dollars, Weekly, Seasonally Adjusted]]-B1736)/B1736</f>
        <v/>
      </c>
      <c r="D1737" s="35">
        <f>((1+Table2634[[#This Row],[Weekly change]])^52)-1</f>
        <v/>
      </c>
      <c r="E1737" s="25">
        <f>AVERAGE(B1734:B1737)</f>
        <v/>
      </c>
      <c r="F1737" s="33">
        <f>(Table2634[[#This Row],[4 weeks average]]-B1685)/B1685</f>
        <v/>
      </c>
    </row>
    <row r="1738">
      <c r="A1738" s="23" t="n">
        <v>39524</v>
      </c>
      <c r="B1738" s="25">
        <f>VLOOKUP(Table2634[[#This Row],[Date]],'DB Money Supply'!$A:$D,4)</f>
        <v/>
      </c>
      <c r="C1738" s="31">
        <f>(Table2634[[#This Row],[M1 Money Stock, Billions of Dollars, Weekly, Seasonally Adjusted]]-B1737)/B1737</f>
        <v/>
      </c>
      <c r="D1738" s="35">
        <f>((1+Table2634[[#This Row],[Weekly change]])^52)-1</f>
        <v/>
      </c>
      <c r="E1738" s="25">
        <f>AVERAGE(B1735:B1738)</f>
        <v/>
      </c>
      <c r="F1738" s="33">
        <f>(Table2634[[#This Row],[4 weeks average]]-B1686)/B1686</f>
        <v/>
      </c>
    </row>
    <row r="1739">
      <c r="A1739" s="23" t="n">
        <v>39531</v>
      </c>
      <c r="B1739" s="25">
        <f>VLOOKUP(Table2634[[#This Row],[Date]],'DB Money Supply'!$A:$D,4)</f>
        <v/>
      </c>
      <c r="C1739" s="31">
        <f>(Table2634[[#This Row],[M1 Money Stock, Billions of Dollars, Weekly, Seasonally Adjusted]]-B1738)/B1738</f>
        <v/>
      </c>
      <c r="D1739" s="35">
        <f>((1+Table2634[[#This Row],[Weekly change]])^52)-1</f>
        <v/>
      </c>
      <c r="E1739" s="25">
        <f>AVERAGE(B1736:B1739)</f>
        <v/>
      </c>
      <c r="F1739" s="33">
        <f>(Table2634[[#This Row],[4 weeks average]]-B1687)/B1687</f>
        <v/>
      </c>
    </row>
    <row r="1740">
      <c r="A1740" s="23" t="n">
        <v>39538</v>
      </c>
      <c r="B1740" s="25">
        <f>VLOOKUP(Table2634[[#This Row],[Date]],'DB Money Supply'!$A:$D,4)</f>
        <v/>
      </c>
      <c r="C1740" s="31">
        <f>(Table2634[[#This Row],[M1 Money Stock, Billions of Dollars, Weekly, Seasonally Adjusted]]-B1739)/B1739</f>
        <v/>
      </c>
      <c r="D1740" s="35">
        <f>((1+Table2634[[#This Row],[Weekly change]])^52)-1</f>
        <v/>
      </c>
      <c r="E1740" s="25">
        <f>AVERAGE(B1737:B1740)</f>
        <v/>
      </c>
      <c r="F1740" s="33">
        <f>(Table2634[[#This Row],[4 weeks average]]-B1688)/B1688</f>
        <v/>
      </c>
    </row>
    <row r="1741">
      <c r="A1741" s="23" t="n">
        <v>39545</v>
      </c>
      <c r="B1741" s="25">
        <f>VLOOKUP(Table2634[[#This Row],[Date]],'DB Money Supply'!$A:$D,4)</f>
        <v/>
      </c>
      <c r="C1741" s="31">
        <f>(Table2634[[#This Row],[M1 Money Stock, Billions of Dollars, Weekly, Seasonally Adjusted]]-B1740)/B1740</f>
        <v/>
      </c>
      <c r="D1741" s="35">
        <f>((1+Table2634[[#This Row],[Weekly change]])^52)-1</f>
        <v/>
      </c>
      <c r="E1741" s="25">
        <f>AVERAGE(B1738:B1741)</f>
        <v/>
      </c>
      <c r="F1741" s="33">
        <f>(Table2634[[#This Row],[4 weeks average]]-B1689)/B1689</f>
        <v/>
      </c>
    </row>
    <row r="1742">
      <c r="A1742" s="23" t="n">
        <v>39552</v>
      </c>
      <c r="B1742" s="25">
        <f>VLOOKUP(Table2634[[#This Row],[Date]],'DB Money Supply'!$A:$D,4)</f>
        <v/>
      </c>
      <c r="C1742" s="31">
        <f>(Table2634[[#This Row],[M1 Money Stock, Billions of Dollars, Weekly, Seasonally Adjusted]]-B1741)/B1741</f>
        <v/>
      </c>
      <c r="D1742" s="35">
        <f>((1+Table2634[[#This Row],[Weekly change]])^52)-1</f>
        <v/>
      </c>
      <c r="E1742" s="25">
        <f>AVERAGE(B1739:B1742)</f>
        <v/>
      </c>
      <c r="F1742" s="33">
        <f>(Table2634[[#This Row],[4 weeks average]]-B1690)/B1690</f>
        <v/>
      </c>
    </row>
    <row r="1743">
      <c r="A1743" s="23" t="n">
        <v>39559</v>
      </c>
      <c r="B1743" s="25">
        <f>VLOOKUP(Table2634[[#This Row],[Date]],'DB Money Supply'!$A:$D,4)</f>
        <v/>
      </c>
      <c r="C1743" s="31">
        <f>(Table2634[[#This Row],[M1 Money Stock, Billions of Dollars, Weekly, Seasonally Adjusted]]-B1742)/B1742</f>
        <v/>
      </c>
      <c r="D1743" s="35">
        <f>((1+Table2634[[#This Row],[Weekly change]])^52)-1</f>
        <v/>
      </c>
      <c r="E1743" s="25">
        <f>AVERAGE(B1740:B1743)</f>
        <v/>
      </c>
      <c r="F1743" s="33">
        <f>(Table2634[[#This Row],[4 weeks average]]-B1691)/B1691</f>
        <v/>
      </c>
    </row>
    <row r="1744">
      <c r="A1744" s="23" t="n">
        <v>39566</v>
      </c>
      <c r="B1744" s="25">
        <f>VLOOKUP(Table2634[[#This Row],[Date]],'DB Money Supply'!$A:$D,4)</f>
        <v/>
      </c>
      <c r="C1744" s="31">
        <f>(Table2634[[#This Row],[M1 Money Stock, Billions of Dollars, Weekly, Seasonally Adjusted]]-B1743)/B1743</f>
        <v/>
      </c>
      <c r="D1744" s="35">
        <f>((1+Table2634[[#This Row],[Weekly change]])^52)-1</f>
        <v/>
      </c>
      <c r="E1744" s="25">
        <f>AVERAGE(B1741:B1744)</f>
        <v/>
      </c>
      <c r="F1744" s="33">
        <f>(Table2634[[#This Row],[4 weeks average]]-B1692)/B1692</f>
        <v/>
      </c>
    </row>
    <row r="1745">
      <c r="A1745" s="23" t="n">
        <v>39573</v>
      </c>
      <c r="B1745" s="25">
        <f>VLOOKUP(Table2634[[#This Row],[Date]],'DB Money Supply'!$A:$D,4)</f>
        <v/>
      </c>
      <c r="C1745" s="31">
        <f>(Table2634[[#This Row],[M1 Money Stock, Billions of Dollars, Weekly, Seasonally Adjusted]]-B1744)/B1744</f>
        <v/>
      </c>
      <c r="D1745" s="35">
        <f>((1+Table2634[[#This Row],[Weekly change]])^52)-1</f>
        <v/>
      </c>
      <c r="E1745" s="25">
        <f>AVERAGE(B1742:B1745)</f>
        <v/>
      </c>
      <c r="F1745" s="33">
        <f>(Table2634[[#This Row],[4 weeks average]]-B1693)/B1693</f>
        <v/>
      </c>
    </row>
    <row r="1746">
      <c r="A1746" s="23" t="n">
        <v>39580</v>
      </c>
      <c r="B1746" s="25">
        <f>VLOOKUP(Table2634[[#This Row],[Date]],'DB Money Supply'!$A:$D,4)</f>
        <v/>
      </c>
      <c r="C1746" s="31">
        <f>(Table2634[[#This Row],[M1 Money Stock, Billions of Dollars, Weekly, Seasonally Adjusted]]-B1745)/B1745</f>
        <v/>
      </c>
      <c r="D1746" s="35">
        <f>((1+Table2634[[#This Row],[Weekly change]])^52)-1</f>
        <v/>
      </c>
      <c r="E1746" s="25">
        <f>AVERAGE(B1743:B1746)</f>
        <v/>
      </c>
      <c r="F1746" s="33">
        <f>(Table2634[[#This Row],[4 weeks average]]-B1694)/B1694</f>
        <v/>
      </c>
    </row>
    <row r="1747">
      <c r="A1747" s="23" t="n">
        <v>39587</v>
      </c>
      <c r="B1747" s="25">
        <f>VLOOKUP(Table2634[[#This Row],[Date]],'DB Money Supply'!$A:$D,4)</f>
        <v/>
      </c>
      <c r="C1747" s="31">
        <f>(Table2634[[#This Row],[M1 Money Stock, Billions of Dollars, Weekly, Seasonally Adjusted]]-B1746)/B1746</f>
        <v/>
      </c>
      <c r="D1747" s="35">
        <f>((1+Table2634[[#This Row],[Weekly change]])^52)-1</f>
        <v/>
      </c>
      <c r="E1747" s="25">
        <f>AVERAGE(B1744:B1747)</f>
        <v/>
      </c>
      <c r="F1747" s="33">
        <f>(Table2634[[#This Row],[4 weeks average]]-B1695)/B1695</f>
        <v/>
      </c>
    </row>
    <row r="1748">
      <c r="A1748" s="23" t="n">
        <v>39594</v>
      </c>
      <c r="B1748" s="25">
        <f>VLOOKUP(Table2634[[#This Row],[Date]],'DB Money Supply'!$A:$D,4)</f>
        <v/>
      </c>
      <c r="C1748" s="31">
        <f>(Table2634[[#This Row],[M1 Money Stock, Billions of Dollars, Weekly, Seasonally Adjusted]]-B1747)/B1747</f>
        <v/>
      </c>
      <c r="D1748" s="35">
        <f>((1+Table2634[[#This Row],[Weekly change]])^52)-1</f>
        <v/>
      </c>
      <c r="E1748" s="25">
        <f>AVERAGE(B1745:B1748)</f>
        <v/>
      </c>
      <c r="F1748" s="33">
        <f>(Table2634[[#This Row],[4 weeks average]]-B1696)/B1696</f>
        <v/>
      </c>
    </row>
    <row r="1749">
      <c r="A1749" s="23" t="n">
        <v>39601</v>
      </c>
      <c r="B1749" s="25">
        <f>VLOOKUP(Table2634[[#This Row],[Date]],'DB Money Supply'!$A:$D,4)</f>
        <v/>
      </c>
      <c r="C1749" s="31">
        <f>(Table2634[[#This Row],[M1 Money Stock, Billions of Dollars, Weekly, Seasonally Adjusted]]-B1748)/B1748</f>
        <v/>
      </c>
      <c r="D1749" s="35">
        <f>((1+Table2634[[#This Row],[Weekly change]])^52)-1</f>
        <v/>
      </c>
      <c r="E1749" s="25">
        <f>AVERAGE(B1746:B1749)</f>
        <v/>
      </c>
      <c r="F1749" s="33">
        <f>(Table2634[[#This Row],[4 weeks average]]-B1697)/B1697</f>
        <v/>
      </c>
    </row>
    <row r="1750">
      <c r="A1750" s="23" t="n">
        <v>39608</v>
      </c>
      <c r="B1750" s="25">
        <f>VLOOKUP(Table2634[[#This Row],[Date]],'DB Money Supply'!$A:$D,4)</f>
        <v/>
      </c>
      <c r="C1750" s="31">
        <f>(Table2634[[#This Row],[M1 Money Stock, Billions of Dollars, Weekly, Seasonally Adjusted]]-B1749)/B1749</f>
        <v/>
      </c>
      <c r="D1750" s="35">
        <f>((1+Table2634[[#This Row],[Weekly change]])^52)-1</f>
        <v/>
      </c>
      <c r="E1750" s="25">
        <f>AVERAGE(B1747:B1750)</f>
        <v/>
      </c>
      <c r="F1750" s="33">
        <f>(Table2634[[#This Row],[4 weeks average]]-B1698)/B1698</f>
        <v/>
      </c>
    </row>
    <row r="1751">
      <c r="A1751" s="23" t="n">
        <v>39615</v>
      </c>
      <c r="B1751" s="25">
        <f>VLOOKUP(Table2634[[#This Row],[Date]],'DB Money Supply'!$A:$D,4)</f>
        <v/>
      </c>
      <c r="C1751" s="31">
        <f>(Table2634[[#This Row],[M1 Money Stock, Billions of Dollars, Weekly, Seasonally Adjusted]]-B1750)/B1750</f>
        <v/>
      </c>
      <c r="D1751" s="35">
        <f>((1+Table2634[[#This Row],[Weekly change]])^52)-1</f>
        <v/>
      </c>
      <c r="E1751" s="25">
        <f>AVERAGE(B1748:B1751)</f>
        <v/>
      </c>
      <c r="F1751" s="33">
        <f>(Table2634[[#This Row],[4 weeks average]]-B1699)/B1699</f>
        <v/>
      </c>
    </row>
    <row r="1752">
      <c r="A1752" s="23" t="n">
        <v>39622</v>
      </c>
      <c r="B1752" s="25">
        <f>VLOOKUP(Table2634[[#This Row],[Date]],'DB Money Supply'!$A:$D,4)</f>
        <v/>
      </c>
      <c r="C1752" s="31">
        <f>(Table2634[[#This Row],[M1 Money Stock, Billions of Dollars, Weekly, Seasonally Adjusted]]-B1751)/B1751</f>
        <v/>
      </c>
      <c r="D1752" s="35">
        <f>((1+Table2634[[#This Row],[Weekly change]])^52)-1</f>
        <v/>
      </c>
      <c r="E1752" s="25">
        <f>AVERAGE(B1749:B1752)</f>
        <v/>
      </c>
      <c r="F1752" s="33">
        <f>(Table2634[[#This Row],[4 weeks average]]-B1700)/B1700</f>
        <v/>
      </c>
    </row>
    <row r="1753">
      <c r="A1753" s="23" t="n">
        <v>39629</v>
      </c>
      <c r="B1753" s="25">
        <f>VLOOKUP(Table2634[[#This Row],[Date]],'DB Money Supply'!$A:$D,4)</f>
        <v/>
      </c>
      <c r="C1753" s="31">
        <f>(Table2634[[#This Row],[M1 Money Stock, Billions of Dollars, Weekly, Seasonally Adjusted]]-B1752)/B1752</f>
        <v/>
      </c>
      <c r="D1753" s="35">
        <f>((1+Table2634[[#This Row],[Weekly change]])^52)-1</f>
        <v/>
      </c>
      <c r="E1753" s="25">
        <f>AVERAGE(B1750:B1753)</f>
        <v/>
      </c>
      <c r="F1753" s="33">
        <f>(Table2634[[#This Row],[4 weeks average]]-B1701)/B1701</f>
        <v/>
      </c>
    </row>
    <row r="1754">
      <c r="A1754" s="23" t="n">
        <v>39636</v>
      </c>
      <c r="B1754" s="25">
        <f>VLOOKUP(Table2634[[#This Row],[Date]],'DB Money Supply'!$A:$D,4)</f>
        <v/>
      </c>
      <c r="C1754" s="31">
        <f>(Table2634[[#This Row],[M1 Money Stock, Billions of Dollars, Weekly, Seasonally Adjusted]]-B1753)/B1753</f>
        <v/>
      </c>
      <c r="D1754" s="35">
        <f>((1+Table2634[[#This Row],[Weekly change]])^52)-1</f>
        <v/>
      </c>
      <c r="E1754" s="25">
        <f>AVERAGE(B1751:B1754)</f>
        <v/>
      </c>
      <c r="F1754" s="33">
        <f>(Table2634[[#This Row],[4 weeks average]]-B1702)/B1702</f>
        <v/>
      </c>
    </row>
    <row r="1755">
      <c r="A1755" s="23" t="n">
        <v>39643</v>
      </c>
      <c r="B1755" s="25">
        <f>VLOOKUP(Table2634[[#This Row],[Date]],'DB Money Supply'!$A:$D,4)</f>
        <v/>
      </c>
      <c r="C1755" s="31">
        <f>(Table2634[[#This Row],[M1 Money Stock, Billions of Dollars, Weekly, Seasonally Adjusted]]-B1754)/B1754</f>
        <v/>
      </c>
      <c r="D1755" s="35">
        <f>((1+Table2634[[#This Row],[Weekly change]])^52)-1</f>
        <v/>
      </c>
      <c r="E1755" s="25">
        <f>AVERAGE(B1752:B1755)</f>
        <v/>
      </c>
      <c r="F1755" s="33">
        <f>(Table2634[[#This Row],[4 weeks average]]-B1703)/B1703</f>
        <v/>
      </c>
    </row>
    <row r="1756">
      <c r="A1756" s="23" t="n">
        <v>39650</v>
      </c>
      <c r="B1756" s="25">
        <f>VLOOKUP(Table2634[[#This Row],[Date]],'DB Money Supply'!$A:$D,4)</f>
        <v/>
      </c>
      <c r="C1756" s="31">
        <f>(Table2634[[#This Row],[M1 Money Stock, Billions of Dollars, Weekly, Seasonally Adjusted]]-B1755)/B1755</f>
        <v/>
      </c>
      <c r="D1756" s="35">
        <f>((1+Table2634[[#This Row],[Weekly change]])^52)-1</f>
        <v/>
      </c>
      <c r="E1756" s="25">
        <f>AVERAGE(B1753:B1756)</f>
        <v/>
      </c>
      <c r="F1756" s="33">
        <f>(Table2634[[#This Row],[4 weeks average]]-B1704)/B1704</f>
        <v/>
      </c>
    </row>
    <row r="1757">
      <c r="A1757" s="23" t="n">
        <v>39657</v>
      </c>
      <c r="B1757" s="25">
        <f>VLOOKUP(Table2634[[#This Row],[Date]],'DB Money Supply'!$A:$D,4)</f>
        <v/>
      </c>
      <c r="C1757" s="31">
        <f>(Table2634[[#This Row],[M1 Money Stock, Billions of Dollars, Weekly, Seasonally Adjusted]]-B1756)/B1756</f>
        <v/>
      </c>
      <c r="D1757" s="35">
        <f>((1+Table2634[[#This Row],[Weekly change]])^52)-1</f>
        <v/>
      </c>
      <c r="E1757" s="25">
        <f>AVERAGE(B1754:B1757)</f>
        <v/>
      </c>
      <c r="F1757" s="33">
        <f>(Table2634[[#This Row],[4 weeks average]]-B1705)/B1705</f>
        <v/>
      </c>
    </row>
    <row r="1758">
      <c r="A1758" s="23" t="n">
        <v>39664</v>
      </c>
      <c r="B1758" s="25">
        <f>VLOOKUP(Table2634[[#This Row],[Date]],'DB Money Supply'!$A:$D,4)</f>
        <v/>
      </c>
      <c r="C1758" s="31">
        <f>(Table2634[[#This Row],[M1 Money Stock, Billions of Dollars, Weekly, Seasonally Adjusted]]-B1757)/B1757</f>
        <v/>
      </c>
      <c r="D1758" s="35">
        <f>((1+Table2634[[#This Row],[Weekly change]])^52)-1</f>
        <v/>
      </c>
      <c r="E1758" s="25">
        <f>AVERAGE(B1755:B1758)</f>
        <v/>
      </c>
      <c r="F1758" s="33">
        <f>(Table2634[[#This Row],[4 weeks average]]-B1706)/B1706</f>
        <v/>
      </c>
    </row>
    <row r="1759">
      <c r="A1759" s="23" t="n">
        <v>39671</v>
      </c>
      <c r="B1759" s="25">
        <f>VLOOKUP(Table2634[[#This Row],[Date]],'DB Money Supply'!$A:$D,4)</f>
        <v/>
      </c>
      <c r="C1759" s="31">
        <f>(Table2634[[#This Row],[M1 Money Stock, Billions of Dollars, Weekly, Seasonally Adjusted]]-B1758)/B1758</f>
        <v/>
      </c>
      <c r="D1759" s="35">
        <f>((1+Table2634[[#This Row],[Weekly change]])^52)-1</f>
        <v/>
      </c>
      <c r="E1759" s="25">
        <f>AVERAGE(B1756:B1759)</f>
        <v/>
      </c>
      <c r="F1759" s="33">
        <f>(Table2634[[#This Row],[4 weeks average]]-B1707)/B1707</f>
        <v/>
      </c>
    </row>
    <row r="1760">
      <c r="A1760" s="23" t="n">
        <v>39678</v>
      </c>
      <c r="B1760" s="25">
        <f>VLOOKUP(Table2634[[#This Row],[Date]],'DB Money Supply'!$A:$D,4)</f>
        <v/>
      </c>
      <c r="C1760" s="31">
        <f>(Table2634[[#This Row],[M1 Money Stock, Billions of Dollars, Weekly, Seasonally Adjusted]]-B1759)/B1759</f>
        <v/>
      </c>
      <c r="D1760" s="35">
        <f>((1+Table2634[[#This Row],[Weekly change]])^52)-1</f>
        <v/>
      </c>
      <c r="E1760" s="25">
        <f>AVERAGE(B1757:B1760)</f>
        <v/>
      </c>
      <c r="F1760" s="33">
        <f>(Table2634[[#This Row],[4 weeks average]]-B1708)/B1708</f>
        <v/>
      </c>
    </row>
    <row r="1761">
      <c r="A1761" s="23" t="n">
        <v>39685</v>
      </c>
      <c r="B1761" s="25">
        <f>VLOOKUP(Table2634[[#This Row],[Date]],'DB Money Supply'!$A:$D,4)</f>
        <v/>
      </c>
      <c r="C1761" s="31">
        <f>(Table2634[[#This Row],[M1 Money Stock, Billions of Dollars, Weekly, Seasonally Adjusted]]-B1760)/B1760</f>
        <v/>
      </c>
      <c r="D1761" s="35">
        <f>((1+Table2634[[#This Row],[Weekly change]])^52)-1</f>
        <v/>
      </c>
      <c r="E1761" s="25">
        <f>AVERAGE(B1758:B1761)</f>
        <v/>
      </c>
      <c r="F1761" s="33">
        <f>(Table2634[[#This Row],[4 weeks average]]-B1709)/B1709</f>
        <v/>
      </c>
    </row>
    <row r="1762">
      <c r="A1762" s="23" t="n">
        <v>39692</v>
      </c>
      <c r="B1762" s="25">
        <f>VLOOKUP(Table2634[[#This Row],[Date]],'DB Money Supply'!$A:$D,4)</f>
        <v/>
      </c>
      <c r="C1762" s="31">
        <f>(Table2634[[#This Row],[M1 Money Stock, Billions of Dollars, Weekly, Seasonally Adjusted]]-B1761)/B1761</f>
        <v/>
      </c>
      <c r="D1762" s="35">
        <f>((1+Table2634[[#This Row],[Weekly change]])^52)-1</f>
        <v/>
      </c>
      <c r="E1762" s="25">
        <f>AVERAGE(B1759:B1762)</f>
        <v/>
      </c>
      <c r="F1762" s="33">
        <f>(Table2634[[#This Row],[4 weeks average]]-B1710)/B1710</f>
        <v/>
      </c>
    </row>
    <row r="1763">
      <c r="A1763" s="23" t="n">
        <v>39699</v>
      </c>
      <c r="B1763" s="25">
        <f>VLOOKUP(Table2634[[#This Row],[Date]],'DB Money Supply'!$A:$D,4)</f>
        <v/>
      </c>
      <c r="C1763" s="31">
        <f>(Table2634[[#This Row],[M1 Money Stock, Billions of Dollars, Weekly, Seasonally Adjusted]]-B1762)/B1762</f>
        <v/>
      </c>
      <c r="D1763" s="35">
        <f>((1+Table2634[[#This Row],[Weekly change]])^52)-1</f>
        <v/>
      </c>
      <c r="E1763" s="25">
        <f>AVERAGE(B1760:B1763)</f>
        <v/>
      </c>
      <c r="F1763" s="33">
        <f>(Table2634[[#This Row],[4 weeks average]]-B1711)/B1711</f>
        <v/>
      </c>
    </row>
    <row r="1764">
      <c r="A1764" s="23" t="n">
        <v>39706</v>
      </c>
      <c r="B1764" s="25">
        <f>VLOOKUP(Table2634[[#This Row],[Date]],'DB Money Supply'!$A:$D,4)</f>
        <v/>
      </c>
      <c r="C1764" s="31">
        <f>(Table2634[[#This Row],[M1 Money Stock, Billions of Dollars, Weekly, Seasonally Adjusted]]-B1763)/B1763</f>
        <v/>
      </c>
      <c r="D1764" s="35">
        <f>((1+Table2634[[#This Row],[Weekly change]])^52)-1</f>
        <v/>
      </c>
      <c r="E1764" s="25">
        <f>AVERAGE(B1761:B1764)</f>
        <v/>
      </c>
      <c r="F1764" s="33">
        <f>(Table2634[[#This Row],[4 weeks average]]-B1712)/B1712</f>
        <v/>
      </c>
    </row>
    <row r="1765">
      <c r="A1765" s="23" t="n">
        <v>39713</v>
      </c>
      <c r="B1765" s="25">
        <f>VLOOKUP(Table2634[[#This Row],[Date]],'DB Money Supply'!$A:$D,4)</f>
        <v/>
      </c>
      <c r="C1765" s="31">
        <f>(Table2634[[#This Row],[M1 Money Stock, Billions of Dollars, Weekly, Seasonally Adjusted]]-B1764)/B1764</f>
        <v/>
      </c>
      <c r="D1765" s="35">
        <f>((1+Table2634[[#This Row],[Weekly change]])^52)-1</f>
        <v/>
      </c>
      <c r="E1765" s="25">
        <f>AVERAGE(B1762:B1765)</f>
        <v/>
      </c>
      <c r="F1765" s="33">
        <f>(Table2634[[#This Row],[4 weeks average]]-B1713)/B1713</f>
        <v/>
      </c>
    </row>
    <row r="1766">
      <c r="A1766" s="23" t="n">
        <v>39720</v>
      </c>
      <c r="B1766" s="25">
        <f>VLOOKUP(Table2634[[#This Row],[Date]],'DB Money Supply'!$A:$D,4)</f>
        <v/>
      </c>
      <c r="C1766" s="31">
        <f>(Table2634[[#This Row],[M1 Money Stock, Billions of Dollars, Weekly, Seasonally Adjusted]]-B1765)/B1765</f>
        <v/>
      </c>
      <c r="D1766" s="35">
        <f>((1+Table2634[[#This Row],[Weekly change]])^52)-1</f>
        <v/>
      </c>
      <c r="E1766" s="25">
        <f>AVERAGE(B1763:B1766)</f>
        <v/>
      </c>
      <c r="F1766" s="33">
        <f>(Table2634[[#This Row],[4 weeks average]]-B1714)/B1714</f>
        <v/>
      </c>
    </row>
    <row r="1767">
      <c r="A1767" s="23" t="n">
        <v>39727</v>
      </c>
      <c r="B1767" s="25">
        <f>VLOOKUP(Table2634[[#This Row],[Date]],'DB Money Supply'!$A:$D,4)</f>
        <v/>
      </c>
      <c r="C1767" s="31">
        <f>(Table2634[[#This Row],[M1 Money Stock, Billions of Dollars, Weekly, Seasonally Adjusted]]-B1766)/B1766</f>
        <v/>
      </c>
      <c r="D1767" s="35">
        <f>((1+Table2634[[#This Row],[Weekly change]])^52)-1</f>
        <v/>
      </c>
      <c r="E1767" s="25">
        <f>AVERAGE(B1764:B1767)</f>
        <v/>
      </c>
      <c r="F1767" s="33">
        <f>(Table2634[[#This Row],[4 weeks average]]-B1715)/B1715</f>
        <v/>
      </c>
    </row>
    <row r="1768">
      <c r="A1768" s="23" t="n">
        <v>39734</v>
      </c>
      <c r="B1768" s="25">
        <f>VLOOKUP(Table2634[[#This Row],[Date]],'DB Money Supply'!$A:$D,4)</f>
        <v/>
      </c>
      <c r="C1768" s="31">
        <f>(Table2634[[#This Row],[M1 Money Stock, Billions of Dollars, Weekly, Seasonally Adjusted]]-B1767)/B1767</f>
        <v/>
      </c>
      <c r="D1768" s="35">
        <f>((1+Table2634[[#This Row],[Weekly change]])^52)-1</f>
        <v/>
      </c>
      <c r="E1768" s="25">
        <f>AVERAGE(B1765:B1768)</f>
        <v/>
      </c>
      <c r="F1768" s="33">
        <f>(Table2634[[#This Row],[4 weeks average]]-B1716)/B1716</f>
        <v/>
      </c>
    </row>
    <row r="1769">
      <c r="A1769" s="23" t="n">
        <v>39741</v>
      </c>
      <c r="B1769" s="25">
        <f>VLOOKUP(Table2634[[#This Row],[Date]],'DB Money Supply'!$A:$D,4)</f>
        <v/>
      </c>
      <c r="C1769" s="31">
        <f>(Table2634[[#This Row],[M1 Money Stock, Billions of Dollars, Weekly, Seasonally Adjusted]]-B1768)/B1768</f>
        <v/>
      </c>
      <c r="D1769" s="35">
        <f>((1+Table2634[[#This Row],[Weekly change]])^52)-1</f>
        <v/>
      </c>
      <c r="E1769" s="25">
        <f>AVERAGE(B1766:B1769)</f>
        <v/>
      </c>
      <c r="F1769" s="33">
        <f>(Table2634[[#This Row],[4 weeks average]]-B1717)/B1717</f>
        <v/>
      </c>
    </row>
    <row r="1770">
      <c r="A1770" s="23" t="n">
        <v>39748</v>
      </c>
      <c r="B1770" s="25">
        <f>VLOOKUP(Table2634[[#This Row],[Date]],'DB Money Supply'!$A:$D,4)</f>
        <v/>
      </c>
      <c r="C1770" s="31">
        <f>(Table2634[[#This Row],[M1 Money Stock, Billions of Dollars, Weekly, Seasonally Adjusted]]-B1769)/B1769</f>
        <v/>
      </c>
      <c r="D1770" s="35">
        <f>((1+Table2634[[#This Row],[Weekly change]])^52)-1</f>
        <v/>
      </c>
      <c r="E1770" s="25">
        <f>AVERAGE(B1767:B1770)</f>
        <v/>
      </c>
      <c r="F1770" s="33">
        <f>(Table2634[[#This Row],[4 weeks average]]-B1718)/B1718</f>
        <v/>
      </c>
    </row>
    <row r="1771">
      <c r="A1771" s="23" t="n">
        <v>39755</v>
      </c>
      <c r="B1771" s="25">
        <f>VLOOKUP(Table2634[[#This Row],[Date]],'DB Money Supply'!$A:$D,4)</f>
        <v/>
      </c>
      <c r="C1771" s="31">
        <f>(Table2634[[#This Row],[M1 Money Stock, Billions of Dollars, Weekly, Seasonally Adjusted]]-B1770)/B1770</f>
        <v/>
      </c>
      <c r="D1771" s="35">
        <f>((1+Table2634[[#This Row],[Weekly change]])^52)-1</f>
        <v/>
      </c>
      <c r="E1771" s="25">
        <f>AVERAGE(B1768:B1771)</f>
        <v/>
      </c>
      <c r="F1771" s="33">
        <f>(Table2634[[#This Row],[4 weeks average]]-B1719)/B1719</f>
        <v/>
      </c>
    </row>
    <row r="1772">
      <c r="A1772" s="23" t="n">
        <v>39762</v>
      </c>
      <c r="B1772" s="25">
        <f>VLOOKUP(Table2634[[#This Row],[Date]],'DB Money Supply'!$A:$D,4)</f>
        <v/>
      </c>
      <c r="C1772" s="31">
        <f>(Table2634[[#This Row],[M1 Money Stock, Billions of Dollars, Weekly, Seasonally Adjusted]]-B1771)/B1771</f>
        <v/>
      </c>
      <c r="D1772" s="35">
        <f>((1+Table2634[[#This Row],[Weekly change]])^52)-1</f>
        <v/>
      </c>
      <c r="E1772" s="25">
        <f>AVERAGE(B1769:B1772)</f>
        <v/>
      </c>
      <c r="F1772" s="33">
        <f>(Table2634[[#This Row],[4 weeks average]]-B1720)/B1720</f>
        <v/>
      </c>
    </row>
    <row r="1773">
      <c r="A1773" s="23" t="n">
        <v>39769</v>
      </c>
      <c r="B1773" s="25">
        <f>VLOOKUP(Table2634[[#This Row],[Date]],'DB Money Supply'!$A:$D,4)</f>
        <v/>
      </c>
      <c r="C1773" s="31">
        <f>(Table2634[[#This Row],[M1 Money Stock, Billions of Dollars, Weekly, Seasonally Adjusted]]-B1772)/B1772</f>
        <v/>
      </c>
      <c r="D1773" s="35">
        <f>((1+Table2634[[#This Row],[Weekly change]])^52)-1</f>
        <v/>
      </c>
      <c r="E1773" s="25">
        <f>AVERAGE(B1770:B1773)</f>
        <v/>
      </c>
      <c r="F1773" s="33">
        <f>(Table2634[[#This Row],[4 weeks average]]-B1721)/B1721</f>
        <v/>
      </c>
    </row>
    <row r="1774">
      <c r="A1774" s="23" t="n">
        <v>39776</v>
      </c>
      <c r="B1774" s="25">
        <f>VLOOKUP(Table2634[[#This Row],[Date]],'DB Money Supply'!$A:$D,4)</f>
        <v/>
      </c>
      <c r="C1774" s="31">
        <f>(Table2634[[#This Row],[M1 Money Stock, Billions of Dollars, Weekly, Seasonally Adjusted]]-B1773)/B1773</f>
        <v/>
      </c>
      <c r="D1774" s="35">
        <f>((1+Table2634[[#This Row],[Weekly change]])^52)-1</f>
        <v/>
      </c>
      <c r="E1774" s="25">
        <f>AVERAGE(B1771:B1774)</f>
        <v/>
      </c>
      <c r="F1774" s="33">
        <f>(Table2634[[#This Row],[4 weeks average]]-B1722)/B1722</f>
        <v/>
      </c>
    </row>
    <row r="1775">
      <c r="A1775" s="23" t="n">
        <v>39783</v>
      </c>
      <c r="B1775" s="25">
        <f>VLOOKUP(Table2634[[#This Row],[Date]],'DB Money Supply'!$A:$D,4)</f>
        <v/>
      </c>
      <c r="C1775" s="31">
        <f>(Table2634[[#This Row],[M1 Money Stock, Billions of Dollars, Weekly, Seasonally Adjusted]]-B1774)/B1774</f>
        <v/>
      </c>
      <c r="D1775" s="35">
        <f>((1+Table2634[[#This Row],[Weekly change]])^52)-1</f>
        <v/>
      </c>
      <c r="E1775" s="25">
        <f>AVERAGE(B1772:B1775)</f>
        <v/>
      </c>
      <c r="F1775" s="33">
        <f>(Table2634[[#This Row],[4 weeks average]]-B1723)/B1723</f>
        <v/>
      </c>
    </row>
    <row r="1776">
      <c r="A1776" s="23" t="n">
        <v>39790</v>
      </c>
      <c r="B1776" s="25">
        <f>VLOOKUP(Table2634[[#This Row],[Date]],'DB Money Supply'!$A:$D,4)</f>
        <v/>
      </c>
      <c r="C1776" s="31">
        <f>(Table2634[[#This Row],[M1 Money Stock, Billions of Dollars, Weekly, Seasonally Adjusted]]-B1775)/B1775</f>
        <v/>
      </c>
      <c r="D1776" s="35">
        <f>((1+Table2634[[#This Row],[Weekly change]])^52)-1</f>
        <v/>
      </c>
      <c r="E1776" s="25">
        <f>AVERAGE(B1773:B1776)</f>
        <v/>
      </c>
      <c r="F1776" s="33">
        <f>(Table2634[[#This Row],[4 weeks average]]-B1724)/B1724</f>
        <v/>
      </c>
    </row>
    <row r="1777">
      <c r="A1777" s="23" t="n">
        <v>39797</v>
      </c>
      <c r="B1777" s="25">
        <f>VLOOKUP(Table2634[[#This Row],[Date]],'DB Money Supply'!$A:$D,4)</f>
        <v/>
      </c>
      <c r="C1777" s="31">
        <f>(Table2634[[#This Row],[M1 Money Stock, Billions of Dollars, Weekly, Seasonally Adjusted]]-B1776)/B1776</f>
        <v/>
      </c>
      <c r="D1777" s="35">
        <f>((1+Table2634[[#This Row],[Weekly change]])^52)-1</f>
        <v/>
      </c>
      <c r="E1777" s="25">
        <f>AVERAGE(B1774:B1777)</f>
        <v/>
      </c>
      <c r="F1777" s="33">
        <f>(Table2634[[#This Row],[4 weeks average]]-B1725)/B1725</f>
        <v/>
      </c>
    </row>
    <row r="1778">
      <c r="A1778" s="23" t="n">
        <v>39804</v>
      </c>
      <c r="B1778" s="25">
        <f>VLOOKUP(Table2634[[#This Row],[Date]],'DB Money Supply'!$A:$D,4)</f>
        <v/>
      </c>
      <c r="C1778" s="31">
        <f>(Table2634[[#This Row],[M1 Money Stock, Billions of Dollars, Weekly, Seasonally Adjusted]]-B1777)/B1777</f>
        <v/>
      </c>
      <c r="D1778" s="35">
        <f>((1+Table2634[[#This Row],[Weekly change]])^52)-1</f>
        <v/>
      </c>
      <c r="E1778" s="25">
        <f>AVERAGE(B1775:B1778)</f>
        <v/>
      </c>
      <c r="F1778" s="33">
        <f>(Table2634[[#This Row],[4 weeks average]]-B1726)/B1726</f>
        <v/>
      </c>
    </row>
    <row r="1779">
      <c r="A1779" s="23" t="n">
        <v>39811</v>
      </c>
      <c r="B1779" s="25">
        <f>VLOOKUP(Table2634[[#This Row],[Date]],'DB Money Supply'!$A:$D,4)</f>
        <v/>
      </c>
      <c r="C1779" s="31">
        <f>(Table2634[[#This Row],[M1 Money Stock, Billions of Dollars, Weekly, Seasonally Adjusted]]-B1778)/B1778</f>
        <v/>
      </c>
      <c r="D1779" s="35">
        <f>((1+Table2634[[#This Row],[Weekly change]])^52)-1</f>
        <v/>
      </c>
      <c r="E1779" s="25">
        <f>AVERAGE(B1776:B1779)</f>
        <v/>
      </c>
      <c r="F1779" s="33">
        <f>(Table2634[[#This Row],[4 weeks average]]-B1727)/B1727</f>
        <v/>
      </c>
    </row>
    <row r="1780">
      <c r="A1780" s="23" t="n">
        <v>39818</v>
      </c>
      <c r="B1780" s="25">
        <f>VLOOKUP(Table2634[[#This Row],[Date]],'DB Money Supply'!$A:$D,4)</f>
        <v/>
      </c>
      <c r="C1780" s="31">
        <f>(Table2634[[#This Row],[M1 Money Stock, Billions of Dollars, Weekly, Seasonally Adjusted]]-B1779)/B1779</f>
        <v/>
      </c>
      <c r="D1780" s="35">
        <f>((1+Table2634[[#This Row],[Weekly change]])^52)-1</f>
        <v/>
      </c>
      <c r="E1780" s="25">
        <f>AVERAGE(B1777:B1780)</f>
        <v/>
      </c>
      <c r="F1780" s="33">
        <f>(Table2634[[#This Row],[4 weeks average]]-B1728)/B1728</f>
        <v/>
      </c>
    </row>
    <row r="1781">
      <c r="A1781" s="23" t="n">
        <v>39825</v>
      </c>
      <c r="B1781" s="25">
        <f>VLOOKUP(Table2634[[#This Row],[Date]],'DB Money Supply'!$A:$D,4)</f>
        <v/>
      </c>
      <c r="C1781" s="31">
        <f>(Table2634[[#This Row],[M1 Money Stock, Billions of Dollars, Weekly, Seasonally Adjusted]]-B1780)/B1780</f>
        <v/>
      </c>
      <c r="D1781" s="35">
        <f>((1+Table2634[[#This Row],[Weekly change]])^52)-1</f>
        <v/>
      </c>
      <c r="E1781" s="25">
        <f>AVERAGE(B1778:B1781)</f>
        <v/>
      </c>
      <c r="F1781" s="33">
        <f>(Table2634[[#This Row],[4 weeks average]]-B1729)/B1729</f>
        <v/>
      </c>
    </row>
    <row r="1782">
      <c r="A1782" s="23" t="n">
        <v>39832</v>
      </c>
      <c r="B1782" s="25">
        <f>VLOOKUP(Table2634[[#This Row],[Date]],'DB Money Supply'!$A:$D,4)</f>
        <v/>
      </c>
      <c r="C1782" s="31">
        <f>(Table2634[[#This Row],[M1 Money Stock, Billions of Dollars, Weekly, Seasonally Adjusted]]-B1781)/B1781</f>
        <v/>
      </c>
      <c r="D1782" s="35">
        <f>((1+Table2634[[#This Row],[Weekly change]])^52)-1</f>
        <v/>
      </c>
      <c r="E1782" s="25">
        <f>AVERAGE(B1779:B1782)</f>
        <v/>
      </c>
      <c r="F1782" s="33">
        <f>(Table2634[[#This Row],[4 weeks average]]-B1730)/B1730</f>
        <v/>
      </c>
    </row>
    <row r="1783">
      <c r="A1783" s="23" t="n">
        <v>39839</v>
      </c>
      <c r="B1783" s="25">
        <f>VLOOKUP(Table2634[[#This Row],[Date]],'DB Money Supply'!$A:$D,4)</f>
        <v/>
      </c>
      <c r="C1783" s="31">
        <f>(Table2634[[#This Row],[M1 Money Stock, Billions of Dollars, Weekly, Seasonally Adjusted]]-B1782)/B1782</f>
        <v/>
      </c>
      <c r="D1783" s="35">
        <f>((1+Table2634[[#This Row],[Weekly change]])^52)-1</f>
        <v/>
      </c>
      <c r="E1783" s="25">
        <f>AVERAGE(B1780:B1783)</f>
        <v/>
      </c>
      <c r="F1783" s="33">
        <f>(Table2634[[#This Row],[4 weeks average]]-B1731)/B1731</f>
        <v/>
      </c>
    </row>
    <row r="1784">
      <c r="A1784" s="23" t="n">
        <v>39846</v>
      </c>
      <c r="B1784" s="25">
        <f>VLOOKUP(Table2634[[#This Row],[Date]],'DB Money Supply'!$A:$D,4)</f>
        <v/>
      </c>
      <c r="C1784" s="31">
        <f>(Table2634[[#This Row],[M1 Money Stock, Billions of Dollars, Weekly, Seasonally Adjusted]]-B1783)/B1783</f>
        <v/>
      </c>
      <c r="D1784" s="35">
        <f>((1+Table2634[[#This Row],[Weekly change]])^52)-1</f>
        <v/>
      </c>
      <c r="E1784" s="25">
        <f>AVERAGE(B1781:B1784)</f>
        <v/>
      </c>
      <c r="F1784" s="33">
        <f>(Table2634[[#This Row],[4 weeks average]]-B1732)/B1732</f>
        <v/>
      </c>
    </row>
    <row r="1785">
      <c r="A1785" s="23" t="n">
        <v>39853</v>
      </c>
      <c r="B1785" s="25">
        <f>VLOOKUP(Table2634[[#This Row],[Date]],'DB Money Supply'!$A:$D,4)</f>
        <v/>
      </c>
      <c r="C1785" s="31">
        <f>(Table2634[[#This Row],[M1 Money Stock, Billions of Dollars, Weekly, Seasonally Adjusted]]-B1784)/B1784</f>
        <v/>
      </c>
      <c r="D1785" s="35">
        <f>((1+Table2634[[#This Row],[Weekly change]])^52)-1</f>
        <v/>
      </c>
      <c r="E1785" s="25">
        <f>AVERAGE(B1782:B1785)</f>
        <v/>
      </c>
      <c r="F1785" s="33">
        <f>(Table2634[[#This Row],[4 weeks average]]-B1733)/B1733</f>
        <v/>
      </c>
    </row>
    <row r="1786">
      <c r="A1786" s="23" t="n">
        <v>39860</v>
      </c>
      <c r="B1786" s="25">
        <f>VLOOKUP(Table2634[[#This Row],[Date]],'DB Money Supply'!$A:$D,4)</f>
        <v/>
      </c>
      <c r="C1786" s="31">
        <f>(Table2634[[#This Row],[M1 Money Stock, Billions of Dollars, Weekly, Seasonally Adjusted]]-B1785)/B1785</f>
        <v/>
      </c>
      <c r="D1786" s="35">
        <f>((1+Table2634[[#This Row],[Weekly change]])^52)-1</f>
        <v/>
      </c>
      <c r="E1786" s="25">
        <f>AVERAGE(B1783:B1786)</f>
        <v/>
      </c>
      <c r="F1786" s="33">
        <f>(Table2634[[#This Row],[4 weeks average]]-B1734)/B1734</f>
        <v/>
      </c>
    </row>
    <row r="1787">
      <c r="A1787" s="23" t="n">
        <v>39867</v>
      </c>
      <c r="B1787" s="25">
        <f>VLOOKUP(Table2634[[#This Row],[Date]],'DB Money Supply'!$A:$D,4)</f>
        <v/>
      </c>
      <c r="C1787" s="31">
        <f>(Table2634[[#This Row],[M1 Money Stock, Billions of Dollars, Weekly, Seasonally Adjusted]]-B1786)/B1786</f>
        <v/>
      </c>
      <c r="D1787" s="35">
        <f>((1+Table2634[[#This Row],[Weekly change]])^52)-1</f>
        <v/>
      </c>
      <c r="E1787" s="25">
        <f>AVERAGE(B1784:B1787)</f>
        <v/>
      </c>
      <c r="F1787" s="33">
        <f>(Table2634[[#This Row],[4 weeks average]]-B1735)/B1735</f>
        <v/>
      </c>
    </row>
    <row r="1788">
      <c r="A1788" s="23" t="n">
        <v>39874</v>
      </c>
      <c r="B1788" s="25">
        <f>VLOOKUP(Table2634[[#This Row],[Date]],'DB Money Supply'!$A:$D,4)</f>
        <v/>
      </c>
      <c r="C1788" s="31">
        <f>(Table2634[[#This Row],[M1 Money Stock, Billions of Dollars, Weekly, Seasonally Adjusted]]-B1787)/B1787</f>
        <v/>
      </c>
      <c r="D1788" s="35">
        <f>((1+Table2634[[#This Row],[Weekly change]])^52)-1</f>
        <v/>
      </c>
      <c r="E1788" s="25">
        <f>AVERAGE(B1785:B1788)</f>
        <v/>
      </c>
      <c r="F1788" s="33">
        <f>(Table2634[[#This Row],[4 weeks average]]-B1736)/B1736</f>
        <v/>
      </c>
    </row>
    <row r="1789">
      <c r="A1789" s="23" t="n">
        <v>39881</v>
      </c>
      <c r="B1789" s="25">
        <f>VLOOKUP(Table2634[[#This Row],[Date]],'DB Money Supply'!$A:$D,4)</f>
        <v/>
      </c>
      <c r="C1789" s="31">
        <f>(Table2634[[#This Row],[M1 Money Stock, Billions of Dollars, Weekly, Seasonally Adjusted]]-B1788)/B1788</f>
        <v/>
      </c>
      <c r="D1789" s="35">
        <f>((1+Table2634[[#This Row],[Weekly change]])^52)-1</f>
        <v/>
      </c>
      <c r="E1789" s="25">
        <f>AVERAGE(B1786:B1789)</f>
        <v/>
      </c>
      <c r="F1789" s="33">
        <f>(Table2634[[#This Row],[4 weeks average]]-B1737)/B1737</f>
        <v/>
      </c>
    </row>
    <row r="1790">
      <c r="A1790" s="23" t="n">
        <v>39888</v>
      </c>
      <c r="B1790" s="25">
        <f>VLOOKUP(Table2634[[#This Row],[Date]],'DB Money Supply'!$A:$D,4)</f>
        <v/>
      </c>
      <c r="C1790" s="31">
        <f>(Table2634[[#This Row],[M1 Money Stock, Billions of Dollars, Weekly, Seasonally Adjusted]]-B1789)/B1789</f>
        <v/>
      </c>
      <c r="D1790" s="35">
        <f>((1+Table2634[[#This Row],[Weekly change]])^52)-1</f>
        <v/>
      </c>
      <c r="E1790" s="25">
        <f>AVERAGE(B1787:B1790)</f>
        <v/>
      </c>
      <c r="F1790" s="33">
        <f>(Table2634[[#This Row],[4 weeks average]]-B1738)/B1738</f>
        <v/>
      </c>
    </row>
    <row r="1791">
      <c r="A1791" s="23" t="n">
        <v>39895</v>
      </c>
      <c r="B1791" s="25">
        <f>VLOOKUP(Table2634[[#This Row],[Date]],'DB Money Supply'!$A:$D,4)</f>
        <v/>
      </c>
      <c r="C1791" s="31">
        <f>(Table2634[[#This Row],[M1 Money Stock, Billions of Dollars, Weekly, Seasonally Adjusted]]-B1790)/B1790</f>
        <v/>
      </c>
      <c r="D1791" s="35">
        <f>((1+Table2634[[#This Row],[Weekly change]])^52)-1</f>
        <v/>
      </c>
      <c r="E1791" s="25">
        <f>AVERAGE(B1788:B1791)</f>
        <v/>
      </c>
      <c r="F1791" s="33">
        <f>(Table2634[[#This Row],[4 weeks average]]-B1739)/B1739</f>
        <v/>
      </c>
    </row>
    <row r="1792">
      <c r="A1792" s="23" t="n">
        <v>39902</v>
      </c>
      <c r="B1792" s="25">
        <f>VLOOKUP(Table2634[[#This Row],[Date]],'DB Money Supply'!$A:$D,4)</f>
        <v/>
      </c>
      <c r="C1792" s="31">
        <f>(Table2634[[#This Row],[M1 Money Stock, Billions of Dollars, Weekly, Seasonally Adjusted]]-B1791)/B1791</f>
        <v/>
      </c>
      <c r="D1792" s="35">
        <f>((1+Table2634[[#This Row],[Weekly change]])^52)-1</f>
        <v/>
      </c>
      <c r="E1792" s="25">
        <f>AVERAGE(B1789:B1792)</f>
        <v/>
      </c>
      <c r="F1792" s="33">
        <f>(Table2634[[#This Row],[4 weeks average]]-B1740)/B1740</f>
        <v/>
      </c>
    </row>
    <row r="1793">
      <c r="A1793" s="23" t="n">
        <v>39909</v>
      </c>
      <c r="B1793" s="25">
        <f>VLOOKUP(Table2634[[#This Row],[Date]],'DB Money Supply'!$A:$D,4)</f>
        <v/>
      </c>
      <c r="C1793" s="31">
        <f>(Table2634[[#This Row],[M1 Money Stock, Billions of Dollars, Weekly, Seasonally Adjusted]]-B1792)/B1792</f>
        <v/>
      </c>
      <c r="D1793" s="35">
        <f>((1+Table2634[[#This Row],[Weekly change]])^52)-1</f>
        <v/>
      </c>
      <c r="E1793" s="25">
        <f>AVERAGE(B1790:B1793)</f>
        <v/>
      </c>
      <c r="F1793" s="33">
        <f>(Table2634[[#This Row],[4 weeks average]]-B1741)/B1741</f>
        <v/>
      </c>
    </row>
    <row r="1794">
      <c r="A1794" s="23" t="n">
        <v>39916</v>
      </c>
      <c r="B1794" s="25">
        <f>VLOOKUP(Table2634[[#This Row],[Date]],'DB Money Supply'!$A:$D,4)</f>
        <v/>
      </c>
      <c r="C1794" s="31">
        <f>(Table2634[[#This Row],[M1 Money Stock, Billions of Dollars, Weekly, Seasonally Adjusted]]-B1793)/B1793</f>
        <v/>
      </c>
      <c r="D1794" s="35">
        <f>((1+Table2634[[#This Row],[Weekly change]])^52)-1</f>
        <v/>
      </c>
      <c r="E1794" s="25">
        <f>AVERAGE(B1791:B1794)</f>
        <v/>
      </c>
      <c r="F1794" s="33">
        <f>(Table2634[[#This Row],[4 weeks average]]-B1742)/B1742</f>
        <v/>
      </c>
    </row>
    <row r="1795">
      <c r="A1795" s="23" t="n">
        <v>39923</v>
      </c>
      <c r="B1795" s="25">
        <f>VLOOKUP(Table2634[[#This Row],[Date]],'DB Money Supply'!$A:$D,4)</f>
        <v/>
      </c>
      <c r="C1795" s="31">
        <f>(Table2634[[#This Row],[M1 Money Stock, Billions of Dollars, Weekly, Seasonally Adjusted]]-B1794)/B1794</f>
        <v/>
      </c>
      <c r="D1795" s="35">
        <f>((1+Table2634[[#This Row],[Weekly change]])^52)-1</f>
        <v/>
      </c>
      <c r="E1795" s="25">
        <f>AVERAGE(B1792:B1795)</f>
        <v/>
      </c>
      <c r="F1795" s="33">
        <f>(Table2634[[#This Row],[4 weeks average]]-B1743)/B1743</f>
        <v/>
      </c>
    </row>
    <row r="1796">
      <c r="A1796" s="23" t="n">
        <v>39930</v>
      </c>
      <c r="B1796" s="25">
        <f>VLOOKUP(Table2634[[#This Row],[Date]],'DB Money Supply'!$A:$D,4)</f>
        <v/>
      </c>
      <c r="C1796" s="31">
        <f>(Table2634[[#This Row],[M1 Money Stock, Billions of Dollars, Weekly, Seasonally Adjusted]]-B1795)/B1795</f>
        <v/>
      </c>
      <c r="D1796" s="35">
        <f>((1+Table2634[[#This Row],[Weekly change]])^52)-1</f>
        <v/>
      </c>
      <c r="E1796" s="25">
        <f>AVERAGE(B1793:B1796)</f>
        <v/>
      </c>
      <c r="F1796" s="33">
        <f>(Table2634[[#This Row],[4 weeks average]]-B1744)/B1744</f>
        <v/>
      </c>
    </row>
    <row r="1797">
      <c r="A1797" s="23" t="n">
        <v>39937</v>
      </c>
      <c r="B1797" s="25">
        <f>VLOOKUP(Table2634[[#This Row],[Date]],'DB Money Supply'!$A:$D,4)</f>
        <v/>
      </c>
      <c r="C1797" s="31">
        <f>(Table2634[[#This Row],[M1 Money Stock, Billions of Dollars, Weekly, Seasonally Adjusted]]-B1796)/B1796</f>
        <v/>
      </c>
      <c r="D1797" s="35">
        <f>((1+Table2634[[#This Row],[Weekly change]])^52)-1</f>
        <v/>
      </c>
      <c r="E1797" s="25">
        <f>AVERAGE(B1794:B1797)</f>
        <v/>
      </c>
      <c r="F1797" s="33">
        <f>(Table2634[[#This Row],[4 weeks average]]-B1745)/B1745</f>
        <v/>
      </c>
    </row>
    <row r="1798">
      <c r="A1798" s="23" t="n">
        <v>39944</v>
      </c>
      <c r="B1798" s="25">
        <f>VLOOKUP(Table2634[[#This Row],[Date]],'DB Money Supply'!$A:$D,4)</f>
        <v/>
      </c>
      <c r="C1798" s="31">
        <f>(Table2634[[#This Row],[M1 Money Stock, Billions of Dollars, Weekly, Seasonally Adjusted]]-B1797)/B1797</f>
        <v/>
      </c>
      <c r="D1798" s="35">
        <f>((1+Table2634[[#This Row],[Weekly change]])^52)-1</f>
        <v/>
      </c>
      <c r="E1798" s="25">
        <f>AVERAGE(B1795:B1798)</f>
        <v/>
      </c>
      <c r="F1798" s="33">
        <f>(Table2634[[#This Row],[4 weeks average]]-B1746)/B1746</f>
        <v/>
      </c>
    </row>
    <row r="1799">
      <c r="A1799" s="23" t="n">
        <v>39951</v>
      </c>
      <c r="B1799" s="25">
        <f>VLOOKUP(Table2634[[#This Row],[Date]],'DB Money Supply'!$A:$D,4)</f>
        <v/>
      </c>
      <c r="C1799" s="31">
        <f>(Table2634[[#This Row],[M1 Money Stock, Billions of Dollars, Weekly, Seasonally Adjusted]]-B1798)/B1798</f>
        <v/>
      </c>
      <c r="D1799" s="35">
        <f>((1+Table2634[[#This Row],[Weekly change]])^52)-1</f>
        <v/>
      </c>
      <c r="E1799" s="25">
        <f>AVERAGE(B1796:B1799)</f>
        <v/>
      </c>
      <c r="F1799" s="33">
        <f>(Table2634[[#This Row],[4 weeks average]]-B1747)/B1747</f>
        <v/>
      </c>
    </row>
    <row r="1800">
      <c r="A1800" s="23" t="n">
        <v>39958</v>
      </c>
      <c r="B1800" s="25">
        <f>VLOOKUP(Table2634[[#This Row],[Date]],'DB Money Supply'!$A:$D,4)</f>
        <v/>
      </c>
      <c r="C1800" s="31">
        <f>(Table2634[[#This Row],[M1 Money Stock, Billions of Dollars, Weekly, Seasonally Adjusted]]-B1799)/B1799</f>
        <v/>
      </c>
      <c r="D1800" s="35">
        <f>((1+Table2634[[#This Row],[Weekly change]])^52)-1</f>
        <v/>
      </c>
      <c r="E1800" s="25">
        <f>AVERAGE(B1797:B1800)</f>
        <v/>
      </c>
      <c r="F1800" s="33">
        <f>(Table2634[[#This Row],[4 weeks average]]-B1748)/B1748</f>
        <v/>
      </c>
    </row>
    <row r="1801">
      <c r="A1801" s="23" t="n">
        <v>39965</v>
      </c>
      <c r="B1801" s="25">
        <f>VLOOKUP(Table2634[[#This Row],[Date]],'DB Money Supply'!$A:$D,4)</f>
        <v/>
      </c>
      <c r="C1801" s="31">
        <f>(Table2634[[#This Row],[M1 Money Stock, Billions of Dollars, Weekly, Seasonally Adjusted]]-B1800)/B1800</f>
        <v/>
      </c>
      <c r="D1801" s="35">
        <f>((1+Table2634[[#This Row],[Weekly change]])^52)-1</f>
        <v/>
      </c>
      <c r="E1801" s="25">
        <f>AVERAGE(B1798:B1801)</f>
        <v/>
      </c>
      <c r="F1801" s="33">
        <f>(Table2634[[#This Row],[4 weeks average]]-B1749)/B1749</f>
        <v/>
      </c>
    </row>
    <row r="1802">
      <c r="A1802" s="23" t="n">
        <v>39972</v>
      </c>
      <c r="B1802" s="25">
        <f>VLOOKUP(Table2634[[#This Row],[Date]],'DB Money Supply'!$A:$D,4)</f>
        <v/>
      </c>
      <c r="C1802" s="31">
        <f>(Table2634[[#This Row],[M1 Money Stock, Billions of Dollars, Weekly, Seasonally Adjusted]]-B1801)/B1801</f>
        <v/>
      </c>
      <c r="D1802" s="35">
        <f>((1+Table2634[[#This Row],[Weekly change]])^52)-1</f>
        <v/>
      </c>
      <c r="E1802" s="25">
        <f>AVERAGE(B1799:B1802)</f>
        <v/>
      </c>
      <c r="F1802" s="33">
        <f>(Table2634[[#This Row],[4 weeks average]]-B1750)/B1750</f>
        <v/>
      </c>
    </row>
    <row r="1803">
      <c r="A1803" s="23" t="n">
        <v>39979</v>
      </c>
      <c r="B1803" s="25">
        <f>VLOOKUP(Table2634[[#This Row],[Date]],'DB Money Supply'!$A:$D,4)</f>
        <v/>
      </c>
      <c r="C1803" s="31">
        <f>(Table2634[[#This Row],[M1 Money Stock, Billions of Dollars, Weekly, Seasonally Adjusted]]-B1802)/B1802</f>
        <v/>
      </c>
      <c r="D1803" s="35">
        <f>((1+Table2634[[#This Row],[Weekly change]])^52)-1</f>
        <v/>
      </c>
      <c r="E1803" s="25">
        <f>AVERAGE(B1800:B1803)</f>
        <v/>
      </c>
      <c r="F1803" s="33">
        <f>(Table2634[[#This Row],[4 weeks average]]-B1751)/B1751</f>
        <v/>
      </c>
    </row>
    <row r="1804">
      <c r="A1804" s="23" t="n">
        <v>39986</v>
      </c>
      <c r="B1804" s="25">
        <f>VLOOKUP(Table2634[[#This Row],[Date]],'DB Money Supply'!$A:$D,4)</f>
        <v/>
      </c>
      <c r="C1804" s="31">
        <f>(Table2634[[#This Row],[M1 Money Stock, Billions of Dollars, Weekly, Seasonally Adjusted]]-B1803)/B1803</f>
        <v/>
      </c>
      <c r="D1804" s="35">
        <f>((1+Table2634[[#This Row],[Weekly change]])^52)-1</f>
        <v/>
      </c>
      <c r="E1804" s="25">
        <f>AVERAGE(B1801:B1804)</f>
        <v/>
      </c>
      <c r="F1804" s="33">
        <f>(Table2634[[#This Row],[4 weeks average]]-B1752)/B1752</f>
        <v/>
      </c>
    </row>
    <row r="1805">
      <c r="A1805" s="23" t="n">
        <v>39993</v>
      </c>
      <c r="B1805" s="25">
        <f>VLOOKUP(Table2634[[#This Row],[Date]],'DB Money Supply'!$A:$D,4)</f>
        <v/>
      </c>
      <c r="C1805" s="31">
        <f>(Table2634[[#This Row],[M1 Money Stock, Billions of Dollars, Weekly, Seasonally Adjusted]]-B1804)/B1804</f>
        <v/>
      </c>
      <c r="D1805" s="35">
        <f>((1+Table2634[[#This Row],[Weekly change]])^52)-1</f>
        <v/>
      </c>
      <c r="E1805" s="25">
        <f>AVERAGE(B1802:B1805)</f>
        <v/>
      </c>
      <c r="F1805" s="33">
        <f>(Table2634[[#This Row],[4 weeks average]]-B1753)/B1753</f>
        <v/>
      </c>
    </row>
    <row r="1806">
      <c r="A1806" s="23" t="n">
        <v>40000</v>
      </c>
      <c r="B1806" s="25">
        <f>VLOOKUP(Table2634[[#This Row],[Date]],'DB Money Supply'!$A:$D,4)</f>
        <v/>
      </c>
      <c r="C1806" s="31">
        <f>(Table2634[[#This Row],[M1 Money Stock, Billions of Dollars, Weekly, Seasonally Adjusted]]-B1805)/B1805</f>
        <v/>
      </c>
      <c r="D1806" s="35">
        <f>((1+Table2634[[#This Row],[Weekly change]])^52)-1</f>
        <v/>
      </c>
      <c r="E1806" s="25">
        <f>AVERAGE(B1803:B1806)</f>
        <v/>
      </c>
      <c r="F1806" s="33">
        <f>(Table2634[[#This Row],[4 weeks average]]-B1754)/B1754</f>
        <v/>
      </c>
    </row>
    <row r="1807">
      <c r="A1807" s="23" t="n">
        <v>40007</v>
      </c>
      <c r="B1807" s="25">
        <f>VLOOKUP(Table2634[[#This Row],[Date]],'DB Money Supply'!$A:$D,4)</f>
        <v/>
      </c>
      <c r="C1807" s="31">
        <f>(Table2634[[#This Row],[M1 Money Stock, Billions of Dollars, Weekly, Seasonally Adjusted]]-B1806)/B1806</f>
        <v/>
      </c>
      <c r="D1807" s="35">
        <f>((1+Table2634[[#This Row],[Weekly change]])^52)-1</f>
        <v/>
      </c>
      <c r="E1807" s="25">
        <f>AVERAGE(B1804:B1807)</f>
        <v/>
      </c>
      <c r="F1807" s="33">
        <f>(Table2634[[#This Row],[4 weeks average]]-B1755)/B1755</f>
        <v/>
      </c>
    </row>
    <row r="1808">
      <c r="A1808" s="23" t="n">
        <v>40014</v>
      </c>
      <c r="B1808" s="25">
        <f>VLOOKUP(Table2634[[#This Row],[Date]],'DB Money Supply'!$A:$D,4)</f>
        <v/>
      </c>
      <c r="C1808" s="31">
        <f>(Table2634[[#This Row],[M1 Money Stock, Billions of Dollars, Weekly, Seasonally Adjusted]]-B1807)/B1807</f>
        <v/>
      </c>
      <c r="D1808" s="35">
        <f>((1+Table2634[[#This Row],[Weekly change]])^52)-1</f>
        <v/>
      </c>
      <c r="E1808" s="25">
        <f>AVERAGE(B1805:B1808)</f>
        <v/>
      </c>
      <c r="F1808" s="33">
        <f>(Table2634[[#This Row],[4 weeks average]]-B1756)/B1756</f>
        <v/>
      </c>
    </row>
    <row r="1809">
      <c r="A1809" s="23" t="n">
        <v>40021</v>
      </c>
      <c r="B1809" s="25">
        <f>VLOOKUP(Table2634[[#This Row],[Date]],'DB Money Supply'!$A:$D,4)</f>
        <v/>
      </c>
      <c r="C1809" s="31">
        <f>(Table2634[[#This Row],[M1 Money Stock, Billions of Dollars, Weekly, Seasonally Adjusted]]-B1808)/B1808</f>
        <v/>
      </c>
      <c r="D1809" s="35">
        <f>((1+Table2634[[#This Row],[Weekly change]])^52)-1</f>
        <v/>
      </c>
      <c r="E1809" s="25">
        <f>AVERAGE(B1806:B1809)</f>
        <v/>
      </c>
      <c r="F1809" s="33">
        <f>(Table2634[[#This Row],[4 weeks average]]-B1757)/B1757</f>
        <v/>
      </c>
    </row>
    <row r="1810">
      <c r="A1810" s="23" t="n">
        <v>40028</v>
      </c>
      <c r="B1810" s="25">
        <f>VLOOKUP(Table2634[[#This Row],[Date]],'DB Money Supply'!$A:$D,4)</f>
        <v/>
      </c>
      <c r="C1810" s="31">
        <f>(Table2634[[#This Row],[M1 Money Stock, Billions of Dollars, Weekly, Seasonally Adjusted]]-B1809)/B1809</f>
        <v/>
      </c>
      <c r="D1810" s="35">
        <f>((1+Table2634[[#This Row],[Weekly change]])^52)-1</f>
        <v/>
      </c>
      <c r="E1810" s="25">
        <f>AVERAGE(B1807:B1810)</f>
        <v/>
      </c>
      <c r="F1810" s="33">
        <f>(Table2634[[#This Row],[4 weeks average]]-B1758)/B1758</f>
        <v/>
      </c>
    </row>
    <row r="1811">
      <c r="A1811" s="23" t="n">
        <v>40035</v>
      </c>
      <c r="B1811" s="25">
        <f>VLOOKUP(Table2634[[#This Row],[Date]],'DB Money Supply'!$A:$D,4)</f>
        <v/>
      </c>
      <c r="C1811" s="31">
        <f>(Table2634[[#This Row],[M1 Money Stock, Billions of Dollars, Weekly, Seasonally Adjusted]]-B1810)/B1810</f>
        <v/>
      </c>
      <c r="D1811" s="35">
        <f>((1+Table2634[[#This Row],[Weekly change]])^52)-1</f>
        <v/>
      </c>
      <c r="E1811" s="25">
        <f>AVERAGE(B1808:B1811)</f>
        <v/>
      </c>
      <c r="F1811" s="33">
        <f>(Table2634[[#This Row],[4 weeks average]]-B1759)/B1759</f>
        <v/>
      </c>
    </row>
    <row r="1812">
      <c r="A1812" s="23" t="n">
        <v>40042</v>
      </c>
      <c r="B1812" s="25">
        <f>VLOOKUP(Table2634[[#This Row],[Date]],'DB Money Supply'!$A:$D,4)</f>
        <v/>
      </c>
      <c r="C1812" s="31">
        <f>(Table2634[[#This Row],[M1 Money Stock, Billions of Dollars, Weekly, Seasonally Adjusted]]-B1811)/B1811</f>
        <v/>
      </c>
      <c r="D1812" s="35">
        <f>((1+Table2634[[#This Row],[Weekly change]])^52)-1</f>
        <v/>
      </c>
      <c r="E1812" s="25">
        <f>AVERAGE(B1809:B1812)</f>
        <v/>
      </c>
      <c r="F1812" s="33">
        <f>(Table2634[[#This Row],[4 weeks average]]-B1760)/B1760</f>
        <v/>
      </c>
    </row>
    <row r="1813">
      <c r="A1813" s="23" t="n">
        <v>40049</v>
      </c>
      <c r="B1813" s="25">
        <f>VLOOKUP(Table2634[[#This Row],[Date]],'DB Money Supply'!$A:$D,4)</f>
        <v/>
      </c>
      <c r="C1813" s="31">
        <f>(Table2634[[#This Row],[M1 Money Stock, Billions of Dollars, Weekly, Seasonally Adjusted]]-B1812)/B1812</f>
        <v/>
      </c>
      <c r="D1813" s="35">
        <f>((1+Table2634[[#This Row],[Weekly change]])^52)-1</f>
        <v/>
      </c>
      <c r="E1813" s="25">
        <f>AVERAGE(B1810:B1813)</f>
        <v/>
      </c>
      <c r="F1813" s="33">
        <f>(Table2634[[#This Row],[4 weeks average]]-B1761)/B1761</f>
        <v/>
      </c>
    </row>
    <row r="1814">
      <c r="A1814" s="23" t="n">
        <v>40056</v>
      </c>
      <c r="B1814" s="25">
        <f>VLOOKUP(Table2634[[#This Row],[Date]],'DB Money Supply'!$A:$D,4)</f>
        <v/>
      </c>
      <c r="C1814" s="31">
        <f>(Table2634[[#This Row],[M1 Money Stock, Billions of Dollars, Weekly, Seasonally Adjusted]]-B1813)/B1813</f>
        <v/>
      </c>
      <c r="D1814" s="35">
        <f>((1+Table2634[[#This Row],[Weekly change]])^52)-1</f>
        <v/>
      </c>
      <c r="E1814" s="25">
        <f>AVERAGE(B1811:B1814)</f>
        <v/>
      </c>
      <c r="F1814" s="33">
        <f>(Table2634[[#This Row],[4 weeks average]]-B1762)/B1762</f>
        <v/>
      </c>
    </row>
    <row r="1815">
      <c r="A1815" s="23" t="n">
        <v>40063</v>
      </c>
      <c r="B1815" s="25">
        <f>VLOOKUP(Table2634[[#This Row],[Date]],'DB Money Supply'!$A:$D,4)</f>
        <v/>
      </c>
      <c r="C1815" s="31">
        <f>(Table2634[[#This Row],[M1 Money Stock, Billions of Dollars, Weekly, Seasonally Adjusted]]-B1814)/B1814</f>
        <v/>
      </c>
      <c r="D1815" s="35">
        <f>((1+Table2634[[#This Row],[Weekly change]])^52)-1</f>
        <v/>
      </c>
      <c r="E1815" s="25">
        <f>AVERAGE(B1812:B1815)</f>
        <v/>
      </c>
      <c r="F1815" s="33">
        <f>(Table2634[[#This Row],[4 weeks average]]-B1763)/B1763</f>
        <v/>
      </c>
    </row>
    <row r="1816">
      <c r="A1816" s="23" t="n">
        <v>40070</v>
      </c>
      <c r="B1816" s="25">
        <f>VLOOKUP(Table2634[[#This Row],[Date]],'DB Money Supply'!$A:$D,4)</f>
        <v/>
      </c>
      <c r="C1816" s="31">
        <f>(Table2634[[#This Row],[M1 Money Stock, Billions of Dollars, Weekly, Seasonally Adjusted]]-B1815)/B1815</f>
        <v/>
      </c>
      <c r="D1816" s="35">
        <f>((1+Table2634[[#This Row],[Weekly change]])^52)-1</f>
        <v/>
      </c>
      <c r="E1816" s="25">
        <f>AVERAGE(B1813:B1816)</f>
        <v/>
      </c>
      <c r="F1816" s="33">
        <f>(Table2634[[#This Row],[4 weeks average]]-B1764)/B1764</f>
        <v/>
      </c>
    </row>
    <row r="1817">
      <c r="A1817" s="23" t="n">
        <v>40077</v>
      </c>
      <c r="B1817" s="25">
        <f>VLOOKUP(Table2634[[#This Row],[Date]],'DB Money Supply'!$A:$D,4)</f>
        <v/>
      </c>
      <c r="C1817" s="31">
        <f>(Table2634[[#This Row],[M1 Money Stock, Billions of Dollars, Weekly, Seasonally Adjusted]]-B1816)/B1816</f>
        <v/>
      </c>
      <c r="D1817" s="35">
        <f>((1+Table2634[[#This Row],[Weekly change]])^52)-1</f>
        <v/>
      </c>
      <c r="E1817" s="25">
        <f>AVERAGE(B1814:B1817)</f>
        <v/>
      </c>
      <c r="F1817" s="33">
        <f>(Table2634[[#This Row],[4 weeks average]]-B1765)/B1765</f>
        <v/>
      </c>
    </row>
    <row r="1818">
      <c r="A1818" s="23" t="n">
        <v>40084</v>
      </c>
      <c r="B1818" s="25">
        <f>VLOOKUP(Table2634[[#This Row],[Date]],'DB Money Supply'!$A:$D,4)</f>
        <v/>
      </c>
      <c r="C1818" s="31">
        <f>(Table2634[[#This Row],[M1 Money Stock, Billions of Dollars, Weekly, Seasonally Adjusted]]-B1817)/B1817</f>
        <v/>
      </c>
      <c r="D1818" s="35">
        <f>((1+Table2634[[#This Row],[Weekly change]])^52)-1</f>
        <v/>
      </c>
      <c r="E1818" s="25">
        <f>AVERAGE(B1815:B1818)</f>
        <v/>
      </c>
      <c r="F1818" s="33">
        <f>(Table2634[[#This Row],[4 weeks average]]-B1766)/B1766</f>
        <v/>
      </c>
    </row>
    <row r="1819">
      <c r="A1819" s="23" t="n">
        <v>40091</v>
      </c>
      <c r="B1819" s="25">
        <f>VLOOKUP(Table2634[[#This Row],[Date]],'DB Money Supply'!$A:$D,4)</f>
        <v/>
      </c>
      <c r="C1819" s="31">
        <f>(Table2634[[#This Row],[M1 Money Stock, Billions of Dollars, Weekly, Seasonally Adjusted]]-B1818)/B1818</f>
        <v/>
      </c>
      <c r="D1819" s="35">
        <f>((1+Table2634[[#This Row],[Weekly change]])^52)-1</f>
        <v/>
      </c>
      <c r="E1819" s="25">
        <f>AVERAGE(B1816:B1819)</f>
        <v/>
      </c>
      <c r="F1819" s="33">
        <f>(Table2634[[#This Row],[4 weeks average]]-B1767)/B1767</f>
        <v/>
      </c>
    </row>
    <row r="1820">
      <c r="A1820" s="23" t="n">
        <v>40098</v>
      </c>
      <c r="B1820" s="25">
        <f>VLOOKUP(Table2634[[#This Row],[Date]],'DB Money Supply'!$A:$D,4)</f>
        <v/>
      </c>
      <c r="C1820" s="31">
        <f>(Table2634[[#This Row],[M1 Money Stock, Billions of Dollars, Weekly, Seasonally Adjusted]]-B1819)/B1819</f>
        <v/>
      </c>
      <c r="D1820" s="35">
        <f>((1+Table2634[[#This Row],[Weekly change]])^52)-1</f>
        <v/>
      </c>
      <c r="E1820" s="25">
        <f>AVERAGE(B1817:B1820)</f>
        <v/>
      </c>
      <c r="F1820" s="33">
        <f>(Table2634[[#This Row],[4 weeks average]]-B1768)/B1768</f>
        <v/>
      </c>
    </row>
    <row r="1821">
      <c r="A1821" s="23" t="n">
        <v>40105</v>
      </c>
      <c r="B1821" s="25">
        <f>VLOOKUP(Table2634[[#This Row],[Date]],'DB Money Supply'!$A:$D,4)</f>
        <v/>
      </c>
      <c r="C1821" s="31">
        <f>(Table2634[[#This Row],[M1 Money Stock, Billions of Dollars, Weekly, Seasonally Adjusted]]-B1820)/B1820</f>
        <v/>
      </c>
      <c r="D1821" s="35">
        <f>((1+Table2634[[#This Row],[Weekly change]])^52)-1</f>
        <v/>
      </c>
      <c r="E1821" s="25">
        <f>AVERAGE(B1818:B1821)</f>
        <v/>
      </c>
      <c r="F1821" s="33">
        <f>(Table2634[[#This Row],[4 weeks average]]-B1769)/B1769</f>
        <v/>
      </c>
    </row>
    <row r="1822">
      <c r="A1822" s="23" t="n">
        <v>40112</v>
      </c>
      <c r="B1822" s="25">
        <f>VLOOKUP(Table2634[[#This Row],[Date]],'DB Money Supply'!$A:$D,4)</f>
        <v/>
      </c>
      <c r="C1822" s="31">
        <f>(Table2634[[#This Row],[M1 Money Stock, Billions of Dollars, Weekly, Seasonally Adjusted]]-B1821)/B1821</f>
        <v/>
      </c>
      <c r="D1822" s="35">
        <f>((1+Table2634[[#This Row],[Weekly change]])^52)-1</f>
        <v/>
      </c>
      <c r="E1822" s="25">
        <f>AVERAGE(B1819:B1822)</f>
        <v/>
      </c>
      <c r="F1822" s="33">
        <f>(Table2634[[#This Row],[4 weeks average]]-B1770)/B1770</f>
        <v/>
      </c>
    </row>
    <row r="1823">
      <c r="A1823" s="23" t="n">
        <v>40119</v>
      </c>
      <c r="B1823" s="25">
        <f>VLOOKUP(Table2634[[#This Row],[Date]],'DB Money Supply'!$A:$D,4)</f>
        <v/>
      </c>
      <c r="C1823" s="31">
        <f>(Table2634[[#This Row],[M1 Money Stock, Billions of Dollars, Weekly, Seasonally Adjusted]]-B1822)/B1822</f>
        <v/>
      </c>
      <c r="D1823" s="35">
        <f>((1+Table2634[[#This Row],[Weekly change]])^52)-1</f>
        <v/>
      </c>
      <c r="E1823" s="25">
        <f>AVERAGE(B1820:B1823)</f>
        <v/>
      </c>
      <c r="F1823" s="33">
        <f>(Table2634[[#This Row],[4 weeks average]]-B1771)/B1771</f>
        <v/>
      </c>
    </row>
    <row r="1824">
      <c r="A1824" s="23" t="n">
        <v>40126</v>
      </c>
      <c r="B1824" s="25">
        <f>VLOOKUP(Table2634[[#This Row],[Date]],'DB Money Supply'!$A:$D,4)</f>
        <v/>
      </c>
      <c r="C1824" s="31">
        <f>(Table2634[[#This Row],[M1 Money Stock, Billions of Dollars, Weekly, Seasonally Adjusted]]-B1823)/B1823</f>
        <v/>
      </c>
      <c r="D1824" s="35">
        <f>((1+Table2634[[#This Row],[Weekly change]])^52)-1</f>
        <v/>
      </c>
      <c r="E1824" s="25">
        <f>AVERAGE(B1821:B1824)</f>
        <v/>
      </c>
      <c r="F1824" s="33">
        <f>(Table2634[[#This Row],[4 weeks average]]-B1772)/B1772</f>
        <v/>
      </c>
    </row>
    <row r="1825">
      <c r="A1825" s="23" t="n">
        <v>40133</v>
      </c>
      <c r="B1825" s="25">
        <f>VLOOKUP(Table2634[[#This Row],[Date]],'DB Money Supply'!$A:$D,4)</f>
        <v/>
      </c>
      <c r="C1825" s="31">
        <f>(Table2634[[#This Row],[M1 Money Stock, Billions of Dollars, Weekly, Seasonally Adjusted]]-B1824)/B1824</f>
        <v/>
      </c>
      <c r="D1825" s="35">
        <f>((1+Table2634[[#This Row],[Weekly change]])^52)-1</f>
        <v/>
      </c>
      <c r="E1825" s="25">
        <f>AVERAGE(B1822:B1825)</f>
        <v/>
      </c>
      <c r="F1825" s="33">
        <f>(Table2634[[#This Row],[4 weeks average]]-B1773)/B1773</f>
        <v/>
      </c>
    </row>
    <row r="1826">
      <c r="A1826" s="23" t="n">
        <v>40140</v>
      </c>
      <c r="B1826" s="25">
        <f>VLOOKUP(Table2634[[#This Row],[Date]],'DB Money Supply'!$A:$D,4)</f>
        <v/>
      </c>
      <c r="C1826" s="31">
        <f>(Table2634[[#This Row],[M1 Money Stock, Billions of Dollars, Weekly, Seasonally Adjusted]]-B1825)/B1825</f>
        <v/>
      </c>
      <c r="D1826" s="35">
        <f>((1+Table2634[[#This Row],[Weekly change]])^52)-1</f>
        <v/>
      </c>
      <c r="E1826" s="25">
        <f>AVERAGE(B1823:B1826)</f>
        <v/>
      </c>
      <c r="F1826" s="33">
        <f>(Table2634[[#This Row],[4 weeks average]]-B1774)/B1774</f>
        <v/>
      </c>
    </row>
    <row r="1827">
      <c r="A1827" s="23" t="n">
        <v>40147</v>
      </c>
      <c r="B1827" s="25">
        <f>VLOOKUP(Table2634[[#This Row],[Date]],'DB Money Supply'!$A:$D,4)</f>
        <v/>
      </c>
      <c r="C1827" s="31">
        <f>(Table2634[[#This Row],[M1 Money Stock, Billions of Dollars, Weekly, Seasonally Adjusted]]-B1826)/B1826</f>
        <v/>
      </c>
      <c r="D1827" s="35">
        <f>((1+Table2634[[#This Row],[Weekly change]])^52)-1</f>
        <v/>
      </c>
      <c r="E1827" s="25">
        <f>AVERAGE(B1824:B1827)</f>
        <v/>
      </c>
      <c r="F1827" s="33">
        <f>(Table2634[[#This Row],[4 weeks average]]-B1775)/B1775</f>
        <v/>
      </c>
    </row>
    <row r="1828">
      <c r="A1828" s="23" t="n">
        <v>40154</v>
      </c>
      <c r="B1828" s="25">
        <f>VLOOKUP(Table2634[[#This Row],[Date]],'DB Money Supply'!$A:$D,4)</f>
        <v/>
      </c>
      <c r="C1828" s="31">
        <f>(Table2634[[#This Row],[M1 Money Stock, Billions of Dollars, Weekly, Seasonally Adjusted]]-B1827)/B1827</f>
        <v/>
      </c>
      <c r="D1828" s="35">
        <f>((1+Table2634[[#This Row],[Weekly change]])^52)-1</f>
        <v/>
      </c>
      <c r="E1828" s="25">
        <f>AVERAGE(B1825:B1828)</f>
        <v/>
      </c>
      <c r="F1828" s="33">
        <f>(Table2634[[#This Row],[4 weeks average]]-B1776)/B1776</f>
        <v/>
      </c>
    </row>
    <row r="1829">
      <c r="A1829" s="23" t="n">
        <v>40161</v>
      </c>
      <c r="B1829" s="25">
        <f>VLOOKUP(Table2634[[#This Row],[Date]],'DB Money Supply'!$A:$D,4)</f>
        <v/>
      </c>
      <c r="C1829" s="31">
        <f>(Table2634[[#This Row],[M1 Money Stock, Billions of Dollars, Weekly, Seasonally Adjusted]]-B1828)/B1828</f>
        <v/>
      </c>
      <c r="D1829" s="35">
        <f>((1+Table2634[[#This Row],[Weekly change]])^52)-1</f>
        <v/>
      </c>
      <c r="E1829" s="25">
        <f>AVERAGE(B1826:B1829)</f>
        <v/>
      </c>
      <c r="F1829" s="33">
        <f>(Table2634[[#This Row],[4 weeks average]]-B1777)/B1777</f>
        <v/>
      </c>
    </row>
    <row r="1830">
      <c r="A1830" s="23" t="n">
        <v>40168</v>
      </c>
      <c r="B1830" s="25">
        <f>VLOOKUP(Table2634[[#This Row],[Date]],'DB Money Supply'!$A:$D,4)</f>
        <v/>
      </c>
      <c r="C1830" s="31">
        <f>(Table2634[[#This Row],[M1 Money Stock, Billions of Dollars, Weekly, Seasonally Adjusted]]-B1829)/B1829</f>
        <v/>
      </c>
      <c r="D1830" s="35">
        <f>((1+Table2634[[#This Row],[Weekly change]])^52)-1</f>
        <v/>
      </c>
      <c r="E1830" s="25">
        <f>AVERAGE(B1827:B1830)</f>
        <v/>
      </c>
      <c r="F1830" s="33">
        <f>(Table2634[[#This Row],[4 weeks average]]-B1778)/B1778</f>
        <v/>
      </c>
    </row>
    <row r="1831">
      <c r="A1831" s="23" t="n">
        <v>40175</v>
      </c>
      <c r="B1831" s="25">
        <f>VLOOKUP(Table2634[[#This Row],[Date]],'DB Money Supply'!$A:$D,4)</f>
        <v/>
      </c>
      <c r="C1831" s="31">
        <f>(Table2634[[#This Row],[M1 Money Stock, Billions of Dollars, Weekly, Seasonally Adjusted]]-B1830)/B1830</f>
        <v/>
      </c>
      <c r="D1831" s="35">
        <f>((1+Table2634[[#This Row],[Weekly change]])^52)-1</f>
        <v/>
      </c>
      <c r="E1831" s="25">
        <f>AVERAGE(B1828:B1831)</f>
        <v/>
      </c>
      <c r="F1831" s="33">
        <f>(Table2634[[#This Row],[4 weeks average]]-B1779)/B1779</f>
        <v/>
      </c>
    </row>
    <row r="1832">
      <c r="A1832" s="23" t="n">
        <v>40182</v>
      </c>
      <c r="B1832" s="25">
        <f>VLOOKUP(Table2634[[#This Row],[Date]],'DB Money Supply'!$A:$D,4)</f>
        <v/>
      </c>
      <c r="C1832" s="31">
        <f>(Table2634[[#This Row],[M1 Money Stock, Billions of Dollars, Weekly, Seasonally Adjusted]]-B1831)/B1831</f>
        <v/>
      </c>
      <c r="D1832" s="35">
        <f>((1+Table2634[[#This Row],[Weekly change]])^52)-1</f>
        <v/>
      </c>
      <c r="E1832" s="25">
        <f>AVERAGE(B1829:B1832)</f>
        <v/>
      </c>
      <c r="F1832" s="33">
        <f>(Table2634[[#This Row],[4 weeks average]]-B1780)/B1780</f>
        <v/>
      </c>
    </row>
    <row r="1833">
      <c r="A1833" s="23" t="n">
        <v>40189</v>
      </c>
      <c r="B1833" s="25">
        <f>VLOOKUP(Table2634[[#This Row],[Date]],'DB Money Supply'!$A:$D,4)</f>
        <v/>
      </c>
      <c r="C1833" s="31">
        <f>(Table2634[[#This Row],[M1 Money Stock, Billions of Dollars, Weekly, Seasonally Adjusted]]-B1832)/B1832</f>
        <v/>
      </c>
      <c r="D1833" s="35">
        <f>((1+Table2634[[#This Row],[Weekly change]])^52)-1</f>
        <v/>
      </c>
      <c r="E1833" s="25">
        <f>AVERAGE(B1830:B1833)</f>
        <v/>
      </c>
      <c r="F1833" s="33">
        <f>(Table2634[[#This Row],[4 weeks average]]-B1781)/B1781</f>
        <v/>
      </c>
    </row>
    <row r="1834">
      <c r="A1834" s="23" t="n">
        <v>40196</v>
      </c>
      <c r="B1834" s="25">
        <f>VLOOKUP(Table2634[[#This Row],[Date]],'DB Money Supply'!$A:$D,4)</f>
        <v/>
      </c>
      <c r="C1834" s="31">
        <f>(Table2634[[#This Row],[M1 Money Stock, Billions of Dollars, Weekly, Seasonally Adjusted]]-B1833)/B1833</f>
        <v/>
      </c>
      <c r="D1834" s="35">
        <f>((1+Table2634[[#This Row],[Weekly change]])^52)-1</f>
        <v/>
      </c>
      <c r="E1834" s="25">
        <f>AVERAGE(B1831:B1834)</f>
        <v/>
      </c>
      <c r="F1834" s="33">
        <f>(Table2634[[#This Row],[4 weeks average]]-B1782)/B1782</f>
        <v/>
      </c>
    </row>
    <row r="1835">
      <c r="A1835" s="23" t="n">
        <v>40203</v>
      </c>
      <c r="B1835" s="25">
        <f>VLOOKUP(Table2634[[#This Row],[Date]],'DB Money Supply'!$A:$D,4)</f>
        <v/>
      </c>
      <c r="C1835" s="31">
        <f>(Table2634[[#This Row],[M1 Money Stock, Billions of Dollars, Weekly, Seasonally Adjusted]]-B1834)/B1834</f>
        <v/>
      </c>
      <c r="D1835" s="35">
        <f>((1+Table2634[[#This Row],[Weekly change]])^52)-1</f>
        <v/>
      </c>
      <c r="E1835" s="25">
        <f>AVERAGE(B1832:B1835)</f>
        <v/>
      </c>
      <c r="F1835" s="33">
        <f>(Table2634[[#This Row],[4 weeks average]]-B1783)/B1783</f>
        <v/>
      </c>
    </row>
    <row r="1836">
      <c r="A1836" s="23" t="n">
        <v>40210</v>
      </c>
      <c r="B1836" s="25">
        <f>VLOOKUP(Table2634[[#This Row],[Date]],'DB Money Supply'!$A:$D,4)</f>
        <v/>
      </c>
      <c r="C1836" s="31">
        <f>(Table2634[[#This Row],[M1 Money Stock, Billions of Dollars, Weekly, Seasonally Adjusted]]-B1835)/B1835</f>
        <v/>
      </c>
      <c r="D1836" s="35">
        <f>((1+Table2634[[#This Row],[Weekly change]])^52)-1</f>
        <v/>
      </c>
      <c r="E1836" s="25">
        <f>AVERAGE(B1833:B1836)</f>
        <v/>
      </c>
      <c r="F1836" s="33">
        <f>(Table2634[[#This Row],[4 weeks average]]-B1784)/B1784</f>
        <v/>
      </c>
    </row>
    <row r="1837">
      <c r="A1837" s="23" t="n">
        <v>40217</v>
      </c>
      <c r="B1837" s="25">
        <f>VLOOKUP(Table2634[[#This Row],[Date]],'DB Money Supply'!$A:$D,4)</f>
        <v/>
      </c>
      <c r="C1837" s="31">
        <f>(Table2634[[#This Row],[M1 Money Stock, Billions of Dollars, Weekly, Seasonally Adjusted]]-B1836)/B1836</f>
        <v/>
      </c>
      <c r="D1837" s="35">
        <f>((1+Table2634[[#This Row],[Weekly change]])^52)-1</f>
        <v/>
      </c>
      <c r="E1837" s="25">
        <f>AVERAGE(B1834:B1837)</f>
        <v/>
      </c>
      <c r="F1837" s="33">
        <f>(Table2634[[#This Row],[4 weeks average]]-B1785)/B1785</f>
        <v/>
      </c>
    </row>
    <row r="1838">
      <c r="A1838" s="23" t="n">
        <v>40224</v>
      </c>
      <c r="B1838" s="25">
        <f>VLOOKUP(Table2634[[#This Row],[Date]],'DB Money Supply'!$A:$D,4)</f>
        <v/>
      </c>
      <c r="C1838" s="31">
        <f>(Table2634[[#This Row],[M1 Money Stock, Billions of Dollars, Weekly, Seasonally Adjusted]]-B1837)/B1837</f>
        <v/>
      </c>
      <c r="D1838" s="35">
        <f>((1+Table2634[[#This Row],[Weekly change]])^52)-1</f>
        <v/>
      </c>
      <c r="E1838" s="25">
        <f>AVERAGE(B1835:B1838)</f>
        <v/>
      </c>
      <c r="F1838" s="33">
        <f>(Table2634[[#This Row],[4 weeks average]]-B1786)/B1786</f>
        <v/>
      </c>
    </row>
    <row r="1839">
      <c r="A1839" s="23" t="n">
        <v>40231</v>
      </c>
      <c r="B1839" s="25">
        <f>VLOOKUP(Table2634[[#This Row],[Date]],'DB Money Supply'!$A:$D,4)</f>
        <v/>
      </c>
      <c r="C1839" s="31">
        <f>(Table2634[[#This Row],[M1 Money Stock, Billions of Dollars, Weekly, Seasonally Adjusted]]-B1838)/B1838</f>
        <v/>
      </c>
      <c r="D1839" s="35">
        <f>((1+Table2634[[#This Row],[Weekly change]])^52)-1</f>
        <v/>
      </c>
      <c r="E1839" s="25">
        <f>AVERAGE(B1836:B1839)</f>
        <v/>
      </c>
      <c r="F1839" s="33">
        <f>(Table2634[[#This Row],[4 weeks average]]-B1787)/B1787</f>
        <v/>
      </c>
    </row>
    <row r="1840">
      <c r="A1840" s="23" t="n">
        <v>40238</v>
      </c>
      <c r="B1840" s="25">
        <f>VLOOKUP(Table2634[[#This Row],[Date]],'DB Money Supply'!$A:$D,4)</f>
        <v/>
      </c>
      <c r="C1840" s="31">
        <f>(Table2634[[#This Row],[M1 Money Stock, Billions of Dollars, Weekly, Seasonally Adjusted]]-B1839)/B1839</f>
        <v/>
      </c>
      <c r="D1840" s="35">
        <f>((1+Table2634[[#This Row],[Weekly change]])^52)-1</f>
        <v/>
      </c>
      <c r="E1840" s="25">
        <f>AVERAGE(B1837:B1840)</f>
        <v/>
      </c>
      <c r="F1840" s="33">
        <f>(Table2634[[#This Row],[4 weeks average]]-B1788)/B1788</f>
        <v/>
      </c>
    </row>
    <row r="1841">
      <c r="A1841" s="23" t="n">
        <v>40245</v>
      </c>
      <c r="B1841" s="25">
        <f>VLOOKUP(Table2634[[#This Row],[Date]],'DB Money Supply'!$A:$D,4)</f>
        <v/>
      </c>
      <c r="C1841" s="31">
        <f>(Table2634[[#This Row],[M1 Money Stock, Billions of Dollars, Weekly, Seasonally Adjusted]]-B1840)/B1840</f>
        <v/>
      </c>
      <c r="D1841" s="35">
        <f>((1+Table2634[[#This Row],[Weekly change]])^52)-1</f>
        <v/>
      </c>
      <c r="E1841" s="25">
        <f>AVERAGE(B1838:B1841)</f>
        <v/>
      </c>
      <c r="F1841" s="33">
        <f>(Table2634[[#This Row],[4 weeks average]]-B1789)/B1789</f>
        <v/>
      </c>
    </row>
    <row r="1842">
      <c r="A1842" s="23" t="n">
        <v>40252</v>
      </c>
      <c r="B1842" s="25">
        <f>VLOOKUP(Table2634[[#This Row],[Date]],'DB Money Supply'!$A:$D,4)</f>
        <v/>
      </c>
      <c r="C1842" s="31">
        <f>(Table2634[[#This Row],[M1 Money Stock, Billions of Dollars, Weekly, Seasonally Adjusted]]-B1841)/B1841</f>
        <v/>
      </c>
      <c r="D1842" s="35">
        <f>((1+Table2634[[#This Row],[Weekly change]])^52)-1</f>
        <v/>
      </c>
      <c r="E1842" s="25">
        <f>AVERAGE(B1839:B1842)</f>
        <v/>
      </c>
      <c r="F1842" s="33">
        <f>(Table2634[[#This Row],[4 weeks average]]-B1790)/B1790</f>
        <v/>
      </c>
    </row>
    <row r="1843">
      <c r="A1843" s="23" t="n">
        <v>40259</v>
      </c>
      <c r="B1843" s="25">
        <f>VLOOKUP(Table2634[[#This Row],[Date]],'DB Money Supply'!$A:$D,4)</f>
        <v/>
      </c>
      <c r="C1843" s="31">
        <f>(Table2634[[#This Row],[M1 Money Stock, Billions of Dollars, Weekly, Seasonally Adjusted]]-B1842)/B1842</f>
        <v/>
      </c>
      <c r="D1843" s="35">
        <f>((1+Table2634[[#This Row],[Weekly change]])^52)-1</f>
        <v/>
      </c>
      <c r="E1843" s="25">
        <f>AVERAGE(B1840:B1843)</f>
        <v/>
      </c>
      <c r="F1843" s="33">
        <f>(Table2634[[#This Row],[4 weeks average]]-B1791)/B1791</f>
        <v/>
      </c>
    </row>
    <row r="1844">
      <c r="A1844" s="23" t="n">
        <v>40266</v>
      </c>
      <c r="B1844" s="25">
        <f>VLOOKUP(Table2634[[#This Row],[Date]],'DB Money Supply'!$A:$D,4)</f>
        <v/>
      </c>
      <c r="C1844" s="31">
        <f>(Table2634[[#This Row],[M1 Money Stock, Billions of Dollars, Weekly, Seasonally Adjusted]]-B1843)/B1843</f>
        <v/>
      </c>
      <c r="D1844" s="35">
        <f>((1+Table2634[[#This Row],[Weekly change]])^52)-1</f>
        <v/>
      </c>
      <c r="E1844" s="25">
        <f>AVERAGE(B1841:B1844)</f>
        <v/>
      </c>
      <c r="F1844" s="33">
        <f>(Table2634[[#This Row],[4 weeks average]]-B1792)/B1792</f>
        <v/>
      </c>
    </row>
    <row r="1845">
      <c r="A1845" s="23" t="n">
        <v>40273</v>
      </c>
      <c r="B1845" s="25">
        <f>VLOOKUP(Table2634[[#This Row],[Date]],'DB Money Supply'!$A:$D,4)</f>
        <v/>
      </c>
      <c r="C1845" s="31">
        <f>(Table2634[[#This Row],[M1 Money Stock, Billions of Dollars, Weekly, Seasonally Adjusted]]-B1844)/B1844</f>
        <v/>
      </c>
      <c r="D1845" s="35">
        <f>((1+Table2634[[#This Row],[Weekly change]])^52)-1</f>
        <v/>
      </c>
      <c r="E1845" s="25">
        <f>AVERAGE(B1842:B1845)</f>
        <v/>
      </c>
      <c r="F1845" s="33">
        <f>(Table2634[[#This Row],[4 weeks average]]-B1793)/B1793</f>
        <v/>
      </c>
    </row>
    <row r="1846">
      <c r="A1846" s="23" t="n">
        <v>40280</v>
      </c>
      <c r="B1846" s="25">
        <f>VLOOKUP(Table2634[[#This Row],[Date]],'DB Money Supply'!$A:$D,4)</f>
        <v/>
      </c>
      <c r="C1846" s="31">
        <f>(Table2634[[#This Row],[M1 Money Stock, Billions of Dollars, Weekly, Seasonally Adjusted]]-B1845)/B1845</f>
        <v/>
      </c>
      <c r="D1846" s="35">
        <f>((1+Table2634[[#This Row],[Weekly change]])^52)-1</f>
        <v/>
      </c>
      <c r="E1846" s="25">
        <f>AVERAGE(B1843:B1846)</f>
        <v/>
      </c>
      <c r="F1846" s="33">
        <f>(Table2634[[#This Row],[4 weeks average]]-B1794)/B1794</f>
        <v/>
      </c>
    </row>
    <row r="1847">
      <c r="A1847" s="23" t="n">
        <v>40287</v>
      </c>
      <c r="B1847" s="25">
        <f>VLOOKUP(Table2634[[#This Row],[Date]],'DB Money Supply'!$A:$D,4)</f>
        <v/>
      </c>
      <c r="C1847" s="31">
        <f>(Table2634[[#This Row],[M1 Money Stock, Billions of Dollars, Weekly, Seasonally Adjusted]]-B1846)/B1846</f>
        <v/>
      </c>
      <c r="D1847" s="35">
        <f>((1+Table2634[[#This Row],[Weekly change]])^52)-1</f>
        <v/>
      </c>
      <c r="E1847" s="25">
        <f>AVERAGE(B1844:B1847)</f>
        <v/>
      </c>
      <c r="F1847" s="33">
        <f>(Table2634[[#This Row],[4 weeks average]]-B1795)/B1795</f>
        <v/>
      </c>
    </row>
    <row r="1848">
      <c r="A1848" s="23" t="n">
        <v>40294</v>
      </c>
      <c r="B1848" s="25">
        <f>VLOOKUP(Table2634[[#This Row],[Date]],'DB Money Supply'!$A:$D,4)</f>
        <v/>
      </c>
      <c r="C1848" s="31">
        <f>(Table2634[[#This Row],[M1 Money Stock, Billions of Dollars, Weekly, Seasonally Adjusted]]-B1847)/B1847</f>
        <v/>
      </c>
      <c r="D1848" s="35">
        <f>((1+Table2634[[#This Row],[Weekly change]])^52)-1</f>
        <v/>
      </c>
      <c r="E1848" s="25">
        <f>AVERAGE(B1845:B1848)</f>
        <v/>
      </c>
      <c r="F1848" s="33">
        <f>(Table2634[[#This Row],[4 weeks average]]-B1796)/B1796</f>
        <v/>
      </c>
    </row>
    <row r="1849">
      <c r="A1849" s="23" t="n">
        <v>40301</v>
      </c>
      <c r="B1849" s="25">
        <f>VLOOKUP(Table2634[[#This Row],[Date]],'DB Money Supply'!$A:$D,4)</f>
        <v/>
      </c>
      <c r="C1849" s="31">
        <f>(Table2634[[#This Row],[M1 Money Stock, Billions of Dollars, Weekly, Seasonally Adjusted]]-B1848)/B1848</f>
        <v/>
      </c>
      <c r="D1849" s="35">
        <f>((1+Table2634[[#This Row],[Weekly change]])^52)-1</f>
        <v/>
      </c>
      <c r="E1849" s="25">
        <f>AVERAGE(B1846:B1849)</f>
        <v/>
      </c>
      <c r="F1849" s="33">
        <f>(Table2634[[#This Row],[4 weeks average]]-B1797)/B1797</f>
        <v/>
      </c>
    </row>
    <row r="1850">
      <c r="A1850" s="23" t="n">
        <v>40308</v>
      </c>
      <c r="B1850" s="25">
        <f>VLOOKUP(Table2634[[#This Row],[Date]],'DB Money Supply'!$A:$D,4)</f>
        <v/>
      </c>
      <c r="C1850" s="31">
        <f>(Table2634[[#This Row],[M1 Money Stock, Billions of Dollars, Weekly, Seasonally Adjusted]]-B1849)/B1849</f>
        <v/>
      </c>
      <c r="D1850" s="35">
        <f>((1+Table2634[[#This Row],[Weekly change]])^52)-1</f>
        <v/>
      </c>
      <c r="E1850" s="25">
        <f>AVERAGE(B1847:B1850)</f>
        <v/>
      </c>
      <c r="F1850" s="33">
        <f>(Table2634[[#This Row],[4 weeks average]]-B1798)/B1798</f>
        <v/>
      </c>
    </row>
    <row r="1851">
      <c r="A1851" s="23" t="n">
        <v>40315</v>
      </c>
      <c r="B1851" s="25">
        <f>VLOOKUP(Table2634[[#This Row],[Date]],'DB Money Supply'!$A:$D,4)</f>
        <v/>
      </c>
      <c r="C1851" s="31">
        <f>(Table2634[[#This Row],[M1 Money Stock, Billions of Dollars, Weekly, Seasonally Adjusted]]-B1850)/B1850</f>
        <v/>
      </c>
      <c r="D1851" s="35">
        <f>((1+Table2634[[#This Row],[Weekly change]])^52)-1</f>
        <v/>
      </c>
      <c r="E1851" s="25">
        <f>AVERAGE(B1848:B1851)</f>
        <v/>
      </c>
      <c r="F1851" s="33">
        <f>(Table2634[[#This Row],[4 weeks average]]-B1799)/B1799</f>
        <v/>
      </c>
    </row>
    <row r="1852">
      <c r="A1852" s="23" t="n">
        <v>40322</v>
      </c>
      <c r="B1852" s="25">
        <f>VLOOKUP(Table2634[[#This Row],[Date]],'DB Money Supply'!$A:$D,4)</f>
        <v/>
      </c>
      <c r="C1852" s="31">
        <f>(Table2634[[#This Row],[M1 Money Stock, Billions of Dollars, Weekly, Seasonally Adjusted]]-B1851)/B1851</f>
        <v/>
      </c>
      <c r="D1852" s="35">
        <f>((1+Table2634[[#This Row],[Weekly change]])^52)-1</f>
        <v/>
      </c>
      <c r="E1852" s="25">
        <f>AVERAGE(B1849:B1852)</f>
        <v/>
      </c>
      <c r="F1852" s="33">
        <f>(Table2634[[#This Row],[4 weeks average]]-B1800)/B1800</f>
        <v/>
      </c>
    </row>
    <row r="1853">
      <c r="A1853" s="23" t="n">
        <v>40329</v>
      </c>
      <c r="B1853" s="25">
        <f>VLOOKUP(Table2634[[#This Row],[Date]],'DB Money Supply'!$A:$D,4)</f>
        <v/>
      </c>
      <c r="C1853" s="31">
        <f>(Table2634[[#This Row],[M1 Money Stock, Billions of Dollars, Weekly, Seasonally Adjusted]]-B1852)/B1852</f>
        <v/>
      </c>
      <c r="D1853" s="35">
        <f>((1+Table2634[[#This Row],[Weekly change]])^52)-1</f>
        <v/>
      </c>
      <c r="E1853" s="25">
        <f>AVERAGE(B1850:B1853)</f>
        <v/>
      </c>
      <c r="F1853" s="33">
        <f>(Table2634[[#This Row],[4 weeks average]]-B1801)/B1801</f>
        <v/>
      </c>
    </row>
    <row r="1854">
      <c r="A1854" s="23" t="n">
        <v>40336</v>
      </c>
      <c r="B1854" s="25">
        <f>VLOOKUP(Table2634[[#This Row],[Date]],'DB Money Supply'!$A:$D,4)</f>
        <v/>
      </c>
      <c r="C1854" s="31">
        <f>(Table2634[[#This Row],[M1 Money Stock, Billions of Dollars, Weekly, Seasonally Adjusted]]-B1853)/B1853</f>
        <v/>
      </c>
      <c r="D1854" s="35">
        <f>((1+Table2634[[#This Row],[Weekly change]])^52)-1</f>
        <v/>
      </c>
      <c r="E1854" s="25">
        <f>AVERAGE(B1851:B1854)</f>
        <v/>
      </c>
      <c r="F1854" s="33">
        <f>(Table2634[[#This Row],[4 weeks average]]-B1802)/B1802</f>
        <v/>
      </c>
    </row>
    <row r="1855">
      <c r="A1855" s="23" t="n">
        <v>40343</v>
      </c>
      <c r="B1855" s="25">
        <f>VLOOKUP(Table2634[[#This Row],[Date]],'DB Money Supply'!$A:$D,4)</f>
        <v/>
      </c>
      <c r="C1855" s="31">
        <f>(Table2634[[#This Row],[M1 Money Stock, Billions of Dollars, Weekly, Seasonally Adjusted]]-B1854)/B1854</f>
        <v/>
      </c>
      <c r="D1855" s="35">
        <f>((1+Table2634[[#This Row],[Weekly change]])^52)-1</f>
        <v/>
      </c>
      <c r="E1855" s="25">
        <f>AVERAGE(B1852:B1855)</f>
        <v/>
      </c>
      <c r="F1855" s="33">
        <f>(Table2634[[#This Row],[4 weeks average]]-B1803)/B1803</f>
        <v/>
      </c>
    </row>
    <row r="1856">
      <c r="A1856" s="23" t="n">
        <v>40350</v>
      </c>
      <c r="B1856" s="25">
        <f>VLOOKUP(Table2634[[#This Row],[Date]],'DB Money Supply'!$A:$D,4)</f>
        <v/>
      </c>
      <c r="C1856" s="31">
        <f>(Table2634[[#This Row],[M1 Money Stock, Billions of Dollars, Weekly, Seasonally Adjusted]]-B1855)/B1855</f>
        <v/>
      </c>
      <c r="D1856" s="35">
        <f>((1+Table2634[[#This Row],[Weekly change]])^52)-1</f>
        <v/>
      </c>
      <c r="E1856" s="25">
        <f>AVERAGE(B1853:B1856)</f>
        <v/>
      </c>
      <c r="F1856" s="33">
        <f>(Table2634[[#This Row],[4 weeks average]]-B1804)/B1804</f>
        <v/>
      </c>
    </row>
    <row r="1857">
      <c r="A1857" s="23" t="n">
        <v>40357</v>
      </c>
      <c r="B1857" s="25">
        <f>VLOOKUP(Table2634[[#This Row],[Date]],'DB Money Supply'!$A:$D,4)</f>
        <v/>
      </c>
      <c r="C1857" s="31">
        <f>(Table2634[[#This Row],[M1 Money Stock, Billions of Dollars, Weekly, Seasonally Adjusted]]-B1856)/B1856</f>
        <v/>
      </c>
      <c r="D1857" s="35">
        <f>((1+Table2634[[#This Row],[Weekly change]])^52)-1</f>
        <v/>
      </c>
      <c r="E1857" s="25">
        <f>AVERAGE(B1854:B1857)</f>
        <v/>
      </c>
      <c r="F1857" s="33">
        <f>(Table2634[[#This Row],[4 weeks average]]-B1805)/B1805</f>
        <v/>
      </c>
    </row>
    <row r="1858">
      <c r="A1858" s="23" t="n">
        <v>40364</v>
      </c>
      <c r="B1858" s="25">
        <f>VLOOKUP(Table2634[[#This Row],[Date]],'DB Money Supply'!$A:$D,4)</f>
        <v/>
      </c>
      <c r="C1858" s="31">
        <f>(Table2634[[#This Row],[M1 Money Stock, Billions of Dollars, Weekly, Seasonally Adjusted]]-B1857)/B1857</f>
        <v/>
      </c>
      <c r="D1858" s="35">
        <f>((1+Table2634[[#This Row],[Weekly change]])^52)-1</f>
        <v/>
      </c>
      <c r="E1858" s="25">
        <f>AVERAGE(B1855:B1858)</f>
        <v/>
      </c>
      <c r="F1858" s="33">
        <f>(Table2634[[#This Row],[4 weeks average]]-B1806)/B1806</f>
        <v/>
      </c>
    </row>
    <row r="1859">
      <c r="A1859" s="23" t="n">
        <v>40371</v>
      </c>
      <c r="B1859" s="25">
        <f>VLOOKUP(Table2634[[#This Row],[Date]],'DB Money Supply'!$A:$D,4)</f>
        <v/>
      </c>
      <c r="C1859" s="31">
        <f>(Table2634[[#This Row],[M1 Money Stock, Billions of Dollars, Weekly, Seasonally Adjusted]]-B1858)/B1858</f>
        <v/>
      </c>
      <c r="D1859" s="35">
        <f>((1+Table2634[[#This Row],[Weekly change]])^52)-1</f>
        <v/>
      </c>
      <c r="E1859" s="25">
        <f>AVERAGE(B1856:B1859)</f>
        <v/>
      </c>
      <c r="F1859" s="33">
        <f>(Table2634[[#This Row],[4 weeks average]]-B1807)/B1807</f>
        <v/>
      </c>
    </row>
    <row r="1860">
      <c r="A1860" s="23" t="n">
        <v>40378</v>
      </c>
      <c r="B1860" s="25">
        <f>VLOOKUP(Table2634[[#This Row],[Date]],'DB Money Supply'!$A:$D,4)</f>
        <v/>
      </c>
      <c r="C1860" s="31">
        <f>(Table2634[[#This Row],[M1 Money Stock, Billions of Dollars, Weekly, Seasonally Adjusted]]-B1859)/B1859</f>
        <v/>
      </c>
      <c r="D1860" s="35">
        <f>((1+Table2634[[#This Row],[Weekly change]])^52)-1</f>
        <v/>
      </c>
      <c r="E1860" s="25">
        <f>AVERAGE(B1857:B1860)</f>
        <v/>
      </c>
      <c r="F1860" s="33">
        <f>(Table2634[[#This Row],[4 weeks average]]-B1808)/B1808</f>
        <v/>
      </c>
    </row>
    <row r="1861">
      <c r="A1861" s="23" t="n">
        <v>40385</v>
      </c>
      <c r="B1861" s="25">
        <f>VLOOKUP(Table2634[[#This Row],[Date]],'DB Money Supply'!$A:$D,4)</f>
        <v/>
      </c>
      <c r="C1861" s="31">
        <f>(Table2634[[#This Row],[M1 Money Stock, Billions of Dollars, Weekly, Seasonally Adjusted]]-B1860)/B1860</f>
        <v/>
      </c>
      <c r="D1861" s="35">
        <f>((1+Table2634[[#This Row],[Weekly change]])^52)-1</f>
        <v/>
      </c>
      <c r="E1861" s="25">
        <f>AVERAGE(B1858:B1861)</f>
        <v/>
      </c>
      <c r="F1861" s="33">
        <f>(Table2634[[#This Row],[4 weeks average]]-B1809)/B1809</f>
        <v/>
      </c>
    </row>
    <row r="1862">
      <c r="A1862" s="23" t="n">
        <v>40392</v>
      </c>
      <c r="B1862" s="25">
        <f>VLOOKUP(Table2634[[#This Row],[Date]],'DB Money Supply'!$A:$D,4)</f>
        <v/>
      </c>
      <c r="C1862" s="31">
        <f>(Table2634[[#This Row],[M1 Money Stock, Billions of Dollars, Weekly, Seasonally Adjusted]]-B1861)/B1861</f>
        <v/>
      </c>
      <c r="D1862" s="35">
        <f>((1+Table2634[[#This Row],[Weekly change]])^52)-1</f>
        <v/>
      </c>
      <c r="E1862" s="25">
        <f>AVERAGE(B1859:B1862)</f>
        <v/>
      </c>
      <c r="F1862" s="33">
        <f>(Table2634[[#This Row],[4 weeks average]]-B1810)/B1810</f>
        <v/>
      </c>
    </row>
    <row r="1863">
      <c r="A1863" s="23" t="n">
        <v>40399</v>
      </c>
      <c r="B1863" s="25">
        <f>VLOOKUP(Table2634[[#This Row],[Date]],'DB Money Supply'!$A:$D,4)</f>
        <v/>
      </c>
      <c r="C1863" s="31">
        <f>(Table2634[[#This Row],[M1 Money Stock, Billions of Dollars, Weekly, Seasonally Adjusted]]-B1862)/B1862</f>
        <v/>
      </c>
      <c r="D1863" s="35">
        <f>((1+Table2634[[#This Row],[Weekly change]])^52)-1</f>
        <v/>
      </c>
      <c r="E1863" s="25">
        <f>AVERAGE(B1860:B1863)</f>
        <v/>
      </c>
      <c r="F1863" s="33">
        <f>(Table2634[[#This Row],[4 weeks average]]-B1811)/B1811</f>
        <v/>
      </c>
    </row>
    <row r="1864">
      <c r="A1864" s="23" t="n">
        <v>40406</v>
      </c>
      <c r="B1864" s="25">
        <f>VLOOKUP(Table2634[[#This Row],[Date]],'DB Money Supply'!$A:$D,4)</f>
        <v/>
      </c>
      <c r="C1864" s="31">
        <f>(Table2634[[#This Row],[M1 Money Stock, Billions of Dollars, Weekly, Seasonally Adjusted]]-B1863)/B1863</f>
        <v/>
      </c>
      <c r="D1864" s="35">
        <f>((1+Table2634[[#This Row],[Weekly change]])^52)-1</f>
        <v/>
      </c>
      <c r="E1864" s="25">
        <f>AVERAGE(B1861:B1864)</f>
        <v/>
      </c>
      <c r="F1864" s="33">
        <f>(Table2634[[#This Row],[4 weeks average]]-B1812)/B1812</f>
        <v/>
      </c>
    </row>
    <row r="1865">
      <c r="A1865" s="23" t="n">
        <v>40413</v>
      </c>
      <c r="B1865" s="25">
        <f>VLOOKUP(Table2634[[#This Row],[Date]],'DB Money Supply'!$A:$D,4)</f>
        <v/>
      </c>
      <c r="C1865" s="31">
        <f>(Table2634[[#This Row],[M1 Money Stock, Billions of Dollars, Weekly, Seasonally Adjusted]]-B1864)/B1864</f>
        <v/>
      </c>
      <c r="D1865" s="35">
        <f>((1+Table2634[[#This Row],[Weekly change]])^52)-1</f>
        <v/>
      </c>
      <c r="E1865" s="25">
        <f>AVERAGE(B1862:B1865)</f>
        <v/>
      </c>
      <c r="F1865" s="33">
        <f>(Table2634[[#This Row],[4 weeks average]]-B1813)/B1813</f>
        <v/>
      </c>
    </row>
    <row r="1866">
      <c r="A1866" s="23" t="n">
        <v>40420</v>
      </c>
      <c r="B1866" s="25">
        <f>VLOOKUP(Table2634[[#This Row],[Date]],'DB Money Supply'!$A:$D,4)</f>
        <v/>
      </c>
      <c r="C1866" s="31">
        <f>(Table2634[[#This Row],[M1 Money Stock, Billions of Dollars, Weekly, Seasonally Adjusted]]-B1865)/B1865</f>
        <v/>
      </c>
      <c r="D1866" s="35">
        <f>((1+Table2634[[#This Row],[Weekly change]])^52)-1</f>
        <v/>
      </c>
      <c r="E1866" s="25">
        <f>AVERAGE(B1863:B1866)</f>
        <v/>
      </c>
      <c r="F1866" s="33">
        <f>(Table2634[[#This Row],[4 weeks average]]-B1814)/B1814</f>
        <v/>
      </c>
    </row>
    <row r="1867">
      <c r="A1867" s="23" t="n">
        <v>40427</v>
      </c>
      <c r="B1867" s="25">
        <f>VLOOKUP(Table2634[[#This Row],[Date]],'DB Money Supply'!$A:$D,4)</f>
        <v/>
      </c>
      <c r="C1867" s="31">
        <f>(Table2634[[#This Row],[M1 Money Stock, Billions of Dollars, Weekly, Seasonally Adjusted]]-B1866)/B1866</f>
        <v/>
      </c>
      <c r="D1867" s="35">
        <f>((1+Table2634[[#This Row],[Weekly change]])^52)-1</f>
        <v/>
      </c>
      <c r="E1867" s="25">
        <f>AVERAGE(B1864:B1867)</f>
        <v/>
      </c>
      <c r="F1867" s="33">
        <f>(Table2634[[#This Row],[4 weeks average]]-B1815)/B1815</f>
        <v/>
      </c>
    </row>
    <row r="1868">
      <c r="A1868" s="23" t="n">
        <v>40434</v>
      </c>
      <c r="B1868" s="25">
        <f>VLOOKUP(Table2634[[#This Row],[Date]],'DB Money Supply'!$A:$D,4)</f>
        <v/>
      </c>
      <c r="C1868" s="31">
        <f>(Table2634[[#This Row],[M1 Money Stock, Billions of Dollars, Weekly, Seasonally Adjusted]]-B1867)/B1867</f>
        <v/>
      </c>
      <c r="D1868" s="35">
        <f>((1+Table2634[[#This Row],[Weekly change]])^52)-1</f>
        <v/>
      </c>
      <c r="E1868" s="25">
        <f>AVERAGE(B1865:B1868)</f>
        <v/>
      </c>
      <c r="F1868" s="33">
        <f>(Table2634[[#This Row],[4 weeks average]]-B1816)/B1816</f>
        <v/>
      </c>
    </row>
    <row r="1869">
      <c r="A1869" s="23" t="n">
        <v>40441</v>
      </c>
      <c r="B1869" s="25">
        <f>VLOOKUP(Table2634[[#This Row],[Date]],'DB Money Supply'!$A:$D,4)</f>
        <v/>
      </c>
      <c r="C1869" s="31">
        <f>(Table2634[[#This Row],[M1 Money Stock, Billions of Dollars, Weekly, Seasonally Adjusted]]-B1868)/B1868</f>
        <v/>
      </c>
      <c r="D1869" s="35">
        <f>((1+Table2634[[#This Row],[Weekly change]])^52)-1</f>
        <v/>
      </c>
      <c r="E1869" s="25">
        <f>AVERAGE(B1866:B1869)</f>
        <v/>
      </c>
      <c r="F1869" s="33">
        <f>(Table2634[[#This Row],[4 weeks average]]-B1817)/B1817</f>
        <v/>
      </c>
    </row>
    <row r="1870">
      <c r="A1870" s="23" t="n">
        <v>40448</v>
      </c>
      <c r="B1870" s="25">
        <f>VLOOKUP(Table2634[[#This Row],[Date]],'DB Money Supply'!$A:$D,4)</f>
        <v/>
      </c>
      <c r="C1870" s="31">
        <f>(Table2634[[#This Row],[M1 Money Stock, Billions of Dollars, Weekly, Seasonally Adjusted]]-B1869)/B1869</f>
        <v/>
      </c>
      <c r="D1870" s="35">
        <f>((1+Table2634[[#This Row],[Weekly change]])^52)-1</f>
        <v/>
      </c>
      <c r="E1870" s="25">
        <f>AVERAGE(B1867:B1870)</f>
        <v/>
      </c>
      <c r="F1870" s="33">
        <f>(Table2634[[#This Row],[4 weeks average]]-B1818)/B1818</f>
        <v/>
      </c>
    </row>
    <row r="1871">
      <c r="A1871" s="23" t="n">
        <v>40455</v>
      </c>
      <c r="B1871" s="25">
        <f>VLOOKUP(Table2634[[#This Row],[Date]],'DB Money Supply'!$A:$D,4)</f>
        <v/>
      </c>
      <c r="C1871" s="31">
        <f>(Table2634[[#This Row],[M1 Money Stock, Billions of Dollars, Weekly, Seasonally Adjusted]]-B1870)/B1870</f>
        <v/>
      </c>
      <c r="D1871" s="35">
        <f>((1+Table2634[[#This Row],[Weekly change]])^52)-1</f>
        <v/>
      </c>
      <c r="E1871" s="25">
        <f>AVERAGE(B1868:B1871)</f>
        <v/>
      </c>
      <c r="F1871" s="33">
        <f>(Table2634[[#This Row],[4 weeks average]]-B1819)/B1819</f>
        <v/>
      </c>
    </row>
    <row r="1872">
      <c r="A1872" s="23" t="n">
        <v>40462</v>
      </c>
      <c r="B1872" s="25">
        <f>VLOOKUP(Table2634[[#This Row],[Date]],'DB Money Supply'!$A:$D,4)</f>
        <v/>
      </c>
      <c r="C1872" s="31">
        <f>(Table2634[[#This Row],[M1 Money Stock, Billions of Dollars, Weekly, Seasonally Adjusted]]-B1871)/B1871</f>
        <v/>
      </c>
      <c r="D1872" s="35">
        <f>((1+Table2634[[#This Row],[Weekly change]])^52)-1</f>
        <v/>
      </c>
      <c r="E1872" s="25">
        <f>AVERAGE(B1869:B1872)</f>
        <v/>
      </c>
      <c r="F1872" s="33">
        <f>(Table2634[[#This Row],[4 weeks average]]-B1820)/B1820</f>
        <v/>
      </c>
    </row>
    <row r="1873">
      <c r="A1873" s="23" t="n">
        <v>40469</v>
      </c>
      <c r="B1873" s="25">
        <f>VLOOKUP(Table2634[[#This Row],[Date]],'DB Money Supply'!$A:$D,4)</f>
        <v/>
      </c>
      <c r="C1873" s="31">
        <f>(Table2634[[#This Row],[M1 Money Stock, Billions of Dollars, Weekly, Seasonally Adjusted]]-B1872)/B1872</f>
        <v/>
      </c>
      <c r="D1873" s="35">
        <f>((1+Table2634[[#This Row],[Weekly change]])^52)-1</f>
        <v/>
      </c>
      <c r="E1873" s="25">
        <f>AVERAGE(B1870:B1873)</f>
        <v/>
      </c>
      <c r="F1873" s="33">
        <f>(Table2634[[#This Row],[4 weeks average]]-B1821)/B1821</f>
        <v/>
      </c>
    </row>
    <row r="1874">
      <c r="A1874" s="23" t="n">
        <v>40476</v>
      </c>
      <c r="B1874" s="25">
        <f>VLOOKUP(Table2634[[#This Row],[Date]],'DB Money Supply'!$A:$D,4)</f>
        <v/>
      </c>
      <c r="C1874" s="31">
        <f>(Table2634[[#This Row],[M1 Money Stock, Billions of Dollars, Weekly, Seasonally Adjusted]]-B1873)/B1873</f>
        <v/>
      </c>
      <c r="D1874" s="35">
        <f>((1+Table2634[[#This Row],[Weekly change]])^52)-1</f>
        <v/>
      </c>
      <c r="E1874" s="25">
        <f>AVERAGE(B1871:B1874)</f>
        <v/>
      </c>
      <c r="F1874" s="33">
        <f>(Table2634[[#This Row],[4 weeks average]]-B1822)/B1822</f>
        <v/>
      </c>
    </row>
    <row r="1875">
      <c r="A1875" s="23" t="n">
        <v>40483</v>
      </c>
      <c r="B1875" s="25">
        <f>VLOOKUP(Table2634[[#This Row],[Date]],'DB Money Supply'!$A:$D,4)</f>
        <v/>
      </c>
      <c r="C1875" s="31">
        <f>(Table2634[[#This Row],[M1 Money Stock, Billions of Dollars, Weekly, Seasonally Adjusted]]-B1874)/B1874</f>
        <v/>
      </c>
      <c r="D1875" s="35">
        <f>((1+Table2634[[#This Row],[Weekly change]])^52)-1</f>
        <v/>
      </c>
      <c r="E1875" s="25">
        <f>AVERAGE(B1872:B1875)</f>
        <v/>
      </c>
      <c r="F1875" s="33">
        <f>(Table2634[[#This Row],[4 weeks average]]-B1823)/B1823</f>
        <v/>
      </c>
    </row>
    <row r="1876">
      <c r="A1876" s="23" t="n">
        <v>40490</v>
      </c>
      <c r="B1876" s="25">
        <f>VLOOKUP(Table2634[[#This Row],[Date]],'DB Money Supply'!$A:$D,4)</f>
        <v/>
      </c>
      <c r="C1876" s="31">
        <f>(Table2634[[#This Row],[M1 Money Stock, Billions of Dollars, Weekly, Seasonally Adjusted]]-B1875)/B1875</f>
        <v/>
      </c>
      <c r="D1876" s="35">
        <f>((1+Table2634[[#This Row],[Weekly change]])^52)-1</f>
        <v/>
      </c>
      <c r="E1876" s="25">
        <f>AVERAGE(B1873:B1876)</f>
        <v/>
      </c>
      <c r="F1876" s="33">
        <f>(Table2634[[#This Row],[4 weeks average]]-B1824)/B1824</f>
        <v/>
      </c>
    </row>
    <row r="1877">
      <c r="A1877" s="23" t="n">
        <v>40497</v>
      </c>
      <c r="B1877" s="25">
        <f>VLOOKUP(Table2634[[#This Row],[Date]],'DB Money Supply'!$A:$D,4)</f>
        <v/>
      </c>
      <c r="C1877" s="31">
        <f>(Table2634[[#This Row],[M1 Money Stock, Billions of Dollars, Weekly, Seasonally Adjusted]]-B1876)/B1876</f>
        <v/>
      </c>
      <c r="D1877" s="35">
        <f>((1+Table2634[[#This Row],[Weekly change]])^52)-1</f>
        <v/>
      </c>
      <c r="E1877" s="25">
        <f>AVERAGE(B1874:B1877)</f>
        <v/>
      </c>
      <c r="F1877" s="33">
        <f>(Table2634[[#This Row],[4 weeks average]]-B1825)/B1825</f>
        <v/>
      </c>
    </row>
    <row r="1878">
      <c r="A1878" s="23" t="n">
        <v>40504</v>
      </c>
      <c r="B1878" s="25">
        <f>VLOOKUP(Table2634[[#This Row],[Date]],'DB Money Supply'!$A:$D,4)</f>
        <v/>
      </c>
      <c r="C1878" s="31">
        <f>(Table2634[[#This Row],[M1 Money Stock, Billions of Dollars, Weekly, Seasonally Adjusted]]-B1877)/B1877</f>
        <v/>
      </c>
      <c r="D1878" s="35">
        <f>((1+Table2634[[#This Row],[Weekly change]])^52)-1</f>
        <v/>
      </c>
      <c r="E1878" s="25">
        <f>AVERAGE(B1875:B1878)</f>
        <v/>
      </c>
      <c r="F1878" s="33">
        <f>(Table2634[[#This Row],[4 weeks average]]-B1826)/B1826</f>
        <v/>
      </c>
    </row>
    <row r="1879">
      <c r="A1879" s="23" t="n">
        <v>40511</v>
      </c>
      <c r="B1879" s="25">
        <f>VLOOKUP(Table2634[[#This Row],[Date]],'DB Money Supply'!$A:$D,4)</f>
        <v/>
      </c>
      <c r="C1879" s="31">
        <f>(Table2634[[#This Row],[M1 Money Stock, Billions of Dollars, Weekly, Seasonally Adjusted]]-B1878)/B1878</f>
        <v/>
      </c>
      <c r="D1879" s="35">
        <f>((1+Table2634[[#This Row],[Weekly change]])^52)-1</f>
        <v/>
      </c>
      <c r="E1879" s="25">
        <f>AVERAGE(B1876:B1879)</f>
        <v/>
      </c>
      <c r="F1879" s="33">
        <f>(Table2634[[#This Row],[4 weeks average]]-B1827)/B1827</f>
        <v/>
      </c>
    </row>
    <row r="1880">
      <c r="A1880" s="23" t="n">
        <v>40518</v>
      </c>
      <c r="B1880" s="25">
        <f>VLOOKUP(Table2634[[#This Row],[Date]],'DB Money Supply'!$A:$D,4)</f>
        <v/>
      </c>
      <c r="C1880" s="31">
        <f>(Table2634[[#This Row],[M1 Money Stock, Billions of Dollars, Weekly, Seasonally Adjusted]]-B1879)/B1879</f>
        <v/>
      </c>
      <c r="D1880" s="35">
        <f>((1+Table2634[[#This Row],[Weekly change]])^52)-1</f>
        <v/>
      </c>
      <c r="E1880" s="25">
        <f>AVERAGE(B1877:B1880)</f>
        <v/>
      </c>
      <c r="F1880" s="33">
        <f>(Table2634[[#This Row],[4 weeks average]]-B1828)/B1828</f>
        <v/>
      </c>
    </row>
    <row r="1881">
      <c r="A1881" s="23" t="n">
        <v>40525</v>
      </c>
      <c r="B1881" s="25">
        <f>VLOOKUP(Table2634[[#This Row],[Date]],'DB Money Supply'!$A:$D,4)</f>
        <v/>
      </c>
      <c r="C1881" s="31">
        <f>(Table2634[[#This Row],[M1 Money Stock, Billions of Dollars, Weekly, Seasonally Adjusted]]-B1880)/B1880</f>
        <v/>
      </c>
      <c r="D1881" s="35">
        <f>((1+Table2634[[#This Row],[Weekly change]])^52)-1</f>
        <v/>
      </c>
      <c r="E1881" s="25">
        <f>AVERAGE(B1878:B1881)</f>
        <v/>
      </c>
      <c r="F1881" s="33">
        <f>(Table2634[[#This Row],[4 weeks average]]-B1829)/B1829</f>
        <v/>
      </c>
    </row>
    <row r="1882">
      <c r="A1882" s="23" t="n">
        <v>40532</v>
      </c>
      <c r="B1882" s="25">
        <f>VLOOKUP(Table2634[[#This Row],[Date]],'DB Money Supply'!$A:$D,4)</f>
        <v/>
      </c>
      <c r="C1882" s="31">
        <f>(Table2634[[#This Row],[M1 Money Stock, Billions of Dollars, Weekly, Seasonally Adjusted]]-B1881)/B1881</f>
        <v/>
      </c>
      <c r="D1882" s="35">
        <f>((1+Table2634[[#This Row],[Weekly change]])^52)-1</f>
        <v/>
      </c>
      <c r="E1882" s="25">
        <f>AVERAGE(B1879:B1882)</f>
        <v/>
      </c>
      <c r="F1882" s="33">
        <f>(Table2634[[#This Row],[4 weeks average]]-B1830)/B1830</f>
        <v/>
      </c>
    </row>
    <row r="1883">
      <c r="A1883" s="23" t="n">
        <v>40539</v>
      </c>
      <c r="B1883" s="25">
        <f>VLOOKUP(Table2634[[#This Row],[Date]],'DB Money Supply'!$A:$D,4)</f>
        <v/>
      </c>
      <c r="C1883" s="31">
        <f>(Table2634[[#This Row],[M1 Money Stock, Billions of Dollars, Weekly, Seasonally Adjusted]]-B1882)/B1882</f>
        <v/>
      </c>
      <c r="D1883" s="35">
        <f>((1+Table2634[[#This Row],[Weekly change]])^52)-1</f>
        <v/>
      </c>
      <c r="E1883" s="25">
        <f>AVERAGE(B1880:B1883)</f>
        <v/>
      </c>
      <c r="F1883" s="33">
        <f>(Table2634[[#This Row],[4 weeks average]]-B1831)/B1831</f>
        <v/>
      </c>
    </row>
    <row r="1884">
      <c r="A1884" s="23" t="n">
        <v>40546</v>
      </c>
      <c r="B1884" s="25">
        <f>VLOOKUP(Table2634[[#This Row],[Date]],'DB Money Supply'!$A:$D,4)</f>
        <v/>
      </c>
      <c r="C1884" s="31">
        <f>(Table2634[[#This Row],[M1 Money Stock, Billions of Dollars, Weekly, Seasonally Adjusted]]-B1883)/B1883</f>
        <v/>
      </c>
      <c r="D1884" s="35">
        <f>((1+Table2634[[#This Row],[Weekly change]])^52)-1</f>
        <v/>
      </c>
      <c r="E1884" s="25">
        <f>AVERAGE(B1881:B1884)</f>
        <v/>
      </c>
      <c r="F1884" s="33">
        <f>(Table2634[[#This Row],[4 weeks average]]-B1832)/B1832</f>
        <v/>
      </c>
    </row>
    <row r="1885">
      <c r="A1885" s="23" t="n">
        <v>40553</v>
      </c>
      <c r="B1885" s="25">
        <f>VLOOKUP(Table2634[[#This Row],[Date]],'DB Money Supply'!$A:$D,4)</f>
        <v/>
      </c>
      <c r="C1885" s="31">
        <f>(Table2634[[#This Row],[M1 Money Stock, Billions of Dollars, Weekly, Seasonally Adjusted]]-B1884)/B1884</f>
        <v/>
      </c>
      <c r="D1885" s="35">
        <f>((1+Table2634[[#This Row],[Weekly change]])^52)-1</f>
        <v/>
      </c>
      <c r="E1885" s="25">
        <f>AVERAGE(B1882:B1885)</f>
        <v/>
      </c>
      <c r="F1885" s="33">
        <f>(Table2634[[#This Row],[4 weeks average]]-B1833)/B1833</f>
        <v/>
      </c>
    </row>
    <row r="1886">
      <c r="A1886" s="23" t="n">
        <v>40560</v>
      </c>
      <c r="B1886" s="25">
        <f>VLOOKUP(Table2634[[#This Row],[Date]],'DB Money Supply'!$A:$D,4)</f>
        <v/>
      </c>
      <c r="C1886" s="31">
        <f>(Table2634[[#This Row],[M1 Money Stock, Billions of Dollars, Weekly, Seasonally Adjusted]]-B1885)/B1885</f>
        <v/>
      </c>
      <c r="D1886" s="35">
        <f>((1+Table2634[[#This Row],[Weekly change]])^52)-1</f>
        <v/>
      </c>
      <c r="E1886" s="25">
        <f>AVERAGE(B1883:B1886)</f>
        <v/>
      </c>
      <c r="F1886" s="33">
        <f>(Table2634[[#This Row],[4 weeks average]]-B1834)/B1834</f>
        <v/>
      </c>
    </row>
    <row r="1887">
      <c r="A1887" s="23" t="n">
        <v>40567</v>
      </c>
      <c r="B1887" s="25">
        <f>VLOOKUP(Table2634[[#This Row],[Date]],'DB Money Supply'!$A:$D,4)</f>
        <v/>
      </c>
      <c r="C1887" s="31">
        <f>(Table2634[[#This Row],[M1 Money Stock, Billions of Dollars, Weekly, Seasonally Adjusted]]-B1886)/B1886</f>
        <v/>
      </c>
      <c r="D1887" s="35">
        <f>((1+Table2634[[#This Row],[Weekly change]])^52)-1</f>
        <v/>
      </c>
      <c r="E1887" s="25">
        <f>AVERAGE(B1884:B1887)</f>
        <v/>
      </c>
      <c r="F1887" s="33">
        <f>(Table2634[[#This Row],[4 weeks average]]-B1835)/B1835</f>
        <v/>
      </c>
    </row>
    <row r="1888">
      <c r="A1888" s="23" t="n">
        <v>40574</v>
      </c>
      <c r="B1888" s="25">
        <f>VLOOKUP(Table2634[[#This Row],[Date]],'DB Money Supply'!$A:$D,4)</f>
        <v/>
      </c>
      <c r="C1888" s="31">
        <f>(Table2634[[#This Row],[M1 Money Stock, Billions of Dollars, Weekly, Seasonally Adjusted]]-B1887)/B1887</f>
        <v/>
      </c>
      <c r="D1888" s="35">
        <f>((1+Table2634[[#This Row],[Weekly change]])^52)-1</f>
        <v/>
      </c>
      <c r="E1888" s="25">
        <f>AVERAGE(B1885:B1888)</f>
        <v/>
      </c>
      <c r="F1888" s="33">
        <f>(Table2634[[#This Row],[4 weeks average]]-B1836)/B1836</f>
        <v/>
      </c>
    </row>
    <row r="1889">
      <c r="A1889" s="23" t="n">
        <v>40581</v>
      </c>
      <c r="B1889" s="25">
        <f>VLOOKUP(Table2634[[#This Row],[Date]],'DB Money Supply'!$A:$D,4)</f>
        <v/>
      </c>
      <c r="C1889" s="31">
        <f>(Table2634[[#This Row],[M1 Money Stock, Billions of Dollars, Weekly, Seasonally Adjusted]]-B1888)/B1888</f>
        <v/>
      </c>
      <c r="D1889" s="35">
        <f>((1+Table2634[[#This Row],[Weekly change]])^52)-1</f>
        <v/>
      </c>
      <c r="E1889" s="25">
        <f>AVERAGE(B1886:B1889)</f>
        <v/>
      </c>
      <c r="F1889" s="33">
        <f>(Table2634[[#This Row],[4 weeks average]]-B1837)/B1837</f>
        <v/>
      </c>
    </row>
    <row r="1890">
      <c r="A1890" s="23" t="n">
        <v>40588</v>
      </c>
      <c r="B1890" s="25">
        <f>VLOOKUP(Table2634[[#This Row],[Date]],'DB Money Supply'!$A:$D,4)</f>
        <v/>
      </c>
      <c r="C1890" s="31">
        <f>(Table2634[[#This Row],[M1 Money Stock, Billions of Dollars, Weekly, Seasonally Adjusted]]-B1889)/B1889</f>
        <v/>
      </c>
      <c r="D1890" s="35">
        <f>((1+Table2634[[#This Row],[Weekly change]])^52)-1</f>
        <v/>
      </c>
      <c r="E1890" s="25">
        <f>AVERAGE(B1887:B1890)</f>
        <v/>
      </c>
      <c r="F1890" s="33">
        <f>(Table2634[[#This Row],[4 weeks average]]-B1838)/B1838</f>
        <v/>
      </c>
    </row>
    <row r="1891">
      <c r="A1891" s="23" t="n">
        <v>40595</v>
      </c>
      <c r="B1891" s="25">
        <f>VLOOKUP(Table2634[[#This Row],[Date]],'DB Money Supply'!$A:$D,4)</f>
        <v/>
      </c>
      <c r="C1891" s="31">
        <f>(Table2634[[#This Row],[M1 Money Stock, Billions of Dollars, Weekly, Seasonally Adjusted]]-B1890)/B1890</f>
        <v/>
      </c>
      <c r="D1891" s="35">
        <f>((1+Table2634[[#This Row],[Weekly change]])^52)-1</f>
        <v/>
      </c>
      <c r="E1891" s="25">
        <f>AVERAGE(B1888:B1891)</f>
        <v/>
      </c>
      <c r="F1891" s="33">
        <f>(Table2634[[#This Row],[4 weeks average]]-B1839)/B1839</f>
        <v/>
      </c>
    </row>
    <row r="1892">
      <c r="A1892" s="23" t="n">
        <v>40602</v>
      </c>
      <c r="B1892" s="25">
        <f>VLOOKUP(Table2634[[#This Row],[Date]],'DB Money Supply'!$A:$D,4)</f>
        <v/>
      </c>
      <c r="C1892" s="31">
        <f>(Table2634[[#This Row],[M1 Money Stock, Billions of Dollars, Weekly, Seasonally Adjusted]]-B1891)/B1891</f>
        <v/>
      </c>
      <c r="D1892" s="35">
        <f>((1+Table2634[[#This Row],[Weekly change]])^52)-1</f>
        <v/>
      </c>
      <c r="E1892" s="25">
        <f>AVERAGE(B1889:B1892)</f>
        <v/>
      </c>
      <c r="F1892" s="33">
        <f>(Table2634[[#This Row],[4 weeks average]]-B1840)/B1840</f>
        <v/>
      </c>
    </row>
    <row r="1893">
      <c r="A1893" s="23" t="n">
        <v>40609</v>
      </c>
      <c r="B1893" s="25">
        <f>VLOOKUP(Table2634[[#This Row],[Date]],'DB Money Supply'!$A:$D,4)</f>
        <v/>
      </c>
      <c r="C1893" s="31">
        <f>(Table2634[[#This Row],[M1 Money Stock, Billions of Dollars, Weekly, Seasonally Adjusted]]-B1892)/B1892</f>
        <v/>
      </c>
      <c r="D1893" s="35">
        <f>((1+Table2634[[#This Row],[Weekly change]])^52)-1</f>
        <v/>
      </c>
      <c r="E1893" s="25">
        <f>AVERAGE(B1890:B1893)</f>
        <v/>
      </c>
      <c r="F1893" s="33">
        <f>(Table2634[[#This Row],[4 weeks average]]-B1841)/B1841</f>
        <v/>
      </c>
    </row>
    <row r="1894">
      <c r="A1894" s="23" t="n">
        <v>40616</v>
      </c>
      <c r="B1894" s="25">
        <f>VLOOKUP(Table2634[[#This Row],[Date]],'DB Money Supply'!$A:$D,4)</f>
        <v/>
      </c>
      <c r="C1894" s="31">
        <f>(Table2634[[#This Row],[M1 Money Stock, Billions of Dollars, Weekly, Seasonally Adjusted]]-B1893)/B1893</f>
        <v/>
      </c>
      <c r="D1894" s="35">
        <f>((1+Table2634[[#This Row],[Weekly change]])^52)-1</f>
        <v/>
      </c>
      <c r="E1894" s="25">
        <f>AVERAGE(B1891:B1894)</f>
        <v/>
      </c>
      <c r="F1894" s="33">
        <f>(Table2634[[#This Row],[4 weeks average]]-B1842)/B1842</f>
        <v/>
      </c>
    </row>
    <row r="1895">
      <c r="A1895" s="23" t="n">
        <v>40623</v>
      </c>
      <c r="B1895" s="25">
        <f>VLOOKUP(Table2634[[#This Row],[Date]],'DB Money Supply'!$A:$D,4)</f>
        <v/>
      </c>
      <c r="C1895" s="31">
        <f>(Table2634[[#This Row],[M1 Money Stock, Billions of Dollars, Weekly, Seasonally Adjusted]]-B1894)/B1894</f>
        <v/>
      </c>
      <c r="D1895" s="35">
        <f>((1+Table2634[[#This Row],[Weekly change]])^52)-1</f>
        <v/>
      </c>
      <c r="E1895" s="25">
        <f>AVERAGE(B1892:B1895)</f>
        <v/>
      </c>
      <c r="F1895" s="33">
        <f>(Table2634[[#This Row],[4 weeks average]]-B1843)/B1843</f>
        <v/>
      </c>
    </row>
    <row r="1896">
      <c r="A1896" s="23" t="n">
        <v>40630</v>
      </c>
      <c r="B1896" s="25">
        <f>VLOOKUP(Table2634[[#This Row],[Date]],'DB Money Supply'!$A:$D,4)</f>
        <v/>
      </c>
      <c r="C1896" s="31">
        <f>(Table2634[[#This Row],[M1 Money Stock, Billions of Dollars, Weekly, Seasonally Adjusted]]-B1895)/B1895</f>
        <v/>
      </c>
      <c r="D1896" s="35">
        <f>((1+Table2634[[#This Row],[Weekly change]])^52)-1</f>
        <v/>
      </c>
      <c r="E1896" s="25">
        <f>AVERAGE(B1893:B1896)</f>
        <v/>
      </c>
      <c r="F1896" s="33">
        <f>(Table2634[[#This Row],[4 weeks average]]-B1844)/B1844</f>
        <v/>
      </c>
    </row>
    <row r="1897">
      <c r="A1897" s="23" t="n">
        <v>40637</v>
      </c>
      <c r="B1897" s="25">
        <f>VLOOKUP(Table2634[[#This Row],[Date]],'DB Money Supply'!$A:$D,4)</f>
        <v/>
      </c>
      <c r="C1897" s="31">
        <f>(Table2634[[#This Row],[M1 Money Stock, Billions of Dollars, Weekly, Seasonally Adjusted]]-B1896)/B1896</f>
        <v/>
      </c>
      <c r="D1897" s="35">
        <f>((1+Table2634[[#This Row],[Weekly change]])^52)-1</f>
        <v/>
      </c>
      <c r="E1897" s="25">
        <f>AVERAGE(B1894:B1897)</f>
        <v/>
      </c>
      <c r="F1897" s="33">
        <f>(Table2634[[#This Row],[4 weeks average]]-B1845)/B1845</f>
        <v/>
      </c>
    </row>
    <row r="1898">
      <c r="A1898" s="23" t="n">
        <v>40644</v>
      </c>
      <c r="B1898" s="25">
        <f>VLOOKUP(Table2634[[#This Row],[Date]],'DB Money Supply'!$A:$D,4)</f>
        <v/>
      </c>
      <c r="C1898" s="31">
        <f>(Table2634[[#This Row],[M1 Money Stock, Billions of Dollars, Weekly, Seasonally Adjusted]]-B1897)/B1897</f>
        <v/>
      </c>
      <c r="D1898" s="35">
        <f>((1+Table2634[[#This Row],[Weekly change]])^52)-1</f>
        <v/>
      </c>
      <c r="E1898" s="25">
        <f>AVERAGE(B1895:B1898)</f>
        <v/>
      </c>
      <c r="F1898" s="33">
        <f>(Table2634[[#This Row],[4 weeks average]]-B1846)/B1846</f>
        <v/>
      </c>
    </row>
    <row r="1899">
      <c r="A1899" s="23" t="n">
        <v>40651</v>
      </c>
      <c r="B1899" s="25">
        <f>VLOOKUP(Table2634[[#This Row],[Date]],'DB Money Supply'!$A:$D,4)</f>
        <v/>
      </c>
      <c r="C1899" s="31">
        <f>(Table2634[[#This Row],[M1 Money Stock, Billions of Dollars, Weekly, Seasonally Adjusted]]-B1898)/B1898</f>
        <v/>
      </c>
      <c r="D1899" s="35">
        <f>((1+Table2634[[#This Row],[Weekly change]])^52)-1</f>
        <v/>
      </c>
      <c r="E1899" s="25">
        <f>AVERAGE(B1896:B1899)</f>
        <v/>
      </c>
      <c r="F1899" s="33">
        <f>(Table2634[[#This Row],[4 weeks average]]-B1847)/B1847</f>
        <v/>
      </c>
    </row>
    <row r="1900">
      <c r="A1900" s="23" t="n">
        <v>40658</v>
      </c>
      <c r="B1900" s="25">
        <f>VLOOKUP(Table2634[[#This Row],[Date]],'DB Money Supply'!$A:$D,4)</f>
        <v/>
      </c>
      <c r="C1900" s="31">
        <f>(Table2634[[#This Row],[M1 Money Stock, Billions of Dollars, Weekly, Seasonally Adjusted]]-B1899)/B1899</f>
        <v/>
      </c>
      <c r="D1900" s="35">
        <f>((1+Table2634[[#This Row],[Weekly change]])^52)-1</f>
        <v/>
      </c>
      <c r="E1900" s="25">
        <f>AVERAGE(B1897:B1900)</f>
        <v/>
      </c>
      <c r="F1900" s="33">
        <f>(Table2634[[#This Row],[4 weeks average]]-B1848)/B1848</f>
        <v/>
      </c>
    </row>
    <row r="1901">
      <c r="A1901" s="23" t="n">
        <v>40665</v>
      </c>
      <c r="B1901" s="25">
        <f>VLOOKUP(Table2634[[#This Row],[Date]],'DB Money Supply'!$A:$D,4)</f>
        <v/>
      </c>
      <c r="C1901" s="31">
        <f>(Table2634[[#This Row],[M1 Money Stock, Billions of Dollars, Weekly, Seasonally Adjusted]]-B1900)/B1900</f>
        <v/>
      </c>
      <c r="D1901" s="35">
        <f>((1+Table2634[[#This Row],[Weekly change]])^52)-1</f>
        <v/>
      </c>
      <c r="E1901" s="25">
        <f>AVERAGE(B1898:B1901)</f>
        <v/>
      </c>
      <c r="F1901" s="33">
        <f>(Table2634[[#This Row],[4 weeks average]]-B1849)/B1849</f>
        <v/>
      </c>
    </row>
    <row r="1902">
      <c r="A1902" s="23" t="n">
        <v>40672</v>
      </c>
      <c r="B1902" s="25">
        <f>VLOOKUP(Table2634[[#This Row],[Date]],'DB Money Supply'!$A:$D,4)</f>
        <v/>
      </c>
      <c r="C1902" s="31">
        <f>(Table2634[[#This Row],[M1 Money Stock, Billions of Dollars, Weekly, Seasonally Adjusted]]-B1901)/B1901</f>
        <v/>
      </c>
      <c r="D1902" s="35">
        <f>((1+Table2634[[#This Row],[Weekly change]])^52)-1</f>
        <v/>
      </c>
      <c r="E1902" s="25">
        <f>AVERAGE(B1899:B1902)</f>
        <v/>
      </c>
      <c r="F1902" s="33">
        <f>(Table2634[[#This Row],[4 weeks average]]-B1850)/B1850</f>
        <v/>
      </c>
    </row>
    <row r="1903">
      <c r="A1903" s="23" t="n">
        <v>40679</v>
      </c>
      <c r="B1903" s="25">
        <f>VLOOKUP(Table2634[[#This Row],[Date]],'DB Money Supply'!$A:$D,4)</f>
        <v/>
      </c>
      <c r="C1903" s="31">
        <f>(Table2634[[#This Row],[M1 Money Stock, Billions of Dollars, Weekly, Seasonally Adjusted]]-B1902)/B1902</f>
        <v/>
      </c>
      <c r="D1903" s="35">
        <f>((1+Table2634[[#This Row],[Weekly change]])^52)-1</f>
        <v/>
      </c>
      <c r="E1903" s="25">
        <f>AVERAGE(B1900:B1903)</f>
        <v/>
      </c>
      <c r="F1903" s="33">
        <f>(Table2634[[#This Row],[4 weeks average]]-B1851)/B1851</f>
        <v/>
      </c>
    </row>
    <row r="1904">
      <c r="A1904" s="23" t="n">
        <v>40686</v>
      </c>
      <c r="B1904" s="25">
        <f>VLOOKUP(Table2634[[#This Row],[Date]],'DB Money Supply'!$A:$D,4)</f>
        <v/>
      </c>
      <c r="C1904" s="31">
        <f>(Table2634[[#This Row],[M1 Money Stock, Billions of Dollars, Weekly, Seasonally Adjusted]]-B1903)/B1903</f>
        <v/>
      </c>
      <c r="D1904" s="35">
        <f>((1+Table2634[[#This Row],[Weekly change]])^52)-1</f>
        <v/>
      </c>
      <c r="E1904" s="25">
        <f>AVERAGE(B1901:B1904)</f>
        <v/>
      </c>
      <c r="F1904" s="33">
        <f>(Table2634[[#This Row],[4 weeks average]]-B1852)/B1852</f>
        <v/>
      </c>
    </row>
    <row r="1905">
      <c r="A1905" s="23" t="n">
        <v>40693</v>
      </c>
      <c r="B1905" s="25">
        <f>VLOOKUP(Table2634[[#This Row],[Date]],'DB Money Supply'!$A:$D,4)</f>
        <v/>
      </c>
      <c r="C1905" s="31">
        <f>(Table2634[[#This Row],[M1 Money Stock, Billions of Dollars, Weekly, Seasonally Adjusted]]-B1904)/B1904</f>
        <v/>
      </c>
      <c r="D1905" s="35">
        <f>((1+Table2634[[#This Row],[Weekly change]])^52)-1</f>
        <v/>
      </c>
      <c r="E1905" s="25">
        <f>AVERAGE(B1902:B1905)</f>
        <v/>
      </c>
      <c r="F1905" s="33">
        <f>(Table2634[[#This Row],[4 weeks average]]-B1853)/B1853</f>
        <v/>
      </c>
    </row>
    <row r="1906">
      <c r="A1906" s="23" t="n">
        <v>40700</v>
      </c>
      <c r="B1906" s="25">
        <f>VLOOKUP(Table2634[[#This Row],[Date]],'DB Money Supply'!$A:$D,4)</f>
        <v/>
      </c>
      <c r="C1906" s="31">
        <f>(Table2634[[#This Row],[M1 Money Stock, Billions of Dollars, Weekly, Seasonally Adjusted]]-B1905)/B1905</f>
        <v/>
      </c>
      <c r="D1906" s="35">
        <f>((1+Table2634[[#This Row],[Weekly change]])^52)-1</f>
        <v/>
      </c>
      <c r="E1906" s="25">
        <f>AVERAGE(B1903:B1906)</f>
        <v/>
      </c>
      <c r="F1906" s="33">
        <f>(Table2634[[#This Row],[4 weeks average]]-B1854)/B1854</f>
        <v/>
      </c>
    </row>
    <row r="1907">
      <c r="A1907" s="23" t="n">
        <v>40707</v>
      </c>
      <c r="B1907" s="25">
        <f>VLOOKUP(Table2634[[#This Row],[Date]],'DB Money Supply'!$A:$D,4)</f>
        <v/>
      </c>
      <c r="C1907" s="31">
        <f>(Table2634[[#This Row],[M1 Money Stock, Billions of Dollars, Weekly, Seasonally Adjusted]]-B1906)/B1906</f>
        <v/>
      </c>
      <c r="D1907" s="35">
        <f>((1+Table2634[[#This Row],[Weekly change]])^52)-1</f>
        <v/>
      </c>
      <c r="E1907" s="25">
        <f>AVERAGE(B1904:B1907)</f>
        <v/>
      </c>
      <c r="F1907" s="33">
        <f>(Table2634[[#This Row],[4 weeks average]]-B1855)/B1855</f>
        <v/>
      </c>
    </row>
    <row r="1908">
      <c r="A1908" s="23" t="n">
        <v>40714</v>
      </c>
      <c r="B1908" s="25">
        <f>VLOOKUP(Table2634[[#This Row],[Date]],'DB Money Supply'!$A:$D,4)</f>
        <v/>
      </c>
      <c r="C1908" s="31">
        <f>(Table2634[[#This Row],[M1 Money Stock, Billions of Dollars, Weekly, Seasonally Adjusted]]-B1907)/B1907</f>
        <v/>
      </c>
      <c r="D1908" s="35">
        <f>((1+Table2634[[#This Row],[Weekly change]])^52)-1</f>
        <v/>
      </c>
      <c r="E1908" s="25">
        <f>AVERAGE(B1905:B1908)</f>
        <v/>
      </c>
      <c r="F1908" s="33">
        <f>(Table2634[[#This Row],[4 weeks average]]-B1856)/B1856</f>
        <v/>
      </c>
    </row>
    <row r="1909">
      <c r="A1909" s="23" t="n">
        <v>40721</v>
      </c>
      <c r="B1909" s="25">
        <f>VLOOKUP(Table2634[[#This Row],[Date]],'DB Money Supply'!$A:$D,4)</f>
        <v/>
      </c>
      <c r="C1909" s="31">
        <f>(Table2634[[#This Row],[M1 Money Stock, Billions of Dollars, Weekly, Seasonally Adjusted]]-B1908)/B1908</f>
        <v/>
      </c>
      <c r="D1909" s="35">
        <f>((1+Table2634[[#This Row],[Weekly change]])^52)-1</f>
        <v/>
      </c>
      <c r="E1909" s="25">
        <f>AVERAGE(B1906:B1909)</f>
        <v/>
      </c>
      <c r="F1909" s="33">
        <f>(Table2634[[#This Row],[4 weeks average]]-B1857)/B1857</f>
        <v/>
      </c>
    </row>
    <row r="1910">
      <c r="A1910" s="23" t="n">
        <v>40728</v>
      </c>
      <c r="B1910" s="25">
        <f>VLOOKUP(Table2634[[#This Row],[Date]],'DB Money Supply'!$A:$D,4)</f>
        <v/>
      </c>
      <c r="C1910" s="31">
        <f>(Table2634[[#This Row],[M1 Money Stock, Billions of Dollars, Weekly, Seasonally Adjusted]]-B1909)/B1909</f>
        <v/>
      </c>
      <c r="D1910" s="35">
        <f>((1+Table2634[[#This Row],[Weekly change]])^52)-1</f>
        <v/>
      </c>
      <c r="E1910" s="25">
        <f>AVERAGE(B1907:B1910)</f>
        <v/>
      </c>
      <c r="F1910" s="33">
        <f>(Table2634[[#This Row],[4 weeks average]]-B1858)/B1858</f>
        <v/>
      </c>
    </row>
    <row r="1911">
      <c r="A1911" s="23" t="n">
        <v>40735</v>
      </c>
      <c r="B1911" s="25">
        <f>VLOOKUP(Table2634[[#This Row],[Date]],'DB Money Supply'!$A:$D,4)</f>
        <v/>
      </c>
      <c r="C1911" s="31">
        <f>(Table2634[[#This Row],[M1 Money Stock, Billions of Dollars, Weekly, Seasonally Adjusted]]-B1910)/B1910</f>
        <v/>
      </c>
      <c r="D1911" s="35">
        <f>((1+Table2634[[#This Row],[Weekly change]])^52)-1</f>
        <v/>
      </c>
      <c r="E1911" s="25">
        <f>AVERAGE(B1908:B1911)</f>
        <v/>
      </c>
      <c r="F1911" s="33">
        <f>(Table2634[[#This Row],[4 weeks average]]-B1859)/B1859</f>
        <v/>
      </c>
    </row>
    <row r="1912">
      <c r="A1912" s="23" t="n">
        <v>40742</v>
      </c>
      <c r="B1912" s="25">
        <f>VLOOKUP(Table2634[[#This Row],[Date]],'DB Money Supply'!$A:$D,4)</f>
        <v/>
      </c>
      <c r="C1912" s="31">
        <f>(Table2634[[#This Row],[M1 Money Stock, Billions of Dollars, Weekly, Seasonally Adjusted]]-B1911)/B1911</f>
        <v/>
      </c>
      <c r="D1912" s="35">
        <f>((1+Table2634[[#This Row],[Weekly change]])^52)-1</f>
        <v/>
      </c>
      <c r="E1912" s="25">
        <f>AVERAGE(B1909:B1912)</f>
        <v/>
      </c>
      <c r="F1912" s="33">
        <f>(Table2634[[#This Row],[4 weeks average]]-B1860)/B1860</f>
        <v/>
      </c>
    </row>
    <row r="1913">
      <c r="A1913" s="23" t="n">
        <v>40749</v>
      </c>
      <c r="B1913" s="25">
        <f>VLOOKUP(Table2634[[#This Row],[Date]],'DB Money Supply'!$A:$D,4)</f>
        <v/>
      </c>
      <c r="C1913" s="31">
        <f>(Table2634[[#This Row],[M1 Money Stock, Billions of Dollars, Weekly, Seasonally Adjusted]]-B1912)/B1912</f>
        <v/>
      </c>
      <c r="D1913" s="35">
        <f>((1+Table2634[[#This Row],[Weekly change]])^52)-1</f>
        <v/>
      </c>
      <c r="E1913" s="25">
        <f>AVERAGE(B1910:B1913)</f>
        <v/>
      </c>
      <c r="F1913" s="33">
        <f>(Table2634[[#This Row],[4 weeks average]]-B1861)/B1861</f>
        <v/>
      </c>
    </row>
    <row r="1914">
      <c r="A1914" s="23" t="n">
        <v>40756</v>
      </c>
      <c r="B1914" s="25">
        <f>VLOOKUP(Table2634[[#This Row],[Date]],'DB Money Supply'!$A:$D,4)</f>
        <v/>
      </c>
      <c r="C1914" s="31">
        <f>(Table2634[[#This Row],[M1 Money Stock, Billions of Dollars, Weekly, Seasonally Adjusted]]-B1913)/B1913</f>
        <v/>
      </c>
      <c r="D1914" s="35">
        <f>((1+Table2634[[#This Row],[Weekly change]])^52)-1</f>
        <v/>
      </c>
      <c r="E1914" s="25">
        <f>AVERAGE(B1911:B1914)</f>
        <v/>
      </c>
      <c r="F1914" s="33">
        <f>(Table2634[[#This Row],[4 weeks average]]-B1862)/B1862</f>
        <v/>
      </c>
    </row>
    <row r="1915">
      <c r="A1915" s="23" t="n">
        <v>40763</v>
      </c>
      <c r="B1915" s="25">
        <f>VLOOKUP(Table2634[[#This Row],[Date]],'DB Money Supply'!$A:$D,4)</f>
        <v/>
      </c>
      <c r="C1915" s="31">
        <f>(Table2634[[#This Row],[M1 Money Stock, Billions of Dollars, Weekly, Seasonally Adjusted]]-B1914)/B1914</f>
        <v/>
      </c>
      <c r="D1915" s="35">
        <f>((1+Table2634[[#This Row],[Weekly change]])^52)-1</f>
        <v/>
      </c>
      <c r="E1915" s="25">
        <f>AVERAGE(B1912:B1915)</f>
        <v/>
      </c>
      <c r="F1915" s="33">
        <f>(Table2634[[#This Row],[4 weeks average]]-B1863)/B1863</f>
        <v/>
      </c>
    </row>
    <row r="1916">
      <c r="A1916" s="23" t="n">
        <v>40770</v>
      </c>
      <c r="B1916" s="25">
        <f>VLOOKUP(Table2634[[#This Row],[Date]],'DB Money Supply'!$A:$D,4)</f>
        <v/>
      </c>
      <c r="C1916" s="31">
        <f>(Table2634[[#This Row],[M1 Money Stock, Billions of Dollars, Weekly, Seasonally Adjusted]]-B1915)/B1915</f>
        <v/>
      </c>
      <c r="D1916" s="35">
        <f>((1+Table2634[[#This Row],[Weekly change]])^52)-1</f>
        <v/>
      </c>
      <c r="E1916" s="25">
        <f>AVERAGE(B1913:B1916)</f>
        <v/>
      </c>
      <c r="F1916" s="33">
        <f>(Table2634[[#This Row],[4 weeks average]]-B1864)/B1864</f>
        <v/>
      </c>
    </row>
    <row r="1917">
      <c r="A1917" s="23" t="n">
        <v>40777</v>
      </c>
      <c r="B1917" s="25">
        <f>VLOOKUP(Table2634[[#This Row],[Date]],'DB Money Supply'!$A:$D,4)</f>
        <v/>
      </c>
      <c r="C1917" s="31">
        <f>(Table2634[[#This Row],[M1 Money Stock, Billions of Dollars, Weekly, Seasonally Adjusted]]-B1916)/B1916</f>
        <v/>
      </c>
      <c r="D1917" s="35">
        <f>((1+Table2634[[#This Row],[Weekly change]])^52)-1</f>
        <v/>
      </c>
      <c r="E1917" s="25">
        <f>AVERAGE(B1914:B1917)</f>
        <v/>
      </c>
      <c r="F1917" s="33">
        <f>(Table2634[[#This Row],[4 weeks average]]-B1865)/B1865</f>
        <v/>
      </c>
    </row>
    <row r="1918">
      <c r="A1918" s="23" t="n">
        <v>40784</v>
      </c>
      <c r="B1918" s="25">
        <f>VLOOKUP(Table2634[[#This Row],[Date]],'DB Money Supply'!$A:$D,4)</f>
        <v/>
      </c>
      <c r="C1918" s="31">
        <f>(Table2634[[#This Row],[M1 Money Stock, Billions of Dollars, Weekly, Seasonally Adjusted]]-B1917)/B1917</f>
        <v/>
      </c>
      <c r="D1918" s="35">
        <f>((1+Table2634[[#This Row],[Weekly change]])^52)-1</f>
        <v/>
      </c>
      <c r="E1918" s="25">
        <f>AVERAGE(B1915:B1918)</f>
        <v/>
      </c>
      <c r="F1918" s="33">
        <f>(Table2634[[#This Row],[4 weeks average]]-B1866)/B1866</f>
        <v/>
      </c>
    </row>
    <row r="1919">
      <c r="A1919" s="23" t="n">
        <v>40791</v>
      </c>
      <c r="B1919" s="25">
        <f>VLOOKUP(Table2634[[#This Row],[Date]],'DB Money Supply'!$A:$D,4)</f>
        <v/>
      </c>
      <c r="C1919" s="31">
        <f>(Table2634[[#This Row],[M1 Money Stock, Billions of Dollars, Weekly, Seasonally Adjusted]]-B1918)/B1918</f>
        <v/>
      </c>
      <c r="D1919" s="35">
        <f>((1+Table2634[[#This Row],[Weekly change]])^52)-1</f>
        <v/>
      </c>
      <c r="E1919" s="25">
        <f>AVERAGE(B1916:B1919)</f>
        <v/>
      </c>
      <c r="F1919" s="33">
        <f>(Table2634[[#This Row],[4 weeks average]]-B1867)/B1867</f>
        <v/>
      </c>
    </row>
    <row r="1920">
      <c r="A1920" s="23" t="n">
        <v>40798</v>
      </c>
      <c r="B1920" s="25">
        <f>VLOOKUP(Table2634[[#This Row],[Date]],'DB Money Supply'!$A:$D,4)</f>
        <v/>
      </c>
      <c r="C1920" s="31">
        <f>(Table2634[[#This Row],[M1 Money Stock, Billions of Dollars, Weekly, Seasonally Adjusted]]-B1919)/B1919</f>
        <v/>
      </c>
      <c r="D1920" s="35">
        <f>((1+Table2634[[#This Row],[Weekly change]])^52)-1</f>
        <v/>
      </c>
      <c r="E1920" s="25">
        <f>AVERAGE(B1917:B1920)</f>
        <v/>
      </c>
      <c r="F1920" s="33">
        <f>(Table2634[[#This Row],[4 weeks average]]-B1868)/B1868</f>
        <v/>
      </c>
    </row>
    <row r="1921">
      <c r="A1921" s="23" t="n">
        <v>40805</v>
      </c>
      <c r="B1921" s="25">
        <f>VLOOKUP(Table2634[[#This Row],[Date]],'DB Money Supply'!$A:$D,4)</f>
        <v/>
      </c>
      <c r="C1921" s="31">
        <f>(Table2634[[#This Row],[M1 Money Stock, Billions of Dollars, Weekly, Seasonally Adjusted]]-B1920)/B1920</f>
        <v/>
      </c>
      <c r="D1921" s="35">
        <f>((1+Table2634[[#This Row],[Weekly change]])^52)-1</f>
        <v/>
      </c>
      <c r="E1921" s="25">
        <f>AVERAGE(B1918:B1921)</f>
        <v/>
      </c>
      <c r="F1921" s="33">
        <f>(Table2634[[#This Row],[4 weeks average]]-B1869)/B1869</f>
        <v/>
      </c>
    </row>
    <row r="1922">
      <c r="A1922" s="23" t="n">
        <v>40812</v>
      </c>
      <c r="B1922" s="25">
        <f>VLOOKUP(Table2634[[#This Row],[Date]],'DB Money Supply'!$A:$D,4)</f>
        <v/>
      </c>
      <c r="C1922" s="31">
        <f>(Table2634[[#This Row],[M1 Money Stock, Billions of Dollars, Weekly, Seasonally Adjusted]]-B1921)/B1921</f>
        <v/>
      </c>
      <c r="D1922" s="35">
        <f>((1+Table2634[[#This Row],[Weekly change]])^52)-1</f>
        <v/>
      </c>
      <c r="E1922" s="25">
        <f>AVERAGE(B1919:B1922)</f>
        <v/>
      </c>
      <c r="F1922" s="33">
        <f>(Table2634[[#This Row],[4 weeks average]]-B1870)/B1870</f>
        <v/>
      </c>
    </row>
    <row r="1923">
      <c r="A1923" s="23" t="n">
        <v>40819</v>
      </c>
      <c r="B1923" s="25">
        <f>VLOOKUP(Table2634[[#This Row],[Date]],'DB Money Supply'!$A:$D,4)</f>
        <v/>
      </c>
      <c r="C1923" s="31">
        <f>(Table2634[[#This Row],[M1 Money Stock, Billions of Dollars, Weekly, Seasonally Adjusted]]-B1922)/B1922</f>
        <v/>
      </c>
      <c r="D1923" s="35">
        <f>((1+Table2634[[#This Row],[Weekly change]])^52)-1</f>
        <v/>
      </c>
      <c r="E1923" s="25">
        <f>AVERAGE(B1920:B1923)</f>
        <v/>
      </c>
      <c r="F1923" s="33">
        <f>(Table2634[[#This Row],[4 weeks average]]-B1871)/B1871</f>
        <v/>
      </c>
    </row>
    <row r="1924">
      <c r="A1924" s="23" t="n">
        <v>40826</v>
      </c>
      <c r="B1924" s="25">
        <f>VLOOKUP(Table2634[[#This Row],[Date]],'DB Money Supply'!$A:$D,4)</f>
        <v/>
      </c>
      <c r="C1924" s="31">
        <f>(Table2634[[#This Row],[M1 Money Stock, Billions of Dollars, Weekly, Seasonally Adjusted]]-B1923)/B1923</f>
        <v/>
      </c>
      <c r="D1924" s="35">
        <f>((1+Table2634[[#This Row],[Weekly change]])^52)-1</f>
        <v/>
      </c>
      <c r="E1924" s="25">
        <f>AVERAGE(B1921:B1924)</f>
        <v/>
      </c>
      <c r="F1924" s="33">
        <f>(Table2634[[#This Row],[4 weeks average]]-B1872)/B1872</f>
        <v/>
      </c>
    </row>
    <row r="1925">
      <c r="A1925" s="23" t="n">
        <v>40833</v>
      </c>
      <c r="B1925" s="25">
        <f>VLOOKUP(Table2634[[#This Row],[Date]],'DB Money Supply'!$A:$D,4)</f>
        <v/>
      </c>
      <c r="C1925" s="31">
        <f>(Table2634[[#This Row],[M1 Money Stock, Billions of Dollars, Weekly, Seasonally Adjusted]]-B1924)/B1924</f>
        <v/>
      </c>
      <c r="D1925" s="35">
        <f>((1+Table2634[[#This Row],[Weekly change]])^52)-1</f>
        <v/>
      </c>
      <c r="E1925" s="25">
        <f>AVERAGE(B1922:B1925)</f>
        <v/>
      </c>
      <c r="F1925" s="33">
        <f>(Table2634[[#This Row],[4 weeks average]]-B1873)/B1873</f>
        <v/>
      </c>
    </row>
    <row r="1926">
      <c r="A1926" s="23" t="n">
        <v>40840</v>
      </c>
      <c r="B1926" s="25">
        <f>VLOOKUP(Table2634[[#This Row],[Date]],'DB Money Supply'!$A:$D,4)</f>
        <v/>
      </c>
      <c r="C1926" s="31">
        <f>(Table2634[[#This Row],[M1 Money Stock, Billions of Dollars, Weekly, Seasonally Adjusted]]-B1925)/B1925</f>
        <v/>
      </c>
      <c r="D1926" s="35">
        <f>((1+Table2634[[#This Row],[Weekly change]])^52)-1</f>
        <v/>
      </c>
      <c r="E1926" s="25">
        <f>AVERAGE(B1923:B1926)</f>
        <v/>
      </c>
      <c r="F1926" s="33">
        <f>(Table2634[[#This Row],[4 weeks average]]-B1874)/B1874</f>
        <v/>
      </c>
    </row>
    <row r="1927">
      <c r="A1927" s="23" t="n">
        <v>40847</v>
      </c>
      <c r="B1927" s="25">
        <f>VLOOKUP(Table2634[[#This Row],[Date]],'DB Money Supply'!$A:$D,4)</f>
        <v/>
      </c>
      <c r="C1927" s="31">
        <f>(Table2634[[#This Row],[M1 Money Stock, Billions of Dollars, Weekly, Seasonally Adjusted]]-B1926)/B1926</f>
        <v/>
      </c>
      <c r="D1927" s="35">
        <f>((1+Table2634[[#This Row],[Weekly change]])^52)-1</f>
        <v/>
      </c>
      <c r="E1927" s="25">
        <f>AVERAGE(B1924:B1927)</f>
        <v/>
      </c>
      <c r="F1927" s="33">
        <f>(Table2634[[#This Row],[4 weeks average]]-B1875)/B1875</f>
        <v/>
      </c>
    </row>
    <row r="1928">
      <c r="A1928" s="23" t="n">
        <v>40854</v>
      </c>
      <c r="B1928" s="25">
        <f>VLOOKUP(Table2634[[#This Row],[Date]],'DB Money Supply'!$A:$D,4)</f>
        <v/>
      </c>
      <c r="C1928" s="31">
        <f>(Table2634[[#This Row],[M1 Money Stock, Billions of Dollars, Weekly, Seasonally Adjusted]]-B1927)/B1927</f>
        <v/>
      </c>
      <c r="D1928" s="35">
        <f>((1+Table2634[[#This Row],[Weekly change]])^52)-1</f>
        <v/>
      </c>
      <c r="E1928" s="25">
        <f>AVERAGE(B1925:B1928)</f>
        <v/>
      </c>
      <c r="F1928" s="33">
        <f>(Table2634[[#This Row],[4 weeks average]]-B1876)/B1876</f>
        <v/>
      </c>
    </row>
    <row r="1929">
      <c r="A1929" s="23" t="n">
        <v>40861</v>
      </c>
      <c r="B1929" s="25">
        <f>VLOOKUP(Table2634[[#This Row],[Date]],'DB Money Supply'!$A:$D,4)</f>
        <v/>
      </c>
      <c r="C1929" s="31">
        <f>(Table2634[[#This Row],[M1 Money Stock, Billions of Dollars, Weekly, Seasonally Adjusted]]-B1928)/B1928</f>
        <v/>
      </c>
      <c r="D1929" s="35">
        <f>((1+Table2634[[#This Row],[Weekly change]])^52)-1</f>
        <v/>
      </c>
      <c r="E1929" s="25">
        <f>AVERAGE(B1926:B1929)</f>
        <v/>
      </c>
      <c r="F1929" s="33">
        <f>(Table2634[[#This Row],[4 weeks average]]-B1877)/B1877</f>
        <v/>
      </c>
    </row>
    <row r="1930">
      <c r="A1930" s="23" t="n">
        <v>40868</v>
      </c>
      <c r="B1930" s="25">
        <f>VLOOKUP(Table2634[[#This Row],[Date]],'DB Money Supply'!$A:$D,4)</f>
        <v/>
      </c>
      <c r="C1930" s="31">
        <f>(Table2634[[#This Row],[M1 Money Stock, Billions of Dollars, Weekly, Seasonally Adjusted]]-B1929)/B1929</f>
        <v/>
      </c>
      <c r="D1930" s="35">
        <f>((1+Table2634[[#This Row],[Weekly change]])^52)-1</f>
        <v/>
      </c>
      <c r="E1930" s="25">
        <f>AVERAGE(B1927:B1930)</f>
        <v/>
      </c>
      <c r="F1930" s="33">
        <f>(Table2634[[#This Row],[4 weeks average]]-B1878)/B1878</f>
        <v/>
      </c>
    </row>
    <row r="1931">
      <c r="A1931" s="23" t="n">
        <v>40875</v>
      </c>
      <c r="B1931" s="25">
        <f>VLOOKUP(Table2634[[#This Row],[Date]],'DB Money Supply'!$A:$D,4)</f>
        <v/>
      </c>
      <c r="C1931" s="31">
        <f>(Table2634[[#This Row],[M1 Money Stock, Billions of Dollars, Weekly, Seasonally Adjusted]]-B1930)/B1930</f>
        <v/>
      </c>
      <c r="D1931" s="35">
        <f>((1+Table2634[[#This Row],[Weekly change]])^52)-1</f>
        <v/>
      </c>
      <c r="E1931" s="25">
        <f>AVERAGE(B1928:B1931)</f>
        <v/>
      </c>
      <c r="F1931" s="33">
        <f>(Table2634[[#This Row],[4 weeks average]]-B1879)/B1879</f>
        <v/>
      </c>
    </row>
    <row r="1932">
      <c r="A1932" s="23" t="n">
        <v>40882</v>
      </c>
      <c r="B1932" s="25">
        <f>VLOOKUP(Table2634[[#This Row],[Date]],'DB Money Supply'!$A:$D,4)</f>
        <v/>
      </c>
      <c r="C1932" s="31">
        <f>(Table2634[[#This Row],[M1 Money Stock, Billions of Dollars, Weekly, Seasonally Adjusted]]-B1931)/B1931</f>
        <v/>
      </c>
      <c r="D1932" s="35">
        <f>((1+Table2634[[#This Row],[Weekly change]])^52)-1</f>
        <v/>
      </c>
      <c r="E1932" s="25">
        <f>AVERAGE(B1929:B1932)</f>
        <v/>
      </c>
      <c r="F1932" s="33">
        <f>(Table2634[[#This Row],[4 weeks average]]-B1880)/B1880</f>
        <v/>
      </c>
    </row>
    <row r="1933">
      <c r="A1933" s="23" t="n">
        <v>40889</v>
      </c>
      <c r="B1933" s="25">
        <f>VLOOKUP(Table2634[[#This Row],[Date]],'DB Money Supply'!$A:$D,4)</f>
        <v/>
      </c>
      <c r="C1933" s="31">
        <f>(Table2634[[#This Row],[M1 Money Stock, Billions of Dollars, Weekly, Seasonally Adjusted]]-B1932)/B1932</f>
        <v/>
      </c>
      <c r="D1933" s="35">
        <f>((1+Table2634[[#This Row],[Weekly change]])^52)-1</f>
        <v/>
      </c>
      <c r="E1933" s="25">
        <f>AVERAGE(B1930:B1933)</f>
        <v/>
      </c>
      <c r="F1933" s="33">
        <f>(Table2634[[#This Row],[4 weeks average]]-B1881)/B1881</f>
        <v/>
      </c>
    </row>
    <row r="1934">
      <c r="A1934" s="23" t="n">
        <v>40896</v>
      </c>
      <c r="B1934" s="25">
        <f>VLOOKUP(Table2634[[#This Row],[Date]],'DB Money Supply'!$A:$D,4)</f>
        <v/>
      </c>
      <c r="C1934" s="31">
        <f>(Table2634[[#This Row],[M1 Money Stock, Billions of Dollars, Weekly, Seasonally Adjusted]]-B1933)/B1933</f>
        <v/>
      </c>
      <c r="D1934" s="35">
        <f>((1+Table2634[[#This Row],[Weekly change]])^52)-1</f>
        <v/>
      </c>
      <c r="E1934" s="25">
        <f>AVERAGE(B1931:B1934)</f>
        <v/>
      </c>
      <c r="F1934" s="33">
        <f>(Table2634[[#This Row],[4 weeks average]]-B1882)/B1882</f>
        <v/>
      </c>
    </row>
    <row r="1935">
      <c r="A1935" s="23" t="n">
        <v>40903</v>
      </c>
      <c r="B1935" s="25">
        <f>VLOOKUP(Table2634[[#This Row],[Date]],'DB Money Supply'!$A:$D,4)</f>
        <v/>
      </c>
      <c r="C1935" s="31">
        <f>(Table2634[[#This Row],[M1 Money Stock, Billions of Dollars, Weekly, Seasonally Adjusted]]-B1934)/B1934</f>
        <v/>
      </c>
      <c r="D1935" s="35">
        <f>((1+Table2634[[#This Row],[Weekly change]])^52)-1</f>
        <v/>
      </c>
      <c r="E1935" s="25">
        <f>AVERAGE(B1932:B1935)</f>
        <v/>
      </c>
      <c r="F1935" s="33">
        <f>(Table2634[[#This Row],[4 weeks average]]-B1883)/B1883</f>
        <v/>
      </c>
    </row>
    <row r="1936">
      <c r="A1936" s="23" t="n">
        <v>40910</v>
      </c>
      <c r="B1936" s="25">
        <f>VLOOKUP(Table2634[[#This Row],[Date]],'DB Money Supply'!$A:$D,4)</f>
        <v/>
      </c>
      <c r="C1936" s="31">
        <f>(Table2634[[#This Row],[M1 Money Stock, Billions of Dollars, Weekly, Seasonally Adjusted]]-B1935)/B1935</f>
        <v/>
      </c>
      <c r="D1936" s="35">
        <f>((1+Table2634[[#This Row],[Weekly change]])^52)-1</f>
        <v/>
      </c>
      <c r="E1936" s="25">
        <f>AVERAGE(B1933:B1936)</f>
        <v/>
      </c>
      <c r="F1936" s="33">
        <f>(Table2634[[#This Row],[4 weeks average]]-B1884)/B1884</f>
        <v/>
      </c>
    </row>
    <row r="1937">
      <c r="A1937" s="23" t="n">
        <v>40917</v>
      </c>
      <c r="B1937" s="25">
        <f>VLOOKUP(Table2634[[#This Row],[Date]],'DB Money Supply'!$A:$D,4)</f>
        <v/>
      </c>
      <c r="C1937" s="31">
        <f>(Table2634[[#This Row],[M1 Money Stock, Billions of Dollars, Weekly, Seasonally Adjusted]]-B1936)/B1936</f>
        <v/>
      </c>
      <c r="D1937" s="35">
        <f>((1+Table2634[[#This Row],[Weekly change]])^52)-1</f>
        <v/>
      </c>
      <c r="E1937" s="25">
        <f>AVERAGE(B1934:B1937)</f>
        <v/>
      </c>
      <c r="F1937" s="33">
        <f>(Table2634[[#This Row],[4 weeks average]]-B1885)/B1885</f>
        <v/>
      </c>
    </row>
    <row r="1938">
      <c r="A1938" s="23" t="n">
        <v>40924</v>
      </c>
      <c r="B1938" s="25">
        <f>VLOOKUP(Table2634[[#This Row],[Date]],'DB Money Supply'!$A:$D,4)</f>
        <v/>
      </c>
      <c r="C1938" s="31">
        <f>(Table2634[[#This Row],[M1 Money Stock, Billions of Dollars, Weekly, Seasonally Adjusted]]-B1937)/B1937</f>
        <v/>
      </c>
      <c r="D1938" s="35">
        <f>((1+Table2634[[#This Row],[Weekly change]])^52)-1</f>
        <v/>
      </c>
      <c r="E1938" s="25">
        <f>AVERAGE(B1935:B1938)</f>
        <v/>
      </c>
      <c r="F1938" s="33">
        <f>(Table2634[[#This Row],[4 weeks average]]-B1886)/B1886</f>
        <v/>
      </c>
    </row>
    <row r="1939">
      <c r="A1939" s="23" t="n">
        <v>40931</v>
      </c>
      <c r="B1939" s="25">
        <f>VLOOKUP(Table2634[[#This Row],[Date]],'DB Money Supply'!$A:$D,4)</f>
        <v/>
      </c>
      <c r="C1939" s="31">
        <f>(Table2634[[#This Row],[M1 Money Stock, Billions of Dollars, Weekly, Seasonally Adjusted]]-B1938)/B1938</f>
        <v/>
      </c>
      <c r="D1939" s="35">
        <f>((1+Table2634[[#This Row],[Weekly change]])^52)-1</f>
        <v/>
      </c>
      <c r="E1939" s="25">
        <f>AVERAGE(B1936:B1939)</f>
        <v/>
      </c>
      <c r="F1939" s="33">
        <f>(Table2634[[#This Row],[4 weeks average]]-B1887)/B1887</f>
        <v/>
      </c>
    </row>
    <row r="1940">
      <c r="A1940" s="23" t="n">
        <v>40938</v>
      </c>
      <c r="B1940" s="25">
        <f>VLOOKUP(Table2634[[#This Row],[Date]],'DB Money Supply'!$A:$D,4)</f>
        <v/>
      </c>
      <c r="C1940" s="31">
        <f>(Table2634[[#This Row],[M1 Money Stock, Billions of Dollars, Weekly, Seasonally Adjusted]]-B1939)/B1939</f>
        <v/>
      </c>
      <c r="D1940" s="35">
        <f>((1+Table2634[[#This Row],[Weekly change]])^52)-1</f>
        <v/>
      </c>
      <c r="E1940" s="25">
        <f>AVERAGE(B1937:B1940)</f>
        <v/>
      </c>
      <c r="F1940" s="33">
        <f>(Table2634[[#This Row],[4 weeks average]]-B1888)/B1888</f>
        <v/>
      </c>
    </row>
    <row r="1941">
      <c r="A1941" s="23" t="n">
        <v>40945</v>
      </c>
      <c r="B1941" s="25">
        <f>VLOOKUP(Table2634[[#This Row],[Date]],'DB Money Supply'!$A:$D,4)</f>
        <v/>
      </c>
      <c r="C1941" s="31">
        <f>(Table2634[[#This Row],[M1 Money Stock, Billions of Dollars, Weekly, Seasonally Adjusted]]-B1940)/B1940</f>
        <v/>
      </c>
      <c r="D1941" s="35">
        <f>((1+Table2634[[#This Row],[Weekly change]])^52)-1</f>
        <v/>
      </c>
      <c r="E1941" s="25">
        <f>AVERAGE(B1938:B1941)</f>
        <v/>
      </c>
      <c r="F1941" s="33">
        <f>(Table2634[[#This Row],[4 weeks average]]-B1889)/B1889</f>
        <v/>
      </c>
    </row>
    <row r="1942">
      <c r="A1942" s="23" t="n">
        <v>40952</v>
      </c>
      <c r="B1942" s="25">
        <f>VLOOKUP(Table2634[[#This Row],[Date]],'DB Money Supply'!$A:$D,4)</f>
        <v/>
      </c>
      <c r="C1942" s="31">
        <f>(Table2634[[#This Row],[M1 Money Stock, Billions of Dollars, Weekly, Seasonally Adjusted]]-B1941)/B1941</f>
        <v/>
      </c>
      <c r="D1942" s="35">
        <f>((1+Table2634[[#This Row],[Weekly change]])^52)-1</f>
        <v/>
      </c>
      <c r="E1942" s="25">
        <f>AVERAGE(B1939:B1942)</f>
        <v/>
      </c>
      <c r="F1942" s="33">
        <f>(Table2634[[#This Row],[4 weeks average]]-B1890)/B1890</f>
        <v/>
      </c>
    </row>
    <row r="1943">
      <c r="A1943" s="23" t="n">
        <v>40959</v>
      </c>
      <c r="B1943" s="25">
        <f>VLOOKUP(Table2634[[#This Row],[Date]],'DB Money Supply'!$A:$D,4)</f>
        <v/>
      </c>
      <c r="C1943" s="31">
        <f>(Table2634[[#This Row],[M1 Money Stock, Billions of Dollars, Weekly, Seasonally Adjusted]]-B1942)/B1942</f>
        <v/>
      </c>
      <c r="D1943" s="35">
        <f>((1+Table2634[[#This Row],[Weekly change]])^52)-1</f>
        <v/>
      </c>
      <c r="E1943" s="25">
        <f>AVERAGE(B1940:B1943)</f>
        <v/>
      </c>
      <c r="F1943" s="33">
        <f>(Table2634[[#This Row],[4 weeks average]]-B1891)/B1891</f>
        <v/>
      </c>
    </row>
    <row r="1944">
      <c r="A1944" s="23" t="n">
        <v>40966</v>
      </c>
      <c r="B1944" s="25">
        <f>VLOOKUP(Table2634[[#This Row],[Date]],'DB Money Supply'!$A:$D,4)</f>
        <v/>
      </c>
      <c r="C1944" s="31">
        <f>(Table2634[[#This Row],[M1 Money Stock, Billions of Dollars, Weekly, Seasonally Adjusted]]-B1943)/B1943</f>
        <v/>
      </c>
      <c r="D1944" s="35">
        <f>((1+Table2634[[#This Row],[Weekly change]])^52)-1</f>
        <v/>
      </c>
      <c r="E1944" s="25">
        <f>AVERAGE(B1941:B1944)</f>
        <v/>
      </c>
      <c r="F1944" s="33">
        <f>(Table2634[[#This Row],[4 weeks average]]-B1892)/B1892</f>
        <v/>
      </c>
    </row>
    <row r="1945">
      <c r="A1945" s="23" t="n">
        <v>40973</v>
      </c>
      <c r="B1945" s="25">
        <f>VLOOKUP(Table2634[[#This Row],[Date]],'DB Money Supply'!$A:$D,4)</f>
        <v/>
      </c>
      <c r="C1945" s="31">
        <f>(Table2634[[#This Row],[M1 Money Stock, Billions of Dollars, Weekly, Seasonally Adjusted]]-B1944)/B1944</f>
        <v/>
      </c>
      <c r="D1945" s="35">
        <f>((1+Table2634[[#This Row],[Weekly change]])^52)-1</f>
        <v/>
      </c>
      <c r="E1945" s="25">
        <f>AVERAGE(B1942:B1945)</f>
        <v/>
      </c>
      <c r="F1945" s="33">
        <f>(Table2634[[#This Row],[4 weeks average]]-B1893)/B1893</f>
        <v/>
      </c>
    </row>
    <row r="1946">
      <c r="A1946" s="23" t="n">
        <v>40980</v>
      </c>
      <c r="B1946" s="25">
        <f>VLOOKUP(Table2634[[#This Row],[Date]],'DB Money Supply'!$A:$D,4)</f>
        <v/>
      </c>
      <c r="C1946" s="31">
        <f>(Table2634[[#This Row],[M1 Money Stock, Billions of Dollars, Weekly, Seasonally Adjusted]]-B1945)/B1945</f>
        <v/>
      </c>
      <c r="D1946" s="35">
        <f>((1+Table2634[[#This Row],[Weekly change]])^52)-1</f>
        <v/>
      </c>
      <c r="E1946" s="25">
        <f>AVERAGE(B1943:B1946)</f>
        <v/>
      </c>
      <c r="F1946" s="33">
        <f>(Table2634[[#This Row],[4 weeks average]]-B1894)/B1894</f>
        <v/>
      </c>
    </row>
    <row r="1947">
      <c r="A1947" s="23" t="n">
        <v>40987</v>
      </c>
      <c r="B1947" s="25">
        <f>VLOOKUP(Table2634[[#This Row],[Date]],'DB Money Supply'!$A:$D,4)</f>
        <v/>
      </c>
      <c r="C1947" s="31">
        <f>(Table2634[[#This Row],[M1 Money Stock, Billions of Dollars, Weekly, Seasonally Adjusted]]-B1946)/B1946</f>
        <v/>
      </c>
      <c r="D1947" s="35">
        <f>((1+Table2634[[#This Row],[Weekly change]])^52)-1</f>
        <v/>
      </c>
      <c r="E1947" s="25">
        <f>AVERAGE(B1944:B1947)</f>
        <v/>
      </c>
      <c r="F1947" s="33">
        <f>(Table2634[[#This Row],[4 weeks average]]-B1895)/B1895</f>
        <v/>
      </c>
    </row>
    <row r="1948">
      <c r="A1948" s="23" t="n">
        <v>40994</v>
      </c>
      <c r="B1948" s="25">
        <f>VLOOKUP(Table2634[[#This Row],[Date]],'DB Money Supply'!$A:$D,4)</f>
        <v/>
      </c>
      <c r="C1948" s="31">
        <f>(Table2634[[#This Row],[M1 Money Stock, Billions of Dollars, Weekly, Seasonally Adjusted]]-B1947)/B1947</f>
        <v/>
      </c>
      <c r="D1948" s="35">
        <f>((1+Table2634[[#This Row],[Weekly change]])^52)-1</f>
        <v/>
      </c>
      <c r="E1948" s="25">
        <f>AVERAGE(B1945:B1948)</f>
        <v/>
      </c>
      <c r="F1948" s="33">
        <f>(Table2634[[#This Row],[4 weeks average]]-B1896)/B1896</f>
        <v/>
      </c>
    </row>
    <row r="1949">
      <c r="A1949" s="23" t="n">
        <v>41001</v>
      </c>
      <c r="B1949" s="25">
        <f>VLOOKUP(Table2634[[#This Row],[Date]],'DB Money Supply'!$A:$D,4)</f>
        <v/>
      </c>
      <c r="C1949" s="31">
        <f>(Table2634[[#This Row],[M1 Money Stock, Billions of Dollars, Weekly, Seasonally Adjusted]]-B1948)/B1948</f>
        <v/>
      </c>
      <c r="D1949" s="35">
        <f>((1+Table2634[[#This Row],[Weekly change]])^52)-1</f>
        <v/>
      </c>
      <c r="E1949" s="25">
        <f>AVERAGE(B1946:B1949)</f>
        <v/>
      </c>
      <c r="F1949" s="33">
        <f>(Table2634[[#This Row],[4 weeks average]]-B1897)/B1897</f>
        <v/>
      </c>
    </row>
    <row r="1950">
      <c r="A1950" s="23" t="n">
        <v>41008</v>
      </c>
      <c r="B1950" s="25">
        <f>VLOOKUP(Table2634[[#This Row],[Date]],'DB Money Supply'!$A:$D,4)</f>
        <v/>
      </c>
      <c r="C1950" s="31">
        <f>(Table2634[[#This Row],[M1 Money Stock, Billions of Dollars, Weekly, Seasonally Adjusted]]-B1949)/B1949</f>
        <v/>
      </c>
      <c r="D1950" s="35">
        <f>((1+Table2634[[#This Row],[Weekly change]])^52)-1</f>
        <v/>
      </c>
      <c r="E1950" s="25">
        <f>AVERAGE(B1947:B1950)</f>
        <v/>
      </c>
      <c r="F1950" s="33">
        <f>(Table2634[[#This Row],[4 weeks average]]-B1898)/B1898</f>
        <v/>
      </c>
    </row>
    <row r="1951">
      <c r="A1951" s="23" t="n">
        <v>41015</v>
      </c>
      <c r="B1951" s="25">
        <f>VLOOKUP(Table2634[[#This Row],[Date]],'DB Money Supply'!$A:$D,4)</f>
        <v/>
      </c>
      <c r="C1951" s="31">
        <f>(Table2634[[#This Row],[M1 Money Stock, Billions of Dollars, Weekly, Seasonally Adjusted]]-B1950)/B1950</f>
        <v/>
      </c>
      <c r="D1951" s="35">
        <f>((1+Table2634[[#This Row],[Weekly change]])^52)-1</f>
        <v/>
      </c>
      <c r="E1951" s="25">
        <f>AVERAGE(B1948:B1951)</f>
        <v/>
      </c>
      <c r="F1951" s="33">
        <f>(Table2634[[#This Row],[4 weeks average]]-B1899)/B1899</f>
        <v/>
      </c>
    </row>
    <row r="1952">
      <c r="A1952" s="23" t="n">
        <v>41022</v>
      </c>
      <c r="B1952" s="25">
        <f>VLOOKUP(Table2634[[#This Row],[Date]],'DB Money Supply'!$A:$D,4)</f>
        <v/>
      </c>
      <c r="C1952" s="31">
        <f>(Table2634[[#This Row],[M1 Money Stock, Billions of Dollars, Weekly, Seasonally Adjusted]]-B1951)/B1951</f>
        <v/>
      </c>
      <c r="D1952" s="35">
        <f>((1+Table2634[[#This Row],[Weekly change]])^52)-1</f>
        <v/>
      </c>
      <c r="E1952" s="25">
        <f>AVERAGE(B1949:B1952)</f>
        <v/>
      </c>
      <c r="F1952" s="33">
        <f>(Table2634[[#This Row],[4 weeks average]]-B1900)/B1900</f>
        <v/>
      </c>
    </row>
    <row r="1953">
      <c r="A1953" s="23" t="n">
        <v>41029</v>
      </c>
      <c r="B1953" s="25">
        <f>VLOOKUP(Table2634[[#This Row],[Date]],'DB Money Supply'!$A:$D,4)</f>
        <v/>
      </c>
      <c r="C1953" s="31">
        <f>(Table2634[[#This Row],[M1 Money Stock, Billions of Dollars, Weekly, Seasonally Adjusted]]-B1952)/B1952</f>
        <v/>
      </c>
      <c r="D1953" s="35">
        <f>((1+Table2634[[#This Row],[Weekly change]])^52)-1</f>
        <v/>
      </c>
      <c r="E1953" s="25">
        <f>AVERAGE(B1950:B1953)</f>
        <v/>
      </c>
      <c r="F1953" s="33">
        <f>(Table2634[[#This Row],[4 weeks average]]-B1901)/B1901</f>
        <v/>
      </c>
    </row>
    <row r="1954">
      <c r="A1954" s="23" t="n">
        <v>41036</v>
      </c>
      <c r="B1954" s="25">
        <f>VLOOKUP(Table2634[[#This Row],[Date]],'DB Money Supply'!$A:$D,4)</f>
        <v/>
      </c>
      <c r="C1954" s="31">
        <f>(Table2634[[#This Row],[M1 Money Stock, Billions of Dollars, Weekly, Seasonally Adjusted]]-B1953)/B1953</f>
        <v/>
      </c>
      <c r="D1954" s="35">
        <f>((1+Table2634[[#This Row],[Weekly change]])^52)-1</f>
        <v/>
      </c>
      <c r="E1954" s="25">
        <f>AVERAGE(B1951:B1954)</f>
        <v/>
      </c>
      <c r="F1954" s="33">
        <f>(Table2634[[#This Row],[4 weeks average]]-B1902)/B1902</f>
        <v/>
      </c>
    </row>
    <row r="1955">
      <c r="A1955" s="23" t="n">
        <v>41043</v>
      </c>
      <c r="B1955" s="25">
        <f>VLOOKUP(Table2634[[#This Row],[Date]],'DB Money Supply'!$A:$D,4)</f>
        <v/>
      </c>
      <c r="C1955" s="31">
        <f>(Table2634[[#This Row],[M1 Money Stock, Billions of Dollars, Weekly, Seasonally Adjusted]]-B1954)/B1954</f>
        <v/>
      </c>
      <c r="D1955" s="35">
        <f>((1+Table2634[[#This Row],[Weekly change]])^52)-1</f>
        <v/>
      </c>
      <c r="E1955" s="25">
        <f>AVERAGE(B1952:B1955)</f>
        <v/>
      </c>
      <c r="F1955" s="33">
        <f>(Table2634[[#This Row],[4 weeks average]]-B1903)/B1903</f>
        <v/>
      </c>
    </row>
    <row r="1956">
      <c r="A1956" s="23" t="n">
        <v>41050</v>
      </c>
      <c r="B1956" s="25">
        <f>VLOOKUP(Table2634[[#This Row],[Date]],'DB Money Supply'!$A:$D,4)</f>
        <v/>
      </c>
      <c r="C1956" s="31">
        <f>(Table2634[[#This Row],[M1 Money Stock, Billions of Dollars, Weekly, Seasonally Adjusted]]-B1955)/B1955</f>
        <v/>
      </c>
      <c r="D1956" s="35">
        <f>((1+Table2634[[#This Row],[Weekly change]])^52)-1</f>
        <v/>
      </c>
      <c r="E1956" s="25">
        <f>AVERAGE(B1953:B1956)</f>
        <v/>
      </c>
      <c r="F1956" s="33">
        <f>(Table2634[[#This Row],[4 weeks average]]-B1904)/B1904</f>
        <v/>
      </c>
    </row>
    <row r="1957">
      <c r="A1957" s="23" t="n">
        <v>41057</v>
      </c>
      <c r="B1957" s="25">
        <f>VLOOKUP(Table2634[[#This Row],[Date]],'DB Money Supply'!$A:$D,4)</f>
        <v/>
      </c>
      <c r="C1957" s="31">
        <f>(Table2634[[#This Row],[M1 Money Stock, Billions of Dollars, Weekly, Seasonally Adjusted]]-B1956)/B1956</f>
        <v/>
      </c>
      <c r="D1957" s="35">
        <f>((1+Table2634[[#This Row],[Weekly change]])^52)-1</f>
        <v/>
      </c>
      <c r="E1957" s="25">
        <f>AVERAGE(B1954:B1957)</f>
        <v/>
      </c>
      <c r="F1957" s="33">
        <f>(Table2634[[#This Row],[4 weeks average]]-B1905)/B1905</f>
        <v/>
      </c>
    </row>
    <row r="1958">
      <c r="A1958" s="23" t="n">
        <v>41064</v>
      </c>
      <c r="B1958" s="25">
        <f>VLOOKUP(Table2634[[#This Row],[Date]],'DB Money Supply'!$A:$D,4)</f>
        <v/>
      </c>
      <c r="C1958" s="31">
        <f>(Table2634[[#This Row],[M1 Money Stock, Billions of Dollars, Weekly, Seasonally Adjusted]]-B1957)/B1957</f>
        <v/>
      </c>
      <c r="D1958" s="35">
        <f>((1+Table2634[[#This Row],[Weekly change]])^52)-1</f>
        <v/>
      </c>
      <c r="E1958" s="25">
        <f>AVERAGE(B1955:B1958)</f>
        <v/>
      </c>
      <c r="F1958" s="33">
        <f>(Table2634[[#This Row],[4 weeks average]]-B1906)/B1906</f>
        <v/>
      </c>
    </row>
    <row r="1959">
      <c r="A1959" s="23" t="n">
        <v>41071</v>
      </c>
      <c r="B1959" s="25">
        <f>VLOOKUP(Table2634[[#This Row],[Date]],'DB Money Supply'!$A:$D,4)</f>
        <v/>
      </c>
      <c r="C1959" s="31">
        <f>(Table2634[[#This Row],[M1 Money Stock, Billions of Dollars, Weekly, Seasonally Adjusted]]-B1958)/B1958</f>
        <v/>
      </c>
      <c r="D1959" s="35">
        <f>((1+Table2634[[#This Row],[Weekly change]])^52)-1</f>
        <v/>
      </c>
      <c r="E1959" s="25">
        <f>AVERAGE(B1956:B1959)</f>
        <v/>
      </c>
      <c r="F1959" s="33">
        <f>(Table2634[[#This Row],[4 weeks average]]-B1907)/B1907</f>
        <v/>
      </c>
    </row>
    <row r="1960">
      <c r="A1960" s="23" t="n">
        <v>41078</v>
      </c>
      <c r="B1960" s="25">
        <f>VLOOKUP(Table2634[[#This Row],[Date]],'DB Money Supply'!$A:$D,4)</f>
        <v/>
      </c>
      <c r="C1960" s="31">
        <f>(Table2634[[#This Row],[M1 Money Stock, Billions of Dollars, Weekly, Seasonally Adjusted]]-B1959)/B1959</f>
        <v/>
      </c>
      <c r="D1960" s="35">
        <f>((1+Table2634[[#This Row],[Weekly change]])^52)-1</f>
        <v/>
      </c>
      <c r="E1960" s="25">
        <f>AVERAGE(B1957:B1960)</f>
        <v/>
      </c>
      <c r="F1960" s="33">
        <f>(Table2634[[#This Row],[4 weeks average]]-B1908)/B1908</f>
        <v/>
      </c>
    </row>
    <row r="1961">
      <c r="A1961" s="23" t="n">
        <v>41085</v>
      </c>
      <c r="B1961" s="25">
        <f>VLOOKUP(Table2634[[#This Row],[Date]],'DB Money Supply'!$A:$D,4)</f>
        <v/>
      </c>
      <c r="C1961" s="31">
        <f>(Table2634[[#This Row],[M1 Money Stock, Billions of Dollars, Weekly, Seasonally Adjusted]]-B1960)/B1960</f>
        <v/>
      </c>
      <c r="D1961" s="35">
        <f>((1+Table2634[[#This Row],[Weekly change]])^52)-1</f>
        <v/>
      </c>
      <c r="E1961" s="25">
        <f>AVERAGE(B1958:B1961)</f>
        <v/>
      </c>
      <c r="F1961" s="33">
        <f>(Table2634[[#This Row],[4 weeks average]]-B1909)/B1909</f>
        <v/>
      </c>
    </row>
    <row r="1962">
      <c r="A1962" s="23" t="n">
        <v>41092</v>
      </c>
      <c r="B1962" s="25">
        <f>VLOOKUP(Table2634[[#This Row],[Date]],'DB Money Supply'!$A:$D,4)</f>
        <v/>
      </c>
      <c r="C1962" s="31">
        <f>(Table2634[[#This Row],[M1 Money Stock, Billions of Dollars, Weekly, Seasonally Adjusted]]-B1961)/B1961</f>
        <v/>
      </c>
      <c r="D1962" s="35">
        <f>((1+Table2634[[#This Row],[Weekly change]])^52)-1</f>
        <v/>
      </c>
      <c r="E1962" s="25">
        <f>AVERAGE(B1959:B1962)</f>
        <v/>
      </c>
      <c r="F1962" s="33">
        <f>(Table2634[[#This Row],[4 weeks average]]-B1910)/B1910</f>
        <v/>
      </c>
    </row>
    <row r="1963">
      <c r="A1963" s="23" t="n">
        <v>41099</v>
      </c>
      <c r="B1963" s="25">
        <f>VLOOKUP(Table2634[[#This Row],[Date]],'DB Money Supply'!$A:$D,4)</f>
        <v/>
      </c>
      <c r="C1963" s="31">
        <f>(Table2634[[#This Row],[M1 Money Stock, Billions of Dollars, Weekly, Seasonally Adjusted]]-B1962)/B1962</f>
        <v/>
      </c>
      <c r="D1963" s="35">
        <f>((1+Table2634[[#This Row],[Weekly change]])^52)-1</f>
        <v/>
      </c>
      <c r="E1963" s="25">
        <f>AVERAGE(B1960:B1963)</f>
        <v/>
      </c>
      <c r="F1963" s="33">
        <f>(Table2634[[#This Row],[4 weeks average]]-B1911)/B1911</f>
        <v/>
      </c>
    </row>
    <row r="1964">
      <c r="A1964" s="23" t="n">
        <v>41106</v>
      </c>
      <c r="B1964" s="25">
        <f>VLOOKUP(Table2634[[#This Row],[Date]],'DB Money Supply'!$A:$D,4)</f>
        <v/>
      </c>
      <c r="C1964" s="31">
        <f>(Table2634[[#This Row],[M1 Money Stock, Billions of Dollars, Weekly, Seasonally Adjusted]]-B1963)/B1963</f>
        <v/>
      </c>
      <c r="D1964" s="35">
        <f>((1+Table2634[[#This Row],[Weekly change]])^52)-1</f>
        <v/>
      </c>
      <c r="E1964" s="25">
        <f>AVERAGE(B1961:B1964)</f>
        <v/>
      </c>
      <c r="F1964" s="33">
        <f>(Table2634[[#This Row],[4 weeks average]]-B1912)/B1912</f>
        <v/>
      </c>
    </row>
    <row r="1965">
      <c r="A1965" s="23" t="n">
        <v>41113</v>
      </c>
      <c r="B1965" s="25">
        <f>VLOOKUP(Table2634[[#This Row],[Date]],'DB Money Supply'!$A:$D,4)</f>
        <v/>
      </c>
      <c r="C1965" s="31">
        <f>(Table2634[[#This Row],[M1 Money Stock, Billions of Dollars, Weekly, Seasonally Adjusted]]-B1964)/B1964</f>
        <v/>
      </c>
      <c r="D1965" s="35">
        <f>((1+Table2634[[#This Row],[Weekly change]])^52)-1</f>
        <v/>
      </c>
      <c r="E1965" s="25">
        <f>AVERAGE(B1962:B1965)</f>
        <v/>
      </c>
      <c r="F1965" s="33">
        <f>(Table2634[[#This Row],[4 weeks average]]-B1913)/B1913</f>
        <v/>
      </c>
    </row>
    <row r="1966">
      <c r="A1966" s="23" t="n">
        <v>41120</v>
      </c>
      <c r="B1966" s="25">
        <f>VLOOKUP(Table2634[[#This Row],[Date]],'DB Money Supply'!$A:$D,4)</f>
        <v/>
      </c>
      <c r="C1966" s="31">
        <f>(Table2634[[#This Row],[M1 Money Stock, Billions of Dollars, Weekly, Seasonally Adjusted]]-B1965)/B1965</f>
        <v/>
      </c>
      <c r="D1966" s="35">
        <f>((1+Table2634[[#This Row],[Weekly change]])^52)-1</f>
        <v/>
      </c>
      <c r="E1966" s="25">
        <f>AVERAGE(B1963:B1966)</f>
        <v/>
      </c>
      <c r="F1966" s="33">
        <f>(Table2634[[#This Row],[4 weeks average]]-B1914)/B1914</f>
        <v/>
      </c>
    </row>
    <row r="1967">
      <c r="A1967" s="23" t="n">
        <v>41127</v>
      </c>
      <c r="B1967" s="25">
        <f>VLOOKUP(Table2634[[#This Row],[Date]],'DB Money Supply'!$A:$D,4)</f>
        <v/>
      </c>
      <c r="C1967" s="31">
        <f>(Table2634[[#This Row],[M1 Money Stock, Billions of Dollars, Weekly, Seasonally Adjusted]]-B1966)/B1966</f>
        <v/>
      </c>
      <c r="D1967" s="35">
        <f>((1+Table2634[[#This Row],[Weekly change]])^52)-1</f>
        <v/>
      </c>
      <c r="E1967" s="25">
        <f>AVERAGE(B1964:B1967)</f>
        <v/>
      </c>
      <c r="F1967" s="33">
        <f>(Table2634[[#This Row],[4 weeks average]]-B1915)/B1915</f>
        <v/>
      </c>
    </row>
    <row r="1968">
      <c r="A1968" s="23" t="n">
        <v>41134</v>
      </c>
      <c r="B1968" s="25">
        <f>VLOOKUP(Table2634[[#This Row],[Date]],'DB Money Supply'!$A:$D,4)</f>
        <v/>
      </c>
      <c r="C1968" s="31">
        <f>(Table2634[[#This Row],[M1 Money Stock, Billions of Dollars, Weekly, Seasonally Adjusted]]-B1967)/B1967</f>
        <v/>
      </c>
      <c r="D1968" s="35">
        <f>((1+Table2634[[#This Row],[Weekly change]])^52)-1</f>
        <v/>
      </c>
      <c r="E1968" s="25">
        <f>AVERAGE(B1965:B1968)</f>
        <v/>
      </c>
      <c r="F1968" s="33">
        <f>(Table2634[[#This Row],[4 weeks average]]-B1916)/B1916</f>
        <v/>
      </c>
    </row>
    <row r="1969">
      <c r="A1969" s="23" t="n">
        <v>41141</v>
      </c>
      <c r="B1969" s="25">
        <f>VLOOKUP(Table2634[[#This Row],[Date]],'DB Money Supply'!$A:$D,4)</f>
        <v/>
      </c>
      <c r="C1969" s="31">
        <f>(Table2634[[#This Row],[M1 Money Stock, Billions of Dollars, Weekly, Seasonally Adjusted]]-B1968)/B1968</f>
        <v/>
      </c>
      <c r="D1969" s="35">
        <f>((1+Table2634[[#This Row],[Weekly change]])^52)-1</f>
        <v/>
      </c>
      <c r="E1969" s="25">
        <f>AVERAGE(B1966:B1969)</f>
        <v/>
      </c>
      <c r="F1969" s="33">
        <f>(Table2634[[#This Row],[4 weeks average]]-B1917)/B1917</f>
        <v/>
      </c>
    </row>
    <row r="1970">
      <c r="A1970" s="23" t="n">
        <v>41148</v>
      </c>
      <c r="B1970" s="25">
        <f>VLOOKUP(Table2634[[#This Row],[Date]],'DB Money Supply'!$A:$D,4)</f>
        <v/>
      </c>
      <c r="C1970" s="31">
        <f>(Table2634[[#This Row],[M1 Money Stock, Billions of Dollars, Weekly, Seasonally Adjusted]]-B1969)/B1969</f>
        <v/>
      </c>
      <c r="D1970" s="35">
        <f>((1+Table2634[[#This Row],[Weekly change]])^52)-1</f>
        <v/>
      </c>
      <c r="E1970" s="25">
        <f>AVERAGE(B1967:B1970)</f>
        <v/>
      </c>
      <c r="F1970" s="33">
        <f>(Table2634[[#This Row],[4 weeks average]]-B1918)/B1918</f>
        <v/>
      </c>
    </row>
    <row r="1971">
      <c r="A1971" s="23" t="n">
        <v>41155</v>
      </c>
      <c r="B1971" s="25">
        <f>VLOOKUP(Table2634[[#This Row],[Date]],'DB Money Supply'!$A:$D,4)</f>
        <v/>
      </c>
      <c r="C1971" s="31">
        <f>(Table2634[[#This Row],[M1 Money Stock, Billions of Dollars, Weekly, Seasonally Adjusted]]-B1970)/B1970</f>
        <v/>
      </c>
      <c r="D1971" s="35">
        <f>((1+Table2634[[#This Row],[Weekly change]])^52)-1</f>
        <v/>
      </c>
      <c r="E1971" s="25">
        <f>AVERAGE(B1968:B1971)</f>
        <v/>
      </c>
      <c r="F1971" s="33">
        <f>(Table2634[[#This Row],[4 weeks average]]-B1919)/B1919</f>
        <v/>
      </c>
    </row>
    <row r="1972">
      <c r="A1972" s="23" t="n">
        <v>41162</v>
      </c>
      <c r="B1972" s="25">
        <f>VLOOKUP(Table2634[[#This Row],[Date]],'DB Money Supply'!$A:$D,4)</f>
        <v/>
      </c>
      <c r="C1972" s="31">
        <f>(Table2634[[#This Row],[M1 Money Stock, Billions of Dollars, Weekly, Seasonally Adjusted]]-B1971)/B1971</f>
        <v/>
      </c>
      <c r="D1972" s="35">
        <f>((1+Table2634[[#This Row],[Weekly change]])^52)-1</f>
        <v/>
      </c>
      <c r="E1972" s="25">
        <f>AVERAGE(B1969:B1972)</f>
        <v/>
      </c>
      <c r="F1972" s="33">
        <f>(Table2634[[#This Row],[4 weeks average]]-B1920)/B1920</f>
        <v/>
      </c>
    </row>
    <row r="1973">
      <c r="A1973" s="23" t="n">
        <v>41169</v>
      </c>
      <c r="B1973" s="25">
        <f>VLOOKUP(Table2634[[#This Row],[Date]],'DB Money Supply'!$A:$D,4)</f>
        <v/>
      </c>
      <c r="C1973" s="31">
        <f>(Table2634[[#This Row],[M1 Money Stock, Billions of Dollars, Weekly, Seasonally Adjusted]]-B1972)/B1972</f>
        <v/>
      </c>
      <c r="D1973" s="35">
        <f>((1+Table2634[[#This Row],[Weekly change]])^52)-1</f>
        <v/>
      </c>
      <c r="E1973" s="25">
        <f>AVERAGE(B1970:B1973)</f>
        <v/>
      </c>
      <c r="F1973" s="33">
        <f>(Table2634[[#This Row],[4 weeks average]]-B1921)/B1921</f>
        <v/>
      </c>
    </row>
    <row r="1974">
      <c r="A1974" s="23" t="n">
        <v>41176</v>
      </c>
      <c r="B1974" s="25">
        <f>VLOOKUP(Table2634[[#This Row],[Date]],'DB Money Supply'!$A:$D,4)</f>
        <v/>
      </c>
      <c r="C1974" s="31">
        <f>(Table2634[[#This Row],[M1 Money Stock, Billions of Dollars, Weekly, Seasonally Adjusted]]-B1973)/B1973</f>
        <v/>
      </c>
      <c r="D1974" s="35">
        <f>((1+Table2634[[#This Row],[Weekly change]])^52)-1</f>
        <v/>
      </c>
      <c r="E1974" s="25">
        <f>AVERAGE(B1971:B1974)</f>
        <v/>
      </c>
      <c r="F1974" s="33">
        <f>(Table2634[[#This Row],[4 weeks average]]-B1922)/B1922</f>
        <v/>
      </c>
    </row>
    <row r="1975">
      <c r="A1975" s="23" t="n">
        <v>41183</v>
      </c>
      <c r="B1975" s="25">
        <f>VLOOKUP(Table2634[[#This Row],[Date]],'DB Money Supply'!$A:$D,4)</f>
        <v/>
      </c>
      <c r="C1975" s="31">
        <f>(Table2634[[#This Row],[M1 Money Stock, Billions of Dollars, Weekly, Seasonally Adjusted]]-B1974)/B1974</f>
        <v/>
      </c>
      <c r="D1975" s="35">
        <f>((1+Table2634[[#This Row],[Weekly change]])^52)-1</f>
        <v/>
      </c>
      <c r="E1975" s="25">
        <f>AVERAGE(B1972:B1975)</f>
        <v/>
      </c>
      <c r="F1975" s="33">
        <f>(Table2634[[#This Row],[4 weeks average]]-B1923)/B1923</f>
        <v/>
      </c>
    </row>
    <row r="1976">
      <c r="A1976" s="23" t="n">
        <v>41190</v>
      </c>
      <c r="B1976" s="25">
        <f>VLOOKUP(Table2634[[#This Row],[Date]],'DB Money Supply'!$A:$D,4)</f>
        <v/>
      </c>
      <c r="C1976" s="31">
        <f>(Table2634[[#This Row],[M1 Money Stock, Billions of Dollars, Weekly, Seasonally Adjusted]]-B1975)/B1975</f>
        <v/>
      </c>
      <c r="D1976" s="35">
        <f>((1+Table2634[[#This Row],[Weekly change]])^52)-1</f>
        <v/>
      </c>
      <c r="E1976" s="25">
        <f>AVERAGE(B1973:B1976)</f>
        <v/>
      </c>
      <c r="F1976" s="33">
        <f>(Table2634[[#This Row],[4 weeks average]]-B1924)/B1924</f>
        <v/>
      </c>
    </row>
    <row r="1977">
      <c r="A1977" s="23" t="n">
        <v>41197</v>
      </c>
      <c r="B1977" s="25">
        <f>VLOOKUP(Table2634[[#This Row],[Date]],'DB Money Supply'!$A:$D,4)</f>
        <v/>
      </c>
      <c r="C1977" s="31">
        <f>(Table2634[[#This Row],[M1 Money Stock, Billions of Dollars, Weekly, Seasonally Adjusted]]-B1976)/B1976</f>
        <v/>
      </c>
      <c r="D1977" s="35">
        <f>((1+Table2634[[#This Row],[Weekly change]])^52)-1</f>
        <v/>
      </c>
      <c r="E1977" s="25">
        <f>AVERAGE(B1974:B1977)</f>
        <v/>
      </c>
      <c r="F1977" s="33">
        <f>(Table2634[[#This Row],[4 weeks average]]-B1925)/B1925</f>
        <v/>
      </c>
    </row>
    <row r="1978">
      <c r="A1978" s="23" t="n">
        <v>41204</v>
      </c>
      <c r="B1978" s="25">
        <f>VLOOKUP(Table2634[[#This Row],[Date]],'DB Money Supply'!$A:$D,4)</f>
        <v/>
      </c>
      <c r="C1978" s="31">
        <f>(Table2634[[#This Row],[M1 Money Stock, Billions of Dollars, Weekly, Seasonally Adjusted]]-B1977)/B1977</f>
        <v/>
      </c>
      <c r="D1978" s="35">
        <f>((1+Table2634[[#This Row],[Weekly change]])^52)-1</f>
        <v/>
      </c>
      <c r="E1978" s="25">
        <f>AVERAGE(B1975:B1978)</f>
        <v/>
      </c>
      <c r="F1978" s="33">
        <f>(Table2634[[#This Row],[4 weeks average]]-B1926)/B1926</f>
        <v/>
      </c>
    </row>
    <row r="1979">
      <c r="A1979" s="23" t="n">
        <v>41211</v>
      </c>
      <c r="B1979" s="25">
        <f>VLOOKUP(Table2634[[#This Row],[Date]],'DB Money Supply'!$A:$D,4)</f>
        <v/>
      </c>
      <c r="C1979" s="31">
        <f>(Table2634[[#This Row],[M1 Money Stock, Billions of Dollars, Weekly, Seasonally Adjusted]]-B1978)/B1978</f>
        <v/>
      </c>
      <c r="D1979" s="35">
        <f>((1+Table2634[[#This Row],[Weekly change]])^52)-1</f>
        <v/>
      </c>
      <c r="E1979" s="25">
        <f>AVERAGE(B1976:B1979)</f>
        <v/>
      </c>
      <c r="F1979" s="33">
        <f>(Table2634[[#This Row],[4 weeks average]]-B1927)/B1927</f>
        <v/>
      </c>
    </row>
    <row r="1980">
      <c r="A1980" s="23" t="n">
        <v>41218</v>
      </c>
      <c r="B1980" s="25">
        <f>VLOOKUP(Table2634[[#This Row],[Date]],'DB Money Supply'!$A:$D,4)</f>
        <v/>
      </c>
      <c r="C1980" s="31">
        <f>(Table2634[[#This Row],[M1 Money Stock, Billions of Dollars, Weekly, Seasonally Adjusted]]-B1979)/B1979</f>
        <v/>
      </c>
      <c r="D1980" s="35">
        <f>((1+Table2634[[#This Row],[Weekly change]])^52)-1</f>
        <v/>
      </c>
      <c r="E1980" s="25">
        <f>AVERAGE(B1977:B1980)</f>
        <v/>
      </c>
      <c r="F1980" s="33">
        <f>(Table2634[[#This Row],[4 weeks average]]-B1928)/B1928</f>
        <v/>
      </c>
    </row>
    <row r="1981">
      <c r="A1981" s="23" t="n">
        <v>41225</v>
      </c>
      <c r="B1981" s="25">
        <f>VLOOKUP(Table2634[[#This Row],[Date]],'DB Money Supply'!$A:$D,4)</f>
        <v/>
      </c>
      <c r="C1981" s="31">
        <f>(Table2634[[#This Row],[M1 Money Stock, Billions of Dollars, Weekly, Seasonally Adjusted]]-B1980)/B1980</f>
        <v/>
      </c>
      <c r="D1981" s="35">
        <f>((1+Table2634[[#This Row],[Weekly change]])^52)-1</f>
        <v/>
      </c>
      <c r="E1981" s="25">
        <f>AVERAGE(B1978:B1981)</f>
        <v/>
      </c>
      <c r="F1981" s="33">
        <f>(Table2634[[#This Row],[4 weeks average]]-B1929)/B1929</f>
        <v/>
      </c>
    </row>
    <row r="1982">
      <c r="A1982" s="23" t="n">
        <v>41232</v>
      </c>
      <c r="B1982" s="25">
        <f>VLOOKUP(Table2634[[#This Row],[Date]],'DB Money Supply'!$A:$D,4)</f>
        <v/>
      </c>
      <c r="C1982" s="31">
        <f>(Table2634[[#This Row],[M1 Money Stock, Billions of Dollars, Weekly, Seasonally Adjusted]]-B1981)/B1981</f>
        <v/>
      </c>
      <c r="D1982" s="35">
        <f>((1+Table2634[[#This Row],[Weekly change]])^52)-1</f>
        <v/>
      </c>
      <c r="E1982" s="25">
        <f>AVERAGE(B1979:B1982)</f>
        <v/>
      </c>
      <c r="F1982" s="33">
        <f>(Table2634[[#This Row],[4 weeks average]]-B1930)/B1930</f>
        <v/>
      </c>
    </row>
    <row r="1983">
      <c r="A1983" s="23" t="n">
        <v>41239</v>
      </c>
      <c r="B1983" s="25">
        <f>VLOOKUP(Table2634[[#This Row],[Date]],'DB Money Supply'!$A:$D,4)</f>
        <v/>
      </c>
      <c r="C1983" s="31">
        <f>(Table2634[[#This Row],[M1 Money Stock, Billions of Dollars, Weekly, Seasonally Adjusted]]-B1982)/B1982</f>
        <v/>
      </c>
      <c r="D1983" s="35">
        <f>((1+Table2634[[#This Row],[Weekly change]])^52)-1</f>
        <v/>
      </c>
      <c r="E1983" s="25">
        <f>AVERAGE(B1980:B1983)</f>
        <v/>
      </c>
      <c r="F1983" s="33">
        <f>(Table2634[[#This Row],[4 weeks average]]-B1931)/B1931</f>
        <v/>
      </c>
    </row>
    <row r="1984">
      <c r="A1984" s="23" t="n">
        <v>41246</v>
      </c>
      <c r="B1984" s="25">
        <f>VLOOKUP(Table2634[[#This Row],[Date]],'DB Money Supply'!$A:$D,4)</f>
        <v/>
      </c>
      <c r="C1984" s="31">
        <f>(Table2634[[#This Row],[M1 Money Stock, Billions of Dollars, Weekly, Seasonally Adjusted]]-B1983)/B1983</f>
        <v/>
      </c>
      <c r="D1984" s="35">
        <f>((1+Table2634[[#This Row],[Weekly change]])^52)-1</f>
        <v/>
      </c>
      <c r="E1984" s="25">
        <f>AVERAGE(B1981:B1984)</f>
        <v/>
      </c>
      <c r="F1984" s="33">
        <f>(Table2634[[#This Row],[4 weeks average]]-B1932)/B1932</f>
        <v/>
      </c>
    </row>
    <row r="1985">
      <c r="A1985" s="23" t="n">
        <v>41253</v>
      </c>
      <c r="B1985" s="25">
        <f>VLOOKUP(Table2634[[#This Row],[Date]],'DB Money Supply'!$A:$D,4)</f>
        <v/>
      </c>
      <c r="C1985" s="31">
        <f>(Table2634[[#This Row],[M1 Money Stock, Billions of Dollars, Weekly, Seasonally Adjusted]]-B1984)/B1984</f>
        <v/>
      </c>
      <c r="D1985" s="35">
        <f>((1+Table2634[[#This Row],[Weekly change]])^52)-1</f>
        <v/>
      </c>
      <c r="E1985" s="25">
        <f>AVERAGE(B1982:B1985)</f>
        <v/>
      </c>
      <c r="F1985" s="33">
        <f>(Table2634[[#This Row],[4 weeks average]]-B1933)/B1933</f>
        <v/>
      </c>
    </row>
    <row r="1986">
      <c r="A1986" s="23" t="n">
        <v>41260</v>
      </c>
      <c r="B1986" s="25">
        <f>VLOOKUP(Table2634[[#This Row],[Date]],'DB Money Supply'!$A:$D,4)</f>
        <v/>
      </c>
      <c r="C1986" s="31">
        <f>(Table2634[[#This Row],[M1 Money Stock, Billions of Dollars, Weekly, Seasonally Adjusted]]-B1985)/B1985</f>
        <v/>
      </c>
      <c r="D1986" s="35">
        <f>((1+Table2634[[#This Row],[Weekly change]])^52)-1</f>
        <v/>
      </c>
      <c r="E1986" s="25">
        <f>AVERAGE(B1983:B1986)</f>
        <v/>
      </c>
      <c r="F1986" s="33">
        <f>(Table2634[[#This Row],[4 weeks average]]-B1934)/B1934</f>
        <v/>
      </c>
    </row>
    <row r="1987">
      <c r="A1987" s="23" t="n">
        <v>41267</v>
      </c>
      <c r="B1987" s="25">
        <f>VLOOKUP(Table2634[[#This Row],[Date]],'DB Money Supply'!$A:$D,4)</f>
        <v/>
      </c>
      <c r="C1987" s="31">
        <f>(Table2634[[#This Row],[M1 Money Stock, Billions of Dollars, Weekly, Seasonally Adjusted]]-B1986)/B1986</f>
        <v/>
      </c>
      <c r="D1987" s="35">
        <f>((1+Table2634[[#This Row],[Weekly change]])^52)-1</f>
        <v/>
      </c>
      <c r="E1987" s="25">
        <f>AVERAGE(B1984:B1987)</f>
        <v/>
      </c>
      <c r="F1987" s="33">
        <f>(Table2634[[#This Row],[4 weeks average]]-B1935)/B1935</f>
        <v/>
      </c>
    </row>
    <row r="1988">
      <c r="A1988" s="23" t="n">
        <v>41274</v>
      </c>
      <c r="B1988" s="25">
        <f>VLOOKUP(Table2634[[#This Row],[Date]],'DB Money Supply'!$A:$D,4)</f>
        <v/>
      </c>
      <c r="C1988" s="31">
        <f>(Table2634[[#This Row],[M1 Money Stock, Billions of Dollars, Weekly, Seasonally Adjusted]]-B1987)/B1987</f>
        <v/>
      </c>
      <c r="D1988" s="35">
        <f>((1+Table2634[[#This Row],[Weekly change]])^52)-1</f>
        <v/>
      </c>
      <c r="E1988" s="25">
        <f>AVERAGE(B1985:B1988)</f>
        <v/>
      </c>
      <c r="F1988" s="33">
        <f>(Table2634[[#This Row],[4 weeks average]]-B1936)/B1936</f>
        <v/>
      </c>
    </row>
    <row r="1989">
      <c r="A1989" s="23" t="n">
        <v>41281</v>
      </c>
      <c r="B1989" s="25">
        <f>VLOOKUP(Table2634[[#This Row],[Date]],'DB Money Supply'!$A:$D,4)</f>
        <v/>
      </c>
      <c r="C1989" s="31">
        <f>(Table2634[[#This Row],[M1 Money Stock, Billions of Dollars, Weekly, Seasonally Adjusted]]-B1988)/B1988</f>
        <v/>
      </c>
      <c r="D1989" s="35">
        <f>((1+Table2634[[#This Row],[Weekly change]])^52)-1</f>
        <v/>
      </c>
      <c r="E1989" s="25">
        <f>AVERAGE(B1986:B1989)</f>
        <v/>
      </c>
      <c r="F1989" s="33">
        <f>(Table2634[[#This Row],[4 weeks average]]-B1937)/B1937</f>
        <v/>
      </c>
    </row>
    <row r="1990">
      <c r="A1990" s="23" t="n">
        <v>41288</v>
      </c>
      <c r="B1990" s="25">
        <f>VLOOKUP(Table2634[[#This Row],[Date]],'DB Money Supply'!$A:$D,4)</f>
        <v/>
      </c>
      <c r="C1990" s="31">
        <f>(Table2634[[#This Row],[M1 Money Stock, Billions of Dollars, Weekly, Seasonally Adjusted]]-B1989)/B1989</f>
        <v/>
      </c>
      <c r="D1990" s="35">
        <f>((1+Table2634[[#This Row],[Weekly change]])^52)-1</f>
        <v/>
      </c>
      <c r="E1990" s="25">
        <f>AVERAGE(B1987:B1990)</f>
        <v/>
      </c>
      <c r="F1990" s="33">
        <f>(Table2634[[#This Row],[4 weeks average]]-B1938)/B1938</f>
        <v/>
      </c>
    </row>
    <row r="1991">
      <c r="A1991" s="23" t="n">
        <v>41295</v>
      </c>
      <c r="B1991" s="25">
        <f>VLOOKUP(Table2634[[#This Row],[Date]],'DB Money Supply'!$A:$D,4)</f>
        <v/>
      </c>
      <c r="C1991" s="31">
        <f>(Table2634[[#This Row],[M1 Money Stock, Billions of Dollars, Weekly, Seasonally Adjusted]]-B1990)/B1990</f>
        <v/>
      </c>
      <c r="D1991" s="35">
        <f>((1+Table2634[[#This Row],[Weekly change]])^52)-1</f>
        <v/>
      </c>
      <c r="E1991" s="25">
        <f>AVERAGE(B1988:B1991)</f>
        <v/>
      </c>
      <c r="F1991" s="33">
        <f>(Table2634[[#This Row],[4 weeks average]]-B1939)/B1939</f>
        <v/>
      </c>
    </row>
    <row r="1992">
      <c r="A1992" s="23" t="n">
        <v>41302</v>
      </c>
      <c r="B1992" s="25">
        <f>VLOOKUP(Table2634[[#This Row],[Date]],'DB Money Supply'!$A:$D,4)</f>
        <v/>
      </c>
      <c r="C1992" s="31">
        <f>(Table2634[[#This Row],[M1 Money Stock, Billions of Dollars, Weekly, Seasonally Adjusted]]-B1991)/B1991</f>
        <v/>
      </c>
      <c r="D1992" s="35">
        <f>((1+Table2634[[#This Row],[Weekly change]])^52)-1</f>
        <v/>
      </c>
      <c r="E1992" s="25">
        <f>AVERAGE(B1989:B1992)</f>
        <v/>
      </c>
      <c r="F1992" s="33">
        <f>(Table2634[[#This Row],[4 weeks average]]-B1940)/B1940</f>
        <v/>
      </c>
    </row>
    <row r="1993">
      <c r="A1993" s="23" t="n">
        <v>41309</v>
      </c>
      <c r="B1993" s="25">
        <f>VLOOKUP(Table2634[[#This Row],[Date]],'DB Money Supply'!$A:$D,4)</f>
        <v/>
      </c>
      <c r="C1993" s="31">
        <f>(Table2634[[#This Row],[M1 Money Stock, Billions of Dollars, Weekly, Seasonally Adjusted]]-B1992)/B1992</f>
        <v/>
      </c>
      <c r="D1993" s="35">
        <f>((1+Table2634[[#This Row],[Weekly change]])^52)-1</f>
        <v/>
      </c>
      <c r="E1993" s="25">
        <f>AVERAGE(B1990:B1993)</f>
        <v/>
      </c>
      <c r="F1993" s="33">
        <f>(Table2634[[#This Row],[4 weeks average]]-B1941)/B1941</f>
        <v/>
      </c>
    </row>
    <row r="1994">
      <c r="A1994" s="23" t="n">
        <v>41316</v>
      </c>
      <c r="B1994" s="25">
        <f>VLOOKUP(Table2634[[#This Row],[Date]],'DB Money Supply'!$A:$D,4)</f>
        <v/>
      </c>
      <c r="C1994" s="31">
        <f>(Table2634[[#This Row],[M1 Money Stock, Billions of Dollars, Weekly, Seasonally Adjusted]]-B1993)/B1993</f>
        <v/>
      </c>
      <c r="D1994" s="35">
        <f>((1+Table2634[[#This Row],[Weekly change]])^52)-1</f>
        <v/>
      </c>
      <c r="E1994" s="25">
        <f>AVERAGE(B1991:B1994)</f>
        <v/>
      </c>
      <c r="F1994" s="33">
        <f>(Table2634[[#This Row],[4 weeks average]]-B1942)/B1942</f>
        <v/>
      </c>
    </row>
    <row r="1995">
      <c r="A1995" s="23" t="n">
        <v>41323</v>
      </c>
      <c r="B1995" s="25">
        <f>VLOOKUP(Table2634[[#This Row],[Date]],'DB Money Supply'!$A:$D,4)</f>
        <v/>
      </c>
      <c r="C1995" s="31">
        <f>(Table2634[[#This Row],[M1 Money Stock, Billions of Dollars, Weekly, Seasonally Adjusted]]-B1994)/B1994</f>
        <v/>
      </c>
      <c r="D1995" s="35">
        <f>((1+Table2634[[#This Row],[Weekly change]])^52)-1</f>
        <v/>
      </c>
      <c r="E1995" s="25">
        <f>AVERAGE(B1992:B1995)</f>
        <v/>
      </c>
      <c r="F1995" s="33">
        <f>(Table2634[[#This Row],[4 weeks average]]-B1943)/B1943</f>
        <v/>
      </c>
    </row>
    <row r="1996">
      <c r="A1996" s="23" t="n">
        <v>41330</v>
      </c>
      <c r="B1996" s="25">
        <f>VLOOKUP(Table2634[[#This Row],[Date]],'DB Money Supply'!$A:$D,4)</f>
        <v/>
      </c>
      <c r="C1996" s="31">
        <f>(Table2634[[#This Row],[M1 Money Stock, Billions of Dollars, Weekly, Seasonally Adjusted]]-B1995)/B1995</f>
        <v/>
      </c>
      <c r="D1996" s="35">
        <f>((1+Table2634[[#This Row],[Weekly change]])^52)-1</f>
        <v/>
      </c>
      <c r="E1996" s="25">
        <f>AVERAGE(B1993:B1996)</f>
        <v/>
      </c>
      <c r="F1996" s="33">
        <f>(Table2634[[#This Row],[4 weeks average]]-B1944)/B1944</f>
        <v/>
      </c>
    </row>
    <row r="1997">
      <c r="A1997" s="23" t="n">
        <v>41337</v>
      </c>
      <c r="B1997" s="25">
        <f>VLOOKUP(Table2634[[#This Row],[Date]],'DB Money Supply'!$A:$D,4)</f>
        <v/>
      </c>
      <c r="C1997" s="31">
        <f>(Table2634[[#This Row],[M1 Money Stock, Billions of Dollars, Weekly, Seasonally Adjusted]]-B1996)/B1996</f>
        <v/>
      </c>
      <c r="D1997" s="35">
        <f>((1+Table2634[[#This Row],[Weekly change]])^52)-1</f>
        <v/>
      </c>
      <c r="E1997" s="25">
        <f>AVERAGE(B1994:B1997)</f>
        <v/>
      </c>
      <c r="F1997" s="33">
        <f>(Table2634[[#This Row],[4 weeks average]]-B1945)/B1945</f>
        <v/>
      </c>
    </row>
    <row r="1998">
      <c r="A1998" s="23" t="n">
        <v>41344</v>
      </c>
      <c r="B1998" s="25">
        <f>VLOOKUP(Table2634[[#This Row],[Date]],'DB Money Supply'!$A:$D,4)</f>
        <v/>
      </c>
      <c r="C1998" s="31">
        <f>(Table2634[[#This Row],[M1 Money Stock, Billions of Dollars, Weekly, Seasonally Adjusted]]-B1997)/B1997</f>
        <v/>
      </c>
      <c r="D1998" s="35">
        <f>((1+Table2634[[#This Row],[Weekly change]])^52)-1</f>
        <v/>
      </c>
      <c r="E1998" s="25">
        <f>AVERAGE(B1995:B1998)</f>
        <v/>
      </c>
      <c r="F1998" s="33">
        <f>(Table2634[[#This Row],[4 weeks average]]-B1946)/B1946</f>
        <v/>
      </c>
    </row>
    <row r="1999">
      <c r="A1999" s="23" t="n">
        <v>41351</v>
      </c>
      <c r="B1999" s="25">
        <f>VLOOKUP(Table2634[[#This Row],[Date]],'DB Money Supply'!$A:$D,4)</f>
        <v/>
      </c>
      <c r="C1999" s="31">
        <f>(Table2634[[#This Row],[M1 Money Stock, Billions of Dollars, Weekly, Seasonally Adjusted]]-B1998)/B1998</f>
        <v/>
      </c>
      <c r="D1999" s="35">
        <f>((1+Table2634[[#This Row],[Weekly change]])^52)-1</f>
        <v/>
      </c>
      <c r="E1999" s="25">
        <f>AVERAGE(B1996:B1999)</f>
        <v/>
      </c>
      <c r="F1999" s="33">
        <f>(Table2634[[#This Row],[4 weeks average]]-B1947)/B1947</f>
        <v/>
      </c>
    </row>
    <row r="2000">
      <c r="A2000" s="23" t="n">
        <v>41358</v>
      </c>
      <c r="B2000" s="25">
        <f>VLOOKUP(Table2634[[#This Row],[Date]],'DB Money Supply'!$A:$D,4)</f>
        <v/>
      </c>
      <c r="C2000" s="31">
        <f>(Table2634[[#This Row],[M1 Money Stock, Billions of Dollars, Weekly, Seasonally Adjusted]]-B1999)/B1999</f>
        <v/>
      </c>
      <c r="D2000" s="35">
        <f>((1+Table2634[[#This Row],[Weekly change]])^52)-1</f>
        <v/>
      </c>
      <c r="E2000" s="25">
        <f>AVERAGE(B1997:B2000)</f>
        <v/>
      </c>
      <c r="F2000" s="33">
        <f>(Table2634[[#This Row],[4 weeks average]]-B1948)/B1948</f>
        <v/>
      </c>
    </row>
    <row r="2001">
      <c r="A2001" s="23" t="n">
        <v>41365</v>
      </c>
      <c r="B2001" s="25">
        <f>VLOOKUP(Table2634[[#This Row],[Date]],'DB Money Supply'!$A:$D,4)</f>
        <v/>
      </c>
      <c r="C2001" s="31">
        <f>(Table2634[[#This Row],[M1 Money Stock, Billions of Dollars, Weekly, Seasonally Adjusted]]-B2000)/B2000</f>
        <v/>
      </c>
      <c r="D2001" s="35">
        <f>((1+Table2634[[#This Row],[Weekly change]])^52)-1</f>
        <v/>
      </c>
      <c r="E2001" s="25">
        <f>AVERAGE(B1998:B2001)</f>
        <v/>
      </c>
      <c r="F2001" s="33">
        <f>(Table2634[[#This Row],[4 weeks average]]-B1949)/B1949</f>
        <v/>
      </c>
    </row>
    <row r="2002">
      <c r="A2002" s="23" t="n">
        <v>41372</v>
      </c>
      <c r="B2002" s="25">
        <f>VLOOKUP(Table2634[[#This Row],[Date]],'DB Money Supply'!$A:$D,4)</f>
        <v/>
      </c>
      <c r="C2002" s="31">
        <f>(Table2634[[#This Row],[M1 Money Stock, Billions of Dollars, Weekly, Seasonally Adjusted]]-B2001)/B2001</f>
        <v/>
      </c>
      <c r="D2002" s="35">
        <f>((1+Table2634[[#This Row],[Weekly change]])^52)-1</f>
        <v/>
      </c>
      <c r="E2002" s="25">
        <f>AVERAGE(B1999:B2002)</f>
        <v/>
      </c>
      <c r="F2002" s="33">
        <f>(Table2634[[#This Row],[4 weeks average]]-B1950)/B1950</f>
        <v/>
      </c>
    </row>
    <row r="2003">
      <c r="A2003" s="23" t="n">
        <v>41379</v>
      </c>
      <c r="B2003" s="25">
        <f>VLOOKUP(Table2634[[#This Row],[Date]],'DB Money Supply'!$A:$D,4)</f>
        <v/>
      </c>
      <c r="C2003" s="31">
        <f>(Table2634[[#This Row],[M1 Money Stock, Billions of Dollars, Weekly, Seasonally Adjusted]]-B2002)/B2002</f>
        <v/>
      </c>
      <c r="D2003" s="35">
        <f>((1+Table2634[[#This Row],[Weekly change]])^52)-1</f>
        <v/>
      </c>
      <c r="E2003" s="25">
        <f>AVERAGE(B2000:B2003)</f>
        <v/>
      </c>
      <c r="F2003" s="33">
        <f>(Table2634[[#This Row],[4 weeks average]]-B1951)/B1951</f>
        <v/>
      </c>
    </row>
    <row r="2004">
      <c r="A2004" s="23" t="n">
        <v>41386</v>
      </c>
      <c r="B2004" s="25">
        <f>VLOOKUP(Table2634[[#This Row],[Date]],'DB Money Supply'!$A:$D,4)</f>
        <v/>
      </c>
      <c r="C2004" s="31">
        <f>(Table2634[[#This Row],[M1 Money Stock, Billions of Dollars, Weekly, Seasonally Adjusted]]-B2003)/B2003</f>
        <v/>
      </c>
      <c r="D2004" s="35">
        <f>((1+Table2634[[#This Row],[Weekly change]])^52)-1</f>
        <v/>
      </c>
      <c r="E2004" s="25">
        <f>AVERAGE(B2001:B2004)</f>
        <v/>
      </c>
      <c r="F2004" s="33">
        <f>(Table2634[[#This Row],[4 weeks average]]-B1952)/B1952</f>
        <v/>
      </c>
    </row>
    <row r="2005">
      <c r="A2005" s="23" t="n">
        <v>41393</v>
      </c>
      <c r="B2005" s="25">
        <f>VLOOKUP(Table2634[[#This Row],[Date]],'DB Money Supply'!$A:$D,4)</f>
        <v/>
      </c>
      <c r="C2005" s="31">
        <f>(Table2634[[#This Row],[M1 Money Stock, Billions of Dollars, Weekly, Seasonally Adjusted]]-B2004)/B2004</f>
        <v/>
      </c>
      <c r="D2005" s="35">
        <f>((1+Table2634[[#This Row],[Weekly change]])^52)-1</f>
        <v/>
      </c>
      <c r="E2005" s="25">
        <f>AVERAGE(B2002:B2005)</f>
        <v/>
      </c>
      <c r="F2005" s="33">
        <f>(Table2634[[#This Row],[4 weeks average]]-B1953)/B1953</f>
        <v/>
      </c>
    </row>
    <row r="2006">
      <c r="A2006" s="23" t="n">
        <v>41400</v>
      </c>
      <c r="B2006" s="25">
        <f>VLOOKUP(Table2634[[#This Row],[Date]],'DB Money Supply'!$A:$D,4)</f>
        <v/>
      </c>
      <c r="C2006" s="31">
        <f>(Table2634[[#This Row],[M1 Money Stock, Billions of Dollars, Weekly, Seasonally Adjusted]]-B2005)/B2005</f>
        <v/>
      </c>
      <c r="D2006" s="35">
        <f>((1+Table2634[[#This Row],[Weekly change]])^52)-1</f>
        <v/>
      </c>
      <c r="E2006" s="25">
        <f>AVERAGE(B2003:B2006)</f>
        <v/>
      </c>
      <c r="F2006" s="33">
        <f>(Table2634[[#This Row],[4 weeks average]]-B1954)/B1954</f>
        <v/>
      </c>
    </row>
    <row r="2007">
      <c r="A2007" s="23" t="n">
        <v>41407</v>
      </c>
      <c r="B2007" s="25">
        <f>VLOOKUP(Table2634[[#This Row],[Date]],'DB Money Supply'!$A:$D,4)</f>
        <v/>
      </c>
      <c r="C2007" s="31">
        <f>(Table2634[[#This Row],[M1 Money Stock, Billions of Dollars, Weekly, Seasonally Adjusted]]-B2006)/B2006</f>
        <v/>
      </c>
      <c r="D2007" s="35">
        <f>((1+Table2634[[#This Row],[Weekly change]])^52)-1</f>
        <v/>
      </c>
      <c r="E2007" s="25">
        <f>AVERAGE(B2004:B2007)</f>
        <v/>
      </c>
      <c r="F2007" s="33">
        <f>(Table2634[[#This Row],[4 weeks average]]-B1955)/B1955</f>
        <v/>
      </c>
    </row>
    <row r="2008">
      <c r="A2008" s="23" t="n">
        <v>41414</v>
      </c>
      <c r="B2008" s="25">
        <f>VLOOKUP(Table2634[[#This Row],[Date]],'DB Money Supply'!$A:$D,4)</f>
        <v/>
      </c>
      <c r="C2008" s="31">
        <f>(Table2634[[#This Row],[M1 Money Stock, Billions of Dollars, Weekly, Seasonally Adjusted]]-B2007)/B2007</f>
        <v/>
      </c>
      <c r="D2008" s="35">
        <f>((1+Table2634[[#This Row],[Weekly change]])^52)-1</f>
        <v/>
      </c>
      <c r="E2008" s="25">
        <f>AVERAGE(B2005:B2008)</f>
        <v/>
      </c>
      <c r="F2008" s="33">
        <f>(Table2634[[#This Row],[4 weeks average]]-B1956)/B1956</f>
        <v/>
      </c>
    </row>
    <row r="2009">
      <c r="A2009" s="23" t="n">
        <v>41421</v>
      </c>
      <c r="B2009" s="25">
        <f>VLOOKUP(Table2634[[#This Row],[Date]],'DB Money Supply'!$A:$D,4)</f>
        <v/>
      </c>
      <c r="C2009" s="31">
        <f>(Table2634[[#This Row],[M1 Money Stock, Billions of Dollars, Weekly, Seasonally Adjusted]]-B2008)/B2008</f>
        <v/>
      </c>
      <c r="D2009" s="35">
        <f>((1+Table2634[[#This Row],[Weekly change]])^52)-1</f>
        <v/>
      </c>
      <c r="E2009" s="25">
        <f>AVERAGE(B2006:B2009)</f>
        <v/>
      </c>
      <c r="F2009" s="33">
        <f>(Table2634[[#This Row],[4 weeks average]]-B1957)/B1957</f>
        <v/>
      </c>
    </row>
    <row r="2010">
      <c r="A2010" s="23" t="n">
        <v>41428</v>
      </c>
      <c r="B2010" s="25">
        <f>VLOOKUP(Table2634[[#This Row],[Date]],'DB Money Supply'!$A:$D,4)</f>
        <v/>
      </c>
      <c r="C2010" s="31">
        <f>(Table2634[[#This Row],[M1 Money Stock, Billions of Dollars, Weekly, Seasonally Adjusted]]-B2009)/B2009</f>
        <v/>
      </c>
      <c r="D2010" s="35">
        <f>((1+Table2634[[#This Row],[Weekly change]])^52)-1</f>
        <v/>
      </c>
      <c r="E2010" s="25">
        <f>AVERAGE(B2007:B2010)</f>
        <v/>
      </c>
      <c r="F2010" s="33">
        <f>(Table2634[[#This Row],[4 weeks average]]-B1958)/B1958</f>
        <v/>
      </c>
    </row>
    <row r="2011">
      <c r="A2011" s="23" t="n">
        <v>41435</v>
      </c>
      <c r="B2011" s="25">
        <f>VLOOKUP(Table2634[[#This Row],[Date]],'DB Money Supply'!$A:$D,4)</f>
        <v/>
      </c>
      <c r="C2011" s="31">
        <f>(Table2634[[#This Row],[M1 Money Stock, Billions of Dollars, Weekly, Seasonally Adjusted]]-B2010)/B2010</f>
        <v/>
      </c>
      <c r="D2011" s="35">
        <f>((1+Table2634[[#This Row],[Weekly change]])^52)-1</f>
        <v/>
      </c>
      <c r="E2011" s="25">
        <f>AVERAGE(B2008:B2011)</f>
        <v/>
      </c>
      <c r="F2011" s="33">
        <f>(Table2634[[#This Row],[4 weeks average]]-B1959)/B1959</f>
        <v/>
      </c>
    </row>
    <row r="2012">
      <c r="A2012" s="23" t="n">
        <v>41442</v>
      </c>
      <c r="B2012" s="25">
        <f>VLOOKUP(Table2634[[#This Row],[Date]],'DB Money Supply'!$A:$D,4)</f>
        <v/>
      </c>
      <c r="C2012" s="31">
        <f>(Table2634[[#This Row],[M1 Money Stock, Billions of Dollars, Weekly, Seasonally Adjusted]]-B2011)/B2011</f>
        <v/>
      </c>
      <c r="D2012" s="35">
        <f>((1+Table2634[[#This Row],[Weekly change]])^52)-1</f>
        <v/>
      </c>
      <c r="E2012" s="25">
        <f>AVERAGE(B2009:B2012)</f>
        <v/>
      </c>
      <c r="F2012" s="33">
        <f>(Table2634[[#This Row],[4 weeks average]]-B1960)/B1960</f>
        <v/>
      </c>
    </row>
    <row r="2013">
      <c r="A2013" s="23" t="n">
        <v>41449</v>
      </c>
      <c r="B2013" s="25">
        <f>VLOOKUP(Table2634[[#This Row],[Date]],'DB Money Supply'!$A:$D,4)</f>
        <v/>
      </c>
      <c r="C2013" s="31">
        <f>(Table2634[[#This Row],[M1 Money Stock, Billions of Dollars, Weekly, Seasonally Adjusted]]-B2012)/B2012</f>
        <v/>
      </c>
      <c r="D2013" s="35">
        <f>((1+Table2634[[#This Row],[Weekly change]])^52)-1</f>
        <v/>
      </c>
      <c r="E2013" s="25">
        <f>AVERAGE(B2010:B2013)</f>
        <v/>
      </c>
      <c r="F2013" s="33">
        <f>(Table2634[[#This Row],[4 weeks average]]-B1961)/B1961</f>
        <v/>
      </c>
    </row>
    <row r="2014">
      <c r="A2014" s="23" t="n">
        <v>41456</v>
      </c>
      <c r="B2014" s="25">
        <f>VLOOKUP(Table2634[[#This Row],[Date]],'DB Money Supply'!$A:$D,4)</f>
        <v/>
      </c>
      <c r="C2014" s="31">
        <f>(Table2634[[#This Row],[M1 Money Stock, Billions of Dollars, Weekly, Seasonally Adjusted]]-B2013)/B2013</f>
        <v/>
      </c>
      <c r="D2014" s="35">
        <f>((1+Table2634[[#This Row],[Weekly change]])^52)-1</f>
        <v/>
      </c>
      <c r="E2014" s="25">
        <f>AVERAGE(B2011:B2014)</f>
        <v/>
      </c>
      <c r="F2014" s="33">
        <f>(Table2634[[#This Row],[4 weeks average]]-B1962)/B1962</f>
        <v/>
      </c>
    </row>
    <row r="2015">
      <c r="A2015" s="23" t="n">
        <v>41463</v>
      </c>
      <c r="B2015" s="25">
        <f>VLOOKUP(Table2634[[#This Row],[Date]],'DB Money Supply'!$A:$D,4)</f>
        <v/>
      </c>
      <c r="C2015" s="31">
        <f>(Table2634[[#This Row],[M1 Money Stock, Billions of Dollars, Weekly, Seasonally Adjusted]]-B2014)/B2014</f>
        <v/>
      </c>
      <c r="D2015" s="35">
        <f>((1+Table2634[[#This Row],[Weekly change]])^52)-1</f>
        <v/>
      </c>
      <c r="E2015" s="25">
        <f>AVERAGE(B2012:B2015)</f>
        <v/>
      </c>
      <c r="F2015" s="33">
        <f>(Table2634[[#This Row],[4 weeks average]]-B1963)/B1963</f>
        <v/>
      </c>
    </row>
    <row r="2016">
      <c r="A2016" s="23" t="n">
        <v>41470</v>
      </c>
      <c r="B2016" s="25">
        <f>VLOOKUP(Table2634[[#This Row],[Date]],'DB Money Supply'!$A:$D,4)</f>
        <v/>
      </c>
      <c r="C2016" s="31">
        <f>(Table2634[[#This Row],[M1 Money Stock, Billions of Dollars, Weekly, Seasonally Adjusted]]-B2015)/B2015</f>
        <v/>
      </c>
      <c r="D2016" s="35">
        <f>((1+Table2634[[#This Row],[Weekly change]])^52)-1</f>
        <v/>
      </c>
      <c r="E2016" s="25">
        <f>AVERAGE(B2013:B2016)</f>
        <v/>
      </c>
      <c r="F2016" s="33">
        <f>(Table2634[[#This Row],[4 weeks average]]-B1964)/B1964</f>
        <v/>
      </c>
    </row>
    <row r="2017">
      <c r="A2017" s="23" t="n">
        <v>41477</v>
      </c>
      <c r="B2017" s="25">
        <f>VLOOKUP(Table2634[[#This Row],[Date]],'DB Money Supply'!$A:$D,4)</f>
        <v/>
      </c>
      <c r="C2017" s="31">
        <f>(Table2634[[#This Row],[M1 Money Stock, Billions of Dollars, Weekly, Seasonally Adjusted]]-B2016)/B2016</f>
        <v/>
      </c>
      <c r="D2017" s="35">
        <f>((1+Table2634[[#This Row],[Weekly change]])^52)-1</f>
        <v/>
      </c>
      <c r="E2017" s="25">
        <f>AVERAGE(B2014:B2017)</f>
        <v/>
      </c>
      <c r="F2017" s="33">
        <f>(Table2634[[#This Row],[4 weeks average]]-B1965)/B1965</f>
        <v/>
      </c>
    </row>
    <row r="2018">
      <c r="A2018" s="23" t="n">
        <v>41484</v>
      </c>
      <c r="B2018" s="25">
        <f>VLOOKUP(Table2634[[#This Row],[Date]],'DB Money Supply'!$A:$D,4)</f>
        <v/>
      </c>
      <c r="C2018" s="31">
        <f>(Table2634[[#This Row],[M1 Money Stock, Billions of Dollars, Weekly, Seasonally Adjusted]]-B2017)/B2017</f>
        <v/>
      </c>
      <c r="D2018" s="35">
        <f>((1+Table2634[[#This Row],[Weekly change]])^52)-1</f>
        <v/>
      </c>
      <c r="E2018" s="25">
        <f>AVERAGE(B2015:B2018)</f>
        <v/>
      </c>
      <c r="F2018" s="33">
        <f>(Table2634[[#This Row],[4 weeks average]]-B1966)/B1966</f>
        <v/>
      </c>
    </row>
    <row r="2019">
      <c r="A2019" s="23" t="n">
        <v>41491</v>
      </c>
      <c r="B2019" s="25">
        <f>VLOOKUP(Table2634[[#This Row],[Date]],'DB Money Supply'!$A:$D,4)</f>
        <v/>
      </c>
      <c r="C2019" s="31">
        <f>(Table2634[[#This Row],[M1 Money Stock, Billions of Dollars, Weekly, Seasonally Adjusted]]-B2018)/B2018</f>
        <v/>
      </c>
      <c r="D2019" s="35">
        <f>((1+Table2634[[#This Row],[Weekly change]])^52)-1</f>
        <v/>
      </c>
      <c r="E2019" s="25">
        <f>AVERAGE(B2016:B2019)</f>
        <v/>
      </c>
      <c r="F2019" s="33">
        <f>(Table2634[[#This Row],[4 weeks average]]-B1967)/B1967</f>
        <v/>
      </c>
    </row>
    <row r="2020">
      <c r="A2020" s="23" t="n">
        <v>41498</v>
      </c>
      <c r="B2020" s="25">
        <f>VLOOKUP(Table2634[[#This Row],[Date]],'DB Money Supply'!$A:$D,4)</f>
        <v/>
      </c>
      <c r="C2020" s="31">
        <f>(Table2634[[#This Row],[M1 Money Stock, Billions of Dollars, Weekly, Seasonally Adjusted]]-B2019)/B2019</f>
        <v/>
      </c>
      <c r="D2020" s="35">
        <f>((1+Table2634[[#This Row],[Weekly change]])^52)-1</f>
        <v/>
      </c>
      <c r="E2020" s="25">
        <f>AVERAGE(B2017:B2020)</f>
        <v/>
      </c>
      <c r="F2020" s="33">
        <f>(Table2634[[#This Row],[4 weeks average]]-B1968)/B1968</f>
        <v/>
      </c>
    </row>
    <row r="2021">
      <c r="A2021" s="23" t="n">
        <v>41505</v>
      </c>
      <c r="B2021" s="25">
        <f>VLOOKUP(Table2634[[#This Row],[Date]],'DB Money Supply'!$A:$D,4)</f>
        <v/>
      </c>
      <c r="C2021" s="31">
        <f>(Table2634[[#This Row],[M1 Money Stock, Billions of Dollars, Weekly, Seasonally Adjusted]]-B2020)/B2020</f>
        <v/>
      </c>
      <c r="D2021" s="35">
        <f>((1+Table2634[[#This Row],[Weekly change]])^52)-1</f>
        <v/>
      </c>
      <c r="E2021" s="25">
        <f>AVERAGE(B2018:B2021)</f>
        <v/>
      </c>
      <c r="F2021" s="33">
        <f>(Table2634[[#This Row],[4 weeks average]]-B1969)/B1969</f>
        <v/>
      </c>
    </row>
    <row r="2022">
      <c r="A2022" s="23" t="n">
        <v>41512</v>
      </c>
      <c r="B2022" s="25">
        <f>VLOOKUP(Table2634[[#This Row],[Date]],'DB Money Supply'!$A:$D,4)</f>
        <v/>
      </c>
      <c r="C2022" s="31">
        <f>(Table2634[[#This Row],[M1 Money Stock, Billions of Dollars, Weekly, Seasonally Adjusted]]-B2021)/B2021</f>
        <v/>
      </c>
      <c r="D2022" s="35">
        <f>((1+Table2634[[#This Row],[Weekly change]])^52)-1</f>
        <v/>
      </c>
      <c r="E2022" s="25">
        <f>AVERAGE(B2019:B2022)</f>
        <v/>
      </c>
      <c r="F2022" s="33">
        <f>(Table2634[[#This Row],[4 weeks average]]-B1970)/B1970</f>
        <v/>
      </c>
    </row>
    <row r="2023">
      <c r="A2023" s="23" t="n">
        <v>41519</v>
      </c>
      <c r="B2023" s="25">
        <f>VLOOKUP(Table2634[[#This Row],[Date]],'DB Money Supply'!$A:$D,4)</f>
        <v/>
      </c>
      <c r="C2023" s="31">
        <f>(Table2634[[#This Row],[M1 Money Stock, Billions of Dollars, Weekly, Seasonally Adjusted]]-B2022)/B2022</f>
        <v/>
      </c>
      <c r="D2023" s="35">
        <f>((1+Table2634[[#This Row],[Weekly change]])^52)-1</f>
        <v/>
      </c>
      <c r="E2023" s="25">
        <f>AVERAGE(B2020:B2023)</f>
        <v/>
      </c>
      <c r="F2023" s="33">
        <f>(Table2634[[#This Row],[4 weeks average]]-B1971)/B1971</f>
        <v/>
      </c>
    </row>
    <row r="2024">
      <c r="A2024" s="34" t="n">
        <v>41526</v>
      </c>
      <c r="B2024" s="25">
        <f>VLOOKUP(Table2634[[#This Row],[Date]],'DB Money Supply'!$A:$D,4)</f>
        <v/>
      </c>
      <c r="C2024" s="31">
        <f>(Table2634[[#This Row],[M1 Money Stock, Billions of Dollars, Weekly, Seasonally Adjusted]]-B2023)/B2023</f>
        <v/>
      </c>
      <c r="D2024" s="35">
        <f>(Table2634[[#This Row],[M1 Money Stock, Billions of Dollars, Weekly, Seasonally Adjusted]]-B2021)/B2021</f>
        <v/>
      </c>
      <c r="E2024" s="25">
        <f>AVERAGE(B2021:B2024)</f>
        <v/>
      </c>
      <c r="F2024" s="33">
        <f>(Table2634[[#This Row],[4 weeks average]]-B1972)/B1972</f>
        <v/>
      </c>
    </row>
    <row r="2025">
      <c r="A2025" s="34" t="n">
        <v>41533</v>
      </c>
      <c r="B2025" s="25">
        <f>VLOOKUP(Table2634[[#This Row],[Date]],'DB Money Supply'!$A:$D,4)</f>
        <v/>
      </c>
      <c r="C2025" s="31">
        <f>(Table2634[[#This Row],[M1 Money Stock, Billions of Dollars, Weekly, Seasonally Adjusted]]-B2024)/B2024</f>
        <v/>
      </c>
      <c r="D2025" s="35">
        <f>(Table2634[[#This Row],[M1 Money Stock, Billions of Dollars, Weekly, Seasonally Adjusted]]-B2022)/B2022</f>
        <v/>
      </c>
      <c r="E2025" s="25">
        <f>AVERAGE(B2022:B2025)</f>
        <v/>
      </c>
      <c r="F2025" s="33">
        <f>(Table2634[[#This Row],[4 weeks average]]-B1973)/B1973</f>
        <v/>
      </c>
    </row>
    <row r="2026">
      <c r="A2026" s="34" t="n">
        <v>41540</v>
      </c>
      <c r="B2026" s="25">
        <f>VLOOKUP(Table2634[[#This Row],[Date]],'DB Money Supply'!$A:$D,4)</f>
        <v/>
      </c>
      <c r="C2026" s="31">
        <f>(Table2634[[#This Row],[M1 Money Stock, Billions of Dollars, Weekly, Seasonally Adjusted]]-B2025)/B2025</f>
        <v/>
      </c>
      <c r="D2026" s="35">
        <f>(Table2634[[#This Row],[M1 Money Stock, Billions of Dollars, Weekly, Seasonally Adjusted]]-B2023)/B2023</f>
        <v/>
      </c>
      <c r="E2026" s="25">
        <f>AVERAGE(B2023:B2026)</f>
        <v/>
      </c>
      <c r="F2026" s="33">
        <f>(Table2634[[#This Row],[4 weeks average]]-B1974)/B1974</f>
        <v/>
      </c>
    </row>
    <row r="2027">
      <c r="A2027" s="34" t="n">
        <v>41547</v>
      </c>
      <c r="B2027" s="25">
        <f>VLOOKUP(Table2634[[#This Row],[Date]],'DB Money Supply'!$A:$D,4)</f>
        <v/>
      </c>
      <c r="C2027" s="31">
        <f>(Table2634[[#This Row],[M1 Money Stock, Billions of Dollars, Weekly, Seasonally Adjusted]]-B2026)/B2026</f>
        <v/>
      </c>
      <c r="D2027" s="35">
        <f>(Table2634[[#This Row],[M1 Money Stock, Billions of Dollars, Weekly, Seasonally Adjusted]]-B2024)/B2024</f>
        <v/>
      </c>
      <c r="E2027" s="25">
        <f>AVERAGE(B2024:B2027)</f>
        <v/>
      </c>
      <c r="F2027" s="33">
        <f>(Table2634[[#This Row],[4 weeks average]]-B1975)/B1975</f>
        <v/>
      </c>
    </row>
    <row r="2028">
      <c r="A2028" s="34" t="n">
        <v>41554</v>
      </c>
      <c r="B2028" s="25">
        <f>VLOOKUP(Table2634[[#This Row],[Date]],'DB Money Supply'!$A:$D,4)</f>
        <v/>
      </c>
      <c r="C2028" s="31">
        <f>(Table2634[[#This Row],[M1 Money Stock, Billions of Dollars, Weekly, Seasonally Adjusted]]-B2027)/B2027</f>
        <v/>
      </c>
      <c r="D2028" s="35">
        <f>(Table2634[[#This Row],[M1 Money Stock, Billions of Dollars, Weekly, Seasonally Adjusted]]-B2025)/B2025</f>
        <v/>
      </c>
      <c r="E2028" s="25">
        <f>AVERAGE(B2025:B2028)</f>
        <v/>
      </c>
      <c r="F2028" s="33">
        <f>(Table2634[[#This Row],[4 weeks average]]-B1976)/B1976</f>
        <v/>
      </c>
    </row>
    <row r="2029">
      <c r="A2029" s="34" t="n">
        <v>41561</v>
      </c>
      <c r="B2029" s="25">
        <f>VLOOKUP(Table2634[[#This Row],[Date]],'DB Money Supply'!$A:$D,4)</f>
        <v/>
      </c>
      <c r="C2029" s="31">
        <f>(Table2634[[#This Row],[M1 Money Stock, Billions of Dollars, Weekly, Seasonally Adjusted]]-B2028)/B2028</f>
        <v/>
      </c>
      <c r="D2029" s="35">
        <f>(Table2634[[#This Row],[M1 Money Stock, Billions of Dollars, Weekly, Seasonally Adjusted]]-B2026)/B2026</f>
        <v/>
      </c>
      <c r="E2029" s="25">
        <f>AVERAGE(B2026:B2029)</f>
        <v/>
      </c>
      <c r="F2029" s="33">
        <f>(Table2634[[#This Row],[4 weeks average]]-B1977)/B1977</f>
        <v/>
      </c>
    </row>
    <row r="2030">
      <c r="A2030" s="34" t="n">
        <v>41568</v>
      </c>
      <c r="B2030" s="25">
        <f>VLOOKUP(Table2634[[#This Row],[Date]],'DB Money Supply'!$A:$D,4)</f>
        <v/>
      </c>
      <c r="C2030" s="31">
        <f>(Table2634[[#This Row],[M1 Money Stock, Billions of Dollars, Weekly, Seasonally Adjusted]]-B2029)/B2029</f>
        <v/>
      </c>
      <c r="D2030" s="35">
        <f>(Table2634[[#This Row],[M1 Money Stock, Billions of Dollars, Weekly, Seasonally Adjusted]]-B2027)/B2027</f>
        <v/>
      </c>
      <c r="E2030" s="25">
        <f>AVERAGE(B2027:B2030)</f>
        <v/>
      </c>
      <c r="F2030" s="33">
        <f>(Table2634[[#This Row],[4 weeks average]]-B1978)/B1978</f>
        <v/>
      </c>
    </row>
    <row r="2031">
      <c r="A2031" s="34" t="n">
        <v>41575</v>
      </c>
      <c r="B2031" s="25">
        <f>VLOOKUP(Table2634[[#This Row],[Date]],'DB Money Supply'!$A:$D,4)</f>
        <v/>
      </c>
      <c r="C2031" s="31">
        <f>(Table2634[[#This Row],[M1 Money Stock, Billions of Dollars, Weekly, Seasonally Adjusted]]-B2030)/B2030</f>
        <v/>
      </c>
      <c r="D2031" s="35">
        <f>(Table2634[[#This Row],[M1 Money Stock, Billions of Dollars, Weekly, Seasonally Adjusted]]-B2028)/B2028</f>
        <v/>
      </c>
      <c r="E2031" s="25">
        <f>AVERAGE(B2028:B2031)</f>
        <v/>
      </c>
      <c r="F2031" s="33">
        <f>(Table2634[[#This Row],[4 weeks average]]-B1979)/B1979</f>
        <v/>
      </c>
    </row>
    <row r="2032">
      <c r="A2032" s="34" t="n">
        <v>41582</v>
      </c>
      <c r="B2032" s="25">
        <f>VLOOKUP(Table2634[[#This Row],[Date]],'DB Money Supply'!$A:$D,4)</f>
        <v/>
      </c>
      <c r="C2032" s="31">
        <f>(Table2634[[#This Row],[M1 Money Stock, Billions of Dollars, Weekly, Seasonally Adjusted]]-B2031)/B2031</f>
        <v/>
      </c>
      <c r="D2032" s="35">
        <f>(Table2634[[#This Row],[M1 Money Stock, Billions of Dollars, Weekly, Seasonally Adjusted]]-B2029)/B2029</f>
        <v/>
      </c>
      <c r="E2032" s="25">
        <f>AVERAGE(B2029:B2032)</f>
        <v/>
      </c>
      <c r="F2032" s="33">
        <f>(Table2634[[#This Row],[4 weeks average]]-B1980)/B1980</f>
        <v/>
      </c>
    </row>
    <row r="2033">
      <c r="A2033" s="34" t="n">
        <v>41589</v>
      </c>
      <c r="B2033" s="25">
        <f>VLOOKUP(Table2634[[#This Row],[Date]],'DB Money Supply'!$A:$D,4)</f>
        <v/>
      </c>
      <c r="C2033" s="31">
        <f>(Table2634[[#This Row],[M1 Money Stock, Billions of Dollars, Weekly, Seasonally Adjusted]]-B2032)/B2032</f>
        <v/>
      </c>
      <c r="D2033" s="35">
        <f>(Table2634[[#This Row],[M1 Money Stock, Billions of Dollars, Weekly, Seasonally Adjusted]]-B2030)/B2030</f>
        <v/>
      </c>
      <c r="E2033" s="25">
        <f>AVERAGE(B2030:B2033)</f>
        <v/>
      </c>
      <c r="F2033" s="33">
        <f>(Table2634[[#This Row],[4 weeks average]]-B1981)/B1981</f>
        <v/>
      </c>
    </row>
    <row r="2034">
      <c r="A2034" s="34" t="n">
        <v>41596</v>
      </c>
      <c r="B2034" s="25">
        <f>VLOOKUP(Table2634[[#This Row],[Date]],'DB Money Supply'!$A:$D,4)</f>
        <v/>
      </c>
      <c r="C2034" s="31">
        <f>(Table2634[[#This Row],[M1 Money Stock, Billions of Dollars, Weekly, Seasonally Adjusted]]-B2033)/B2033</f>
        <v/>
      </c>
      <c r="D2034" s="35">
        <f>(Table2634[[#This Row],[M1 Money Stock, Billions of Dollars, Weekly, Seasonally Adjusted]]-B2031)/B2031</f>
        <v/>
      </c>
      <c r="E2034" s="25">
        <f>AVERAGE(B2031:B2034)</f>
        <v/>
      </c>
      <c r="F2034" s="33">
        <f>(Table2634[[#This Row],[4 weeks average]]-B1982)/B1982</f>
        <v/>
      </c>
    </row>
    <row r="2035">
      <c r="A2035" s="34" t="n">
        <v>41603</v>
      </c>
      <c r="B2035" s="25">
        <f>VLOOKUP(Table2634[[#This Row],[Date]],'DB Money Supply'!$A:$D,4)</f>
        <v/>
      </c>
      <c r="C2035" s="31">
        <f>(Table2634[[#This Row],[M1 Money Stock, Billions of Dollars, Weekly, Seasonally Adjusted]]-B2034)/B2034</f>
        <v/>
      </c>
      <c r="D2035" s="35">
        <f>(Table2634[[#This Row],[M1 Money Stock, Billions of Dollars, Weekly, Seasonally Adjusted]]-B2032)/B2032</f>
        <v/>
      </c>
      <c r="E2035" s="25">
        <f>AVERAGE(B2032:B2035)</f>
        <v/>
      </c>
      <c r="F2035" s="33">
        <f>(Table2634[[#This Row],[4 weeks average]]-B1983)/B1983</f>
        <v/>
      </c>
    </row>
    <row r="2036">
      <c r="A2036" s="34" t="n">
        <v>41610</v>
      </c>
      <c r="B2036" s="25">
        <f>VLOOKUP(Table2634[[#This Row],[Date]],'DB Money Supply'!$A:$D,4)</f>
        <v/>
      </c>
      <c r="C2036" s="31">
        <f>(Table2634[[#This Row],[M1 Money Stock, Billions of Dollars, Weekly, Seasonally Adjusted]]-B2035)/B2035</f>
        <v/>
      </c>
      <c r="D2036" s="35">
        <f>(Table2634[[#This Row],[M1 Money Stock, Billions of Dollars, Weekly, Seasonally Adjusted]]-B2033)/B2033</f>
        <v/>
      </c>
      <c r="E2036" s="25">
        <f>AVERAGE(B2033:B2036)</f>
        <v/>
      </c>
      <c r="F2036" s="33">
        <f>(Table2634[[#This Row],[4 weeks average]]-B1984)/B1984</f>
        <v/>
      </c>
    </row>
    <row r="2037">
      <c r="A2037" s="34" t="n">
        <v>41617</v>
      </c>
      <c r="B2037" s="25">
        <f>VLOOKUP(Table2634[[#This Row],[Date]],'DB Money Supply'!$A:$D,4)</f>
        <v/>
      </c>
      <c r="C2037" s="31">
        <f>(Table2634[[#This Row],[M1 Money Stock, Billions of Dollars, Weekly, Seasonally Adjusted]]-B2036)/B2036</f>
        <v/>
      </c>
      <c r="D2037" s="35">
        <f>(Table2634[[#This Row],[M1 Money Stock, Billions of Dollars, Weekly, Seasonally Adjusted]]-B2034)/B2034</f>
        <v/>
      </c>
      <c r="E2037" s="25">
        <f>AVERAGE(B2034:B2037)</f>
        <v/>
      </c>
      <c r="F2037" s="33">
        <f>(Table2634[[#This Row],[4 weeks average]]-B1985)/B1985</f>
        <v/>
      </c>
    </row>
    <row r="2038">
      <c r="A2038" s="34" t="n">
        <v>41624</v>
      </c>
      <c r="B2038" s="25">
        <f>VLOOKUP(Table2634[[#This Row],[Date]],'DB Money Supply'!$A:$D,4)</f>
        <v/>
      </c>
      <c r="C2038" s="31">
        <f>(Table2634[[#This Row],[M1 Money Stock, Billions of Dollars, Weekly, Seasonally Adjusted]]-B2037)/B2037</f>
        <v/>
      </c>
      <c r="D2038" s="35">
        <f>(Table2634[[#This Row],[M1 Money Stock, Billions of Dollars, Weekly, Seasonally Adjusted]]-B2035)/B2035</f>
        <v/>
      </c>
      <c r="E2038" s="25">
        <f>AVERAGE(B2035:B2038)</f>
        <v/>
      </c>
      <c r="F2038" s="33">
        <f>(Table2634[[#This Row],[4 weeks average]]-B1986)/B1986</f>
        <v/>
      </c>
    </row>
    <row r="2039">
      <c r="A2039" s="34" t="n">
        <v>41631</v>
      </c>
      <c r="B2039" s="25">
        <f>VLOOKUP(Table2634[[#This Row],[Date]],'DB Money Supply'!$A:$D,4)</f>
        <v/>
      </c>
      <c r="C2039" s="31">
        <f>(Table2634[[#This Row],[M1 Money Stock, Billions of Dollars, Weekly, Seasonally Adjusted]]-B2038)/B2038</f>
        <v/>
      </c>
      <c r="D2039" s="35">
        <f>(Table2634[[#This Row],[M1 Money Stock, Billions of Dollars, Weekly, Seasonally Adjusted]]-B2036)/B2036</f>
        <v/>
      </c>
      <c r="E2039" s="25">
        <f>AVERAGE(B2036:B2039)</f>
        <v/>
      </c>
      <c r="F2039" s="33">
        <f>(Table2634[[#This Row],[4 weeks average]]-B1987)/B1987</f>
        <v/>
      </c>
    </row>
    <row r="2040">
      <c r="A2040" s="34" t="n">
        <v>41638</v>
      </c>
      <c r="B2040" s="25">
        <f>VLOOKUP(Table2634[[#This Row],[Date]],'DB Money Supply'!$A:$D,4)</f>
        <v/>
      </c>
      <c r="C2040" s="31">
        <f>(Table2634[[#This Row],[M1 Money Stock, Billions of Dollars, Weekly, Seasonally Adjusted]]-B2039)/B2039</f>
        <v/>
      </c>
      <c r="D2040" s="35">
        <f>(Table2634[[#This Row],[M1 Money Stock, Billions of Dollars, Weekly, Seasonally Adjusted]]-B2037)/B2037</f>
        <v/>
      </c>
      <c r="E2040" s="25">
        <f>AVERAGE(B2037:B2040)</f>
        <v/>
      </c>
      <c r="F2040" s="33">
        <f>(Table2634[[#This Row],[4 weeks average]]-B1988)/B1988</f>
        <v/>
      </c>
    </row>
    <row r="2041">
      <c r="A2041" s="34" t="n">
        <v>41645</v>
      </c>
      <c r="B2041" s="25">
        <f>VLOOKUP(Table2634[[#This Row],[Date]],'DB Money Supply'!$A:$D,4)</f>
        <v/>
      </c>
      <c r="C2041" s="31">
        <f>(Table2634[[#This Row],[M1 Money Stock, Billions of Dollars, Weekly, Seasonally Adjusted]]-B2040)/B2040</f>
        <v/>
      </c>
      <c r="D2041" s="35">
        <f>(Table2634[[#This Row],[M1 Money Stock, Billions of Dollars, Weekly, Seasonally Adjusted]]-B2038)/B2038</f>
        <v/>
      </c>
      <c r="E2041" s="25">
        <f>AVERAGE(B2038:B2041)</f>
        <v/>
      </c>
      <c r="F2041" s="33">
        <f>(Table2634[[#This Row],[4 weeks average]]-B1989)/B1989</f>
        <v/>
      </c>
    </row>
    <row r="2042">
      <c r="A2042" s="34" t="n">
        <v>41652</v>
      </c>
      <c r="B2042" s="25">
        <f>VLOOKUP(Table2634[[#This Row],[Date]],'DB Money Supply'!$A:$D,4)</f>
        <v/>
      </c>
      <c r="C2042" s="31">
        <f>(Table2634[[#This Row],[M1 Money Stock, Billions of Dollars, Weekly, Seasonally Adjusted]]-B2041)/B2041</f>
        <v/>
      </c>
      <c r="D2042" s="35">
        <f>(Table2634[[#This Row],[M1 Money Stock, Billions of Dollars, Weekly, Seasonally Adjusted]]-B2039)/B2039</f>
        <v/>
      </c>
      <c r="E2042" s="25">
        <f>AVERAGE(B2039:B2042)</f>
        <v/>
      </c>
      <c r="F2042" s="33">
        <f>(Table2634[[#This Row],[4 weeks average]]-B1990)/B1990</f>
        <v/>
      </c>
    </row>
    <row r="2043">
      <c r="A2043" s="34" t="n">
        <v>41659</v>
      </c>
      <c r="B2043" s="25">
        <f>VLOOKUP(Table2634[[#This Row],[Date]],'DB Money Supply'!$A:$D,4)</f>
        <v/>
      </c>
      <c r="C2043" s="31">
        <f>(Table2634[[#This Row],[M1 Money Stock, Billions of Dollars, Weekly, Seasonally Adjusted]]-B2042)/B2042</f>
        <v/>
      </c>
      <c r="D2043" s="35">
        <f>(Table2634[[#This Row],[M1 Money Stock, Billions of Dollars, Weekly, Seasonally Adjusted]]-B2040)/B2040</f>
        <v/>
      </c>
      <c r="E2043" s="25">
        <f>AVERAGE(B2040:B2043)</f>
        <v/>
      </c>
      <c r="F2043" s="33">
        <f>(Table2634[[#This Row],[4 weeks average]]-B1991)/B1991</f>
        <v/>
      </c>
    </row>
    <row r="2044">
      <c r="A2044" s="34" t="n">
        <v>41666</v>
      </c>
      <c r="B2044" s="25">
        <f>VLOOKUP(Table2634[[#This Row],[Date]],'DB Money Supply'!$A:$D,4)</f>
        <v/>
      </c>
      <c r="C2044" s="31">
        <f>(Table2634[[#This Row],[M1 Money Stock, Billions of Dollars, Weekly, Seasonally Adjusted]]-B2043)/B2043</f>
        <v/>
      </c>
      <c r="D2044" s="35">
        <f>(Table2634[[#This Row],[M1 Money Stock, Billions of Dollars, Weekly, Seasonally Adjusted]]-B2041)/B2041</f>
        <v/>
      </c>
      <c r="E2044" s="25">
        <f>AVERAGE(B2041:B2044)</f>
        <v/>
      </c>
      <c r="F2044" s="33">
        <f>(Table2634[[#This Row],[4 weeks average]]-B1992)/B1992</f>
        <v/>
      </c>
    </row>
    <row r="2045">
      <c r="A2045" s="34" t="n">
        <v>41673</v>
      </c>
      <c r="B2045" s="25">
        <f>VLOOKUP(Table2634[[#This Row],[Date]],'DB Money Supply'!$A:$D,4)</f>
        <v/>
      </c>
      <c r="C2045" s="31">
        <f>(Table2634[[#This Row],[M1 Money Stock, Billions of Dollars, Weekly, Seasonally Adjusted]]-B2044)/B2044</f>
        <v/>
      </c>
      <c r="D2045" s="35">
        <f>(Table2634[[#This Row],[M1 Money Stock, Billions of Dollars, Weekly, Seasonally Adjusted]]-B2042)/B2042</f>
        <v/>
      </c>
      <c r="E2045" s="25">
        <f>AVERAGE(B2042:B2045)</f>
        <v/>
      </c>
      <c r="F2045" s="33">
        <f>(Table2634[[#This Row],[4 weeks average]]-B1993)/B1993</f>
        <v/>
      </c>
    </row>
    <row r="2046">
      <c r="A2046" s="34" t="n">
        <v>41680</v>
      </c>
      <c r="B2046" s="25">
        <f>VLOOKUP(Table2634[[#This Row],[Date]],'DB Money Supply'!$A:$D,4)</f>
        <v/>
      </c>
      <c r="C2046" s="31">
        <f>(Table2634[[#This Row],[M1 Money Stock, Billions of Dollars, Weekly, Seasonally Adjusted]]-B2045)/B2045</f>
        <v/>
      </c>
      <c r="D2046" s="35">
        <f>(Table2634[[#This Row],[M1 Money Stock, Billions of Dollars, Weekly, Seasonally Adjusted]]-B2043)/B2043</f>
        <v/>
      </c>
      <c r="E2046" s="25">
        <f>AVERAGE(B2043:B2046)</f>
        <v/>
      </c>
      <c r="F2046" s="33">
        <f>(Table2634[[#This Row],[4 weeks average]]-B1994)/B1994</f>
        <v/>
      </c>
    </row>
    <row r="2047">
      <c r="A2047" s="34" t="n">
        <v>41687</v>
      </c>
      <c r="B2047" s="25">
        <f>VLOOKUP(Table2634[[#This Row],[Date]],'DB Money Supply'!$A:$D,4)</f>
        <v/>
      </c>
      <c r="C2047" s="31">
        <f>(Table2634[[#This Row],[M1 Money Stock, Billions of Dollars, Weekly, Seasonally Adjusted]]-B2046)/B2046</f>
        <v/>
      </c>
      <c r="D2047" s="35">
        <f>(Table2634[[#This Row],[M1 Money Stock, Billions of Dollars, Weekly, Seasonally Adjusted]]-B2044)/B2044</f>
        <v/>
      </c>
      <c r="E2047" s="25">
        <f>AVERAGE(B2044:B2047)</f>
        <v/>
      </c>
      <c r="F2047" s="33">
        <f>(Table2634[[#This Row],[4 weeks average]]-B1995)/B1995</f>
        <v/>
      </c>
    </row>
    <row r="2048">
      <c r="A2048" s="34" t="n">
        <v>41694</v>
      </c>
      <c r="B2048" s="25">
        <f>VLOOKUP(Table2634[[#This Row],[Date]],'DB Money Supply'!$A:$D,4)</f>
        <v/>
      </c>
      <c r="C2048" s="31">
        <f>(Table2634[[#This Row],[M1 Money Stock, Billions of Dollars, Weekly, Seasonally Adjusted]]-B2047)/B2047</f>
        <v/>
      </c>
      <c r="D2048" s="35">
        <f>(Table2634[[#This Row],[M1 Money Stock, Billions of Dollars, Weekly, Seasonally Adjusted]]-B2045)/B2045</f>
        <v/>
      </c>
      <c r="E2048" s="25">
        <f>AVERAGE(B2045:B2048)</f>
        <v/>
      </c>
      <c r="F2048" s="33">
        <f>(Table2634[[#This Row],[4 weeks average]]-B1996)/B1996</f>
        <v/>
      </c>
    </row>
    <row r="2049">
      <c r="A2049" s="34" t="n">
        <v>41701</v>
      </c>
      <c r="B2049" s="25">
        <f>VLOOKUP(Table2634[[#This Row],[Date]],'DB Money Supply'!$A:$D,4)</f>
        <v/>
      </c>
      <c r="C2049" s="31">
        <f>(Table2634[[#This Row],[M1 Money Stock, Billions of Dollars, Weekly, Seasonally Adjusted]]-B2048)/B2048</f>
        <v/>
      </c>
      <c r="D2049" s="35">
        <f>(Table2634[[#This Row],[M1 Money Stock, Billions of Dollars, Weekly, Seasonally Adjusted]]-B2046)/B2046</f>
        <v/>
      </c>
      <c r="E2049" s="25">
        <f>AVERAGE(B2046:B2049)</f>
        <v/>
      </c>
      <c r="F2049" s="33">
        <f>(Table2634[[#This Row],[4 weeks average]]-B1997)/B1997</f>
        <v/>
      </c>
    </row>
    <row r="2050">
      <c r="A2050" s="34" t="n">
        <v>41708</v>
      </c>
      <c r="B2050" s="25">
        <f>VLOOKUP(Table2634[[#This Row],[Date]],'DB Money Supply'!$A:$D,4)</f>
        <v/>
      </c>
      <c r="C2050" s="31">
        <f>(Table2634[[#This Row],[M1 Money Stock, Billions of Dollars, Weekly, Seasonally Adjusted]]-B2049)/B2049</f>
        <v/>
      </c>
      <c r="D2050" s="35">
        <f>(Table2634[[#This Row],[M1 Money Stock, Billions of Dollars, Weekly, Seasonally Adjusted]]-B2047)/B2047</f>
        <v/>
      </c>
      <c r="E2050" s="25">
        <f>AVERAGE(B2047:B2050)</f>
        <v/>
      </c>
      <c r="F2050" s="33">
        <f>(Table2634[[#This Row],[4 weeks average]]-B1998)/B1998</f>
        <v/>
      </c>
    </row>
    <row r="2051">
      <c r="A2051" s="34" t="n">
        <v>41715</v>
      </c>
      <c r="B2051" s="25">
        <f>VLOOKUP(Table2634[[#This Row],[Date]],'DB Money Supply'!$A:$D,4)</f>
        <v/>
      </c>
      <c r="C2051" s="31">
        <f>(Table2634[[#This Row],[M1 Money Stock, Billions of Dollars, Weekly, Seasonally Adjusted]]-B2050)/B2050</f>
        <v/>
      </c>
      <c r="D2051" s="35">
        <f>(Table2634[[#This Row],[M1 Money Stock, Billions of Dollars, Weekly, Seasonally Adjusted]]-B2048)/B2048</f>
        <v/>
      </c>
      <c r="E2051" s="25">
        <f>AVERAGE(B2048:B2051)</f>
        <v/>
      </c>
      <c r="F2051" s="33">
        <f>(Table2634[[#This Row],[4 weeks average]]-B1999)/B1999</f>
        <v/>
      </c>
    </row>
    <row r="2052">
      <c r="A2052" s="34" t="n">
        <v>41722</v>
      </c>
      <c r="B2052" s="25">
        <f>VLOOKUP(Table2634[[#This Row],[Date]],'DB Money Supply'!$A:$D,4)</f>
        <v/>
      </c>
      <c r="C2052" s="31">
        <f>(Table2634[[#This Row],[M1 Money Stock, Billions of Dollars, Weekly, Seasonally Adjusted]]-B2051)/B2051</f>
        <v/>
      </c>
      <c r="D2052" s="35">
        <f>(Table2634[[#This Row],[M1 Money Stock, Billions of Dollars, Weekly, Seasonally Adjusted]]-B2049)/B2049</f>
        <v/>
      </c>
      <c r="E2052" s="25">
        <f>AVERAGE(B2049:B2052)</f>
        <v/>
      </c>
      <c r="F2052" s="33">
        <f>(Table2634[[#This Row],[4 weeks average]]-B2000)/B2000</f>
        <v/>
      </c>
    </row>
    <row r="2053">
      <c r="A2053" s="34" t="n">
        <v>41729</v>
      </c>
      <c r="B2053" s="25">
        <f>VLOOKUP(Table2634[[#This Row],[Date]],'DB Money Supply'!$A:$D,4)</f>
        <v/>
      </c>
      <c r="C2053" s="31">
        <f>(Table2634[[#This Row],[M1 Money Stock, Billions of Dollars, Weekly, Seasonally Adjusted]]-B2052)/B2052</f>
        <v/>
      </c>
      <c r="D2053" s="35">
        <f>(Table2634[[#This Row],[M1 Money Stock, Billions of Dollars, Weekly, Seasonally Adjusted]]-B2050)/B2050</f>
        <v/>
      </c>
      <c r="E2053" s="25">
        <f>AVERAGE(B2050:B2053)</f>
        <v/>
      </c>
      <c r="F2053" s="33">
        <f>(Table2634[[#This Row],[4 weeks average]]-B2001)/B2001</f>
        <v/>
      </c>
    </row>
    <row r="2054">
      <c r="A2054" s="34" t="n">
        <v>41736</v>
      </c>
      <c r="B2054" s="25">
        <f>VLOOKUP(Table2634[[#This Row],[Date]],'DB Money Supply'!$A:$D,4)</f>
        <v/>
      </c>
      <c r="C2054" s="31">
        <f>(Table2634[[#This Row],[M1 Money Stock, Billions of Dollars, Weekly, Seasonally Adjusted]]-B2053)/B2053</f>
        <v/>
      </c>
      <c r="D2054" s="35">
        <f>(Table2634[[#This Row],[M1 Money Stock, Billions of Dollars, Weekly, Seasonally Adjusted]]-B2051)/B2051</f>
        <v/>
      </c>
      <c r="E2054" s="25">
        <f>AVERAGE(B2051:B2054)</f>
        <v/>
      </c>
      <c r="F2054" s="33">
        <f>(Table2634[[#This Row],[4 weeks average]]-B2002)/B2002</f>
        <v/>
      </c>
    </row>
    <row r="2055">
      <c r="A2055" s="34" t="n">
        <v>41743</v>
      </c>
      <c r="B2055" s="25">
        <f>VLOOKUP(Table2634[[#This Row],[Date]],'DB Money Supply'!$A:$D,4)</f>
        <v/>
      </c>
      <c r="C2055" s="31">
        <f>(Table2634[[#This Row],[M1 Money Stock, Billions of Dollars, Weekly, Seasonally Adjusted]]-B2054)/B2054</f>
        <v/>
      </c>
      <c r="D2055" s="35">
        <f>(Table2634[[#This Row],[M1 Money Stock, Billions of Dollars, Weekly, Seasonally Adjusted]]-B2052)/B2052</f>
        <v/>
      </c>
      <c r="E2055" s="25">
        <f>AVERAGE(B2052:B2055)</f>
        <v/>
      </c>
      <c r="F2055" s="33">
        <f>(Table2634[[#This Row],[4 weeks average]]-B2003)/B2003</f>
        <v/>
      </c>
    </row>
    <row r="2056">
      <c r="A2056" s="34" t="n">
        <v>41750</v>
      </c>
      <c r="B2056" s="25">
        <f>VLOOKUP(Table2634[[#This Row],[Date]],'DB Money Supply'!$A:$D,4)</f>
        <v/>
      </c>
      <c r="C2056" s="31">
        <f>(Table2634[[#This Row],[M1 Money Stock, Billions of Dollars, Weekly, Seasonally Adjusted]]-B2055)/B2055</f>
        <v/>
      </c>
      <c r="D2056" s="35">
        <f>(Table2634[[#This Row],[M1 Money Stock, Billions of Dollars, Weekly, Seasonally Adjusted]]-B2053)/B2053</f>
        <v/>
      </c>
      <c r="E2056" s="25">
        <f>AVERAGE(B2053:B2056)</f>
        <v/>
      </c>
      <c r="F2056" s="33">
        <f>(Table2634[[#This Row],[4 weeks average]]-B2004)/B2004</f>
        <v/>
      </c>
    </row>
    <row r="2057">
      <c r="A2057" s="34" t="n">
        <v>41757</v>
      </c>
      <c r="B2057" s="25">
        <f>VLOOKUP(Table2634[[#This Row],[Date]],'DB Money Supply'!$A:$D,4)</f>
        <v/>
      </c>
      <c r="C2057" s="31">
        <f>(Table2634[[#This Row],[M1 Money Stock, Billions of Dollars, Weekly, Seasonally Adjusted]]-B2056)/B2056</f>
        <v/>
      </c>
      <c r="D2057" s="35">
        <f>(Table2634[[#This Row],[M1 Money Stock, Billions of Dollars, Weekly, Seasonally Adjusted]]-B2054)/B2054</f>
        <v/>
      </c>
      <c r="E2057" s="25">
        <f>AVERAGE(B2054:B2057)</f>
        <v/>
      </c>
      <c r="F2057" s="33">
        <f>(Table2634[[#This Row],[4 weeks average]]-B2005)/B2005</f>
        <v/>
      </c>
    </row>
    <row r="2058">
      <c r="A2058" s="34" t="n">
        <v>41764</v>
      </c>
      <c r="B2058" s="25">
        <f>VLOOKUP(Table2634[[#This Row],[Date]],'DB Money Supply'!$A:$D,4)</f>
        <v/>
      </c>
      <c r="C2058" s="31">
        <f>(Table2634[[#This Row],[M1 Money Stock, Billions of Dollars, Weekly, Seasonally Adjusted]]-B2057)/B2057</f>
        <v/>
      </c>
      <c r="D2058" s="35">
        <f>(Table2634[[#This Row],[M1 Money Stock, Billions of Dollars, Weekly, Seasonally Adjusted]]-B2055)/B2055</f>
        <v/>
      </c>
      <c r="E2058" s="25">
        <f>AVERAGE(B2055:B2058)</f>
        <v/>
      </c>
      <c r="F2058" s="33">
        <f>(Table2634[[#This Row],[4 weeks average]]-B2006)/B2006</f>
        <v/>
      </c>
    </row>
    <row r="2059">
      <c r="A2059" s="34" t="n">
        <v>41771</v>
      </c>
      <c r="B2059" s="25">
        <f>VLOOKUP(Table2634[[#This Row],[Date]],'DB Money Supply'!$A:$D,4)</f>
        <v/>
      </c>
      <c r="C2059" s="31">
        <f>(Table2634[[#This Row],[M1 Money Stock, Billions of Dollars, Weekly, Seasonally Adjusted]]-B2058)/B2058</f>
        <v/>
      </c>
      <c r="D2059" s="35">
        <f>(Table2634[[#This Row],[M1 Money Stock, Billions of Dollars, Weekly, Seasonally Adjusted]]-B2056)/B2056</f>
        <v/>
      </c>
      <c r="E2059" s="25">
        <f>AVERAGE(B2056:B2059)</f>
        <v/>
      </c>
      <c r="F2059" s="33">
        <f>(Table2634[[#This Row],[4 weeks average]]-B2007)/B2007</f>
        <v/>
      </c>
    </row>
    <row r="2060">
      <c r="A2060" s="34" t="n">
        <v>41778</v>
      </c>
      <c r="B2060" s="25">
        <f>VLOOKUP(Table2634[[#This Row],[Date]],'DB Money Supply'!$A:$D,4)</f>
        <v/>
      </c>
      <c r="C2060" s="31">
        <f>(Table2634[[#This Row],[M1 Money Stock, Billions of Dollars, Weekly, Seasonally Adjusted]]-B2059)/B2059</f>
        <v/>
      </c>
      <c r="D2060" s="35">
        <f>(Table2634[[#This Row],[M1 Money Stock, Billions of Dollars, Weekly, Seasonally Adjusted]]-B2057)/B2057</f>
        <v/>
      </c>
      <c r="E2060" s="25">
        <f>AVERAGE(B2057:B2060)</f>
        <v/>
      </c>
      <c r="F2060" s="33">
        <f>(Table2634[[#This Row],[4 weeks average]]-B2008)/B2008</f>
        <v/>
      </c>
    </row>
    <row r="2061">
      <c r="A2061" s="34" t="n">
        <v>41785</v>
      </c>
      <c r="B2061" s="25">
        <f>VLOOKUP(Table2634[[#This Row],[Date]],'DB Money Supply'!$A:$D,4)</f>
        <v/>
      </c>
      <c r="C2061" s="31">
        <f>(Table2634[[#This Row],[M1 Money Stock, Billions of Dollars, Weekly, Seasonally Adjusted]]-B2060)/B2060</f>
        <v/>
      </c>
      <c r="D2061" s="35">
        <f>(Table2634[[#This Row],[M1 Money Stock, Billions of Dollars, Weekly, Seasonally Adjusted]]-B2058)/B2058</f>
        <v/>
      </c>
      <c r="E2061" s="25">
        <f>AVERAGE(B2058:B2061)</f>
        <v/>
      </c>
      <c r="F2061" s="33">
        <f>(Table2634[[#This Row],[4 weeks average]]-B2009)/B2009</f>
        <v/>
      </c>
    </row>
    <row r="2062">
      <c r="A2062" s="34" t="n">
        <v>41792</v>
      </c>
      <c r="B2062" s="25">
        <f>VLOOKUP(Table2634[[#This Row],[Date]],'DB Money Supply'!$A:$D,4)</f>
        <v/>
      </c>
      <c r="C2062" s="31">
        <f>(Table2634[[#This Row],[M1 Money Stock, Billions of Dollars, Weekly, Seasonally Adjusted]]-B2061)/B2061</f>
        <v/>
      </c>
      <c r="D2062" s="35">
        <f>(Table2634[[#This Row],[M1 Money Stock, Billions of Dollars, Weekly, Seasonally Adjusted]]-B2059)/B2059</f>
        <v/>
      </c>
      <c r="E2062" s="25">
        <f>AVERAGE(B2059:B2062)</f>
        <v/>
      </c>
      <c r="F2062" s="33">
        <f>(Table2634[[#This Row],[4 weeks average]]-B2010)/B2010</f>
        <v/>
      </c>
    </row>
    <row r="2063">
      <c r="A2063" s="34" t="n">
        <v>41799</v>
      </c>
      <c r="B2063" s="25">
        <f>VLOOKUP(Table2634[[#This Row],[Date]],'DB Money Supply'!$A:$D,4)</f>
        <v/>
      </c>
      <c r="C2063" s="31">
        <f>(Table2634[[#This Row],[M1 Money Stock, Billions of Dollars, Weekly, Seasonally Adjusted]]-B2062)/B2062</f>
        <v/>
      </c>
      <c r="D2063" s="35">
        <f>(Table2634[[#This Row],[M1 Money Stock, Billions of Dollars, Weekly, Seasonally Adjusted]]-B2060)/B2060</f>
        <v/>
      </c>
      <c r="E2063" s="25">
        <f>AVERAGE(B2060:B2063)</f>
        <v/>
      </c>
      <c r="F2063" s="33">
        <f>(Table2634[[#This Row],[4 weeks average]]-B2011)/B2011</f>
        <v/>
      </c>
    </row>
    <row r="2064">
      <c r="A2064" s="34" t="n">
        <v>41806</v>
      </c>
      <c r="B2064" s="25">
        <f>VLOOKUP(Table2634[[#This Row],[Date]],'DB Money Supply'!$A:$D,4)</f>
        <v/>
      </c>
      <c r="C2064" s="31">
        <f>(Table2634[[#This Row],[M1 Money Stock, Billions of Dollars, Weekly, Seasonally Adjusted]]-B2063)/B2063</f>
        <v/>
      </c>
      <c r="D2064" s="35">
        <f>(Table2634[[#This Row],[M1 Money Stock, Billions of Dollars, Weekly, Seasonally Adjusted]]-B2061)/B2061</f>
        <v/>
      </c>
      <c r="E2064" s="25">
        <f>AVERAGE(B2061:B2064)</f>
        <v/>
      </c>
      <c r="F2064" s="33">
        <f>(Table2634[[#This Row],[4 weeks average]]-B2012)/B2012</f>
        <v/>
      </c>
    </row>
    <row r="2065">
      <c r="A2065" s="34" t="n">
        <v>41813</v>
      </c>
      <c r="B2065" s="25">
        <f>VLOOKUP(Table2634[[#This Row],[Date]],'DB Money Supply'!$A:$D,4)</f>
        <v/>
      </c>
      <c r="C2065" s="31">
        <f>(Table2634[[#This Row],[M1 Money Stock, Billions of Dollars, Weekly, Seasonally Adjusted]]-B2064)/B2064</f>
        <v/>
      </c>
      <c r="D2065" s="35">
        <f>(Table2634[[#This Row],[M1 Money Stock, Billions of Dollars, Weekly, Seasonally Adjusted]]-B2062)/B2062</f>
        <v/>
      </c>
      <c r="E2065" s="25">
        <f>AVERAGE(B2062:B2065)</f>
        <v/>
      </c>
      <c r="F2065" s="33">
        <f>(Table2634[[#This Row],[4 weeks average]]-B2013)/B2013</f>
        <v/>
      </c>
    </row>
    <row r="2066">
      <c r="A2066" s="34" t="n">
        <v>41820</v>
      </c>
      <c r="B2066" s="25">
        <f>VLOOKUP(Table2634[[#This Row],[Date]],'DB Money Supply'!$A:$D,4)</f>
        <v/>
      </c>
      <c r="C2066" s="31">
        <f>(Table2634[[#This Row],[M1 Money Stock, Billions of Dollars, Weekly, Seasonally Adjusted]]-B2065)/B2065</f>
        <v/>
      </c>
      <c r="D2066" s="35">
        <f>(Table2634[[#This Row],[M1 Money Stock, Billions of Dollars, Weekly, Seasonally Adjusted]]-B2063)/B2063</f>
        <v/>
      </c>
      <c r="E2066" s="25">
        <f>AVERAGE(B2063:B2066)</f>
        <v/>
      </c>
      <c r="F2066" s="33">
        <f>(Table2634[[#This Row],[4 weeks average]]-B2014)/B2014</f>
        <v/>
      </c>
    </row>
    <row r="2067">
      <c r="A2067" s="34" t="n">
        <v>41827</v>
      </c>
      <c r="B2067" s="25">
        <f>VLOOKUP(Table2634[[#This Row],[Date]],'DB Money Supply'!$A:$D,4)</f>
        <v/>
      </c>
      <c r="C2067" s="31">
        <f>(Table2634[[#This Row],[M1 Money Stock, Billions of Dollars, Weekly, Seasonally Adjusted]]-B2066)/B2066</f>
        <v/>
      </c>
      <c r="D2067" s="35">
        <f>(Table2634[[#This Row],[M1 Money Stock, Billions of Dollars, Weekly, Seasonally Adjusted]]-B2064)/B2064</f>
        <v/>
      </c>
      <c r="E2067" s="25">
        <f>AVERAGE(B2064:B2067)</f>
        <v/>
      </c>
      <c r="F2067" s="33">
        <f>(Table2634[[#This Row],[4 weeks average]]-B2015)/B2015</f>
        <v/>
      </c>
    </row>
    <row r="2068">
      <c r="A2068" s="34" t="n">
        <v>41834</v>
      </c>
      <c r="B2068" s="25">
        <f>VLOOKUP(Table2634[[#This Row],[Date]],'DB Money Supply'!$A:$D,4)</f>
        <v/>
      </c>
      <c r="C2068" s="31">
        <f>(Table2634[[#This Row],[M1 Money Stock, Billions of Dollars, Weekly, Seasonally Adjusted]]-B2067)/B2067</f>
        <v/>
      </c>
      <c r="D2068" s="35">
        <f>(Table2634[[#This Row],[M1 Money Stock, Billions of Dollars, Weekly, Seasonally Adjusted]]-B2065)/B2065</f>
        <v/>
      </c>
      <c r="E2068" s="25">
        <f>AVERAGE(B2065:B2068)</f>
        <v/>
      </c>
      <c r="F2068" s="33">
        <f>(Table2634[[#This Row],[4 weeks average]]-B2016)/B2016</f>
        <v/>
      </c>
    </row>
    <row r="2069">
      <c r="A2069" s="34" t="n">
        <v>41841</v>
      </c>
      <c r="B2069" s="25">
        <f>VLOOKUP(Table2634[[#This Row],[Date]],'DB Money Supply'!$A:$D,4)</f>
        <v/>
      </c>
      <c r="C2069" s="31">
        <f>(Table2634[[#This Row],[M1 Money Stock, Billions of Dollars, Weekly, Seasonally Adjusted]]-B2068)/B2068</f>
        <v/>
      </c>
      <c r="D2069" s="35">
        <f>(Table2634[[#This Row],[M1 Money Stock, Billions of Dollars, Weekly, Seasonally Adjusted]]-B2066)/B2066</f>
        <v/>
      </c>
      <c r="E2069" s="25">
        <f>AVERAGE(B2066:B2069)</f>
        <v/>
      </c>
      <c r="F2069" s="33">
        <f>(Table2634[[#This Row],[4 weeks average]]-B2017)/B2017</f>
        <v/>
      </c>
    </row>
    <row r="2070">
      <c r="A2070" s="34" t="n">
        <v>41848</v>
      </c>
      <c r="B2070" s="25">
        <f>VLOOKUP(Table2634[[#This Row],[Date]],'DB Money Supply'!$A:$D,4)</f>
        <v/>
      </c>
      <c r="C2070" s="31">
        <f>(Table2634[[#This Row],[M1 Money Stock, Billions of Dollars, Weekly, Seasonally Adjusted]]-B2069)/B2069</f>
        <v/>
      </c>
      <c r="D2070" s="35">
        <f>(Table2634[[#This Row],[M1 Money Stock, Billions of Dollars, Weekly, Seasonally Adjusted]]-B2067)/B2067</f>
        <v/>
      </c>
      <c r="E2070" s="25">
        <f>AVERAGE(B2067:B2070)</f>
        <v/>
      </c>
      <c r="F2070" s="33">
        <f>(Table2634[[#This Row],[4 weeks average]]-B2018)/B2018</f>
        <v/>
      </c>
    </row>
    <row r="2071">
      <c r="A2071" s="34" t="n">
        <v>41855</v>
      </c>
      <c r="B2071" s="25">
        <f>VLOOKUP(Table2634[[#This Row],[Date]],'DB Money Supply'!$A:$D,4)</f>
        <v/>
      </c>
      <c r="C2071" s="31">
        <f>(Table2634[[#This Row],[M1 Money Stock, Billions of Dollars, Weekly, Seasonally Adjusted]]-B2070)/B2070</f>
        <v/>
      </c>
      <c r="D2071" s="35">
        <f>(Table2634[[#This Row],[M1 Money Stock, Billions of Dollars, Weekly, Seasonally Adjusted]]-B2068)/B2068</f>
        <v/>
      </c>
      <c r="E2071" s="25">
        <f>AVERAGE(B2068:B2071)</f>
        <v/>
      </c>
      <c r="F2071" s="33">
        <f>(Table2634[[#This Row],[4 weeks average]]-B2019)/B2019</f>
        <v/>
      </c>
    </row>
    <row r="2072">
      <c r="A2072" s="34" t="n">
        <v>41862</v>
      </c>
      <c r="B2072" s="25">
        <f>VLOOKUP(Table2634[[#This Row],[Date]],'DB Money Supply'!$A:$D,4)</f>
        <v/>
      </c>
      <c r="C2072" s="31">
        <f>(Table2634[[#This Row],[M1 Money Stock, Billions of Dollars, Weekly, Seasonally Adjusted]]-B2071)/B2071</f>
        <v/>
      </c>
      <c r="D2072" s="35">
        <f>(Table2634[[#This Row],[M1 Money Stock, Billions of Dollars, Weekly, Seasonally Adjusted]]-B2069)/B2069</f>
        <v/>
      </c>
      <c r="E2072" s="25">
        <f>AVERAGE(B2069:B2072)</f>
        <v/>
      </c>
      <c r="F2072" s="33">
        <f>(Table2634[[#This Row],[4 weeks average]]-B2020)/B2020</f>
        <v/>
      </c>
    </row>
    <row r="2073">
      <c r="A2073" s="34" t="n">
        <v>41869</v>
      </c>
      <c r="B2073" s="25">
        <f>VLOOKUP(Table2634[[#This Row],[Date]],'DB Money Supply'!$A:$D,4)</f>
        <v/>
      </c>
      <c r="C2073" s="31">
        <f>(Table2634[[#This Row],[M1 Money Stock, Billions of Dollars, Weekly, Seasonally Adjusted]]-B2072)/B2072</f>
        <v/>
      </c>
      <c r="D2073" s="35">
        <f>(Table2634[[#This Row],[M1 Money Stock, Billions of Dollars, Weekly, Seasonally Adjusted]]-B2070)/B2070</f>
        <v/>
      </c>
      <c r="E2073" s="25">
        <f>AVERAGE(B2070:B2073)</f>
        <v/>
      </c>
      <c r="F2073" s="33">
        <f>(Table2634[[#This Row],[4 weeks average]]-B2021)/B2021</f>
        <v/>
      </c>
    </row>
    <row r="2074">
      <c r="A2074" s="34" t="n">
        <v>41876</v>
      </c>
      <c r="B2074" s="25">
        <f>VLOOKUP(Table2634[[#This Row],[Date]],'DB Money Supply'!$A:$D,4)</f>
        <v/>
      </c>
      <c r="C2074" s="31">
        <f>(Table2634[[#This Row],[M1 Money Stock, Billions of Dollars, Weekly, Seasonally Adjusted]]-B2073)/B2073</f>
        <v/>
      </c>
      <c r="D2074" s="35">
        <f>(Table2634[[#This Row],[M1 Money Stock, Billions of Dollars, Weekly, Seasonally Adjusted]]-B2071)/B2071</f>
        <v/>
      </c>
      <c r="E2074" s="25">
        <f>AVERAGE(B2071:B2074)</f>
        <v/>
      </c>
      <c r="F2074" s="33">
        <f>(Table2634[[#This Row],[4 weeks average]]-B2022)/B2022</f>
        <v/>
      </c>
    </row>
    <row r="2075">
      <c r="A2075" s="34" t="n">
        <v>41883</v>
      </c>
      <c r="B2075" s="25">
        <f>VLOOKUP(Table2634[[#This Row],[Date]],'DB Money Supply'!$A:$D,4)</f>
        <v/>
      </c>
      <c r="C2075" s="31">
        <f>(Table2634[[#This Row],[M1 Money Stock, Billions of Dollars, Weekly, Seasonally Adjusted]]-B2074)/B2074</f>
        <v/>
      </c>
      <c r="D2075" s="35">
        <f>(Table2634[[#This Row],[M1 Money Stock, Billions of Dollars, Weekly, Seasonally Adjusted]]-B2072)/B2072</f>
        <v/>
      </c>
      <c r="E2075" s="25">
        <f>AVERAGE(B2072:B2075)</f>
        <v/>
      </c>
      <c r="F2075" s="33">
        <f>(Table2634[[#This Row],[4 weeks average]]-B2023)/B2023</f>
        <v/>
      </c>
    </row>
    <row r="2076">
      <c r="A2076" s="34" t="n">
        <v>41890</v>
      </c>
      <c r="B2076" s="25">
        <f>VLOOKUP(Table2634[[#This Row],[Date]],'DB Money Supply'!$A:$D,4)</f>
        <v/>
      </c>
      <c r="C2076" s="31">
        <f>(Table2634[[#This Row],[M1 Money Stock, Billions of Dollars, Weekly, Seasonally Adjusted]]-B2075)/B2075</f>
        <v/>
      </c>
      <c r="D2076" s="35">
        <f>(Table2634[[#This Row],[M1 Money Stock, Billions of Dollars, Weekly, Seasonally Adjusted]]-B2073)/B2073</f>
        <v/>
      </c>
      <c r="E2076" s="25">
        <f>AVERAGE(B2073:B2076)</f>
        <v/>
      </c>
      <c r="F2076" s="33">
        <f>(Table2634[[#This Row],[4 weeks average]]-B2024)/B2024</f>
        <v/>
      </c>
    </row>
    <row r="2077">
      <c r="A2077" s="34" t="n">
        <v>41897</v>
      </c>
      <c r="B2077" s="25">
        <f>VLOOKUP(Table2634[[#This Row],[Date]],'DB Money Supply'!$A:$D,4)</f>
        <v/>
      </c>
      <c r="C2077" s="31">
        <f>(Table2634[[#This Row],[M1 Money Stock, Billions of Dollars, Weekly, Seasonally Adjusted]]-B2076)/B2076</f>
        <v/>
      </c>
      <c r="D2077" s="35">
        <f>(Table2634[[#This Row],[M1 Money Stock, Billions of Dollars, Weekly, Seasonally Adjusted]]-B2074)/B2074</f>
        <v/>
      </c>
      <c r="E2077" s="25">
        <f>AVERAGE(B2074:B2077)</f>
        <v/>
      </c>
      <c r="F2077" s="33">
        <f>(Table2634[[#This Row],[4 weeks average]]-B2025)/B2025</f>
        <v/>
      </c>
    </row>
    <row r="2078">
      <c r="A2078" s="34" t="n">
        <v>41904</v>
      </c>
      <c r="B2078" s="25">
        <f>VLOOKUP(Table2634[[#This Row],[Date]],'DB Money Supply'!$A:$D,4)</f>
        <v/>
      </c>
      <c r="C2078" s="31">
        <f>(Table2634[[#This Row],[M1 Money Stock, Billions of Dollars, Weekly, Seasonally Adjusted]]-B2077)/B2077</f>
        <v/>
      </c>
      <c r="D2078" s="35">
        <f>(Table2634[[#This Row],[M1 Money Stock, Billions of Dollars, Weekly, Seasonally Adjusted]]-B2075)/B2075</f>
        <v/>
      </c>
      <c r="E2078" s="25">
        <f>AVERAGE(B2075:B2078)</f>
        <v/>
      </c>
      <c r="F2078" s="33">
        <f>(Table2634[[#This Row],[4 weeks average]]-B2026)/B2026</f>
        <v/>
      </c>
    </row>
    <row r="2079">
      <c r="A2079" s="34" t="n">
        <v>41911</v>
      </c>
      <c r="B2079" s="25">
        <f>VLOOKUP(Table2634[[#This Row],[Date]],'DB Money Supply'!$A:$D,4)</f>
        <v/>
      </c>
      <c r="C2079" s="31">
        <f>(Table2634[[#This Row],[M1 Money Stock, Billions of Dollars, Weekly, Seasonally Adjusted]]-B2078)/B2078</f>
        <v/>
      </c>
      <c r="D2079" s="35">
        <f>(Table2634[[#This Row],[M1 Money Stock, Billions of Dollars, Weekly, Seasonally Adjusted]]-B2076)/B2076</f>
        <v/>
      </c>
      <c r="E2079" s="25">
        <f>AVERAGE(B2076:B2079)</f>
        <v/>
      </c>
      <c r="F2079" s="33">
        <f>(Table2634[[#This Row],[4 weeks average]]-B2027)/B2027</f>
        <v/>
      </c>
    </row>
    <row r="2080">
      <c r="A2080" s="34" t="n">
        <v>41918</v>
      </c>
      <c r="B2080" s="25">
        <f>VLOOKUP(Table2634[[#This Row],[Date]],'DB Money Supply'!$A:$D,4)</f>
        <v/>
      </c>
      <c r="C2080" s="31">
        <f>(Table2634[[#This Row],[M1 Money Stock, Billions of Dollars, Weekly, Seasonally Adjusted]]-B2079)/B2079</f>
        <v/>
      </c>
      <c r="D2080" s="35">
        <f>(Table2634[[#This Row],[M1 Money Stock, Billions of Dollars, Weekly, Seasonally Adjusted]]-B2077)/B2077</f>
        <v/>
      </c>
      <c r="E2080" s="25">
        <f>AVERAGE(B2077:B2080)</f>
        <v/>
      </c>
      <c r="F2080" s="33">
        <f>(Table2634[[#This Row],[4 weeks average]]-B2028)/B2028</f>
        <v/>
      </c>
    </row>
    <row r="2081">
      <c r="A2081" s="34" t="n">
        <v>41925</v>
      </c>
      <c r="B2081" s="25">
        <f>VLOOKUP(Table2634[[#This Row],[Date]],'DB Money Supply'!$A:$D,4)</f>
        <v/>
      </c>
      <c r="C2081" s="31">
        <f>(Table2634[[#This Row],[M1 Money Stock, Billions of Dollars, Weekly, Seasonally Adjusted]]-B2080)/B2080</f>
        <v/>
      </c>
      <c r="D2081" s="35">
        <f>(Table2634[[#This Row],[M1 Money Stock, Billions of Dollars, Weekly, Seasonally Adjusted]]-B2078)/B2078</f>
        <v/>
      </c>
      <c r="E2081" s="25">
        <f>AVERAGE(B2078:B2081)</f>
        <v/>
      </c>
      <c r="F2081" s="33">
        <f>(Table2634[[#This Row],[4 weeks average]]-B2029)/B2029</f>
        <v/>
      </c>
    </row>
    <row r="2082">
      <c r="A2082" s="34" t="n">
        <v>41932</v>
      </c>
      <c r="B2082" s="25">
        <f>VLOOKUP(Table2634[[#This Row],[Date]],'DB Money Supply'!$A:$D,4)</f>
        <v/>
      </c>
      <c r="C2082" s="31">
        <f>(Table2634[[#This Row],[M1 Money Stock, Billions of Dollars, Weekly, Seasonally Adjusted]]-B2081)/B2081</f>
        <v/>
      </c>
      <c r="D2082" s="35">
        <f>(Table2634[[#This Row],[M1 Money Stock, Billions of Dollars, Weekly, Seasonally Adjusted]]-B2079)/B2079</f>
        <v/>
      </c>
      <c r="E2082" s="25">
        <f>AVERAGE(B2079:B2082)</f>
        <v/>
      </c>
      <c r="F2082" s="33">
        <f>(Table2634[[#This Row],[4 weeks average]]-B2030)/B2030</f>
        <v/>
      </c>
    </row>
    <row r="2083">
      <c r="A2083" s="34" t="n">
        <v>41939</v>
      </c>
      <c r="B2083" s="25">
        <f>VLOOKUP(Table2634[[#This Row],[Date]],'DB Money Supply'!$A:$D,4)</f>
        <v/>
      </c>
      <c r="C2083" s="31">
        <f>(Table2634[[#This Row],[M1 Money Stock, Billions of Dollars, Weekly, Seasonally Adjusted]]-B2082)/B2082</f>
        <v/>
      </c>
      <c r="D2083" s="35">
        <f>(Table2634[[#This Row],[M1 Money Stock, Billions of Dollars, Weekly, Seasonally Adjusted]]-B2080)/B2080</f>
        <v/>
      </c>
      <c r="E2083" s="25">
        <f>AVERAGE(B2080:B2083)</f>
        <v/>
      </c>
      <c r="F2083" s="33">
        <f>(Table2634[[#This Row],[4 weeks average]]-B2031)/B2031</f>
        <v/>
      </c>
    </row>
    <row r="2084">
      <c r="A2084" s="34" t="n">
        <v>41946</v>
      </c>
      <c r="B2084" s="25">
        <f>VLOOKUP(Table2634[[#This Row],[Date]],'DB Money Supply'!$A:$D,4)</f>
        <v/>
      </c>
      <c r="C2084" s="31">
        <f>(Table2634[[#This Row],[M1 Money Stock, Billions of Dollars, Weekly, Seasonally Adjusted]]-B2083)/B2083</f>
        <v/>
      </c>
      <c r="D2084" s="35">
        <f>(Table2634[[#This Row],[M1 Money Stock, Billions of Dollars, Weekly, Seasonally Adjusted]]-B2081)/B2081</f>
        <v/>
      </c>
      <c r="E2084" s="25">
        <f>AVERAGE(B2081:B2084)</f>
        <v/>
      </c>
      <c r="F2084" s="33">
        <f>(Table2634[[#This Row],[4 weeks average]]-B2032)/B2032</f>
        <v/>
      </c>
    </row>
    <row r="2085">
      <c r="A2085" s="34" t="n">
        <v>41953</v>
      </c>
      <c r="B2085" s="25">
        <f>VLOOKUP(Table2634[[#This Row],[Date]],'DB Money Supply'!$A:$D,4)</f>
        <v/>
      </c>
      <c r="C2085" s="31">
        <f>(Table2634[[#This Row],[M1 Money Stock, Billions of Dollars, Weekly, Seasonally Adjusted]]-B2084)/B2084</f>
        <v/>
      </c>
      <c r="D2085" s="35">
        <f>(Table2634[[#This Row],[M1 Money Stock, Billions of Dollars, Weekly, Seasonally Adjusted]]-B2082)/B2082</f>
        <v/>
      </c>
      <c r="E2085" s="25">
        <f>AVERAGE(B2082:B2085)</f>
        <v/>
      </c>
      <c r="F2085" s="33">
        <f>(Table2634[[#This Row],[4 weeks average]]-B2033)/B2033</f>
        <v/>
      </c>
    </row>
    <row r="2086">
      <c r="A2086" s="34" t="n">
        <v>41960</v>
      </c>
      <c r="B2086" s="25">
        <f>VLOOKUP(Table2634[[#This Row],[Date]],'DB Money Supply'!$A:$D,4)</f>
        <v/>
      </c>
      <c r="C2086" s="31">
        <f>(Table2634[[#This Row],[M1 Money Stock, Billions of Dollars, Weekly, Seasonally Adjusted]]-B2085)/B2085</f>
        <v/>
      </c>
      <c r="D2086" s="35">
        <f>(Table2634[[#This Row],[M1 Money Stock, Billions of Dollars, Weekly, Seasonally Adjusted]]-B2083)/B2083</f>
        <v/>
      </c>
      <c r="E2086" s="25">
        <f>AVERAGE(B2083:B2086)</f>
        <v/>
      </c>
      <c r="F2086" s="33">
        <f>(Table2634[[#This Row],[4 weeks average]]-B2034)/B2034</f>
        <v/>
      </c>
    </row>
    <row r="2087">
      <c r="A2087" s="34" t="n">
        <v>41967</v>
      </c>
      <c r="B2087" s="25">
        <f>VLOOKUP(Table2634[[#This Row],[Date]],'DB Money Supply'!$A:$D,4)</f>
        <v/>
      </c>
      <c r="C2087" s="31">
        <f>(Table2634[[#This Row],[M1 Money Stock, Billions of Dollars, Weekly, Seasonally Adjusted]]-B2086)/B2086</f>
        <v/>
      </c>
      <c r="D2087" s="35">
        <f>(Table2634[[#This Row],[M1 Money Stock, Billions of Dollars, Weekly, Seasonally Adjusted]]-B2084)/B2084</f>
        <v/>
      </c>
      <c r="E2087" s="25">
        <f>AVERAGE(B2084:B2087)</f>
        <v/>
      </c>
      <c r="F2087" s="33">
        <f>(Table2634[[#This Row],[4 weeks average]]-B2035)/B2035</f>
        <v/>
      </c>
    </row>
    <row r="2088">
      <c r="A2088" s="34" t="n">
        <v>41974</v>
      </c>
      <c r="B2088" s="25">
        <f>VLOOKUP(Table2634[[#This Row],[Date]],'DB Money Supply'!$A:$D,4)</f>
        <v/>
      </c>
      <c r="C2088" s="31">
        <f>(Table2634[[#This Row],[M1 Money Stock, Billions of Dollars, Weekly, Seasonally Adjusted]]-B2087)/B2087</f>
        <v/>
      </c>
      <c r="D2088" s="35">
        <f>(Table2634[[#This Row],[M1 Money Stock, Billions of Dollars, Weekly, Seasonally Adjusted]]-B2085)/B2085</f>
        <v/>
      </c>
      <c r="E2088" s="25">
        <f>AVERAGE(B2085:B2088)</f>
        <v/>
      </c>
      <c r="F2088" s="33">
        <f>(Table2634[[#This Row],[4 weeks average]]-B2036)/B2036</f>
        <v/>
      </c>
    </row>
    <row r="2089">
      <c r="A2089" s="34" t="n">
        <v>41981</v>
      </c>
      <c r="B2089" s="25">
        <f>VLOOKUP(Table2634[[#This Row],[Date]],'DB Money Supply'!$A:$D,4)</f>
        <v/>
      </c>
      <c r="C2089" s="31">
        <f>(Table2634[[#This Row],[M1 Money Stock, Billions of Dollars, Weekly, Seasonally Adjusted]]-B2088)/B2088</f>
        <v/>
      </c>
      <c r="D2089" s="35">
        <f>(Table2634[[#This Row],[M1 Money Stock, Billions of Dollars, Weekly, Seasonally Adjusted]]-B2086)/B2086</f>
        <v/>
      </c>
      <c r="E2089" s="25">
        <f>AVERAGE(B2086:B2089)</f>
        <v/>
      </c>
      <c r="F2089" s="33">
        <f>(Table2634[[#This Row],[4 weeks average]]-B2037)/B2037</f>
        <v/>
      </c>
    </row>
    <row r="2090">
      <c r="A2090" s="34" t="n">
        <v>41988</v>
      </c>
      <c r="B2090" s="25">
        <f>VLOOKUP(Table2634[[#This Row],[Date]],'DB Money Supply'!$A:$D,4)</f>
        <v/>
      </c>
      <c r="C2090" s="31">
        <f>(Table2634[[#This Row],[M1 Money Stock, Billions of Dollars, Weekly, Seasonally Adjusted]]-B2089)/B2089</f>
        <v/>
      </c>
      <c r="D2090" s="35">
        <f>(Table2634[[#This Row],[M1 Money Stock, Billions of Dollars, Weekly, Seasonally Adjusted]]-B2087)/B2087</f>
        <v/>
      </c>
      <c r="E2090" s="25">
        <f>AVERAGE(B2087:B2090)</f>
        <v/>
      </c>
      <c r="F2090" s="33">
        <f>(Table2634[[#This Row],[4 weeks average]]-B2038)/B2038</f>
        <v/>
      </c>
    </row>
    <row r="2091">
      <c r="A2091" s="34" t="n">
        <v>41995</v>
      </c>
      <c r="B2091" s="25">
        <f>VLOOKUP(Table2634[[#This Row],[Date]],'DB Money Supply'!$A:$D,4)</f>
        <v/>
      </c>
      <c r="C2091" s="31">
        <f>(Table2634[[#This Row],[M1 Money Stock, Billions of Dollars, Weekly, Seasonally Adjusted]]-B2090)/B2090</f>
        <v/>
      </c>
      <c r="D2091" s="35">
        <f>(Table2634[[#This Row],[M1 Money Stock, Billions of Dollars, Weekly, Seasonally Adjusted]]-B2088)/B2088</f>
        <v/>
      </c>
      <c r="E2091" s="25">
        <f>AVERAGE(B2088:B2091)</f>
        <v/>
      </c>
      <c r="F2091" s="33">
        <f>(Table2634[[#This Row],[4 weeks average]]-B2039)/B2039</f>
        <v/>
      </c>
    </row>
    <row r="2092">
      <c r="A2092" s="34" t="n">
        <v>42002</v>
      </c>
      <c r="B2092" s="25">
        <f>VLOOKUP(Table2634[[#This Row],[Date]],'DB Money Supply'!$A:$D,4)</f>
        <v/>
      </c>
      <c r="C2092" s="31">
        <f>(Table2634[[#This Row],[M1 Money Stock, Billions of Dollars, Weekly, Seasonally Adjusted]]-B2091)/B2091</f>
        <v/>
      </c>
      <c r="D2092" s="35">
        <f>(Table2634[[#This Row],[M1 Money Stock, Billions of Dollars, Weekly, Seasonally Adjusted]]-B2089)/B2089</f>
        <v/>
      </c>
      <c r="E2092" s="25">
        <f>AVERAGE(B2089:B2092)</f>
        <v/>
      </c>
      <c r="F2092" s="33">
        <f>(Table2634[[#This Row],[4 weeks average]]-B2040)/B2040</f>
        <v/>
      </c>
    </row>
    <row r="2093">
      <c r="A2093" s="34" t="n">
        <v>42009</v>
      </c>
      <c r="B2093" s="25">
        <f>VLOOKUP(Table2634[[#This Row],[Date]],'DB Money Supply'!$A:$D,4)</f>
        <v/>
      </c>
      <c r="C2093" s="31">
        <f>(Table2634[[#This Row],[M1 Money Stock, Billions of Dollars, Weekly, Seasonally Adjusted]]-B2092)/B2092</f>
        <v/>
      </c>
      <c r="D2093" s="35">
        <f>(Table2634[[#This Row],[M1 Money Stock, Billions of Dollars, Weekly, Seasonally Adjusted]]-B2090)/B2090</f>
        <v/>
      </c>
      <c r="E2093" s="25">
        <f>AVERAGE(B2090:B2093)</f>
        <v/>
      </c>
      <c r="F2093" s="33">
        <f>(Table2634[[#This Row],[4 weeks average]]-B2041)/B2041</f>
        <v/>
      </c>
    </row>
    <row r="2094">
      <c r="A2094" s="34" t="n">
        <v>42016</v>
      </c>
      <c r="B2094" s="25">
        <f>VLOOKUP(Table2634[[#This Row],[Date]],'DB Money Supply'!$A:$D,4)</f>
        <v/>
      </c>
      <c r="C2094" s="31">
        <f>(Table2634[[#This Row],[M1 Money Stock, Billions of Dollars, Weekly, Seasonally Adjusted]]-B2093)/B2093</f>
        <v/>
      </c>
      <c r="D2094" s="35">
        <f>(Table2634[[#This Row],[M1 Money Stock, Billions of Dollars, Weekly, Seasonally Adjusted]]-B2091)/B2091</f>
        <v/>
      </c>
      <c r="E2094" s="25">
        <f>AVERAGE(B2091:B2094)</f>
        <v/>
      </c>
      <c r="F2094" s="33">
        <f>(Table2634[[#This Row],[4 weeks average]]-B2042)/B2042</f>
        <v/>
      </c>
    </row>
    <row r="2095">
      <c r="A2095" s="34" t="n">
        <v>42023</v>
      </c>
      <c r="B2095" s="25">
        <f>VLOOKUP(Table2634[[#This Row],[Date]],'DB Money Supply'!$A:$D,4)</f>
        <v/>
      </c>
      <c r="C2095" s="31">
        <f>(Table2634[[#This Row],[M1 Money Stock, Billions of Dollars, Weekly, Seasonally Adjusted]]-B2094)/B2094</f>
        <v/>
      </c>
      <c r="D2095" s="35">
        <f>(Table2634[[#This Row],[M1 Money Stock, Billions of Dollars, Weekly, Seasonally Adjusted]]-B2092)/B2092</f>
        <v/>
      </c>
      <c r="E2095" s="25">
        <f>AVERAGE(B2092:B2095)</f>
        <v/>
      </c>
      <c r="F2095" s="33">
        <f>(Table2634[[#This Row],[4 weeks average]]-B2043)/B2043</f>
        <v/>
      </c>
    </row>
    <row r="2096">
      <c r="A2096" s="34" t="n">
        <v>42030</v>
      </c>
      <c r="B2096" s="25">
        <f>VLOOKUP(Table2634[[#This Row],[Date]],'DB Money Supply'!$A:$D,4)</f>
        <v/>
      </c>
      <c r="C2096" s="31">
        <f>(Table2634[[#This Row],[M1 Money Stock, Billions of Dollars, Weekly, Seasonally Adjusted]]-B2095)/B2095</f>
        <v/>
      </c>
      <c r="D2096" s="35">
        <f>(Table2634[[#This Row],[M1 Money Stock, Billions of Dollars, Weekly, Seasonally Adjusted]]-B2093)/B2093</f>
        <v/>
      </c>
      <c r="E2096" s="25">
        <f>AVERAGE(B2093:B2096)</f>
        <v/>
      </c>
      <c r="F2096" s="33">
        <f>(Table2634[[#This Row],[4 weeks average]]-B2044)/B2044</f>
        <v/>
      </c>
    </row>
    <row r="2097">
      <c r="A2097" s="34" t="n">
        <v>42037</v>
      </c>
      <c r="B2097" s="25">
        <f>VLOOKUP(Table2634[[#This Row],[Date]],'DB Money Supply'!$A:$D,4)</f>
        <v/>
      </c>
      <c r="C2097" s="31">
        <f>(Table2634[[#This Row],[M1 Money Stock, Billions of Dollars, Weekly, Seasonally Adjusted]]-B2096)/B2096</f>
        <v/>
      </c>
      <c r="D2097" s="35">
        <f>(Table2634[[#This Row],[M1 Money Stock, Billions of Dollars, Weekly, Seasonally Adjusted]]-B2094)/B2094</f>
        <v/>
      </c>
      <c r="E2097" s="25">
        <f>AVERAGE(B2094:B2097)</f>
        <v/>
      </c>
      <c r="F2097" s="33">
        <f>(Table2634[[#This Row],[4 weeks average]]-B2045)/B2045</f>
        <v/>
      </c>
    </row>
    <row r="2098">
      <c r="A2098" s="34" t="n">
        <v>42044</v>
      </c>
      <c r="B2098" s="25">
        <f>VLOOKUP(Table2634[[#This Row],[Date]],'DB Money Supply'!$A:$D,4)</f>
        <v/>
      </c>
      <c r="C2098" s="31">
        <f>(Table2634[[#This Row],[M1 Money Stock, Billions of Dollars, Weekly, Seasonally Adjusted]]-B2097)/B2097</f>
        <v/>
      </c>
      <c r="D2098" s="35">
        <f>(Table2634[[#This Row],[M1 Money Stock, Billions of Dollars, Weekly, Seasonally Adjusted]]-B2095)/B2095</f>
        <v/>
      </c>
      <c r="E2098" s="25">
        <f>AVERAGE(B2095:B2098)</f>
        <v/>
      </c>
      <c r="F2098" s="33">
        <f>(Table2634[[#This Row],[4 weeks average]]-B2046)/B2046</f>
        <v/>
      </c>
    </row>
    <row r="2099">
      <c r="A2099" s="34" t="n">
        <v>42051</v>
      </c>
      <c r="B2099" s="25">
        <f>VLOOKUP(Table2634[[#This Row],[Date]],'DB Money Supply'!$A:$D,4)</f>
        <v/>
      </c>
      <c r="C2099" s="31">
        <f>(Table2634[[#This Row],[M1 Money Stock, Billions of Dollars, Weekly, Seasonally Adjusted]]-B2098)/B2098</f>
        <v/>
      </c>
      <c r="D2099" s="35">
        <f>(Table2634[[#This Row],[M1 Money Stock, Billions of Dollars, Weekly, Seasonally Adjusted]]-B2096)/B2096</f>
        <v/>
      </c>
      <c r="E2099" s="25">
        <f>AVERAGE(B2096:B2099)</f>
        <v/>
      </c>
      <c r="F2099" s="33">
        <f>(Table2634[[#This Row],[4 weeks average]]-B2047)/B2047</f>
        <v/>
      </c>
    </row>
    <row r="2100">
      <c r="A2100" s="34" t="n">
        <v>42058</v>
      </c>
      <c r="B2100" s="25">
        <f>VLOOKUP(Table2634[[#This Row],[Date]],'DB Money Supply'!$A:$D,4)</f>
        <v/>
      </c>
      <c r="C2100" s="31">
        <f>(Table2634[[#This Row],[M1 Money Stock, Billions of Dollars, Weekly, Seasonally Adjusted]]-B2099)/B2099</f>
        <v/>
      </c>
      <c r="D2100" s="35">
        <f>(Table2634[[#This Row],[M1 Money Stock, Billions of Dollars, Weekly, Seasonally Adjusted]]-B2097)/B2097</f>
        <v/>
      </c>
      <c r="E2100" s="25">
        <f>AVERAGE(B2097:B2100)</f>
        <v/>
      </c>
      <c r="F2100" s="33">
        <f>(Table2634[[#This Row],[4 weeks average]]-B2048)/B2048</f>
        <v/>
      </c>
    </row>
    <row r="2101">
      <c r="A2101" s="34" t="n">
        <v>42065</v>
      </c>
      <c r="B2101" s="25">
        <f>VLOOKUP(Table2634[[#This Row],[Date]],'DB Money Supply'!$A:$D,4)</f>
        <v/>
      </c>
      <c r="C2101" s="31">
        <f>(Table2634[[#This Row],[M1 Money Stock, Billions of Dollars, Weekly, Seasonally Adjusted]]-B2100)/B2100</f>
        <v/>
      </c>
      <c r="D2101" s="35">
        <f>(Table2634[[#This Row],[M1 Money Stock, Billions of Dollars, Weekly, Seasonally Adjusted]]-B2098)/B2098</f>
        <v/>
      </c>
      <c r="E2101" s="25">
        <f>AVERAGE(B2098:B2101)</f>
        <v/>
      </c>
      <c r="F2101" s="33">
        <f>(Table2634[[#This Row],[4 weeks average]]-B2049)/B2049</f>
        <v/>
      </c>
    </row>
    <row r="2102">
      <c r="A2102" s="34" t="n">
        <v>42072</v>
      </c>
      <c r="B2102" s="25">
        <f>VLOOKUP(Table2634[[#This Row],[Date]],'DB Money Supply'!$A:$D,4)</f>
        <v/>
      </c>
      <c r="C2102" s="31">
        <f>(Table2634[[#This Row],[M1 Money Stock, Billions of Dollars, Weekly, Seasonally Adjusted]]-B2101)/B2101</f>
        <v/>
      </c>
      <c r="D2102" s="35">
        <f>(Table2634[[#This Row],[M1 Money Stock, Billions of Dollars, Weekly, Seasonally Adjusted]]-B2099)/B2099</f>
        <v/>
      </c>
      <c r="E2102" s="25">
        <f>AVERAGE(B2099:B2102)</f>
        <v/>
      </c>
      <c r="F2102" s="33">
        <f>(Table2634[[#This Row],[4 weeks average]]-B2050)/B2050</f>
        <v/>
      </c>
    </row>
    <row r="2103">
      <c r="A2103" s="34" t="n">
        <v>42079</v>
      </c>
      <c r="B2103" s="25">
        <f>VLOOKUP(Table2634[[#This Row],[Date]],'DB Money Supply'!$A:$D,4)</f>
        <v/>
      </c>
      <c r="C2103" s="31">
        <f>(Table2634[[#This Row],[M1 Money Stock, Billions of Dollars, Weekly, Seasonally Adjusted]]-B2102)/B2102</f>
        <v/>
      </c>
      <c r="D2103" s="35">
        <f>(Table2634[[#This Row],[M1 Money Stock, Billions of Dollars, Weekly, Seasonally Adjusted]]-B2100)/B2100</f>
        <v/>
      </c>
      <c r="E2103" s="25">
        <f>AVERAGE(B2100:B2103)</f>
        <v/>
      </c>
      <c r="F2103" s="33">
        <f>(Table2634[[#This Row],[4 weeks average]]-B2051)/B2051</f>
        <v/>
      </c>
    </row>
    <row r="2104">
      <c r="A2104" s="34" t="n">
        <v>42086</v>
      </c>
      <c r="B2104" s="25">
        <f>VLOOKUP(Table2634[[#This Row],[Date]],'DB Money Supply'!$A:$D,4)</f>
        <v/>
      </c>
      <c r="C2104" s="31">
        <f>(Table2634[[#This Row],[M1 Money Stock, Billions of Dollars, Weekly, Seasonally Adjusted]]-B2103)/B2103</f>
        <v/>
      </c>
      <c r="D2104" s="35">
        <f>(Table2634[[#This Row],[M1 Money Stock, Billions of Dollars, Weekly, Seasonally Adjusted]]-B2101)/B2101</f>
        <v/>
      </c>
      <c r="E2104" s="25">
        <f>AVERAGE(B2101:B2104)</f>
        <v/>
      </c>
      <c r="F2104" s="33">
        <f>(Table2634[[#This Row],[4 weeks average]]-B2052)/B2052</f>
        <v/>
      </c>
    </row>
    <row r="2105">
      <c r="A2105" s="34" t="n">
        <v>42093</v>
      </c>
      <c r="B2105" s="25">
        <f>VLOOKUP(Table2634[[#This Row],[Date]],'DB Money Supply'!$A:$D,4)</f>
        <v/>
      </c>
      <c r="C2105" s="31">
        <f>(Table2634[[#This Row],[M1 Money Stock, Billions of Dollars, Weekly, Seasonally Adjusted]]-B2104)/B2104</f>
        <v/>
      </c>
      <c r="D2105" s="35">
        <f>(Table2634[[#This Row],[M1 Money Stock, Billions of Dollars, Weekly, Seasonally Adjusted]]-B2102)/B2102</f>
        <v/>
      </c>
      <c r="E2105" s="25">
        <f>AVERAGE(B2102:B2105)</f>
        <v/>
      </c>
      <c r="F2105" s="33">
        <f>(Table2634[[#This Row],[4 weeks average]]-B2053)/B2053</f>
        <v/>
      </c>
    </row>
    <row r="2106">
      <c r="A2106" s="34" t="n">
        <v>42100</v>
      </c>
      <c r="B2106" s="25">
        <f>VLOOKUP(Table2634[[#This Row],[Date]],'DB Money Supply'!$A:$D,4)</f>
        <v/>
      </c>
      <c r="C2106" s="31">
        <f>(Table2634[[#This Row],[M1 Money Stock, Billions of Dollars, Weekly, Seasonally Adjusted]]-B2105)/B2105</f>
        <v/>
      </c>
      <c r="D2106" s="35">
        <f>(Table2634[[#This Row],[M1 Money Stock, Billions of Dollars, Weekly, Seasonally Adjusted]]-B2103)/B2103</f>
        <v/>
      </c>
      <c r="E2106" s="25">
        <f>AVERAGE(B2103:B2106)</f>
        <v/>
      </c>
      <c r="F2106" s="33">
        <f>(Table2634[[#This Row],[4 weeks average]]-B2054)/B2054</f>
        <v/>
      </c>
    </row>
    <row r="2107">
      <c r="A2107" s="34" t="n">
        <v>42107</v>
      </c>
      <c r="B2107" s="25">
        <f>VLOOKUP(Table2634[[#This Row],[Date]],'DB Money Supply'!$A:$D,4)</f>
        <v/>
      </c>
      <c r="C2107" s="31">
        <f>(Table2634[[#This Row],[M1 Money Stock, Billions of Dollars, Weekly, Seasonally Adjusted]]-B2106)/B2106</f>
        <v/>
      </c>
      <c r="D2107" s="35">
        <f>(Table2634[[#This Row],[M1 Money Stock, Billions of Dollars, Weekly, Seasonally Adjusted]]-B2104)/B2104</f>
        <v/>
      </c>
      <c r="E2107" s="25">
        <f>AVERAGE(B2104:B2107)</f>
        <v/>
      </c>
      <c r="F2107" s="33">
        <f>(Table2634[[#This Row],[4 weeks average]]-B2055)/B2055</f>
        <v/>
      </c>
    </row>
    <row r="2108">
      <c r="A2108" s="34" t="n">
        <v>42114</v>
      </c>
      <c r="B2108" s="25">
        <f>VLOOKUP(Table2634[[#This Row],[Date]],'DB Money Supply'!$A:$D,4)</f>
        <v/>
      </c>
      <c r="C2108" s="31">
        <f>(Table2634[[#This Row],[M1 Money Stock, Billions of Dollars, Weekly, Seasonally Adjusted]]-B2107)/B2107</f>
        <v/>
      </c>
      <c r="D2108" s="35">
        <f>(Table2634[[#This Row],[M1 Money Stock, Billions of Dollars, Weekly, Seasonally Adjusted]]-B2105)/B2105</f>
        <v/>
      </c>
      <c r="E2108" s="25">
        <f>AVERAGE(B2105:B2108)</f>
        <v/>
      </c>
      <c r="F2108" s="33">
        <f>(Table2634[[#This Row],[4 weeks average]]-B2056)/B2056</f>
        <v/>
      </c>
    </row>
    <row r="2109">
      <c r="A2109" s="34" t="n">
        <v>42121</v>
      </c>
      <c r="B2109" s="25">
        <f>VLOOKUP(Table2634[[#This Row],[Date]],'DB Money Supply'!$A:$D,4)</f>
        <v/>
      </c>
      <c r="C2109" s="31">
        <f>(Table2634[[#This Row],[M1 Money Stock, Billions of Dollars, Weekly, Seasonally Adjusted]]-B2108)/B2108</f>
        <v/>
      </c>
      <c r="D2109" s="35">
        <f>(Table2634[[#This Row],[M1 Money Stock, Billions of Dollars, Weekly, Seasonally Adjusted]]-B2106)/B2106</f>
        <v/>
      </c>
      <c r="E2109" s="25">
        <f>AVERAGE(B2106:B2109)</f>
        <v/>
      </c>
      <c r="F2109" s="33">
        <f>(Table2634[[#This Row],[4 weeks average]]-B2057)/B2057</f>
        <v/>
      </c>
    </row>
    <row r="2110">
      <c r="A2110" s="34" t="n">
        <v>42128</v>
      </c>
      <c r="B2110" s="25">
        <f>VLOOKUP(Table2634[[#This Row],[Date]],'DB Money Supply'!$A:$D,4)</f>
        <v/>
      </c>
      <c r="C2110" s="31">
        <f>(Table2634[[#This Row],[M1 Money Stock, Billions of Dollars, Weekly, Seasonally Adjusted]]-B2109)/B2109</f>
        <v/>
      </c>
      <c r="D2110" s="35">
        <f>(Table2634[[#This Row],[M1 Money Stock, Billions of Dollars, Weekly, Seasonally Adjusted]]-B2107)/B2107</f>
        <v/>
      </c>
      <c r="E2110" s="25">
        <f>AVERAGE(B2107:B2110)</f>
        <v/>
      </c>
      <c r="F2110" s="33">
        <f>(Table2634[[#This Row],[4 weeks average]]-B2058)/B2058</f>
        <v/>
      </c>
    </row>
    <row r="2111">
      <c r="A2111" s="34" t="n">
        <v>42135</v>
      </c>
      <c r="B2111" s="25">
        <f>VLOOKUP(Table2634[[#This Row],[Date]],'DB Money Supply'!$A:$D,4)</f>
        <v/>
      </c>
      <c r="C2111" s="31">
        <f>(Table2634[[#This Row],[M1 Money Stock, Billions of Dollars, Weekly, Seasonally Adjusted]]-B2110)/B2110</f>
        <v/>
      </c>
      <c r="D2111" s="35">
        <f>(Table2634[[#This Row],[M1 Money Stock, Billions of Dollars, Weekly, Seasonally Adjusted]]-B2108)/B2108</f>
        <v/>
      </c>
      <c r="E2111" s="25">
        <f>AVERAGE(B2108:B2111)</f>
        <v/>
      </c>
      <c r="F2111" s="33">
        <f>(Table2634[[#This Row],[4 weeks average]]-B2059)/B2059</f>
        <v/>
      </c>
    </row>
    <row r="2112">
      <c r="A2112" s="34" t="n">
        <v>42142</v>
      </c>
      <c r="B2112" s="25">
        <f>VLOOKUP(Table2634[[#This Row],[Date]],'DB Money Supply'!$A:$D,4)</f>
        <v/>
      </c>
      <c r="C2112" s="31">
        <f>(Table2634[[#This Row],[M1 Money Stock, Billions of Dollars, Weekly, Seasonally Adjusted]]-B2111)/B2111</f>
        <v/>
      </c>
      <c r="D2112" s="35">
        <f>(Table2634[[#This Row],[M1 Money Stock, Billions of Dollars, Weekly, Seasonally Adjusted]]-B2109)/B2109</f>
        <v/>
      </c>
      <c r="E2112" s="25">
        <f>AVERAGE(B2109:B2112)</f>
        <v/>
      </c>
      <c r="F2112" s="33">
        <f>(Table2634[[#This Row],[4 weeks average]]-B2060)/B2060</f>
        <v/>
      </c>
    </row>
    <row r="2113">
      <c r="A2113" s="34" t="n">
        <v>42149</v>
      </c>
      <c r="B2113" s="25">
        <f>VLOOKUP(Table2634[[#This Row],[Date]],'DB Money Supply'!$A:$D,4)</f>
        <v/>
      </c>
      <c r="C2113" s="31">
        <f>(Table2634[[#This Row],[M1 Money Stock, Billions of Dollars, Weekly, Seasonally Adjusted]]-B2112)/B2112</f>
        <v/>
      </c>
      <c r="D2113" s="35">
        <f>(Table2634[[#This Row],[M1 Money Stock, Billions of Dollars, Weekly, Seasonally Adjusted]]-B2110)/B2110</f>
        <v/>
      </c>
      <c r="E2113" s="25">
        <f>AVERAGE(B2110:B2113)</f>
        <v/>
      </c>
      <c r="F2113" s="33">
        <f>(Table2634[[#This Row],[4 weeks average]]-B2061)/B2061</f>
        <v/>
      </c>
    </row>
    <row r="2114">
      <c r="A2114" s="34" t="n">
        <v>42156</v>
      </c>
      <c r="B2114" s="25">
        <f>VLOOKUP(Table2634[[#This Row],[Date]],'DB Money Supply'!$A:$D,4)</f>
        <v/>
      </c>
      <c r="C2114" s="31">
        <f>(Table2634[[#This Row],[M1 Money Stock, Billions of Dollars, Weekly, Seasonally Adjusted]]-B2113)/B2113</f>
        <v/>
      </c>
      <c r="D2114" s="35">
        <f>(Table2634[[#This Row],[M1 Money Stock, Billions of Dollars, Weekly, Seasonally Adjusted]]-B2111)/B2111</f>
        <v/>
      </c>
      <c r="E2114" s="25">
        <f>AVERAGE(B2111:B2114)</f>
        <v/>
      </c>
      <c r="F2114" s="33">
        <f>(Table2634[[#This Row],[4 weeks average]]-B2062)/B2062</f>
        <v/>
      </c>
    </row>
    <row r="2115">
      <c r="A2115" s="34" t="n">
        <v>42163</v>
      </c>
      <c r="B2115" s="25">
        <f>VLOOKUP(Table2634[[#This Row],[Date]],'DB Money Supply'!$A:$D,4)</f>
        <v/>
      </c>
      <c r="C2115" s="31">
        <f>(Table2634[[#This Row],[M1 Money Stock, Billions of Dollars, Weekly, Seasonally Adjusted]]-B2114)/B2114</f>
        <v/>
      </c>
      <c r="D2115" s="35">
        <f>(Table2634[[#This Row],[M1 Money Stock, Billions of Dollars, Weekly, Seasonally Adjusted]]-B2112)/B2112</f>
        <v/>
      </c>
      <c r="E2115" s="25">
        <f>AVERAGE(B2112:B2115)</f>
        <v/>
      </c>
      <c r="F2115" s="33">
        <f>(Table2634[[#This Row],[4 weeks average]]-B2063)/B2063</f>
        <v/>
      </c>
    </row>
    <row r="2116">
      <c r="A2116" s="34" t="n">
        <v>42170</v>
      </c>
      <c r="B2116" s="25">
        <f>VLOOKUP(Table2634[[#This Row],[Date]],'DB Money Supply'!$A:$D,4)</f>
        <v/>
      </c>
      <c r="C2116" s="31">
        <f>(Table2634[[#This Row],[M1 Money Stock, Billions of Dollars, Weekly, Seasonally Adjusted]]-B2115)/B2115</f>
        <v/>
      </c>
      <c r="D2116" s="35">
        <f>(Table2634[[#This Row],[M1 Money Stock, Billions of Dollars, Weekly, Seasonally Adjusted]]-B2113)/B2113</f>
        <v/>
      </c>
      <c r="E2116" s="25">
        <f>AVERAGE(B2113:B2116)</f>
        <v/>
      </c>
      <c r="F2116" s="33">
        <f>(Table2634[[#This Row],[4 weeks average]]-B2064)/B2064</f>
        <v/>
      </c>
    </row>
    <row r="2117">
      <c r="A2117" s="34" t="n">
        <v>42177</v>
      </c>
      <c r="B2117" s="25">
        <f>VLOOKUP(Table2634[[#This Row],[Date]],'DB Money Supply'!$A:$D,4)</f>
        <v/>
      </c>
      <c r="C2117" s="31">
        <f>(Table2634[[#This Row],[M1 Money Stock, Billions of Dollars, Weekly, Seasonally Adjusted]]-B2116)/B2116</f>
        <v/>
      </c>
      <c r="D2117" s="35">
        <f>(Table2634[[#This Row],[M1 Money Stock, Billions of Dollars, Weekly, Seasonally Adjusted]]-B2114)/B2114</f>
        <v/>
      </c>
      <c r="E2117" s="25">
        <f>AVERAGE(B2114:B2117)</f>
        <v/>
      </c>
      <c r="F2117" s="33">
        <f>(Table2634[[#This Row],[4 weeks average]]-B2065)/B2065</f>
        <v/>
      </c>
    </row>
    <row r="2118">
      <c r="A2118" s="34" t="n">
        <v>42184</v>
      </c>
      <c r="B2118" s="25">
        <f>VLOOKUP(Table2634[[#This Row],[Date]],'DB Money Supply'!$A:$D,4)</f>
        <v/>
      </c>
      <c r="C2118" s="31">
        <f>(Table2634[[#This Row],[M1 Money Stock, Billions of Dollars, Weekly, Seasonally Adjusted]]-B2117)/B2117</f>
        <v/>
      </c>
      <c r="D2118" s="35">
        <f>(Table2634[[#This Row],[M1 Money Stock, Billions of Dollars, Weekly, Seasonally Adjusted]]-B2115)/B2115</f>
        <v/>
      </c>
      <c r="E2118" s="25">
        <f>AVERAGE(B2115:B2118)</f>
        <v/>
      </c>
      <c r="F2118" s="33">
        <f>(Table2634[[#This Row],[4 weeks average]]-B2066)/B2066</f>
        <v/>
      </c>
    </row>
    <row r="2119">
      <c r="A2119" s="34" t="n">
        <v>42191</v>
      </c>
      <c r="B2119" s="25">
        <f>VLOOKUP(Table2634[[#This Row],[Date]],'DB Money Supply'!$A:$D,4)</f>
        <v/>
      </c>
      <c r="C2119" s="31">
        <f>(Table2634[[#This Row],[M1 Money Stock, Billions of Dollars, Weekly, Seasonally Adjusted]]-B2118)/B2118</f>
        <v/>
      </c>
      <c r="D2119" s="35">
        <f>(Table2634[[#This Row],[M1 Money Stock, Billions of Dollars, Weekly, Seasonally Adjusted]]-B2116)/B2116</f>
        <v/>
      </c>
      <c r="E2119" s="25">
        <f>AVERAGE(B2116:B2119)</f>
        <v/>
      </c>
      <c r="F2119" s="33">
        <f>(Table2634[[#This Row],[4 weeks average]]-B2067)/B2067</f>
        <v/>
      </c>
    </row>
    <row r="2120">
      <c r="A2120" s="34" t="n">
        <v>42198</v>
      </c>
      <c r="B2120" s="25">
        <f>VLOOKUP(Table2634[[#This Row],[Date]],'DB Money Supply'!$A:$D,4)</f>
        <v/>
      </c>
      <c r="C2120" s="31">
        <f>(Table2634[[#This Row],[M1 Money Stock, Billions of Dollars, Weekly, Seasonally Adjusted]]-B2119)/B2119</f>
        <v/>
      </c>
      <c r="D2120" s="35">
        <f>(Table2634[[#This Row],[M1 Money Stock, Billions of Dollars, Weekly, Seasonally Adjusted]]-B2117)/B2117</f>
        <v/>
      </c>
      <c r="E2120" s="25">
        <f>AVERAGE(B2117:B2120)</f>
        <v/>
      </c>
      <c r="F2120" s="33">
        <f>(Table2634[[#This Row],[4 weeks average]]-B2068)/B2068</f>
        <v/>
      </c>
    </row>
    <row r="2121">
      <c r="A2121" s="34" t="n">
        <v>42205</v>
      </c>
      <c r="B2121" s="25">
        <f>VLOOKUP(Table2634[[#This Row],[Date]],'DB Money Supply'!$A:$D,4)</f>
        <v/>
      </c>
      <c r="C2121" s="31">
        <f>(Table2634[[#This Row],[M1 Money Stock, Billions of Dollars, Weekly, Seasonally Adjusted]]-B2120)/B2120</f>
        <v/>
      </c>
      <c r="D2121" s="35">
        <f>(Table2634[[#This Row],[M1 Money Stock, Billions of Dollars, Weekly, Seasonally Adjusted]]-B2118)/B2118</f>
        <v/>
      </c>
      <c r="E2121" s="25">
        <f>AVERAGE(B2118:B2121)</f>
        <v/>
      </c>
      <c r="F2121" s="33">
        <f>(Table2634[[#This Row],[4 weeks average]]-B2069)/B2069</f>
        <v/>
      </c>
    </row>
    <row r="2122">
      <c r="A2122" s="34" t="n">
        <v>42212</v>
      </c>
      <c r="B2122" s="25">
        <f>VLOOKUP(Table2634[[#This Row],[Date]],'DB Money Supply'!$A:$D,4)</f>
        <v/>
      </c>
      <c r="C2122" s="31">
        <f>(Table2634[[#This Row],[M1 Money Stock, Billions of Dollars, Weekly, Seasonally Adjusted]]-B2121)/B2121</f>
        <v/>
      </c>
      <c r="D2122" s="35">
        <f>(Table2634[[#This Row],[M1 Money Stock, Billions of Dollars, Weekly, Seasonally Adjusted]]-B2119)/B2119</f>
        <v/>
      </c>
      <c r="E2122" s="25">
        <f>AVERAGE(B2119:B2122)</f>
        <v/>
      </c>
      <c r="F2122" s="33">
        <f>(Table2634[[#This Row],[4 weeks average]]-B2070)/B2070</f>
        <v/>
      </c>
    </row>
    <row r="2123">
      <c r="A2123" s="34" t="n">
        <v>42219</v>
      </c>
      <c r="B2123" s="25">
        <f>VLOOKUP(Table2634[[#This Row],[Date]],'DB Money Supply'!$A:$D,4)</f>
        <v/>
      </c>
      <c r="C2123" s="31">
        <f>(Table2634[[#This Row],[M1 Money Stock, Billions of Dollars, Weekly, Seasonally Adjusted]]-B2122)/B2122</f>
        <v/>
      </c>
      <c r="D2123" s="35">
        <f>(Table2634[[#This Row],[M1 Money Stock, Billions of Dollars, Weekly, Seasonally Adjusted]]-B2120)/B2120</f>
        <v/>
      </c>
      <c r="E2123" s="25">
        <f>AVERAGE(B2120:B2123)</f>
        <v/>
      </c>
      <c r="F2123" s="33">
        <f>(Table2634[[#This Row],[4 weeks average]]-B2071)/B2071</f>
        <v/>
      </c>
    </row>
    <row r="2124">
      <c r="A2124" s="34" t="n">
        <v>42226</v>
      </c>
      <c r="B2124" s="25">
        <f>VLOOKUP(Table2634[[#This Row],[Date]],'DB Money Supply'!$A:$D,4)</f>
        <v/>
      </c>
      <c r="C2124" s="31">
        <f>(Table2634[[#This Row],[M1 Money Stock, Billions of Dollars, Weekly, Seasonally Adjusted]]-B2123)/B2123</f>
        <v/>
      </c>
      <c r="D2124" s="35">
        <f>(Table2634[[#This Row],[M1 Money Stock, Billions of Dollars, Weekly, Seasonally Adjusted]]-B2121)/B2121</f>
        <v/>
      </c>
      <c r="E2124" s="25">
        <f>AVERAGE(B2121:B2124)</f>
        <v/>
      </c>
      <c r="F2124" s="33">
        <f>(Table2634[[#This Row],[4 weeks average]]-B2072)/B2072</f>
        <v/>
      </c>
    </row>
    <row r="2125">
      <c r="A2125" s="34" t="n">
        <v>42233</v>
      </c>
      <c r="B2125" s="25">
        <f>VLOOKUP(Table2634[[#This Row],[Date]],'DB Money Supply'!$A:$D,4)</f>
        <v/>
      </c>
      <c r="C2125" s="31">
        <f>(Table2634[[#This Row],[M1 Money Stock, Billions of Dollars, Weekly, Seasonally Adjusted]]-B2124)/B2124</f>
        <v/>
      </c>
      <c r="D2125" s="35">
        <f>(Table2634[[#This Row],[M1 Money Stock, Billions of Dollars, Weekly, Seasonally Adjusted]]-B2122)/B2122</f>
        <v/>
      </c>
      <c r="E2125" s="25">
        <f>AVERAGE(B2122:B2125)</f>
        <v/>
      </c>
      <c r="F2125" s="33">
        <f>(Table2634[[#This Row],[4 weeks average]]-B2073)/B2073</f>
        <v/>
      </c>
    </row>
    <row r="2126">
      <c r="A2126" s="34" t="n">
        <v>42240</v>
      </c>
      <c r="B2126" s="25">
        <f>VLOOKUP(Table2634[[#This Row],[Date]],'DB Money Supply'!$A:$D,4)</f>
        <v/>
      </c>
      <c r="C2126" s="31">
        <f>(Table2634[[#This Row],[M1 Money Stock, Billions of Dollars, Weekly, Seasonally Adjusted]]-B2125)/B2125</f>
        <v/>
      </c>
      <c r="D2126" s="35">
        <f>(Table2634[[#This Row],[M1 Money Stock, Billions of Dollars, Weekly, Seasonally Adjusted]]-B2123)/B2123</f>
        <v/>
      </c>
      <c r="E2126" s="25">
        <f>AVERAGE(B2123:B2126)</f>
        <v/>
      </c>
      <c r="F2126" s="33">
        <f>(Table2634[[#This Row],[4 weeks average]]-B2074)/B2074</f>
        <v/>
      </c>
    </row>
    <row r="2127">
      <c r="A2127" s="34" t="n">
        <v>42247</v>
      </c>
      <c r="B2127" s="25">
        <f>VLOOKUP(Table2634[[#This Row],[Date]],'DB Money Supply'!$A:$D,4)</f>
        <v/>
      </c>
      <c r="C2127" s="31">
        <f>(Table2634[[#This Row],[M1 Money Stock, Billions of Dollars, Weekly, Seasonally Adjusted]]-B2126)/B2126</f>
        <v/>
      </c>
      <c r="D2127" s="35">
        <f>(Table2634[[#This Row],[M1 Money Stock, Billions of Dollars, Weekly, Seasonally Adjusted]]-B2124)/B2124</f>
        <v/>
      </c>
      <c r="E2127" s="25">
        <f>AVERAGE(B2124:B2127)</f>
        <v/>
      </c>
      <c r="F2127" s="33">
        <f>(Table2634[[#This Row],[4 weeks average]]-B2075)/B2075</f>
        <v/>
      </c>
    </row>
    <row r="2128">
      <c r="A2128" s="34" t="n">
        <v>42254</v>
      </c>
      <c r="B2128" s="25">
        <f>VLOOKUP(Table2634[[#This Row],[Date]],'DB Money Supply'!$A:$D,4)</f>
        <v/>
      </c>
      <c r="C2128" s="31">
        <f>(Table2634[[#This Row],[M1 Money Stock, Billions of Dollars, Weekly, Seasonally Adjusted]]-B2127)/B2127</f>
        <v/>
      </c>
      <c r="D2128" s="35">
        <f>(Table2634[[#This Row],[M1 Money Stock, Billions of Dollars, Weekly, Seasonally Adjusted]]-B2125)/B2125</f>
        <v/>
      </c>
      <c r="E2128" s="25">
        <f>AVERAGE(B2125:B2128)</f>
        <v/>
      </c>
      <c r="F2128" s="33">
        <f>(Table2634[[#This Row],[4 weeks average]]-B2076)/B2076</f>
        <v/>
      </c>
    </row>
    <row r="2129">
      <c r="A2129" s="34" t="n">
        <v>42261</v>
      </c>
      <c r="B2129" s="25">
        <f>VLOOKUP(Table2634[[#This Row],[Date]],'DB Money Supply'!$A:$D,4)</f>
        <v/>
      </c>
      <c r="C2129" s="31">
        <f>(Table2634[[#This Row],[M1 Money Stock, Billions of Dollars, Weekly, Seasonally Adjusted]]-B2128)/B2128</f>
        <v/>
      </c>
      <c r="D2129" s="35">
        <f>(Table2634[[#This Row],[M1 Money Stock, Billions of Dollars, Weekly, Seasonally Adjusted]]-B2126)/B2126</f>
        <v/>
      </c>
      <c r="E2129" s="25">
        <f>AVERAGE(B2126:B2129)</f>
        <v/>
      </c>
      <c r="F2129" s="33">
        <f>(Table2634[[#This Row],[4 weeks average]]-B2077)/B2077</f>
        <v/>
      </c>
    </row>
    <row r="2130">
      <c r="A2130" s="34" t="n">
        <v>42268</v>
      </c>
      <c r="B2130" s="25">
        <f>VLOOKUP(Table2634[[#This Row],[Date]],'DB Money Supply'!$A:$D,4)</f>
        <v/>
      </c>
      <c r="C2130" s="31">
        <f>(Table2634[[#This Row],[M1 Money Stock, Billions of Dollars, Weekly, Seasonally Adjusted]]-B2129)/B2129</f>
        <v/>
      </c>
      <c r="D2130" s="35">
        <f>(Table2634[[#This Row],[M1 Money Stock, Billions of Dollars, Weekly, Seasonally Adjusted]]-B2127)/B2127</f>
        <v/>
      </c>
      <c r="E2130" s="25">
        <f>AVERAGE(B2127:B2130)</f>
        <v/>
      </c>
      <c r="F2130" s="33">
        <f>(Table2634[[#This Row],[4 weeks average]]-B2078)/B2078</f>
        <v/>
      </c>
    </row>
    <row r="2131">
      <c r="A2131" s="34" t="n">
        <v>42275</v>
      </c>
      <c r="B2131" s="25">
        <f>VLOOKUP(Table2634[[#This Row],[Date]],'DB Money Supply'!$A:$D,4)</f>
        <v/>
      </c>
      <c r="C2131" s="31">
        <f>(Table2634[[#This Row],[M1 Money Stock, Billions of Dollars, Weekly, Seasonally Adjusted]]-B2130)/B2130</f>
        <v/>
      </c>
      <c r="D2131" s="35">
        <f>(Table2634[[#This Row],[M1 Money Stock, Billions of Dollars, Weekly, Seasonally Adjusted]]-B2128)/B2128</f>
        <v/>
      </c>
      <c r="E2131" s="25">
        <f>AVERAGE(B2128:B2131)</f>
        <v/>
      </c>
      <c r="F2131" s="33">
        <f>(Table2634[[#This Row],[4 weeks average]]-B2079)/B2079</f>
        <v/>
      </c>
    </row>
    <row r="2132">
      <c r="A2132" s="34" t="n">
        <v>42282</v>
      </c>
      <c r="B2132" s="25">
        <f>VLOOKUP(Table2634[[#This Row],[Date]],'DB Money Supply'!$A:$D,4)</f>
        <v/>
      </c>
      <c r="C2132" s="31">
        <f>(Table2634[[#This Row],[M1 Money Stock, Billions of Dollars, Weekly, Seasonally Adjusted]]-B2131)/B2131</f>
        <v/>
      </c>
      <c r="D2132" s="35">
        <f>(Table2634[[#This Row],[M1 Money Stock, Billions of Dollars, Weekly, Seasonally Adjusted]]-B2129)/B2129</f>
        <v/>
      </c>
      <c r="E2132" s="25">
        <f>AVERAGE(B2129:B2132)</f>
        <v/>
      </c>
      <c r="F2132" s="33">
        <f>(Table2634[[#This Row],[4 weeks average]]-B2080)/B2080</f>
        <v/>
      </c>
    </row>
    <row r="2133">
      <c r="A2133" s="34" t="n">
        <v>42289</v>
      </c>
      <c r="B2133" s="25">
        <f>VLOOKUP(Table2634[[#This Row],[Date]],'DB Money Supply'!$A:$D,4)</f>
        <v/>
      </c>
      <c r="C2133" s="31">
        <f>(Table2634[[#This Row],[M1 Money Stock, Billions of Dollars, Weekly, Seasonally Adjusted]]-B2132)/B2132</f>
        <v/>
      </c>
      <c r="D2133" s="35">
        <f>(Table2634[[#This Row],[M1 Money Stock, Billions of Dollars, Weekly, Seasonally Adjusted]]-B2130)/B2130</f>
        <v/>
      </c>
      <c r="E2133" s="25">
        <f>AVERAGE(B2130:B2133)</f>
        <v/>
      </c>
      <c r="F2133" s="33">
        <f>(Table2634[[#This Row],[4 weeks average]]-B2081)/B2081</f>
        <v/>
      </c>
    </row>
    <row r="2134">
      <c r="A2134" s="34" t="n">
        <v>42296</v>
      </c>
      <c r="B2134" s="25">
        <f>VLOOKUP(Table2634[[#This Row],[Date]],'DB Money Supply'!$A:$D,4)</f>
        <v/>
      </c>
      <c r="C2134" s="31">
        <f>(Table2634[[#This Row],[M1 Money Stock, Billions of Dollars, Weekly, Seasonally Adjusted]]-B2133)/B2133</f>
        <v/>
      </c>
      <c r="D2134" s="35">
        <f>(Table2634[[#This Row],[M1 Money Stock, Billions of Dollars, Weekly, Seasonally Adjusted]]-B2131)/B2131</f>
        <v/>
      </c>
      <c r="E2134" s="25">
        <f>AVERAGE(B2131:B2134)</f>
        <v/>
      </c>
      <c r="F2134" s="33">
        <f>(Table2634[[#This Row],[4 weeks average]]-B2082)/B2082</f>
        <v/>
      </c>
    </row>
    <row r="2135">
      <c r="A2135" s="34" t="n">
        <v>42303</v>
      </c>
      <c r="B2135" s="25">
        <f>VLOOKUP(Table2634[[#This Row],[Date]],'DB Money Supply'!$A:$D,4)</f>
        <v/>
      </c>
      <c r="C2135" s="31">
        <f>(Table2634[[#This Row],[M1 Money Stock, Billions of Dollars, Weekly, Seasonally Adjusted]]-B2134)/B2134</f>
        <v/>
      </c>
      <c r="D2135" s="35">
        <f>(Table2634[[#This Row],[M1 Money Stock, Billions of Dollars, Weekly, Seasonally Adjusted]]-B2132)/B2132</f>
        <v/>
      </c>
      <c r="E2135" s="25">
        <f>AVERAGE(B2132:B2135)</f>
        <v/>
      </c>
      <c r="F2135" s="33">
        <f>(Table2634[[#This Row],[4 weeks average]]-B2083)/B2083</f>
        <v/>
      </c>
    </row>
    <row r="2136">
      <c r="A2136" s="34" t="n">
        <v>42310</v>
      </c>
      <c r="B2136" s="25">
        <f>VLOOKUP(Table2634[[#This Row],[Date]],'DB Money Supply'!$A:$D,4)</f>
        <v/>
      </c>
      <c r="C2136" s="31">
        <f>(Table2634[[#This Row],[M1 Money Stock, Billions of Dollars, Weekly, Seasonally Adjusted]]-B2135)/B2135</f>
        <v/>
      </c>
      <c r="D2136" s="35">
        <f>(Table2634[[#This Row],[M1 Money Stock, Billions of Dollars, Weekly, Seasonally Adjusted]]-B2133)/B2133</f>
        <v/>
      </c>
      <c r="E2136" s="25">
        <f>AVERAGE(B2133:B2136)</f>
        <v/>
      </c>
      <c r="F2136" s="33">
        <f>(Table2634[[#This Row],[4 weeks average]]-B2084)/B2084</f>
        <v/>
      </c>
    </row>
    <row r="2137">
      <c r="A2137" s="34" t="n">
        <v>42317</v>
      </c>
      <c r="B2137" s="25">
        <f>VLOOKUP(Table2634[[#This Row],[Date]],'DB Money Supply'!$A:$D,4)</f>
        <v/>
      </c>
      <c r="C2137" s="31">
        <f>(Table2634[[#This Row],[M1 Money Stock, Billions of Dollars, Weekly, Seasonally Adjusted]]-B2136)/B2136</f>
        <v/>
      </c>
      <c r="D2137" s="35">
        <f>(Table2634[[#This Row],[M1 Money Stock, Billions of Dollars, Weekly, Seasonally Adjusted]]-B2134)/B2134</f>
        <v/>
      </c>
      <c r="E2137" s="25">
        <f>AVERAGE(B2134:B2137)</f>
        <v/>
      </c>
      <c r="F2137" s="33">
        <f>(Table2634[[#This Row],[4 weeks average]]-B2085)/B2085</f>
        <v/>
      </c>
    </row>
    <row r="2138">
      <c r="A2138" s="34" t="n">
        <v>42324</v>
      </c>
      <c r="B2138" s="25">
        <f>VLOOKUP(Table2634[[#This Row],[Date]],'DB Money Supply'!$A:$D,4)</f>
        <v/>
      </c>
      <c r="C2138" s="31">
        <f>(Table2634[[#This Row],[M1 Money Stock, Billions of Dollars, Weekly, Seasonally Adjusted]]-B2137)/B2137</f>
        <v/>
      </c>
      <c r="D2138" s="35">
        <f>(Table2634[[#This Row],[M1 Money Stock, Billions of Dollars, Weekly, Seasonally Adjusted]]-B2135)/B2135</f>
        <v/>
      </c>
      <c r="E2138" s="25">
        <f>AVERAGE(B2135:B2138)</f>
        <v/>
      </c>
      <c r="F2138" s="33">
        <f>(Table2634[[#This Row],[4 weeks average]]-B2086)/B2086</f>
        <v/>
      </c>
    </row>
    <row r="2139">
      <c r="A2139" s="34" t="n">
        <v>42331</v>
      </c>
      <c r="B2139" s="25">
        <f>VLOOKUP(Table2634[[#This Row],[Date]],'DB Money Supply'!$A:$D,4)</f>
        <v/>
      </c>
      <c r="C2139" s="31">
        <f>(Table2634[[#This Row],[M1 Money Stock, Billions of Dollars, Weekly, Seasonally Adjusted]]-B2138)/B2138</f>
        <v/>
      </c>
      <c r="D2139" s="35">
        <f>(Table2634[[#This Row],[M1 Money Stock, Billions of Dollars, Weekly, Seasonally Adjusted]]-B2136)/B2136</f>
        <v/>
      </c>
      <c r="E2139" s="25">
        <f>AVERAGE(B2136:B2139)</f>
        <v/>
      </c>
      <c r="F2139" s="33">
        <f>(Table2634[[#This Row],[4 weeks average]]-B2087)/B2087</f>
        <v/>
      </c>
    </row>
    <row r="2140">
      <c r="A2140" s="34" t="n">
        <v>42338</v>
      </c>
      <c r="B2140" s="25">
        <f>VLOOKUP(Table2634[[#This Row],[Date]],'DB Money Supply'!$A:$D,4)</f>
        <v/>
      </c>
      <c r="C2140" s="31">
        <f>(Table2634[[#This Row],[M1 Money Stock, Billions of Dollars, Weekly, Seasonally Adjusted]]-B2139)/B2139</f>
        <v/>
      </c>
      <c r="D2140" s="35">
        <f>(Table2634[[#This Row],[M1 Money Stock, Billions of Dollars, Weekly, Seasonally Adjusted]]-B2137)/B2137</f>
        <v/>
      </c>
      <c r="E2140" s="25">
        <f>AVERAGE(B2137:B2140)</f>
        <v/>
      </c>
      <c r="F2140" s="33">
        <f>(Table2634[[#This Row],[4 weeks average]]-B2088)/B2088</f>
        <v/>
      </c>
    </row>
    <row r="2141">
      <c r="A2141" s="34" t="n">
        <v>42345</v>
      </c>
      <c r="B2141" s="25">
        <f>VLOOKUP(Table2634[[#This Row],[Date]],'DB Money Supply'!$A:$D,4)</f>
        <v/>
      </c>
      <c r="C2141" s="31">
        <f>(Table2634[[#This Row],[M1 Money Stock, Billions of Dollars, Weekly, Seasonally Adjusted]]-B2140)/B2140</f>
        <v/>
      </c>
      <c r="D2141" s="35">
        <f>(Table2634[[#This Row],[M1 Money Stock, Billions of Dollars, Weekly, Seasonally Adjusted]]-B2138)/B2138</f>
        <v/>
      </c>
      <c r="E2141" s="25">
        <f>AVERAGE(B2138:B2141)</f>
        <v/>
      </c>
      <c r="F2141" s="33">
        <f>(Table2634[[#This Row],[4 weeks average]]-B2089)/B2089</f>
        <v/>
      </c>
    </row>
    <row r="2142">
      <c r="A2142" s="34" t="n">
        <v>42352</v>
      </c>
      <c r="B2142" s="25">
        <f>VLOOKUP(Table2634[[#This Row],[Date]],'DB Money Supply'!$A:$D,4)</f>
        <v/>
      </c>
      <c r="C2142" s="31">
        <f>(Table2634[[#This Row],[M1 Money Stock, Billions of Dollars, Weekly, Seasonally Adjusted]]-B2141)/B2141</f>
        <v/>
      </c>
      <c r="D2142" s="35">
        <f>(Table2634[[#This Row],[M1 Money Stock, Billions of Dollars, Weekly, Seasonally Adjusted]]-B2139)/B2139</f>
        <v/>
      </c>
      <c r="E2142" s="25">
        <f>AVERAGE(B2139:B2142)</f>
        <v/>
      </c>
      <c r="F2142" s="33">
        <f>(Table2634[[#This Row],[4 weeks average]]-B2090)/B2090</f>
        <v/>
      </c>
    </row>
    <row r="2143">
      <c r="A2143" s="34" t="n">
        <v>42359</v>
      </c>
      <c r="B2143" s="25">
        <f>VLOOKUP(Table2634[[#This Row],[Date]],'DB Money Supply'!$A:$D,4)</f>
        <v/>
      </c>
      <c r="C2143" s="31">
        <f>(Table2634[[#This Row],[M1 Money Stock, Billions of Dollars, Weekly, Seasonally Adjusted]]-B2142)/B2142</f>
        <v/>
      </c>
      <c r="D2143" s="35">
        <f>(Table2634[[#This Row],[M1 Money Stock, Billions of Dollars, Weekly, Seasonally Adjusted]]-B2140)/B2140</f>
        <v/>
      </c>
      <c r="E2143" s="25">
        <f>AVERAGE(B2140:B2143)</f>
        <v/>
      </c>
      <c r="F2143" s="33">
        <f>(Table2634[[#This Row],[4 weeks average]]-B2091)/B2091</f>
        <v/>
      </c>
    </row>
    <row r="2144">
      <c r="A2144" s="34" t="n">
        <v>42366</v>
      </c>
      <c r="B2144" s="25">
        <f>VLOOKUP(Table2634[[#This Row],[Date]],'DB Money Supply'!$A:$D,4)</f>
        <v/>
      </c>
      <c r="C2144" s="31">
        <f>(Table2634[[#This Row],[M1 Money Stock, Billions of Dollars, Weekly, Seasonally Adjusted]]-B2143)/B2143</f>
        <v/>
      </c>
      <c r="D2144" s="35">
        <f>(Table2634[[#This Row],[M1 Money Stock, Billions of Dollars, Weekly, Seasonally Adjusted]]-B2141)/B2141</f>
        <v/>
      </c>
      <c r="E2144" s="25">
        <f>AVERAGE(B2141:B2144)</f>
        <v/>
      </c>
      <c r="F2144" s="33">
        <f>(Table2634[[#This Row],[4 weeks average]]-B2092)/B2092</f>
        <v/>
      </c>
    </row>
    <row r="2145">
      <c r="A2145" s="34" t="n">
        <v>42373</v>
      </c>
      <c r="B2145" s="25">
        <f>VLOOKUP(Table2634[[#This Row],[Date]],'DB Money Supply'!$A:$D,4)</f>
        <v/>
      </c>
      <c r="C2145" s="31">
        <f>(Table2634[[#This Row],[M1 Money Stock, Billions of Dollars, Weekly, Seasonally Adjusted]]-B2144)/B2144</f>
        <v/>
      </c>
      <c r="D2145" s="35">
        <f>(Table2634[[#This Row],[M1 Money Stock, Billions of Dollars, Weekly, Seasonally Adjusted]]-B2142)/B2142</f>
        <v/>
      </c>
      <c r="E2145" s="25">
        <f>AVERAGE(B2142:B2145)</f>
        <v/>
      </c>
      <c r="F2145" s="33">
        <f>(Table2634[[#This Row],[4 weeks average]]-B2093)/B2093</f>
        <v/>
      </c>
    </row>
    <row r="2146">
      <c r="A2146" s="34" t="n">
        <v>42380</v>
      </c>
      <c r="B2146" s="25">
        <f>VLOOKUP(Table2634[[#This Row],[Date]],'DB Money Supply'!$A:$D,4)</f>
        <v/>
      </c>
      <c r="C2146" s="31">
        <f>(Table2634[[#This Row],[M1 Money Stock, Billions of Dollars, Weekly, Seasonally Adjusted]]-B2145)/B2145</f>
        <v/>
      </c>
      <c r="D2146" s="35">
        <f>(Table2634[[#This Row],[M1 Money Stock, Billions of Dollars, Weekly, Seasonally Adjusted]]-B2143)/B2143</f>
        <v/>
      </c>
      <c r="E2146" s="25">
        <f>AVERAGE(B2143:B2146)</f>
        <v/>
      </c>
      <c r="F2146" s="33">
        <f>(Table2634[[#This Row],[4 weeks average]]-B2094)/B2094</f>
        <v/>
      </c>
    </row>
    <row r="2147">
      <c r="A2147" s="34" t="n">
        <v>42387</v>
      </c>
      <c r="B2147" s="25">
        <f>VLOOKUP(Table2634[[#This Row],[Date]],'DB Money Supply'!$A:$D,4)</f>
        <v/>
      </c>
      <c r="C2147" s="31">
        <f>(Table2634[[#This Row],[M1 Money Stock, Billions of Dollars, Weekly, Seasonally Adjusted]]-B2146)/B2146</f>
        <v/>
      </c>
      <c r="D2147" s="35">
        <f>(Table2634[[#This Row],[M1 Money Stock, Billions of Dollars, Weekly, Seasonally Adjusted]]-B2144)/B2144</f>
        <v/>
      </c>
      <c r="E2147" s="25">
        <f>AVERAGE(B2144:B2147)</f>
        <v/>
      </c>
      <c r="F2147" s="33">
        <f>(Table2634[[#This Row],[4 weeks average]]-B2095)/B2095</f>
        <v/>
      </c>
    </row>
    <row r="2148">
      <c r="A2148" s="34" t="n">
        <v>42394</v>
      </c>
      <c r="B2148" s="25">
        <f>VLOOKUP(Table2634[[#This Row],[Date]],'DB Money Supply'!$A:$D,4)</f>
        <v/>
      </c>
      <c r="C2148" s="31">
        <f>(Table2634[[#This Row],[M1 Money Stock, Billions of Dollars, Weekly, Seasonally Adjusted]]-B2147)/B2147</f>
        <v/>
      </c>
      <c r="D2148" s="35">
        <f>(Table2634[[#This Row],[M1 Money Stock, Billions of Dollars, Weekly, Seasonally Adjusted]]-B2145)/B2145</f>
        <v/>
      </c>
      <c r="E2148" s="25">
        <f>AVERAGE(B2145:B2148)</f>
        <v/>
      </c>
      <c r="F2148" s="33">
        <f>(Table2634[[#This Row],[4 weeks average]]-B2096)/B2096</f>
        <v/>
      </c>
    </row>
    <row r="2149">
      <c r="A2149" s="34" t="n">
        <v>42401</v>
      </c>
      <c r="B2149" s="25">
        <f>VLOOKUP(Table2634[[#This Row],[Date]],'DB Money Supply'!$A:$D,4)</f>
        <v/>
      </c>
      <c r="C2149" s="31">
        <f>(Table2634[[#This Row],[M1 Money Stock, Billions of Dollars, Weekly, Seasonally Adjusted]]-B2148)/B2148</f>
        <v/>
      </c>
      <c r="D2149" s="35">
        <f>(Table2634[[#This Row],[M1 Money Stock, Billions of Dollars, Weekly, Seasonally Adjusted]]-B2146)/B2146</f>
        <v/>
      </c>
      <c r="E2149" s="25">
        <f>AVERAGE(B2146:B2149)</f>
        <v/>
      </c>
      <c r="F2149" s="33">
        <f>(Table2634[[#This Row],[4 weeks average]]-B2097)/B2097</f>
        <v/>
      </c>
    </row>
    <row r="2150">
      <c r="A2150" s="34" t="n">
        <v>42408</v>
      </c>
      <c r="B2150" s="25">
        <f>VLOOKUP(Table2634[[#This Row],[Date]],'DB Money Supply'!$A:$D,4)</f>
        <v/>
      </c>
      <c r="C2150" s="31">
        <f>(Table2634[[#This Row],[M1 Money Stock, Billions of Dollars, Weekly, Seasonally Adjusted]]-B2149)/B2149</f>
        <v/>
      </c>
      <c r="D2150" s="35">
        <f>(Table2634[[#This Row],[M1 Money Stock, Billions of Dollars, Weekly, Seasonally Adjusted]]-B2147)/B2147</f>
        <v/>
      </c>
      <c r="E2150" s="25">
        <f>AVERAGE(B2147:B2150)</f>
        <v/>
      </c>
      <c r="F2150" s="33">
        <f>(Table2634[[#This Row],[4 weeks average]]-B2098)/B2098</f>
        <v/>
      </c>
    </row>
    <row r="2151">
      <c r="A2151" s="34" t="n">
        <v>42415</v>
      </c>
      <c r="B2151" s="25">
        <f>VLOOKUP(Table2634[[#This Row],[Date]],'DB Money Supply'!$A:$D,4)</f>
        <v/>
      </c>
      <c r="C2151" s="31">
        <f>(Table2634[[#This Row],[M1 Money Stock, Billions of Dollars, Weekly, Seasonally Adjusted]]-B2150)/B2150</f>
        <v/>
      </c>
      <c r="D2151" s="35">
        <f>(Table2634[[#This Row],[M1 Money Stock, Billions of Dollars, Weekly, Seasonally Adjusted]]-B2148)/B2148</f>
        <v/>
      </c>
      <c r="E2151" s="25">
        <f>AVERAGE(B2148:B2151)</f>
        <v/>
      </c>
      <c r="F2151" s="33">
        <f>(Table2634[[#This Row],[4 weeks average]]-B2099)/B2099</f>
        <v/>
      </c>
    </row>
    <row r="2152">
      <c r="A2152" s="34" t="n">
        <v>42422</v>
      </c>
      <c r="B2152" s="25">
        <f>VLOOKUP(Table2634[[#This Row],[Date]],'DB Money Supply'!$A:$D,4)</f>
        <v/>
      </c>
      <c r="C2152" s="31">
        <f>(Table2634[[#This Row],[M1 Money Stock, Billions of Dollars, Weekly, Seasonally Adjusted]]-B2151)/B2151</f>
        <v/>
      </c>
      <c r="D2152" s="35">
        <f>(Table2634[[#This Row],[M1 Money Stock, Billions of Dollars, Weekly, Seasonally Adjusted]]-B2149)/B2149</f>
        <v/>
      </c>
      <c r="E2152" s="25">
        <f>AVERAGE(B2149:B2152)</f>
        <v/>
      </c>
      <c r="F2152" s="33">
        <f>(Table2634[[#This Row],[4 weeks average]]-B2100)/B2100</f>
        <v/>
      </c>
    </row>
    <row r="2153">
      <c r="A2153" s="34" t="n">
        <v>42429</v>
      </c>
      <c r="B2153" s="25">
        <f>VLOOKUP(Table2634[[#This Row],[Date]],'DB Money Supply'!$A:$D,4)</f>
        <v/>
      </c>
      <c r="C2153" s="31">
        <f>(Table2634[[#This Row],[M1 Money Stock, Billions of Dollars, Weekly, Seasonally Adjusted]]-B2152)/B2152</f>
        <v/>
      </c>
      <c r="D2153" s="35">
        <f>(Table2634[[#This Row],[M1 Money Stock, Billions of Dollars, Weekly, Seasonally Adjusted]]-B2150)/B2150</f>
        <v/>
      </c>
      <c r="E2153" s="25">
        <f>AVERAGE(B2150:B2153)</f>
        <v/>
      </c>
      <c r="F2153" s="33">
        <f>(Table2634[[#This Row],[4 weeks average]]-B2101)/B2101</f>
        <v/>
      </c>
    </row>
    <row r="2154">
      <c r="A2154" s="34" t="n">
        <v>42436</v>
      </c>
      <c r="B2154" s="25">
        <f>VLOOKUP(Table2634[[#This Row],[Date]],'DB Money Supply'!$A:$D,4)</f>
        <v/>
      </c>
      <c r="C2154" s="31">
        <f>(Table2634[[#This Row],[M1 Money Stock, Billions of Dollars, Weekly, Seasonally Adjusted]]-B2153)/B2153</f>
        <v/>
      </c>
      <c r="D2154" s="35">
        <f>(Table2634[[#This Row],[M1 Money Stock, Billions of Dollars, Weekly, Seasonally Adjusted]]-B2151)/B2151</f>
        <v/>
      </c>
      <c r="E2154" s="25">
        <f>AVERAGE(B2151:B2154)</f>
        <v/>
      </c>
      <c r="F2154" s="33">
        <f>(Table2634[[#This Row],[4 weeks average]]-B2102)/B2102</f>
        <v/>
      </c>
    </row>
    <row r="2155">
      <c r="A2155" s="34" t="n">
        <v>42443</v>
      </c>
      <c r="B2155" s="25">
        <f>VLOOKUP(Table2634[[#This Row],[Date]],'DB Money Supply'!$A:$D,4)</f>
        <v/>
      </c>
      <c r="C2155" s="31">
        <f>(Table2634[[#This Row],[M1 Money Stock, Billions of Dollars, Weekly, Seasonally Adjusted]]-B2154)/B2154</f>
        <v/>
      </c>
      <c r="D2155" s="35">
        <f>(Table2634[[#This Row],[M1 Money Stock, Billions of Dollars, Weekly, Seasonally Adjusted]]-B2152)/B2152</f>
        <v/>
      </c>
      <c r="E2155" s="25">
        <f>AVERAGE(B2152:B2155)</f>
        <v/>
      </c>
      <c r="F2155" s="33">
        <f>(Table2634[[#This Row],[4 weeks average]]-B2103)/B2103</f>
        <v/>
      </c>
    </row>
    <row r="2156">
      <c r="A2156" s="34" t="n">
        <v>42450</v>
      </c>
      <c r="B2156" s="25">
        <f>VLOOKUP(Table2634[[#This Row],[Date]],'DB Money Supply'!$A:$D,4)</f>
        <v/>
      </c>
      <c r="C2156" s="31">
        <f>(Table2634[[#This Row],[M1 Money Stock, Billions of Dollars, Weekly, Seasonally Adjusted]]-B2155)/B2155</f>
        <v/>
      </c>
      <c r="D2156" s="35">
        <f>(Table2634[[#This Row],[M1 Money Stock, Billions of Dollars, Weekly, Seasonally Adjusted]]-B2153)/B2153</f>
        <v/>
      </c>
      <c r="E2156" s="25">
        <f>AVERAGE(B2153:B2156)</f>
        <v/>
      </c>
      <c r="F2156" s="33">
        <f>(Table2634[[#This Row],[4 weeks average]]-B2104)/B2104</f>
        <v/>
      </c>
    </row>
    <row r="2157">
      <c r="A2157" s="34" t="n">
        <v>42457</v>
      </c>
      <c r="B2157" s="25">
        <f>VLOOKUP(Table2634[[#This Row],[Date]],'DB Money Supply'!$A:$D,4)</f>
        <v/>
      </c>
      <c r="C2157" s="31">
        <f>(Table2634[[#This Row],[M1 Money Stock, Billions of Dollars, Weekly, Seasonally Adjusted]]-B2156)/B2156</f>
        <v/>
      </c>
      <c r="D2157" s="35">
        <f>(Table2634[[#This Row],[M1 Money Stock, Billions of Dollars, Weekly, Seasonally Adjusted]]-B2154)/B2154</f>
        <v/>
      </c>
      <c r="E2157" s="25">
        <f>AVERAGE(B2154:B2157)</f>
        <v/>
      </c>
      <c r="F2157" s="33">
        <f>(Table2634[[#This Row],[4 weeks average]]-B2105)/B2105</f>
        <v/>
      </c>
    </row>
    <row r="2158">
      <c r="A2158" s="34" t="n">
        <v>42464</v>
      </c>
      <c r="B2158" s="25">
        <f>VLOOKUP(Table2634[[#This Row],[Date]],'DB Money Supply'!$A:$D,4)</f>
        <v/>
      </c>
      <c r="C2158" s="31">
        <f>(Table2634[[#This Row],[M1 Money Stock, Billions of Dollars, Weekly, Seasonally Adjusted]]-B2157)/B2157</f>
        <v/>
      </c>
      <c r="D2158" s="35">
        <f>(Table2634[[#This Row],[M1 Money Stock, Billions of Dollars, Weekly, Seasonally Adjusted]]-B2155)/B2155</f>
        <v/>
      </c>
      <c r="E2158" s="25">
        <f>AVERAGE(B2155:B2158)</f>
        <v/>
      </c>
      <c r="F2158" s="33">
        <f>(Table2634[[#This Row],[4 weeks average]]-B2106)/B2106</f>
        <v/>
      </c>
    </row>
    <row r="2159">
      <c r="A2159" s="34" t="n">
        <v>42471</v>
      </c>
      <c r="B2159" s="25">
        <f>VLOOKUP(Table2634[[#This Row],[Date]],'DB Money Supply'!$A:$D,4)</f>
        <v/>
      </c>
      <c r="C2159" s="31">
        <f>(Table2634[[#This Row],[M1 Money Stock, Billions of Dollars, Weekly, Seasonally Adjusted]]-B2158)/B2158</f>
        <v/>
      </c>
      <c r="D2159" s="35">
        <f>(Table2634[[#This Row],[M1 Money Stock, Billions of Dollars, Weekly, Seasonally Adjusted]]-B2156)/B2156</f>
        <v/>
      </c>
      <c r="E2159" s="25">
        <f>AVERAGE(B2156:B2159)</f>
        <v/>
      </c>
      <c r="F2159" s="33">
        <f>(Table2634[[#This Row],[4 weeks average]]-B2107)/B2107</f>
        <v/>
      </c>
    </row>
    <row r="2160">
      <c r="A2160" s="34" t="n">
        <v>42478</v>
      </c>
      <c r="B2160" s="25">
        <f>VLOOKUP(Table2634[[#This Row],[Date]],'DB Money Supply'!$A:$D,4)</f>
        <v/>
      </c>
      <c r="C2160" s="31">
        <f>(Table2634[[#This Row],[M1 Money Stock, Billions of Dollars, Weekly, Seasonally Adjusted]]-B2159)/B2159</f>
        <v/>
      </c>
      <c r="D2160" s="35">
        <f>(Table2634[[#This Row],[M1 Money Stock, Billions of Dollars, Weekly, Seasonally Adjusted]]-B2157)/B2157</f>
        <v/>
      </c>
      <c r="E2160" s="25">
        <f>AVERAGE(B2157:B2160)</f>
        <v/>
      </c>
      <c r="F2160" s="33">
        <f>(Table2634[[#This Row],[4 weeks average]]-B2108)/B2108</f>
        <v/>
      </c>
    </row>
    <row r="2161">
      <c r="A2161" s="34" t="n">
        <v>42485</v>
      </c>
      <c r="B2161" s="25">
        <f>VLOOKUP(Table2634[[#This Row],[Date]],'DB Money Supply'!$A:$D,4)</f>
        <v/>
      </c>
      <c r="C2161" s="31">
        <f>(Table2634[[#This Row],[M1 Money Stock, Billions of Dollars, Weekly, Seasonally Adjusted]]-B2160)/B2160</f>
        <v/>
      </c>
      <c r="D2161" s="35">
        <f>(Table2634[[#This Row],[M1 Money Stock, Billions of Dollars, Weekly, Seasonally Adjusted]]-B2158)/B2158</f>
        <v/>
      </c>
      <c r="E2161" s="25">
        <f>AVERAGE(B2158:B2161)</f>
        <v/>
      </c>
      <c r="F2161" s="33">
        <f>(Table2634[[#This Row],[4 weeks average]]-B2109)/B2109</f>
        <v/>
      </c>
    </row>
    <row r="2162">
      <c r="A2162" s="34" t="n">
        <v>42492</v>
      </c>
      <c r="B2162" s="25">
        <f>VLOOKUP(Table2634[[#This Row],[Date]],'DB Money Supply'!$A:$D,4)</f>
        <v/>
      </c>
      <c r="C2162" s="31">
        <f>(Table2634[[#This Row],[M1 Money Stock, Billions of Dollars, Weekly, Seasonally Adjusted]]-B2161)/B2161</f>
        <v/>
      </c>
      <c r="D2162" s="35">
        <f>(Table2634[[#This Row],[M1 Money Stock, Billions of Dollars, Weekly, Seasonally Adjusted]]-B2159)/B2159</f>
        <v/>
      </c>
      <c r="E2162" s="25">
        <f>AVERAGE(B2159:B2162)</f>
        <v/>
      </c>
      <c r="F2162" s="33">
        <f>(Table2634[[#This Row],[4 weeks average]]-B2110)/B2110</f>
        <v/>
      </c>
    </row>
    <row r="2163">
      <c r="A2163" s="34" t="n">
        <v>42499</v>
      </c>
      <c r="B2163" s="25">
        <f>VLOOKUP(Table2634[[#This Row],[Date]],'DB Money Supply'!$A:$D,4)</f>
        <v/>
      </c>
      <c r="C2163" s="31">
        <f>(Table2634[[#This Row],[M1 Money Stock, Billions of Dollars, Weekly, Seasonally Adjusted]]-B2162)/B2162</f>
        <v/>
      </c>
      <c r="D2163" s="35">
        <f>(Table2634[[#This Row],[M1 Money Stock, Billions of Dollars, Weekly, Seasonally Adjusted]]-B2160)/B2160</f>
        <v/>
      </c>
      <c r="E2163" s="25">
        <f>AVERAGE(B2160:B2163)</f>
        <v/>
      </c>
      <c r="F2163" s="33">
        <f>(Table2634[[#This Row],[4 weeks average]]-B2111)/B2111</f>
        <v/>
      </c>
    </row>
    <row r="2164">
      <c r="A2164" s="34" t="n">
        <v>42506</v>
      </c>
      <c r="B2164" s="25">
        <f>VLOOKUP(Table2634[[#This Row],[Date]],'DB Money Supply'!$A:$D,4)</f>
        <v/>
      </c>
      <c r="C2164" s="31">
        <f>(Table2634[[#This Row],[M1 Money Stock, Billions of Dollars, Weekly, Seasonally Adjusted]]-B2163)/B2163</f>
        <v/>
      </c>
      <c r="D2164" s="35">
        <f>(Table2634[[#This Row],[M1 Money Stock, Billions of Dollars, Weekly, Seasonally Adjusted]]-B2161)/B2161</f>
        <v/>
      </c>
      <c r="E2164" s="25">
        <f>AVERAGE(B2161:B2164)</f>
        <v/>
      </c>
      <c r="F2164" s="33">
        <f>(Table2634[[#This Row],[4 weeks average]]-B2112)/B2112</f>
        <v/>
      </c>
    </row>
    <row r="2165">
      <c r="A2165" s="34" t="n">
        <v>42513</v>
      </c>
      <c r="B2165" s="25">
        <f>VLOOKUP(Table2634[[#This Row],[Date]],'DB Money Supply'!$A:$D,4)</f>
        <v/>
      </c>
      <c r="C2165" s="31">
        <f>(Table2634[[#This Row],[M1 Money Stock, Billions of Dollars, Weekly, Seasonally Adjusted]]-B2164)/B2164</f>
        <v/>
      </c>
      <c r="D2165" s="35">
        <f>(Table2634[[#This Row],[M1 Money Stock, Billions of Dollars, Weekly, Seasonally Adjusted]]-B2162)/B2162</f>
        <v/>
      </c>
      <c r="E2165" s="25">
        <f>AVERAGE(B2162:B2165)</f>
        <v/>
      </c>
      <c r="F2165" s="33">
        <f>(Table2634[[#This Row],[4 weeks average]]-B2113)/B2113</f>
        <v/>
      </c>
    </row>
    <row r="2166">
      <c r="A2166" s="34" t="n">
        <v>42520</v>
      </c>
      <c r="B2166" s="25">
        <f>VLOOKUP(Table2634[[#This Row],[Date]],'DB Money Supply'!$A:$D,4)</f>
        <v/>
      </c>
      <c r="C2166" s="31">
        <f>(Table2634[[#This Row],[M1 Money Stock, Billions of Dollars, Weekly, Seasonally Adjusted]]-B2165)/B2165</f>
        <v/>
      </c>
      <c r="D2166" s="35">
        <f>(Table2634[[#This Row],[M1 Money Stock, Billions of Dollars, Weekly, Seasonally Adjusted]]-B2163)/B2163</f>
        <v/>
      </c>
      <c r="E2166" s="25">
        <f>AVERAGE(B2163:B2166)</f>
        <v/>
      </c>
      <c r="F2166" s="33">
        <f>(Table2634[[#This Row],[4 weeks average]]-B2114)/B2114</f>
        <v/>
      </c>
    </row>
    <row r="2167">
      <c r="A2167" s="34" t="n">
        <v>42527</v>
      </c>
      <c r="B2167" s="25">
        <f>VLOOKUP(Table2634[[#This Row],[Date]],'DB Money Supply'!$A:$D,4)</f>
        <v/>
      </c>
      <c r="C2167" s="31">
        <f>(Table2634[[#This Row],[M1 Money Stock, Billions of Dollars, Weekly, Seasonally Adjusted]]-B2166)/B2166</f>
        <v/>
      </c>
      <c r="D2167" s="35">
        <f>(Table2634[[#This Row],[M1 Money Stock, Billions of Dollars, Weekly, Seasonally Adjusted]]-B2164)/B2164</f>
        <v/>
      </c>
      <c r="E2167" s="25">
        <f>AVERAGE(B2164:B2167)</f>
        <v/>
      </c>
      <c r="F2167" s="33">
        <f>(Table2634[[#This Row],[4 weeks average]]-B2115)/B2115</f>
        <v/>
      </c>
    </row>
    <row r="2168">
      <c r="A2168" s="34" t="n">
        <v>42534</v>
      </c>
      <c r="B2168" s="25">
        <f>VLOOKUP(Table2634[[#This Row],[Date]],'DB Money Supply'!$A:$D,4)</f>
        <v/>
      </c>
      <c r="C2168" s="31">
        <f>(Table2634[[#This Row],[M1 Money Stock, Billions of Dollars, Weekly, Seasonally Adjusted]]-B2167)/B2167</f>
        <v/>
      </c>
      <c r="D2168" s="35">
        <f>(Table2634[[#This Row],[M1 Money Stock, Billions of Dollars, Weekly, Seasonally Adjusted]]-B2165)/B2165</f>
        <v/>
      </c>
      <c r="E2168" s="25">
        <f>AVERAGE(B2165:B2168)</f>
        <v/>
      </c>
      <c r="F2168" s="33">
        <f>(Table2634[[#This Row],[4 weeks average]]-B2116)/B2116</f>
        <v/>
      </c>
    </row>
    <row r="2169">
      <c r="A2169" s="34" t="n">
        <v>42541</v>
      </c>
      <c r="B2169" s="25">
        <f>VLOOKUP(Table2634[[#This Row],[Date]],'DB Money Supply'!$A:$D,4)</f>
        <v/>
      </c>
      <c r="C2169" s="31">
        <f>(Table2634[[#This Row],[M1 Money Stock, Billions of Dollars, Weekly, Seasonally Adjusted]]-B2168)/B2168</f>
        <v/>
      </c>
      <c r="D2169" s="35">
        <f>(Table2634[[#This Row],[M1 Money Stock, Billions of Dollars, Weekly, Seasonally Adjusted]]-B2166)/B2166</f>
        <v/>
      </c>
      <c r="E2169" s="25">
        <f>AVERAGE(B2166:B2169)</f>
        <v/>
      </c>
      <c r="F2169" s="33">
        <f>(Table2634[[#This Row],[4 weeks average]]-B2117)/B2117</f>
        <v/>
      </c>
    </row>
    <row r="2170">
      <c r="A2170" s="34" t="n">
        <v>42548</v>
      </c>
      <c r="B2170" s="25">
        <f>VLOOKUP(Table2634[[#This Row],[Date]],'DB Money Supply'!$A:$D,4)</f>
        <v/>
      </c>
      <c r="C2170" s="31">
        <f>(Table2634[[#This Row],[M1 Money Stock, Billions of Dollars, Weekly, Seasonally Adjusted]]-B2169)/B2169</f>
        <v/>
      </c>
      <c r="D2170" s="35">
        <f>(Table2634[[#This Row],[M1 Money Stock, Billions of Dollars, Weekly, Seasonally Adjusted]]-B2167)/B2167</f>
        <v/>
      </c>
      <c r="E2170" s="25">
        <f>AVERAGE(B2167:B2170)</f>
        <v/>
      </c>
      <c r="F2170" s="33">
        <f>(Table2634[[#This Row],[4 weeks average]]-B2118)/B2118</f>
        <v/>
      </c>
    </row>
    <row r="2171">
      <c r="A2171" s="34" t="n">
        <v>42555</v>
      </c>
      <c r="B2171" s="25">
        <f>VLOOKUP(Table2634[[#This Row],[Date]],'DB Money Supply'!$A:$D,4)</f>
        <v/>
      </c>
      <c r="C2171" s="31">
        <f>(Table2634[[#This Row],[M1 Money Stock, Billions of Dollars, Weekly, Seasonally Adjusted]]-B2170)/B2170</f>
        <v/>
      </c>
      <c r="D2171" s="35">
        <f>(Table2634[[#This Row],[M1 Money Stock, Billions of Dollars, Weekly, Seasonally Adjusted]]-B2168)/B2168</f>
        <v/>
      </c>
      <c r="E2171" s="25">
        <f>AVERAGE(B2168:B2171)</f>
        <v/>
      </c>
      <c r="F2171" s="33">
        <f>(Table2634[[#This Row],[4 weeks average]]-B2119)/B2119</f>
        <v/>
      </c>
    </row>
    <row r="2172">
      <c r="A2172" s="34" t="n">
        <v>42562</v>
      </c>
      <c r="B2172" s="25">
        <f>VLOOKUP(Table2634[[#This Row],[Date]],'DB Money Supply'!$A:$D,4)</f>
        <v/>
      </c>
      <c r="C2172" s="31">
        <f>(Table2634[[#This Row],[M1 Money Stock, Billions of Dollars, Weekly, Seasonally Adjusted]]-B2171)/B2171</f>
        <v/>
      </c>
      <c r="D2172" s="35">
        <f>(Table2634[[#This Row],[M1 Money Stock, Billions of Dollars, Weekly, Seasonally Adjusted]]-B2169)/B2169</f>
        <v/>
      </c>
      <c r="E2172" s="25">
        <f>AVERAGE(B2169:B2172)</f>
        <v/>
      </c>
      <c r="F2172" s="33">
        <f>(Table2634[[#This Row],[4 weeks average]]-B2120)/B2120</f>
        <v/>
      </c>
    </row>
    <row r="2173">
      <c r="A2173" s="34" t="n">
        <v>42569</v>
      </c>
      <c r="B2173" s="25">
        <f>VLOOKUP(Table2634[[#This Row],[Date]],'DB Money Supply'!$A:$D,4)</f>
        <v/>
      </c>
      <c r="C2173" s="31">
        <f>(Table2634[[#This Row],[M1 Money Stock, Billions of Dollars, Weekly, Seasonally Adjusted]]-B2172)/B2172</f>
        <v/>
      </c>
      <c r="D2173" s="35">
        <f>(Table2634[[#This Row],[M1 Money Stock, Billions of Dollars, Weekly, Seasonally Adjusted]]-B2170)/B2170</f>
        <v/>
      </c>
      <c r="E2173" s="25">
        <f>AVERAGE(B2170:B2173)</f>
        <v/>
      </c>
      <c r="F2173" s="33">
        <f>(Table2634[[#This Row],[4 weeks average]]-B2121)/B2121</f>
        <v/>
      </c>
    </row>
    <row r="2174">
      <c r="A2174" s="34" t="n">
        <v>42576</v>
      </c>
      <c r="B2174" s="25">
        <f>VLOOKUP(Table2634[[#This Row],[Date]],'DB Money Supply'!$A:$D,4)</f>
        <v/>
      </c>
      <c r="C2174" s="31">
        <f>(Table2634[[#This Row],[M1 Money Stock, Billions of Dollars, Weekly, Seasonally Adjusted]]-B2173)/B2173</f>
        <v/>
      </c>
      <c r="D2174" s="35">
        <f>(Table2634[[#This Row],[M1 Money Stock, Billions of Dollars, Weekly, Seasonally Adjusted]]-B2171)/B2171</f>
        <v/>
      </c>
      <c r="E2174" s="25">
        <f>AVERAGE(B2171:B2174)</f>
        <v/>
      </c>
      <c r="F2174" s="33">
        <f>(Table2634[[#This Row],[4 weeks average]]-B2122)/B2122</f>
        <v/>
      </c>
    </row>
    <row r="2175">
      <c r="A2175" s="34" t="n">
        <v>42583</v>
      </c>
      <c r="B2175" s="25">
        <f>VLOOKUP(Table2634[[#This Row],[Date]],'DB Money Supply'!$A:$D,4)</f>
        <v/>
      </c>
      <c r="C2175" s="31">
        <f>(Table2634[[#This Row],[M1 Money Stock, Billions of Dollars, Weekly, Seasonally Adjusted]]-B2174)/B2174</f>
        <v/>
      </c>
      <c r="D2175" s="35">
        <f>(Table2634[[#This Row],[M1 Money Stock, Billions of Dollars, Weekly, Seasonally Adjusted]]-B2172)/B2172</f>
        <v/>
      </c>
      <c r="E2175" s="25">
        <f>AVERAGE(B2172:B2175)</f>
        <v/>
      </c>
      <c r="F2175" s="33">
        <f>(Table2634[[#This Row],[4 weeks average]]-B2123)/B2123</f>
        <v/>
      </c>
    </row>
    <row r="2176">
      <c r="A2176" s="34" t="n">
        <v>42590</v>
      </c>
      <c r="B2176" s="25">
        <f>VLOOKUP(Table2634[[#This Row],[Date]],'DB Money Supply'!$A:$D,4)</f>
        <v/>
      </c>
      <c r="C2176" s="31">
        <f>(Table2634[[#This Row],[M1 Money Stock, Billions of Dollars, Weekly, Seasonally Adjusted]]-B2175)/B2175</f>
        <v/>
      </c>
      <c r="D2176" s="35">
        <f>(Table2634[[#This Row],[M1 Money Stock, Billions of Dollars, Weekly, Seasonally Adjusted]]-B2173)/B2173</f>
        <v/>
      </c>
      <c r="E2176" s="25">
        <f>AVERAGE(B2173:B2176)</f>
        <v/>
      </c>
      <c r="F2176" s="33">
        <f>(Table2634[[#This Row],[4 weeks average]]-B2124)/B2124</f>
        <v/>
      </c>
    </row>
    <row r="2177">
      <c r="A2177" s="34" t="n">
        <v>42597</v>
      </c>
      <c r="B2177" s="25">
        <f>VLOOKUP(Table2634[[#This Row],[Date]],'DB Money Supply'!$A:$D,4)</f>
        <v/>
      </c>
      <c r="C2177" s="31">
        <f>(Table2634[[#This Row],[M1 Money Stock, Billions of Dollars, Weekly, Seasonally Adjusted]]-B2176)/B2176</f>
        <v/>
      </c>
      <c r="D2177" s="35">
        <f>(Table2634[[#This Row],[M1 Money Stock, Billions of Dollars, Weekly, Seasonally Adjusted]]-B2174)/B2174</f>
        <v/>
      </c>
      <c r="E2177" s="25">
        <f>AVERAGE(B2174:B2177)</f>
        <v/>
      </c>
      <c r="F2177" s="33">
        <f>(Table2634[[#This Row],[4 weeks average]]-B2125)/B2125</f>
        <v/>
      </c>
    </row>
    <row r="2178">
      <c r="A2178" s="34" t="n">
        <v>42604</v>
      </c>
      <c r="B2178" s="25">
        <f>VLOOKUP(Table2634[[#This Row],[Date]],'DB Money Supply'!$A:$D,4)</f>
        <v/>
      </c>
      <c r="C2178" s="31">
        <f>(Table2634[[#This Row],[M1 Money Stock, Billions of Dollars, Weekly, Seasonally Adjusted]]-B2177)/B2177</f>
        <v/>
      </c>
      <c r="D2178" s="35">
        <f>(Table2634[[#This Row],[M1 Money Stock, Billions of Dollars, Weekly, Seasonally Adjusted]]-B2175)/B2175</f>
        <v/>
      </c>
      <c r="E2178" s="25">
        <f>AVERAGE(B2175:B2178)</f>
        <v/>
      </c>
      <c r="F2178" s="33">
        <f>(Table2634[[#This Row],[4 weeks average]]-B2126)/B2126</f>
        <v/>
      </c>
    </row>
    <row r="2179">
      <c r="A2179" s="34" t="n">
        <v>42611</v>
      </c>
      <c r="B2179" s="25">
        <f>VLOOKUP(Table2634[[#This Row],[Date]],'DB Money Supply'!$A:$D,4)</f>
        <v/>
      </c>
      <c r="C2179" s="31">
        <f>(Table2634[[#This Row],[M1 Money Stock, Billions of Dollars, Weekly, Seasonally Adjusted]]-B2178)/B2178</f>
        <v/>
      </c>
      <c r="D2179" s="35">
        <f>(Table2634[[#This Row],[M1 Money Stock, Billions of Dollars, Weekly, Seasonally Adjusted]]-B2176)/B2176</f>
        <v/>
      </c>
      <c r="E2179" s="25">
        <f>AVERAGE(B2176:B2179)</f>
        <v/>
      </c>
      <c r="F2179" s="33">
        <f>(Table2634[[#This Row],[4 weeks average]]-B2127)/B2127</f>
        <v/>
      </c>
    </row>
    <row r="2180">
      <c r="A2180" s="34" t="n">
        <v>42618</v>
      </c>
      <c r="B2180" s="25">
        <f>VLOOKUP(Table2634[[#This Row],[Date]],'DB Money Supply'!$A:$D,4)</f>
        <v/>
      </c>
      <c r="C2180" s="31">
        <f>(Table2634[[#This Row],[M1 Money Stock, Billions of Dollars, Weekly, Seasonally Adjusted]]-B2179)/B2179</f>
        <v/>
      </c>
      <c r="D2180" s="35">
        <f>(Table2634[[#This Row],[M1 Money Stock, Billions of Dollars, Weekly, Seasonally Adjusted]]-B2177)/B2177</f>
        <v/>
      </c>
      <c r="E2180" s="25">
        <f>AVERAGE(B2177:B2180)</f>
        <v/>
      </c>
      <c r="F2180" s="33">
        <f>(Table2634[[#This Row],[4 weeks average]]-B2128)/B2128</f>
        <v/>
      </c>
    </row>
    <row r="2181">
      <c r="A2181" s="34" t="n">
        <v>42625</v>
      </c>
      <c r="B2181" s="25">
        <f>VLOOKUP(Table2634[[#This Row],[Date]],'DB Money Supply'!$A:$D,4)</f>
        <v/>
      </c>
      <c r="C2181" s="31">
        <f>(Table2634[[#This Row],[M1 Money Stock, Billions of Dollars, Weekly, Seasonally Adjusted]]-B2180)/B2180</f>
        <v/>
      </c>
      <c r="D2181" s="35">
        <f>(Table2634[[#This Row],[M1 Money Stock, Billions of Dollars, Weekly, Seasonally Adjusted]]-B2178)/B2178</f>
        <v/>
      </c>
      <c r="E2181" s="25">
        <f>AVERAGE(B2178:B2181)</f>
        <v/>
      </c>
      <c r="F2181" s="33">
        <f>(Table2634[[#This Row],[4 weeks average]]-B2129)/B2129</f>
        <v/>
      </c>
    </row>
    <row r="2182">
      <c r="A2182" s="34" t="n">
        <v>42632</v>
      </c>
      <c r="B2182" s="25">
        <f>VLOOKUP(Table2634[[#This Row],[Date]],'DB Money Supply'!$A:$D,4)</f>
        <v/>
      </c>
      <c r="C2182" s="31">
        <f>(Table2634[[#This Row],[M1 Money Stock, Billions of Dollars, Weekly, Seasonally Adjusted]]-B2181)/B2181</f>
        <v/>
      </c>
      <c r="D2182" s="35">
        <f>(Table2634[[#This Row],[M1 Money Stock, Billions of Dollars, Weekly, Seasonally Adjusted]]-B2179)/B2179</f>
        <v/>
      </c>
      <c r="E2182" s="25">
        <f>AVERAGE(B2179:B2182)</f>
        <v/>
      </c>
      <c r="F2182" s="33">
        <f>(Table2634[[#This Row],[4 weeks average]]-B2130)/B2130</f>
        <v/>
      </c>
    </row>
    <row r="2183">
      <c r="A2183" s="34" t="n">
        <v>42639</v>
      </c>
      <c r="B2183" s="25">
        <f>VLOOKUP(Table2634[[#This Row],[Date]],'DB Money Supply'!$A:$D,4)</f>
        <v/>
      </c>
      <c r="C2183" s="31">
        <f>(Table2634[[#This Row],[M1 Money Stock, Billions of Dollars, Weekly, Seasonally Adjusted]]-B2182)/B2182</f>
        <v/>
      </c>
      <c r="D2183" s="35">
        <f>(Table2634[[#This Row],[M1 Money Stock, Billions of Dollars, Weekly, Seasonally Adjusted]]-B2180)/B2180</f>
        <v/>
      </c>
      <c r="E2183" s="25">
        <f>AVERAGE(B2180:B2183)</f>
        <v/>
      </c>
      <c r="F2183" s="33">
        <f>(Table2634[[#This Row],[4 weeks average]]-B2131)/B2131</f>
        <v/>
      </c>
    </row>
    <row r="2184">
      <c r="A2184" s="34" t="n">
        <v>42646</v>
      </c>
      <c r="B2184" s="25">
        <f>VLOOKUP(Table2634[[#This Row],[Date]],'DB Money Supply'!$A:$D,4)</f>
        <v/>
      </c>
      <c r="C2184" s="31">
        <f>(Table2634[[#This Row],[M1 Money Stock, Billions of Dollars, Weekly, Seasonally Adjusted]]-B2183)/B2183</f>
        <v/>
      </c>
      <c r="D2184" s="35">
        <f>(Table2634[[#This Row],[M1 Money Stock, Billions of Dollars, Weekly, Seasonally Adjusted]]-B2181)/B2181</f>
        <v/>
      </c>
      <c r="E2184" s="25">
        <f>AVERAGE(B2181:B2184)</f>
        <v/>
      </c>
      <c r="F2184" s="33">
        <f>(Table2634[[#This Row],[4 weeks average]]-B2132)/B2132</f>
        <v/>
      </c>
    </row>
    <row r="2185">
      <c r="A2185" s="34" t="n">
        <v>42653</v>
      </c>
      <c r="B2185" s="25">
        <f>VLOOKUP(Table2634[[#This Row],[Date]],'DB Money Supply'!$A:$D,4)</f>
        <v/>
      </c>
      <c r="C2185" s="31">
        <f>(Table2634[[#This Row],[M1 Money Stock, Billions of Dollars, Weekly, Seasonally Adjusted]]-B2184)/B2184</f>
        <v/>
      </c>
      <c r="D2185" s="35">
        <f>(Table2634[[#This Row],[M1 Money Stock, Billions of Dollars, Weekly, Seasonally Adjusted]]-B2182)/B2182</f>
        <v/>
      </c>
      <c r="E2185" s="25">
        <f>AVERAGE(B2182:B2185)</f>
        <v/>
      </c>
      <c r="F2185" s="33">
        <f>(Table2634[[#This Row],[4 weeks average]]-B2133)/B2133</f>
        <v/>
      </c>
    </row>
    <row r="2186">
      <c r="A2186" s="34" t="n">
        <v>42660</v>
      </c>
      <c r="B2186" s="25">
        <f>VLOOKUP(Table2634[[#This Row],[Date]],'DB Money Supply'!$A:$D,4)</f>
        <v/>
      </c>
      <c r="C2186" s="31">
        <f>(Table2634[[#This Row],[M1 Money Stock, Billions of Dollars, Weekly, Seasonally Adjusted]]-B2185)/B2185</f>
        <v/>
      </c>
      <c r="D2186" s="35">
        <f>(Table2634[[#This Row],[M1 Money Stock, Billions of Dollars, Weekly, Seasonally Adjusted]]-B2183)/B2183</f>
        <v/>
      </c>
      <c r="E2186" s="25">
        <f>AVERAGE(B2183:B2186)</f>
        <v/>
      </c>
      <c r="F2186" s="33">
        <f>(Table2634[[#This Row],[4 weeks average]]-B2134)/B2134</f>
        <v/>
      </c>
    </row>
    <row r="2187">
      <c r="A2187" s="34" t="n">
        <v>42667</v>
      </c>
      <c r="B2187" s="25">
        <f>VLOOKUP(Table2634[[#This Row],[Date]],'DB Money Supply'!$A:$D,4)</f>
        <v/>
      </c>
      <c r="C2187" s="31">
        <f>(Table2634[[#This Row],[M1 Money Stock, Billions of Dollars, Weekly, Seasonally Adjusted]]-B2186)/B2186</f>
        <v/>
      </c>
      <c r="D2187" s="35">
        <f>(Table2634[[#This Row],[M1 Money Stock, Billions of Dollars, Weekly, Seasonally Adjusted]]-B2184)/B2184</f>
        <v/>
      </c>
      <c r="E2187" s="25">
        <f>AVERAGE(B2184:B2187)</f>
        <v/>
      </c>
      <c r="F2187" s="33">
        <f>(Table2634[[#This Row],[4 weeks average]]-B2135)/B2135</f>
        <v/>
      </c>
    </row>
    <row r="2188">
      <c r="A2188" s="34" t="n">
        <v>42674</v>
      </c>
      <c r="B2188" s="25">
        <f>VLOOKUP(Table2634[[#This Row],[Date]],'DB Money Supply'!$A:$D,4)</f>
        <v/>
      </c>
      <c r="C2188" s="31">
        <f>(Table2634[[#This Row],[M1 Money Stock, Billions of Dollars, Weekly, Seasonally Adjusted]]-B2187)/B2187</f>
        <v/>
      </c>
      <c r="D2188" s="35">
        <f>(Table2634[[#This Row],[M1 Money Stock, Billions of Dollars, Weekly, Seasonally Adjusted]]-B2185)/B2185</f>
        <v/>
      </c>
      <c r="E2188" s="25">
        <f>AVERAGE(B2185:B2188)</f>
        <v/>
      </c>
      <c r="F2188" s="33">
        <f>(Table2634[[#This Row],[4 weeks average]]-B2136)/B2136</f>
        <v/>
      </c>
    </row>
    <row r="2189">
      <c r="A2189" s="34" t="n">
        <v>42681</v>
      </c>
      <c r="B2189" s="25">
        <f>VLOOKUP(Table2634[[#This Row],[Date]],'DB Money Supply'!$A:$D,4)</f>
        <v/>
      </c>
      <c r="C2189" s="31">
        <f>(Table2634[[#This Row],[M1 Money Stock, Billions of Dollars, Weekly, Seasonally Adjusted]]-B2188)/B2188</f>
        <v/>
      </c>
      <c r="D2189" s="35">
        <f>(Table2634[[#This Row],[M1 Money Stock, Billions of Dollars, Weekly, Seasonally Adjusted]]-B2186)/B2186</f>
        <v/>
      </c>
      <c r="E2189" s="25">
        <f>AVERAGE(B2186:B2189)</f>
        <v/>
      </c>
      <c r="F2189" s="33">
        <f>(Table2634[[#This Row],[4 weeks average]]-B2137)/B2137</f>
        <v/>
      </c>
    </row>
    <row r="2190">
      <c r="A2190" s="34" t="n">
        <v>42688</v>
      </c>
      <c r="B2190" s="25">
        <f>VLOOKUP(Table2634[[#This Row],[Date]],'DB Money Supply'!$A:$D,4)</f>
        <v/>
      </c>
      <c r="C2190" s="31">
        <f>(Table2634[[#This Row],[M1 Money Stock, Billions of Dollars, Weekly, Seasonally Adjusted]]-B2189)/B2189</f>
        <v/>
      </c>
      <c r="D2190" s="35">
        <f>(Table2634[[#This Row],[M1 Money Stock, Billions of Dollars, Weekly, Seasonally Adjusted]]-B2187)/B2187</f>
        <v/>
      </c>
      <c r="E2190" s="25">
        <f>AVERAGE(B2187:B2190)</f>
        <v/>
      </c>
      <c r="F2190" s="33">
        <f>(Table2634[[#This Row],[4 weeks average]]-B2138)/B2138</f>
        <v/>
      </c>
    </row>
    <row r="2191">
      <c r="A2191" s="34" t="n">
        <v>42695</v>
      </c>
      <c r="B2191" s="25">
        <f>VLOOKUP(Table2634[[#This Row],[Date]],'DB Money Supply'!$A:$D,4)</f>
        <v/>
      </c>
      <c r="C2191" s="31">
        <f>(Table2634[[#This Row],[M1 Money Stock, Billions of Dollars, Weekly, Seasonally Adjusted]]-B2190)/B2190</f>
        <v/>
      </c>
      <c r="D2191" s="35">
        <f>(Table2634[[#This Row],[M1 Money Stock, Billions of Dollars, Weekly, Seasonally Adjusted]]-B2188)/B2188</f>
        <v/>
      </c>
      <c r="E2191" s="25">
        <f>AVERAGE(B2188:B2191)</f>
        <v/>
      </c>
      <c r="F2191" s="33">
        <f>(Table2634[[#This Row],[4 weeks average]]-B2139)/B2139</f>
        <v/>
      </c>
    </row>
    <row r="2192">
      <c r="A2192" s="34" t="n">
        <v>42702</v>
      </c>
      <c r="B2192" s="25">
        <f>VLOOKUP(Table2634[[#This Row],[Date]],'DB Money Supply'!$A:$D,4)</f>
        <v/>
      </c>
      <c r="C2192" s="31">
        <f>(Table2634[[#This Row],[M1 Money Stock, Billions of Dollars, Weekly, Seasonally Adjusted]]-B2191)/B2191</f>
        <v/>
      </c>
      <c r="D2192" s="35">
        <f>(Table2634[[#This Row],[M1 Money Stock, Billions of Dollars, Weekly, Seasonally Adjusted]]-B2189)/B2189</f>
        <v/>
      </c>
      <c r="E2192" s="25">
        <f>AVERAGE(B2189:B2192)</f>
        <v/>
      </c>
      <c r="F2192" s="33">
        <f>(Table2634[[#This Row],[4 weeks average]]-B2140)/B2140</f>
        <v/>
      </c>
    </row>
    <row r="2193">
      <c r="A2193" s="34" t="n">
        <v>42709</v>
      </c>
      <c r="B2193" s="25">
        <f>VLOOKUP(Table2634[[#This Row],[Date]],'DB Money Supply'!$A:$D,4)</f>
        <v/>
      </c>
      <c r="C2193" s="31">
        <f>(Table2634[[#This Row],[M1 Money Stock, Billions of Dollars, Weekly, Seasonally Adjusted]]-B2192)/B2192</f>
        <v/>
      </c>
      <c r="D2193" s="35">
        <f>(Table2634[[#This Row],[M1 Money Stock, Billions of Dollars, Weekly, Seasonally Adjusted]]-B2190)/B2190</f>
        <v/>
      </c>
      <c r="E2193" s="25">
        <f>AVERAGE(B2190:B2193)</f>
        <v/>
      </c>
      <c r="F2193" s="33">
        <f>(Table2634[[#This Row],[4 weeks average]]-B2141)/B2141</f>
        <v/>
      </c>
    </row>
    <row r="2194">
      <c r="A2194" s="34" t="n">
        <v>42716</v>
      </c>
      <c r="B2194" s="25">
        <f>VLOOKUP(Table2634[[#This Row],[Date]],'DB Money Supply'!$A:$D,4)</f>
        <v/>
      </c>
      <c r="C2194" s="31">
        <f>(Table2634[[#This Row],[M1 Money Stock, Billions of Dollars, Weekly, Seasonally Adjusted]]-B2193)/B2193</f>
        <v/>
      </c>
      <c r="D2194" s="35">
        <f>(Table2634[[#This Row],[M1 Money Stock, Billions of Dollars, Weekly, Seasonally Adjusted]]-B2191)/B2191</f>
        <v/>
      </c>
      <c r="E2194" s="25">
        <f>AVERAGE(B2191:B2194)</f>
        <v/>
      </c>
      <c r="F2194" s="33">
        <f>(Table2634[[#This Row],[4 weeks average]]-B2142)/B2142</f>
        <v/>
      </c>
    </row>
    <row r="2195">
      <c r="A2195" s="34" t="n">
        <v>42723</v>
      </c>
      <c r="B2195" s="25">
        <f>VLOOKUP(Table2634[[#This Row],[Date]],'DB Money Supply'!$A:$D,4)</f>
        <v/>
      </c>
      <c r="C2195" s="31">
        <f>(Table2634[[#This Row],[M1 Money Stock, Billions of Dollars, Weekly, Seasonally Adjusted]]-B2194)/B2194</f>
        <v/>
      </c>
      <c r="D2195" s="35">
        <f>(Table2634[[#This Row],[M1 Money Stock, Billions of Dollars, Weekly, Seasonally Adjusted]]-B2192)/B2192</f>
        <v/>
      </c>
      <c r="E2195" s="25">
        <f>AVERAGE(B2192:B2195)</f>
        <v/>
      </c>
      <c r="F2195" s="33">
        <f>(Table2634[[#This Row],[4 weeks average]]-B2143)/B2143</f>
        <v/>
      </c>
    </row>
    <row r="2196">
      <c r="A2196" s="34" t="n">
        <v>42730</v>
      </c>
      <c r="B2196" s="25">
        <f>VLOOKUP(Table2634[[#This Row],[Date]],'DB Money Supply'!$A:$D,4)</f>
        <v/>
      </c>
      <c r="C2196" s="31">
        <f>(Table2634[[#This Row],[M1 Money Stock, Billions of Dollars, Weekly, Seasonally Adjusted]]-B2195)/B2195</f>
        <v/>
      </c>
      <c r="D2196" s="35">
        <f>(Table2634[[#This Row],[M1 Money Stock, Billions of Dollars, Weekly, Seasonally Adjusted]]-B2193)/B2193</f>
        <v/>
      </c>
      <c r="E2196" s="25">
        <f>AVERAGE(B2193:B2196)</f>
        <v/>
      </c>
      <c r="F2196" s="33">
        <f>(Table2634[[#This Row],[4 weeks average]]-B2144)/B2144</f>
        <v/>
      </c>
    </row>
    <row r="2197">
      <c r="A2197" s="34" t="n">
        <v>42737</v>
      </c>
      <c r="B2197" s="25">
        <f>VLOOKUP(Table2634[[#This Row],[Date]],'DB Money Supply'!$A:$D,4)</f>
        <v/>
      </c>
      <c r="C2197" s="31">
        <f>(Table2634[[#This Row],[M1 Money Stock, Billions of Dollars, Weekly, Seasonally Adjusted]]-B2196)/B2196</f>
        <v/>
      </c>
      <c r="D2197" s="35">
        <f>(Table2634[[#This Row],[M1 Money Stock, Billions of Dollars, Weekly, Seasonally Adjusted]]-B2194)/B2194</f>
        <v/>
      </c>
      <c r="E2197" s="25">
        <f>AVERAGE(B2194:B2197)</f>
        <v/>
      </c>
      <c r="F2197" s="33">
        <f>(Table2634[[#This Row],[4 weeks average]]-B2145)/B2145</f>
        <v/>
      </c>
    </row>
    <row r="2198">
      <c r="A2198" s="34" t="n">
        <v>42744</v>
      </c>
      <c r="B2198" s="25">
        <f>VLOOKUP(Table2634[[#This Row],[Date]],'DB Money Supply'!$A:$D,4)</f>
        <v/>
      </c>
      <c r="C2198" s="31">
        <f>(Table2634[[#This Row],[M1 Money Stock, Billions of Dollars, Weekly, Seasonally Adjusted]]-B2197)/B2197</f>
        <v/>
      </c>
      <c r="D2198" s="35">
        <f>(Table2634[[#This Row],[M1 Money Stock, Billions of Dollars, Weekly, Seasonally Adjusted]]-B2195)/B2195</f>
        <v/>
      </c>
      <c r="E2198" s="25">
        <f>AVERAGE(B2195:B2198)</f>
        <v/>
      </c>
      <c r="F2198" s="33">
        <f>(Table2634[[#This Row],[4 weeks average]]-B2146)/B2146</f>
        <v/>
      </c>
    </row>
    <row r="2199">
      <c r="A2199" s="34" t="n">
        <v>42751</v>
      </c>
      <c r="B2199" s="25">
        <f>VLOOKUP(Table2634[[#This Row],[Date]],'DB Money Supply'!$A:$D,4)</f>
        <v/>
      </c>
      <c r="C2199" s="31">
        <f>(Table2634[[#This Row],[M1 Money Stock, Billions of Dollars, Weekly, Seasonally Adjusted]]-B2198)/B2198</f>
        <v/>
      </c>
      <c r="D2199" s="35">
        <f>(Table2634[[#This Row],[M1 Money Stock, Billions of Dollars, Weekly, Seasonally Adjusted]]-B2196)/B2196</f>
        <v/>
      </c>
      <c r="E2199" s="25">
        <f>AVERAGE(B2196:B2199)</f>
        <v/>
      </c>
      <c r="F2199" s="33">
        <f>(Table2634[[#This Row],[4 weeks average]]-B2147)/B2147</f>
        <v/>
      </c>
    </row>
    <row r="2200">
      <c r="A2200" s="34" t="n">
        <v>42758</v>
      </c>
      <c r="B2200" s="25">
        <f>VLOOKUP(Table2634[[#This Row],[Date]],'DB Money Supply'!$A:$D,4)</f>
        <v/>
      </c>
      <c r="C2200" s="31">
        <f>(Table2634[[#This Row],[M1 Money Stock, Billions of Dollars, Weekly, Seasonally Adjusted]]-B2199)/B2199</f>
        <v/>
      </c>
      <c r="D2200" s="35">
        <f>(Table2634[[#This Row],[M1 Money Stock, Billions of Dollars, Weekly, Seasonally Adjusted]]-B2197)/B2197</f>
        <v/>
      </c>
      <c r="E2200" s="25">
        <f>AVERAGE(B2197:B2200)</f>
        <v/>
      </c>
      <c r="F2200" s="33">
        <f>(Table2634[[#This Row],[4 weeks average]]-B2148)/B2148</f>
        <v/>
      </c>
    </row>
    <row r="2201">
      <c r="A2201" s="34" t="n">
        <v>42765</v>
      </c>
      <c r="B2201" s="25">
        <f>VLOOKUP(Table2634[[#This Row],[Date]],'DB Money Supply'!$A:$D,4)</f>
        <v/>
      </c>
      <c r="C2201" s="31">
        <f>(Table2634[[#This Row],[M1 Money Stock, Billions of Dollars, Weekly, Seasonally Adjusted]]-B2200)/B2200</f>
        <v/>
      </c>
      <c r="D2201" s="35">
        <f>(Table2634[[#This Row],[M1 Money Stock, Billions of Dollars, Weekly, Seasonally Adjusted]]-B2198)/B2198</f>
        <v/>
      </c>
      <c r="E2201" s="25">
        <f>AVERAGE(B2198:B2201)</f>
        <v/>
      </c>
      <c r="F2201" s="33">
        <f>(Table2634[[#This Row],[4 weeks average]]-B2149)/B2149</f>
        <v/>
      </c>
    </row>
    <row r="2202">
      <c r="A2202" s="34" t="n">
        <v>42772</v>
      </c>
      <c r="B2202" s="25">
        <f>VLOOKUP(Table2634[[#This Row],[Date]],'DB Money Supply'!$A:$D,4)</f>
        <v/>
      </c>
      <c r="C2202" s="31">
        <f>(Table2634[[#This Row],[M1 Money Stock, Billions of Dollars, Weekly, Seasonally Adjusted]]-B2201)/B2201</f>
        <v/>
      </c>
      <c r="D2202" s="35">
        <f>(Table2634[[#This Row],[M1 Money Stock, Billions of Dollars, Weekly, Seasonally Adjusted]]-B2199)/B2199</f>
        <v/>
      </c>
      <c r="E2202" s="25">
        <f>AVERAGE(B2199:B2202)</f>
        <v/>
      </c>
      <c r="F2202" s="33">
        <f>(Table2634[[#This Row],[4 weeks average]]-B2150)/B2150</f>
        <v/>
      </c>
    </row>
    <row r="2203">
      <c r="A2203" s="34" t="n">
        <v>42779</v>
      </c>
      <c r="B2203" s="25">
        <f>VLOOKUP(Table2634[[#This Row],[Date]],'DB Money Supply'!$A:$D,4)</f>
        <v/>
      </c>
      <c r="C2203" s="31">
        <f>(Table2634[[#This Row],[M1 Money Stock, Billions of Dollars, Weekly, Seasonally Adjusted]]-B2202)/B2202</f>
        <v/>
      </c>
      <c r="D2203" s="35">
        <f>(Table2634[[#This Row],[M1 Money Stock, Billions of Dollars, Weekly, Seasonally Adjusted]]-B2200)/B2200</f>
        <v/>
      </c>
      <c r="E2203" s="25">
        <f>AVERAGE(B2200:B2203)</f>
        <v/>
      </c>
      <c r="F2203" s="33">
        <f>(Table2634[[#This Row],[4 weeks average]]-B2151)/B2151</f>
        <v/>
      </c>
    </row>
    <row r="2204">
      <c r="A2204" s="34" t="n">
        <v>42786</v>
      </c>
      <c r="B2204" s="25">
        <f>VLOOKUP(Table2634[[#This Row],[Date]],'DB Money Supply'!$A:$D,4)</f>
        <v/>
      </c>
      <c r="C2204" s="31">
        <f>(Table2634[[#This Row],[M1 Money Stock, Billions of Dollars, Weekly, Seasonally Adjusted]]-B2203)/B2203</f>
        <v/>
      </c>
      <c r="D2204" s="35">
        <f>(Table2634[[#This Row],[M1 Money Stock, Billions of Dollars, Weekly, Seasonally Adjusted]]-B2201)/B2201</f>
        <v/>
      </c>
      <c r="E2204" s="25">
        <f>AVERAGE(B2201:B2204)</f>
        <v/>
      </c>
      <c r="F2204" s="33">
        <f>(Table2634[[#This Row],[4 weeks average]]-B2152)/B2152</f>
        <v/>
      </c>
    </row>
    <row r="2205">
      <c r="A2205" s="34" t="n">
        <v>42793</v>
      </c>
      <c r="B2205" s="25">
        <f>VLOOKUP(Table2634[[#This Row],[Date]],'DB Money Supply'!$A:$D,4)</f>
        <v/>
      </c>
      <c r="C2205" s="31">
        <f>(Table2634[[#This Row],[M1 Money Stock, Billions of Dollars, Weekly, Seasonally Adjusted]]-B2204)/B2204</f>
        <v/>
      </c>
      <c r="D2205" s="35">
        <f>(Table2634[[#This Row],[M1 Money Stock, Billions of Dollars, Weekly, Seasonally Adjusted]]-B2202)/B2202</f>
        <v/>
      </c>
      <c r="E2205" s="25">
        <f>AVERAGE(B2202:B2205)</f>
        <v/>
      </c>
      <c r="F2205" s="33">
        <f>(Table2634[[#This Row],[4 weeks average]]-B2153)/B2153</f>
        <v/>
      </c>
    </row>
    <row r="2206">
      <c r="A2206" s="34" t="n">
        <v>42800</v>
      </c>
      <c r="B2206" s="25">
        <f>VLOOKUP(Table2634[[#This Row],[Date]],'DB Money Supply'!$A:$D,4)</f>
        <v/>
      </c>
      <c r="C2206" s="31">
        <f>(Table2634[[#This Row],[M1 Money Stock, Billions of Dollars, Weekly, Seasonally Adjusted]]-B2205)/B2205</f>
        <v/>
      </c>
      <c r="D2206" s="35">
        <f>(Table2634[[#This Row],[M1 Money Stock, Billions of Dollars, Weekly, Seasonally Adjusted]]-B2203)/B2203</f>
        <v/>
      </c>
      <c r="E2206" s="25">
        <f>AVERAGE(B2203:B2206)</f>
        <v/>
      </c>
      <c r="F2206" s="33">
        <f>(Table2634[[#This Row],[4 weeks average]]-B2154)/B2154</f>
        <v/>
      </c>
    </row>
    <row r="2207">
      <c r="A2207" s="34" t="n">
        <v>42807</v>
      </c>
      <c r="B2207" s="25">
        <f>VLOOKUP(Table2634[[#This Row],[Date]],'DB Money Supply'!$A:$D,4)</f>
        <v/>
      </c>
      <c r="C2207" s="31">
        <f>(Table2634[[#This Row],[M1 Money Stock, Billions of Dollars, Weekly, Seasonally Adjusted]]-B2206)/B2206</f>
        <v/>
      </c>
      <c r="D2207" s="35">
        <f>(Table2634[[#This Row],[M1 Money Stock, Billions of Dollars, Weekly, Seasonally Adjusted]]-B2204)/B2204</f>
        <v/>
      </c>
      <c r="E2207" s="25">
        <f>AVERAGE(B2204:B2207)</f>
        <v/>
      </c>
      <c r="F2207" s="33">
        <f>(Table2634[[#This Row],[4 weeks average]]-B2155)/B2155</f>
        <v/>
      </c>
    </row>
    <row r="2208">
      <c r="A2208" s="34" t="n">
        <v>42814</v>
      </c>
      <c r="B2208" s="25">
        <f>VLOOKUP(Table2634[[#This Row],[Date]],'DB Money Supply'!$A:$D,4)</f>
        <v/>
      </c>
      <c r="C2208" s="31">
        <f>(Table2634[[#This Row],[M1 Money Stock, Billions of Dollars, Weekly, Seasonally Adjusted]]-B2207)/B2207</f>
        <v/>
      </c>
      <c r="D2208" s="35">
        <f>(Table2634[[#This Row],[M1 Money Stock, Billions of Dollars, Weekly, Seasonally Adjusted]]-B2205)/B2205</f>
        <v/>
      </c>
      <c r="E2208" s="25">
        <f>AVERAGE(B2205:B2208)</f>
        <v/>
      </c>
      <c r="F2208" s="33">
        <f>(Table2634[[#This Row],[4 weeks average]]-B2156)/B2156</f>
        <v/>
      </c>
    </row>
    <row r="2209">
      <c r="A2209" s="34" t="n">
        <v>42821</v>
      </c>
      <c r="B2209" s="25">
        <f>VLOOKUP(Table2634[[#This Row],[Date]],'DB Money Supply'!$A:$D,4)</f>
        <v/>
      </c>
      <c r="C2209" s="31">
        <f>(Table2634[[#This Row],[M1 Money Stock, Billions of Dollars, Weekly, Seasonally Adjusted]]-B2208)/B2208</f>
        <v/>
      </c>
      <c r="D2209" s="35">
        <f>(Table2634[[#This Row],[M1 Money Stock, Billions of Dollars, Weekly, Seasonally Adjusted]]-B2206)/B2206</f>
        <v/>
      </c>
      <c r="E2209" s="25">
        <f>AVERAGE(B2206:B2209)</f>
        <v/>
      </c>
      <c r="F2209" s="33">
        <f>(Table2634[[#This Row],[4 weeks average]]-B2157)/B2157</f>
        <v/>
      </c>
    </row>
    <row r="2210">
      <c r="A2210" s="34" t="n">
        <v>42828</v>
      </c>
      <c r="B2210" s="25">
        <f>VLOOKUP(Table2634[[#This Row],[Date]],'DB Money Supply'!$A:$D,4)</f>
        <v/>
      </c>
      <c r="C2210" s="31">
        <f>(Table2634[[#This Row],[M1 Money Stock, Billions of Dollars, Weekly, Seasonally Adjusted]]-B2209)/B2209</f>
        <v/>
      </c>
      <c r="D2210" s="35">
        <f>(Table2634[[#This Row],[M1 Money Stock, Billions of Dollars, Weekly, Seasonally Adjusted]]-B2207)/B2207</f>
        <v/>
      </c>
      <c r="E2210" s="25">
        <f>AVERAGE(B2207:B2210)</f>
        <v/>
      </c>
      <c r="F2210" s="33">
        <f>(Table2634[[#This Row],[4 weeks average]]-B2158)/B2158</f>
        <v/>
      </c>
    </row>
    <row r="2211">
      <c r="A2211" s="34" t="n">
        <v>42835</v>
      </c>
      <c r="B2211" s="25">
        <f>VLOOKUP(Table2634[[#This Row],[Date]],'DB Money Supply'!$A:$D,4)</f>
        <v/>
      </c>
      <c r="C2211" s="31">
        <f>(Table2634[[#This Row],[M1 Money Stock, Billions of Dollars, Weekly, Seasonally Adjusted]]-B2210)/B2210</f>
        <v/>
      </c>
      <c r="D2211" s="35">
        <f>(Table2634[[#This Row],[M1 Money Stock, Billions of Dollars, Weekly, Seasonally Adjusted]]-B2208)/B2208</f>
        <v/>
      </c>
      <c r="E2211" s="25">
        <f>AVERAGE(B2208:B2211)</f>
        <v/>
      </c>
      <c r="F2211" s="33">
        <f>(Table2634[[#This Row],[4 weeks average]]-B2159)/B2159</f>
        <v/>
      </c>
    </row>
    <row r="2212">
      <c r="A2212" s="34" t="n">
        <v>42842</v>
      </c>
      <c r="B2212" s="25">
        <f>VLOOKUP(Table2634[[#This Row],[Date]],'DB Money Supply'!$A:$D,4)</f>
        <v/>
      </c>
      <c r="C2212" s="31">
        <f>(Table2634[[#This Row],[M1 Money Stock, Billions of Dollars, Weekly, Seasonally Adjusted]]-B2211)/B2211</f>
        <v/>
      </c>
      <c r="D2212" s="35">
        <f>(Table2634[[#This Row],[M1 Money Stock, Billions of Dollars, Weekly, Seasonally Adjusted]]-B2209)/B2209</f>
        <v/>
      </c>
      <c r="E2212" s="25">
        <f>AVERAGE(B2209:B2212)</f>
        <v/>
      </c>
      <c r="F2212" s="33">
        <f>(Table2634[[#This Row],[4 weeks average]]-B2160)/B2160</f>
        <v/>
      </c>
    </row>
    <row r="2213">
      <c r="A2213" s="34" t="n">
        <v>42849</v>
      </c>
      <c r="B2213" s="25">
        <f>VLOOKUP(Table2634[[#This Row],[Date]],'DB Money Supply'!$A:$D,4)</f>
        <v/>
      </c>
      <c r="C2213" s="31">
        <f>(Table2634[[#This Row],[M1 Money Stock, Billions of Dollars, Weekly, Seasonally Adjusted]]-B2212)/B2212</f>
        <v/>
      </c>
      <c r="D2213" s="35">
        <f>(Table2634[[#This Row],[M1 Money Stock, Billions of Dollars, Weekly, Seasonally Adjusted]]-B2210)/B2210</f>
        <v/>
      </c>
      <c r="E2213" s="25">
        <f>AVERAGE(B2210:B2213)</f>
        <v/>
      </c>
      <c r="F2213" s="33">
        <f>(Table2634[[#This Row],[4 weeks average]]-B2161)/B2161</f>
        <v/>
      </c>
    </row>
    <row r="2214">
      <c r="A2214" s="34" t="n">
        <v>42856</v>
      </c>
      <c r="B2214" s="25">
        <f>VLOOKUP(Table2634[[#This Row],[Date]],'DB Money Supply'!$A:$D,4)</f>
        <v/>
      </c>
      <c r="C2214" s="31">
        <f>(Table2634[[#This Row],[M1 Money Stock, Billions of Dollars, Weekly, Seasonally Adjusted]]-B2213)/B2213</f>
        <v/>
      </c>
      <c r="D2214" s="35">
        <f>(Table2634[[#This Row],[M1 Money Stock, Billions of Dollars, Weekly, Seasonally Adjusted]]-B2211)/B2211</f>
        <v/>
      </c>
      <c r="E2214" s="25">
        <f>AVERAGE(B2211:B2214)</f>
        <v/>
      </c>
      <c r="F2214" s="33">
        <f>(Table2634[[#This Row],[4 weeks average]]-B2162)/B2162</f>
        <v/>
      </c>
    </row>
    <row r="2215">
      <c r="A2215" s="34" t="n">
        <v>42863</v>
      </c>
      <c r="B2215" s="25">
        <f>VLOOKUP(Table2634[[#This Row],[Date]],'DB Money Supply'!$A:$D,4)</f>
        <v/>
      </c>
      <c r="C2215" s="31">
        <f>(Table2634[[#This Row],[M1 Money Stock, Billions of Dollars, Weekly, Seasonally Adjusted]]-B2214)/B2214</f>
        <v/>
      </c>
      <c r="D2215" s="35">
        <f>(Table2634[[#This Row],[M1 Money Stock, Billions of Dollars, Weekly, Seasonally Adjusted]]-B2212)/B2212</f>
        <v/>
      </c>
      <c r="E2215" s="25">
        <f>AVERAGE(B2212:B2215)</f>
        <v/>
      </c>
      <c r="F2215" s="33">
        <f>(Table2634[[#This Row],[4 weeks average]]-B2163)/B2163</f>
        <v/>
      </c>
    </row>
    <row r="2216">
      <c r="A2216" s="34" t="n">
        <v>42870</v>
      </c>
      <c r="B2216" s="25">
        <f>VLOOKUP(Table2634[[#This Row],[Date]],'DB Money Supply'!$A:$D,4)</f>
        <v/>
      </c>
      <c r="C2216" s="31">
        <f>(Table2634[[#This Row],[M1 Money Stock, Billions of Dollars, Weekly, Seasonally Adjusted]]-B2215)/B2215</f>
        <v/>
      </c>
      <c r="D2216" s="35">
        <f>(Table2634[[#This Row],[M1 Money Stock, Billions of Dollars, Weekly, Seasonally Adjusted]]-B2213)/B2213</f>
        <v/>
      </c>
      <c r="E2216" s="25">
        <f>AVERAGE(B2213:B2216)</f>
        <v/>
      </c>
      <c r="F2216" s="33">
        <f>(Table2634[[#This Row],[4 weeks average]]-B2164)/B2164</f>
        <v/>
      </c>
    </row>
    <row r="2217">
      <c r="A2217" s="34" t="n">
        <v>42877</v>
      </c>
      <c r="B2217" s="25">
        <f>VLOOKUP(Table2634[[#This Row],[Date]],'DB Money Supply'!$A:$D,4)</f>
        <v/>
      </c>
      <c r="C2217" s="31">
        <f>(Table2634[[#This Row],[M1 Money Stock, Billions of Dollars, Weekly, Seasonally Adjusted]]-B2216)/B2216</f>
        <v/>
      </c>
      <c r="D2217" s="35">
        <f>(Table2634[[#This Row],[M1 Money Stock, Billions of Dollars, Weekly, Seasonally Adjusted]]-B2214)/B2214</f>
        <v/>
      </c>
      <c r="E2217" s="25">
        <f>AVERAGE(B2214:B2217)</f>
        <v/>
      </c>
      <c r="F2217" s="33">
        <f>(Table2634[[#This Row],[4 weeks average]]-B2165)/B2165</f>
        <v/>
      </c>
    </row>
    <row r="2218">
      <c r="A2218" s="34" t="n">
        <v>42884</v>
      </c>
      <c r="B2218" s="25">
        <f>VLOOKUP(Table2634[[#This Row],[Date]],'DB Money Supply'!$A:$D,4)</f>
        <v/>
      </c>
      <c r="C2218" s="31">
        <f>(Table2634[[#This Row],[M1 Money Stock, Billions of Dollars, Weekly, Seasonally Adjusted]]-B2217)/B2217</f>
        <v/>
      </c>
      <c r="D2218" s="35">
        <f>(Table2634[[#This Row],[M1 Money Stock, Billions of Dollars, Weekly, Seasonally Adjusted]]-B2215)/B2215</f>
        <v/>
      </c>
      <c r="E2218" s="25">
        <f>AVERAGE(B2215:B2218)</f>
        <v/>
      </c>
      <c r="F2218" s="33">
        <f>(Table2634[[#This Row],[4 weeks average]]-B2166)/B2166</f>
        <v/>
      </c>
    </row>
    <row r="2219">
      <c r="A2219" s="34" t="n">
        <v>42891</v>
      </c>
      <c r="B2219" s="25">
        <f>VLOOKUP(Table2634[[#This Row],[Date]],'DB Money Supply'!$A:$D,4)</f>
        <v/>
      </c>
      <c r="C2219" s="31">
        <f>(Table2634[[#This Row],[M1 Money Stock, Billions of Dollars, Weekly, Seasonally Adjusted]]-B2218)/B2218</f>
        <v/>
      </c>
      <c r="D2219" s="35">
        <f>(Table2634[[#This Row],[M1 Money Stock, Billions of Dollars, Weekly, Seasonally Adjusted]]-B2216)/B2216</f>
        <v/>
      </c>
      <c r="E2219" s="25">
        <f>AVERAGE(B2216:B2219)</f>
        <v/>
      </c>
      <c r="F2219" s="33">
        <f>(Table2634[[#This Row],[4 weeks average]]-B2167)/B2167</f>
        <v/>
      </c>
    </row>
    <row r="2220">
      <c r="A2220" s="34" t="n">
        <v>42898</v>
      </c>
      <c r="B2220" s="25">
        <f>VLOOKUP(Table2634[[#This Row],[Date]],'DB Money Supply'!$A:$D,4)</f>
        <v/>
      </c>
      <c r="C2220" s="31">
        <f>(Table2634[[#This Row],[M1 Money Stock, Billions of Dollars, Weekly, Seasonally Adjusted]]-B2219)/B2219</f>
        <v/>
      </c>
      <c r="D2220" s="35">
        <f>(Table2634[[#This Row],[M1 Money Stock, Billions of Dollars, Weekly, Seasonally Adjusted]]-B2217)/B2217</f>
        <v/>
      </c>
      <c r="E2220" s="25">
        <f>AVERAGE(B2217:B2220)</f>
        <v/>
      </c>
      <c r="F2220" s="33">
        <f>(Table2634[[#This Row],[4 weeks average]]-B2168)/B2168</f>
        <v/>
      </c>
    </row>
    <row r="2221">
      <c r="A2221" s="34" t="n">
        <v>42905</v>
      </c>
      <c r="B2221" s="25">
        <f>VLOOKUP(Table2634[[#This Row],[Date]],'DB Money Supply'!$A:$D,4)</f>
        <v/>
      </c>
      <c r="C2221" s="31">
        <f>(Table2634[[#This Row],[M1 Money Stock, Billions of Dollars, Weekly, Seasonally Adjusted]]-B2220)/B2220</f>
        <v/>
      </c>
      <c r="D2221" s="35">
        <f>(Table2634[[#This Row],[M1 Money Stock, Billions of Dollars, Weekly, Seasonally Adjusted]]-B2218)/B2218</f>
        <v/>
      </c>
      <c r="E2221" s="25">
        <f>AVERAGE(B2218:B2221)</f>
        <v/>
      </c>
      <c r="F2221" s="33">
        <f>(Table2634[[#This Row],[4 weeks average]]-B2169)/B2169</f>
        <v/>
      </c>
    </row>
    <row r="2222">
      <c r="A2222" s="34" t="n">
        <v>42912</v>
      </c>
      <c r="B2222" s="25">
        <f>VLOOKUP(Table2634[[#This Row],[Date]],'DB Money Supply'!$A:$D,4)</f>
        <v/>
      </c>
      <c r="C2222" s="31">
        <f>(Table2634[[#This Row],[M1 Money Stock, Billions of Dollars, Weekly, Seasonally Adjusted]]-B2221)/B2221</f>
        <v/>
      </c>
      <c r="D2222" s="35">
        <f>(Table2634[[#This Row],[M1 Money Stock, Billions of Dollars, Weekly, Seasonally Adjusted]]-B2219)/B2219</f>
        <v/>
      </c>
      <c r="E2222" s="25">
        <f>AVERAGE(B2219:B2222)</f>
        <v/>
      </c>
      <c r="F2222" s="33">
        <f>(Table2634[[#This Row],[4 weeks average]]-B2170)/B2170</f>
        <v/>
      </c>
    </row>
    <row r="2223">
      <c r="A2223" s="34" t="n">
        <v>42919</v>
      </c>
      <c r="B2223" s="25">
        <f>VLOOKUP(Table2634[[#This Row],[Date]],'DB Money Supply'!$A:$D,4)</f>
        <v/>
      </c>
      <c r="C2223" s="31">
        <f>(Table2634[[#This Row],[M1 Money Stock, Billions of Dollars, Weekly, Seasonally Adjusted]]-B2222)/B2222</f>
        <v/>
      </c>
      <c r="D2223" s="35">
        <f>(Table2634[[#This Row],[M1 Money Stock, Billions of Dollars, Weekly, Seasonally Adjusted]]-B2220)/B2220</f>
        <v/>
      </c>
      <c r="E2223" s="25">
        <f>AVERAGE(B2220:B2223)</f>
        <v/>
      </c>
      <c r="F2223" s="33">
        <f>(Table2634[[#This Row],[4 weeks average]]-B2171)/B2171</f>
        <v/>
      </c>
    </row>
    <row r="2224">
      <c r="A2224" s="34" t="n">
        <v>42926</v>
      </c>
      <c r="B2224" s="25">
        <f>VLOOKUP(Table2634[[#This Row],[Date]],'DB Money Supply'!$A:$D,4)</f>
        <v/>
      </c>
      <c r="C2224" s="31">
        <f>(Table2634[[#This Row],[M1 Money Stock, Billions of Dollars, Weekly, Seasonally Adjusted]]-B2223)/B2223</f>
        <v/>
      </c>
      <c r="D2224" s="35">
        <f>(Table2634[[#This Row],[M1 Money Stock, Billions of Dollars, Weekly, Seasonally Adjusted]]-B2221)/B2221</f>
        <v/>
      </c>
      <c r="E2224" s="25">
        <f>AVERAGE(B2221:B2224)</f>
        <v/>
      </c>
      <c r="F2224" s="33">
        <f>(Table2634[[#This Row],[4 weeks average]]-B2172)/B2172</f>
        <v/>
      </c>
    </row>
    <row r="2225">
      <c r="A2225" s="34" t="n">
        <v>42933</v>
      </c>
      <c r="B2225" s="25">
        <f>VLOOKUP(Table2634[[#This Row],[Date]],'DB Money Supply'!$A:$D,4)</f>
        <v/>
      </c>
      <c r="C2225" s="31">
        <f>(Table2634[[#This Row],[M1 Money Stock, Billions of Dollars, Weekly, Seasonally Adjusted]]-B2224)/B2224</f>
        <v/>
      </c>
      <c r="D2225" s="35">
        <f>(Table2634[[#This Row],[M1 Money Stock, Billions of Dollars, Weekly, Seasonally Adjusted]]-B2222)/B2222</f>
        <v/>
      </c>
      <c r="E2225" s="25">
        <f>AVERAGE(B2222:B2225)</f>
        <v/>
      </c>
      <c r="F2225" s="33">
        <f>(Table2634[[#This Row],[4 weeks average]]-B2173)/B2173</f>
        <v/>
      </c>
    </row>
    <row r="2226">
      <c r="A2226" s="34" t="n">
        <v>42940</v>
      </c>
      <c r="B2226" s="25">
        <f>VLOOKUP(Table2634[[#This Row],[Date]],'DB Money Supply'!$A:$D,4)</f>
        <v/>
      </c>
      <c r="C2226" s="31">
        <f>(Table2634[[#This Row],[M1 Money Stock, Billions of Dollars, Weekly, Seasonally Adjusted]]-B2225)/B2225</f>
        <v/>
      </c>
      <c r="D2226" s="35">
        <f>(Table2634[[#This Row],[M1 Money Stock, Billions of Dollars, Weekly, Seasonally Adjusted]]-B2223)/B2223</f>
        <v/>
      </c>
      <c r="E2226" s="25">
        <f>AVERAGE(B2223:B2226)</f>
        <v/>
      </c>
      <c r="F2226" s="33">
        <f>(Table2634[[#This Row],[4 weeks average]]-B2174)/B2174</f>
        <v/>
      </c>
    </row>
    <row r="2227">
      <c r="A2227" s="34" t="n">
        <v>42947</v>
      </c>
      <c r="B2227" s="25">
        <f>VLOOKUP(Table2634[[#This Row],[Date]],'DB Money Supply'!$A:$D,4)</f>
        <v/>
      </c>
      <c r="C2227" s="31">
        <f>(Table2634[[#This Row],[M1 Money Stock, Billions of Dollars, Weekly, Seasonally Adjusted]]-B2226)/B2226</f>
        <v/>
      </c>
      <c r="D2227" s="35">
        <f>(Table2634[[#This Row],[M1 Money Stock, Billions of Dollars, Weekly, Seasonally Adjusted]]-B2224)/B2224</f>
        <v/>
      </c>
      <c r="E2227" s="25">
        <f>AVERAGE(B2224:B2227)</f>
        <v/>
      </c>
      <c r="F2227" s="33">
        <f>(Table2634[[#This Row],[4 weeks average]]-B2175)/B2175</f>
        <v/>
      </c>
    </row>
    <row r="2228">
      <c r="A2228" s="34" t="n">
        <v>42954</v>
      </c>
      <c r="B2228" s="25">
        <f>VLOOKUP(Table2634[[#This Row],[Date]],'DB Money Supply'!$A:$D,4)</f>
        <v/>
      </c>
      <c r="C2228" s="31">
        <f>(Table2634[[#This Row],[M1 Money Stock, Billions of Dollars, Weekly, Seasonally Adjusted]]-B2227)/B2227</f>
        <v/>
      </c>
      <c r="D2228" s="35">
        <f>(Table2634[[#This Row],[M1 Money Stock, Billions of Dollars, Weekly, Seasonally Adjusted]]-B2225)/B2225</f>
        <v/>
      </c>
      <c r="E2228" s="25">
        <f>AVERAGE(B2225:B2228)</f>
        <v/>
      </c>
      <c r="F2228" s="33">
        <f>(Table2634[[#This Row],[4 weeks average]]-B2176)/B2176</f>
        <v/>
      </c>
    </row>
    <row r="2229">
      <c r="A2229" s="34" t="n">
        <v>42961</v>
      </c>
      <c r="B2229" s="25">
        <f>VLOOKUP(Table2634[[#This Row],[Date]],'DB Money Supply'!$A:$D,4)</f>
        <v/>
      </c>
      <c r="C2229" s="31">
        <f>(Table2634[[#This Row],[M1 Money Stock, Billions of Dollars, Weekly, Seasonally Adjusted]]-B2228)/B2228</f>
        <v/>
      </c>
      <c r="D2229" s="35">
        <f>(Table2634[[#This Row],[M1 Money Stock, Billions of Dollars, Weekly, Seasonally Adjusted]]-B2226)/B2226</f>
        <v/>
      </c>
      <c r="E2229" s="25">
        <f>AVERAGE(B2226:B2229)</f>
        <v/>
      </c>
      <c r="F2229" s="33">
        <f>(Table2634[[#This Row],[4 weeks average]]-B2177)/B2177</f>
        <v/>
      </c>
    </row>
    <row r="2230">
      <c r="A2230" s="34" t="n">
        <v>42968</v>
      </c>
      <c r="B2230" s="25">
        <f>VLOOKUP(Table2634[[#This Row],[Date]],'DB Money Supply'!$A:$D,4)</f>
        <v/>
      </c>
      <c r="C2230" s="31">
        <f>(Table2634[[#This Row],[M1 Money Stock, Billions of Dollars, Weekly, Seasonally Adjusted]]-B2229)/B2229</f>
        <v/>
      </c>
      <c r="D2230" s="35">
        <f>(Table2634[[#This Row],[M1 Money Stock, Billions of Dollars, Weekly, Seasonally Adjusted]]-B2227)/B2227</f>
        <v/>
      </c>
      <c r="E2230" s="25">
        <f>AVERAGE(B2227:B2230)</f>
        <v/>
      </c>
      <c r="F2230" s="33">
        <f>(Table2634[[#This Row],[4 weeks average]]-B2178)/B2178</f>
        <v/>
      </c>
    </row>
    <row r="2231">
      <c r="A2231" s="34" t="n">
        <v>42975</v>
      </c>
      <c r="B2231" s="25">
        <f>VLOOKUP(Table2634[[#This Row],[Date]],'DB Money Supply'!$A:$D,4)</f>
        <v/>
      </c>
      <c r="C2231" s="31">
        <f>(Table2634[[#This Row],[M1 Money Stock, Billions of Dollars, Weekly, Seasonally Adjusted]]-B2230)/B2230</f>
        <v/>
      </c>
      <c r="D2231" s="35">
        <f>(Table2634[[#This Row],[M1 Money Stock, Billions of Dollars, Weekly, Seasonally Adjusted]]-B2228)/B2228</f>
        <v/>
      </c>
      <c r="E2231" s="25">
        <f>AVERAGE(B2228:B2231)</f>
        <v/>
      </c>
      <c r="F2231" s="33">
        <f>(Table2634[[#This Row],[4 weeks average]]-B2179)/B2179</f>
        <v/>
      </c>
    </row>
    <row r="2232">
      <c r="A2232" s="34" t="n">
        <v>42982</v>
      </c>
      <c r="B2232" s="25">
        <f>VLOOKUP(Table2634[[#This Row],[Date]],'DB Money Supply'!$A:$D,4)</f>
        <v/>
      </c>
      <c r="C2232" s="31">
        <f>(Table2634[[#This Row],[M1 Money Stock, Billions of Dollars, Weekly, Seasonally Adjusted]]-B2231)/B2231</f>
        <v/>
      </c>
      <c r="D2232" s="35">
        <f>(Table2634[[#This Row],[M1 Money Stock, Billions of Dollars, Weekly, Seasonally Adjusted]]-B2229)/B2229</f>
        <v/>
      </c>
      <c r="E2232" s="25">
        <f>AVERAGE(B2229:B2232)</f>
        <v/>
      </c>
      <c r="F2232" s="33">
        <f>(Table2634[[#This Row],[4 weeks average]]-B2180)/B2180</f>
        <v/>
      </c>
    </row>
    <row r="2233">
      <c r="A2233" s="34" t="n">
        <v>42989</v>
      </c>
      <c r="B2233" s="25">
        <f>VLOOKUP(Table2634[[#This Row],[Date]],'DB Money Supply'!$A:$D,4)</f>
        <v/>
      </c>
      <c r="C2233" s="31">
        <f>(Table2634[[#This Row],[M1 Money Stock, Billions of Dollars, Weekly, Seasonally Adjusted]]-B2232)/B2232</f>
        <v/>
      </c>
      <c r="D2233" s="35">
        <f>(Table2634[[#This Row],[M1 Money Stock, Billions of Dollars, Weekly, Seasonally Adjusted]]-B2230)/B2230</f>
        <v/>
      </c>
      <c r="E2233" s="25">
        <f>AVERAGE(B2230:B2233)</f>
        <v/>
      </c>
      <c r="F2233" s="33">
        <f>(Table2634[[#This Row],[4 weeks average]]-B2181)/B2181</f>
        <v/>
      </c>
    </row>
    <row r="2234">
      <c r="A2234" s="34" t="n">
        <v>42996</v>
      </c>
      <c r="B2234" s="25">
        <f>VLOOKUP(Table2634[[#This Row],[Date]],'DB Money Supply'!$A:$D,4)</f>
        <v/>
      </c>
      <c r="C2234" s="31">
        <f>(Table2634[[#This Row],[M1 Money Stock, Billions of Dollars, Weekly, Seasonally Adjusted]]-B2233)/B2233</f>
        <v/>
      </c>
      <c r="D2234" s="35">
        <f>(Table2634[[#This Row],[M1 Money Stock, Billions of Dollars, Weekly, Seasonally Adjusted]]-B2231)/B2231</f>
        <v/>
      </c>
      <c r="E2234" s="25">
        <f>AVERAGE(B2231:B2234)</f>
        <v/>
      </c>
      <c r="F2234" s="33">
        <f>(Table2634[[#This Row],[4 weeks average]]-B2182)/B2182</f>
        <v/>
      </c>
    </row>
    <row r="2235">
      <c r="A2235" s="34" t="n">
        <v>43003</v>
      </c>
      <c r="B2235" s="25">
        <f>VLOOKUP(Table2634[[#This Row],[Date]],'DB Money Supply'!$A:$D,4)</f>
        <v/>
      </c>
      <c r="C2235" s="31">
        <f>(Table2634[[#This Row],[M1 Money Stock, Billions of Dollars, Weekly, Seasonally Adjusted]]-B2234)/B2234</f>
        <v/>
      </c>
      <c r="D2235" s="35">
        <f>(Table2634[[#This Row],[M1 Money Stock, Billions of Dollars, Weekly, Seasonally Adjusted]]-B2232)/B2232</f>
        <v/>
      </c>
      <c r="E2235" s="25">
        <f>AVERAGE(B2232:B2235)</f>
        <v/>
      </c>
      <c r="F2235" s="33">
        <f>(Table2634[[#This Row],[4 weeks average]]-B2183)/B2183</f>
        <v/>
      </c>
    </row>
    <row r="2236">
      <c r="A2236" s="34" t="n">
        <v>43010</v>
      </c>
      <c r="B2236" s="25">
        <f>VLOOKUP(Table2634[[#This Row],[Date]],'DB Money Supply'!$A:$D,4)</f>
        <v/>
      </c>
      <c r="C2236" s="31">
        <f>(Table2634[[#This Row],[M1 Money Stock, Billions of Dollars, Weekly, Seasonally Adjusted]]-B2235)/B2235</f>
        <v/>
      </c>
      <c r="D2236" s="35">
        <f>(Table2634[[#This Row],[M1 Money Stock, Billions of Dollars, Weekly, Seasonally Adjusted]]-B2233)/B2233</f>
        <v/>
      </c>
      <c r="E2236" s="25">
        <f>AVERAGE(B2233:B2236)</f>
        <v/>
      </c>
      <c r="F2236" s="33">
        <f>(Table2634[[#This Row],[4 weeks average]]-B2184)/B2184</f>
        <v/>
      </c>
    </row>
    <row r="2237">
      <c r="A2237" s="34" t="n">
        <v>43017</v>
      </c>
      <c r="B2237" s="25">
        <f>VLOOKUP(Table2634[[#This Row],[Date]],'DB Money Supply'!$A:$D,4)</f>
        <v/>
      </c>
      <c r="C2237" s="31">
        <f>(Table2634[[#This Row],[M1 Money Stock, Billions of Dollars, Weekly, Seasonally Adjusted]]-B2236)/B2236</f>
        <v/>
      </c>
      <c r="D2237" s="35">
        <f>(Table2634[[#This Row],[M1 Money Stock, Billions of Dollars, Weekly, Seasonally Adjusted]]-B2234)/B2234</f>
        <v/>
      </c>
      <c r="E2237" s="25">
        <f>AVERAGE(B2234:B2237)</f>
        <v/>
      </c>
      <c r="F2237" s="33">
        <f>(Table2634[[#This Row],[4 weeks average]]-B2185)/B2185</f>
        <v/>
      </c>
    </row>
    <row r="2238">
      <c r="A2238" s="34" t="n">
        <v>43024</v>
      </c>
      <c r="B2238" s="25">
        <f>VLOOKUP(Table2634[[#This Row],[Date]],'DB Money Supply'!$A:$D,4)</f>
        <v/>
      </c>
      <c r="C2238" s="31">
        <f>(Table2634[[#This Row],[M1 Money Stock, Billions of Dollars, Weekly, Seasonally Adjusted]]-B2237)/B2237</f>
        <v/>
      </c>
      <c r="D2238" s="35">
        <f>(Table2634[[#This Row],[M1 Money Stock, Billions of Dollars, Weekly, Seasonally Adjusted]]-B2235)/B2235</f>
        <v/>
      </c>
      <c r="E2238" s="25">
        <f>AVERAGE(B2235:B2238)</f>
        <v/>
      </c>
      <c r="F2238" s="33">
        <f>(Table2634[[#This Row],[4 weeks average]]-B2186)/B2186</f>
        <v/>
      </c>
    </row>
    <row r="2239">
      <c r="A2239" s="34" t="n">
        <v>43031</v>
      </c>
      <c r="B2239" s="25">
        <f>VLOOKUP(Table2634[[#This Row],[Date]],'DB Money Supply'!$A:$D,4)</f>
        <v/>
      </c>
      <c r="C2239" s="31">
        <f>(Table2634[[#This Row],[M1 Money Stock, Billions of Dollars, Weekly, Seasonally Adjusted]]-B2238)/B2238</f>
        <v/>
      </c>
      <c r="D2239" s="35">
        <f>(Table2634[[#This Row],[M1 Money Stock, Billions of Dollars, Weekly, Seasonally Adjusted]]-B2236)/B2236</f>
        <v/>
      </c>
      <c r="E2239" s="25">
        <f>AVERAGE(B2236:B2239)</f>
        <v/>
      </c>
      <c r="F2239" s="33">
        <f>(Table2634[[#This Row],[4 weeks average]]-B2187)/B2187</f>
        <v/>
      </c>
    </row>
    <row r="2240">
      <c r="A2240" s="34" t="n">
        <v>43038</v>
      </c>
      <c r="B2240" s="25">
        <f>VLOOKUP(Table2634[[#This Row],[Date]],'DB Money Supply'!$A:$D,4)</f>
        <v/>
      </c>
      <c r="C2240" s="31">
        <f>(Table2634[[#This Row],[M1 Money Stock, Billions of Dollars, Weekly, Seasonally Adjusted]]-B2239)/B2239</f>
        <v/>
      </c>
      <c r="D2240" s="35">
        <f>(Table2634[[#This Row],[M1 Money Stock, Billions of Dollars, Weekly, Seasonally Adjusted]]-B2237)/B2237</f>
        <v/>
      </c>
      <c r="E2240" s="25">
        <f>AVERAGE(B2237:B2240)</f>
        <v/>
      </c>
      <c r="F2240" s="33">
        <f>(Table2634[[#This Row],[4 weeks average]]-B2188)/B2188</f>
        <v/>
      </c>
    </row>
    <row r="2241">
      <c r="A2241" s="34" t="n">
        <v>43045</v>
      </c>
      <c r="B2241" s="25">
        <f>VLOOKUP(Table2634[[#This Row],[Date]],'DB Money Supply'!$A:$D,4)</f>
        <v/>
      </c>
      <c r="C2241" s="31">
        <f>(Table2634[[#This Row],[M1 Money Stock, Billions of Dollars, Weekly, Seasonally Adjusted]]-B2240)/B2240</f>
        <v/>
      </c>
      <c r="D2241" s="35">
        <f>(Table2634[[#This Row],[M1 Money Stock, Billions of Dollars, Weekly, Seasonally Adjusted]]-B2238)/B2238</f>
        <v/>
      </c>
      <c r="E2241" s="25">
        <f>AVERAGE(B2238:B2241)</f>
        <v/>
      </c>
      <c r="F2241" s="33">
        <f>(Table2634[[#This Row],[4 weeks average]]-B2189)/B2189</f>
        <v/>
      </c>
    </row>
    <row r="2242">
      <c r="A2242" s="34" t="n">
        <v>43052</v>
      </c>
      <c r="B2242" s="25">
        <f>VLOOKUP(Table2634[[#This Row],[Date]],'DB Money Supply'!$A:$D,4)</f>
        <v/>
      </c>
      <c r="C2242" s="31">
        <f>(Table2634[[#This Row],[M1 Money Stock, Billions of Dollars, Weekly, Seasonally Adjusted]]-B2241)/B2241</f>
        <v/>
      </c>
      <c r="D2242" s="35">
        <f>(Table2634[[#This Row],[M1 Money Stock, Billions of Dollars, Weekly, Seasonally Adjusted]]-B2239)/B2239</f>
        <v/>
      </c>
      <c r="E2242" s="25">
        <f>AVERAGE(B2239:B2242)</f>
        <v/>
      </c>
      <c r="F2242" s="33">
        <f>(Table2634[[#This Row],[4 weeks average]]-B2190)/B2190</f>
        <v/>
      </c>
    </row>
    <row r="2243">
      <c r="A2243" s="34" t="n">
        <v>43059</v>
      </c>
      <c r="B2243" s="25">
        <f>VLOOKUP(Table2634[[#This Row],[Date]],'DB Money Supply'!$A:$D,4)</f>
        <v/>
      </c>
      <c r="C2243" s="31">
        <f>(Table2634[[#This Row],[M1 Money Stock, Billions of Dollars, Weekly, Seasonally Adjusted]]-B2242)/B2242</f>
        <v/>
      </c>
      <c r="D2243" s="35">
        <f>(Table2634[[#This Row],[M1 Money Stock, Billions of Dollars, Weekly, Seasonally Adjusted]]-B2240)/B2240</f>
        <v/>
      </c>
      <c r="E2243" s="25">
        <f>AVERAGE(B2240:B2243)</f>
        <v/>
      </c>
      <c r="F2243" s="33">
        <f>(Table2634[[#This Row],[4 weeks average]]-B2191)/B2191</f>
        <v/>
      </c>
    </row>
    <row r="2244">
      <c r="A2244" s="34" t="n">
        <v>43066</v>
      </c>
      <c r="B2244" s="25">
        <f>VLOOKUP(Table2634[[#This Row],[Date]],'DB Money Supply'!$A:$D,4)</f>
        <v/>
      </c>
      <c r="C2244" s="31">
        <f>(Table2634[[#This Row],[M1 Money Stock, Billions of Dollars, Weekly, Seasonally Adjusted]]-B2243)/B2243</f>
        <v/>
      </c>
      <c r="D2244" s="35">
        <f>(Table2634[[#This Row],[M1 Money Stock, Billions of Dollars, Weekly, Seasonally Adjusted]]-B2241)/B2241</f>
        <v/>
      </c>
      <c r="E2244" s="25">
        <f>AVERAGE(B2241:B2244)</f>
        <v/>
      </c>
      <c r="F2244" s="33">
        <f>(Table2634[[#This Row],[4 weeks average]]-B2192)/B2192</f>
        <v/>
      </c>
    </row>
    <row r="2245">
      <c r="A2245" s="34" t="n">
        <v>43073</v>
      </c>
      <c r="B2245" s="25">
        <f>VLOOKUP(Table2634[[#This Row],[Date]],'DB Money Supply'!$A:$D,4)</f>
        <v/>
      </c>
      <c r="C2245" s="31">
        <f>(Table2634[[#This Row],[M1 Money Stock, Billions of Dollars, Weekly, Seasonally Adjusted]]-B2244)/B2244</f>
        <v/>
      </c>
      <c r="D2245" s="35">
        <f>(Table2634[[#This Row],[M1 Money Stock, Billions of Dollars, Weekly, Seasonally Adjusted]]-B2242)/B2242</f>
        <v/>
      </c>
      <c r="E2245" s="25">
        <f>AVERAGE(B2242:B2245)</f>
        <v/>
      </c>
      <c r="F2245" s="33">
        <f>(Table2634[[#This Row],[4 weeks average]]-B2193)/B2193</f>
        <v/>
      </c>
    </row>
    <row r="2246">
      <c r="A2246" s="34" t="n">
        <v>43080</v>
      </c>
      <c r="B2246" s="25">
        <f>VLOOKUP(Table2634[[#This Row],[Date]],'DB Money Supply'!$A:$D,4)</f>
        <v/>
      </c>
      <c r="C2246" s="31">
        <f>(Table2634[[#This Row],[M1 Money Stock, Billions of Dollars, Weekly, Seasonally Adjusted]]-B2245)/B2245</f>
        <v/>
      </c>
      <c r="D2246" s="35">
        <f>(Table2634[[#This Row],[M1 Money Stock, Billions of Dollars, Weekly, Seasonally Adjusted]]-B2243)/B2243</f>
        <v/>
      </c>
      <c r="E2246" s="25">
        <f>AVERAGE(B2243:B2246)</f>
        <v/>
      </c>
      <c r="F2246" s="33">
        <f>(Table2634[[#This Row],[4 weeks average]]-B2194)/B2194</f>
        <v/>
      </c>
    </row>
    <row r="2247">
      <c r="A2247" s="34" t="n">
        <v>43087</v>
      </c>
      <c r="B2247" s="25">
        <f>VLOOKUP(Table2634[[#This Row],[Date]],'DB Money Supply'!$A:$D,4)</f>
        <v/>
      </c>
      <c r="C2247" s="31">
        <f>(Table2634[[#This Row],[M1 Money Stock, Billions of Dollars, Weekly, Seasonally Adjusted]]-B2246)/B2246</f>
        <v/>
      </c>
      <c r="D2247" s="35">
        <f>(Table2634[[#This Row],[M1 Money Stock, Billions of Dollars, Weekly, Seasonally Adjusted]]-B2244)/B2244</f>
        <v/>
      </c>
      <c r="E2247" s="25">
        <f>AVERAGE(B2244:B2247)</f>
        <v/>
      </c>
      <c r="F2247" s="33">
        <f>(Table2634[[#This Row],[4 weeks average]]-B2195)/B2195</f>
        <v/>
      </c>
    </row>
    <row r="2248">
      <c r="A2248" s="34" t="n">
        <v>43094</v>
      </c>
      <c r="B2248" s="25">
        <f>VLOOKUP(Table2634[[#This Row],[Date]],'DB Money Supply'!$A:$D,4)</f>
        <v/>
      </c>
      <c r="C2248" s="31">
        <f>(Table2634[[#This Row],[M1 Money Stock, Billions of Dollars, Weekly, Seasonally Adjusted]]-B2247)/B2247</f>
        <v/>
      </c>
      <c r="D2248" s="35">
        <f>(Table2634[[#This Row],[M1 Money Stock, Billions of Dollars, Weekly, Seasonally Adjusted]]-B2245)/B2245</f>
        <v/>
      </c>
      <c r="E2248" s="25">
        <f>AVERAGE(B2245:B2248)</f>
        <v/>
      </c>
      <c r="F2248" s="33">
        <f>(Table2634[[#This Row],[4 weeks average]]-B2196)/B2196</f>
        <v/>
      </c>
    </row>
    <row r="2249">
      <c r="A2249" s="34" t="n">
        <v>43101</v>
      </c>
      <c r="B2249" s="25">
        <f>VLOOKUP(Table2634[[#This Row],[Date]],'DB Money Supply'!$A:$D,4)</f>
        <v/>
      </c>
      <c r="C2249" s="31">
        <f>(Table2634[[#This Row],[M1 Money Stock, Billions of Dollars, Weekly, Seasonally Adjusted]]-B2248)/B2248</f>
        <v/>
      </c>
      <c r="D2249" s="35">
        <f>(Table2634[[#This Row],[M1 Money Stock, Billions of Dollars, Weekly, Seasonally Adjusted]]-B2246)/B2246</f>
        <v/>
      </c>
      <c r="E2249" s="25">
        <f>AVERAGE(B2246:B2249)</f>
        <v/>
      </c>
      <c r="F2249" s="33">
        <f>(Table2634[[#This Row],[4 weeks average]]-B2197)/B2197</f>
        <v/>
      </c>
    </row>
    <row r="2250">
      <c r="A2250" s="34" t="n">
        <v>43108</v>
      </c>
      <c r="B2250" s="25">
        <f>VLOOKUP(Table2634[[#This Row],[Date]],'DB Money Supply'!$A:$D,4)</f>
        <v/>
      </c>
      <c r="C2250" s="31">
        <f>(Table2634[[#This Row],[M1 Money Stock, Billions of Dollars, Weekly, Seasonally Adjusted]]-B2249)/B2249</f>
        <v/>
      </c>
      <c r="D2250" s="35">
        <f>(Table2634[[#This Row],[M1 Money Stock, Billions of Dollars, Weekly, Seasonally Adjusted]]-B2247)/B2247</f>
        <v/>
      </c>
      <c r="E2250" s="25">
        <f>AVERAGE(B2247:B2250)</f>
        <v/>
      </c>
      <c r="F2250" s="33">
        <f>(Table2634[[#This Row],[4 weeks average]]-B2198)/B2198</f>
        <v/>
      </c>
    </row>
    <row r="2251">
      <c r="A2251" s="34" t="n">
        <v>43115</v>
      </c>
      <c r="B2251" s="25">
        <f>VLOOKUP(Table2634[[#This Row],[Date]],'DB Money Supply'!$A:$D,4)</f>
        <v/>
      </c>
      <c r="C2251" s="31">
        <f>(Table2634[[#This Row],[M1 Money Stock, Billions of Dollars, Weekly, Seasonally Adjusted]]-B2250)/B2250</f>
        <v/>
      </c>
      <c r="D2251" s="35">
        <f>(Table2634[[#This Row],[M1 Money Stock, Billions of Dollars, Weekly, Seasonally Adjusted]]-B2248)/B2248</f>
        <v/>
      </c>
      <c r="E2251" s="25">
        <f>AVERAGE(B2248:B2251)</f>
        <v/>
      </c>
      <c r="F2251" s="33">
        <f>(Table2634[[#This Row],[4 weeks average]]-B2199)/B2199</f>
        <v/>
      </c>
    </row>
    <row r="2252">
      <c r="A2252" s="34" t="n">
        <v>43122</v>
      </c>
      <c r="B2252" s="25">
        <f>VLOOKUP(Table2634[[#This Row],[Date]],'DB Money Supply'!$A:$D,4)</f>
        <v/>
      </c>
      <c r="C2252" s="31">
        <f>(Table2634[[#This Row],[M1 Money Stock, Billions of Dollars, Weekly, Seasonally Adjusted]]-B2251)/B2251</f>
        <v/>
      </c>
      <c r="D2252" s="35">
        <f>(Table2634[[#This Row],[M1 Money Stock, Billions of Dollars, Weekly, Seasonally Adjusted]]-B2249)/B2249</f>
        <v/>
      </c>
      <c r="E2252" s="25">
        <f>AVERAGE(B2249:B2252)</f>
        <v/>
      </c>
      <c r="F2252" s="33">
        <f>(Table2634[[#This Row],[4 weeks average]]-B2200)/B2200</f>
        <v/>
      </c>
    </row>
    <row r="2253">
      <c r="A2253" s="34" t="n">
        <v>43129</v>
      </c>
      <c r="B2253" s="25">
        <f>VLOOKUP(Table2634[[#This Row],[Date]],'DB Money Supply'!$A:$D,4)</f>
        <v/>
      </c>
      <c r="C2253" s="31">
        <f>(Table2634[[#This Row],[M1 Money Stock, Billions of Dollars, Weekly, Seasonally Adjusted]]-B2252)/B2252</f>
        <v/>
      </c>
      <c r="D2253" s="35">
        <f>(Table2634[[#This Row],[M1 Money Stock, Billions of Dollars, Weekly, Seasonally Adjusted]]-B2250)/B2250</f>
        <v/>
      </c>
      <c r="E2253" s="25">
        <f>AVERAGE(B2250:B2253)</f>
        <v/>
      </c>
      <c r="F2253" s="33">
        <f>(Table2634[[#This Row],[4 weeks average]]-B2201)/B2201</f>
        <v/>
      </c>
    </row>
    <row r="2254">
      <c r="A2254" s="34" t="n">
        <v>43136</v>
      </c>
      <c r="B2254" s="25">
        <f>VLOOKUP(Table2634[[#This Row],[Date]],'DB Money Supply'!$A:$D,4)</f>
        <v/>
      </c>
      <c r="C2254" s="31">
        <f>(Table2634[[#This Row],[M1 Money Stock, Billions of Dollars, Weekly, Seasonally Adjusted]]-B2253)/B2253</f>
        <v/>
      </c>
      <c r="D2254" s="35">
        <f>(Table2634[[#This Row],[M1 Money Stock, Billions of Dollars, Weekly, Seasonally Adjusted]]-B2251)/B2251</f>
        <v/>
      </c>
      <c r="E2254" s="25">
        <f>AVERAGE(B2251:B2254)</f>
        <v/>
      </c>
      <c r="F2254" s="33">
        <f>(Table2634[[#This Row],[4 weeks average]]-B2202)/B2202</f>
        <v/>
      </c>
    </row>
    <row r="2255">
      <c r="A2255" s="34" t="n">
        <v>43143</v>
      </c>
      <c r="B2255" s="25">
        <f>VLOOKUP(Table2634[[#This Row],[Date]],'DB Money Supply'!$A:$D,4)</f>
        <v/>
      </c>
      <c r="C2255" s="31">
        <f>(Table2634[[#This Row],[M1 Money Stock, Billions of Dollars, Weekly, Seasonally Adjusted]]-B2254)/B2254</f>
        <v/>
      </c>
      <c r="D2255" s="35">
        <f>(Table2634[[#This Row],[M1 Money Stock, Billions of Dollars, Weekly, Seasonally Adjusted]]-B2252)/B2252</f>
        <v/>
      </c>
      <c r="E2255" s="25">
        <f>AVERAGE(B2252:B2255)</f>
        <v/>
      </c>
      <c r="F2255" s="33">
        <f>(Table2634[[#This Row],[4 weeks average]]-B2203)/B2203</f>
        <v/>
      </c>
    </row>
    <row r="2256">
      <c r="A2256" s="34" t="n">
        <v>43150</v>
      </c>
      <c r="B2256" s="25">
        <f>VLOOKUP(Table2634[[#This Row],[Date]],'DB Money Supply'!$A:$D,4)</f>
        <v/>
      </c>
      <c r="C2256" s="31">
        <f>(Table2634[[#This Row],[M1 Money Stock, Billions of Dollars, Weekly, Seasonally Adjusted]]-B2255)/B2255</f>
        <v/>
      </c>
      <c r="D2256" s="35">
        <f>(Table2634[[#This Row],[M1 Money Stock, Billions of Dollars, Weekly, Seasonally Adjusted]]-B2253)/B2253</f>
        <v/>
      </c>
      <c r="E2256" s="25">
        <f>AVERAGE(B2253:B2256)</f>
        <v/>
      </c>
      <c r="F2256" s="33">
        <f>(Table2634[[#This Row],[4 weeks average]]-B2204)/B2204</f>
        <v/>
      </c>
    </row>
    <row r="2257">
      <c r="A2257" s="34" t="n">
        <v>43157</v>
      </c>
      <c r="B2257" s="25">
        <f>VLOOKUP(Table2634[[#This Row],[Date]],'DB Money Supply'!$A:$D,4)</f>
        <v/>
      </c>
      <c r="C2257" s="31">
        <f>(Table2634[[#This Row],[M1 Money Stock, Billions of Dollars, Weekly, Seasonally Adjusted]]-B2256)/B2256</f>
        <v/>
      </c>
      <c r="D2257" s="35">
        <f>(Table2634[[#This Row],[M1 Money Stock, Billions of Dollars, Weekly, Seasonally Adjusted]]-B2254)/B2254</f>
        <v/>
      </c>
      <c r="E2257" s="25">
        <f>AVERAGE(B2254:B2257)</f>
        <v/>
      </c>
      <c r="F2257" s="33">
        <f>(Table2634[[#This Row],[4 weeks average]]-B2205)/B2205</f>
        <v/>
      </c>
    </row>
    <row r="2258">
      <c r="A2258" s="34" t="n">
        <v>43164</v>
      </c>
      <c r="B2258" s="25">
        <f>VLOOKUP(Table2634[[#This Row],[Date]],'DB Money Supply'!$A:$D,4)</f>
        <v/>
      </c>
      <c r="C2258" s="31">
        <f>(Table2634[[#This Row],[M1 Money Stock, Billions of Dollars, Weekly, Seasonally Adjusted]]-B2257)/B2257</f>
        <v/>
      </c>
      <c r="D2258" s="35">
        <f>(Table2634[[#This Row],[M1 Money Stock, Billions of Dollars, Weekly, Seasonally Adjusted]]-B2255)/B2255</f>
        <v/>
      </c>
      <c r="E2258" s="25">
        <f>AVERAGE(B2255:B2258)</f>
        <v/>
      </c>
      <c r="F2258" s="33">
        <f>(Table2634[[#This Row],[4 weeks average]]-B2206)/B2206</f>
        <v/>
      </c>
    </row>
    <row r="2259">
      <c r="A2259" s="34" t="n">
        <v>43171</v>
      </c>
      <c r="B2259" s="25">
        <f>VLOOKUP(Table2634[[#This Row],[Date]],'DB Money Supply'!$A:$D,4)</f>
        <v/>
      </c>
      <c r="C2259" s="31">
        <f>(Table2634[[#This Row],[M1 Money Stock, Billions of Dollars, Weekly, Seasonally Adjusted]]-B2258)/B2258</f>
        <v/>
      </c>
      <c r="D2259" s="35">
        <f>(Table2634[[#This Row],[M1 Money Stock, Billions of Dollars, Weekly, Seasonally Adjusted]]-B2256)/B2256</f>
        <v/>
      </c>
      <c r="E2259" s="25">
        <f>AVERAGE(B2256:B2259)</f>
        <v/>
      </c>
      <c r="F2259" s="33">
        <f>(Table2634[[#This Row],[4 weeks average]]-B2207)/B2207</f>
        <v/>
      </c>
    </row>
    <row r="2260">
      <c r="A2260" s="34" t="n">
        <v>43178</v>
      </c>
      <c r="B2260" s="25">
        <f>VLOOKUP(Table2634[[#This Row],[Date]],'DB Money Supply'!$A:$D,4)</f>
        <v/>
      </c>
      <c r="C2260" s="31">
        <f>(Table2634[[#This Row],[M1 Money Stock, Billions of Dollars, Weekly, Seasonally Adjusted]]-B2259)/B2259</f>
        <v/>
      </c>
      <c r="D2260" s="35">
        <f>(Table2634[[#This Row],[M1 Money Stock, Billions of Dollars, Weekly, Seasonally Adjusted]]-B2257)/B2257</f>
        <v/>
      </c>
      <c r="E2260" s="25">
        <f>AVERAGE(B2257:B2260)</f>
        <v/>
      </c>
      <c r="F2260" s="33">
        <f>(Table2634[[#This Row],[4 weeks average]]-B2208)/B2208</f>
        <v/>
      </c>
    </row>
    <row r="2261">
      <c r="A2261" s="34" t="n">
        <v>43185</v>
      </c>
      <c r="B2261" s="25">
        <f>VLOOKUP(Table2634[[#This Row],[Date]],'DB Money Supply'!$A:$D,4)</f>
        <v/>
      </c>
      <c r="C2261" s="31">
        <f>(Table2634[[#This Row],[M1 Money Stock, Billions of Dollars, Weekly, Seasonally Adjusted]]-B2260)/B2260</f>
        <v/>
      </c>
      <c r="D2261" s="35">
        <f>(Table2634[[#This Row],[M1 Money Stock, Billions of Dollars, Weekly, Seasonally Adjusted]]-B2258)/B2258</f>
        <v/>
      </c>
      <c r="E2261" s="25">
        <f>AVERAGE(B2258:B2261)</f>
        <v/>
      </c>
      <c r="F2261" s="33">
        <f>(Table2634[[#This Row],[4 weeks average]]-B2209)/B2209</f>
        <v/>
      </c>
    </row>
    <row r="2262">
      <c r="A2262" s="34" t="n">
        <v>43192</v>
      </c>
      <c r="B2262" s="25">
        <f>VLOOKUP(Table2634[[#This Row],[Date]],'DB Money Supply'!$A:$D,4)</f>
        <v/>
      </c>
      <c r="C2262" s="31">
        <f>(Table2634[[#This Row],[M1 Money Stock, Billions of Dollars, Weekly, Seasonally Adjusted]]-B2261)/B2261</f>
        <v/>
      </c>
      <c r="D2262" s="35">
        <f>(Table2634[[#This Row],[M1 Money Stock, Billions of Dollars, Weekly, Seasonally Adjusted]]-B2259)/B2259</f>
        <v/>
      </c>
      <c r="E2262" s="25">
        <f>AVERAGE(B2259:B2262)</f>
        <v/>
      </c>
      <c r="F2262" s="33">
        <f>(Table2634[[#This Row],[4 weeks average]]-B2210)/B2210</f>
        <v/>
      </c>
    </row>
    <row r="2263">
      <c r="A2263" s="34" t="n">
        <v>43199</v>
      </c>
      <c r="B2263" s="25">
        <f>VLOOKUP(Table2634[[#This Row],[Date]],'DB Money Supply'!$A:$D,4)</f>
        <v/>
      </c>
      <c r="C2263" s="31">
        <f>(Table2634[[#This Row],[M1 Money Stock, Billions of Dollars, Weekly, Seasonally Adjusted]]-B2262)/B2262</f>
        <v/>
      </c>
      <c r="D2263" s="35">
        <f>(Table2634[[#This Row],[M1 Money Stock, Billions of Dollars, Weekly, Seasonally Adjusted]]-B2260)/B2260</f>
        <v/>
      </c>
      <c r="E2263" s="25">
        <f>AVERAGE(B2260:B2263)</f>
        <v/>
      </c>
      <c r="F2263" s="33">
        <f>(Table2634[[#This Row],[4 weeks average]]-B2211)/B2211</f>
        <v/>
      </c>
    </row>
    <row r="2264">
      <c r="A2264" s="34" t="n">
        <v>43206</v>
      </c>
      <c r="B2264" s="25">
        <f>VLOOKUP(Table2634[[#This Row],[Date]],'DB Money Supply'!$A:$D,4)</f>
        <v/>
      </c>
      <c r="C2264" s="31">
        <f>(Table2634[[#This Row],[M1 Money Stock, Billions of Dollars, Weekly, Seasonally Adjusted]]-B2263)/B2263</f>
        <v/>
      </c>
      <c r="D2264" s="35">
        <f>(Table2634[[#This Row],[M1 Money Stock, Billions of Dollars, Weekly, Seasonally Adjusted]]-B2261)/B2261</f>
        <v/>
      </c>
      <c r="E2264" s="25">
        <f>AVERAGE(B2261:B2264)</f>
        <v/>
      </c>
      <c r="F2264" s="33">
        <f>(Table2634[[#This Row],[4 weeks average]]-B2212)/B2212</f>
        <v/>
      </c>
    </row>
    <row r="2265">
      <c r="A2265" s="34" t="n">
        <v>43213</v>
      </c>
      <c r="B2265" s="25">
        <f>VLOOKUP(Table2634[[#This Row],[Date]],'DB Money Supply'!$A:$D,4)</f>
        <v/>
      </c>
      <c r="C2265" s="31">
        <f>(Table2634[[#This Row],[M1 Money Stock, Billions of Dollars, Weekly, Seasonally Adjusted]]-B2264)/B2264</f>
        <v/>
      </c>
      <c r="D2265" s="35">
        <f>(Table2634[[#This Row],[M1 Money Stock, Billions of Dollars, Weekly, Seasonally Adjusted]]-B2262)/B2262</f>
        <v/>
      </c>
      <c r="E2265" s="25">
        <f>AVERAGE(B2262:B2265)</f>
        <v/>
      </c>
      <c r="F2265" s="33">
        <f>(Table2634[[#This Row],[4 weeks average]]-B2213)/B2213</f>
        <v/>
      </c>
    </row>
    <row r="2266">
      <c r="A2266" s="34" t="n">
        <v>43220</v>
      </c>
      <c r="B2266" s="25">
        <f>VLOOKUP(Table2634[[#This Row],[Date]],'DB Money Supply'!$A:$D,4)</f>
        <v/>
      </c>
      <c r="C2266" s="31">
        <f>(Table2634[[#This Row],[M1 Money Stock, Billions of Dollars, Weekly, Seasonally Adjusted]]-B2265)/B2265</f>
        <v/>
      </c>
      <c r="D2266" s="35">
        <f>(Table2634[[#This Row],[M1 Money Stock, Billions of Dollars, Weekly, Seasonally Adjusted]]-B2263)/B2263</f>
        <v/>
      </c>
      <c r="E2266" s="25">
        <f>AVERAGE(B2263:B2266)</f>
        <v/>
      </c>
      <c r="F2266" s="33">
        <f>(Table2634[[#This Row],[4 weeks average]]-B2214)/B2214</f>
        <v/>
      </c>
    </row>
    <row r="2267">
      <c r="A2267" s="34" t="n">
        <v>43227</v>
      </c>
      <c r="B2267" s="25">
        <f>VLOOKUP(Table2634[[#This Row],[Date]],'DB Money Supply'!$A:$D,4)</f>
        <v/>
      </c>
      <c r="C2267" s="31">
        <f>(Table2634[[#This Row],[M1 Money Stock, Billions of Dollars, Weekly, Seasonally Adjusted]]-B2266)/B2266</f>
        <v/>
      </c>
      <c r="D2267" s="35">
        <f>(Table2634[[#This Row],[M1 Money Stock, Billions of Dollars, Weekly, Seasonally Adjusted]]-B2264)/B2264</f>
        <v/>
      </c>
      <c r="E2267" s="25">
        <f>AVERAGE(B2264:B2267)</f>
        <v/>
      </c>
      <c r="F2267" s="33">
        <f>(Table2634[[#This Row],[4 weeks average]]-B2215)/B2215</f>
        <v/>
      </c>
    </row>
    <row r="2268">
      <c r="A2268" s="34" t="n">
        <v>43234</v>
      </c>
      <c r="B2268" s="25">
        <f>VLOOKUP(Table2634[[#This Row],[Date]],'DB Money Supply'!$A:$D,4)</f>
        <v/>
      </c>
      <c r="C2268" s="31">
        <f>(Table2634[[#This Row],[M1 Money Stock, Billions of Dollars, Weekly, Seasonally Adjusted]]-B2267)/B2267</f>
        <v/>
      </c>
      <c r="D2268" s="35">
        <f>(Table2634[[#This Row],[M1 Money Stock, Billions of Dollars, Weekly, Seasonally Adjusted]]-B2265)/B2265</f>
        <v/>
      </c>
      <c r="E2268" s="25">
        <f>AVERAGE(B2265:B2268)</f>
        <v/>
      </c>
      <c r="F2268" s="33">
        <f>(Table2634[[#This Row],[4 weeks average]]-B2216)/B2216</f>
        <v/>
      </c>
    </row>
    <row r="2269">
      <c r="A2269" s="34" t="n">
        <v>43241</v>
      </c>
      <c r="B2269" s="25">
        <f>VLOOKUP(Table2634[[#This Row],[Date]],'DB Money Supply'!$A:$D,4)</f>
        <v/>
      </c>
      <c r="C2269" s="31">
        <f>(Table2634[[#This Row],[M1 Money Stock, Billions of Dollars, Weekly, Seasonally Adjusted]]-B2268)/B2268</f>
        <v/>
      </c>
      <c r="D2269" s="35">
        <f>(Table2634[[#This Row],[M1 Money Stock, Billions of Dollars, Weekly, Seasonally Adjusted]]-B2266)/B2266</f>
        <v/>
      </c>
      <c r="E2269" s="25">
        <f>AVERAGE(B2266:B2269)</f>
        <v/>
      </c>
      <c r="F2269" s="33">
        <f>(Table2634[[#This Row],[4 weeks average]]-B2217)/B2217</f>
        <v/>
      </c>
    </row>
    <row r="2270">
      <c r="A2270" s="34" t="n">
        <v>43248</v>
      </c>
      <c r="B2270" s="25">
        <f>VLOOKUP(Table2634[[#This Row],[Date]],'DB Money Supply'!$A:$D,4)</f>
        <v/>
      </c>
      <c r="C2270" s="31">
        <f>(Table2634[[#This Row],[M1 Money Stock, Billions of Dollars, Weekly, Seasonally Adjusted]]-B2269)/B2269</f>
        <v/>
      </c>
      <c r="D2270" s="35">
        <f>(Table2634[[#This Row],[M1 Money Stock, Billions of Dollars, Weekly, Seasonally Adjusted]]-B2267)/B2267</f>
        <v/>
      </c>
      <c r="E2270" s="25">
        <f>AVERAGE(B2267:B2270)</f>
        <v/>
      </c>
      <c r="F2270" s="33">
        <f>(Table2634[[#This Row],[4 weeks average]]-B2218)/B2218</f>
        <v/>
      </c>
    </row>
    <row r="2271">
      <c r="A2271" s="34" t="n">
        <v>43255</v>
      </c>
      <c r="B2271" s="25">
        <f>VLOOKUP(Table2634[[#This Row],[Date]],'DB Money Supply'!$A:$D,4)</f>
        <v/>
      </c>
      <c r="C2271" s="31">
        <f>(Table2634[[#This Row],[M1 Money Stock, Billions of Dollars, Weekly, Seasonally Adjusted]]-B2270)/B2270</f>
        <v/>
      </c>
      <c r="D2271" s="35">
        <f>(Table2634[[#This Row],[M1 Money Stock, Billions of Dollars, Weekly, Seasonally Adjusted]]-B2268)/B2268</f>
        <v/>
      </c>
      <c r="E2271" s="25">
        <f>AVERAGE(B2268:B2271)</f>
        <v/>
      </c>
      <c r="F2271" s="33">
        <f>(Table2634[[#This Row],[4 weeks average]]-B2219)/B2219</f>
        <v/>
      </c>
    </row>
    <row r="2272">
      <c r="A2272" s="34" t="n">
        <v>43262</v>
      </c>
      <c r="B2272" s="25">
        <f>VLOOKUP(Table2634[[#This Row],[Date]],'DB Money Supply'!$A:$D,4)</f>
        <v/>
      </c>
      <c r="C2272" s="31">
        <f>(Table2634[[#This Row],[M1 Money Stock, Billions of Dollars, Weekly, Seasonally Adjusted]]-B2271)/B2271</f>
        <v/>
      </c>
      <c r="D2272" s="35">
        <f>(Table2634[[#This Row],[M1 Money Stock, Billions of Dollars, Weekly, Seasonally Adjusted]]-B2269)/B2269</f>
        <v/>
      </c>
      <c r="E2272" s="25">
        <f>AVERAGE(B2269:B2272)</f>
        <v/>
      </c>
      <c r="F2272" s="33">
        <f>(Table2634[[#This Row],[4 weeks average]]-B2220)/B2220</f>
        <v/>
      </c>
    </row>
    <row r="2273">
      <c r="A2273" s="34" t="n">
        <v>43269</v>
      </c>
      <c r="B2273" s="25">
        <f>VLOOKUP(Table2634[[#This Row],[Date]],'DB Money Supply'!$A:$D,4)</f>
        <v/>
      </c>
      <c r="C2273" s="31">
        <f>(Table2634[[#This Row],[M1 Money Stock, Billions of Dollars, Weekly, Seasonally Adjusted]]-B2272)/B2272</f>
        <v/>
      </c>
      <c r="D2273" s="35">
        <f>(Table2634[[#This Row],[M1 Money Stock, Billions of Dollars, Weekly, Seasonally Adjusted]]-B2270)/B2270</f>
        <v/>
      </c>
      <c r="E2273" s="25">
        <f>AVERAGE(B2270:B2273)</f>
        <v/>
      </c>
      <c r="F2273" s="33">
        <f>(Table2634[[#This Row],[4 weeks average]]-B2221)/B2221</f>
        <v/>
      </c>
    </row>
    <row r="2274">
      <c r="A2274" s="34" t="n">
        <v>43276</v>
      </c>
      <c r="B2274" s="25">
        <f>VLOOKUP(Table2634[[#This Row],[Date]],'DB Money Supply'!$A:$D,4)</f>
        <v/>
      </c>
      <c r="C2274" s="31">
        <f>(Table2634[[#This Row],[M1 Money Stock, Billions of Dollars, Weekly, Seasonally Adjusted]]-B2273)/B2273</f>
        <v/>
      </c>
      <c r="D2274" s="35">
        <f>(Table2634[[#This Row],[M1 Money Stock, Billions of Dollars, Weekly, Seasonally Adjusted]]-B2271)/B2271</f>
        <v/>
      </c>
      <c r="E2274" s="25">
        <f>AVERAGE(B2271:B2274)</f>
        <v/>
      </c>
      <c r="F2274" s="33">
        <f>(Table2634[[#This Row],[4 weeks average]]-B2222)/B2222</f>
        <v/>
      </c>
    </row>
    <row r="2275">
      <c r="A2275" s="34" t="n">
        <v>43283</v>
      </c>
      <c r="B2275" s="25">
        <f>VLOOKUP(Table2634[[#This Row],[Date]],'DB Money Supply'!$A:$D,4)</f>
        <v/>
      </c>
      <c r="C2275" s="31">
        <f>(Table2634[[#This Row],[M1 Money Stock, Billions of Dollars, Weekly, Seasonally Adjusted]]-B2274)/B2274</f>
        <v/>
      </c>
      <c r="D2275" s="35">
        <f>(Table2634[[#This Row],[M1 Money Stock, Billions of Dollars, Weekly, Seasonally Adjusted]]-B2272)/B2272</f>
        <v/>
      </c>
      <c r="E2275" s="25">
        <f>AVERAGE(B2272:B2275)</f>
        <v/>
      </c>
      <c r="F2275" s="33">
        <f>(Table2634[[#This Row],[4 weeks average]]-B2223)/B2223</f>
        <v/>
      </c>
    </row>
    <row r="2276">
      <c r="A2276" s="34" t="n">
        <v>43290</v>
      </c>
      <c r="B2276" s="25">
        <f>VLOOKUP(Table2634[[#This Row],[Date]],'DB Money Supply'!$A:$D,4)</f>
        <v/>
      </c>
      <c r="C2276" s="31">
        <f>(Table2634[[#This Row],[M1 Money Stock, Billions of Dollars, Weekly, Seasonally Adjusted]]-B2275)/B2275</f>
        <v/>
      </c>
      <c r="D2276" s="35">
        <f>(Table2634[[#This Row],[M1 Money Stock, Billions of Dollars, Weekly, Seasonally Adjusted]]-B2273)/B2273</f>
        <v/>
      </c>
      <c r="E2276" s="25">
        <f>AVERAGE(B2273:B2276)</f>
        <v/>
      </c>
      <c r="F2276" s="33">
        <f>(Table2634[[#This Row],[4 weeks average]]-B2224)/B2224</f>
        <v/>
      </c>
    </row>
    <row r="2277">
      <c r="A2277" s="34" t="n">
        <v>43297</v>
      </c>
      <c r="B2277" s="25">
        <f>VLOOKUP(Table2634[[#This Row],[Date]],'DB Money Supply'!$A:$D,4)</f>
        <v/>
      </c>
      <c r="C2277" s="31">
        <f>(Table2634[[#This Row],[M1 Money Stock, Billions of Dollars, Weekly, Seasonally Adjusted]]-B2276)/B2276</f>
        <v/>
      </c>
      <c r="D2277" s="35">
        <f>(Table2634[[#This Row],[M1 Money Stock, Billions of Dollars, Weekly, Seasonally Adjusted]]-B2274)/B2274</f>
        <v/>
      </c>
      <c r="E2277" s="25">
        <f>AVERAGE(B2274:B2277)</f>
        <v/>
      </c>
      <c r="F2277" s="33">
        <f>(Table2634[[#This Row],[4 weeks average]]-B2225)/B2225</f>
        <v/>
      </c>
    </row>
    <row r="2278">
      <c r="A2278" s="34" t="n">
        <v>43304</v>
      </c>
      <c r="B2278" s="25">
        <f>VLOOKUP(Table2634[[#This Row],[Date]],'DB Money Supply'!$A:$D,4)</f>
        <v/>
      </c>
      <c r="C2278" s="31">
        <f>(Table2634[[#This Row],[M1 Money Stock, Billions of Dollars, Weekly, Seasonally Adjusted]]-B2277)/B2277</f>
        <v/>
      </c>
      <c r="D2278" s="35">
        <f>(Table2634[[#This Row],[M1 Money Stock, Billions of Dollars, Weekly, Seasonally Adjusted]]-B2275)/B2275</f>
        <v/>
      </c>
      <c r="E2278" s="25">
        <f>AVERAGE(B2275:B2278)</f>
        <v/>
      </c>
      <c r="F2278" s="33">
        <f>(Table2634[[#This Row],[4 weeks average]]-B2226)/B2226</f>
        <v/>
      </c>
    </row>
    <row r="2279">
      <c r="A2279" s="34" t="n">
        <v>43311</v>
      </c>
      <c r="B2279" s="25">
        <f>VLOOKUP(Table2634[[#This Row],[Date]],'DB Money Supply'!$A:$D,4)</f>
        <v/>
      </c>
      <c r="C2279" s="31">
        <f>(Table2634[[#This Row],[M1 Money Stock, Billions of Dollars, Weekly, Seasonally Adjusted]]-B2278)/B2278</f>
        <v/>
      </c>
      <c r="D2279" s="35">
        <f>(Table2634[[#This Row],[M1 Money Stock, Billions of Dollars, Weekly, Seasonally Adjusted]]-B2276)/B2276</f>
        <v/>
      </c>
      <c r="E2279" s="25">
        <f>AVERAGE(B2276:B2279)</f>
        <v/>
      </c>
      <c r="F2279" s="33">
        <f>(Table2634[[#This Row],[4 weeks average]]-B2227)/B2227</f>
        <v/>
      </c>
    </row>
    <row r="2280">
      <c r="A2280" s="34" t="n">
        <v>43318</v>
      </c>
      <c r="B2280" s="25">
        <f>VLOOKUP(Table2634[[#This Row],[Date]],'DB Money Supply'!$A:$D,4)</f>
        <v/>
      </c>
      <c r="C2280" s="31">
        <f>(Table2634[[#This Row],[M1 Money Stock, Billions of Dollars, Weekly, Seasonally Adjusted]]-B2279)/B2279</f>
        <v/>
      </c>
      <c r="D2280" s="35">
        <f>(Table2634[[#This Row],[M1 Money Stock, Billions of Dollars, Weekly, Seasonally Adjusted]]-B2277)/B2277</f>
        <v/>
      </c>
      <c r="E2280" s="25">
        <f>AVERAGE(B2277:B2280)</f>
        <v/>
      </c>
      <c r="F2280" s="33">
        <f>(Table2634[[#This Row],[4 weeks average]]-B2228)/B2228</f>
        <v/>
      </c>
    </row>
    <row r="2281">
      <c r="A2281" s="34" t="n">
        <v>43325</v>
      </c>
      <c r="B2281" s="25">
        <f>VLOOKUP(Table2634[[#This Row],[Date]],'DB Money Supply'!$A:$D,4)</f>
        <v/>
      </c>
      <c r="C2281" s="31">
        <f>(Table2634[[#This Row],[M1 Money Stock, Billions of Dollars, Weekly, Seasonally Adjusted]]-B2280)/B2280</f>
        <v/>
      </c>
      <c r="D2281" s="35">
        <f>(Table2634[[#This Row],[M1 Money Stock, Billions of Dollars, Weekly, Seasonally Adjusted]]-B2278)/B2278</f>
        <v/>
      </c>
      <c r="E2281" s="25">
        <f>AVERAGE(B2278:B2281)</f>
        <v/>
      </c>
      <c r="F2281" s="33">
        <f>(Table2634[[#This Row],[4 weeks average]]-B2229)/B2229</f>
        <v/>
      </c>
    </row>
    <row r="2282">
      <c r="A2282" s="34" t="n">
        <v>43332</v>
      </c>
      <c r="B2282" s="25">
        <f>VLOOKUP(Table2634[[#This Row],[Date]],'DB Money Supply'!$A:$D,4)</f>
        <v/>
      </c>
      <c r="C2282" s="31">
        <f>(Table2634[[#This Row],[M1 Money Stock, Billions of Dollars, Weekly, Seasonally Adjusted]]-B2281)/B2281</f>
        <v/>
      </c>
      <c r="D2282" s="35">
        <f>(Table2634[[#This Row],[M1 Money Stock, Billions of Dollars, Weekly, Seasonally Adjusted]]-B2279)/B2279</f>
        <v/>
      </c>
      <c r="E2282" s="25">
        <f>AVERAGE(B2279:B2282)</f>
        <v/>
      </c>
      <c r="F2282" s="33">
        <f>(Table2634[[#This Row],[4 weeks average]]-B2230)/B2230</f>
        <v/>
      </c>
    </row>
    <row r="2283">
      <c r="A2283" s="34" t="n">
        <v>43339</v>
      </c>
      <c r="B2283" s="25">
        <f>VLOOKUP(Table2634[[#This Row],[Date]],'DB Money Supply'!$A:$D,4)</f>
        <v/>
      </c>
      <c r="C2283" s="31">
        <f>(Table2634[[#This Row],[M1 Money Stock, Billions of Dollars, Weekly, Seasonally Adjusted]]-B2282)/B2282</f>
        <v/>
      </c>
      <c r="D2283" s="35">
        <f>(Table2634[[#This Row],[M1 Money Stock, Billions of Dollars, Weekly, Seasonally Adjusted]]-B2280)/B2280</f>
        <v/>
      </c>
      <c r="E2283" s="25">
        <f>AVERAGE(B2280:B2283)</f>
        <v/>
      </c>
      <c r="F2283" s="33">
        <f>(Table2634[[#This Row],[4 weeks average]]-B2231)/B2231</f>
        <v/>
      </c>
    </row>
    <row r="2284">
      <c r="A2284" s="34" t="n">
        <v>43346</v>
      </c>
      <c r="B2284" s="25">
        <f>VLOOKUP(Table2634[[#This Row],[Date]],'DB Money Supply'!$A:$D,4)</f>
        <v/>
      </c>
      <c r="C2284" s="31">
        <f>(Table2634[[#This Row],[M1 Money Stock, Billions of Dollars, Weekly, Seasonally Adjusted]]-B2283)/B2283</f>
        <v/>
      </c>
      <c r="D2284" s="35">
        <f>(Table2634[[#This Row],[M1 Money Stock, Billions of Dollars, Weekly, Seasonally Adjusted]]-B2281)/B2281</f>
        <v/>
      </c>
      <c r="E2284" s="25">
        <f>AVERAGE(B2281:B2284)</f>
        <v/>
      </c>
      <c r="F2284" s="33">
        <f>(Table2634[[#This Row],[4 weeks average]]-B2232)/B2232</f>
        <v/>
      </c>
    </row>
    <row r="2285">
      <c r="A2285" s="34" t="n">
        <v>43353</v>
      </c>
      <c r="B2285" s="25">
        <f>VLOOKUP(Table2634[[#This Row],[Date]],'DB Money Supply'!$A:$D,4)</f>
        <v/>
      </c>
      <c r="C2285" s="31">
        <f>(Table2634[[#This Row],[M1 Money Stock, Billions of Dollars, Weekly, Seasonally Adjusted]]-B2284)/B2284</f>
        <v/>
      </c>
      <c r="D2285" s="35">
        <f>(Table2634[[#This Row],[M1 Money Stock, Billions of Dollars, Weekly, Seasonally Adjusted]]-B2282)/B2282</f>
        <v/>
      </c>
      <c r="E2285" s="25">
        <f>AVERAGE(B2282:B2285)</f>
        <v/>
      </c>
      <c r="F2285" s="33">
        <f>(Table2634[[#This Row],[4 weeks average]]-B2233)/B2233</f>
        <v/>
      </c>
    </row>
    <row r="2286">
      <c r="A2286" s="34" t="n">
        <v>43360</v>
      </c>
      <c r="B2286" s="25">
        <f>VLOOKUP(Table2634[[#This Row],[Date]],'DB Money Supply'!$A:$D,4)</f>
        <v/>
      </c>
      <c r="C2286" s="31">
        <f>(Table2634[[#This Row],[M1 Money Stock, Billions of Dollars, Weekly, Seasonally Adjusted]]-B2285)/B2285</f>
        <v/>
      </c>
      <c r="D2286" s="35">
        <f>(Table2634[[#This Row],[M1 Money Stock, Billions of Dollars, Weekly, Seasonally Adjusted]]-B2283)/B2283</f>
        <v/>
      </c>
      <c r="E2286" s="25">
        <f>AVERAGE(B2283:B2286)</f>
        <v/>
      </c>
      <c r="F2286" s="33">
        <f>(Table2634[[#This Row],[4 weeks average]]-B2234)/B2234</f>
        <v/>
      </c>
    </row>
    <row r="2287">
      <c r="A2287" s="34" t="n">
        <v>43367</v>
      </c>
      <c r="B2287" s="25">
        <f>VLOOKUP(Table2634[[#This Row],[Date]],'DB Money Supply'!$A:$D,4)</f>
        <v/>
      </c>
      <c r="C2287" s="31">
        <f>(Table2634[[#This Row],[M1 Money Stock, Billions of Dollars, Weekly, Seasonally Adjusted]]-B2286)/B2286</f>
        <v/>
      </c>
      <c r="D2287" s="35">
        <f>(Table2634[[#This Row],[M1 Money Stock, Billions of Dollars, Weekly, Seasonally Adjusted]]-B2284)/B2284</f>
        <v/>
      </c>
      <c r="E2287" s="25">
        <f>AVERAGE(B2284:B2287)</f>
        <v/>
      </c>
      <c r="F2287" s="33">
        <f>(Table2634[[#This Row],[4 weeks average]]-B2235)/B2235</f>
        <v/>
      </c>
    </row>
    <row r="2288">
      <c r="A2288" s="34" t="n">
        <v>43374</v>
      </c>
      <c r="B2288" s="25">
        <f>VLOOKUP(Table2634[[#This Row],[Date]],'DB Money Supply'!$A:$D,4)</f>
        <v/>
      </c>
      <c r="C2288" s="31">
        <f>(Table2634[[#This Row],[M1 Money Stock, Billions of Dollars, Weekly, Seasonally Adjusted]]-B2287)/B2287</f>
        <v/>
      </c>
      <c r="D2288" s="35">
        <f>(Table2634[[#This Row],[M1 Money Stock, Billions of Dollars, Weekly, Seasonally Adjusted]]-B2285)/B2285</f>
        <v/>
      </c>
      <c r="E2288" s="25">
        <f>AVERAGE(B2285:B2288)</f>
        <v/>
      </c>
      <c r="F2288" s="33">
        <f>(Table2634[[#This Row],[4 weeks average]]-B2236)/B2236</f>
        <v/>
      </c>
    </row>
    <row r="2289">
      <c r="A2289" s="34" t="n">
        <v>43381</v>
      </c>
      <c r="B2289" s="25">
        <f>VLOOKUP(Table2634[[#This Row],[Date]],'DB Money Supply'!$A:$D,4)</f>
        <v/>
      </c>
      <c r="C2289" s="31">
        <f>(Table2634[[#This Row],[M1 Money Stock, Billions of Dollars, Weekly, Seasonally Adjusted]]-B2288)/B2288</f>
        <v/>
      </c>
      <c r="D2289" s="35">
        <f>(Table2634[[#This Row],[M1 Money Stock, Billions of Dollars, Weekly, Seasonally Adjusted]]-B2286)/B2286</f>
        <v/>
      </c>
      <c r="E2289" s="25">
        <f>AVERAGE(B2286:B2289)</f>
        <v/>
      </c>
      <c r="F2289" s="33">
        <f>(Table2634[[#This Row],[4 weeks average]]-B2237)/B2237</f>
        <v/>
      </c>
    </row>
    <row r="2290">
      <c r="A2290" s="34" t="n">
        <v>43388</v>
      </c>
      <c r="B2290" s="25">
        <f>VLOOKUP(Table2634[[#This Row],[Date]],'DB Money Supply'!$A:$D,4)</f>
        <v/>
      </c>
      <c r="C2290" s="31">
        <f>(Table2634[[#This Row],[M1 Money Stock, Billions of Dollars, Weekly, Seasonally Adjusted]]-B2289)/B2289</f>
        <v/>
      </c>
      <c r="D2290" s="35">
        <f>(Table2634[[#This Row],[M1 Money Stock, Billions of Dollars, Weekly, Seasonally Adjusted]]-B2287)/B2287</f>
        <v/>
      </c>
      <c r="E2290" s="25">
        <f>AVERAGE(B2287:B2290)</f>
        <v/>
      </c>
      <c r="F2290" s="33">
        <f>(Table2634[[#This Row],[4 weeks average]]-B2238)/B2238</f>
        <v/>
      </c>
    </row>
    <row r="2291">
      <c r="A2291" s="34" t="n">
        <v>43395</v>
      </c>
      <c r="B2291" s="25">
        <f>VLOOKUP(Table2634[[#This Row],[Date]],'DB Money Supply'!$A:$D,4)</f>
        <v/>
      </c>
      <c r="C2291" s="31">
        <f>(Table2634[[#This Row],[M1 Money Stock, Billions of Dollars, Weekly, Seasonally Adjusted]]-B2290)/B2290</f>
        <v/>
      </c>
      <c r="D2291" s="35">
        <f>(Table2634[[#This Row],[M1 Money Stock, Billions of Dollars, Weekly, Seasonally Adjusted]]-B2288)/B2288</f>
        <v/>
      </c>
      <c r="E2291" s="25">
        <f>AVERAGE(B2288:B2291)</f>
        <v/>
      </c>
      <c r="F2291" s="33">
        <f>(Table2634[[#This Row],[4 weeks average]]-B2239)/B2239</f>
        <v/>
      </c>
    </row>
    <row r="2292">
      <c r="A2292" s="34" t="n">
        <v>43402</v>
      </c>
      <c r="B2292" s="25">
        <f>VLOOKUP(Table2634[[#This Row],[Date]],'DB Money Supply'!$A:$D,4)</f>
        <v/>
      </c>
      <c r="C2292" s="31">
        <f>(Table2634[[#This Row],[M1 Money Stock, Billions of Dollars, Weekly, Seasonally Adjusted]]-B2291)/B2291</f>
        <v/>
      </c>
      <c r="D2292" s="35">
        <f>(Table2634[[#This Row],[M1 Money Stock, Billions of Dollars, Weekly, Seasonally Adjusted]]-B2289)/B2289</f>
        <v/>
      </c>
      <c r="E2292" s="25">
        <f>AVERAGE(B2289:B2292)</f>
        <v/>
      </c>
      <c r="F2292" s="33">
        <f>(Table2634[[#This Row],[4 weeks average]]-B2240)/B2240</f>
        <v/>
      </c>
    </row>
    <row r="2293">
      <c r="A2293" s="34" t="n">
        <v>43409</v>
      </c>
      <c r="B2293" s="25">
        <f>VLOOKUP(Table2634[[#This Row],[Date]],'DB Money Supply'!$A:$D,4)</f>
        <v/>
      </c>
      <c r="C2293" s="31">
        <f>(Table2634[[#This Row],[M1 Money Stock, Billions of Dollars, Weekly, Seasonally Adjusted]]-B2292)/B2292</f>
        <v/>
      </c>
      <c r="D2293" s="35">
        <f>(Table2634[[#This Row],[M1 Money Stock, Billions of Dollars, Weekly, Seasonally Adjusted]]-B2290)/B2290</f>
        <v/>
      </c>
      <c r="E2293" s="25">
        <f>AVERAGE(B2290:B2293)</f>
        <v/>
      </c>
      <c r="F2293" s="33">
        <f>(Table2634[[#This Row],[4 weeks average]]-B2241)/B2241</f>
        <v/>
      </c>
    </row>
    <row r="2294">
      <c r="A2294" s="34" t="n">
        <v>43416</v>
      </c>
      <c r="B2294" s="25">
        <f>VLOOKUP(Table2634[[#This Row],[Date]],'DB Money Supply'!$A:$D,4)</f>
        <v/>
      </c>
      <c r="C2294" s="31">
        <f>(Table2634[[#This Row],[M1 Money Stock, Billions of Dollars, Weekly, Seasonally Adjusted]]-B2293)/B2293</f>
        <v/>
      </c>
      <c r="D2294" s="35">
        <f>(Table2634[[#This Row],[M1 Money Stock, Billions of Dollars, Weekly, Seasonally Adjusted]]-B2291)/B2291</f>
        <v/>
      </c>
      <c r="E2294" s="25">
        <f>AVERAGE(B2291:B2294)</f>
        <v/>
      </c>
      <c r="F2294" s="33">
        <f>(Table2634[[#This Row],[4 weeks average]]-B2242)/B2242</f>
        <v/>
      </c>
    </row>
    <row r="2295">
      <c r="A2295" s="34" t="n">
        <v>43423</v>
      </c>
      <c r="B2295" s="25">
        <f>VLOOKUP(Table2634[[#This Row],[Date]],'DB Money Supply'!$A:$D,4)</f>
        <v/>
      </c>
      <c r="C2295" s="31">
        <f>(Table2634[[#This Row],[M1 Money Stock, Billions of Dollars, Weekly, Seasonally Adjusted]]-B2294)/B2294</f>
        <v/>
      </c>
      <c r="D2295" s="35">
        <f>(Table2634[[#This Row],[M1 Money Stock, Billions of Dollars, Weekly, Seasonally Adjusted]]-B2292)/B2292</f>
        <v/>
      </c>
      <c r="E2295" s="25">
        <f>AVERAGE(B2292:B2295)</f>
        <v/>
      </c>
      <c r="F2295" s="33">
        <f>(Table2634[[#This Row],[4 weeks average]]-B2243)/B2243</f>
        <v/>
      </c>
    </row>
    <row r="2296">
      <c r="A2296" s="34" t="n">
        <v>43430</v>
      </c>
      <c r="B2296" s="25">
        <f>VLOOKUP(Table2634[[#This Row],[Date]],'DB Money Supply'!$A:$D,4)</f>
        <v/>
      </c>
      <c r="C2296" s="31">
        <f>(Table2634[[#This Row],[M1 Money Stock, Billions of Dollars, Weekly, Seasonally Adjusted]]-B2295)/B2295</f>
        <v/>
      </c>
      <c r="D2296" s="35">
        <f>(Table2634[[#This Row],[M1 Money Stock, Billions of Dollars, Weekly, Seasonally Adjusted]]-B2293)/B2293</f>
        <v/>
      </c>
      <c r="E2296" s="25">
        <f>AVERAGE(B2293:B2296)</f>
        <v/>
      </c>
      <c r="F2296" s="33">
        <f>(Table2634[[#This Row],[4 weeks average]]-B2244)/B2244</f>
        <v/>
      </c>
    </row>
    <row r="2297">
      <c r="A2297" s="34" t="n">
        <v>43437</v>
      </c>
      <c r="B2297" s="25">
        <f>VLOOKUP(Table2634[[#This Row],[Date]],'DB Money Supply'!$A:$D,4)</f>
        <v/>
      </c>
      <c r="C2297" s="31">
        <f>(Table2634[[#This Row],[M1 Money Stock, Billions of Dollars, Weekly, Seasonally Adjusted]]-B2296)/B2296</f>
        <v/>
      </c>
      <c r="D2297" s="35">
        <f>(Table2634[[#This Row],[M1 Money Stock, Billions of Dollars, Weekly, Seasonally Adjusted]]-B2294)/B2294</f>
        <v/>
      </c>
      <c r="E2297" s="25">
        <f>AVERAGE(B2294:B2297)</f>
        <v/>
      </c>
      <c r="F2297" s="33">
        <f>(Table2634[[#This Row],[4 weeks average]]-B2245)/B2245</f>
        <v/>
      </c>
    </row>
    <row r="2298">
      <c r="A2298" s="34" t="n">
        <v>43444</v>
      </c>
      <c r="B2298" s="25">
        <f>VLOOKUP(Table2634[[#This Row],[Date]],'DB Money Supply'!$A:$D,4)</f>
        <v/>
      </c>
      <c r="C2298" s="31">
        <f>(Table2634[[#This Row],[M1 Money Stock, Billions of Dollars, Weekly, Seasonally Adjusted]]-B2297)/B2297</f>
        <v/>
      </c>
      <c r="D2298" s="35">
        <f>(Table2634[[#This Row],[M1 Money Stock, Billions of Dollars, Weekly, Seasonally Adjusted]]-B2295)/B2295</f>
        <v/>
      </c>
      <c r="E2298" s="25">
        <f>AVERAGE(B2295:B2298)</f>
        <v/>
      </c>
      <c r="F2298" s="33">
        <f>(Table2634[[#This Row],[4 weeks average]]-B2246)/B2246</f>
        <v/>
      </c>
    </row>
    <row r="2299">
      <c r="A2299" s="34" t="n">
        <v>43451</v>
      </c>
      <c r="B2299" s="25">
        <f>VLOOKUP(Table2634[[#This Row],[Date]],'DB Money Supply'!$A:$D,4)</f>
        <v/>
      </c>
      <c r="C2299" s="31">
        <f>(Table2634[[#This Row],[M1 Money Stock, Billions of Dollars, Weekly, Seasonally Adjusted]]-B2298)/B2298</f>
        <v/>
      </c>
      <c r="D2299" s="35">
        <f>(Table2634[[#This Row],[M1 Money Stock, Billions of Dollars, Weekly, Seasonally Adjusted]]-B2296)/B2296</f>
        <v/>
      </c>
      <c r="E2299" s="25">
        <f>AVERAGE(B2296:B2299)</f>
        <v/>
      </c>
      <c r="F2299" s="33">
        <f>(Table2634[[#This Row],[4 weeks average]]-B2247)/B2247</f>
        <v/>
      </c>
    </row>
    <row r="2300">
      <c r="A2300" s="34" t="n">
        <v>43458</v>
      </c>
      <c r="B2300" s="25">
        <f>VLOOKUP(Table2634[[#This Row],[Date]],'DB Money Supply'!$A:$D,4)</f>
        <v/>
      </c>
      <c r="C2300" s="31">
        <f>(Table2634[[#This Row],[M1 Money Stock, Billions of Dollars, Weekly, Seasonally Adjusted]]-B2299)/B2299</f>
        <v/>
      </c>
      <c r="D2300" s="35">
        <f>(Table2634[[#This Row],[M1 Money Stock, Billions of Dollars, Weekly, Seasonally Adjusted]]-B2297)/B2297</f>
        <v/>
      </c>
      <c r="E2300" s="25">
        <f>AVERAGE(B2297:B2300)</f>
        <v/>
      </c>
      <c r="F2300" s="33">
        <f>(Table2634[[#This Row],[4 weeks average]]-B2248)/B2248</f>
        <v/>
      </c>
    </row>
    <row r="2301">
      <c r="A2301" s="34" t="n">
        <v>43465</v>
      </c>
      <c r="B2301" s="25">
        <f>VLOOKUP(Table2634[[#This Row],[Date]],'DB Money Supply'!$A:$D,4)</f>
        <v/>
      </c>
      <c r="C2301" s="31">
        <f>(Table2634[[#This Row],[M1 Money Stock, Billions of Dollars, Weekly, Seasonally Adjusted]]-B2300)/B2300</f>
        <v/>
      </c>
      <c r="D2301" s="35">
        <f>(Table2634[[#This Row],[M1 Money Stock, Billions of Dollars, Weekly, Seasonally Adjusted]]-B2298)/B2298</f>
        <v/>
      </c>
      <c r="E2301" s="25">
        <f>AVERAGE(B2298:B2301)</f>
        <v/>
      </c>
      <c r="F2301" s="33">
        <f>(Table2634[[#This Row],[4 weeks average]]-B2249)/B2249</f>
        <v/>
      </c>
    </row>
    <row r="2302">
      <c r="A2302" s="34" t="n">
        <v>43472</v>
      </c>
      <c r="B2302" s="25">
        <f>VLOOKUP(Table2634[[#This Row],[Date]],'DB Money Supply'!$A:$D,4)</f>
        <v/>
      </c>
      <c r="C2302" s="31">
        <f>(Table2634[[#This Row],[M1 Money Stock, Billions of Dollars, Weekly, Seasonally Adjusted]]-B2301)/B2301</f>
        <v/>
      </c>
      <c r="D2302" s="35">
        <f>(Table2634[[#This Row],[M1 Money Stock, Billions of Dollars, Weekly, Seasonally Adjusted]]-B2299)/B2299</f>
        <v/>
      </c>
      <c r="E2302" s="25">
        <f>AVERAGE(B2299:B2302)</f>
        <v/>
      </c>
      <c r="F2302" s="33">
        <f>(Table2634[[#This Row],[4 weeks average]]-B2250)/B2250</f>
        <v/>
      </c>
    </row>
    <row r="2303">
      <c r="A2303" s="34" t="n">
        <v>43479</v>
      </c>
      <c r="B2303" s="25">
        <f>VLOOKUP(Table2634[[#This Row],[Date]],'DB Money Supply'!$A:$D,4)</f>
        <v/>
      </c>
      <c r="C2303" s="31">
        <f>(Table2634[[#This Row],[M1 Money Stock, Billions of Dollars, Weekly, Seasonally Adjusted]]-B2302)/B2302</f>
        <v/>
      </c>
      <c r="D2303" s="35">
        <f>(Table2634[[#This Row],[M1 Money Stock, Billions of Dollars, Weekly, Seasonally Adjusted]]-B2300)/B2300</f>
        <v/>
      </c>
      <c r="E2303" s="25">
        <f>AVERAGE(B2300:B2303)</f>
        <v/>
      </c>
      <c r="F2303" s="33">
        <f>(Table2634[[#This Row],[4 weeks average]]-B2251)/B2251</f>
        <v/>
      </c>
    </row>
    <row r="2304">
      <c r="A2304" s="34" t="n">
        <v>43486</v>
      </c>
      <c r="B2304" s="25">
        <f>VLOOKUP(Table2634[[#This Row],[Date]],'DB Money Supply'!$A:$D,4)</f>
        <v/>
      </c>
      <c r="C2304" s="31">
        <f>(Table2634[[#This Row],[M1 Money Stock, Billions of Dollars, Weekly, Seasonally Adjusted]]-B2303)/B2303</f>
        <v/>
      </c>
      <c r="D2304" s="35">
        <f>(Table2634[[#This Row],[M1 Money Stock, Billions of Dollars, Weekly, Seasonally Adjusted]]-B2301)/B2301</f>
        <v/>
      </c>
      <c r="E2304" s="25">
        <f>AVERAGE(B2301:B2304)</f>
        <v/>
      </c>
      <c r="F2304" s="33">
        <f>(Table2634[[#This Row],[4 weeks average]]-B2252)/B2252</f>
        <v/>
      </c>
    </row>
    <row r="2305">
      <c r="A2305" s="34" t="n">
        <v>43493</v>
      </c>
      <c r="B2305" s="25">
        <f>VLOOKUP(Table2634[[#This Row],[Date]],'DB Money Supply'!$A:$D,4)</f>
        <v/>
      </c>
      <c r="C2305" s="31">
        <f>(Table2634[[#This Row],[M1 Money Stock, Billions of Dollars, Weekly, Seasonally Adjusted]]-B2304)/B2304</f>
        <v/>
      </c>
      <c r="D2305" s="35">
        <f>(Table2634[[#This Row],[M1 Money Stock, Billions of Dollars, Weekly, Seasonally Adjusted]]-B2302)/B2302</f>
        <v/>
      </c>
      <c r="E2305" s="25">
        <f>AVERAGE(B2302:B2305)</f>
        <v/>
      </c>
      <c r="F2305" s="33">
        <f>(Table2634[[#This Row],[4 weeks average]]-B2253)/B2253</f>
        <v/>
      </c>
    </row>
    <row r="2306">
      <c r="A2306" s="34" t="n">
        <v>43500</v>
      </c>
      <c r="B2306" s="25">
        <f>VLOOKUP(Table2634[[#This Row],[Date]],'DB Money Supply'!$A:$D,4)</f>
        <v/>
      </c>
      <c r="C2306" s="31">
        <f>(Table2634[[#This Row],[M1 Money Stock, Billions of Dollars, Weekly, Seasonally Adjusted]]-B2305)/B2305</f>
        <v/>
      </c>
      <c r="D2306" s="35">
        <f>(Table2634[[#This Row],[M1 Money Stock, Billions of Dollars, Weekly, Seasonally Adjusted]]-B2303)/B2303</f>
        <v/>
      </c>
      <c r="E2306" s="25">
        <f>AVERAGE(B2303:B2306)</f>
        <v/>
      </c>
      <c r="F2306" s="33">
        <f>(Table2634[[#This Row],[4 weeks average]]-B2254)/B2254</f>
        <v/>
      </c>
    </row>
    <row r="2307">
      <c r="A2307" s="34" t="n">
        <v>43507</v>
      </c>
      <c r="B2307" s="25">
        <f>VLOOKUP(Table2634[[#This Row],[Date]],'DB Money Supply'!$A:$D,4)</f>
        <v/>
      </c>
      <c r="C2307" s="31">
        <f>(Table2634[[#This Row],[M1 Money Stock, Billions of Dollars, Weekly, Seasonally Adjusted]]-B2306)/B2306</f>
        <v/>
      </c>
      <c r="D2307" s="35">
        <f>(Table2634[[#This Row],[M1 Money Stock, Billions of Dollars, Weekly, Seasonally Adjusted]]-B2304)/B2304</f>
        <v/>
      </c>
      <c r="E2307" s="25">
        <f>AVERAGE(B2304:B2307)</f>
        <v/>
      </c>
      <c r="F2307" s="33">
        <f>(Table2634[[#This Row],[4 weeks average]]-B2255)/B2255</f>
        <v/>
      </c>
    </row>
    <row r="2308">
      <c r="A2308" s="34" t="n">
        <v>43514</v>
      </c>
      <c r="B2308" s="25">
        <f>VLOOKUP(Table2634[[#This Row],[Date]],'DB Money Supply'!$A:$D,4)</f>
        <v/>
      </c>
      <c r="C2308" s="31">
        <f>(Table2634[[#This Row],[M1 Money Stock, Billions of Dollars, Weekly, Seasonally Adjusted]]-B2307)/B2307</f>
        <v/>
      </c>
      <c r="D2308" s="35">
        <f>(Table2634[[#This Row],[M1 Money Stock, Billions of Dollars, Weekly, Seasonally Adjusted]]-B2305)/B2305</f>
        <v/>
      </c>
      <c r="E2308" s="25">
        <f>AVERAGE(B2305:B2308)</f>
        <v/>
      </c>
      <c r="F2308" s="33">
        <f>(Table2634[[#This Row],[4 weeks average]]-B2256)/B2256</f>
        <v/>
      </c>
    </row>
    <row r="2309">
      <c r="A2309" s="34" t="n">
        <v>43521</v>
      </c>
      <c r="B2309" s="25">
        <f>VLOOKUP(Table2634[[#This Row],[Date]],'DB Money Supply'!$A:$D,4)</f>
        <v/>
      </c>
      <c r="C2309" s="31">
        <f>(Table2634[[#This Row],[M1 Money Stock, Billions of Dollars, Weekly, Seasonally Adjusted]]-B2308)/B2308</f>
        <v/>
      </c>
      <c r="D2309" s="35">
        <f>(Table2634[[#This Row],[M1 Money Stock, Billions of Dollars, Weekly, Seasonally Adjusted]]-B2306)/B2306</f>
        <v/>
      </c>
      <c r="E2309" s="25">
        <f>AVERAGE(B2306:B2309)</f>
        <v/>
      </c>
      <c r="F2309" s="33">
        <f>(Table2634[[#This Row],[4 weeks average]]-B2257)/B2257</f>
        <v/>
      </c>
    </row>
    <row r="2310">
      <c r="A2310" s="34" t="n">
        <v>43528</v>
      </c>
      <c r="B2310" s="25">
        <f>VLOOKUP(Table2634[[#This Row],[Date]],'DB Money Supply'!$A:$D,4)</f>
        <v/>
      </c>
      <c r="C2310" s="31">
        <f>(Table2634[[#This Row],[M1 Money Stock, Billions of Dollars, Weekly, Seasonally Adjusted]]-B2309)/B2309</f>
        <v/>
      </c>
      <c r="D2310" s="35">
        <f>(Table2634[[#This Row],[M1 Money Stock, Billions of Dollars, Weekly, Seasonally Adjusted]]-B2307)/B2307</f>
        <v/>
      </c>
      <c r="E2310" s="25">
        <f>AVERAGE(B2307:B2310)</f>
        <v/>
      </c>
      <c r="F2310" s="33">
        <f>(Table2634[[#This Row],[4 weeks average]]-B2258)/B2258</f>
        <v/>
      </c>
    </row>
    <row r="2311">
      <c r="A2311" s="34" t="n">
        <v>43535</v>
      </c>
      <c r="B2311" s="25">
        <f>VLOOKUP(Table2634[[#This Row],[Date]],'DB Money Supply'!$A:$D,4)</f>
        <v/>
      </c>
      <c r="C2311" s="31">
        <f>(Table2634[[#This Row],[M1 Money Stock, Billions of Dollars, Weekly, Seasonally Adjusted]]-B2310)/B2310</f>
        <v/>
      </c>
      <c r="D2311" s="35">
        <f>(Table2634[[#This Row],[M1 Money Stock, Billions of Dollars, Weekly, Seasonally Adjusted]]-B2308)/B2308</f>
        <v/>
      </c>
      <c r="E2311" s="25">
        <f>AVERAGE(B2308:B2311)</f>
        <v/>
      </c>
      <c r="F2311" s="33">
        <f>(Table2634[[#This Row],[4 weeks average]]-B2259)/B2259</f>
        <v/>
      </c>
    </row>
    <row r="2312">
      <c r="A2312" s="34" t="n">
        <v>43542</v>
      </c>
      <c r="B2312" s="25">
        <f>VLOOKUP(Table2634[[#This Row],[Date]],'DB Money Supply'!$A:$D,4)</f>
        <v/>
      </c>
      <c r="C2312" s="31">
        <f>(Table2634[[#This Row],[M1 Money Stock, Billions of Dollars, Weekly, Seasonally Adjusted]]-B2311)/B2311</f>
        <v/>
      </c>
      <c r="D2312" s="35">
        <f>(Table2634[[#This Row],[M1 Money Stock, Billions of Dollars, Weekly, Seasonally Adjusted]]-B2309)/B2309</f>
        <v/>
      </c>
      <c r="E2312" s="25">
        <f>AVERAGE(B2309:B2312)</f>
        <v/>
      </c>
      <c r="F2312" s="33">
        <f>(Table2634[[#This Row],[4 weeks average]]-B2260)/B2260</f>
        <v/>
      </c>
    </row>
    <row r="2313">
      <c r="A2313" s="34" t="n">
        <v>43549</v>
      </c>
      <c r="B2313" s="25">
        <f>VLOOKUP(Table2634[[#This Row],[Date]],'DB Money Supply'!$A:$D,4)</f>
        <v/>
      </c>
      <c r="C2313" s="31">
        <f>(Table2634[[#This Row],[M1 Money Stock, Billions of Dollars, Weekly, Seasonally Adjusted]]-B2312)/B2312</f>
        <v/>
      </c>
      <c r="D2313" s="35">
        <f>(Table2634[[#This Row],[M1 Money Stock, Billions of Dollars, Weekly, Seasonally Adjusted]]-B2310)/B2310</f>
        <v/>
      </c>
      <c r="E2313" s="25">
        <f>AVERAGE(B2310:B2313)</f>
        <v/>
      </c>
      <c r="F2313" s="33">
        <f>(Table2634[[#This Row],[4 weeks average]]-B2261)/B2261</f>
        <v/>
      </c>
    </row>
    <row r="2314">
      <c r="A2314" s="34" t="n">
        <v>43556</v>
      </c>
      <c r="B2314" s="25">
        <f>VLOOKUP(Table2634[[#This Row],[Date]],'DB Money Supply'!$A:$D,4)</f>
        <v/>
      </c>
      <c r="C2314" s="31">
        <f>(Table2634[[#This Row],[M1 Money Stock, Billions of Dollars, Weekly, Seasonally Adjusted]]-B2313)/B2313</f>
        <v/>
      </c>
      <c r="D2314" s="35">
        <f>(Table2634[[#This Row],[M1 Money Stock, Billions of Dollars, Weekly, Seasonally Adjusted]]-B2311)/B2311</f>
        <v/>
      </c>
      <c r="E2314" s="25">
        <f>AVERAGE(B2311:B2314)</f>
        <v/>
      </c>
      <c r="F2314" s="33">
        <f>(Table2634[[#This Row],[4 weeks average]]-B2262)/B2262</f>
        <v/>
      </c>
    </row>
    <row r="2315">
      <c r="A2315" s="34" t="n">
        <v>43563</v>
      </c>
      <c r="B2315" s="25">
        <f>VLOOKUP(Table2634[[#This Row],[Date]],'DB Money Supply'!$A:$D,4)</f>
        <v/>
      </c>
      <c r="C2315" s="31">
        <f>(Table2634[[#This Row],[M1 Money Stock, Billions of Dollars, Weekly, Seasonally Adjusted]]-B2314)/B2314</f>
        <v/>
      </c>
      <c r="D2315" s="35">
        <f>(Table2634[[#This Row],[M1 Money Stock, Billions of Dollars, Weekly, Seasonally Adjusted]]-B2312)/B2312</f>
        <v/>
      </c>
      <c r="E2315" s="25">
        <f>AVERAGE(B2312:B2315)</f>
        <v/>
      </c>
      <c r="F2315" s="33">
        <f>(Table2634[[#This Row],[4 weeks average]]-B2263)/B2263</f>
        <v/>
      </c>
    </row>
    <row r="2316">
      <c r="A2316" s="34" t="n">
        <v>43570</v>
      </c>
      <c r="B2316" s="25">
        <f>VLOOKUP(Table2634[[#This Row],[Date]],'DB Money Supply'!$A:$D,4)</f>
        <v/>
      </c>
      <c r="C2316" s="31">
        <f>(Table2634[[#This Row],[M1 Money Stock, Billions of Dollars, Weekly, Seasonally Adjusted]]-B2315)/B2315</f>
        <v/>
      </c>
      <c r="D2316" s="35">
        <f>(Table2634[[#This Row],[M1 Money Stock, Billions of Dollars, Weekly, Seasonally Adjusted]]-B2313)/B2313</f>
        <v/>
      </c>
      <c r="E2316" s="25">
        <f>AVERAGE(B2313:B2316)</f>
        <v/>
      </c>
      <c r="F2316" s="33">
        <f>(Table2634[[#This Row],[4 weeks average]]-B2264)/B2264</f>
        <v/>
      </c>
    </row>
    <row r="2317">
      <c r="A2317" s="34" t="n">
        <v>43577</v>
      </c>
      <c r="B2317" s="25">
        <f>VLOOKUP(Table2634[[#This Row],[Date]],'DB Money Supply'!$A:$D,4)</f>
        <v/>
      </c>
      <c r="C2317" s="31">
        <f>(Table2634[[#This Row],[M1 Money Stock, Billions of Dollars, Weekly, Seasonally Adjusted]]-B2316)/B2316</f>
        <v/>
      </c>
      <c r="D2317" s="35">
        <f>(Table2634[[#This Row],[M1 Money Stock, Billions of Dollars, Weekly, Seasonally Adjusted]]-B2314)/B2314</f>
        <v/>
      </c>
      <c r="E2317" s="25">
        <f>AVERAGE(B2314:B2317)</f>
        <v/>
      </c>
      <c r="F2317" s="33">
        <f>(Table2634[[#This Row],[4 weeks average]]-B2265)/B2265</f>
        <v/>
      </c>
    </row>
    <row r="2318">
      <c r="A2318" s="34" t="n">
        <v>43584</v>
      </c>
      <c r="B2318" s="25">
        <f>VLOOKUP(Table2634[[#This Row],[Date]],'DB Money Supply'!$A:$D,4)</f>
        <v/>
      </c>
      <c r="C2318" s="31">
        <f>(Table2634[[#This Row],[M1 Money Stock, Billions of Dollars, Weekly, Seasonally Adjusted]]-B2317)/B2317</f>
        <v/>
      </c>
      <c r="D2318" s="35">
        <f>(Table2634[[#This Row],[M1 Money Stock, Billions of Dollars, Weekly, Seasonally Adjusted]]-B2315)/B2315</f>
        <v/>
      </c>
      <c r="E2318" s="25">
        <f>AVERAGE(B2315:B2318)</f>
        <v/>
      </c>
      <c r="F2318" s="33">
        <f>(Table2634[[#This Row],[4 weeks average]]-B2266)/B2266</f>
        <v/>
      </c>
    </row>
    <row r="2319">
      <c r="A2319" s="34" t="n">
        <v>43591</v>
      </c>
      <c r="B2319" s="25">
        <f>VLOOKUP(Table2634[[#This Row],[Date]],'DB Money Supply'!$A:$D,4)</f>
        <v/>
      </c>
      <c r="C2319" s="31">
        <f>(Table2634[[#This Row],[M1 Money Stock, Billions of Dollars, Weekly, Seasonally Adjusted]]-B2318)/B2318</f>
        <v/>
      </c>
      <c r="D2319" s="35">
        <f>(Table2634[[#This Row],[M1 Money Stock, Billions of Dollars, Weekly, Seasonally Adjusted]]-B2316)/B2316</f>
        <v/>
      </c>
      <c r="E2319" s="25">
        <f>AVERAGE(B2316:B2319)</f>
        <v/>
      </c>
      <c r="F2319" s="33">
        <f>(Table2634[[#This Row],[4 weeks average]]-B2267)/B2267</f>
        <v/>
      </c>
    </row>
    <row r="2320">
      <c r="A2320" s="34" t="n">
        <v>43598</v>
      </c>
      <c r="B2320" s="25">
        <f>VLOOKUP(Table2634[[#This Row],[Date]],'DB Money Supply'!$A:$D,4)</f>
        <v/>
      </c>
      <c r="C2320" s="31">
        <f>(Table2634[[#This Row],[M1 Money Stock, Billions of Dollars, Weekly, Seasonally Adjusted]]-B2319)/B2319</f>
        <v/>
      </c>
      <c r="D2320" s="35">
        <f>(Table2634[[#This Row],[M1 Money Stock, Billions of Dollars, Weekly, Seasonally Adjusted]]-B2317)/B2317</f>
        <v/>
      </c>
      <c r="E2320" s="25">
        <f>AVERAGE(B2317:B2320)</f>
        <v/>
      </c>
      <c r="F2320" s="33">
        <f>(Table2634[[#This Row],[4 weeks average]]-B2268)/B2268</f>
        <v/>
      </c>
    </row>
    <row r="2321">
      <c r="A2321" s="34" t="n">
        <v>43605</v>
      </c>
      <c r="B2321" s="25">
        <f>VLOOKUP(Table2634[[#This Row],[Date]],'DB Money Supply'!$A:$D,4)</f>
        <v/>
      </c>
      <c r="C2321" s="31">
        <f>(Table2634[[#This Row],[M1 Money Stock, Billions of Dollars, Weekly, Seasonally Adjusted]]-B2320)/B2320</f>
        <v/>
      </c>
      <c r="D2321" s="35">
        <f>(Table2634[[#This Row],[M1 Money Stock, Billions of Dollars, Weekly, Seasonally Adjusted]]-B2318)/B2318</f>
        <v/>
      </c>
      <c r="E2321" s="25">
        <f>AVERAGE(B2318:B2321)</f>
        <v/>
      </c>
      <c r="F2321" s="33">
        <f>(Table2634[[#This Row],[4 weeks average]]-B2269)/B2269</f>
        <v/>
      </c>
    </row>
    <row r="2322">
      <c r="A2322" s="34" t="n">
        <v>43612</v>
      </c>
      <c r="B2322" s="25">
        <f>VLOOKUP(Table2634[[#This Row],[Date]],'DB Money Supply'!$A:$D,4)</f>
        <v/>
      </c>
      <c r="C2322" s="31">
        <f>(Table2634[[#This Row],[M1 Money Stock, Billions of Dollars, Weekly, Seasonally Adjusted]]-B2321)/B2321</f>
        <v/>
      </c>
      <c r="D2322" s="35">
        <f>(Table2634[[#This Row],[M1 Money Stock, Billions of Dollars, Weekly, Seasonally Adjusted]]-B2319)/B2319</f>
        <v/>
      </c>
      <c r="E2322" s="25">
        <f>AVERAGE(B2319:B2322)</f>
        <v/>
      </c>
      <c r="F2322" s="33">
        <f>(Table2634[[#This Row],[4 weeks average]]-B2270)/B2270</f>
        <v/>
      </c>
    </row>
    <row r="2323">
      <c r="A2323" s="34" t="n">
        <v>43619</v>
      </c>
      <c r="B2323" s="25">
        <f>VLOOKUP(Table2634[[#This Row],[Date]],'DB Money Supply'!$A:$D,4)</f>
        <v/>
      </c>
      <c r="C2323" s="31">
        <f>(Table2634[[#This Row],[M1 Money Stock, Billions of Dollars, Weekly, Seasonally Adjusted]]-B2322)/B2322</f>
        <v/>
      </c>
      <c r="D2323" s="35">
        <f>(Table2634[[#This Row],[M1 Money Stock, Billions of Dollars, Weekly, Seasonally Adjusted]]-B2320)/B2320</f>
        <v/>
      </c>
      <c r="E2323" s="25">
        <f>AVERAGE(B2320:B2323)</f>
        <v/>
      </c>
      <c r="F2323" s="33">
        <f>(Table2634[[#This Row],[4 weeks average]]-B2271)/B2271</f>
        <v/>
      </c>
    </row>
    <row r="2324">
      <c r="A2324" s="34" t="n">
        <v>43626</v>
      </c>
      <c r="B2324" s="25">
        <f>VLOOKUP(Table2634[[#This Row],[Date]],'DB Money Supply'!$A:$D,4)</f>
        <v/>
      </c>
      <c r="C2324" s="31">
        <f>(Table2634[[#This Row],[M1 Money Stock, Billions of Dollars, Weekly, Seasonally Adjusted]]-B2323)/B2323</f>
        <v/>
      </c>
      <c r="D2324" s="35">
        <f>(Table2634[[#This Row],[M1 Money Stock, Billions of Dollars, Weekly, Seasonally Adjusted]]-B2321)/B2321</f>
        <v/>
      </c>
      <c r="E2324" s="25">
        <f>AVERAGE(B2321:B2324)</f>
        <v/>
      </c>
      <c r="F2324" s="33">
        <f>(Table2634[[#This Row],[4 weeks average]]-B2272)/B2272</f>
        <v/>
      </c>
    </row>
    <row r="2325">
      <c r="A2325" s="34" t="n">
        <v>43633</v>
      </c>
      <c r="B2325" s="25">
        <f>VLOOKUP(Table2634[[#This Row],[Date]],'DB Money Supply'!$A:$D,4)</f>
        <v/>
      </c>
      <c r="C2325" s="31">
        <f>(Table2634[[#This Row],[M1 Money Stock, Billions of Dollars, Weekly, Seasonally Adjusted]]-B2324)/B2324</f>
        <v/>
      </c>
      <c r="D2325" s="35">
        <f>(Table2634[[#This Row],[M1 Money Stock, Billions of Dollars, Weekly, Seasonally Adjusted]]-B2322)/B2322</f>
        <v/>
      </c>
      <c r="E2325" s="25">
        <f>AVERAGE(B2322:B2325)</f>
        <v/>
      </c>
      <c r="F2325" s="33">
        <f>(Table2634[[#This Row],[4 weeks average]]-B2273)/B2273</f>
        <v/>
      </c>
    </row>
    <row r="2326">
      <c r="A2326" s="34" t="n">
        <v>43640</v>
      </c>
      <c r="B2326" s="25">
        <f>VLOOKUP(Table2634[[#This Row],[Date]],'DB Money Supply'!$A:$D,4)</f>
        <v/>
      </c>
      <c r="C2326" s="31">
        <f>(Table2634[[#This Row],[M1 Money Stock, Billions of Dollars, Weekly, Seasonally Adjusted]]-B2325)/B2325</f>
        <v/>
      </c>
      <c r="D2326" s="35">
        <f>(Table2634[[#This Row],[M1 Money Stock, Billions of Dollars, Weekly, Seasonally Adjusted]]-B2323)/B2323</f>
        <v/>
      </c>
      <c r="E2326" s="25">
        <f>AVERAGE(B2323:B2326)</f>
        <v/>
      </c>
      <c r="F2326" s="33">
        <f>(Table2634[[#This Row],[4 weeks average]]-B2274)/B2274</f>
        <v/>
      </c>
    </row>
    <row r="2327">
      <c r="A2327" s="34" t="n">
        <v>43647</v>
      </c>
      <c r="B2327" s="25">
        <f>VLOOKUP(Table2634[[#This Row],[Date]],'DB Money Supply'!$A:$D,4)</f>
        <v/>
      </c>
      <c r="C2327" s="31">
        <f>(Table2634[[#This Row],[M1 Money Stock, Billions of Dollars, Weekly, Seasonally Adjusted]]-B2326)/B2326</f>
        <v/>
      </c>
      <c r="D2327" s="35">
        <f>(Table2634[[#This Row],[M1 Money Stock, Billions of Dollars, Weekly, Seasonally Adjusted]]-B2324)/B2324</f>
        <v/>
      </c>
      <c r="E2327" s="25">
        <f>AVERAGE(B2324:B2327)</f>
        <v/>
      </c>
      <c r="F2327" s="33">
        <f>(Table2634[[#This Row],[4 weeks average]]-B2275)/B2275</f>
        <v/>
      </c>
    </row>
    <row r="2328">
      <c r="A2328" s="34" t="n">
        <v>43654</v>
      </c>
      <c r="B2328" s="25">
        <f>VLOOKUP(Table2634[[#This Row],[Date]],'DB Money Supply'!$A:$D,4)</f>
        <v/>
      </c>
      <c r="C2328" s="31">
        <f>(Table2634[[#This Row],[M1 Money Stock, Billions of Dollars, Weekly, Seasonally Adjusted]]-B2327)/B2327</f>
        <v/>
      </c>
      <c r="D2328" s="35">
        <f>(Table2634[[#This Row],[M1 Money Stock, Billions of Dollars, Weekly, Seasonally Adjusted]]-B2325)/B2325</f>
        <v/>
      </c>
      <c r="E2328" s="25">
        <f>AVERAGE(B2325:B2328)</f>
        <v/>
      </c>
      <c r="F2328" s="33">
        <f>(Table2634[[#This Row],[4 weeks average]]-B2276)/B2276</f>
        <v/>
      </c>
    </row>
    <row r="2329">
      <c r="A2329" s="34" t="n">
        <v>43661</v>
      </c>
      <c r="B2329" s="25">
        <f>VLOOKUP(Table2634[[#This Row],[Date]],'DB Money Supply'!$A:$D,4)</f>
        <v/>
      </c>
      <c r="C2329" s="31">
        <f>(Table2634[[#This Row],[M1 Money Stock, Billions of Dollars, Weekly, Seasonally Adjusted]]-B2328)/B2328</f>
        <v/>
      </c>
      <c r="D2329" s="35">
        <f>(Table2634[[#This Row],[M1 Money Stock, Billions of Dollars, Weekly, Seasonally Adjusted]]-B2326)/B2326</f>
        <v/>
      </c>
      <c r="E2329" s="25">
        <f>AVERAGE(B2326:B2329)</f>
        <v/>
      </c>
      <c r="F2329" s="33">
        <f>(Table2634[[#This Row],[4 weeks average]]-B2277)/B2277</f>
        <v/>
      </c>
    </row>
    <row r="2330">
      <c r="A2330" s="34" t="n">
        <v>43668</v>
      </c>
      <c r="B2330" s="25">
        <f>VLOOKUP(Table2634[[#This Row],[Date]],'DB Money Supply'!$A:$D,4)</f>
        <v/>
      </c>
      <c r="C2330" s="31">
        <f>(Table2634[[#This Row],[M1 Money Stock, Billions of Dollars, Weekly, Seasonally Adjusted]]-B2329)/B2329</f>
        <v/>
      </c>
      <c r="D2330" s="35">
        <f>(Table2634[[#This Row],[M1 Money Stock, Billions of Dollars, Weekly, Seasonally Adjusted]]-B2327)/B2327</f>
        <v/>
      </c>
      <c r="E2330" s="25">
        <f>AVERAGE(B2327:B2330)</f>
        <v/>
      </c>
      <c r="F2330" s="33">
        <f>(Table2634[[#This Row],[4 weeks average]]-B2278)/B2278</f>
        <v/>
      </c>
    </row>
    <row r="2331">
      <c r="A2331" s="34" t="n">
        <v>43675</v>
      </c>
      <c r="B2331" s="25">
        <f>VLOOKUP(Table2634[[#This Row],[Date]],'DB Money Supply'!$A:$D,4)</f>
        <v/>
      </c>
      <c r="C2331" s="31">
        <f>(Table2634[[#This Row],[M1 Money Stock, Billions of Dollars, Weekly, Seasonally Adjusted]]-B2330)/B2330</f>
        <v/>
      </c>
      <c r="D2331" s="35">
        <f>(Table2634[[#This Row],[M1 Money Stock, Billions of Dollars, Weekly, Seasonally Adjusted]]-B2328)/B2328</f>
        <v/>
      </c>
      <c r="E2331" s="25">
        <f>AVERAGE(B2328:B2331)</f>
        <v/>
      </c>
      <c r="F2331" s="33">
        <f>(Table2634[[#This Row],[4 weeks average]]-B2279)/B2279</f>
        <v/>
      </c>
    </row>
    <row r="2332">
      <c r="A2332" s="34" t="n">
        <v>43682</v>
      </c>
      <c r="B2332" s="25">
        <f>VLOOKUP(Table2634[[#This Row],[Date]],'DB Money Supply'!$A:$D,4)</f>
        <v/>
      </c>
      <c r="C2332" s="31">
        <f>(Table2634[[#This Row],[M1 Money Stock, Billions of Dollars, Weekly, Seasonally Adjusted]]-B2331)/B2331</f>
        <v/>
      </c>
      <c r="D2332" s="35">
        <f>(Table2634[[#This Row],[M1 Money Stock, Billions of Dollars, Weekly, Seasonally Adjusted]]-B2329)/B2329</f>
        <v/>
      </c>
      <c r="E2332" s="25">
        <f>AVERAGE(B2329:B2332)</f>
        <v/>
      </c>
      <c r="F2332" s="33">
        <f>(Table2634[[#This Row],[4 weeks average]]-B2280)/B2280</f>
        <v/>
      </c>
    </row>
    <row r="2333">
      <c r="A2333" s="34" t="n">
        <v>43689</v>
      </c>
      <c r="B2333" s="25">
        <f>VLOOKUP(Table2634[[#This Row],[Date]],'DB Money Supply'!$A:$D,4)</f>
        <v/>
      </c>
      <c r="C2333" s="31">
        <f>(Table2634[[#This Row],[M1 Money Stock, Billions of Dollars, Weekly, Seasonally Adjusted]]-B2332)/B2332</f>
        <v/>
      </c>
      <c r="D2333" s="35">
        <f>(Table2634[[#This Row],[M1 Money Stock, Billions of Dollars, Weekly, Seasonally Adjusted]]-B2330)/B2330</f>
        <v/>
      </c>
      <c r="E2333" s="25">
        <f>AVERAGE(B2330:B2333)</f>
        <v/>
      </c>
      <c r="F2333" s="33">
        <f>(Table2634[[#This Row],[4 weeks average]]-B2281)/B2281</f>
        <v/>
      </c>
    </row>
    <row r="2334">
      <c r="A2334" s="34" t="n">
        <v>43696</v>
      </c>
      <c r="B2334" s="25">
        <f>VLOOKUP(Table2634[[#This Row],[Date]],'DB Money Supply'!$A:$D,4)</f>
        <v/>
      </c>
      <c r="C2334" s="31">
        <f>(Table2634[[#This Row],[M1 Money Stock, Billions of Dollars, Weekly, Seasonally Adjusted]]-B2333)/B2333</f>
        <v/>
      </c>
      <c r="D2334" s="35">
        <f>(Table2634[[#This Row],[M1 Money Stock, Billions of Dollars, Weekly, Seasonally Adjusted]]-B2331)/B2331</f>
        <v/>
      </c>
      <c r="E2334" s="25">
        <f>AVERAGE(B2331:B2334)</f>
        <v/>
      </c>
      <c r="F2334" s="33">
        <f>(Table2634[[#This Row],[4 weeks average]]-B2282)/B2282</f>
        <v/>
      </c>
    </row>
    <row r="2335">
      <c r="A2335" s="34" t="n">
        <v>43703</v>
      </c>
      <c r="B2335" s="25">
        <f>VLOOKUP(Table2634[[#This Row],[Date]],'DB Money Supply'!$A:$D,4)</f>
        <v/>
      </c>
      <c r="C2335" s="31">
        <f>(Table2634[[#This Row],[M1 Money Stock, Billions of Dollars, Weekly, Seasonally Adjusted]]-B2334)/B2334</f>
        <v/>
      </c>
      <c r="D2335" s="35">
        <f>(Table2634[[#This Row],[M1 Money Stock, Billions of Dollars, Weekly, Seasonally Adjusted]]-B2332)/B2332</f>
        <v/>
      </c>
      <c r="E2335" s="25">
        <f>AVERAGE(B2332:B2335)</f>
        <v/>
      </c>
      <c r="F2335" s="33">
        <f>(Table2634[[#This Row],[4 weeks average]]-B2283)/B2283</f>
        <v/>
      </c>
    </row>
    <row r="2336">
      <c r="A2336" s="34" t="n">
        <v>43710</v>
      </c>
      <c r="B2336" s="25">
        <f>VLOOKUP(Table2634[[#This Row],[Date]],'DB Money Supply'!$A:$D,4)</f>
        <v/>
      </c>
      <c r="C2336" s="31">
        <f>(Table2634[[#This Row],[M1 Money Stock, Billions of Dollars, Weekly, Seasonally Adjusted]]-B2335)/B2335</f>
        <v/>
      </c>
      <c r="D2336" s="35">
        <f>(Table2634[[#This Row],[M1 Money Stock, Billions of Dollars, Weekly, Seasonally Adjusted]]-B2333)/B2333</f>
        <v/>
      </c>
      <c r="E2336" s="25">
        <f>AVERAGE(B2333:B2336)</f>
        <v/>
      </c>
      <c r="F2336" s="33">
        <f>(Table2634[[#This Row],[4 weeks average]]-B2284)/B2284</f>
        <v/>
      </c>
    </row>
    <row r="2337">
      <c r="A2337" s="34" t="n">
        <v>43717</v>
      </c>
      <c r="B2337" s="25">
        <f>VLOOKUP(Table2634[[#This Row],[Date]],'DB Money Supply'!$A:$D,4)</f>
        <v/>
      </c>
      <c r="C2337" s="31">
        <f>(Table2634[[#This Row],[M1 Money Stock, Billions of Dollars, Weekly, Seasonally Adjusted]]-B2336)/B2336</f>
        <v/>
      </c>
      <c r="D2337" s="35">
        <f>(Table2634[[#This Row],[M1 Money Stock, Billions of Dollars, Weekly, Seasonally Adjusted]]-B2334)/B2334</f>
        <v/>
      </c>
      <c r="E2337" s="25">
        <f>AVERAGE(B2334:B2337)</f>
        <v/>
      </c>
      <c r="F2337" s="33">
        <f>(Table2634[[#This Row],[4 weeks average]]-B2285)/B2285</f>
        <v/>
      </c>
    </row>
    <row r="2338">
      <c r="A2338" s="34" t="n">
        <v>43724</v>
      </c>
      <c r="B2338" s="25">
        <f>VLOOKUP(Table2634[[#This Row],[Date]],'DB Money Supply'!$A:$D,4)</f>
        <v/>
      </c>
      <c r="C2338" s="31">
        <f>(Table2634[[#This Row],[M1 Money Stock, Billions of Dollars, Weekly, Seasonally Adjusted]]-B2337)/B2337</f>
        <v/>
      </c>
      <c r="D2338" s="35">
        <f>(Table2634[[#This Row],[M1 Money Stock, Billions of Dollars, Weekly, Seasonally Adjusted]]-B2335)/B2335</f>
        <v/>
      </c>
      <c r="E2338" s="25">
        <f>AVERAGE(B2335:B2338)</f>
        <v/>
      </c>
      <c r="F2338" s="33">
        <f>(Table2634[[#This Row],[4 weeks average]]-B2286)/B2286</f>
        <v/>
      </c>
    </row>
    <row r="2339">
      <c r="A2339" s="34" t="n">
        <v>43731</v>
      </c>
      <c r="B2339" s="25">
        <f>VLOOKUP(Table2634[[#This Row],[Date]],'DB Money Supply'!$A:$D,4)</f>
        <v/>
      </c>
      <c r="C2339" s="31">
        <f>(Table2634[[#This Row],[M1 Money Stock, Billions of Dollars, Weekly, Seasonally Adjusted]]-B2338)/B2338</f>
        <v/>
      </c>
      <c r="D2339" s="35">
        <f>(Table2634[[#This Row],[M1 Money Stock, Billions of Dollars, Weekly, Seasonally Adjusted]]-B2336)/B2336</f>
        <v/>
      </c>
      <c r="E2339" s="25">
        <f>AVERAGE(B2336:B2339)</f>
        <v/>
      </c>
      <c r="F2339" s="33">
        <f>(Table2634[[#This Row],[4 weeks average]]-B2287)/B2287</f>
        <v/>
      </c>
    </row>
    <row r="2340">
      <c r="A2340" s="34" t="n">
        <v>43738</v>
      </c>
      <c r="B2340" s="25">
        <f>VLOOKUP(Table2634[[#This Row],[Date]],'DB Money Supply'!$A:$D,4)</f>
        <v/>
      </c>
      <c r="C2340" s="31">
        <f>(Table2634[[#This Row],[M1 Money Stock, Billions of Dollars, Weekly, Seasonally Adjusted]]-B2339)/B2339</f>
        <v/>
      </c>
      <c r="D2340" s="35">
        <f>(Table2634[[#This Row],[M1 Money Stock, Billions of Dollars, Weekly, Seasonally Adjusted]]-B2337)/B2337</f>
        <v/>
      </c>
      <c r="E2340" s="25">
        <f>AVERAGE(B2337:B2340)</f>
        <v/>
      </c>
      <c r="F2340" s="33">
        <f>(Table2634[[#This Row],[4 weeks average]]-B2288)/B2288</f>
        <v/>
      </c>
    </row>
    <row r="2341">
      <c r="A2341" s="34" t="n">
        <v>43745</v>
      </c>
      <c r="B2341" s="25">
        <f>VLOOKUP(Table2634[[#This Row],[Date]],'DB Money Supply'!$A:$D,4)</f>
        <v/>
      </c>
      <c r="C2341" s="31">
        <f>(Table2634[[#This Row],[M1 Money Stock, Billions of Dollars, Weekly, Seasonally Adjusted]]-B2340)/B2340</f>
        <v/>
      </c>
      <c r="D2341" s="35">
        <f>(Table2634[[#This Row],[M1 Money Stock, Billions of Dollars, Weekly, Seasonally Adjusted]]-B2338)/B2338</f>
        <v/>
      </c>
      <c r="E2341" s="25">
        <f>AVERAGE(B2338:B2341)</f>
        <v/>
      </c>
      <c r="F2341" s="33">
        <f>(Table2634[[#This Row],[4 weeks average]]-B2289)/B2289</f>
        <v/>
      </c>
    </row>
    <row r="2342">
      <c r="A2342" s="34" t="n">
        <v>43752</v>
      </c>
      <c r="B2342" s="25">
        <f>VLOOKUP(Table2634[[#This Row],[Date]],'DB Money Supply'!$A:$D,4)</f>
        <v/>
      </c>
      <c r="C2342" s="31">
        <f>(Table2634[[#This Row],[M1 Money Stock, Billions of Dollars, Weekly, Seasonally Adjusted]]-B2341)/B2341</f>
        <v/>
      </c>
      <c r="D2342" s="35">
        <f>(Table2634[[#This Row],[M1 Money Stock, Billions of Dollars, Weekly, Seasonally Adjusted]]-B2339)/B2339</f>
        <v/>
      </c>
      <c r="E2342" s="25">
        <f>AVERAGE(B2339:B2342)</f>
        <v/>
      </c>
      <c r="F2342" s="33">
        <f>(Table2634[[#This Row],[4 weeks average]]-B2290)/B2290</f>
        <v/>
      </c>
    </row>
    <row r="2343">
      <c r="A2343" s="34" t="n">
        <v>43759</v>
      </c>
      <c r="B2343" s="25">
        <f>VLOOKUP(Table2634[[#This Row],[Date]],'DB Money Supply'!$A:$D,4)</f>
        <v/>
      </c>
      <c r="C2343" s="31">
        <f>(Table2634[[#This Row],[M1 Money Stock, Billions of Dollars, Weekly, Seasonally Adjusted]]-B2342)/B2342</f>
        <v/>
      </c>
      <c r="D2343" s="35">
        <f>(Table2634[[#This Row],[M1 Money Stock, Billions of Dollars, Weekly, Seasonally Adjusted]]-B2340)/B2340</f>
        <v/>
      </c>
      <c r="E2343" s="25">
        <f>AVERAGE(B2340:B2343)</f>
        <v/>
      </c>
      <c r="F2343" s="33">
        <f>(Table2634[[#This Row],[4 weeks average]]-B2291)/B2291</f>
        <v/>
      </c>
    </row>
    <row r="2344">
      <c r="A2344" s="34" t="n">
        <v>43766</v>
      </c>
      <c r="B2344" s="25">
        <f>VLOOKUP(Table2634[[#This Row],[Date]],'DB Money Supply'!$A:$D,4)</f>
        <v/>
      </c>
      <c r="C2344" s="31">
        <f>(Table2634[[#This Row],[M1 Money Stock, Billions of Dollars, Weekly, Seasonally Adjusted]]-B2343)/B2343</f>
        <v/>
      </c>
      <c r="D2344" s="35">
        <f>(Table2634[[#This Row],[M1 Money Stock, Billions of Dollars, Weekly, Seasonally Adjusted]]-B2341)/B2341</f>
        <v/>
      </c>
      <c r="E2344" s="25">
        <f>AVERAGE(B2341:B2344)</f>
        <v/>
      </c>
      <c r="F2344" s="33">
        <f>(Table2634[[#This Row],[4 weeks average]]-B2292)/B2292</f>
        <v/>
      </c>
    </row>
    <row r="2345">
      <c r="A2345" s="34" t="n">
        <v>43773</v>
      </c>
      <c r="B2345" s="25">
        <f>VLOOKUP(Table2634[[#This Row],[Date]],'DB Money Supply'!$A:$D,4)</f>
        <v/>
      </c>
      <c r="C2345" s="31">
        <f>(Table2634[[#This Row],[M1 Money Stock, Billions of Dollars, Weekly, Seasonally Adjusted]]-B2344)/B2344</f>
        <v/>
      </c>
      <c r="D2345" s="35">
        <f>(Table2634[[#This Row],[M1 Money Stock, Billions of Dollars, Weekly, Seasonally Adjusted]]-B2342)/B2342</f>
        <v/>
      </c>
      <c r="E2345" s="25">
        <f>AVERAGE(B2342:B2345)</f>
        <v/>
      </c>
      <c r="F2345" s="33">
        <f>(Table2634[[#This Row],[4 weeks average]]-B2293)/B2293</f>
        <v/>
      </c>
    </row>
    <row r="2346">
      <c r="A2346" s="34" t="n">
        <v>43780</v>
      </c>
      <c r="B2346" s="25">
        <f>VLOOKUP(Table2634[[#This Row],[Date]],'DB Money Supply'!$A:$D,4)</f>
        <v/>
      </c>
      <c r="C2346" s="31">
        <f>(Table2634[[#This Row],[M1 Money Stock, Billions of Dollars, Weekly, Seasonally Adjusted]]-B2345)/B2345</f>
        <v/>
      </c>
      <c r="D2346" s="35">
        <f>(Table2634[[#This Row],[M1 Money Stock, Billions of Dollars, Weekly, Seasonally Adjusted]]-B2343)/B2343</f>
        <v/>
      </c>
      <c r="E2346" s="25">
        <f>AVERAGE(B2343:B2346)</f>
        <v/>
      </c>
      <c r="F2346" s="33">
        <f>(Table2634[[#This Row],[4 weeks average]]-B2294)/B2294</f>
        <v/>
      </c>
    </row>
    <row r="2347">
      <c r="A2347" s="34" t="n">
        <v>43787</v>
      </c>
      <c r="B2347" s="25">
        <f>VLOOKUP(Table2634[[#This Row],[Date]],'DB Money Supply'!$A:$D,4)</f>
        <v/>
      </c>
      <c r="C2347" s="31">
        <f>(Table2634[[#This Row],[M1 Money Stock, Billions of Dollars, Weekly, Seasonally Adjusted]]-B2346)/B2346</f>
        <v/>
      </c>
      <c r="D2347" s="35">
        <f>(Table2634[[#This Row],[M1 Money Stock, Billions of Dollars, Weekly, Seasonally Adjusted]]-B2344)/B2344</f>
        <v/>
      </c>
      <c r="E2347" s="25">
        <f>AVERAGE(B2344:B2347)</f>
        <v/>
      </c>
      <c r="F2347" s="33">
        <f>(Table2634[[#This Row],[4 weeks average]]-B2295)/B2295</f>
        <v/>
      </c>
    </row>
    <row r="2348">
      <c r="A2348" s="34" t="n">
        <v>43794</v>
      </c>
      <c r="B2348" s="25">
        <f>VLOOKUP(Table2634[[#This Row],[Date]],'DB Money Supply'!$A:$D,4)</f>
        <v/>
      </c>
      <c r="C2348" s="31">
        <f>(Table2634[[#This Row],[M1 Money Stock, Billions of Dollars, Weekly, Seasonally Adjusted]]-B2347)/B2347</f>
        <v/>
      </c>
      <c r="D2348" s="35">
        <f>(Table2634[[#This Row],[M1 Money Stock, Billions of Dollars, Weekly, Seasonally Adjusted]]-B2345)/B2345</f>
        <v/>
      </c>
      <c r="E2348" s="25">
        <f>AVERAGE(B2345:B2348)</f>
        <v/>
      </c>
      <c r="F2348" s="33">
        <f>(Table2634[[#This Row],[4 weeks average]]-B2296)/B2296</f>
        <v/>
      </c>
    </row>
    <row r="2349">
      <c r="A2349" s="34" t="n">
        <v>43801</v>
      </c>
      <c r="B2349" s="25">
        <f>VLOOKUP(Table2634[[#This Row],[Date]],'DB Money Supply'!$A:$D,4)</f>
        <v/>
      </c>
      <c r="C2349" s="31">
        <f>(Table2634[[#This Row],[M1 Money Stock, Billions of Dollars, Weekly, Seasonally Adjusted]]-B2348)/B2348</f>
        <v/>
      </c>
      <c r="D2349" s="35">
        <f>(Table2634[[#This Row],[M1 Money Stock, Billions of Dollars, Weekly, Seasonally Adjusted]]-B2346)/B2346</f>
        <v/>
      </c>
      <c r="E2349" s="25">
        <f>AVERAGE(B2346:B2349)</f>
        <v/>
      </c>
      <c r="F2349" s="33">
        <f>(Table2634[[#This Row],[4 weeks average]]-B2297)/B2297</f>
        <v/>
      </c>
    </row>
    <row r="2350">
      <c r="A2350" s="34" t="n">
        <v>43808</v>
      </c>
      <c r="B2350" s="25">
        <f>VLOOKUP(Table2634[[#This Row],[Date]],'DB Money Supply'!$A:$D,4)</f>
        <v/>
      </c>
      <c r="C2350" s="31">
        <f>(Table2634[[#This Row],[M1 Money Stock, Billions of Dollars, Weekly, Seasonally Adjusted]]-B2349)/B2349</f>
        <v/>
      </c>
      <c r="D2350" s="35">
        <f>(Table2634[[#This Row],[M1 Money Stock, Billions of Dollars, Weekly, Seasonally Adjusted]]-B2347)/B2347</f>
        <v/>
      </c>
      <c r="E2350" s="25">
        <f>AVERAGE(B2347:B2350)</f>
        <v/>
      </c>
      <c r="F2350" s="33">
        <f>(Table2634[[#This Row],[4 weeks average]]-B2298)/B2298</f>
        <v/>
      </c>
    </row>
    <row r="2351">
      <c r="A2351" s="34" t="n">
        <v>43815</v>
      </c>
      <c r="B2351" s="25">
        <f>VLOOKUP(Table2634[[#This Row],[Date]],'DB Money Supply'!$A:$D,4)</f>
        <v/>
      </c>
      <c r="C2351" s="31">
        <f>(Table2634[[#This Row],[M1 Money Stock, Billions of Dollars, Weekly, Seasonally Adjusted]]-B2350)/B2350</f>
        <v/>
      </c>
      <c r="D2351" s="35">
        <f>(Table2634[[#This Row],[M1 Money Stock, Billions of Dollars, Weekly, Seasonally Adjusted]]-B2348)/B2348</f>
        <v/>
      </c>
      <c r="E2351" s="25">
        <f>AVERAGE(B2348:B2351)</f>
        <v/>
      </c>
      <c r="F2351" s="33">
        <f>(Table2634[[#This Row],[4 weeks average]]-B2299)/B2299</f>
        <v/>
      </c>
    </row>
    <row r="2352">
      <c r="A2352" s="34" t="n">
        <v>43822</v>
      </c>
      <c r="B2352" s="25">
        <f>VLOOKUP(Table2634[[#This Row],[Date]],'DB Money Supply'!$A:$D,4)</f>
        <v/>
      </c>
      <c r="C2352" s="31">
        <f>(Table2634[[#This Row],[M1 Money Stock, Billions of Dollars, Weekly, Seasonally Adjusted]]-B2351)/B2351</f>
        <v/>
      </c>
      <c r="D2352" s="35">
        <f>(Table2634[[#This Row],[M1 Money Stock, Billions of Dollars, Weekly, Seasonally Adjusted]]-B2349)/B2349</f>
        <v/>
      </c>
      <c r="E2352" s="25">
        <f>AVERAGE(B2349:B2352)</f>
        <v/>
      </c>
      <c r="F2352" s="33">
        <f>(Table2634[[#This Row],[4 weeks average]]-B2300)/B2300</f>
        <v/>
      </c>
    </row>
    <row r="2353">
      <c r="A2353" s="34" t="n">
        <v>43829</v>
      </c>
      <c r="B2353" s="25">
        <f>VLOOKUP(Table2634[[#This Row],[Date]],'DB Money Supply'!$A:$D,4)</f>
        <v/>
      </c>
      <c r="C2353" s="31">
        <f>(Table2634[[#This Row],[M1 Money Stock, Billions of Dollars, Weekly, Seasonally Adjusted]]-B2352)/B2352</f>
        <v/>
      </c>
      <c r="D2353" s="35">
        <f>(Table2634[[#This Row],[M1 Money Stock, Billions of Dollars, Weekly, Seasonally Adjusted]]-B2350)/B2350</f>
        <v/>
      </c>
      <c r="E2353" s="25">
        <f>AVERAGE(B2350:B2353)</f>
        <v/>
      </c>
      <c r="F2353" s="33">
        <f>(Table2634[[#This Row],[4 weeks average]]-B2301)/B2301</f>
        <v/>
      </c>
    </row>
    <row r="2354">
      <c r="A2354" s="34" t="n">
        <v>43836</v>
      </c>
      <c r="B2354" s="25">
        <f>VLOOKUP(Table2634[[#This Row],[Date]],'DB Money Supply'!$A:$D,4)</f>
        <v/>
      </c>
      <c r="C2354" s="31">
        <f>(Table2634[[#This Row],[M1 Money Stock, Billions of Dollars, Weekly, Seasonally Adjusted]]-B2353)/B2353</f>
        <v/>
      </c>
      <c r="D2354" s="35">
        <f>(Table2634[[#This Row],[M1 Money Stock, Billions of Dollars, Weekly, Seasonally Adjusted]]-B2351)/B2351</f>
        <v/>
      </c>
      <c r="E2354" s="25">
        <f>AVERAGE(B2351:B2354)</f>
        <v/>
      </c>
      <c r="F2354" s="33">
        <f>(Table2634[[#This Row],[4 weeks average]]-B2302)/B2302</f>
        <v/>
      </c>
    </row>
    <row r="2355">
      <c r="A2355" s="34" t="n">
        <v>43843</v>
      </c>
      <c r="B2355" s="25">
        <f>VLOOKUP(Table2634[[#This Row],[Date]],'DB Money Supply'!$A:$D,4)</f>
        <v/>
      </c>
      <c r="C2355" s="31">
        <f>(Table2634[[#This Row],[M1 Money Stock, Billions of Dollars, Weekly, Seasonally Adjusted]]-B2354)/B2354</f>
        <v/>
      </c>
      <c r="D2355" s="35">
        <f>(Table2634[[#This Row],[M1 Money Stock, Billions of Dollars, Weekly, Seasonally Adjusted]]-B2352)/B2352</f>
        <v/>
      </c>
      <c r="E2355" s="25">
        <f>AVERAGE(B2352:B2355)</f>
        <v/>
      </c>
      <c r="F2355" s="33">
        <f>(Table2634[[#This Row],[4 weeks average]]-B2303)/B2303</f>
        <v/>
      </c>
    </row>
    <row r="2356">
      <c r="A2356" s="34" t="n">
        <v>43850</v>
      </c>
      <c r="B2356" s="25">
        <f>VLOOKUP(Table2634[[#This Row],[Date]],'DB Money Supply'!$A:$D,4)</f>
        <v/>
      </c>
      <c r="C2356" s="31">
        <f>(Table2634[[#This Row],[M1 Money Stock, Billions of Dollars, Weekly, Seasonally Adjusted]]-B2355)/B2355</f>
        <v/>
      </c>
      <c r="D2356" s="35">
        <f>(Table2634[[#This Row],[M1 Money Stock, Billions of Dollars, Weekly, Seasonally Adjusted]]-B2353)/B2353</f>
        <v/>
      </c>
      <c r="E2356" s="25">
        <f>AVERAGE(B2353:B2356)</f>
        <v/>
      </c>
      <c r="F2356" s="33">
        <f>(Table2634[[#This Row],[4 weeks average]]-B2304)/B2304</f>
        <v/>
      </c>
    </row>
    <row r="2357">
      <c r="A2357" s="34" t="n">
        <v>43857</v>
      </c>
      <c r="B2357" s="25">
        <f>VLOOKUP(Table2634[[#This Row],[Date]],'DB Money Supply'!$A:$D,4)</f>
        <v/>
      </c>
      <c r="C2357" s="31">
        <f>(Table2634[[#This Row],[M1 Money Stock, Billions of Dollars, Weekly, Seasonally Adjusted]]-B2356)/B2356</f>
        <v/>
      </c>
      <c r="D2357" s="35">
        <f>(Table2634[[#This Row],[M1 Money Stock, Billions of Dollars, Weekly, Seasonally Adjusted]]-B2354)/B2354</f>
        <v/>
      </c>
      <c r="E2357" s="25">
        <f>AVERAGE(B2354:B2357)</f>
        <v/>
      </c>
      <c r="F2357" s="33">
        <f>(Table2634[[#This Row],[4 weeks average]]-B2305)/B2305</f>
        <v/>
      </c>
    </row>
    <row r="2358">
      <c r="A2358" s="34" t="n">
        <v>43864</v>
      </c>
      <c r="B2358" s="25">
        <f>VLOOKUP(Table2634[[#This Row],[Date]],'DB Money Supply'!$A:$D,4)</f>
        <v/>
      </c>
      <c r="C2358" s="31">
        <f>(Table2634[[#This Row],[M1 Money Stock, Billions of Dollars, Weekly, Seasonally Adjusted]]-B2357)/B2357</f>
        <v/>
      </c>
      <c r="D2358" s="35">
        <f>(Table2634[[#This Row],[M1 Money Stock, Billions of Dollars, Weekly, Seasonally Adjusted]]-B2355)/B2355</f>
        <v/>
      </c>
      <c r="E2358" s="25">
        <f>AVERAGE(B2355:B2358)</f>
        <v/>
      </c>
      <c r="F2358" s="33">
        <f>(Table2634[[#This Row],[4 weeks average]]-B2306)/B2306</f>
        <v/>
      </c>
    </row>
    <row r="2359">
      <c r="A2359" s="34" t="n">
        <v>43871</v>
      </c>
      <c r="B2359" s="25">
        <f>VLOOKUP(Table2634[[#This Row],[Date]],'DB Money Supply'!$A:$D,4)</f>
        <v/>
      </c>
      <c r="C2359" s="31">
        <f>(Table2634[[#This Row],[M1 Money Stock, Billions of Dollars, Weekly, Seasonally Adjusted]]-B2358)/B2358</f>
        <v/>
      </c>
      <c r="D2359" s="35">
        <f>(Table2634[[#This Row],[M1 Money Stock, Billions of Dollars, Weekly, Seasonally Adjusted]]-B2356)/B2356</f>
        <v/>
      </c>
      <c r="E2359" s="25">
        <f>AVERAGE(B2356:B2359)</f>
        <v/>
      </c>
      <c r="F2359" s="33">
        <f>(Table2634[[#This Row],[4 weeks average]]-B2307)/B2307</f>
        <v/>
      </c>
    </row>
    <row r="2360">
      <c r="A2360" s="34" t="n">
        <v>43878</v>
      </c>
      <c r="B2360" s="25">
        <f>VLOOKUP(Table2634[[#This Row],[Date]],'DB Money Supply'!$A:$D,4)</f>
        <v/>
      </c>
      <c r="C2360" s="31">
        <f>(Table2634[[#This Row],[M1 Money Stock, Billions of Dollars, Weekly, Seasonally Adjusted]]-B2359)/B2359</f>
        <v/>
      </c>
      <c r="D2360" s="35">
        <f>(Table2634[[#This Row],[M1 Money Stock, Billions of Dollars, Weekly, Seasonally Adjusted]]-B2357)/B2357</f>
        <v/>
      </c>
      <c r="E2360" s="25">
        <f>AVERAGE(B2357:B2360)</f>
        <v/>
      </c>
      <c r="F2360" s="33">
        <f>(Table2634[[#This Row],[4 weeks average]]-B2308)/B2308</f>
        <v/>
      </c>
    </row>
    <row r="2361">
      <c r="A2361" s="34" t="n">
        <v>43885</v>
      </c>
      <c r="B2361" s="25">
        <f>VLOOKUP(Table2634[[#This Row],[Date]],'DB Money Supply'!$A:$D,4)</f>
        <v/>
      </c>
      <c r="C2361" s="31">
        <f>(Table2634[[#This Row],[M1 Money Stock, Billions of Dollars, Weekly, Seasonally Adjusted]]-B2360)/B2360</f>
        <v/>
      </c>
      <c r="D2361" s="35">
        <f>(Table2634[[#This Row],[M1 Money Stock, Billions of Dollars, Weekly, Seasonally Adjusted]]-B2358)/B2358</f>
        <v/>
      </c>
      <c r="E2361" s="25">
        <f>AVERAGE(B2358:B2361)</f>
        <v/>
      </c>
      <c r="F2361" s="33">
        <f>(Table2634[[#This Row],[4 weeks average]]-B2309)/B2309</f>
        <v/>
      </c>
    </row>
    <row r="2362">
      <c r="A2362" s="34" t="n">
        <v>43892</v>
      </c>
      <c r="B2362" s="25">
        <f>VLOOKUP(Table2634[[#This Row],[Date]],'DB Money Supply'!$A:$D,4)</f>
        <v/>
      </c>
      <c r="C2362" s="31">
        <f>(Table2634[[#This Row],[M1 Money Stock, Billions of Dollars, Weekly, Seasonally Adjusted]]-B2361)/B2361</f>
        <v/>
      </c>
      <c r="D2362" s="35">
        <f>(Table2634[[#This Row],[M1 Money Stock, Billions of Dollars, Weekly, Seasonally Adjusted]]-B2359)/B2359</f>
        <v/>
      </c>
      <c r="E2362" s="25">
        <f>AVERAGE(B2359:B2362)</f>
        <v/>
      </c>
      <c r="F2362" s="33">
        <f>(Table2634[[#This Row],[4 weeks average]]-B2310)/B2310</f>
        <v/>
      </c>
    </row>
    <row r="2363">
      <c r="A2363" s="34" t="n">
        <v>43899</v>
      </c>
      <c r="B2363" s="25">
        <f>VLOOKUP(Table2634[[#This Row],[Date]],'DB Money Supply'!$A:$D,4)</f>
        <v/>
      </c>
      <c r="C2363" s="31">
        <f>(Table2634[[#This Row],[M1 Money Stock, Billions of Dollars, Weekly, Seasonally Adjusted]]-B2362)/B2362</f>
        <v/>
      </c>
      <c r="D2363" s="35">
        <f>(Table2634[[#This Row],[M1 Money Stock, Billions of Dollars, Weekly, Seasonally Adjusted]]-B2360)/B2360</f>
        <v/>
      </c>
      <c r="E2363" s="25">
        <f>AVERAGE(B2360:B2363)</f>
        <v/>
      </c>
      <c r="F2363" s="33">
        <f>(Table2634[[#This Row],[4 weeks average]]-B2311)/B2311</f>
        <v/>
      </c>
    </row>
    <row r="2364">
      <c r="A2364" s="34" t="n">
        <v>43906</v>
      </c>
      <c r="B2364" s="25">
        <f>VLOOKUP(Table2634[[#This Row],[Date]],'DB Money Supply'!$A:$D,4)</f>
        <v/>
      </c>
      <c r="C2364" s="31">
        <f>(Table2634[[#This Row],[M1 Money Stock, Billions of Dollars, Weekly, Seasonally Adjusted]]-B2363)/B2363</f>
        <v/>
      </c>
      <c r="D2364" s="35">
        <f>(Table2634[[#This Row],[M1 Money Stock, Billions of Dollars, Weekly, Seasonally Adjusted]]-B2361)/B2361</f>
        <v/>
      </c>
      <c r="E2364" s="25">
        <f>AVERAGE(B2361:B2364)</f>
        <v/>
      </c>
      <c r="F2364" s="33">
        <f>(Table2634[[#This Row],[4 weeks average]]-B2312)/B2312</f>
        <v/>
      </c>
    </row>
    <row r="2365">
      <c r="A2365" s="34" t="n">
        <v>43913</v>
      </c>
      <c r="B2365" s="25">
        <f>VLOOKUP(Table2634[[#This Row],[Date]],'DB Money Supply'!$A:$D,4)</f>
        <v/>
      </c>
      <c r="C2365" s="31">
        <f>(Table2634[[#This Row],[M1 Money Stock, Billions of Dollars, Weekly, Seasonally Adjusted]]-B2364)/B2364</f>
        <v/>
      </c>
      <c r="D2365" s="35">
        <f>(Table2634[[#This Row],[M1 Money Stock, Billions of Dollars, Weekly, Seasonally Adjusted]]-B2362)/B2362</f>
        <v/>
      </c>
      <c r="E2365" s="25">
        <f>AVERAGE(B2362:B2365)</f>
        <v/>
      </c>
      <c r="F2365" s="33">
        <f>(Table2634[[#This Row],[4 weeks average]]-B2313)/B2313</f>
        <v/>
      </c>
    </row>
    <row r="2366">
      <c r="A2366" s="34" t="n">
        <v>43920</v>
      </c>
      <c r="B2366" s="25">
        <f>VLOOKUP(Table2634[[#This Row],[Date]],'DB Money Supply'!$A:$D,4)</f>
        <v/>
      </c>
      <c r="C2366" s="31">
        <f>(Table2634[[#This Row],[M1 Money Stock, Billions of Dollars, Weekly, Seasonally Adjusted]]-B2365)/B2365</f>
        <v/>
      </c>
      <c r="D2366" s="35">
        <f>(Table2634[[#This Row],[M1 Money Stock, Billions of Dollars, Weekly, Seasonally Adjusted]]-B2363)/B2363</f>
        <v/>
      </c>
      <c r="E2366" s="25">
        <f>AVERAGE(B2363:B2366)</f>
        <v/>
      </c>
      <c r="F2366" s="33">
        <f>(Table2634[[#This Row],[4 weeks average]]-B2314)/B2314</f>
        <v/>
      </c>
    </row>
    <row r="2367">
      <c r="A2367" s="34" t="n">
        <v>43927</v>
      </c>
      <c r="B2367" s="25">
        <f>VLOOKUP(Table2634[[#This Row],[Date]],'DB Money Supply'!$A:$D,4)</f>
        <v/>
      </c>
      <c r="C2367" s="31">
        <f>(Table2634[[#This Row],[M1 Money Stock, Billions of Dollars, Weekly, Seasonally Adjusted]]-B2366)/B2366</f>
        <v/>
      </c>
      <c r="D2367" s="35">
        <f>(Table2634[[#This Row],[M1 Money Stock, Billions of Dollars, Weekly, Seasonally Adjusted]]-B2364)/B2364</f>
        <v/>
      </c>
      <c r="E2367" s="25">
        <f>AVERAGE(B2364:B2367)</f>
        <v/>
      </c>
      <c r="F2367" s="33">
        <f>(Table2634[[#This Row],[4 weeks average]]-B2315)/B2315</f>
        <v/>
      </c>
    </row>
    <row r="2368">
      <c r="A2368" s="34" t="n">
        <v>43934</v>
      </c>
      <c r="B2368" s="25">
        <f>VLOOKUP(Table2634[[#This Row],[Date]],'DB Money Supply'!$A:$D,4)</f>
        <v/>
      </c>
      <c r="C2368" s="31">
        <f>(Table2634[[#This Row],[M1 Money Stock, Billions of Dollars, Weekly, Seasonally Adjusted]]-B2367)/B2367</f>
        <v/>
      </c>
      <c r="D2368" s="35">
        <f>(Table2634[[#This Row],[M1 Money Stock, Billions of Dollars, Weekly, Seasonally Adjusted]]-B2365)/B2365</f>
        <v/>
      </c>
      <c r="E2368" s="25">
        <f>AVERAGE(B2365:B2368)</f>
        <v/>
      </c>
      <c r="F2368" s="33">
        <f>(Table2634[[#This Row],[4 weeks average]]-B2316)/B2316</f>
        <v/>
      </c>
    </row>
    <row r="2369">
      <c r="A2369" s="34" t="n">
        <v>43941</v>
      </c>
      <c r="B2369" s="25">
        <f>VLOOKUP(Table2634[[#This Row],[Date]],'DB Money Supply'!$A:$D,4)</f>
        <v/>
      </c>
      <c r="C2369" s="31">
        <f>(Table2634[[#This Row],[M1 Money Stock, Billions of Dollars, Weekly, Seasonally Adjusted]]-B2368)/B2368</f>
        <v/>
      </c>
      <c r="D2369" s="35">
        <f>(Table2634[[#This Row],[M1 Money Stock, Billions of Dollars, Weekly, Seasonally Adjusted]]-B2366)/B2366</f>
        <v/>
      </c>
      <c r="E2369" s="25">
        <f>AVERAGE(B2366:B2369)</f>
        <v/>
      </c>
      <c r="F2369" s="33">
        <f>(Table2634[[#This Row],[4 weeks average]]-B2317)/B2317</f>
        <v/>
      </c>
    </row>
    <row r="2370">
      <c r="A2370" s="34" t="n">
        <v>43948</v>
      </c>
      <c r="B2370" s="25">
        <f>VLOOKUP(Table2634[[#This Row],[Date]],'DB Money Supply'!$A:$D,4)</f>
        <v/>
      </c>
      <c r="C2370" s="31">
        <f>(Table2634[[#This Row],[M1 Money Stock, Billions of Dollars, Weekly, Seasonally Adjusted]]-B2369)/B2369</f>
        <v/>
      </c>
      <c r="D2370" s="35">
        <f>(Table2634[[#This Row],[M1 Money Stock, Billions of Dollars, Weekly, Seasonally Adjusted]]-B2367)/B2367</f>
        <v/>
      </c>
      <c r="E2370" s="25">
        <f>AVERAGE(B2367:B2370)</f>
        <v/>
      </c>
      <c r="F2370" s="33">
        <f>(Table2634[[#This Row],[4 weeks average]]-B2318)/B2318</f>
        <v/>
      </c>
    </row>
    <row r="2371">
      <c r="A2371" s="34" t="n">
        <v>43955</v>
      </c>
      <c r="B2371" s="25">
        <f>VLOOKUP(Table2634[[#This Row],[Date]],'DB Money Supply'!$A:$D,4)</f>
        <v/>
      </c>
      <c r="C2371" s="31">
        <f>(Table2634[[#This Row],[M1 Money Stock, Billions of Dollars, Weekly, Seasonally Adjusted]]-B2370)/B2370</f>
        <v/>
      </c>
      <c r="D2371" s="35">
        <f>(Table2634[[#This Row],[M1 Money Stock, Billions of Dollars, Weekly, Seasonally Adjusted]]-B2368)/B2368</f>
        <v/>
      </c>
      <c r="E2371" s="25">
        <f>AVERAGE(B2368:B2371)</f>
        <v/>
      </c>
      <c r="F2371" s="33">
        <f>(Table2634[[#This Row],[4 weeks average]]-B2319)/B2319</f>
        <v/>
      </c>
    </row>
    <row r="2372">
      <c r="A2372" s="34" t="n">
        <v>43962</v>
      </c>
      <c r="B2372" s="25">
        <f>VLOOKUP(Table2634[[#This Row],[Date]],'DB Money Supply'!$A:$D,4)</f>
        <v/>
      </c>
      <c r="C2372" s="31">
        <f>(Table2634[[#This Row],[M1 Money Stock, Billions of Dollars, Weekly, Seasonally Adjusted]]-B2371)/B2371</f>
        <v/>
      </c>
      <c r="D2372" s="35">
        <f>(Table2634[[#This Row],[M1 Money Stock, Billions of Dollars, Weekly, Seasonally Adjusted]]-B2369)/B2369</f>
        <v/>
      </c>
      <c r="E2372" s="25">
        <f>AVERAGE(B2369:B2372)</f>
        <v/>
      </c>
      <c r="F2372" s="33">
        <f>(Table2634[[#This Row],[4 weeks average]]-B2320)/B2320</f>
        <v/>
      </c>
    </row>
    <row r="2373">
      <c r="A2373" s="34" t="n">
        <v>43969</v>
      </c>
      <c r="B2373" s="25">
        <f>VLOOKUP(Table2634[[#This Row],[Date]],'DB Money Supply'!$A:$D,4)</f>
        <v/>
      </c>
      <c r="C2373" s="31">
        <f>(Table2634[[#This Row],[M1 Money Stock, Billions of Dollars, Weekly, Seasonally Adjusted]]-B2372)/B2372</f>
        <v/>
      </c>
      <c r="D2373" s="35">
        <f>(Table2634[[#This Row],[M1 Money Stock, Billions of Dollars, Weekly, Seasonally Adjusted]]-B2370)/B2370</f>
        <v/>
      </c>
      <c r="E2373" s="25">
        <f>AVERAGE(B2370:B2373)</f>
        <v/>
      </c>
      <c r="F2373" s="33">
        <f>(Table2634[[#This Row],[4 weeks average]]-B2321)/B2321</f>
        <v/>
      </c>
    </row>
    <row r="2374">
      <c r="A2374" s="34" t="n">
        <v>43976</v>
      </c>
      <c r="B2374" s="25">
        <f>VLOOKUP(Table2634[[#This Row],[Date]],'DB Money Supply'!$A:$D,4)</f>
        <v/>
      </c>
      <c r="C2374" s="31">
        <f>(Table2634[[#This Row],[M1 Money Stock, Billions of Dollars, Weekly, Seasonally Adjusted]]-B2373)/B2373</f>
        <v/>
      </c>
      <c r="D2374" s="35">
        <f>(Table2634[[#This Row],[M1 Money Stock, Billions of Dollars, Weekly, Seasonally Adjusted]]-B2371)/B2371</f>
        <v/>
      </c>
      <c r="E2374" s="25">
        <f>AVERAGE(B2371:B2374)</f>
        <v/>
      </c>
      <c r="F2374" s="33">
        <f>(Table2634[[#This Row],[4 weeks average]]-B2322)/B2322</f>
        <v/>
      </c>
    </row>
    <row r="2375">
      <c r="A2375" s="34" t="n">
        <v>43983</v>
      </c>
      <c r="B2375" s="25">
        <f>VLOOKUP(Table2634[[#This Row],[Date]],'DB Money Supply'!$A:$D,4)</f>
        <v/>
      </c>
      <c r="C2375" s="31">
        <f>(Table2634[[#This Row],[M1 Money Stock, Billions of Dollars, Weekly, Seasonally Adjusted]]-B2374)/B2374</f>
        <v/>
      </c>
      <c r="D2375" s="35">
        <f>(Table2634[[#This Row],[M1 Money Stock, Billions of Dollars, Weekly, Seasonally Adjusted]]-B2372)/B2372</f>
        <v/>
      </c>
      <c r="E2375" s="25">
        <f>AVERAGE(B2372:B2375)</f>
        <v/>
      </c>
      <c r="F2375" s="33">
        <f>(Table2634[[#This Row],[4 weeks average]]-B2323)/B2323</f>
        <v/>
      </c>
    </row>
    <row r="2376">
      <c r="A2376" s="34" t="n">
        <v>43990</v>
      </c>
      <c r="B2376" s="25">
        <f>VLOOKUP(Table2634[[#This Row],[Date]],'DB Money Supply'!$A:$D,4)</f>
        <v/>
      </c>
      <c r="C2376" s="31">
        <f>(Table2634[[#This Row],[M1 Money Stock, Billions of Dollars, Weekly, Seasonally Adjusted]]-B2375)/B2375</f>
        <v/>
      </c>
      <c r="D2376" s="35">
        <f>(Table2634[[#This Row],[M1 Money Stock, Billions of Dollars, Weekly, Seasonally Adjusted]]-B2373)/B2373</f>
        <v/>
      </c>
      <c r="E2376" s="25">
        <f>AVERAGE(B2373:B2376)</f>
        <v/>
      </c>
      <c r="F2376" s="33">
        <f>(Table2634[[#This Row],[4 weeks average]]-B2324)/B2324</f>
        <v/>
      </c>
    </row>
    <row r="2377">
      <c r="A2377" s="34" t="n">
        <v>43997</v>
      </c>
      <c r="B2377" s="25">
        <f>VLOOKUP(Table2634[[#This Row],[Date]],'DB Money Supply'!$A:$D,4)</f>
        <v/>
      </c>
      <c r="C2377" s="31">
        <f>(Table2634[[#This Row],[M1 Money Stock, Billions of Dollars, Weekly, Seasonally Adjusted]]-B2376)/B2376</f>
        <v/>
      </c>
      <c r="D2377" s="35">
        <f>(Table2634[[#This Row],[M1 Money Stock, Billions of Dollars, Weekly, Seasonally Adjusted]]-B2374)/B2374</f>
        <v/>
      </c>
      <c r="E2377" s="25">
        <f>AVERAGE(B2374:B2377)</f>
        <v/>
      </c>
      <c r="F2377" s="33">
        <f>(Table2634[[#This Row],[4 weeks average]]-B2325)/B2325</f>
        <v/>
      </c>
    </row>
    <row r="2378">
      <c r="A2378" s="34" t="n">
        <v>44004</v>
      </c>
      <c r="B2378" s="25">
        <f>VLOOKUP(Table2634[[#This Row],[Date]],'DB Money Supply'!$A:$D,4)</f>
        <v/>
      </c>
      <c r="C2378" s="31">
        <f>(Table2634[[#This Row],[M1 Money Stock, Billions of Dollars, Weekly, Seasonally Adjusted]]-B2377)/B2377</f>
        <v/>
      </c>
      <c r="D2378" s="35">
        <f>(Table2634[[#This Row],[M1 Money Stock, Billions of Dollars, Weekly, Seasonally Adjusted]]-B2375)/B2375</f>
        <v/>
      </c>
      <c r="E2378" s="25">
        <f>AVERAGE(B2375:B2378)</f>
        <v/>
      </c>
      <c r="F2378" s="33">
        <f>(Table2634[[#This Row],[4 weeks average]]-B2326)/B2326</f>
        <v/>
      </c>
    </row>
    <row r="2379">
      <c r="A2379" s="34" t="n">
        <v>44011</v>
      </c>
      <c r="B2379" s="25">
        <f>VLOOKUP(Table2634[[#This Row],[Date]],'DB Money Supply'!$A:$D,4)</f>
        <v/>
      </c>
      <c r="C2379" s="31">
        <f>(Table2634[[#This Row],[M1 Money Stock, Billions of Dollars, Weekly, Seasonally Adjusted]]-B2378)/B2378</f>
        <v/>
      </c>
      <c r="D2379" s="35">
        <f>(Table2634[[#This Row],[M1 Money Stock, Billions of Dollars, Weekly, Seasonally Adjusted]]-B2376)/B2376</f>
        <v/>
      </c>
      <c r="E2379" s="25">
        <f>AVERAGE(B2376:B2379)</f>
        <v/>
      </c>
      <c r="F2379" s="33">
        <f>(Table2634[[#This Row],[4 weeks average]]-B2327)/B2327</f>
        <v/>
      </c>
    </row>
    <row r="2380">
      <c r="A2380" s="34" t="n">
        <v>44018</v>
      </c>
      <c r="B2380" s="25">
        <f>VLOOKUP(Table2634[[#This Row],[Date]],'DB Money Supply'!$A:$D,4)</f>
        <v/>
      </c>
      <c r="C2380" s="31">
        <f>(Table2634[[#This Row],[M1 Money Stock, Billions of Dollars, Weekly, Seasonally Adjusted]]-B2379)/B2379</f>
        <v/>
      </c>
      <c r="D2380" s="35">
        <f>(Table2634[[#This Row],[M1 Money Stock, Billions of Dollars, Weekly, Seasonally Adjusted]]-B2377)/B2377</f>
        <v/>
      </c>
      <c r="E2380" s="25">
        <f>AVERAGE(B2377:B2380)</f>
        <v/>
      </c>
      <c r="F2380" s="33">
        <f>(Table2634[[#This Row],[4 weeks average]]-B2328)/B2328</f>
        <v/>
      </c>
    </row>
    <row r="2381">
      <c r="A2381" s="34" t="n">
        <v>44025</v>
      </c>
      <c r="B2381" s="25">
        <f>VLOOKUP(Table2634[[#This Row],[Date]],'DB Money Supply'!$A:$D,4)</f>
        <v/>
      </c>
      <c r="C2381" s="31">
        <f>(Table2634[[#This Row],[M1 Money Stock, Billions of Dollars, Weekly, Seasonally Adjusted]]-B2380)/B2380</f>
        <v/>
      </c>
      <c r="D2381" s="35">
        <f>(Table2634[[#This Row],[M1 Money Stock, Billions of Dollars, Weekly, Seasonally Adjusted]]-B2378)/B2378</f>
        <v/>
      </c>
      <c r="E2381" s="25">
        <f>AVERAGE(B2378:B2381)</f>
        <v/>
      </c>
      <c r="F2381" s="33">
        <f>(Table2634[[#This Row],[4 weeks average]]-B2329)/B2329</f>
        <v/>
      </c>
    </row>
    <row r="2382">
      <c r="A2382" s="34" t="n">
        <v>44032</v>
      </c>
      <c r="B2382" s="25">
        <f>VLOOKUP(Table2634[[#This Row],[Date]],'DB Money Supply'!$A:$D,4)</f>
        <v/>
      </c>
      <c r="C2382" s="31">
        <f>(Table2634[[#This Row],[M1 Money Stock, Billions of Dollars, Weekly, Seasonally Adjusted]]-B2381)/B2381</f>
        <v/>
      </c>
      <c r="D2382" s="35">
        <f>(Table2634[[#This Row],[M1 Money Stock, Billions of Dollars, Weekly, Seasonally Adjusted]]-B2379)/B2379</f>
        <v/>
      </c>
      <c r="E2382" s="25">
        <f>AVERAGE(B2379:B2382)</f>
        <v/>
      </c>
      <c r="F2382" s="33">
        <f>(Table2634[[#This Row],[4 weeks average]]-B2330)/B2330</f>
        <v/>
      </c>
    </row>
    <row r="2383">
      <c r="A2383" s="34" t="n">
        <v>44039</v>
      </c>
      <c r="B2383" s="25">
        <f>VLOOKUP(Table2634[[#This Row],[Date]],'DB Money Supply'!$A:$D,4)</f>
        <v/>
      </c>
      <c r="C2383" s="31">
        <f>(Table2634[[#This Row],[M1 Money Stock, Billions of Dollars, Weekly, Seasonally Adjusted]]-B2382)/B2382</f>
        <v/>
      </c>
      <c r="D2383" s="35">
        <f>(Table2634[[#This Row],[M1 Money Stock, Billions of Dollars, Weekly, Seasonally Adjusted]]-B2380)/B2380</f>
        <v/>
      </c>
      <c r="E2383" s="25">
        <f>AVERAGE(B2380:B2383)</f>
        <v/>
      </c>
      <c r="F2383" s="33">
        <f>(Table2634[[#This Row],[4 weeks average]]-B2331)/B2331</f>
        <v/>
      </c>
    </row>
    <row r="2384">
      <c r="A2384" s="34" t="n">
        <v>44046</v>
      </c>
      <c r="B2384" s="25">
        <f>VLOOKUP(Table2634[[#This Row],[Date]],'DB Money Supply'!$A:$D,4)</f>
        <v/>
      </c>
      <c r="C2384" s="31">
        <f>(Table2634[[#This Row],[M1 Money Stock, Billions of Dollars, Weekly, Seasonally Adjusted]]-B2383)/B2383</f>
        <v/>
      </c>
      <c r="D2384" s="35">
        <f>(Table2634[[#This Row],[M1 Money Stock, Billions of Dollars, Weekly, Seasonally Adjusted]]-B2381)/B2381</f>
        <v/>
      </c>
      <c r="E2384" s="25">
        <f>AVERAGE(B2381:B2384)</f>
        <v/>
      </c>
      <c r="F2384" s="33">
        <f>(Table2634[[#This Row],[4 weeks average]]-B2332)/B2332</f>
        <v/>
      </c>
    </row>
    <row r="2385">
      <c r="A2385" s="34" t="n">
        <v>44053</v>
      </c>
      <c r="B2385" s="25">
        <f>VLOOKUP(Table2634[[#This Row],[Date]],'DB Money Supply'!$A:$D,4)</f>
        <v/>
      </c>
      <c r="C2385" s="31">
        <f>(Table2634[[#This Row],[M1 Money Stock, Billions of Dollars, Weekly, Seasonally Adjusted]]-B2384)/B2384</f>
        <v/>
      </c>
      <c r="D2385" s="35">
        <f>(Table2634[[#This Row],[M1 Money Stock, Billions of Dollars, Weekly, Seasonally Adjusted]]-B2382)/B2382</f>
        <v/>
      </c>
      <c r="E2385" s="25">
        <f>AVERAGE(B2382:B2385)</f>
        <v/>
      </c>
      <c r="F2385" s="33">
        <f>(Table2634[[#This Row],[4 weeks average]]-B2333)/B2333</f>
        <v/>
      </c>
    </row>
    <row r="2386">
      <c r="A2386" s="34" t="n">
        <v>44060</v>
      </c>
      <c r="B2386" s="25">
        <f>VLOOKUP(Table2634[[#This Row],[Date]],'DB Money Supply'!$A:$D,4)</f>
        <v/>
      </c>
      <c r="C2386" s="31">
        <f>(Table2634[[#This Row],[M1 Money Stock, Billions of Dollars, Weekly, Seasonally Adjusted]]-B2385)/B2385</f>
        <v/>
      </c>
      <c r="D2386" s="35">
        <f>(Table2634[[#This Row],[M1 Money Stock, Billions of Dollars, Weekly, Seasonally Adjusted]]-B2383)/B2383</f>
        <v/>
      </c>
      <c r="E2386" s="25">
        <f>AVERAGE(B2383:B2386)</f>
        <v/>
      </c>
      <c r="F2386" s="33">
        <f>(Table2634[[#This Row],[4 weeks average]]-B2334)/B2334</f>
        <v/>
      </c>
    </row>
    <row r="2387">
      <c r="A2387" s="34" t="n">
        <v>44067</v>
      </c>
      <c r="B2387" s="25">
        <f>VLOOKUP(Table2634[[#This Row],[Date]],'DB Money Supply'!$A:$D,4)</f>
        <v/>
      </c>
      <c r="C2387" s="31">
        <f>(Table2634[[#This Row],[M1 Money Stock, Billions of Dollars, Weekly, Seasonally Adjusted]]-B2386)/B2386</f>
        <v/>
      </c>
      <c r="D2387" s="35">
        <f>(Table2634[[#This Row],[M1 Money Stock, Billions of Dollars, Weekly, Seasonally Adjusted]]-B2384)/B2384</f>
        <v/>
      </c>
      <c r="E2387" s="25">
        <f>AVERAGE(B2384:B2387)</f>
        <v/>
      </c>
      <c r="F2387" s="33">
        <f>(Table2634[[#This Row],[4 weeks average]]-B2335)/B2335</f>
        <v/>
      </c>
    </row>
    <row r="2388">
      <c r="A2388" s="34" t="n">
        <v>44074</v>
      </c>
      <c r="B2388" s="25">
        <f>VLOOKUP(Table2634[[#This Row],[Date]],'DB Money Supply'!$A:$D,4)</f>
        <v/>
      </c>
      <c r="C2388" s="31">
        <f>(Table2634[[#This Row],[M1 Money Stock, Billions of Dollars, Weekly, Seasonally Adjusted]]-B2387)/B2387</f>
        <v/>
      </c>
      <c r="D2388" s="35">
        <f>(Table2634[[#This Row],[M1 Money Stock, Billions of Dollars, Weekly, Seasonally Adjusted]]-B2385)/B2385</f>
        <v/>
      </c>
      <c r="E2388" s="25">
        <f>AVERAGE(B2385:B2388)</f>
        <v/>
      </c>
      <c r="F2388" s="33">
        <f>(Table2634[[#This Row],[4 weeks average]]-B2336)/B2336</f>
        <v/>
      </c>
    </row>
    <row r="2389">
      <c r="A2389" s="34" t="n">
        <v>44081</v>
      </c>
      <c r="B2389" s="25">
        <f>VLOOKUP(Table2634[[#This Row],[Date]],'DB Money Supply'!$A:$D,4)</f>
        <v/>
      </c>
      <c r="C2389" s="31">
        <f>(Table2634[[#This Row],[M1 Money Stock, Billions of Dollars, Weekly, Seasonally Adjusted]]-B2388)/B2388</f>
        <v/>
      </c>
      <c r="D2389" s="35">
        <f>(Table2634[[#This Row],[M1 Money Stock, Billions of Dollars, Weekly, Seasonally Adjusted]]-B2386)/B2386</f>
        <v/>
      </c>
      <c r="E2389" s="25">
        <f>AVERAGE(B2386:B2389)</f>
        <v/>
      </c>
      <c r="F2389" s="33">
        <f>(Table2634[[#This Row],[4 weeks average]]-B2337)/B2337</f>
        <v/>
      </c>
    </row>
    <row r="2390">
      <c r="A2390" s="34" t="n">
        <v>44088</v>
      </c>
      <c r="B2390" s="25">
        <f>VLOOKUP(Table2634[[#This Row],[Date]],'DB Money Supply'!$A:$D,4)</f>
        <v/>
      </c>
      <c r="C2390" s="31">
        <f>(Table2634[[#This Row],[M1 Money Stock, Billions of Dollars, Weekly, Seasonally Adjusted]]-B2389)/B2389</f>
        <v/>
      </c>
      <c r="D2390" s="35">
        <f>(Table2634[[#This Row],[M1 Money Stock, Billions of Dollars, Weekly, Seasonally Adjusted]]-B2387)/B2387</f>
        <v/>
      </c>
      <c r="E2390" s="25">
        <f>AVERAGE(B2387:B2390)</f>
        <v/>
      </c>
      <c r="F2390" s="33">
        <f>(Table2634[[#This Row],[4 weeks average]]-B2338)/B2338</f>
        <v/>
      </c>
    </row>
    <row r="2391">
      <c r="A2391" s="34" t="n">
        <v>44095</v>
      </c>
      <c r="B2391" s="25">
        <f>VLOOKUP(Table2634[[#This Row],[Date]],'DB Money Supply'!$A:$D,4)</f>
        <v/>
      </c>
      <c r="C2391" s="31">
        <f>(Table2634[[#This Row],[M1 Money Stock, Billions of Dollars, Weekly, Seasonally Adjusted]]-B2390)/B2390</f>
        <v/>
      </c>
      <c r="D2391" s="35">
        <f>(Table2634[[#This Row],[M1 Money Stock, Billions of Dollars, Weekly, Seasonally Adjusted]]-B2388)/B2388</f>
        <v/>
      </c>
      <c r="E2391" s="25">
        <f>AVERAGE(B2388:B2391)</f>
        <v/>
      </c>
      <c r="F2391" s="33">
        <f>(Table2634[[#This Row],[4 weeks average]]-B2339)/B2339</f>
        <v/>
      </c>
    </row>
    <row r="2392">
      <c r="A2392" s="34" t="n">
        <v>44102</v>
      </c>
      <c r="B2392" s="25">
        <f>VLOOKUP(Table2634[[#This Row],[Date]],'DB Money Supply'!$A:$D,4)</f>
        <v/>
      </c>
      <c r="C2392" s="31">
        <f>(Table2634[[#This Row],[M1 Money Stock, Billions of Dollars, Weekly, Seasonally Adjusted]]-B2391)/B2391</f>
        <v/>
      </c>
      <c r="D2392" s="35">
        <f>(Table2634[[#This Row],[M1 Money Stock, Billions of Dollars, Weekly, Seasonally Adjusted]]-B2389)/B2389</f>
        <v/>
      </c>
      <c r="E2392" s="25">
        <f>AVERAGE(B2389:B2392)</f>
        <v/>
      </c>
      <c r="F2392" s="33">
        <f>(Table2634[[#This Row],[4 weeks average]]-B2340)/B2340</f>
        <v/>
      </c>
    </row>
    <row r="2393">
      <c r="A2393" s="34" t="n">
        <v>44109</v>
      </c>
      <c r="B2393" s="25">
        <f>VLOOKUP(Table2634[[#This Row],[Date]],'DB Money Supply'!$A:$D,4)</f>
        <v/>
      </c>
      <c r="C2393" s="31">
        <f>(Table2634[[#This Row],[M1 Money Stock, Billions of Dollars, Weekly, Seasonally Adjusted]]-B2392)/B2392</f>
        <v/>
      </c>
      <c r="D2393" s="35">
        <f>(Table2634[[#This Row],[M1 Money Stock, Billions of Dollars, Weekly, Seasonally Adjusted]]-B2390)/B2390</f>
        <v/>
      </c>
      <c r="E2393" s="25">
        <f>AVERAGE(B2390:B2393)</f>
        <v/>
      </c>
      <c r="F2393" s="33">
        <f>(Table2634[[#This Row],[4 weeks average]]-B2341)/B2341</f>
        <v/>
      </c>
    </row>
    <row r="2394">
      <c r="A2394" s="34" t="n">
        <v>44116</v>
      </c>
      <c r="B2394" s="25">
        <f>VLOOKUP(Table2634[[#This Row],[Date]],'DB Money Supply'!$A:$D,4)</f>
        <v/>
      </c>
      <c r="C2394" s="31">
        <f>(Table2634[[#This Row],[M1 Money Stock, Billions of Dollars, Weekly, Seasonally Adjusted]]-B2393)/B2393</f>
        <v/>
      </c>
      <c r="D2394" s="35">
        <f>(Table2634[[#This Row],[M1 Money Stock, Billions of Dollars, Weekly, Seasonally Adjusted]]-B2391)/B2391</f>
        <v/>
      </c>
      <c r="E2394" s="25">
        <f>AVERAGE(B2391:B2394)</f>
        <v/>
      </c>
      <c r="F2394" s="33">
        <f>(Table2634[[#This Row],[4 weeks average]]-B2342)/B2342</f>
        <v/>
      </c>
    </row>
    <row r="2395">
      <c r="A2395" s="34" t="n">
        <v>44123</v>
      </c>
      <c r="B2395" s="25">
        <f>VLOOKUP(Table2634[[#This Row],[Date]],'DB Money Supply'!$A:$D,4)</f>
        <v/>
      </c>
      <c r="C2395" s="31">
        <f>(Table2634[[#This Row],[M1 Money Stock, Billions of Dollars, Weekly, Seasonally Adjusted]]-B2394)/B2394</f>
        <v/>
      </c>
      <c r="D2395" s="35">
        <f>(Table2634[[#This Row],[M1 Money Stock, Billions of Dollars, Weekly, Seasonally Adjusted]]-B2392)/B2392</f>
        <v/>
      </c>
      <c r="E2395" s="25">
        <f>AVERAGE(B2392:B2395)</f>
        <v/>
      </c>
      <c r="F2395" s="33">
        <f>(Table2634[[#This Row],[4 weeks average]]-B2343)/B2343</f>
        <v/>
      </c>
    </row>
    <row r="2396">
      <c r="A2396" s="34" t="n">
        <v>44130</v>
      </c>
      <c r="B2396" s="25">
        <f>VLOOKUP(Table2634[[#This Row],[Date]],'DB Money Supply'!$A:$D,4)</f>
        <v/>
      </c>
      <c r="C2396" s="31">
        <f>(Table2634[[#This Row],[M1 Money Stock, Billions of Dollars, Weekly, Seasonally Adjusted]]-B2395)/B2395</f>
        <v/>
      </c>
      <c r="D2396" s="35">
        <f>(Table2634[[#This Row],[M1 Money Stock, Billions of Dollars, Weekly, Seasonally Adjusted]]-B2393)/B2393</f>
        <v/>
      </c>
      <c r="E2396" s="25">
        <f>AVERAGE(B2393:B2396)</f>
        <v/>
      </c>
      <c r="F2396" s="33">
        <f>(Table2634[[#This Row],[4 weeks average]]-B2344)/B2344</f>
        <v/>
      </c>
    </row>
    <row r="2397">
      <c r="A2397" s="34" t="n">
        <v>44137</v>
      </c>
      <c r="B2397" s="25">
        <f>VLOOKUP(Table2634[[#This Row],[Date]],'DB Money Supply'!$A:$D,4)</f>
        <v/>
      </c>
      <c r="C2397" s="31">
        <f>(Table2634[[#This Row],[M1 Money Stock, Billions of Dollars, Weekly, Seasonally Adjusted]]-B2396)/B2396</f>
        <v/>
      </c>
      <c r="D2397" s="35">
        <f>(Table2634[[#This Row],[M1 Money Stock, Billions of Dollars, Weekly, Seasonally Adjusted]]-B2394)/B2394</f>
        <v/>
      </c>
      <c r="E2397" s="25">
        <f>AVERAGE(B2394:B2397)</f>
        <v/>
      </c>
      <c r="F2397" s="33">
        <f>(Table2634[[#This Row],[4 weeks average]]-B2345)/B2345</f>
        <v/>
      </c>
    </row>
    <row r="2398">
      <c r="A2398" s="34" t="n">
        <v>44144</v>
      </c>
      <c r="B2398" s="25">
        <f>VLOOKUP(Table2634[[#This Row],[Date]],'DB Money Supply'!$A:$D,4)</f>
        <v/>
      </c>
      <c r="C2398" s="31">
        <f>(Table2634[[#This Row],[M1 Money Stock, Billions of Dollars, Weekly, Seasonally Adjusted]]-B2397)/B2397</f>
        <v/>
      </c>
      <c r="D2398" s="35">
        <f>(Table2634[[#This Row],[M1 Money Stock, Billions of Dollars, Weekly, Seasonally Adjusted]]-B2395)/B2395</f>
        <v/>
      </c>
      <c r="E2398" s="25">
        <f>AVERAGE(B2395:B2398)</f>
        <v/>
      </c>
      <c r="F2398" s="33">
        <f>(Table2634[[#This Row],[4 weeks average]]-B2346)/B2346</f>
        <v/>
      </c>
    </row>
    <row r="2399">
      <c r="A2399" s="34" t="n">
        <v>44151</v>
      </c>
      <c r="B2399" s="25">
        <f>VLOOKUP(Table2634[[#This Row],[Date]],'DB Money Supply'!$A:$D,4)</f>
        <v/>
      </c>
      <c r="C2399" s="31">
        <f>(Table2634[[#This Row],[M1 Money Stock, Billions of Dollars, Weekly, Seasonally Adjusted]]-B2398)/B2398</f>
        <v/>
      </c>
      <c r="D2399" s="35">
        <f>(Table2634[[#This Row],[M1 Money Stock, Billions of Dollars, Weekly, Seasonally Adjusted]]-B2396)/B2396</f>
        <v/>
      </c>
      <c r="E2399" s="25">
        <f>AVERAGE(B2396:B2399)</f>
        <v/>
      </c>
      <c r="F2399" s="33">
        <f>(Table2634[[#This Row],[4 weeks average]]-B2347)/B2347</f>
        <v/>
      </c>
    </row>
    <row r="2400">
      <c r="A2400" s="34" t="n">
        <v>44158</v>
      </c>
      <c r="B2400" s="25">
        <f>VLOOKUP(Table2634[[#This Row],[Date]],'DB Money Supply'!$A:$D,4)</f>
        <v/>
      </c>
      <c r="C2400" s="31">
        <f>(Table2634[[#This Row],[M1 Money Stock, Billions of Dollars, Weekly, Seasonally Adjusted]]-B2399)/B2399</f>
        <v/>
      </c>
      <c r="D2400" s="35">
        <f>(Table2634[[#This Row],[M1 Money Stock, Billions of Dollars, Weekly, Seasonally Adjusted]]-B2397)/B2397</f>
        <v/>
      </c>
      <c r="E2400" s="25">
        <f>AVERAGE(B2397:B2400)</f>
        <v/>
      </c>
      <c r="F2400" s="33">
        <f>(Table2634[[#This Row],[4 weeks average]]-B2348)/B2348</f>
        <v/>
      </c>
    </row>
    <row r="2401">
      <c r="A2401" s="34" t="n">
        <v>44165</v>
      </c>
      <c r="B2401" s="25">
        <f>VLOOKUP(Table2634[[#This Row],[Date]],'DB Money Supply'!$A:$D,4)</f>
        <v/>
      </c>
      <c r="C2401" s="31">
        <f>(Table2634[[#This Row],[M1 Money Stock, Billions of Dollars, Weekly, Seasonally Adjusted]]-B2400)/B2400</f>
        <v/>
      </c>
      <c r="D2401" s="35">
        <f>(Table2634[[#This Row],[M1 Money Stock, Billions of Dollars, Weekly, Seasonally Adjusted]]-B2398)/B2398</f>
        <v/>
      </c>
      <c r="E2401" s="25">
        <f>AVERAGE(B2398:B2401)</f>
        <v/>
      </c>
      <c r="F2401" s="33">
        <f>(Table2634[[#This Row],[4 weeks average]]-B2349)/B2349</f>
        <v/>
      </c>
    </row>
    <row r="2402">
      <c r="A2402" s="34" t="n">
        <v>44172</v>
      </c>
      <c r="B2402" s="25">
        <f>VLOOKUP(Table2634[[#This Row],[Date]],'DB Money Supply'!$A:$D,4)</f>
        <v/>
      </c>
      <c r="C2402" s="31">
        <f>(Table2634[[#This Row],[M1 Money Stock, Billions of Dollars, Weekly, Seasonally Adjusted]]-B2401)/B2401</f>
        <v/>
      </c>
      <c r="D2402" s="35">
        <f>(Table2634[[#This Row],[M1 Money Stock, Billions of Dollars, Weekly, Seasonally Adjusted]]-B2399)/B2399</f>
        <v/>
      </c>
      <c r="E2402" s="25">
        <f>AVERAGE(B2399:B2402)</f>
        <v/>
      </c>
      <c r="F2402" s="33">
        <f>(Table2634[[#This Row],[4 weeks average]]-B2350)/B2350</f>
        <v/>
      </c>
    </row>
    <row r="2403">
      <c r="A2403" s="34" t="n">
        <v>44179</v>
      </c>
      <c r="B2403" s="25">
        <f>VLOOKUP(Table2634[[#This Row],[Date]],'DB Money Supply'!$A:$D,4)</f>
        <v/>
      </c>
      <c r="C2403" s="31">
        <f>(Table2634[[#This Row],[M1 Money Stock, Billions of Dollars, Weekly, Seasonally Adjusted]]-B2402)/B2402</f>
        <v/>
      </c>
      <c r="D2403" s="35">
        <f>(Table2634[[#This Row],[M1 Money Stock, Billions of Dollars, Weekly, Seasonally Adjusted]]-B2400)/B2400</f>
        <v/>
      </c>
      <c r="E2403" s="25">
        <f>AVERAGE(B2400:B2403)</f>
        <v/>
      </c>
      <c r="F2403" s="33">
        <f>(Table2634[[#This Row],[4 weeks average]]-B2351)/B2351</f>
        <v/>
      </c>
    </row>
    <row r="2404">
      <c r="A2404" s="34" t="n">
        <v>44186</v>
      </c>
      <c r="B2404" s="25">
        <f>VLOOKUP(Table2634[[#This Row],[Date]],'DB Money Supply'!$A:$D,4)</f>
        <v/>
      </c>
      <c r="C2404" s="31">
        <f>(Table2634[[#This Row],[M1 Money Stock, Billions of Dollars, Weekly, Seasonally Adjusted]]-B2403)/B2403</f>
        <v/>
      </c>
      <c r="D2404" s="35">
        <f>(Table2634[[#This Row],[M1 Money Stock, Billions of Dollars, Weekly, Seasonally Adjusted]]-B2401)/B2401</f>
        <v/>
      </c>
      <c r="E2404" s="25">
        <f>AVERAGE(B2401:B2404)</f>
        <v/>
      </c>
      <c r="F2404" s="33">
        <f>(Table2634[[#This Row],[4 weeks average]]-B2352)/B2352</f>
        <v/>
      </c>
    </row>
    <row r="2405">
      <c r="A2405" s="34" t="n">
        <v>44193</v>
      </c>
      <c r="B2405" s="25">
        <f>VLOOKUP(Table2634[[#This Row],[Date]],'DB Money Supply'!$A:$D,4)</f>
        <v/>
      </c>
      <c r="C2405" s="31">
        <f>(Table2634[[#This Row],[M1 Money Stock, Billions of Dollars, Weekly, Seasonally Adjusted]]-B2404)/B2404</f>
        <v/>
      </c>
      <c r="D2405" s="35">
        <f>(Table2634[[#This Row],[M1 Money Stock, Billions of Dollars, Weekly, Seasonally Adjusted]]-B2402)/B2402</f>
        <v/>
      </c>
      <c r="E2405" s="25">
        <f>AVERAGE(B2402:B2405)</f>
        <v/>
      </c>
      <c r="F2405" s="33">
        <f>(Table2634[[#This Row],[4 weeks average]]-B2353)/B2353</f>
        <v/>
      </c>
    </row>
    <row r="2406">
      <c r="A2406" s="34" t="n">
        <v>44200</v>
      </c>
      <c r="B2406" s="25">
        <f>VLOOKUP(Table2634[[#This Row],[Date]],'DB Money Supply'!$A:$D,4)</f>
        <v/>
      </c>
      <c r="C2406" s="31">
        <f>(Table2634[[#This Row],[M1 Money Stock, Billions of Dollars, Weekly, Seasonally Adjusted]]-B2405)/B2405</f>
        <v/>
      </c>
      <c r="D2406" s="35">
        <f>(Table2634[[#This Row],[M1 Money Stock, Billions of Dollars, Weekly, Seasonally Adjusted]]-B2403)/B2403</f>
        <v/>
      </c>
      <c r="E2406" s="25">
        <f>AVERAGE(B2403:B2406)</f>
        <v/>
      </c>
      <c r="F2406" s="33">
        <f>(Table2634[[#This Row],[4 weeks average]]-B2354)/B2354</f>
        <v/>
      </c>
    </row>
    <row r="2407">
      <c r="A2407" s="34" t="n">
        <v>44207</v>
      </c>
      <c r="B2407" s="25">
        <f>VLOOKUP(Table2634[[#This Row],[Date]],'DB Money Supply'!$A:$D,4)</f>
        <v/>
      </c>
      <c r="C2407" s="31">
        <f>(Table2634[[#This Row],[M1 Money Stock, Billions of Dollars, Weekly, Seasonally Adjusted]]-B2406)/B2406</f>
        <v/>
      </c>
      <c r="D2407" s="35">
        <f>(Table2634[[#This Row],[M1 Money Stock, Billions of Dollars, Weekly, Seasonally Adjusted]]-B2404)/B2404</f>
        <v/>
      </c>
      <c r="E2407" s="25">
        <f>AVERAGE(B2404:B2407)</f>
        <v/>
      </c>
      <c r="F2407" s="33">
        <f>(Table2634[[#This Row],[4 weeks average]]-B2355)/B2355</f>
        <v/>
      </c>
    </row>
    <row r="2408">
      <c r="A2408" s="34" t="n">
        <v>44214</v>
      </c>
      <c r="B2408" s="25">
        <f>VLOOKUP(Table2634[[#This Row],[Date]],'DB Money Supply'!$A:$D,4)</f>
        <v/>
      </c>
      <c r="C2408" s="31">
        <f>(Table2634[[#This Row],[M1 Money Stock, Billions of Dollars, Weekly, Seasonally Adjusted]]-B2407)/B2407</f>
        <v/>
      </c>
      <c r="D2408" s="35">
        <f>(Table2634[[#This Row],[M1 Money Stock, Billions of Dollars, Weekly, Seasonally Adjusted]]-B2405)/B2405</f>
        <v/>
      </c>
      <c r="E2408" s="25">
        <f>AVERAGE(B2405:B2408)</f>
        <v/>
      </c>
      <c r="F2408" s="33">
        <f>(Table2634[[#This Row],[4 weeks average]]-B2356)/B2356</f>
        <v/>
      </c>
    </row>
    <row r="2409">
      <c r="A2409" s="34" t="n">
        <v>44221</v>
      </c>
      <c r="B2409" s="25">
        <f>VLOOKUP(Table2634[[#This Row],[Date]],'DB Money Supply'!$A:$D,4)</f>
        <v/>
      </c>
      <c r="C2409" s="31">
        <f>(Table2634[[#This Row],[M1 Money Stock, Billions of Dollars, Weekly, Seasonally Adjusted]]-B2408)/B2408</f>
        <v/>
      </c>
      <c r="D2409" s="35">
        <f>(Table2634[[#This Row],[M1 Money Stock, Billions of Dollars, Weekly, Seasonally Adjusted]]-B2406)/B2406</f>
        <v/>
      </c>
      <c r="E2409" s="25">
        <f>AVERAGE(B2406:B2409)</f>
        <v/>
      </c>
      <c r="F2409" s="33">
        <f>(Table2634[[#This Row],[4 weeks average]]-B2357)/B2357</f>
        <v/>
      </c>
    </row>
    <row r="2410">
      <c r="A2410" s="34" t="n">
        <v>44228</v>
      </c>
      <c r="B2410" s="25">
        <f>VLOOKUP(Table2634[[#This Row],[Date]],'DB Money Supply'!$A:$D,4)</f>
        <v/>
      </c>
      <c r="C2410" s="31">
        <f>(Table2634[[#This Row],[M1 Money Stock, Billions of Dollars, Weekly, Seasonally Adjusted]]-B2409)/B2409</f>
        <v/>
      </c>
      <c r="D2410" s="35">
        <f>(Table2634[[#This Row],[M1 Money Stock, Billions of Dollars, Weekly, Seasonally Adjusted]]-B2407)/B2407</f>
        <v/>
      </c>
      <c r="E2410" s="25">
        <f>AVERAGE(B2407:B2410)</f>
        <v/>
      </c>
      <c r="F2410" s="33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0"/>
  <sheetViews>
    <sheetView zoomScale="170" zoomScaleNormal="170" workbookViewId="0">
      <pane ySplit="5" topLeftCell="A713" activePane="bottomLeft" state="frozen"/>
      <selection pane="bottomLeft" activeCell="O764" sqref="O764"/>
    </sheetView>
  </sheetViews>
  <sheetFormatPr baseColWidth="10" defaultColWidth="9.1640625" defaultRowHeight="15"/>
  <cols>
    <col width="16.6640625" customWidth="1" style="16" min="1" max="1"/>
    <col width="19" customWidth="1" style="83" min="2" max="2"/>
    <col width="14.6640625" customWidth="1" style="16" min="3" max="3"/>
    <col width="14.6640625" customWidth="1" style="83" min="4" max="4"/>
    <col width="9.1640625" customWidth="1" style="83" min="5" max="8"/>
    <col width="9.1640625" customWidth="1" style="83" min="9" max="16384"/>
  </cols>
  <sheetData>
    <row r="1">
      <c r="A1" t="inlineStr">
        <is>
          <t>https://fred.stlouisfed.org/series/M2SL</t>
        </is>
      </c>
    </row>
    <row r="2">
      <c r="A2" s="83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77" thickBot="1">
      <c r="F4" s="17">
        <f>_xlfn.STDEV.S(D7:D752)</f>
        <v/>
      </c>
    </row>
    <row r="5" ht="69" customHeight="1" s="77" thickBot="1">
      <c r="A5" s="60" t="inlineStr">
        <is>
          <t>Date</t>
        </is>
      </c>
      <c r="B5" s="61" t="inlineStr">
        <is>
          <t>M2 Money Stock, Billions of Dollars, Monthly, Seasonally Adjusted</t>
        </is>
      </c>
      <c r="C5" s="62" t="inlineStr">
        <is>
          <t>Monthly change</t>
        </is>
      </c>
      <c r="D5" s="62" t="inlineStr">
        <is>
          <t>M2 Monthly Change Annualized %</t>
        </is>
      </c>
    </row>
    <row r="6">
      <c r="A6" s="57" t="n">
        <v>21551</v>
      </c>
      <c r="B6" s="59">
        <f>VLOOKUP(Table26[[#This Row],[Date]],'DB Money Supply'!$A:$E,5)</f>
        <v/>
      </c>
      <c r="C6" s="58" t="n"/>
      <c r="D6" s="58" t="n"/>
    </row>
    <row r="7">
      <c r="A7" s="34" t="n">
        <v>21582</v>
      </c>
      <c r="B7" s="59">
        <f>VLOOKUP(Table26[[#This Row],[Date]],'DB Money Supply'!$A:$E,5)</f>
        <v/>
      </c>
      <c r="C7" s="31">
        <f>(Table26[[#This Row],[M2 Money Stock, Billions of Dollars, Monthly, Seasonally Adjusted]]-B6)/B6</f>
        <v/>
      </c>
      <c r="D7" s="32">
        <f>((1+Table26[[#This Row],[Monthly change]])^12)-1</f>
        <v/>
      </c>
    </row>
    <row r="8">
      <c r="A8" s="57" t="n">
        <v>21610</v>
      </c>
      <c r="B8" s="59">
        <f>VLOOKUP(Table26[[#This Row],[Date]],'DB Money Supply'!$A:$E,5)</f>
        <v/>
      </c>
      <c r="C8" s="31">
        <f>(Table26[[#This Row],[M2 Money Stock, Billions of Dollars, Monthly, Seasonally Adjusted]]-B7)/B7</f>
        <v/>
      </c>
      <c r="D8" s="32">
        <f>((1+Table26[[#This Row],[Monthly change]])^12)-1</f>
        <v/>
      </c>
    </row>
    <row r="9">
      <c r="A9" s="34" t="n">
        <v>21641</v>
      </c>
      <c r="B9" s="59">
        <f>VLOOKUP(Table26[[#This Row],[Date]],'DB Money Supply'!$A:$E,5)</f>
        <v/>
      </c>
      <c r="C9" s="31">
        <f>(Table26[[#This Row],[M2 Money Stock, Billions of Dollars, Monthly, Seasonally Adjusted]]-B8)/B8</f>
        <v/>
      </c>
      <c r="D9" s="32">
        <f>((1+Table26[[#This Row],[Monthly change]])^12)-1</f>
        <v/>
      </c>
    </row>
    <row r="10">
      <c r="A10" s="57" t="n">
        <v>21671</v>
      </c>
      <c r="B10" s="59">
        <f>VLOOKUP(Table26[[#This Row],[Date]],'DB Money Supply'!$A:$E,5)</f>
        <v/>
      </c>
      <c r="C10" s="31">
        <f>(Table26[[#This Row],[M2 Money Stock, Billions of Dollars, Monthly, Seasonally Adjusted]]-B9)/B9</f>
        <v/>
      </c>
      <c r="D10" s="32">
        <f>((1+Table26[[#This Row],[Monthly change]])^12)-1</f>
        <v/>
      </c>
    </row>
    <row r="11">
      <c r="A11" s="34" t="n">
        <v>21702</v>
      </c>
      <c r="B11" s="59">
        <f>VLOOKUP(Table26[[#This Row],[Date]],'DB Money Supply'!$A:$E,5)</f>
        <v/>
      </c>
      <c r="C11" s="31">
        <f>(Table26[[#This Row],[M2 Money Stock, Billions of Dollars, Monthly, Seasonally Adjusted]]-B10)/B10</f>
        <v/>
      </c>
      <c r="D11" s="32">
        <f>((1+Table26[[#This Row],[Monthly change]])^12)-1</f>
        <v/>
      </c>
    </row>
    <row r="12">
      <c r="A12" s="57" t="n">
        <v>21732</v>
      </c>
      <c r="B12" s="59">
        <f>VLOOKUP(Table26[[#This Row],[Date]],'DB Money Supply'!$A:$E,5)</f>
        <v/>
      </c>
      <c r="C12" s="31">
        <f>(Table26[[#This Row],[M2 Money Stock, Billions of Dollars, Monthly, Seasonally Adjusted]]-B11)/B11</f>
        <v/>
      </c>
      <c r="D12" s="32">
        <f>((1+Table26[[#This Row],[Monthly change]])^12)-1</f>
        <v/>
      </c>
    </row>
    <row r="13">
      <c r="A13" s="34" t="n">
        <v>21763</v>
      </c>
      <c r="B13" s="59">
        <f>VLOOKUP(Table26[[#This Row],[Date]],'DB Money Supply'!$A:$E,5)</f>
        <v/>
      </c>
      <c r="C13" s="31">
        <f>(Table26[[#This Row],[M2 Money Stock, Billions of Dollars, Monthly, Seasonally Adjusted]]-B12)/B12</f>
        <v/>
      </c>
      <c r="D13" s="32">
        <f>((1+Table26[[#This Row],[Monthly change]])^12)-1</f>
        <v/>
      </c>
    </row>
    <row r="14">
      <c r="A14" s="57" t="n">
        <v>21794</v>
      </c>
      <c r="B14" s="59">
        <f>VLOOKUP(Table26[[#This Row],[Date]],'DB Money Supply'!$A:$E,5)</f>
        <v/>
      </c>
      <c r="C14" s="31">
        <f>(Table26[[#This Row],[M2 Money Stock, Billions of Dollars, Monthly, Seasonally Adjusted]]-B13)/B13</f>
        <v/>
      </c>
      <c r="D14" s="32">
        <f>((1+Table26[[#This Row],[Monthly change]])^12)-1</f>
        <v/>
      </c>
    </row>
    <row r="15">
      <c r="A15" s="34" t="n">
        <v>21824</v>
      </c>
      <c r="B15" s="59">
        <f>VLOOKUP(Table26[[#This Row],[Date]],'DB Money Supply'!$A:$E,5)</f>
        <v/>
      </c>
      <c r="C15" s="31">
        <f>(Table26[[#This Row],[M2 Money Stock, Billions of Dollars, Monthly, Seasonally Adjusted]]-B14)/B14</f>
        <v/>
      </c>
      <c r="D15" s="32">
        <f>((1+Table26[[#This Row],[Monthly change]])^12)-1</f>
        <v/>
      </c>
    </row>
    <row r="16">
      <c r="A16" s="57" t="n">
        <v>21855</v>
      </c>
      <c r="B16" s="59">
        <f>VLOOKUP(Table26[[#This Row],[Date]],'DB Money Supply'!$A:$E,5)</f>
        <v/>
      </c>
      <c r="C16" s="31">
        <f>(Table26[[#This Row],[M2 Money Stock, Billions of Dollars, Monthly, Seasonally Adjusted]]-B15)/B15</f>
        <v/>
      </c>
      <c r="D16" s="32">
        <f>((1+Table26[[#This Row],[Monthly change]])^12)-1</f>
        <v/>
      </c>
    </row>
    <row r="17">
      <c r="A17" s="34" t="n">
        <v>21885</v>
      </c>
      <c r="B17" s="59">
        <f>VLOOKUP(Table26[[#This Row],[Date]],'DB Money Supply'!$A:$E,5)</f>
        <v/>
      </c>
      <c r="C17" s="31">
        <f>(Table26[[#This Row],[M2 Money Stock, Billions of Dollars, Monthly, Seasonally Adjusted]]-B16)/B16</f>
        <v/>
      </c>
      <c r="D17" s="32">
        <f>((1+Table26[[#This Row],[Monthly change]])^12)-1</f>
        <v/>
      </c>
    </row>
    <row r="18">
      <c r="A18" s="57" t="n">
        <v>21916</v>
      </c>
      <c r="B18" s="59">
        <f>VLOOKUP(Table26[[#This Row],[Date]],'DB Money Supply'!$A:$E,5)</f>
        <v/>
      </c>
      <c r="C18" s="31">
        <f>(Table26[[#This Row],[M2 Money Stock, Billions of Dollars, Monthly, Seasonally Adjusted]]-B17)/B17</f>
        <v/>
      </c>
      <c r="D18" s="32">
        <f>((1+Table26[[#This Row],[Monthly change]])^12)-1</f>
        <v/>
      </c>
    </row>
    <row r="19">
      <c r="A19" s="34" t="n">
        <v>21947</v>
      </c>
      <c r="B19" s="59">
        <f>VLOOKUP(Table26[[#This Row],[Date]],'DB Money Supply'!$A:$E,5)</f>
        <v/>
      </c>
      <c r="C19" s="31">
        <f>(Table26[[#This Row],[M2 Money Stock, Billions of Dollars, Monthly, Seasonally Adjusted]]-B18)/B18</f>
        <v/>
      </c>
      <c r="D19" s="32">
        <f>((1+Table26[[#This Row],[Monthly change]])^12)-1</f>
        <v/>
      </c>
    </row>
    <row r="20">
      <c r="A20" s="57" t="n">
        <v>21976</v>
      </c>
      <c r="B20" s="59">
        <f>VLOOKUP(Table26[[#This Row],[Date]],'DB Money Supply'!$A:$E,5)</f>
        <v/>
      </c>
      <c r="C20" s="31">
        <f>(Table26[[#This Row],[M2 Money Stock, Billions of Dollars, Monthly, Seasonally Adjusted]]-B19)/B19</f>
        <v/>
      </c>
      <c r="D20" s="32">
        <f>((1+Table26[[#This Row],[Monthly change]])^12)-1</f>
        <v/>
      </c>
    </row>
    <row r="21">
      <c r="A21" s="34" t="n">
        <v>22007</v>
      </c>
      <c r="B21" s="59">
        <f>VLOOKUP(Table26[[#This Row],[Date]],'DB Money Supply'!$A:$E,5)</f>
        <v/>
      </c>
      <c r="C21" s="31">
        <f>(Table26[[#This Row],[M2 Money Stock, Billions of Dollars, Monthly, Seasonally Adjusted]]-B20)/B20</f>
        <v/>
      </c>
      <c r="D21" s="32">
        <f>((1+Table26[[#This Row],[Monthly change]])^12)-1</f>
        <v/>
      </c>
    </row>
    <row r="22">
      <c r="A22" s="57" t="n">
        <v>22037</v>
      </c>
      <c r="B22" s="59">
        <f>VLOOKUP(Table26[[#This Row],[Date]],'DB Money Supply'!$A:$E,5)</f>
        <v/>
      </c>
      <c r="C22" s="31">
        <f>(Table26[[#This Row],[M2 Money Stock, Billions of Dollars, Monthly, Seasonally Adjusted]]-B21)/B21</f>
        <v/>
      </c>
      <c r="D22" s="32">
        <f>((1+Table26[[#This Row],[Monthly change]])^12)-1</f>
        <v/>
      </c>
    </row>
    <row r="23">
      <c r="A23" s="34" t="n">
        <v>22068</v>
      </c>
      <c r="B23" s="59">
        <f>VLOOKUP(Table26[[#This Row],[Date]],'DB Money Supply'!$A:$E,5)</f>
        <v/>
      </c>
      <c r="C23" s="31">
        <f>(Table26[[#This Row],[M2 Money Stock, Billions of Dollars, Monthly, Seasonally Adjusted]]-B22)/B22</f>
        <v/>
      </c>
      <c r="D23" s="32">
        <f>((1+Table26[[#This Row],[Monthly change]])^12)-1</f>
        <v/>
      </c>
    </row>
    <row r="24">
      <c r="A24" s="57" t="n">
        <v>22098</v>
      </c>
      <c r="B24" s="59">
        <f>VLOOKUP(Table26[[#This Row],[Date]],'DB Money Supply'!$A:$E,5)</f>
        <v/>
      </c>
      <c r="C24" s="31">
        <f>(Table26[[#This Row],[M2 Money Stock, Billions of Dollars, Monthly, Seasonally Adjusted]]-B23)/B23</f>
        <v/>
      </c>
      <c r="D24" s="32">
        <f>((1+Table26[[#This Row],[Monthly change]])^12)-1</f>
        <v/>
      </c>
    </row>
    <row r="25">
      <c r="A25" s="57" t="n">
        <v>22129</v>
      </c>
      <c r="B25" s="59">
        <f>VLOOKUP(Table26[[#This Row],[Date]],'DB Money Supply'!$A:$E,5)</f>
        <v/>
      </c>
      <c r="C25" s="31">
        <f>(Table26[[#This Row],[M2 Money Stock, Billions of Dollars, Monthly, Seasonally Adjusted]]-B24)/B24</f>
        <v/>
      </c>
      <c r="D25" s="32">
        <f>((1+Table26[[#This Row],[Monthly change]])^12)-1</f>
        <v/>
      </c>
    </row>
    <row r="26">
      <c r="A26" s="34" t="n">
        <v>22160</v>
      </c>
      <c r="B26" s="59">
        <f>VLOOKUP(Table26[[#This Row],[Date]],'DB Money Supply'!$A:$E,5)</f>
        <v/>
      </c>
      <c r="C26" s="31">
        <f>(Table26[[#This Row],[M2 Money Stock, Billions of Dollars, Monthly, Seasonally Adjusted]]-B25)/B25</f>
        <v/>
      </c>
      <c r="D26" s="32">
        <f>((1+Table26[[#This Row],[Monthly change]])^12)-1</f>
        <v/>
      </c>
    </row>
    <row r="27">
      <c r="A27" s="57" t="n">
        <v>22190</v>
      </c>
      <c r="B27" s="59">
        <f>VLOOKUP(Table26[[#This Row],[Date]],'DB Money Supply'!$A:$E,5)</f>
        <v/>
      </c>
      <c r="C27" s="31">
        <f>(Table26[[#This Row],[M2 Money Stock, Billions of Dollars, Monthly, Seasonally Adjusted]]-B26)/B26</f>
        <v/>
      </c>
      <c r="D27" s="32">
        <f>((1+Table26[[#This Row],[Monthly change]])^12)-1</f>
        <v/>
      </c>
    </row>
    <row r="28">
      <c r="A28" s="34" t="n">
        <v>22221</v>
      </c>
      <c r="B28" s="59">
        <f>VLOOKUP(Table26[[#This Row],[Date]],'DB Money Supply'!$A:$E,5)</f>
        <v/>
      </c>
      <c r="C28" s="31">
        <f>(Table26[[#This Row],[M2 Money Stock, Billions of Dollars, Monthly, Seasonally Adjusted]]-B27)/B27</f>
        <v/>
      </c>
      <c r="D28" s="32">
        <f>((1+Table26[[#This Row],[Monthly change]])^12)-1</f>
        <v/>
      </c>
    </row>
    <row r="29">
      <c r="A29" s="57" t="n">
        <v>22251</v>
      </c>
      <c r="B29" s="59">
        <f>VLOOKUP(Table26[[#This Row],[Date]],'DB Money Supply'!$A:$E,5)</f>
        <v/>
      </c>
      <c r="C29" s="31">
        <f>(Table26[[#This Row],[M2 Money Stock, Billions of Dollars, Monthly, Seasonally Adjusted]]-B28)/B28</f>
        <v/>
      </c>
      <c r="D29" s="32">
        <f>((1+Table26[[#This Row],[Monthly change]])^12)-1</f>
        <v/>
      </c>
    </row>
    <row r="30">
      <c r="A30" s="34" t="n">
        <v>22282</v>
      </c>
      <c r="B30" s="59">
        <f>VLOOKUP(Table26[[#This Row],[Date]],'DB Money Supply'!$A:$E,5)</f>
        <v/>
      </c>
      <c r="C30" s="31">
        <f>(Table26[[#This Row],[M2 Money Stock, Billions of Dollars, Monthly, Seasonally Adjusted]]-B29)/B29</f>
        <v/>
      </c>
      <c r="D30" s="32">
        <f>((1+Table26[[#This Row],[Monthly change]])^12)-1</f>
        <v/>
      </c>
    </row>
    <row r="31">
      <c r="A31" s="57" t="n">
        <v>22313</v>
      </c>
      <c r="B31" s="59">
        <f>VLOOKUP(Table26[[#This Row],[Date]],'DB Money Supply'!$A:$E,5)</f>
        <v/>
      </c>
      <c r="C31" s="31">
        <f>(Table26[[#This Row],[M2 Money Stock, Billions of Dollars, Monthly, Seasonally Adjusted]]-B30)/B30</f>
        <v/>
      </c>
      <c r="D31" s="32">
        <f>((1+Table26[[#This Row],[Monthly change]])^12)-1</f>
        <v/>
      </c>
    </row>
    <row r="32">
      <c r="A32" s="34" t="n">
        <v>22341</v>
      </c>
      <c r="B32" s="59">
        <f>VLOOKUP(Table26[[#This Row],[Date]],'DB Money Supply'!$A:$E,5)</f>
        <v/>
      </c>
      <c r="C32" s="31">
        <f>(Table26[[#This Row],[M2 Money Stock, Billions of Dollars, Monthly, Seasonally Adjusted]]-B31)/B31</f>
        <v/>
      </c>
      <c r="D32" s="32">
        <f>((1+Table26[[#This Row],[Monthly change]])^12)-1</f>
        <v/>
      </c>
    </row>
    <row r="33">
      <c r="A33" s="57" t="n">
        <v>22372</v>
      </c>
      <c r="B33" s="59">
        <f>VLOOKUP(Table26[[#This Row],[Date]],'DB Money Supply'!$A:$E,5)</f>
        <v/>
      </c>
      <c r="C33" s="31">
        <f>(Table26[[#This Row],[M2 Money Stock, Billions of Dollars, Monthly, Seasonally Adjusted]]-B32)/B32</f>
        <v/>
      </c>
      <c r="D33" s="32">
        <f>((1+Table26[[#This Row],[Monthly change]])^12)-1</f>
        <v/>
      </c>
    </row>
    <row r="34">
      <c r="A34" s="34" t="n">
        <v>22402</v>
      </c>
      <c r="B34" s="59">
        <f>VLOOKUP(Table26[[#This Row],[Date]],'DB Money Supply'!$A:$E,5)</f>
        <v/>
      </c>
      <c r="C34" s="31">
        <f>(Table26[[#This Row],[M2 Money Stock, Billions of Dollars, Monthly, Seasonally Adjusted]]-B33)/B33</f>
        <v/>
      </c>
      <c r="D34" s="32">
        <f>((1+Table26[[#This Row],[Monthly change]])^12)-1</f>
        <v/>
      </c>
    </row>
    <row r="35">
      <c r="A35" s="57" t="n">
        <v>22433</v>
      </c>
      <c r="B35" s="59">
        <f>VLOOKUP(Table26[[#This Row],[Date]],'DB Money Supply'!$A:$E,5)</f>
        <v/>
      </c>
      <c r="C35" s="31">
        <f>(Table26[[#This Row],[M2 Money Stock, Billions of Dollars, Monthly, Seasonally Adjusted]]-B34)/B34</f>
        <v/>
      </c>
      <c r="D35" s="32">
        <f>((1+Table26[[#This Row],[Monthly change]])^12)-1</f>
        <v/>
      </c>
    </row>
    <row r="36">
      <c r="A36" s="34" t="n">
        <v>22463</v>
      </c>
      <c r="B36" s="59">
        <f>VLOOKUP(Table26[[#This Row],[Date]],'DB Money Supply'!$A:$E,5)</f>
        <v/>
      </c>
      <c r="C36" s="31">
        <f>(Table26[[#This Row],[M2 Money Stock, Billions of Dollars, Monthly, Seasonally Adjusted]]-B35)/B35</f>
        <v/>
      </c>
      <c r="D36" s="32">
        <f>((1+Table26[[#This Row],[Monthly change]])^12)-1</f>
        <v/>
      </c>
    </row>
    <row r="37">
      <c r="A37" s="57" t="n">
        <v>22494</v>
      </c>
      <c r="B37" s="59">
        <f>VLOOKUP(Table26[[#This Row],[Date]],'DB Money Supply'!$A:$E,5)</f>
        <v/>
      </c>
      <c r="C37" s="31">
        <f>(Table26[[#This Row],[M2 Money Stock, Billions of Dollars, Monthly, Seasonally Adjusted]]-B36)/B36</f>
        <v/>
      </c>
      <c r="D37" s="32">
        <f>((1+Table26[[#This Row],[Monthly change]])^12)-1</f>
        <v/>
      </c>
    </row>
    <row r="38">
      <c r="A38" s="34" t="n">
        <v>22525</v>
      </c>
      <c r="B38" s="59">
        <f>VLOOKUP(Table26[[#This Row],[Date]],'DB Money Supply'!$A:$E,5)</f>
        <v/>
      </c>
      <c r="C38" s="31">
        <f>(Table26[[#This Row],[M2 Money Stock, Billions of Dollars, Monthly, Seasonally Adjusted]]-B37)/B37</f>
        <v/>
      </c>
      <c r="D38" s="32">
        <f>((1+Table26[[#This Row],[Monthly change]])^12)-1</f>
        <v/>
      </c>
    </row>
    <row r="39">
      <c r="A39" s="57" t="n">
        <v>22555</v>
      </c>
      <c r="B39" s="59">
        <f>VLOOKUP(Table26[[#This Row],[Date]],'DB Money Supply'!$A:$E,5)</f>
        <v/>
      </c>
      <c r="C39" s="31">
        <f>(Table26[[#This Row],[M2 Money Stock, Billions of Dollars, Monthly, Seasonally Adjusted]]-B38)/B38</f>
        <v/>
      </c>
      <c r="D39" s="32">
        <f>((1+Table26[[#This Row],[Monthly change]])^12)-1</f>
        <v/>
      </c>
    </row>
    <row r="40">
      <c r="A40" s="34" t="n">
        <v>22586</v>
      </c>
      <c r="B40" s="59">
        <f>VLOOKUP(Table26[[#This Row],[Date]],'DB Money Supply'!$A:$E,5)</f>
        <v/>
      </c>
      <c r="C40" s="31">
        <f>(Table26[[#This Row],[M2 Money Stock, Billions of Dollars, Monthly, Seasonally Adjusted]]-B39)/B39</f>
        <v/>
      </c>
      <c r="D40" s="32">
        <f>((1+Table26[[#This Row],[Monthly change]])^12)-1</f>
        <v/>
      </c>
    </row>
    <row r="41">
      <c r="A41" s="57" t="n">
        <v>22616</v>
      </c>
      <c r="B41" s="59">
        <f>VLOOKUP(Table26[[#This Row],[Date]],'DB Money Supply'!$A:$E,5)</f>
        <v/>
      </c>
      <c r="C41" s="31">
        <f>(Table26[[#This Row],[M2 Money Stock, Billions of Dollars, Monthly, Seasonally Adjusted]]-B40)/B40</f>
        <v/>
      </c>
      <c r="D41" s="32">
        <f>((1+Table26[[#This Row],[Monthly change]])^12)-1</f>
        <v/>
      </c>
    </row>
    <row r="42">
      <c r="A42" s="34" t="n">
        <v>22647</v>
      </c>
      <c r="B42" s="59">
        <f>VLOOKUP(Table26[[#This Row],[Date]],'DB Money Supply'!$A:$E,5)</f>
        <v/>
      </c>
      <c r="C42" s="31">
        <f>(Table26[[#This Row],[M2 Money Stock, Billions of Dollars, Monthly, Seasonally Adjusted]]-B41)/B41</f>
        <v/>
      </c>
      <c r="D42" s="32">
        <f>((1+Table26[[#This Row],[Monthly change]])^12)-1</f>
        <v/>
      </c>
    </row>
    <row r="43">
      <c r="A43" s="57" t="n">
        <v>22678</v>
      </c>
      <c r="B43" s="59">
        <f>VLOOKUP(Table26[[#This Row],[Date]],'DB Money Supply'!$A:$E,5)</f>
        <v/>
      </c>
      <c r="C43" s="31">
        <f>(Table26[[#This Row],[M2 Money Stock, Billions of Dollars, Monthly, Seasonally Adjusted]]-B42)/B42</f>
        <v/>
      </c>
      <c r="D43" s="32">
        <f>((1+Table26[[#This Row],[Monthly change]])^12)-1</f>
        <v/>
      </c>
    </row>
    <row r="44">
      <c r="A44" s="57" t="n">
        <v>22706</v>
      </c>
      <c r="B44" s="59">
        <f>VLOOKUP(Table26[[#This Row],[Date]],'DB Money Supply'!$A:$E,5)</f>
        <v/>
      </c>
      <c r="C44" s="31">
        <f>(Table26[[#This Row],[M2 Money Stock, Billions of Dollars, Monthly, Seasonally Adjusted]]-B43)/B43</f>
        <v/>
      </c>
      <c r="D44" s="32">
        <f>((1+Table26[[#This Row],[Monthly change]])^12)-1</f>
        <v/>
      </c>
    </row>
    <row r="45">
      <c r="A45" s="34" t="n">
        <v>22737</v>
      </c>
      <c r="B45" s="59">
        <f>VLOOKUP(Table26[[#This Row],[Date]],'DB Money Supply'!$A:$E,5)</f>
        <v/>
      </c>
      <c r="C45" s="31">
        <f>(Table26[[#This Row],[M2 Money Stock, Billions of Dollars, Monthly, Seasonally Adjusted]]-B44)/B44</f>
        <v/>
      </c>
      <c r="D45" s="32">
        <f>((1+Table26[[#This Row],[Monthly change]])^12)-1</f>
        <v/>
      </c>
    </row>
    <row r="46">
      <c r="A46" s="57" t="n">
        <v>22767</v>
      </c>
      <c r="B46" s="59">
        <f>VLOOKUP(Table26[[#This Row],[Date]],'DB Money Supply'!$A:$E,5)</f>
        <v/>
      </c>
      <c r="C46" s="31">
        <f>(Table26[[#This Row],[M2 Money Stock, Billions of Dollars, Monthly, Seasonally Adjusted]]-B45)/B45</f>
        <v/>
      </c>
      <c r="D46" s="32">
        <f>((1+Table26[[#This Row],[Monthly change]])^12)-1</f>
        <v/>
      </c>
    </row>
    <row r="47">
      <c r="A47" s="34" t="n">
        <v>22798</v>
      </c>
      <c r="B47" s="59">
        <f>VLOOKUP(Table26[[#This Row],[Date]],'DB Money Supply'!$A:$E,5)</f>
        <v/>
      </c>
      <c r="C47" s="31">
        <f>(Table26[[#This Row],[M2 Money Stock, Billions of Dollars, Monthly, Seasonally Adjusted]]-B46)/B46</f>
        <v/>
      </c>
      <c r="D47" s="32">
        <f>((1+Table26[[#This Row],[Monthly change]])^12)-1</f>
        <v/>
      </c>
    </row>
    <row r="48">
      <c r="A48" s="57" t="n">
        <v>22828</v>
      </c>
      <c r="B48" s="59">
        <f>VLOOKUP(Table26[[#This Row],[Date]],'DB Money Supply'!$A:$E,5)</f>
        <v/>
      </c>
      <c r="C48" s="31">
        <f>(Table26[[#This Row],[M2 Money Stock, Billions of Dollars, Monthly, Seasonally Adjusted]]-B47)/B47</f>
        <v/>
      </c>
      <c r="D48" s="32">
        <f>((1+Table26[[#This Row],[Monthly change]])^12)-1</f>
        <v/>
      </c>
    </row>
    <row r="49">
      <c r="A49" s="34" t="n">
        <v>22859</v>
      </c>
      <c r="B49" s="59">
        <f>VLOOKUP(Table26[[#This Row],[Date]],'DB Money Supply'!$A:$E,5)</f>
        <v/>
      </c>
      <c r="C49" s="31">
        <f>(Table26[[#This Row],[M2 Money Stock, Billions of Dollars, Monthly, Seasonally Adjusted]]-B48)/B48</f>
        <v/>
      </c>
      <c r="D49" s="32">
        <f>((1+Table26[[#This Row],[Monthly change]])^12)-1</f>
        <v/>
      </c>
    </row>
    <row r="50">
      <c r="A50" s="57" t="n">
        <v>22890</v>
      </c>
      <c r="B50" s="59">
        <f>VLOOKUP(Table26[[#This Row],[Date]],'DB Money Supply'!$A:$E,5)</f>
        <v/>
      </c>
      <c r="C50" s="31">
        <f>(Table26[[#This Row],[M2 Money Stock, Billions of Dollars, Monthly, Seasonally Adjusted]]-B49)/B49</f>
        <v/>
      </c>
      <c r="D50" s="32">
        <f>((1+Table26[[#This Row],[Monthly change]])^12)-1</f>
        <v/>
      </c>
    </row>
    <row r="51">
      <c r="A51" s="34" t="n">
        <v>22920</v>
      </c>
      <c r="B51" s="59">
        <f>VLOOKUP(Table26[[#This Row],[Date]],'DB Money Supply'!$A:$E,5)</f>
        <v/>
      </c>
      <c r="C51" s="31">
        <f>(Table26[[#This Row],[M2 Money Stock, Billions of Dollars, Monthly, Seasonally Adjusted]]-B50)/B50</f>
        <v/>
      </c>
      <c r="D51" s="32">
        <f>((1+Table26[[#This Row],[Monthly change]])^12)-1</f>
        <v/>
      </c>
    </row>
    <row r="52">
      <c r="A52" s="57" t="n">
        <v>22951</v>
      </c>
      <c r="B52" s="59">
        <f>VLOOKUP(Table26[[#This Row],[Date]],'DB Money Supply'!$A:$E,5)</f>
        <v/>
      </c>
      <c r="C52" s="31">
        <f>(Table26[[#This Row],[M2 Money Stock, Billions of Dollars, Monthly, Seasonally Adjusted]]-B51)/B51</f>
        <v/>
      </c>
      <c r="D52" s="32">
        <f>((1+Table26[[#This Row],[Monthly change]])^12)-1</f>
        <v/>
      </c>
    </row>
    <row r="53">
      <c r="A53" s="34" t="n">
        <v>22981</v>
      </c>
      <c r="B53" s="59">
        <f>VLOOKUP(Table26[[#This Row],[Date]],'DB Money Supply'!$A:$E,5)</f>
        <v/>
      </c>
      <c r="C53" s="31">
        <f>(Table26[[#This Row],[M2 Money Stock, Billions of Dollars, Monthly, Seasonally Adjusted]]-B52)/B52</f>
        <v/>
      </c>
      <c r="D53" s="32">
        <f>((1+Table26[[#This Row],[Monthly change]])^12)-1</f>
        <v/>
      </c>
    </row>
    <row r="54">
      <c r="A54" s="57" t="n">
        <v>23012</v>
      </c>
      <c r="B54" s="59">
        <f>VLOOKUP(Table26[[#This Row],[Date]],'DB Money Supply'!$A:$E,5)</f>
        <v/>
      </c>
      <c r="C54" s="31">
        <f>(Table26[[#This Row],[M2 Money Stock, Billions of Dollars, Monthly, Seasonally Adjusted]]-B53)/B53</f>
        <v/>
      </c>
      <c r="D54" s="32">
        <f>((1+Table26[[#This Row],[Monthly change]])^12)-1</f>
        <v/>
      </c>
    </row>
    <row r="55">
      <c r="A55" s="34" t="n">
        <v>23043</v>
      </c>
      <c r="B55" s="59">
        <f>VLOOKUP(Table26[[#This Row],[Date]],'DB Money Supply'!$A:$E,5)</f>
        <v/>
      </c>
      <c r="C55" s="31">
        <f>(Table26[[#This Row],[M2 Money Stock, Billions of Dollars, Monthly, Seasonally Adjusted]]-B54)/B54</f>
        <v/>
      </c>
      <c r="D55" s="32">
        <f>((1+Table26[[#This Row],[Monthly change]])^12)-1</f>
        <v/>
      </c>
    </row>
    <row r="56">
      <c r="A56" s="57" t="n">
        <v>23071</v>
      </c>
      <c r="B56" s="59">
        <f>VLOOKUP(Table26[[#This Row],[Date]],'DB Money Supply'!$A:$E,5)</f>
        <v/>
      </c>
      <c r="C56" s="31">
        <f>(Table26[[#This Row],[M2 Money Stock, Billions of Dollars, Monthly, Seasonally Adjusted]]-B55)/B55</f>
        <v/>
      </c>
      <c r="D56" s="32">
        <f>((1+Table26[[#This Row],[Monthly change]])^12)-1</f>
        <v/>
      </c>
    </row>
    <row r="57">
      <c r="A57" s="34" t="n">
        <v>23102</v>
      </c>
      <c r="B57" s="59">
        <f>VLOOKUP(Table26[[#This Row],[Date]],'DB Money Supply'!$A:$E,5)</f>
        <v/>
      </c>
      <c r="C57" s="31">
        <f>(Table26[[#This Row],[M2 Money Stock, Billions of Dollars, Monthly, Seasonally Adjusted]]-B56)/B56</f>
        <v/>
      </c>
      <c r="D57" s="32">
        <f>((1+Table26[[#This Row],[Monthly change]])^12)-1</f>
        <v/>
      </c>
    </row>
    <row r="58">
      <c r="A58" s="57" t="n">
        <v>23132</v>
      </c>
      <c r="B58" s="59">
        <f>VLOOKUP(Table26[[#This Row],[Date]],'DB Money Supply'!$A:$E,5)</f>
        <v/>
      </c>
      <c r="C58" s="31">
        <f>(Table26[[#This Row],[M2 Money Stock, Billions of Dollars, Monthly, Seasonally Adjusted]]-B57)/B57</f>
        <v/>
      </c>
      <c r="D58" s="32">
        <f>((1+Table26[[#This Row],[Monthly change]])^12)-1</f>
        <v/>
      </c>
    </row>
    <row r="59">
      <c r="A59" s="34" t="n">
        <v>23163</v>
      </c>
      <c r="B59" s="59">
        <f>VLOOKUP(Table26[[#This Row],[Date]],'DB Money Supply'!$A:$E,5)</f>
        <v/>
      </c>
      <c r="C59" s="31">
        <f>(Table26[[#This Row],[M2 Money Stock, Billions of Dollars, Monthly, Seasonally Adjusted]]-B58)/B58</f>
        <v/>
      </c>
      <c r="D59" s="32">
        <f>((1+Table26[[#This Row],[Monthly change]])^12)-1</f>
        <v/>
      </c>
    </row>
    <row r="60">
      <c r="A60" s="57" t="n">
        <v>23193</v>
      </c>
      <c r="B60" s="59">
        <f>VLOOKUP(Table26[[#This Row],[Date]],'DB Money Supply'!$A:$E,5)</f>
        <v/>
      </c>
      <c r="C60" s="31">
        <f>(Table26[[#This Row],[M2 Money Stock, Billions of Dollars, Monthly, Seasonally Adjusted]]-B59)/B59</f>
        <v/>
      </c>
      <c r="D60" s="32">
        <f>((1+Table26[[#This Row],[Monthly change]])^12)-1</f>
        <v/>
      </c>
    </row>
    <row r="61">
      <c r="A61" s="34" t="n">
        <v>23224</v>
      </c>
      <c r="B61" s="59">
        <f>VLOOKUP(Table26[[#This Row],[Date]],'DB Money Supply'!$A:$E,5)</f>
        <v/>
      </c>
      <c r="C61" s="31">
        <f>(Table26[[#This Row],[M2 Money Stock, Billions of Dollars, Monthly, Seasonally Adjusted]]-B60)/B60</f>
        <v/>
      </c>
      <c r="D61" s="32">
        <f>((1+Table26[[#This Row],[Monthly change]])^12)-1</f>
        <v/>
      </c>
    </row>
    <row r="62">
      <c r="A62" s="57" t="n">
        <v>23255</v>
      </c>
      <c r="B62" s="59">
        <f>VLOOKUP(Table26[[#This Row],[Date]],'DB Money Supply'!$A:$E,5)</f>
        <v/>
      </c>
      <c r="C62" s="31">
        <f>(Table26[[#This Row],[M2 Money Stock, Billions of Dollars, Monthly, Seasonally Adjusted]]-B61)/B61</f>
        <v/>
      </c>
      <c r="D62" s="32">
        <f>((1+Table26[[#This Row],[Monthly change]])^12)-1</f>
        <v/>
      </c>
    </row>
    <row r="63">
      <c r="A63" s="57" t="n">
        <v>23285</v>
      </c>
      <c r="B63" s="59">
        <f>VLOOKUP(Table26[[#This Row],[Date]],'DB Money Supply'!$A:$E,5)</f>
        <v/>
      </c>
      <c r="C63" s="31">
        <f>(Table26[[#This Row],[M2 Money Stock, Billions of Dollars, Monthly, Seasonally Adjusted]]-B62)/B62</f>
        <v/>
      </c>
      <c r="D63" s="32">
        <f>((1+Table26[[#This Row],[Monthly change]])^12)-1</f>
        <v/>
      </c>
    </row>
    <row r="64">
      <c r="A64" s="34" t="n">
        <v>23316</v>
      </c>
      <c r="B64" s="59">
        <f>VLOOKUP(Table26[[#This Row],[Date]],'DB Money Supply'!$A:$E,5)</f>
        <v/>
      </c>
      <c r="C64" s="31">
        <f>(Table26[[#This Row],[M2 Money Stock, Billions of Dollars, Monthly, Seasonally Adjusted]]-B63)/B63</f>
        <v/>
      </c>
      <c r="D64" s="32">
        <f>((1+Table26[[#This Row],[Monthly change]])^12)-1</f>
        <v/>
      </c>
    </row>
    <row r="65">
      <c r="A65" s="57" t="n">
        <v>23346</v>
      </c>
      <c r="B65" s="59">
        <f>VLOOKUP(Table26[[#This Row],[Date]],'DB Money Supply'!$A:$E,5)</f>
        <v/>
      </c>
      <c r="C65" s="31">
        <f>(Table26[[#This Row],[M2 Money Stock, Billions of Dollars, Monthly, Seasonally Adjusted]]-B64)/B64</f>
        <v/>
      </c>
      <c r="D65" s="32">
        <f>((1+Table26[[#This Row],[Monthly change]])^12)-1</f>
        <v/>
      </c>
    </row>
    <row r="66">
      <c r="A66" s="34" t="n">
        <v>23377</v>
      </c>
      <c r="B66" s="59">
        <f>VLOOKUP(Table26[[#This Row],[Date]],'DB Money Supply'!$A:$E,5)</f>
        <v/>
      </c>
      <c r="C66" s="31">
        <f>(Table26[[#This Row],[M2 Money Stock, Billions of Dollars, Monthly, Seasonally Adjusted]]-B65)/B65</f>
        <v/>
      </c>
      <c r="D66" s="32">
        <f>((1+Table26[[#This Row],[Monthly change]])^12)-1</f>
        <v/>
      </c>
    </row>
    <row r="67">
      <c r="A67" s="57" t="n">
        <v>23408</v>
      </c>
      <c r="B67" s="59">
        <f>VLOOKUP(Table26[[#This Row],[Date]],'DB Money Supply'!$A:$E,5)</f>
        <v/>
      </c>
      <c r="C67" s="31">
        <f>(Table26[[#This Row],[M2 Money Stock, Billions of Dollars, Monthly, Seasonally Adjusted]]-B66)/B66</f>
        <v/>
      </c>
      <c r="D67" s="32">
        <f>((1+Table26[[#This Row],[Monthly change]])^12)-1</f>
        <v/>
      </c>
    </row>
    <row r="68">
      <c r="A68" s="34" t="n">
        <v>23437</v>
      </c>
      <c r="B68" s="59">
        <f>VLOOKUP(Table26[[#This Row],[Date]],'DB Money Supply'!$A:$E,5)</f>
        <v/>
      </c>
      <c r="C68" s="31">
        <f>(Table26[[#This Row],[M2 Money Stock, Billions of Dollars, Monthly, Seasonally Adjusted]]-B67)/B67</f>
        <v/>
      </c>
      <c r="D68" s="32">
        <f>((1+Table26[[#This Row],[Monthly change]])^12)-1</f>
        <v/>
      </c>
    </row>
    <row r="69">
      <c r="A69" s="57" t="n">
        <v>23468</v>
      </c>
      <c r="B69" s="59">
        <f>VLOOKUP(Table26[[#This Row],[Date]],'DB Money Supply'!$A:$E,5)</f>
        <v/>
      </c>
      <c r="C69" s="31">
        <f>(Table26[[#This Row],[M2 Money Stock, Billions of Dollars, Monthly, Seasonally Adjusted]]-B68)/B68</f>
        <v/>
      </c>
      <c r="D69" s="32">
        <f>((1+Table26[[#This Row],[Monthly change]])^12)-1</f>
        <v/>
      </c>
    </row>
    <row r="70">
      <c r="A70" s="34" t="n">
        <v>23498</v>
      </c>
      <c r="B70" s="59">
        <f>VLOOKUP(Table26[[#This Row],[Date]],'DB Money Supply'!$A:$E,5)</f>
        <v/>
      </c>
      <c r="C70" s="31">
        <f>(Table26[[#This Row],[M2 Money Stock, Billions of Dollars, Monthly, Seasonally Adjusted]]-B69)/B69</f>
        <v/>
      </c>
      <c r="D70" s="32">
        <f>((1+Table26[[#This Row],[Monthly change]])^12)-1</f>
        <v/>
      </c>
    </row>
    <row r="71">
      <c r="A71" s="57" t="n">
        <v>23529</v>
      </c>
      <c r="B71" s="59">
        <f>VLOOKUP(Table26[[#This Row],[Date]],'DB Money Supply'!$A:$E,5)</f>
        <v/>
      </c>
      <c r="C71" s="31">
        <f>(Table26[[#This Row],[M2 Money Stock, Billions of Dollars, Monthly, Seasonally Adjusted]]-B70)/B70</f>
        <v/>
      </c>
      <c r="D71" s="32">
        <f>((1+Table26[[#This Row],[Monthly change]])^12)-1</f>
        <v/>
      </c>
    </row>
    <row r="72">
      <c r="A72" s="34" t="n">
        <v>23559</v>
      </c>
      <c r="B72" s="59">
        <f>VLOOKUP(Table26[[#This Row],[Date]],'DB Money Supply'!$A:$E,5)</f>
        <v/>
      </c>
      <c r="C72" s="31">
        <f>(Table26[[#This Row],[M2 Money Stock, Billions of Dollars, Monthly, Seasonally Adjusted]]-B71)/B71</f>
        <v/>
      </c>
      <c r="D72" s="32">
        <f>((1+Table26[[#This Row],[Monthly change]])^12)-1</f>
        <v/>
      </c>
    </row>
    <row r="73">
      <c r="A73" s="57" t="n">
        <v>23590</v>
      </c>
      <c r="B73" s="59">
        <f>VLOOKUP(Table26[[#This Row],[Date]],'DB Money Supply'!$A:$E,5)</f>
        <v/>
      </c>
      <c r="C73" s="31">
        <f>(Table26[[#This Row],[M2 Money Stock, Billions of Dollars, Monthly, Seasonally Adjusted]]-B72)/B72</f>
        <v/>
      </c>
      <c r="D73" s="32">
        <f>((1+Table26[[#This Row],[Monthly change]])^12)-1</f>
        <v/>
      </c>
    </row>
    <row r="74">
      <c r="A74" s="34" t="n">
        <v>23621</v>
      </c>
      <c r="B74" s="59">
        <f>VLOOKUP(Table26[[#This Row],[Date]],'DB Money Supply'!$A:$E,5)</f>
        <v/>
      </c>
      <c r="C74" s="31">
        <f>(Table26[[#This Row],[M2 Money Stock, Billions of Dollars, Monthly, Seasonally Adjusted]]-B73)/B73</f>
        <v/>
      </c>
      <c r="D74" s="32">
        <f>((1+Table26[[#This Row],[Monthly change]])^12)-1</f>
        <v/>
      </c>
    </row>
    <row r="75">
      <c r="A75" s="57" t="n">
        <v>23651</v>
      </c>
      <c r="B75" s="59">
        <f>VLOOKUP(Table26[[#This Row],[Date]],'DB Money Supply'!$A:$E,5)</f>
        <v/>
      </c>
      <c r="C75" s="31">
        <f>(Table26[[#This Row],[M2 Money Stock, Billions of Dollars, Monthly, Seasonally Adjusted]]-B74)/B74</f>
        <v/>
      </c>
      <c r="D75" s="32">
        <f>((1+Table26[[#This Row],[Monthly change]])^12)-1</f>
        <v/>
      </c>
    </row>
    <row r="76">
      <c r="A76" s="34" t="n">
        <v>23682</v>
      </c>
      <c r="B76" s="59">
        <f>VLOOKUP(Table26[[#This Row],[Date]],'DB Money Supply'!$A:$E,5)</f>
        <v/>
      </c>
      <c r="C76" s="31">
        <f>(Table26[[#This Row],[M2 Money Stock, Billions of Dollars, Monthly, Seasonally Adjusted]]-B75)/B75</f>
        <v/>
      </c>
      <c r="D76" s="32">
        <f>((1+Table26[[#This Row],[Monthly change]])^12)-1</f>
        <v/>
      </c>
    </row>
    <row r="77">
      <c r="A77" s="57" t="n">
        <v>23712</v>
      </c>
      <c r="B77" s="59">
        <f>VLOOKUP(Table26[[#This Row],[Date]],'DB Money Supply'!$A:$E,5)</f>
        <v/>
      </c>
      <c r="C77" s="31">
        <f>(Table26[[#This Row],[M2 Money Stock, Billions of Dollars, Monthly, Seasonally Adjusted]]-B76)/B76</f>
        <v/>
      </c>
      <c r="D77" s="32">
        <f>((1+Table26[[#This Row],[Monthly change]])^12)-1</f>
        <v/>
      </c>
    </row>
    <row r="78">
      <c r="A78" s="34" t="n">
        <v>23743</v>
      </c>
      <c r="B78" s="59">
        <f>VLOOKUP(Table26[[#This Row],[Date]],'DB Money Supply'!$A:$E,5)</f>
        <v/>
      </c>
      <c r="C78" s="31">
        <f>(Table26[[#This Row],[M2 Money Stock, Billions of Dollars, Monthly, Seasonally Adjusted]]-B77)/B77</f>
        <v/>
      </c>
      <c r="D78" s="32">
        <f>((1+Table26[[#This Row],[Monthly change]])^12)-1</f>
        <v/>
      </c>
    </row>
    <row r="79">
      <c r="A79" s="57" t="n">
        <v>23774</v>
      </c>
      <c r="B79" s="59">
        <f>VLOOKUP(Table26[[#This Row],[Date]],'DB Money Supply'!$A:$E,5)</f>
        <v/>
      </c>
      <c r="C79" s="31">
        <f>(Table26[[#This Row],[M2 Money Stock, Billions of Dollars, Monthly, Seasonally Adjusted]]-B78)/B78</f>
        <v/>
      </c>
      <c r="D79" s="32">
        <f>((1+Table26[[#This Row],[Monthly change]])^12)-1</f>
        <v/>
      </c>
    </row>
    <row r="80">
      <c r="A80" s="34" t="n">
        <v>23802</v>
      </c>
      <c r="B80" s="59">
        <f>VLOOKUP(Table26[[#This Row],[Date]],'DB Money Supply'!$A:$E,5)</f>
        <v/>
      </c>
      <c r="C80" s="31">
        <f>(Table26[[#This Row],[M2 Money Stock, Billions of Dollars, Monthly, Seasonally Adjusted]]-B79)/B79</f>
        <v/>
      </c>
      <c r="D80" s="32">
        <f>((1+Table26[[#This Row],[Monthly change]])^12)-1</f>
        <v/>
      </c>
    </row>
    <row r="81">
      <c r="A81" s="57" t="n">
        <v>23833</v>
      </c>
      <c r="B81" s="59">
        <f>VLOOKUP(Table26[[#This Row],[Date]],'DB Money Supply'!$A:$E,5)</f>
        <v/>
      </c>
      <c r="C81" s="31">
        <f>(Table26[[#This Row],[M2 Money Stock, Billions of Dollars, Monthly, Seasonally Adjusted]]-B80)/B80</f>
        <v/>
      </c>
      <c r="D81" s="32">
        <f>((1+Table26[[#This Row],[Monthly change]])^12)-1</f>
        <v/>
      </c>
    </row>
    <row r="82">
      <c r="A82" s="57" t="n">
        <v>23863</v>
      </c>
      <c r="B82" s="59">
        <f>VLOOKUP(Table26[[#This Row],[Date]],'DB Money Supply'!$A:$E,5)</f>
        <v/>
      </c>
      <c r="C82" s="31">
        <f>(Table26[[#This Row],[M2 Money Stock, Billions of Dollars, Monthly, Seasonally Adjusted]]-B81)/B81</f>
        <v/>
      </c>
      <c r="D82" s="32">
        <f>((1+Table26[[#This Row],[Monthly change]])^12)-1</f>
        <v/>
      </c>
    </row>
    <row r="83">
      <c r="A83" s="34" t="n">
        <v>23894</v>
      </c>
      <c r="B83" s="59">
        <f>VLOOKUP(Table26[[#This Row],[Date]],'DB Money Supply'!$A:$E,5)</f>
        <v/>
      </c>
      <c r="C83" s="31">
        <f>(Table26[[#This Row],[M2 Money Stock, Billions of Dollars, Monthly, Seasonally Adjusted]]-B82)/B82</f>
        <v/>
      </c>
      <c r="D83" s="32">
        <f>((1+Table26[[#This Row],[Monthly change]])^12)-1</f>
        <v/>
      </c>
    </row>
    <row r="84">
      <c r="A84" s="57" t="n">
        <v>23924</v>
      </c>
      <c r="B84" s="59">
        <f>VLOOKUP(Table26[[#This Row],[Date]],'DB Money Supply'!$A:$E,5)</f>
        <v/>
      </c>
      <c r="C84" s="31">
        <f>(Table26[[#This Row],[M2 Money Stock, Billions of Dollars, Monthly, Seasonally Adjusted]]-B83)/B83</f>
        <v/>
      </c>
      <c r="D84" s="32">
        <f>((1+Table26[[#This Row],[Monthly change]])^12)-1</f>
        <v/>
      </c>
    </row>
    <row r="85">
      <c r="A85" s="34" t="n">
        <v>23955</v>
      </c>
      <c r="B85" s="59">
        <f>VLOOKUP(Table26[[#This Row],[Date]],'DB Money Supply'!$A:$E,5)</f>
        <v/>
      </c>
      <c r="C85" s="31">
        <f>(Table26[[#This Row],[M2 Money Stock, Billions of Dollars, Monthly, Seasonally Adjusted]]-B84)/B84</f>
        <v/>
      </c>
      <c r="D85" s="32">
        <f>((1+Table26[[#This Row],[Monthly change]])^12)-1</f>
        <v/>
      </c>
    </row>
    <row r="86">
      <c r="A86" s="57" t="n">
        <v>23986</v>
      </c>
      <c r="B86" s="59">
        <f>VLOOKUP(Table26[[#This Row],[Date]],'DB Money Supply'!$A:$E,5)</f>
        <v/>
      </c>
      <c r="C86" s="31">
        <f>(Table26[[#This Row],[M2 Money Stock, Billions of Dollars, Monthly, Seasonally Adjusted]]-B85)/B85</f>
        <v/>
      </c>
      <c r="D86" s="32">
        <f>((1+Table26[[#This Row],[Monthly change]])^12)-1</f>
        <v/>
      </c>
    </row>
    <row r="87">
      <c r="A87" s="34" t="n">
        <v>24016</v>
      </c>
      <c r="B87" s="59">
        <f>VLOOKUP(Table26[[#This Row],[Date]],'DB Money Supply'!$A:$E,5)</f>
        <v/>
      </c>
      <c r="C87" s="31">
        <f>(Table26[[#This Row],[M2 Money Stock, Billions of Dollars, Monthly, Seasonally Adjusted]]-B86)/B86</f>
        <v/>
      </c>
      <c r="D87" s="32">
        <f>((1+Table26[[#This Row],[Monthly change]])^12)-1</f>
        <v/>
      </c>
    </row>
    <row r="88">
      <c r="A88" s="57" t="n">
        <v>24047</v>
      </c>
      <c r="B88" s="59">
        <f>VLOOKUP(Table26[[#This Row],[Date]],'DB Money Supply'!$A:$E,5)</f>
        <v/>
      </c>
      <c r="C88" s="31">
        <f>(Table26[[#This Row],[M2 Money Stock, Billions of Dollars, Monthly, Seasonally Adjusted]]-B87)/B87</f>
        <v/>
      </c>
      <c r="D88" s="32">
        <f>((1+Table26[[#This Row],[Monthly change]])^12)-1</f>
        <v/>
      </c>
    </row>
    <row r="89">
      <c r="A89" s="34" t="n">
        <v>24077</v>
      </c>
      <c r="B89" s="59">
        <f>VLOOKUP(Table26[[#This Row],[Date]],'DB Money Supply'!$A:$E,5)</f>
        <v/>
      </c>
      <c r="C89" s="31">
        <f>(Table26[[#This Row],[M2 Money Stock, Billions of Dollars, Monthly, Seasonally Adjusted]]-B88)/B88</f>
        <v/>
      </c>
      <c r="D89" s="32">
        <f>((1+Table26[[#This Row],[Monthly change]])^12)-1</f>
        <v/>
      </c>
    </row>
    <row r="90">
      <c r="A90" s="57" t="n">
        <v>24108</v>
      </c>
      <c r="B90" s="59">
        <f>VLOOKUP(Table26[[#This Row],[Date]],'DB Money Supply'!$A:$E,5)</f>
        <v/>
      </c>
      <c r="C90" s="31">
        <f>(Table26[[#This Row],[M2 Money Stock, Billions of Dollars, Monthly, Seasonally Adjusted]]-B89)/B89</f>
        <v/>
      </c>
      <c r="D90" s="32">
        <f>((1+Table26[[#This Row],[Monthly change]])^12)-1</f>
        <v/>
      </c>
    </row>
    <row r="91">
      <c r="A91" s="34" t="n">
        <v>24139</v>
      </c>
      <c r="B91" s="59">
        <f>VLOOKUP(Table26[[#This Row],[Date]],'DB Money Supply'!$A:$E,5)</f>
        <v/>
      </c>
      <c r="C91" s="31">
        <f>(Table26[[#This Row],[M2 Money Stock, Billions of Dollars, Monthly, Seasonally Adjusted]]-B90)/B90</f>
        <v/>
      </c>
      <c r="D91" s="32">
        <f>((1+Table26[[#This Row],[Monthly change]])^12)-1</f>
        <v/>
      </c>
    </row>
    <row r="92">
      <c r="A92" s="57" t="n">
        <v>24167</v>
      </c>
      <c r="B92" s="59">
        <f>VLOOKUP(Table26[[#This Row],[Date]],'DB Money Supply'!$A:$E,5)</f>
        <v/>
      </c>
      <c r="C92" s="31">
        <f>(Table26[[#This Row],[M2 Money Stock, Billions of Dollars, Monthly, Seasonally Adjusted]]-B91)/B91</f>
        <v/>
      </c>
      <c r="D92" s="32">
        <f>((1+Table26[[#This Row],[Monthly change]])^12)-1</f>
        <v/>
      </c>
    </row>
    <row r="93">
      <c r="A93" s="34" t="n">
        <v>24198</v>
      </c>
      <c r="B93" s="59">
        <f>VLOOKUP(Table26[[#This Row],[Date]],'DB Money Supply'!$A:$E,5)</f>
        <v/>
      </c>
      <c r="C93" s="31">
        <f>(Table26[[#This Row],[M2 Money Stock, Billions of Dollars, Monthly, Seasonally Adjusted]]-B92)/B92</f>
        <v/>
      </c>
      <c r="D93" s="32">
        <f>((1+Table26[[#This Row],[Monthly change]])^12)-1</f>
        <v/>
      </c>
    </row>
    <row r="94">
      <c r="A94" s="57" t="n">
        <v>24228</v>
      </c>
      <c r="B94" s="59">
        <f>VLOOKUP(Table26[[#This Row],[Date]],'DB Money Supply'!$A:$E,5)</f>
        <v/>
      </c>
      <c r="C94" s="31">
        <f>(Table26[[#This Row],[M2 Money Stock, Billions of Dollars, Monthly, Seasonally Adjusted]]-B93)/B93</f>
        <v/>
      </c>
      <c r="D94" s="32">
        <f>((1+Table26[[#This Row],[Monthly change]])^12)-1</f>
        <v/>
      </c>
    </row>
    <row r="95">
      <c r="A95" s="34" t="n">
        <v>24259</v>
      </c>
      <c r="B95" s="59">
        <f>VLOOKUP(Table26[[#This Row],[Date]],'DB Money Supply'!$A:$E,5)</f>
        <v/>
      </c>
      <c r="C95" s="31">
        <f>(Table26[[#This Row],[M2 Money Stock, Billions of Dollars, Monthly, Seasonally Adjusted]]-B94)/B94</f>
        <v/>
      </c>
      <c r="D95" s="32">
        <f>((1+Table26[[#This Row],[Monthly change]])^12)-1</f>
        <v/>
      </c>
    </row>
    <row r="96">
      <c r="A96" s="57" t="n">
        <v>24289</v>
      </c>
      <c r="B96" s="59">
        <f>VLOOKUP(Table26[[#This Row],[Date]],'DB Money Supply'!$A:$E,5)</f>
        <v/>
      </c>
      <c r="C96" s="31">
        <f>(Table26[[#This Row],[M2 Money Stock, Billions of Dollars, Monthly, Seasonally Adjusted]]-B95)/B95</f>
        <v/>
      </c>
      <c r="D96" s="32">
        <f>((1+Table26[[#This Row],[Monthly change]])^12)-1</f>
        <v/>
      </c>
    </row>
    <row r="97">
      <c r="A97" s="34" t="n">
        <v>24320</v>
      </c>
      <c r="B97" s="59">
        <f>VLOOKUP(Table26[[#This Row],[Date]],'DB Money Supply'!$A:$E,5)</f>
        <v/>
      </c>
      <c r="C97" s="31">
        <f>(Table26[[#This Row],[M2 Money Stock, Billions of Dollars, Monthly, Seasonally Adjusted]]-B96)/B96</f>
        <v/>
      </c>
      <c r="D97" s="32">
        <f>((1+Table26[[#This Row],[Monthly change]])^12)-1</f>
        <v/>
      </c>
    </row>
    <row r="98">
      <c r="A98" s="57" t="n">
        <v>24351</v>
      </c>
      <c r="B98" s="59">
        <f>VLOOKUP(Table26[[#This Row],[Date]],'DB Money Supply'!$A:$E,5)</f>
        <v/>
      </c>
      <c r="C98" s="31">
        <f>(Table26[[#This Row],[M2 Money Stock, Billions of Dollars, Monthly, Seasonally Adjusted]]-B97)/B97</f>
        <v/>
      </c>
      <c r="D98" s="32">
        <f>((1+Table26[[#This Row],[Monthly change]])^12)-1</f>
        <v/>
      </c>
    </row>
    <row r="99">
      <c r="A99" s="34" t="n">
        <v>24381</v>
      </c>
      <c r="B99" s="59">
        <f>VLOOKUP(Table26[[#This Row],[Date]],'DB Money Supply'!$A:$E,5)</f>
        <v/>
      </c>
      <c r="C99" s="31">
        <f>(Table26[[#This Row],[M2 Money Stock, Billions of Dollars, Monthly, Seasonally Adjusted]]-B98)/B98</f>
        <v/>
      </c>
      <c r="D99" s="32">
        <f>((1+Table26[[#This Row],[Monthly change]])^12)-1</f>
        <v/>
      </c>
    </row>
    <row r="100">
      <c r="A100" s="57" t="n">
        <v>24412</v>
      </c>
      <c r="B100" s="59">
        <f>VLOOKUP(Table26[[#This Row],[Date]],'DB Money Supply'!$A:$E,5)</f>
        <v/>
      </c>
      <c r="C100" s="31">
        <f>(Table26[[#This Row],[M2 Money Stock, Billions of Dollars, Monthly, Seasonally Adjusted]]-B99)/B99</f>
        <v/>
      </c>
      <c r="D100" s="32">
        <f>((1+Table26[[#This Row],[Monthly change]])^12)-1</f>
        <v/>
      </c>
    </row>
    <row r="101">
      <c r="A101" s="57" t="n">
        <v>24442</v>
      </c>
      <c r="B101" s="59">
        <f>VLOOKUP(Table26[[#This Row],[Date]],'DB Money Supply'!$A:$E,5)</f>
        <v/>
      </c>
      <c r="C101" s="31">
        <f>(Table26[[#This Row],[M2 Money Stock, Billions of Dollars, Monthly, Seasonally Adjusted]]-B100)/B100</f>
        <v/>
      </c>
      <c r="D101" s="32">
        <f>((1+Table26[[#This Row],[Monthly change]])^12)-1</f>
        <v/>
      </c>
    </row>
    <row r="102">
      <c r="A102" s="34" t="n">
        <v>24473</v>
      </c>
      <c r="B102" s="59">
        <f>VLOOKUP(Table26[[#This Row],[Date]],'DB Money Supply'!$A:$E,5)</f>
        <v/>
      </c>
      <c r="C102" s="31">
        <f>(Table26[[#This Row],[M2 Money Stock, Billions of Dollars, Monthly, Seasonally Adjusted]]-B101)/B101</f>
        <v/>
      </c>
      <c r="D102" s="32">
        <f>((1+Table26[[#This Row],[Monthly change]])^12)-1</f>
        <v/>
      </c>
    </row>
    <row r="103">
      <c r="A103" s="57" t="n">
        <v>24504</v>
      </c>
      <c r="B103" s="59">
        <f>VLOOKUP(Table26[[#This Row],[Date]],'DB Money Supply'!$A:$E,5)</f>
        <v/>
      </c>
      <c r="C103" s="31">
        <f>(Table26[[#This Row],[M2 Money Stock, Billions of Dollars, Monthly, Seasonally Adjusted]]-B102)/B102</f>
        <v/>
      </c>
      <c r="D103" s="32">
        <f>((1+Table26[[#This Row],[Monthly change]])^12)-1</f>
        <v/>
      </c>
    </row>
    <row r="104">
      <c r="A104" s="34" t="n">
        <v>24532</v>
      </c>
      <c r="B104" s="59">
        <f>VLOOKUP(Table26[[#This Row],[Date]],'DB Money Supply'!$A:$E,5)</f>
        <v/>
      </c>
      <c r="C104" s="31">
        <f>(Table26[[#This Row],[M2 Money Stock, Billions of Dollars, Monthly, Seasonally Adjusted]]-B103)/B103</f>
        <v/>
      </c>
      <c r="D104" s="32">
        <f>((1+Table26[[#This Row],[Monthly change]])^12)-1</f>
        <v/>
      </c>
    </row>
    <row r="105">
      <c r="A105" s="57" t="n">
        <v>24563</v>
      </c>
      <c r="B105" s="59">
        <f>VLOOKUP(Table26[[#This Row],[Date]],'DB Money Supply'!$A:$E,5)</f>
        <v/>
      </c>
      <c r="C105" s="31">
        <f>(Table26[[#This Row],[M2 Money Stock, Billions of Dollars, Monthly, Seasonally Adjusted]]-B104)/B104</f>
        <v/>
      </c>
      <c r="D105" s="32">
        <f>((1+Table26[[#This Row],[Monthly change]])^12)-1</f>
        <v/>
      </c>
    </row>
    <row r="106">
      <c r="A106" s="34" t="n">
        <v>24593</v>
      </c>
      <c r="B106" s="59">
        <f>VLOOKUP(Table26[[#This Row],[Date]],'DB Money Supply'!$A:$E,5)</f>
        <v/>
      </c>
      <c r="C106" s="31">
        <f>(Table26[[#This Row],[M2 Money Stock, Billions of Dollars, Monthly, Seasonally Adjusted]]-B105)/B105</f>
        <v/>
      </c>
      <c r="D106" s="32">
        <f>((1+Table26[[#This Row],[Monthly change]])^12)-1</f>
        <v/>
      </c>
    </row>
    <row r="107">
      <c r="A107" s="57" t="n">
        <v>24624</v>
      </c>
      <c r="B107" s="59">
        <f>VLOOKUP(Table26[[#This Row],[Date]],'DB Money Supply'!$A:$E,5)</f>
        <v/>
      </c>
      <c r="C107" s="31">
        <f>(Table26[[#This Row],[M2 Money Stock, Billions of Dollars, Monthly, Seasonally Adjusted]]-B106)/B106</f>
        <v/>
      </c>
      <c r="D107" s="32">
        <f>((1+Table26[[#This Row],[Monthly change]])^12)-1</f>
        <v/>
      </c>
    </row>
    <row r="108">
      <c r="A108" s="34" t="n">
        <v>24654</v>
      </c>
      <c r="B108" s="59">
        <f>VLOOKUP(Table26[[#This Row],[Date]],'DB Money Supply'!$A:$E,5)</f>
        <v/>
      </c>
      <c r="C108" s="31">
        <f>(Table26[[#This Row],[M2 Money Stock, Billions of Dollars, Monthly, Seasonally Adjusted]]-B107)/B107</f>
        <v/>
      </c>
      <c r="D108" s="32">
        <f>((1+Table26[[#This Row],[Monthly change]])^12)-1</f>
        <v/>
      </c>
    </row>
    <row r="109">
      <c r="A109" s="57" t="n">
        <v>24685</v>
      </c>
      <c r="B109" s="59">
        <f>VLOOKUP(Table26[[#This Row],[Date]],'DB Money Supply'!$A:$E,5)</f>
        <v/>
      </c>
      <c r="C109" s="31">
        <f>(Table26[[#This Row],[M2 Money Stock, Billions of Dollars, Monthly, Seasonally Adjusted]]-B108)/B108</f>
        <v/>
      </c>
      <c r="D109" s="32">
        <f>((1+Table26[[#This Row],[Monthly change]])^12)-1</f>
        <v/>
      </c>
    </row>
    <row r="110">
      <c r="A110" s="34" t="n">
        <v>24716</v>
      </c>
      <c r="B110" s="59">
        <f>VLOOKUP(Table26[[#This Row],[Date]],'DB Money Supply'!$A:$E,5)</f>
        <v/>
      </c>
      <c r="C110" s="31">
        <f>(Table26[[#This Row],[M2 Money Stock, Billions of Dollars, Monthly, Seasonally Adjusted]]-B109)/B109</f>
        <v/>
      </c>
      <c r="D110" s="32">
        <f>((1+Table26[[#This Row],[Monthly change]])^12)-1</f>
        <v/>
      </c>
    </row>
    <row r="111">
      <c r="A111" s="57" t="n">
        <v>24746</v>
      </c>
      <c r="B111" s="59">
        <f>VLOOKUP(Table26[[#This Row],[Date]],'DB Money Supply'!$A:$E,5)</f>
        <v/>
      </c>
      <c r="C111" s="31">
        <f>(Table26[[#This Row],[M2 Money Stock, Billions of Dollars, Monthly, Seasonally Adjusted]]-B110)/B110</f>
        <v/>
      </c>
      <c r="D111" s="32">
        <f>((1+Table26[[#This Row],[Monthly change]])^12)-1</f>
        <v/>
      </c>
    </row>
    <row r="112">
      <c r="A112" s="34" t="n">
        <v>24777</v>
      </c>
      <c r="B112" s="59">
        <f>VLOOKUP(Table26[[#This Row],[Date]],'DB Money Supply'!$A:$E,5)</f>
        <v/>
      </c>
      <c r="C112" s="31">
        <f>(Table26[[#This Row],[M2 Money Stock, Billions of Dollars, Monthly, Seasonally Adjusted]]-B111)/B111</f>
        <v/>
      </c>
      <c r="D112" s="32">
        <f>((1+Table26[[#This Row],[Monthly change]])^12)-1</f>
        <v/>
      </c>
    </row>
    <row r="113">
      <c r="A113" s="57" t="n">
        <v>24807</v>
      </c>
      <c r="B113" s="59">
        <f>VLOOKUP(Table26[[#This Row],[Date]],'DB Money Supply'!$A:$E,5)</f>
        <v/>
      </c>
      <c r="C113" s="31">
        <f>(Table26[[#This Row],[M2 Money Stock, Billions of Dollars, Monthly, Seasonally Adjusted]]-B112)/B112</f>
        <v/>
      </c>
      <c r="D113" s="32">
        <f>((1+Table26[[#This Row],[Monthly change]])^12)-1</f>
        <v/>
      </c>
    </row>
    <row r="114">
      <c r="A114" s="34" t="n">
        <v>24838</v>
      </c>
      <c r="B114" s="59">
        <f>VLOOKUP(Table26[[#This Row],[Date]],'DB Money Supply'!$A:$E,5)</f>
        <v/>
      </c>
      <c r="C114" s="31">
        <f>(Table26[[#This Row],[M2 Money Stock, Billions of Dollars, Monthly, Seasonally Adjusted]]-B113)/B113</f>
        <v/>
      </c>
      <c r="D114" s="32">
        <f>((1+Table26[[#This Row],[Monthly change]])^12)-1</f>
        <v/>
      </c>
    </row>
    <row r="115">
      <c r="A115" s="57" t="n">
        <v>24869</v>
      </c>
      <c r="B115" s="59">
        <f>VLOOKUP(Table26[[#This Row],[Date]],'DB Money Supply'!$A:$E,5)</f>
        <v/>
      </c>
      <c r="C115" s="31">
        <f>(Table26[[#This Row],[M2 Money Stock, Billions of Dollars, Monthly, Seasonally Adjusted]]-B114)/B114</f>
        <v/>
      </c>
      <c r="D115" s="32">
        <f>((1+Table26[[#This Row],[Monthly change]])^12)-1</f>
        <v/>
      </c>
    </row>
    <row r="116">
      <c r="A116" s="34" t="n">
        <v>24898</v>
      </c>
      <c r="B116" s="59">
        <f>VLOOKUP(Table26[[#This Row],[Date]],'DB Money Supply'!$A:$E,5)</f>
        <v/>
      </c>
      <c r="C116" s="31">
        <f>(Table26[[#This Row],[M2 Money Stock, Billions of Dollars, Monthly, Seasonally Adjusted]]-B115)/B115</f>
        <v/>
      </c>
      <c r="D116" s="32">
        <f>((1+Table26[[#This Row],[Monthly change]])^12)-1</f>
        <v/>
      </c>
    </row>
    <row r="117">
      <c r="A117" s="57" t="n">
        <v>24929</v>
      </c>
      <c r="B117" s="59">
        <f>VLOOKUP(Table26[[#This Row],[Date]],'DB Money Supply'!$A:$E,5)</f>
        <v/>
      </c>
      <c r="C117" s="31">
        <f>(Table26[[#This Row],[M2 Money Stock, Billions of Dollars, Monthly, Seasonally Adjusted]]-B116)/B116</f>
        <v/>
      </c>
      <c r="D117" s="32">
        <f>((1+Table26[[#This Row],[Monthly change]])^12)-1</f>
        <v/>
      </c>
    </row>
    <row r="118">
      <c r="A118" s="34" t="n">
        <v>24959</v>
      </c>
      <c r="B118" s="59">
        <f>VLOOKUP(Table26[[#This Row],[Date]],'DB Money Supply'!$A:$E,5)</f>
        <v/>
      </c>
      <c r="C118" s="31">
        <f>(Table26[[#This Row],[M2 Money Stock, Billions of Dollars, Monthly, Seasonally Adjusted]]-B117)/B117</f>
        <v/>
      </c>
      <c r="D118" s="32">
        <f>((1+Table26[[#This Row],[Monthly change]])^12)-1</f>
        <v/>
      </c>
    </row>
    <row r="119">
      <c r="A119" s="57" t="n">
        <v>24990</v>
      </c>
      <c r="B119" s="59">
        <f>VLOOKUP(Table26[[#This Row],[Date]],'DB Money Supply'!$A:$E,5)</f>
        <v/>
      </c>
      <c r="C119" s="31">
        <f>(Table26[[#This Row],[M2 Money Stock, Billions of Dollars, Monthly, Seasonally Adjusted]]-B118)/B118</f>
        <v/>
      </c>
      <c r="D119" s="32">
        <f>((1+Table26[[#This Row],[Monthly change]])^12)-1</f>
        <v/>
      </c>
    </row>
    <row r="120">
      <c r="A120" s="57" t="n">
        <v>25020</v>
      </c>
      <c r="B120" s="59">
        <f>VLOOKUP(Table26[[#This Row],[Date]],'DB Money Supply'!$A:$E,5)</f>
        <v/>
      </c>
      <c r="C120" s="31">
        <f>(Table26[[#This Row],[M2 Money Stock, Billions of Dollars, Monthly, Seasonally Adjusted]]-B119)/B119</f>
        <v/>
      </c>
      <c r="D120" s="32">
        <f>((1+Table26[[#This Row],[Monthly change]])^12)-1</f>
        <v/>
      </c>
    </row>
    <row r="121">
      <c r="A121" s="34" t="n">
        <v>25051</v>
      </c>
      <c r="B121" s="59">
        <f>VLOOKUP(Table26[[#This Row],[Date]],'DB Money Supply'!$A:$E,5)</f>
        <v/>
      </c>
      <c r="C121" s="31">
        <f>(Table26[[#This Row],[M2 Money Stock, Billions of Dollars, Monthly, Seasonally Adjusted]]-B120)/B120</f>
        <v/>
      </c>
      <c r="D121" s="32">
        <f>((1+Table26[[#This Row],[Monthly change]])^12)-1</f>
        <v/>
      </c>
    </row>
    <row r="122">
      <c r="A122" s="57" t="n">
        <v>25082</v>
      </c>
      <c r="B122" s="59">
        <f>VLOOKUP(Table26[[#This Row],[Date]],'DB Money Supply'!$A:$E,5)</f>
        <v/>
      </c>
      <c r="C122" s="31">
        <f>(Table26[[#This Row],[M2 Money Stock, Billions of Dollars, Monthly, Seasonally Adjusted]]-B121)/B121</f>
        <v/>
      </c>
      <c r="D122" s="32">
        <f>((1+Table26[[#This Row],[Monthly change]])^12)-1</f>
        <v/>
      </c>
    </row>
    <row r="123">
      <c r="A123" s="34" t="n">
        <v>25112</v>
      </c>
      <c r="B123" s="59">
        <f>VLOOKUP(Table26[[#This Row],[Date]],'DB Money Supply'!$A:$E,5)</f>
        <v/>
      </c>
      <c r="C123" s="31">
        <f>(Table26[[#This Row],[M2 Money Stock, Billions of Dollars, Monthly, Seasonally Adjusted]]-B122)/B122</f>
        <v/>
      </c>
      <c r="D123" s="32">
        <f>((1+Table26[[#This Row],[Monthly change]])^12)-1</f>
        <v/>
      </c>
    </row>
    <row r="124">
      <c r="A124" s="57" t="n">
        <v>25143</v>
      </c>
      <c r="B124" s="59">
        <f>VLOOKUP(Table26[[#This Row],[Date]],'DB Money Supply'!$A:$E,5)</f>
        <v/>
      </c>
      <c r="C124" s="31">
        <f>(Table26[[#This Row],[M2 Money Stock, Billions of Dollars, Monthly, Seasonally Adjusted]]-B123)/B123</f>
        <v/>
      </c>
      <c r="D124" s="32">
        <f>((1+Table26[[#This Row],[Monthly change]])^12)-1</f>
        <v/>
      </c>
    </row>
    <row r="125">
      <c r="A125" s="34" t="n">
        <v>25173</v>
      </c>
      <c r="B125" s="59">
        <f>VLOOKUP(Table26[[#This Row],[Date]],'DB Money Supply'!$A:$E,5)</f>
        <v/>
      </c>
      <c r="C125" s="31">
        <f>(Table26[[#This Row],[M2 Money Stock, Billions of Dollars, Monthly, Seasonally Adjusted]]-B124)/B124</f>
        <v/>
      </c>
      <c r="D125" s="32">
        <f>((1+Table26[[#This Row],[Monthly change]])^12)-1</f>
        <v/>
      </c>
    </row>
    <row r="126">
      <c r="A126" s="57" t="n">
        <v>25204</v>
      </c>
      <c r="B126" s="59">
        <f>VLOOKUP(Table26[[#This Row],[Date]],'DB Money Supply'!$A:$E,5)</f>
        <v/>
      </c>
      <c r="C126" s="31">
        <f>(Table26[[#This Row],[M2 Money Stock, Billions of Dollars, Monthly, Seasonally Adjusted]]-B125)/B125</f>
        <v/>
      </c>
      <c r="D126" s="32">
        <f>((1+Table26[[#This Row],[Monthly change]])^12)-1</f>
        <v/>
      </c>
    </row>
    <row r="127">
      <c r="A127" s="34" t="n">
        <v>25235</v>
      </c>
      <c r="B127" s="59">
        <f>VLOOKUP(Table26[[#This Row],[Date]],'DB Money Supply'!$A:$E,5)</f>
        <v/>
      </c>
      <c r="C127" s="31">
        <f>(Table26[[#This Row],[M2 Money Stock, Billions of Dollars, Monthly, Seasonally Adjusted]]-B126)/B126</f>
        <v/>
      </c>
      <c r="D127" s="32">
        <f>((1+Table26[[#This Row],[Monthly change]])^12)-1</f>
        <v/>
      </c>
    </row>
    <row r="128">
      <c r="A128" s="57" t="n">
        <v>25263</v>
      </c>
      <c r="B128" s="59">
        <f>VLOOKUP(Table26[[#This Row],[Date]],'DB Money Supply'!$A:$E,5)</f>
        <v/>
      </c>
      <c r="C128" s="31">
        <f>(Table26[[#This Row],[M2 Money Stock, Billions of Dollars, Monthly, Seasonally Adjusted]]-B127)/B127</f>
        <v/>
      </c>
      <c r="D128" s="32">
        <f>((1+Table26[[#This Row],[Monthly change]])^12)-1</f>
        <v/>
      </c>
    </row>
    <row r="129">
      <c r="A129" s="34" t="n">
        <v>25294</v>
      </c>
      <c r="B129" s="59">
        <f>VLOOKUP(Table26[[#This Row],[Date]],'DB Money Supply'!$A:$E,5)</f>
        <v/>
      </c>
      <c r="C129" s="31">
        <f>(Table26[[#This Row],[M2 Money Stock, Billions of Dollars, Monthly, Seasonally Adjusted]]-B128)/B128</f>
        <v/>
      </c>
      <c r="D129" s="32">
        <f>((1+Table26[[#This Row],[Monthly change]])^12)-1</f>
        <v/>
      </c>
    </row>
    <row r="130">
      <c r="A130" s="57" t="n">
        <v>25324</v>
      </c>
      <c r="B130" s="59">
        <f>VLOOKUP(Table26[[#This Row],[Date]],'DB Money Supply'!$A:$E,5)</f>
        <v/>
      </c>
      <c r="C130" s="31">
        <f>(Table26[[#This Row],[M2 Money Stock, Billions of Dollars, Monthly, Seasonally Adjusted]]-B129)/B129</f>
        <v/>
      </c>
      <c r="D130" s="32">
        <f>((1+Table26[[#This Row],[Monthly change]])^12)-1</f>
        <v/>
      </c>
    </row>
    <row r="131">
      <c r="A131" s="34" t="n">
        <v>25355</v>
      </c>
      <c r="B131" s="59">
        <f>VLOOKUP(Table26[[#This Row],[Date]],'DB Money Supply'!$A:$E,5)</f>
        <v/>
      </c>
      <c r="C131" s="31">
        <f>(Table26[[#This Row],[M2 Money Stock, Billions of Dollars, Monthly, Seasonally Adjusted]]-B130)/B130</f>
        <v/>
      </c>
      <c r="D131" s="32">
        <f>((1+Table26[[#This Row],[Monthly change]])^12)-1</f>
        <v/>
      </c>
    </row>
    <row r="132">
      <c r="A132" s="57" t="n">
        <v>25385</v>
      </c>
      <c r="B132" s="59">
        <f>VLOOKUP(Table26[[#This Row],[Date]],'DB Money Supply'!$A:$E,5)</f>
        <v/>
      </c>
      <c r="C132" s="31">
        <f>(Table26[[#This Row],[M2 Money Stock, Billions of Dollars, Monthly, Seasonally Adjusted]]-B131)/B131</f>
        <v/>
      </c>
      <c r="D132" s="32">
        <f>((1+Table26[[#This Row],[Monthly change]])^12)-1</f>
        <v/>
      </c>
    </row>
    <row r="133">
      <c r="A133" s="34" t="n">
        <v>25416</v>
      </c>
      <c r="B133" s="59">
        <f>VLOOKUP(Table26[[#This Row],[Date]],'DB Money Supply'!$A:$E,5)</f>
        <v/>
      </c>
      <c r="C133" s="31">
        <f>(Table26[[#This Row],[M2 Money Stock, Billions of Dollars, Monthly, Seasonally Adjusted]]-B132)/B132</f>
        <v/>
      </c>
      <c r="D133" s="32">
        <f>((1+Table26[[#This Row],[Monthly change]])^12)-1</f>
        <v/>
      </c>
    </row>
    <row r="134">
      <c r="A134" s="57" t="n">
        <v>25447</v>
      </c>
      <c r="B134" s="59">
        <f>VLOOKUP(Table26[[#This Row],[Date]],'DB Money Supply'!$A:$E,5)</f>
        <v/>
      </c>
      <c r="C134" s="31">
        <f>(Table26[[#This Row],[M2 Money Stock, Billions of Dollars, Monthly, Seasonally Adjusted]]-B133)/B133</f>
        <v/>
      </c>
      <c r="D134" s="32">
        <f>((1+Table26[[#This Row],[Monthly change]])^12)-1</f>
        <v/>
      </c>
    </row>
    <row r="135">
      <c r="A135" s="34" t="n">
        <v>25477</v>
      </c>
      <c r="B135" s="59">
        <f>VLOOKUP(Table26[[#This Row],[Date]],'DB Money Supply'!$A:$E,5)</f>
        <v/>
      </c>
      <c r="C135" s="31">
        <f>(Table26[[#This Row],[M2 Money Stock, Billions of Dollars, Monthly, Seasonally Adjusted]]-B134)/B134</f>
        <v/>
      </c>
      <c r="D135" s="32">
        <f>((1+Table26[[#This Row],[Monthly change]])^12)-1</f>
        <v/>
      </c>
    </row>
    <row r="136">
      <c r="A136" s="57" t="n">
        <v>25508</v>
      </c>
      <c r="B136" s="59">
        <f>VLOOKUP(Table26[[#This Row],[Date]],'DB Money Supply'!$A:$E,5)</f>
        <v/>
      </c>
      <c r="C136" s="31">
        <f>(Table26[[#This Row],[M2 Money Stock, Billions of Dollars, Monthly, Seasonally Adjusted]]-B135)/B135</f>
        <v/>
      </c>
      <c r="D136" s="32">
        <f>((1+Table26[[#This Row],[Monthly change]])^12)-1</f>
        <v/>
      </c>
    </row>
    <row r="137">
      <c r="A137" s="34" t="n">
        <v>25538</v>
      </c>
      <c r="B137" s="59">
        <f>VLOOKUP(Table26[[#This Row],[Date]],'DB Money Supply'!$A:$E,5)</f>
        <v/>
      </c>
      <c r="C137" s="31">
        <f>(Table26[[#This Row],[M2 Money Stock, Billions of Dollars, Monthly, Seasonally Adjusted]]-B136)/B136</f>
        <v/>
      </c>
      <c r="D137" s="32">
        <f>((1+Table26[[#This Row],[Monthly change]])^12)-1</f>
        <v/>
      </c>
    </row>
    <row r="138">
      <c r="A138" s="57" t="n">
        <v>25569</v>
      </c>
      <c r="B138" s="59">
        <f>VLOOKUP(Table26[[#This Row],[Date]],'DB Money Supply'!$A:$E,5)</f>
        <v/>
      </c>
      <c r="C138" s="31">
        <f>(Table26[[#This Row],[M2 Money Stock, Billions of Dollars, Monthly, Seasonally Adjusted]]-B137)/B137</f>
        <v/>
      </c>
      <c r="D138" s="32">
        <f>((1+Table26[[#This Row],[Monthly change]])^12)-1</f>
        <v/>
      </c>
    </row>
    <row r="139">
      <c r="A139" s="57" t="n">
        <v>25600</v>
      </c>
      <c r="B139" s="59">
        <f>VLOOKUP(Table26[[#This Row],[Date]],'DB Money Supply'!$A:$E,5)</f>
        <v/>
      </c>
      <c r="C139" s="31">
        <f>(Table26[[#This Row],[M2 Money Stock, Billions of Dollars, Monthly, Seasonally Adjusted]]-B138)/B138</f>
        <v/>
      </c>
      <c r="D139" s="32">
        <f>((1+Table26[[#This Row],[Monthly change]])^12)-1</f>
        <v/>
      </c>
    </row>
    <row r="140">
      <c r="A140" s="34" t="n">
        <v>25628</v>
      </c>
      <c r="B140" s="59">
        <f>VLOOKUP(Table26[[#This Row],[Date]],'DB Money Supply'!$A:$E,5)</f>
        <v/>
      </c>
      <c r="C140" s="31">
        <f>(Table26[[#This Row],[M2 Money Stock, Billions of Dollars, Monthly, Seasonally Adjusted]]-B139)/B139</f>
        <v/>
      </c>
      <c r="D140" s="32">
        <f>((1+Table26[[#This Row],[Monthly change]])^12)-1</f>
        <v/>
      </c>
    </row>
    <row r="141">
      <c r="A141" s="57" t="n">
        <v>25659</v>
      </c>
      <c r="B141" s="59">
        <f>VLOOKUP(Table26[[#This Row],[Date]],'DB Money Supply'!$A:$E,5)</f>
        <v/>
      </c>
      <c r="C141" s="31">
        <f>(Table26[[#This Row],[M2 Money Stock, Billions of Dollars, Monthly, Seasonally Adjusted]]-B140)/B140</f>
        <v/>
      </c>
      <c r="D141" s="32">
        <f>((1+Table26[[#This Row],[Monthly change]])^12)-1</f>
        <v/>
      </c>
    </row>
    <row r="142">
      <c r="A142" s="34" t="n">
        <v>25689</v>
      </c>
      <c r="B142" s="59">
        <f>VLOOKUP(Table26[[#This Row],[Date]],'DB Money Supply'!$A:$E,5)</f>
        <v/>
      </c>
      <c r="C142" s="31">
        <f>(Table26[[#This Row],[M2 Money Stock, Billions of Dollars, Monthly, Seasonally Adjusted]]-B141)/B141</f>
        <v/>
      </c>
      <c r="D142" s="32">
        <f>((1+Table26[[#This Row],[Monthly change]])^12)-1</f>
        <v/>
      </c>
    </row>
    <row r="143">
      <c r="A143" s="57" t="n">
        <v>25720</v>
      </c>
      <c r="B143" s="59">
        <f>VLOOKUP(Table26[[#This Row],[Date]],'DB Money Supply'!$A:$E,5)</f>
        <v/>
      </c>
      <c r="C143" s="31">
        <f>(Table26[[#This Row],[M2 Money Stock, Billions of Dollars, Monthly, Seasonally Adjusted]]-B142)/B142</f>
        <v/>
      </c>
      <c r="D143" s="32">
        <f>((1+Table26[[#This Row],[Monthly change]])^12)-1</f>
        <v/>
      </c>
    </row>
    <row r="144">
      <c r="A144" s="34" t="n">
        <v>25750</v>
      </c>
      <c r="B144" s="59">
        <f>VLOOKUP(Table26[[#This Row],[Date]],'DB Money Supply'!$A:$E,5)</f>
        <v/>
      </c>
      <c r="C144" s="31">
        <f>(Table26[[#This Row],[M2 Money Stock, Billions of Dollars, Monthly, Seasonally Adjusted]]-B143)/B143</f>
        <v/>
      </c>
      <c r="D144" s="32">
        <f>((1+Table26[[#This Row],[Monthly change]])^12)-1</f>
        <v/>
      </c>
    </row>
    <row r="145">
      <c r="A145" s="57" t="n">
        <v>25781</v>
      </c>
      <c r="B145" s="59">
        <f>VLOOKUP(Table26[[#This Row],[Date]],'DB Money Supply'!$A:$E,5)</f>
        <v/>
      </c>
      <c r="C145" s="31">
        <f>(Table26[[#This Row],[M2 Money Stock, Billions of Dollars, Monthly, Seasonally Adjusted]]-B144)/B144</f>
        <v/>
      </c>
      <c r="D145" s="32">
        <f>((1+Table26[[#This Row],[Monthly change]])^12)-1</f>
        <v/>
      </c>
    </row>
    <row r="146">
      <c r="A146" s="34" t="n">
        <v>25812</v>
      </c>
      <c r="B146" s="59">
        <f>VLOOKUP(Table26[[#This Row],[Date]],'DB Money Supply'!$A:$E,5)</f>
        <v/>
      </c>
      <c r="C146" s="31">
        <f>(Table26[[#This Row],[M2 Money Stock, Billions of Dollars, Monthly, Seasonally Adjusted]]-B145)/B145</f>
        <v/>
      </c>
      <c r="D146" s="32">
        <f>((1+Table26[[#This Row],[Monthly change]])^12)-1</f>
        <v/>
      </c>
    </row>
    <row r="147">
      <c r="A147" s="57" t="n">
        <v>25842</v>
      </c>
      <c r="B147" s="59">
        <f>VLOOKUP(Table26[[#This Row],[Date]],'DB Money Supply'!$A:$E,5)</f>
        <v/>
      </c>
      <c r="C147" s="31">
        <f>(Table26[[#This Row],[M2 Money Stock, Billions of Dollars, Monthly, Seasonally Adjusted]]-B146)/B146</f>
        <v/>
      </c>
      <c r="D147" s="32">
        <f>((1+Table26[[#This Row],[Monthly change]])^12)-1</f>
        <v/>
      </c>
    </row>
    <row r="148">
      <c r="A148" s="34" t="n">
        <v>25873</v>
      </c>
      <c r="B148" s="59">
        <f>VLOOKUP(Table26[[#This Row],[Date]],'DB Money Supply'!$A:$E,5)</f>
        <v/>
      </c>
      <c r="C148" s="31">
        <f>(Table26[[#This Row],[M2 Money Stock, Billions of Dollars, Monthly, Seasonally Adjusted]]-B147)/B147</f>
        <v/>
      </c>
      <c r="D148" s="32">
        <f>((1+Table26[[#This Row],[Monthly change]])^12)-1</f>
        <v/>
      </c>
    </row>
    <row r="149">
      <c r="A149" s="57" t="n">
        <v>25903</v>
      </c>
      <c r="B149" s="59">
        <f>VLOOKUP(Table26[[#This Row],[Date]],'DB Money Supply'!$A:$E,5)</f>
        <v/>
      </c>
      <c r="C149" s="31">
        <f>(Table26[[#This Row],[M2 Money Stock, Billions of Dollars, Monthly, Seasonally Adjusted]]-B148)/B148</f>
        <v/>
      </c>
      <c r="D149" s="32">
        <f>((1+Table26[[#This Row],[Monthly change]])^12)-1</f>
        <v/>
      </c>
    </row>
    <row r="150">
      <c r="A150" s="34" t="n">
        <v>25934</v>
      </c>
      <c r="B150" s="59">
        <f>VLOOKUP(Table26[[#This Row],[Date]],'DB Money Supply'!$A:$E,5)</f>
        <v/>
      </c>
      <c r="C150" s="31">
        <f>(Table26[[#This Row],[M2 Money Stock, Billions of Dollars, Monthly, Seasonally Adjusted]]-B149)/B149</f>
        <v/>
      </c>
      <c r="D150" s="32">
        <f>((1+Table26[[#This Row],[Monthly change]])^12)-1</f>
        <v/>
      </c>
    </row>
    <row r="151">
      <c r="A151" s="57" t="n">
        <v>25965</v>
      </c>
      <c r="B151" s="59">
        <f>VLOOKUP(Table26[[#This Row],[Date]],'DB Money Supply'!$A:$E,5)</f>
        <v/>
      </c>
      <c r="C151" s="31">
        <f>(Table26[[#This Row],[M2 Money Stock, Billions of Dollars, Monthly, Seasonally Adjusted]]-B150)/B150</f>
        <v/>
      </c>
      <c r="D151" s="32">
        <f>((1+Table26[[#This Row],[Monthly change]])^12)-1</f>
        <v/>
      </c>
    </row>
    <row r="152">
      <c r="A152" s="34" t="n">
        <v>25993</v>
      </c>
      <c r="B152" s="59">
        <f>VLOOKUP(Table26[[#This Row],[Date]],'DB Money Supply'!$A:$E,5)</f>
        <v/>
      </c>
      <c r="C152" s="31">
        <f>(Table26[[#This Row],[M2 Money Stock, Billions of Dollars, Monthly, Seasonally Adjusted]]-B151)/B151</f>
        <v/>
      </c>
      <c r="D152" s="32">
        <f>((1+Table26[[#This Row],[Monthly change]])^12)-1</f>
        <v/>
      </c>
    </row>
    <row r="153">
      <c r="A153" s="57" t="n">
        <v>26024</v>
      </c>
      <c r="B153" s="59">
        <f>VLOOKUP(Table26[[#This Row],[Date]],'DB Money Supply'!$A:$E,5)</f>
        <v/>
      </c>
      <c r="C153" s="31">
        <f>(Table26[[#This Row],[M2 Money Stock, Billions of Dollars, Monthly, Seasonally Adjusted]]-B152)/B152</f>
        <v/>
      </c>
      <c r="D153" s="32">
        <f>((1+Table26[[#This Row],[Monthly change]])^12)-1</f>
        <v/>
      </c>
    </row>
    <row r="154">
      <c r="A154" s="34" t="n">
        <v>26054</v>
      </c>
      <c r="B154" s="59">
        <f>VLOOKUP(Table26[[#This Row],[Date]],'DB Money Supply'!$A:$E,5)</f>
        <v/>
      </c>
      <c r="C154" s="31">
        <f>(Table26[[#This Row],[M2 Money Stock, Billions of Dollars, Monthly, Seasonally Adjusted]]-B153)/B153</f>
        <v/>
      </c>
      <c r="D154" s="32">
        <f>((1+Table26[[#This Row],[Monthly change]])^12)-1</f>
        <v/>
      </c>
    </row>
    <row r="155">
      <c r="A155" s="57" t="n">
        <v>26085</v>
      </c>
      <c r="B155" s="59">
        <f>VLOOKUP(Table26[[#This Row],[Date]],'DB Money Supply'!$A:$E,5)</f>
        <v/>
      </c>
      <c r="C155" s="31">
        <f>(Table26[[#This Row],[M2 Money Stock, Billions of Dollars, Monthly, Seasonally Adjusted]]-B154)/B154</f>
        <v/>
      </c>
      <c r="D155" s="32">
        <f>((1+Table26[[#This Row],[Monthly change]])^12)-1</f>
        <v/>
      </c>
    </row>
    <row r="156">
      <c r="A156" s="34" t="n">
        <v>26115</v>
      </c>
      <c r="B156" s="59">
        <f>VLOOKUP(Table26[[#This Row],[Date]],'DB Money Supply'!$A:$E,5)</f>
        <v/>
      </c>
      <c r="C156" s="31">
        <f>(Table26[[#This Row],[M2 Money Stock, Billions of Dollars, Monthly, Seasonally Adjusted]]-B155)/B155</f>
        <v/>
      </c>
      <c r="D156" s="32">
        <f>((1+Table26[[#This Row],[Monthly change]])^12)-1</f>
        <v/>
      </c>
    </row>
    <row r="157">
      <c r="A157" s="57" t="n">
        <v>26146</v>
      </c>
      <c r="B157" s="59">
        <f>VLOOKUP(Table26[[#This Row],[Date]],'DB Money Supply'!$A:$E,5)</f>
        <v/>
      </c>
      <c r="C157" s="31">
        <f>(Table26[[#This Row],[M2 Money Stock, Billions of Dollars, Monthly, Seasonally Adjusted]]-B156)/B156</f>
        <v/>
      </c>
      <c r="D157" s="32">
        <f>((1+Table26[[#This Row],[Monthly change]])^12)-1</f>
        <v/>
      </c>
    </row>
    <row r="158">
      <c r="A158" s="57" t="n">
        <v>26177</v>
      </c>
      <c r="B158" s="59">
        <f>VLOOKUP(Table26[[#This Row],[Date]],'DB Money Supply'!$A:$E,5)</f>
        <v/>
      </c>
      <c r="C158" s="31">
        <f>(Table26[[#This Row],[M2 Money Stock, Billions of Dollars, Monthly, Seasonally Adjusted]]-B157)/B157</f>
        <v/>
      </c>
      <c r="D158" s="32">
        <f>((1+Table26[[#This Row],[Monthly change]])^12)-1</f>
        <v/>
      </c>
    </row>
    <row r="159">
      <c r="A159" s="34" t="n">
        <v>26207</v>
      </c>
      <c r="B159" s="59">
        <f>VLOOKUP(Table26[[#This Row],[Date]],'DB Money Supply'!$A:$E,5)</f>
        <v/>
      </c>
      <c r="C159" s="31">
        <f>(Table26[[#This Row],[M2 Money Stock, Billions of Dollars, Monthly, Seasonally Adjusted]]-B158)/B158</f>
        <v/>
      </c>
      <c r="D159" s="32">
        <f>((1+Table26[[#This Row],[Monthly change]])^12)-1</f>
        <v/>
      </c>
    </row>
    <row r="160">
      <c r="A160" s="57" t="n">
        <v>26238</v>
      </c>
      <c r="B160" s="59">
        <f>VLOOKUP(Table26[[#This Row],[Date]],'DB Money Supply'!$A:$E,5)</f>
        <v/>
      </c>
      <c r="C160" s="31">
        <f>(Table26[[#This Row],[M2 Money Stock, Billions of Dollars, Monthly, Seasonally Adjusted]]-B159)/B159</f>
        <v/>
      </c>
      <c r="D160" s="32">
        <f>((1+Table26[[#This Row],[Monthly change]])^12)-1</f>
        <v/>
      </c>
    </row>
    <row r="161">
      <c r="A161" s="34" t="n">
        <v>26268</v>
      </c>
      <c r="B161" s="59">
        <f>VLOOKUP(Table26[[#This Row],[Date]],'DB Money Supply'!$A:$E,5)</f>
        <v/>
      </c>
      <c r="C161" s="31">
        <f>(Table26[[#This Row],[M2 Money Stock, Billions of Dollars, Monthly, Seasonally Adjusted]]-B160)/B160</f>
        <v/>
      </c>
      <c r="D161" s="32">
        <f>((1+Table26[[#This Row],[Monthly change]])^12)-1</f>
        <v/>
      </c>
    </row>
    <row r="162">
      <c r="A162" s="57" t="n">
        <v>26299</v>
      </c>
      <c r="B162" s="59">
        <f>VLOOKUP(Table26[[#This Row],[Date]],'DB Money Supply'!$A:$E,5)</f>
        <v/>
      </c>
      <c r="C162" s="31">
        <f>(Table26[[#This Row],[M2 Money Stock, Billions of Dollars, Monthly, Seasonally Adjusted]]-B161)/B161</f>
        <v/>
      </c>
      <c r="D162" s="32">
        <f>((1+Table26[[#This Row],[Monthly change]])^12)-1</f>
        <v/>
      </c>
    </row>
    <row r="163">
      <c r="A163" s="34" t="n">
        <v>26330</v>
      </c>
      <c r="B163" s="59">
        <f>VLOOKUP(Table26[[#This Row],[Date]],'DB Money Supply'!$A:$E,5)</f>
        <v/>
      </c>
      <c r="C163" s="31">
        <f>(Table26[[#This Row],[M2 Money Stock, Billions of Dollars, Monthly, Seasonally Adjusted]]-B162)/B162</f>
        <v/>
      </c>
      <c r="D163" s="32">
        <f>((1+Table26[[#This Row],[Monthly change]])^12)-1</f>
        <v/>
      </c>
    </row>
    <row r="164">
      <c r="A164" s="57" t="n">
        <v>26359</v>
      </c>
      <c r="B164" s="59">
        <f>VLOOKUP(Table26[[#This Row],[Date]],'DB Money Supply'!$A:$E,5)</f>
        <v/>
      </c>
      <c r="C164" s="31">
        <f>(Table26[[#This Row],[M2 Money Stock, Billions of Dollars, Monthly, Seasonally Adjusted]]-B163)/B163</f>
        <v/>
      </c>
      <c r="D164" s="32">
        <f>((1+Table26[[#This Row],[Monthly change]])^12)-1</f>
        <v/>
      </c>
    </row>
    <row r="165">
      <c r="A165" s="34" t="n">
        <v>26390</v>
      </c>
      <c r="B165" s="59">
        <f>VLOOKUP(Table26[[#This Row],[Date]],'DB Money Supply'!$A:$E,5)</f>
        <v/>
      </c>
      <c r="C165" s="31">
        <f>(Table26[[#This Row],[M2 Money Stock, Billions of Dollars, Monthly, Seasonally Adjusted]]-B164)/B164</f>
        <v/>
      </c>
      <c r="D165" s="32">
        <f>((1+Table26[[#This Row],[Monthly change]])^12)-1</f>
        <v/>
      </c>
    </row>
    <row r="166">
      <c r="A166" s="57" t="n">
        <v>26420</v>
      </c>
      <c r="B166" s="59">
        <f>VLOOKUP(Table26[[#This Row],[Date]],'DB Money Supply'!$A:$E,5)</f>
        <v/>
      </c>
      <c r="C166" s="31">
        <f>(Table26[[#This Row],[M2 Money Stock, Billions of Dollars, Monthly, Seasonally Adjusted]]-B165)/B165</f>
        <v/>
      </c>
      <c r="D166" s="32">
        <f>((1+Table26[[#This Row],[Monthly change]])^12)-1</f>
        <v/>
      </c>
    </row>
    <row r="167">
      <c r="A167" s="34" t="n">
        <v>26451</v>
      </c>
      <c r="B167" s="59">
        <f>VLOOKUP(Table26[[#This Row],[Date]],'DB Money Supply'!$A:$E,5)</f>
        <v/>
      </c>
      <c r="C167" s="31">
        <f>(Table26[[#This Row],[M2 Money Stock, Billions of Dollars, Monthly, Seasonally Adjusted]]-B166)/B166</f>
        <v/>
      </c>
      <c r="D167" s="32">
        <f>((1+Table26[[#This Row],[Monthly change]])^12)-1</f>
        <v/>
      </c>
    </row>
    <row r="168">
      <c r="A168" s="57" t="n">
        <v>26481</v>
      </c>
      <c r="B168" s="59">
        <f>VLOOKUP(Table26[[#This Row],[Date]],'DB Money Supply'!$A:$E,5)</f>
        <v/>
      </c>
      <c r="C168" s="31">
        <f>(Table26[[#This Row],[M2 Money Stock, Billions of Dollars, Monthly, Seasonally Adjusted]]-B167)/B167</f>
        <v/>
      </c>
      <c r="D168" s="32">
        <f>((1+Table26[[#This Row],[Monthly change]])^12)-1</f>
        <v/>
      </c>
    </row>
    <row r="169">
      <c r="A169" s="34" t="n">
        <v>26512</v>
      </c>
      <c r="B169" s="59">
        <f>VLOOKUP(Table26[[#This Row],[Date]],'DB Money Supply'!$A:$E,5)</f>
        <v/>
      </c>
      <c r="C169" s="31">
        <f>(Table26[[#This Row],[M2 Money Stock, Billions of Dollars, Monthly, Seasonally Adjusted]]-B168)/B168</f>
        <v/>
      </c>
      <c r="D169" s="32">
        <f>((1+Table26[[#This Row],[Monthly change]])^12)-1</f>
        <v/>
      </c>
    </row>
    <row r="170">
      <c r="A170" s="57" t="n">
        <v>26543</v>
      </c>
      <c r="B170" s="59">
        <f>VLOOKUP(Table26[[#This Row],[Date]],'DB Money Supply'!$A:$E,5)</f>
        <v/>
      </c>
      <c r="C170" s="31">
        <f>(Table26[[#This Row],[M2 Money Stock, Billions of Dollars, Monthly, Seasonally Adjusted]]-B169)/B169</f>
        <v/>
      </c>
      <c r="D170" s="32">
        <f>((1+Table26[[#This Row],[Monthly change]])^12)-1</f>
        <v/>
      </c>
    </row>
    <row r="171">
      <c r="A171" s="34" t="n">
        <v>26573</v>
      </c>
      <c r="B171" s="59">
        <f>VLOOKUP(Table26[[#This Row],[Date]],'DB Money Supply'!$A:$E,5)</f>
        <v/>
      </c>
      <c r="C171" s="31">
        <f>(Table26[[#This Row],[M2 Money Stock, Billions of Dollars, Monthly, Seasonally Adjusted]]-B170)/B170</f>
        <v/>
      </c>
      <c r="D171" s="32">
        <f>((1+Table26[[#This Row],[Monthly change]])^12)-1</f>
        <v/>
      </c>
    </row>
    <row r="172">
      <c r="A172" s="57" t="n">
        <v>26604</v>
      </c>
      <c r="B172" s="59">
        <f>VLOOKUP(Table26[[#This Row],[Date]],'DB Money Supply'!$A:$E,5)</f>
        <v/>
      </c>
      <c r="C172" s="31">
        <f>(Table26[[#This Row],[M2 Money Stock, Billions of Dollars, Monthly, Seasonally Adjusted]]-B171)/B171</f>
        <v/>
      </c>
      <c r="D172" s="32">
        <f>((1+Table26[[#This Row],[Monthly change]])^12)-1</f>
        <v/>
      </c>
    </row>
    <row r="173">
      <c r="A173" s="34" t="n">
        <v>26634</v>
      </c>
      <c r="B173" s="59">
        <f>VLOOKUP(Table26[[#This Row],[Date]],'DB Money Supply'!$A:$E,5)</f>
        <v/>
      </c>
      <c r="C173" s="31">
        <f>(Table26[[#This Row],[M2 Money Stock, Billions of Dollars, Monthly, Seasonally Adjusted]]-B172)/B172</f>
        <v/>
      </c>
      <c r="D173" s="32">
        <f>((1+Table26[[#This Row],[Monthly change]])^12)-1</f>
        <v/>
      </c>
    </row>
    <row r="174">
      <c r="A174" s="57" t="n">
        <v>26665</v>
      </c>
      <c r="B174" s="59">
        <f>VLOOKUP(Table26[[#This Row],[Date]],'DB Money Supply'!$A:$E,5)</f>
        <v/>
      </c>
      <c r="C174" s="31">
        <f>(Table26[[#This Row],[M2 Money Stock, Billions of Dollars, Monthly, Seasonally Adjusted]]-B173)/B173</f>
        <v/>
      </c>
      <c r="D174" s="32">
        <f>((1+Table26[[#This Row],[Monthly change]])^12)-1</f>
        <v/>
      </c>
    </row>
    <row r="175">
      <c r="A175" s="34" t="n">
        <v>26696</v>
      </c>
      <c r="B175" s="59">
        <f>VLOOKUP(Table26[[#This Row],[Date]],'DB Money Supply'!$A:$E,5)</f>
        <v/>
      </c>
      <c r="C175" s="31">
        <f>(Table26[[#This Row],[M2 Money Stock, Billions of Dollars, Monthly, Seasonally Adjusted]]-B174)/B174</f>
        <v/>
      </c>
      <c r="D175" s="32">
        <f>((1+Table26[[#This Row],[Monthly change]])^12)-1</f>
        <v/>
      </c>
    </row>
    <row r="176">
      <c r="A176" s="57" t="n">
        <v>26724</v>
      </c>
      <c r="B176" s="59">
        <f>VLOOKUP(Table26[[#This Row],[Date]],'DB Money Supply'!$A:$E,5)</f>
        <v/>
      </c>
      <c r="C176" s="31">
        <f>(Table26[[#This Row],[M2 Money Stock, Billions of Dollars, Monthly, Seasonally Adjusted]]-B175)/B175</f>
        <v/>
      </c>
      <c r="D176" s="32">
        <f>((1+Table26[[#This Row],[Monthly change]])^12)-1</f>
        <v/>
      </c>
    </row>
    <row r="177">
      <c r="A177" s="57" t="n">
        <v>26755</v>
      </c>
      <c r="B177" s="59">
        <f>VLOOKUP(Table26[[#This Row],[Date]],'DB Money Supply'!$A:$E,5)</f>
        <v/>
      </c>
      <c r="C177" s="31">
        <f>(Table26[[#This Row],[M2 Money Stock, Billions of Dollars, Monthly, Seasonally Adjusted]]-B176)/B176</f>
        <v/>
      </c>
      <c r="D177" s="32">
        <f>((1+Table26[[#This Row],[Monthly change]])^12)-1</f>
        <v/>
      </c>
    </row>
    <row r="178">
      <c r="A178" s="34" t="n">
        <v>26785</v>
      </c>
      <c r="B178" s="59">
        <f>VLOOKUP(Table26[[#This Row],[Date]],'DB Money Supply'!$A:$E,5)</f>
        <v/>
      </c>
      <c r="C178" s="31">
        <f>(Table26[[#This Row],[M2 Money Stock, Billions of Dollars, Monthly, Seasonally Adjusted]]-B177)/B177</f>
        <v/>
      </c>
      <c r="D178" s="32">
        <f>((1+Table26[[#This Row],[Monthly change]])^12)-1</f>
        <v/>
      </c>
    </row>
    <row r="179">
      <c r="A179" s="57" t="n">
        <v>26816</v>
      </c>
      <c r="B179" s="59">
        <f>VLOOKUP(Table26[[#This Row],[Date]],'DB Money Supply'!$A:$E,5)</f>
        <v/>
      </c>
      <c r="C179" s="31">
        <f>(Table26[[#This Row],[M2 Money Stock, Billions of Dollars, Monthly, Seasonally Adjusted]]-B178)/B178</f>
        <v/>
      </c>
      <c r="D179" s="32">
        <f>((1+Table26[[#This Row],[Monthly change]])^12)-1</f>
        <v/>
      </c>
    </row>
    <row r="180">
      <c r="A180" s="34" t="n">
        <v>26846</v>
      </c>
      <c r="B180" s="59">
        <f>VLOOKUP(Table26[[#This Row],[Date]],'DB Money Supply'!$A:$E,5)</f>
        <v/>
      </c>
      <c r="C180" s="31">
        <f>(Table26[[#This Row],[M2 Money Stock, Billions of Dollars, Monthly, Seasonally Adjusted]]-B179)/B179</f>
        <v/>
      </c>
      <c r="D180" s="32">
        <f>((1+Table26[[#This Row],[Monthly change]])^12)-1</f>
        <v/>
      </c>
    </row>
    <row r="181">
      <c r="A181" s="57" t="n">
        <v>26877</v>
      </c>
      <c r="B181" s="59">
        <f>VLOOKUP(Table26[[#This Row],[Date]],'DB Money Supply'!$A:$E,5)</f>
        <v/>
      </c>
      <c r="C181" s="31">
        <f>(Table26[[#This Row],[M2 Money Stock, Billions of Dollars, Monthly, Seasonally Adjusted]]-B180)/B180</f>
        <v/>
      </c>
      <c r="D181" s="32">
        <f>((1+Table26[[#This Row],[Monthly change]])^12)-1</f>
        <v/>
      </c>
    </row>
    <row r="182">
      <c r="A182" s="34" t="n">
        <v>26908</v>
      </c>
      <c r="B182" s="59">
        <f>VLOOKUP(Table26[[#This Row],[Date]],'DB Money Supply'!$A:$E,5)</f>
        <v/>
      </c>
      <c r="C182" s="31">
        <f>(Table26[[#This Row],[M2 Money Stock, Billions of Dollars, Monthly, Seasonally Adjusted]]-B181)/B181</f>
        <v/>
      </c>
      <c r="D182" s="32">
        <f>((1+Table26[[#This Row],[Monthly change]])^12)-1</f>
        <v/>
      </c>
    </row>
    <row r="183">
      <c r="A183" s="57" t="n">
        <v>26938</v>
      </c>
      <c r="B183" s="59">
        <f>VLOOKUP(Table26[[#This Row],[Date]],'DB Money Supply'!$A:$E,5)</f>
        <v/>
      </c>
      <c r="C183" s="31">
        <f>(Table26[[#This Row],[M2 Money Stock, Billions of Dollars, Monthly, Seasonally Adjusted]]-B182)/B182</f>
        <v/>
      </c>
      <c r="D183" s="32">
        <f>((1+Table26[[#This Row],[Monthly change]])^12)-1</f>
        <v/>
      </c>
    </row>
    <row r="184">
      <c r="A184" s="34" t="n">
        <v>26969</v>
      </c>
      <c r="B184" s="59">
        <f>VLOOKUP(Table26[[#This Row],[Date]],'DB Money Supply'!$A:$E,5)</f>
        <v/>
      </c>
      <c r="C184" s="31">
        <f>(Table26[[#This Row],[M2 Money Stock, Billions of Dollars, Monthly, Seasonally Adjusted]]-B183)/B183</f>
        <v/>
      </c>
      <c r="D184" s="32">
        <f>((1+Table26[[#This Row],[Monthly change]])^12)-1</f>
        <v/>
      </c>
    </row>
    <row r="185">
      <c r="A185" s="57" t="n">
        <v>26999</v>
      </c>
      <c r="B185" s="59">
        <f>VLOOKUP(Table26[[#This Row],[Date]],'DB Money Supply'!$A:$E,5)</f>
        <v/>
      </c>
      <c r="C185" s="31">
        <f>(Table26[[#This Row],[M2 Money Stock, Billions of Dollars, Monthly, Seasonally Adjusted]]-B184)/B184</f>
        <v/>
      </c>
      <c r="D185" s="32">
        <f>((1+Table26[[#This Row],[Monthly change]])^12)-1</f>
        <v/>
      </c>
    </row>
    <row r="186">
      <c r="A186" s="34" t="n">
        <v>27030</v>
      </c>
      <c r="B186" s="59">
        <f>VLOOKUP(Table26[[#This Row],[Date]],'DB Money Supply'!$A:$E,5)</f>
        <v/>
      </c>
      <c r="C186" s="31">
        <f>(Table26[[#This Row],[M2 Money Stock, Billions of Dollars, Monthly, Seasonally Adjusted]]-B185)/B185</f>
        <v/>
      </c>
      <c r="D186" s="32">
        <f>((1+Table26[[#This Row],[Monthly change]])^12)-1</f>
        <v/>
      </c>
    </row>
    <row r="187">
      <c r="A187" s="57" t="n">
        <v>27061</v>
      </c>
      <c r="B187" s="59">
        <f>VLOOKUP(Table26[[#This Row],[Date]],'DB Money Supply'!$A:$E,5)</f>
        <v/>
      </c>
      <c r="C187" s="31">
        <f>(Table26[[#This Row],[M2 Money Stock, Billions of Dollars, Monthly, Seasonally Adjusted]]-B186)/B186</f>
        <v/>
      </c>
      <c r="D187" s="32">
        <f>((1+Table26[[#This Row],[Monthly change]])^12)-1</f>
        <v/>
      </c>
    </row>
    <row r="188">
      <c r="A188" s="34" t="n">
        <v>27089</v>
      </c>
      <c r="B188" s="59">
        <f>VLOOKUP(Table26[[#This Row],[Date]],'DB Money Supply'!$A:$E,5)</f>
        <v/>
      </c>
      <c r="C188" s="31">
        <f>(Table26[[#This Row],[M2 Money Stock, Billions of Dollars, Monthly, Seasonally Adjusted]]-B187)/B187</f>
        <v/>
      </c>
      <c r="D188" s="32">
        <f>((1+Table26[[#This Row],[Monthly change]])^12)-1</f>
        <v/>
      </c>
    </row>
    <row r="189">
      <c r="A189" s="57" t="n">
        <v>27120</v>
      </c>
      <c r="B189" s="59">
        <f>VLOOKUP(Table26[[#This Row],[Date]],'DB Money Supply'!$A:$E,5)</f>
        <v/>
      </c>
      <c r="C189" s="31">
        <f>(Table26[[#This Row],[M2 Money Stock, Billions of Dollars, Monthly, Seasonally Adjusted]]-B188)/B188</f>
        <v/>
      </c>
      <c r="D189" s="32">
        <f>((1+Table26[[#This Row],[Monthly change]])^12)-1</f>
        <v/>
      </c>
    </row>
    <row r="190">
      <c r="A190" s="34" t="n">
        <v>27150</v>
      </c>
      <c r="B190" s="59">
        <f>VLOOKUP(Table26[[#This Row],[Date]],'DB Money Supply'!$A:$E,5)</f>
        <v/>
      </c>
      <c r="C190" s="31">
        <f>(Table26[[#This Row],[M2 Money Stock, Billions of Dollars, Monthly, Seasonally Adjusted]]-B189)/B189</f>
        <v/>
      </c>
      <c r="D190" s="32">
        <f>((1+Table26[[#This Row],[Monthly change]])^12)-1</f>
        <v/>
      </c>
    </row>
    <row r="191">
      <c r="A191" s="57" t="n">
        <v>27181</v>
      </c>
      <c r="B191" s="59">
        <f>VLOOKUP(Table26[[#This Row],[Date]],'DB Money Supply'!$A:$E,5)</f>
        <v/>
      </c>
      <c r="C191" s="31">
        <f>(Table26[[#This Row],[M2 Money Stock, Billions of Dollars, Monthly, Seasonally Adjusted]]-B190)/B190</f>
        <v/>
      </c>
      <c r="D191" s="32">
        <f>((1+Table26[[#This Row],[Monthly change]])^12)-1</f>
        <v/>
      </c>
    </row>
    <row r="192">
      <c r="A192" s="34" t="n">
        <v>27211</v>
      </c>
      <c r="B192" s="59">
        <f>VLOOKUP(Table26[[#This Row],[Date]],'DB Money Supply'!$A:$E,5)</f>
        <v/>
      </c>
      <c r="C192" s="31">
        <f>(Table26[[#This Row],[M2 Money Stock, Billions of Dollars, Monthly, Seasonally Adjusted]]-B191)/B191</f>
        <v/>
      </c>
      <c r="D192" s="32">
        <f>((1+Table26[[#This Row],[Monthly change]])^12)-1</f>
        <v/>
      </c>
    </row>
    <row r="193">
      <c r="A193" s="57" t="n">
        <v>27242</v>
      </c>
      <c r="B193" s="59">
        <f>VLOOKUP(Table26[[#This Row],[Date]],'DB Money Supply'!$A:$E,5)</f>
        <v/>
      </c>
      <c r="C193" s="31">
        <f>(Table26[[#This Row],[M2 Money Stock, Billions of Dollars, Monthly, Seasonally Adjusted]]-B192)/B192</f>
        <v/>
      </c>
      <c r="D193" s="32">
        <f>((1+Table26[[#This Row],[Monthly change]])^12)-1</f>
        <v/>
      </c>
    </row>
    <row r="194">
      <c r="A194" s="34" t="n">
        <v>27273</v>
      </c>
      <c r="B194" s="59">
        <f>VLOOKUP(Table26[[#This Row],[Date]],'DB Money Supply'!$A:$E,5)</f>
        <v/>
      </c>
      <c r="C194" s="31">
        <f>(Table26[[#This Row],[M2 Money Stock, Billions of Dollars, Monthly, Seasonally Adjusted]]-B193)/B193</f>
        <v/>
      </c>
      <c r="D194" s="32">
        <f>((1+Table26[[#This Row],[Monthly change]])^12)-1</f>
        <v/>
      </c>
    </row>
    <row r="195">
      <c r="A195" s="57" t="n">
        <v>27303</v>
      </c>
      <c r="B195" s="59">
        <f>VLOOKUP(Table26[[#This Row],[Date]],'DB Money Supply'!$A:$E,5)</f>
        <v/>
      </c>
      <c r="C195" s="31">
        <f>(Table26[[#This Row],[M2 Money Stock, Billions of Dollars, Monthly, Seasonally Adjusted]]-B194)/B194</f>
        <v/>
      </c>
      <c r="D195" s="32">
        <f>((1+Table26[[#This Row],[Monthly change]])^12)-1</f>
        <v/>
      </c>
    </row>
    <row r="196">
      <c r="A196" s="57" t="n">
        <v>27334</v>
      </c>
      <c r="B196" s="59">
        <f>VLOOKUP(Table26[[#This Row],[Date]],'DB Money Supply'!$A:$E,5)</f>
        <v/>
      </c>
      <c r="C196" s="31">
        <f>(Table26[[#This Row],[M2 Money Stock, Billions of Dollars, Monthly, Seasonally Adjusted]]-B195)/B195</f>
        <v/>
      </c>
      <c r="D196" s="32">
        <f>((1+Table26[[#This Row],[Monthly change]])^12)-1</f>
        <v/>
      </c>
    </row>
    <row r="197">
      <c r="A197" s="34" t="n">
        <v>27364</v>
      </c>
      <c r="B197" s="59">
        <f>VLOOKUP(Table26[[#This Row],[Date]],'DB Money Supply'!$A:$E,5)</f>
        <v/>
      </c>
      <c r="C197" s="31">
        <f>(Table26[[#This Row],[M2 Money Stock, Billions of Dollars, Monthly, Seasonally Adjusted]]-B196)/B196</f>
        <v/>
      </c>
      <c r="D197" s="32">
        <f>((1+Table26[[#This Row],[Monthly change]])^12)-1</f>
        <v/>
      </c>
    </row>
    <row r="198">
      <c r="A198" s="57" t="n">
        <v>27395</v>
      </c>
      <c r="B198" s="59">
        <f>VLOOKUP(Table26[[#This Row],[Date]],'DB Money Supply'!$A:$E,5)</f>
        <v/>
      </c>
      <c r="C198" s="31">
        <f>(Table26[[#This Row],[M2 Money Stock, Billions of Dollars, Monthly, Seasonally Adjusted]]-B197)/B197</f>
        <v/>
      </c>
      <c r="D198" s="32">
        <f>((1+Table26[[#This Row],[Monthly change]])^12)-1</f>
        <v/>
      </c>
    </row>
    <row r="199">
      <c r="A199" s="34" t="n">
        <v>27426</v>
      </c>
      <c r="B199" s="59">
        <f>VLOOKUP(Table26[[#This Row],[Date]],'DB Money Supply'!$A:$E,5)</f>
        <v/>
      </c>
      <c r="C199" s="31">
        <f>(Table26[[#This Row],[M2 Money Stock, Billions of Dollars, Monthly, Seasonally Adjusted]]-B198)/B198</f>
        <v/>
      </c>
      <c r="D199" s="32">
        <f>((1+Table26[[#This Row],[Monthly change]])^12)-1</f>
        <v/>
      </c>
    </row>
    <row r="200">
      <c r="A200" s="57" t="n">
        <v>27454</v>
      </c>
      <c r="B200" s="59">
        <f>VLOOKUP(Table26[[#This Row],[Date]],'DB Money Supply'!$A:$E,5)</f>
        <v/>
      </c>
      <c r="C200" s="31">
        <f>(Table26[[#This Row],[M2 Money Stock, Billions of Dollars, Monthly, Seasonally Adjusted]]-B199)/B199</f>
        <v/>
      </c>
      <c r="D200" s="32">
        <f>((1+Table26[[#This Row],[Monthly change]])^12)-1</f>
        <v/>
      </c>
    </row>
    <row r="201">
      <c r="A201" s="34" t="n">
        <v>27485</v>
      </c>
      <c r="B201" s="59">
        <f>VLOOKUP(Table26[[#This Row],[Date]],'DB Money Supply'!$A:$E,5)</f>
        <v/>
      </c>
      <c r="C201" s="31">
        <f>(Table26[[#This Row],[M2 Money Stock, Billions of Dollars, Monthly, Seasonally Adjusted]]-B200)/B200</f>
        <v/>
      </c>
      <c r="D201" s="32">
        <f>((1+Table26[[#This Row],[Monthly change]])^12)-1</f>
        <v/>
      </c>
    </row>
    <row r="202">
      <c r="A202" s="57" t="n">
        <v>27515</v>
      </c>
      <c r="B202" s="59">
        <f>VLOOKUP(Table26[[#This Row],[Date]],'DB Money Supply'!$A:$E,5)</f>
        <v/>
      </c>
      <c r="C202" s="31">
        <f>(Table26[[#This Row],[M2 Money Stock, Billions of Dollars, Monthly, Seasonally Adjusted]]-B201)/B201</f>
        <v/>
      </c>
      <c r="D202" s="32">
        <f>((1+Table26[[#This Row],[Monthly change]])^12)-1</f>
        <v/>
      </c>
    </row>
    <row r="203">
      <c r="A203" s="34" t="n">
        <v>27546</v>
      </c>
      <c r="B203" s="59">
        <f>VLOOKUP(Table26[[#This Row],[Date]],'DB Money Supply'!$A:$E,5)</f>
        <v/>
      </c>
      <c r="C203" s="31">
        <f>(Table26[[#This Row],[M2 Money Stock, Billions of Dollars, Monthly, Seasonally Adjusted]]-B202)/B202</f>
        <v/>
      </c>
      <c r="D203" s="32">
        <f>((1+Table26[[#This Row],[Monthly change]])^12)-1</f>
        <v/>
      </c>
    </row>
    <row r="204">
      <c r="A204" s="57" t="n">
        <v>27576</v>
      </c>
      <c r="B204" s="59">
        <f>VLOOKUP(Table26[[#This Row],[Date]],'DB Money Supply'!$A:$E,5)</f>
        <v/>
      </c>
      <c r="C204" s="31">
        <f>(Table26[[#This Row],[M2 Money Stock, Billions of Dollars, Monthly, Seasonally Adjusted]]-B203)/B203</f>
        <v/>
      </c>
      <c r="D204" s="32">
        <f>((1+Table26[[#This Row],[Monthly change]])^12)-1</f>
        <v/>
      </c>
    </row>
    <row r="205">
      <c r="A205" s="34" t="n">
        <v>27607</v>
      </c>
      <c r="B205" s="59">
        <f>VLOOKUP(Table26[[#This Row],[Date]],'DB Money Supply'!$A:$E,5)</f>
        <v/>
      </c>
      <c r="C205" s="31">
        <f>(Table26[[#This Row],[M2 Money Stock, Billions of Dollars, Monthly, Seasonally Adjusted]]-B204)/B204</f>
        <v/>
      </c>
      <c r="D205" s="32">
        <f>((1+Table26[[#This Row],[Monthly change]])^12)-1</f>
        <v/>
      </c>
    </row>
    <row r="206">
      <c r="A206" s="57" t="n">
        <v>27638</v>
      </c>
      <c r="B206" s="59">
        <f>VLOOKUP(Table26[[#This Row],[Date]],'DB Money Supply'!$A:$E,5)</f>
        <v/>
      </c>
      <c r="C206" s="31">
        <f>(Table26[[#This Row],[M2 Money Stock, Billions of Dollars, Monthly, Seasonally Adjusted]]-B205)/B205</f>
        <v/>
      </c>
      <c r="D206" s="32">
        <f>((1+Table26[[#This Row],[Monthly change]])^12)-1</f>
        <v/>
      </c>
    </row>
    <row r="207">
      <c r="A207" s="34" t="n">
        <v>27668</v>
      </c>
      <c r="B207" s="59">
        <f>VLOOKUP(Table26[[#This Row],[Date]],'DB Money Supply'!$A:$E,5)</f>
        <v/>
      </c>
      <c r="C207" s="31">
        <f>(Table26[[#This Row],[M2 Money Stock, Billions of Dollars, Monthly, Seasonally Adjusted]]-B206)/B206</f>
        <v/>
      </c>
      <c r="D207" s="32">
        <f>((1+Table26[[#This Row],[Monthly change]])^12)-1</f>
        <v/>
      </c>
    </row>
    <row r="208">
      <c r="A208" s="57" t="n">
        <v>27699</v>
      </c>
      <c r="B208" s="59">
        <f>VLOOKUP(Table26[[#This Row],[Date]],'DB Money Supply'!$A:$E,5)</f>
        <v/>
      </c>
      <c r="C208" s="31">
        <f>(Table26[[#This Row],[M2 Money Stock, Billions of Dollars, Monthly, Seasonally Adjusted]]-B207)/B207</f>
        <v/>
      </c>
      <c r="D208" s="32">
        <f>((1+Table26[[#This Row],[Monthly change]])^12)-1</f>
        <v/>
      </c>
    </row>
    <row r="209">
      <c r="A209" s="34" t="n">
        <v>27729</v>
      </c>
      <c r="B209" s="59">
        <f>VLOOKUP(Table26[[#This Row],[Date]],'DB Money Supply'!$A:$E,5)</f>
        <v/>
      </c>
      <c r="C209" s="31">
        <f>(Table26[[#This Row],[M2 Money Stock, Billions of Dollars, Monthly, Seasonally Adjusted]]-B208)/B208</f>
        <v/>
      </c>
      <c r="D209" s="32">
        <f>((1+Table26[[#This Row],[Monthly change]])^12)-1</f>
        <v/>
      </c>
    </row>
    <row r="210">
      <c r="A210" s="57" t="n">
        <v>27760</v>
      </c>
      <c r="B210" s="59">
        <f>VLOOKUP(Table26[[#This Row],[Date]],'DB Money Supply'!$A:$E,5)</f>
        <v/>
      </c>
      <c r="C210" s="31">
        <f>(Table26[[#This Row],[M2 Money Stock, Billions of Dollars, Monthly, Seasonally Adjusted]]-B209)/B209</f>
        <v/>
      </c>
      <c r="D210" s="32">
        <f>((1+Table26[[#This Row],[Monthly change]])^12)-1</f>
        <v/>
      </c>
    </row>
    <row r="211">
      <c r="A211" s="34" t="n">
        <v>27791</v>
      </c>
      <c r="B211" s="59">
        <f>VLOOKUP(Table26[[#This Row],[Date]],'DB Money Supply'!$A:$E,5)</f>
        <v/>
      </c>
      <c r="C211" s="31">
        <f>(Table26[[#This Row],[M2 Money Stock, Billions of Dollars, Monthly, Seasonally Adjusted]]-B210)/B210</f>
        <v/>
      </c>
      <c r="D211" s="32">
        <f>((1+Table26[[#This Row],[Monthly change]])^12)-1</f>
        <v/>
      </c>
    </row>
    <row r="212">
      <c r="A212" s="57" t="n">
        <v>27820</v>
      </c>
      <c r="B212" s="59">
        <f>VLOOKUP(Table26[[#This Row],[Date]],'DB Money Supply'!$A:$E,5)</f>
        <v/>
      </c>
      <c r="C212" s="31">
        <f>(Table26[[#This Row],[M2 Money Stock, Billions of Dollars, Monthly, Seasonally Adjusted]]-B211)/B211</f>
        <v/>
      </c>
      <c r="D212" s="32">
        <f>((1+Table26[[#This Row],[Monthly change]])^12)-1</f>
        <v/>
      </c>
    </row>
    <row r="213">
      <c r="A213" s="34" t="n">
        <v>27851</v>
      </c>
      <c r="B213" s="59">
        <f>VLOOKUP(Table26[[#This Row],[Date]],'DB Money Supply'!$A:$E,5)</f>
        <v/>
      </c>
      <c r="C213" s="31">
        <f>(Table26[[#This Row],[M2 Money Stock, Billions of Dollars, Monthly, Seasonally Adjusted]]-B212)/B212</f>
        <v/>
      </c>
      <c r="D213" s="32">
        <f>((1+Table26[[#This Row],[Monthly change]])^12)-1</f>
        <v/>
      </c>
    </row>
    <row r="214">
      <c r="A214" s="57" t="n">
        <v>27881</v>
      </c>
      <c r="B214" s="59">
        <f>VLOOKUP(Table26[[#This Row],[Date]],'DB Money Supply'!$A:$E,5)</f>
        <v/>
      </c>
      <c r="C214" s="31">
        <f>(Table26[[#This Row],[M2 Money Stock, Billions of Dollars, Monthly, Seasonally Adjusted]]-B213)/B213</f>
        <v/>
      </c>
      <c r="D214" s="32">
        <f>((1+Table26[[#This Row],[Monthly change]])^12)-1</f>
        <v/>
      </c>
    </row>
    <row r="215">
      <c r="A215" s="57" t="n">
        <v>27912</v>
      </c>
      <c r="B215" s="59">
        <f>VLOOKUP(Table26[[#This Row],[Date]],'DB Money Supply'!$A:$E,5)</f>
        <v/>
      </c>
      <c r="C215" s="31">
        <f>(Table26[[#This Row],[M2 Money Stock, Billions of Dollars, Monthly, Seasonally Adjusted]]-B214)/B214</f>
        <v/>
      </c>
      <c r="D215" s="32">
        <f>((1+Table26[[#This Row],[Monthly change]])^12)-1</f>
        <v/>
      </c>
    </row>
    <row r="216">
      <c r="A216" s="34" t="n">
        <v>27942</v>
      </c>
      <c r="B216" s="59">
        <f>VLOOKUP(Table26[[#This Row],[Date]],'DB Money Supply'!$A:$E,5)</f>
        <v/>
      </c>
      <c r="C216" s="31">
        <f>(Table26[[#This Row],[M2 Money Stock, Billions of Dollars, Monthly, Seasonally Adjusted]]-B215)/B215</f>
        <v/>
      </c>
      <c r="D216" s="32">
        <f>((1+Table26[[#This Row],[Monthly change]])^12)-1</f>
        <v/>
      </c>
    </row>
    <row r="217">
      <c r="A217" s="57" t="n">
        <v>27973</v>
      </c>
      <c r="B217" s="59">
        <f>VLOOKUP(Table26[[#This Row],[Date]],'DB Money Supply'!$A:$E,5)</f>
        <v/>
      </c>
      <c r="C217" s="31">
        <f>(Table26[[#This Row],[M2 Money Stock, Billions of Dollars, Monthly, Seasonally Adjusted]]-B216)/B216</f>
        <v/>
      </c>
      <c r="D217" s="32">
        <f>((1+Table26[[#This Row],[Monthly change]])^12)-1</f>
        <v/>
      </c>
    </row>
    <row r="218">
      <c r="A218" s="34" t="n">
        <v>28004</v>
      </c>
      <c r="B218" s="59">
        <f>VLOOKUP(Table26[[#This Row],[Date]],'DB Money Supply'!$A:$E,5)</f>
        <v/>
      </c>
      <c r="C218" s="31">
        <f>(Table26[[#This Row],[M2 Money Stock, Billions of Dollars, Monthly, Seasonally Adjusted]]-B217)/B217</f>
        <v/>
      </c>
      <c r="D218" s="32">
        <f>((1+Table26[[#This Row],[Monthly change]])^12)-1</f>
        <v/>
      </c>
    </row>
    <row r="219">
      <c r="A219" s="57" t="n">
        <v>28034</v>
      </c>
      <c r="B219" s="59">
        <f>VLOOKUP(Table26[[#This Row],[Date]],'DB Money Supply'!$A:$E,5)</f>
        <v/>
      </c>
      <c r="C219" s="31">
        <f>(Table26[[#This Row],[M2 Money Stock, Billions of Dollars, Monthly, Seasonally Adjusted]]-B218)/B218</f>
        <v/>
      </c>
      <c r="D219" s="32">
        <f>((1+Table26[[#This Row],[Monthly change]])^12)-1</f>
        <v/>
      </c>
    </row>
    <row r="220">
      <c r="A220" s="34" t="n">
        <v>28065</v>
      </c>
      <c r="B220" s="59">
        <f>VLOOKUP(Table26[[#This Row],[Date]],'DB Money Supply'!$A:$E,5)</f>
        <v/>
      </c>
      <c r="C220" s="31">
        <f>(Table26[[#This Row],[M2 Money Stock, Billions of Dollars, Monthly, Seasonally Adjusted]]-B219)/B219</f>
        <v/>
      </c>
      <c r="D220" s="32">
        <f>((1+Table26[[#This Row],[Monthly change]])^12)-1</f>
        <v/>
      </c>
    </row>
    <row r="221">
      <c r="A221" s="57" t="n">
        <v>28095</v>
      </c>
      <c r="B221" s="59">
        <f>VLOOKUP(Table26[[#This Row],[Date]],'DB Money Supply'!$A:$E,5)</f>
        <v/>
      </c>
      <c r="C221" s="31">
        <f>(Table26[[#This Row],[M2 Money Stock, Billions of Dollars, Monthly, Seasonally Adjusted]]-B220)/B220</f>
        <v/>
      </c>
      <c r="D221" s="32">
        <f>((1+Table26[[#This Row],[Monthly change]])^12)-1</f>
        <v/>
      </c>
    </row>
    <row r="222">
      <c r="A222" s="34" t="n">
        <v>28126</v>
      </c>
      <c r="B222" s="59">
        <f>VLOOKUP(Table26[[#This Row],[Date]],'DB Money Supply'!$A:$E,5)</f>
        <v/>
      </c>
      <c r="C222" s="31">
        <f>(Table26[[#This Row],[M2 Money Stock, Billions of Dollars, Monthly, Seasonally Adjusted]]-B221)/B221</f>
        <v/>
      </c>
      <c r="D222" s="32">
        <f>((1+Table26[[#This Row],[Monthly change]])^12)-1</f>
        <v/>
      </c>
    </row>
    <row r="223">
      <c r="A223" s="57" t="n">
        <v>28157</v>
      </c>
      <c r="B223" s="59">
        <f>VLOOKUP(Table26[[#This Row],[Date]],'DB Money Supply'!$A:$E,5)</f>
        <v/>
      </c>
      <c r="C223" s="31">
        <f>(Table26[[#This Row],[M2 Money Stock, Billions of Dollars, Monthly, Seasonally Adjusted]]-B222)/B222</f>
        <v/>
      </c>
      <c r="D223" s="32">
        <f>((1+Table26[[#This Row],[Monthly change]])^12)-1</f>
        <v/>
      </c>
    </row>
    <row r="224">
      <c r="A224" s="34" t="n">
        <v>28185</v>
      </c>
      <c r="B224" s="59">
        <f>VLOOKUP(Table26[[#This Row],[Date]],'DB Money Supply'!$A:$E,5)</f>
        <v/>
      </c>
      <c r="C224" s="31">
        <f>(Table26[[#This Row],[M2 Money Stock, Billions of Dollars, Monthly, Seasonally Adjusted]]-B223)/B223</f>
        <v/>
      </c>
      <c r="D224" s="32">
        <f>((1+Table26[[#This Row],[Monthly change]])^12)-1</f>
        <v/>
      </c>
    </row>
    <row r="225">
      <c r="A225" s="57" t="n">
        <v>28216</v>
      </c>
      <c r="B225" s="59">
        <f>VLOOKUP(Table26[[#This Row],[Date]],'DB Money Supply'!$A:$E,5)</f>
        <v/>
      </c>
      <c r="C225" s="31">
        <f>(Table26[[#This Row],[M2 Money Stock, Billions of Dollars, Monthly, Seasonally Adjusted]]-B224)/B224</f>
        <v/>
      </c>
      <c r="D225" s="32">
        <f>((1+Table26[[#This Row],[Monthly change]])^12)-1</f>
        <v/>
      </c>
    </row>
    <row r="226">
      <c r="A226" s="34" t="n">
        <v>28246</v>
      </c>
      <c r="B226" s="59">
        <f>VLOOKUP(Table26[[#This Row],[Date]],'DB Money Supply'!$A:$E,5)</f>
        <v/>
      </c>
      <c r="C226" s="31">
        <f>(Table26[[#This Row],[M2 Money Stock, Billions of Dollars, Monthly, Seasonally Adjusted]]-B225)/B225</f>
        <v/>
      </c>
      <c r="D226" s="32">
        <f>((1+Table26[[#This Row],[Monthly change]])^12)-1</f>
        <v/>
      </c>
    </row>
    <row r="227">
      <c r="A227" s="57" t="n">
        <v>28277</v>
      </c>
      <c r="B227" s="59">
        <f>VLOOKUP(Table26[[#This Row],[Date]],'DB Money Supply'!$A:$E,5)</f>
        <v/>
      </c>
      <c r="C227" s="31">
        <f>(Table26[[#This Row],[M2 Money Stock, Billions of Dollars, Monthly, Seasonally Adjusted]]-B226)/B226</f>
        <v/>
      </c>
      <c r="D227" s="32">
        <f>((1+Table26[[#This Row],[Monthly change]])^12)-1</f>
        <v/>
      </c>
    </row>
    <row r="228">
      <c r="A228" s="34" t="n">
        <v>28307</v>
      </c>
      <c r="B228" s="59">
        <f>VLOOKUP(Table26[[#This Row],[Date]],'DB Money Supply'!$A:$E,5)</f>
        <v/>
      </c>
      <c r="C228" s="31">
        <f>(Table26[[#This Row],[M2 Money Stock, Billions of Dollars, Monthly, Seasonally Adjusted]]-B227)/B227</f>
        <v/>
      </c>
      <c r="D228" s="32">
        <f>((1+Table26[[#This Row],[Monthly change]])^12)-1</f>
        <v/>
      </c>
    </row>
    <row r="229">
      <c r="A229" s="57" t="n">
        <v>28338</v>
      </c>
      <c r="B229" s="59">
        <f>VLOOKUP(Table26[[#This Row],[Date]],'DB Money Supply'!$A:$E,5)</f>
        <v/>
      </c>
      <c r="C229" s="31">
        <f>(Table26[[#This Row],[M2 Money Stock, Billions of Dollars, Monthly, Seasonally Adjusted]]-B228)/B228</f>
        <v/>
      </c>
      <c r="D229" s="32">
        <f>((1+Table26[[#This Row],[Monthly change]])^12)-1</f>
        <v/>
      </c>
    </row>
    <row r="230">
      <c r="A230" s="34" t="n">
        <v>28369</v>
      </c>
      <c r="B230" s="59">
        <f>VLOOKUP(Table26[[#This Row],[Date]],'DB Money Supply'!$A:$E,5)</f>
        <v/>
      </c>
      <c r="C230" s="31">
        <f>(Table26[[#This Row],[M2 Money Stock, Billions of Dollars, Monthly, Seasonally Adjusted]]-B229)/B229</f>
        <v/>
      </c>
      <c r="D230" s="32">
        <f>((1+Table26[[#This Row],[Monthly change]])^12)-1</f>
        <v/>
      </c>
    </row>
    <row r="231">
      <c r="A231" s="57" t="n">
        <v>28399</v>
      </c>
      <c r="B231" s="59">
        <f>VLOOKUP(Table26[[#This Row],[Date]],'DB Money Supply'!$A:$E,5)</f>
        <v/>
      </c>
      <c r="C231" s="31">
        <f>(Table26[[#This Row],[M2 Money Stock, Billions of Dollars, Monthly, Seasonally Adjusted]]-B230)/B230</f>
        <v/>
      </c>
      <c r="D231" s="32">
        <f>((1+Table26[[#This Row],[Monthly change]])^12)-1</f>
        <v/>
      </c>
    </row>
    <row r="232">
      <c r="A232" s="34" t="n">
        <v>28430</v>
      </c>
      <c r="B232" s="59">
        <f>VLOOKUP(Table26[[#This Row],[Date]],'DB Money Supply'!$A:$E,5)</f>
        <v/>
      </c>
      <c r="C232" s="31">
        <f>(Table26[[#This Row],[M2 Money Stock, Billions of Dollars, Monthly, Seasonally Adjusted]]-B231)/B231</f>
        <v/>
      </c>
      <c r="D232" s="32">
        <f>((1+Table26[[#This Row],[Monthly change]])^12)-1</f>
        <v/>
      </c>
    </row>
    <row r="233">
      <c r="A233" s="57" t="n">
        <v>28460</v>
      </c>
      <c r="B233" s="59">
        <f>VLOOKUP(Table26[[#This Row],[Date]],'DB Money Supply'!$A:$E,5)</f>
        <v/>
      </c>
      <c r="C233" s="31">
        <f>(Table26[[#This Row],[M2 Money Stock, Billions of Dollars, Monthly, Seasonally Adjusted]]-B232)/B232</f>
        <v/>
      </c>
      <c r="D233" s="32">
        <f>((1+Table26[[#This Row],[Monthly change]])^12)-1</f>
        <v/>
      </c>
    </row>
    <row r="234">
      <c r="A234" s="57" t="n">
        <v>28491</v>
      </c>
      <c r="B234" s="59">
        <f>VLOOKUP(Table26[[#This Row],[Date]],'DB Money Supply'!$A:$E,5)</f>
        <v/>
      </c>
      <c r="C234" s="31">
        <f>(Table26[[#This Row],[M2 Money Stock, Billions of Dollars, Monthly, Seasonally Adjusted]]-B233)/B233</f>
        <v/>
      </c>
      <c r="D234" s="32">
        <f>((1+Table26[[#This Row],[Monthly change]])^12)-1</f>
        <v/>
      </c>
    </row>
    <row r="235">
      <c r="A235" s="34" t="n">
        <v>28522</v>
      </c>
      <c r="B235" s="59">
        <f>VLOOKUP(Table26[[#This Row],[Date]],'DB Money Supply'!$A:$E,5)</f>
        <v/>
      </c>
      <c r="C235" s="31">
        <f>(Table26[[#This Row],[M2 Money Stock, Billions of Dollars, Monthly, Seasonally Adjusted]]-B234)/B234</f>
        <v/>
      </c>
      <c r="D235" s="32">
        <f>((1+Table26[[#This Row],[Monthly change]])^12)-1</f>
        <v/>
      </c>
    </row>
    <row r="236">
      <c r="A236" s="57" t="n">
        <v>28550</v>
      </c>
      <c r="B236" s="59">
        <f>VLOOKUP(Table26[[#This Row],[Date]],'DB Money Supply'!$A:$E,5)</f>
        <v/>
      </c>
      <c r="C236" s="31">
        <f>(Table26[[#This Row],[M2 Money Stock, Billions of Dollars, Monthly, Seasonally Adjusted]]-B235)/B235</f>
        <v/>
      </c>
      <c r="D236" s="32">
        <f>((1+Table26[[#This Row],[Monthly change]])^12)-1</f>
        <v/>
      </c>
    </row>
    <row r="237">
      <c r="A237" s="34" t="n">
        <v>28581</v>
      </c>
      <c r="B237" s="59">
        <f>VLOOKUP(Table26[[#This Row],[Date]],'DB Money Supply'!$A:$E,5)</f>
        <v/>
      </c>
      <c r="C237" s="31">
        <f>(Table26[[#This Row],[M2 Money Stock, Billions of Dollars, Monthly, Seasonally Adjusted]]-B236)/B236</f>
        <v/>
      </c>
      <c r="D237" s="32">
        <f>((1+Table26[[#This Row],[Monthly change]])^12)-1</f>
        <v/>
      </c>
    </row>
    <row r="238">
      <c r="A238" s="57" t="n">
        <v>28611</v>
      </c>
      <c r="B238" s="59">
        <f>VLOOKUP(Table26[[#This Row],[Date]],'DB Money Supply'!$A:$E,5)</f>
        <v/>
      </c>
      <c r="C238" s="31">
        <f>(Table26[[#This Row],[M2 Money Stock, Billions of Dollars, Monthly, Seasonally Adjusted]]-B237)/B237</f>
        <v/>
      </c>
      <c r="D238" s="32">
        <f>((1+Table26[[#This Row],[Monthly change]])^12)-1</f>
        <v/>
      </c>
    </row>
    <row r="239">
      <c r="A239" s="34" t="n">
        <v>28642</v>
      </c>
      <c r="B239" s="59">
        <f>VLOOKUP(Table26[[#This Row],[Date]],'DB Money Supply'!$A:$E,5)</f>
        <v/>
      </c>
      <c r="C239" s="31">
        <f>(Table26[[#This Row],[M2 Money Stock, Billions of Dollars, Monthly, Seasonally Adjusted]]-B238)/B238</f>
        <v/>
      </c>
      <c r="D239" s="32">
        <f>((1+Table26[[#This Row],[Monthly change]])^12)-1</f>
        <v/>
      </c>
    </row>
    <row r="240">
      <c r="A240" s="57" t="n">
        <v>28672</v>
      </c>
      <c r="B240" s="59">
        <f>VLOOKUP(Table26[[#This Row],[Date]],'DB Money Supply'!$A:$E,5)</f>
        <v/>
      </c>
      <c r="C240" s="31">
        <f>(Table26[[#This Row],[M2 Money Stock, Billions of Dollars, Monthly, Seasonally Adjusted]]-B239)/B239</f>
        <v/>
      </c>
      <c r="D240" s="32">
        <f>((1+Table26[[#This Row],[Monthly change]])^12)-1</f>
        <v/>
      </c>
    </row>
    <row r="241">
      <c r="A241" s="34" t="n">
        <v>28703</v>
      </c>
      <c r="B241" s="59">
        <f>VLOOKUP(Table26[[#This Row],[Date]],'DB Money Supply'!$A:$E,5)</f>
        <v/>
      </c>
      <c r="C241" s="31">
        <f>(Table26[[#This Row],[M2 Money Stock, Billions of Dollars, Monthly, Seasonally Adjusted]]-B240)/B240</f>
        <v/>
      </c>
      <c r="D241" s="32">
        <f>((1+Table26[[#This Row],[Monthly change]])^12)-1</f>
        <v/>
      </c>
    </row>
    <row r="242">
      <c r="A242" s="57" t="n">
        <v>28734</v>
      </c>
      <c r="B242" s="59">
        <f>VLOOKUP(Table26[[#This Row],[Date]],'DB Money Supply'!$A:$E,5)</f>
        <v/>
      </c>
      <c r="C242" s="31">
        <f>(Table26[[#This Row],[M2 Money Stock, Billions of Dollars, Monthly, Seasonally Adjusted]]-B241)/B241</f>
        <v/>
      </c>
      <c r="D242" s="32">
        <f>((1+Table26[[#This Row],[Monthly change]])^12)-1</f>
        <v/>
      </c>
    </row>
    <row r="243">
      <c r="A243" s="34" t="n">
        <v>28764</v>
      </c>
      <c r="B243" s="59">
        <f>VLOOKUP(Table26[[#This Row],[Date]],'DB Money Supply'!$A:$E,5)</f>
        <v/>
      </c>
      <c r="C243" s="31">
        <f>(Table26[[#This Row],[M2 Money Stock, Billions of Dollars, Monthly, Seasonally Adjusted]]-B242)/B242</f>
        <v/>
      </c>
      <c r="D243" s="32">
        <f>((1+Table26[[#This Row],[Monthly change]])^12)-1</f>
        <v/>
      </c>
    </row>
    <row r="244">
      <c r="A244" s="57" t="n">
        <v>28795</v>
      </c>
      <c r="B244" s="59">
        <f>VLOOKUP(Table26[[#This Row],[Date]],'DB Money Supply'!$A:$E,5)</f>
        <v/>
      </c>
      <c r="C244" s="31">
        <f>(Table26[[#This Row],[M2 Money Stock, Billions of Dollars, Monthly, Seasonally Adjusted]]-B243)/B243</f>
        <v/>
      </c>
      <c r="D244" s="32">
        <f>((1+Table26[[#This Row],[Monthly change]])^12)-1</f>
        <v/>
      </c>
    </row>
    <row r="245">
      <c r="A245" s="34" t="n">
        <v>28825</v>
      </c>
      <c r="B245" s="59">
        <f>VLOOKUP(Table26[[#This Row],[Date]],'DB Money Supply'!$A:$E,5)</f>
        <v/>
      </c>
      <c r="C245" s="31">
        <f>(Table26[[#This Row],[M2 Money Stock, Billions of Dollars, Monthly, Seasonally Adjusted]]-B244)/B244</f>
        <v/>
      </c>
      <c r="D245" s="32">
        <f>((1+Table26[[#This Row],[Monthly change]])^12)-1</f>
        <v/>
      </c>
    </row>
    <row r="246">
      <c r="A246" s="57" t="n">
        <v>28856</v>
      </c>
      <c r="B246" s="59">
        <f>VLOOKUP(Table26[[#This Row],[Date]],'DB Money Supply'!$A:$E,5)</f>
        <v/>
      </c>
      <c r="C246" s="31">
        <f>(Table26[[#This Row],[M2 Money Stock, Billions of Dollars, Monthly, Seasonally Adjusted]]-B245)/B245</f>
        <v/>
      </c>
      <c r="D246" s="32">
        <f>((1+Table26[[#This Row],[Monthly change]])^12)-1</f>
        <v/>
      </c>
    </row>
    <row r="247">
      <c r="A247" s="34" t="n">
        <v>28887</v>
      </c>
      <c r="B247" s="59">
        <f>VLOOKUP(Table26[[#This Row],[Date]],'DB Money Supply'!$A:$E,5)</f>
        <v/>
      </c>
      <c r="C247" s="31">
        <f>(Table26[[#This Row],[M2 Money Stock, Billions of Dollars, Monthly, Seasonally Adjusted]]-B246)/B246</f>
        <v/>
      </c>
      <c r="D247" s="32">
        <f>((1+Table26[[#This Row],[Monthly change]])^12)-1</f>
        <v/>
      </c>
    </row>
    <row r="248">
      <c r="A248" s="57" t="n">
        <v>28915</v>
      </c>
      <c r="B248" s="59">
        <f>VLOOKUP(Table26[[#This Row],[Date]],'DB Money Supply'!$A:$E,5)</f>
        <v/>
      </c>
      <c r="C248" s="31">
        <f>(Table26[[#This Row],[M2 Money Stock, Billions of Dollars, Monthly, Seasonally Adjusted]]-B247)/B247</f>
        <v/>
      </c>
      <c r="D248" s="32">
        <f>((1+Table26[[#This Row],[Monthly change]])^12)-1</f>
        <v/>
      </c>
    </row>
    <row r="249">
      <c r="A249" s="34" t="n">
        <v>28946</v>
      </c>
      <c r="B249" s="59">
        <f>VLOOKUP(Table26[[#This Row],[Date]],'DB Money Supply'!$A:$E,5)</f>
        <v/>
      </c>
      <c r="C249" s="31">
        <f>(Table26[[#This Row],[M2 Money Stock, Billions of Dollars, Monthly, Seasonally Adjusted]]-B248)/B248</f>
        <v/>
      </c>
      <c r="D249" s="32">
        <f>((1+Table26[[#This Row],[Monthly change]])^12)-1</f>
        <v/>
      </c>
    </row>
    <row r="250">
      <c r="A250" s="57" t="n">
        <v>28976</v>
      </c>
      <c r="B250" s="59">
        <f>VLOOKUP(Table26[[#This Row],[Date]],'DB Money Supply'!$A:$E,5)</f>
        <v/>
      </c>
      <c r="C250" s="31">
        <f>(Table26[[#This Row],[M2 Money Stock, Billions of Dollars, Monthly, Seasonally Adjusted]]-B249)/B249</f>
        <v/>
      </c>
      <c r="D250" s="32">
        <f>((1+Table26[[#This Row],[Monthly change]])^12)-1</f>
        <v/>
      </c>
    </row>
    <row r="251">
      <c r="A251" s="34" t="n">
        <v>29007</v>
      </c>
      <c r="B251" s="59">
        <f>VLOOKUP(Table26[[#This Row],[Date]],'DB Money Supply'!$A:$E,5)</f>
        <v/>
      </c>
      <c r="C251" s="31">
        <f>(Table26[[#This Row],[M2 Money Stock, Billions of Dollars, Monthly, Seasonally Adjusted]]-B250)/B250</f>
        <v/>
      </c>
      <c r="D251" s="32">
        <f>((1+Table26[[#This Row],[Monthly change]])^12)-1</f>
        <v/>
      </c>
    </row>
    <row r="252">
      <c r="A252" s="57" t="n">
        <v>29037</v>
      </c>
      <c r="B252" s="59">
        <f>VLOOKUP(Table26[[#This Row],[Date]],'DB Money Supply'!$A:$E,5)</f>
        <v/>
      </c>
      <c r="C252" s="31">
        <f>(Table26[[#This Row],[M2 Money Stock, Billions of Dollars, Monthly, Seasonally Adjusted]]-B251)/B251</f>
        <v/>
      </c>
      <c r="D252" s="32">
        <f>((1+Table26[[#This Row],[Monthly change]])^12)-1</f>
        <v/>
      </c>
    </row>
    <row r="253">
      <c r="A253" s="57" t="n">
        <v>29068</v>
      </c>
      <c r="B253" s="59">
        <f>VLOOKUP(Table26[[#This Row],[Date]],'DB Money Supply'!$A:$E,5)</f>
        <v/>
      </c>
      <c r="C253" s="31">
        <f>(Table26[[#This Row],[M2 Money Stock, Billions of Dollars, Monthly, Seasonally Adjusted]]-B252)/B252</f>
        <v/>
      </c>
      <c r="D253" s="32">
        <f>((1+Table26[[#This Row],[Monthly change]])^12)-1</f>
        <v/>
      </c>
    </row>
    <row r="254">
      <c r="A254" s="34" t="n">
        <v>29099</v>
      </c>
      <c r="B254" s="59">
        <f>VLOOKUP(Table26[[#This Row],[Date]],'DB Money Supply'!$A:$E,5)</f>
        <v/>
      </c>
      <c r="C254" s="31">
        <f>(Table26[[#This Row],[M2 Money Stock, Billions of Dollars, Monthly, Seasonally Adjusted]]-B253)/B253</f>
        <v/>
      </c>
      <c r="D254" s="32">
        <f>((1+Table26[[#This Row],[Monthly change]])^12)-1</f>
        <v/>
      </c>
    </row>
    <row r="255">
      <c r="A255" s="57" t="n">
        <v>29129</v>
      </c>
      <c r="B255" s="59">
        <f>VLOOKUP(Table26[[#This Row],[Date]],'DB Money Supply'!$A:$E,5)</f>
        <v/>
      </c>
      <c r="C255" s="31">
        <f>(Table26[[#This Row],[M2 Money Stock, Billions of Dollars, Monthly, Seasonally Adjusted]]-B254)/B254</f>
        <v/>
      </c>
      <c r="D255" s="32">
        <f>((1+Table26[[#This Row],[Monthly change]])^12)-1</f>
        <v/>
      </c>
    </row>
    <row r="256">
      <c r="A256" s="34" t="n">
        <v>29160</v>
      </c>
      <c r="B256" s="59">
        <f>VLOOKUP(Table26[[#This Row],[Date]],'DB Money Supply'!$A:$E,5)</f>
        <v/>
      </c>
      <c r="C256" s="31">
        <f>(Table26[[#This Row],[M2 Money Stock, Billions of Dollars, Monthly, Seasonally Adjusted]]-B255)/B255</f>
        <v/>
      </c>
      <c r="D256" s="32">
        <f>((1+Table26[[#This Row],[Monthly change]])^12)-1</f>
        <v/>
      </c>
    </row>
    <row r="257">
      <c r="A257" s="57" t="n">
        <v>29190</v>
      </c>
      <c r="B257" s="59">
        <f>VLOOKUP(Table26[[#This Row],[Date]],'DB Money Supply'!$A:$E,5)</f>
        <v/>
      </c>
      <c r="C257" s="31">
        <f>(Table26[[#This Row],[M2 Money Stock, Billions of Dollars, Monthly, Seasonally Adjusted]]-B256)/B256</f>
        <v/>
      </c>
      <c r="D257" s="32">
        <f>((1+Table26[[#This Row],[Monthly change]])^12)-1</f>
        <v/>
      </c>
    </row>
    <row r="258">
      <c r="A258" s="34" t="n">
        <v>29221</v>
      </c>
      <c r="B258" s="59">
        <f>VLOOKUP(Table26[[#This Row],[Date]],'DB Money Supply'!$A:$E,5)</f>
        <v/>
      </c>
      <c r="C258" s="31">
        <f>(Table26[[#This Row],[M2 Money Stock, Billions of Dollars, Monthly, Seasonally Adjusted]]-B257)/B257</f>
        <v/>
      </c>
      <c r="D258" s="32">
        <f>((1+Table26[[#This Row],[Monthly change]])^12)-1</f>
        <v/>
      </c>
    </row>
    <row r="259">
      <c r="A259" s="57" t="n">
        <v>29252</v>
      </c>
      <c r="B259" s="59">
        <f>VLOOKUP(Table26[[#This Row],[Date]],'DB Money Supply'!$A:$E,5)</f>
        <v/>
      </c>
      <c r="C259" s="31">
        <f>(Table26[[#This Row],[M2 Money Stock, Billions of Dollars, Monthly, Seasonally Adjusted]]-B258)/B258</f>
        <v/>
      </c>
      <c r="D259" s="32">
        <f>((1+Table26[[#This Row],[Monthly change]])^12)-1</f>
        <v/>
      </c>
    </row>
    <row r="260">
      <c r="A260" s="34" t="n">
        <v>29281</v>
      </c>
      <c r="B260" s="59">
        <f>VLOOKUP(Table26[[#This Row],[Date]],'DB Money Supply'!$A:$E,5)</f>
        <v/>
      </c>
      <c r="C260" s="31">
        <f>(Table26[[#This Row],[M2 Money Stock, Billions of Dollars, Monthly, Seasonally Adjusted]]-B259)/B259</f>
        <v/>
      </c>
      <c r="D260" s="32">
        <f>((1+Table26[[#This Row],[Monthly change]])^12)-1</f>
        <v/>
      </c>
    </row>
    <row r="261">
      <c r="A261" s="57" t="n">
        <v>29312</v>
      </c>
      <c r="B261" s="59">
        <f>VLOOKUP(Table26[[#This Row],[Date]],'DB Money Supply'!$A:$E,5)</f>
        <v/>
      </c>
      <c r="C261" s="31">
        <f>(Table26[[#This Row],[M2 Money Stock, Billions of Dollars, Monthly, Seasonally Adjusted]]-B260)/B260</f>
        <v/>
      </c>
      <c r="D261" s="32">
        <f>((1+Table26[[#This Row],[Monthly change]])^12)-1</f>
        <v/>
      </c>
    </row>
    <row r="262">
      <c r="A262" s="34" t="n">
        <v>29342</v>
      </c>
      <c r="B262" s="59">
        <f>VLOOKUP(Table26[[#This Row],[Date]],'DB Money Supply'!$A:$E,5)</f>
        <v/>
      </c>
      <c r="C262" s="31">
        <f>(Table26[[#This Row],[M2 Money Stock, Billions of Dollars, Monthly, Seasonally Adjusted]]-B261)/B261</f>
        <v/>
      </c>
      <c r="D262" s="32">
        <f>((1+Table26[[#This Row],[Monthly change]])^12)-1</f>
        <v/>
      </c>
    </row>
    <row r="263">
      <c r="A263" s="57" t="n">
        <v>29373</v>
      </c>
      <c r="B263" s="59">
        <f>VLOOKUP(Table26[[#This Row],[Date]],'DB Money Supply'!$A:$E,5)</f>
        <v/>
      </c>
      <c r="C263" s="31">
        <f>(Table26[[#This Row],[M2 Money Stock, Billions of Dollars, Monthly, Seasonally Adjusted]]-B262)/B262</f>
        <v/>
      </c>
      <c r="D263" s="32">
        <f>((1+Table26[[#This Row],[Monthly change]])^12)-1</f>
        <v/>
      </c>
    </row>
    <row r="264">
      <c r="A264" s="34" t="n">
        <v>29403</v>
      </c>
      <c r="B264" s="59">
        <f>VLOOKUP(Table26[[#This Row],[Date]],'DB Money Supply'!$A:$E,5)</f>
        <v/>
      </c>
      <c r="C264" s="31">
        <f>(Table26[[#This Row],[M2 Money Stock, Billions of Dollars, Monthly, Seasonally Adjusted]]-B263)/B263</f>
        <v/>
      </c>
      <c r="D264" s="32">
        <f>((1+Table26[[#This Row],[Monthly change]])^12)-1</f>
        <v/>
      </c>
    </row>
    <row r="265">
      <c r="A265" s="57" t="n">
        <v>29434</v>
      </c>
      <c r="B265" s="59">
        <f>VLOOKUP(Table26[[#This Row],[Date]],'DB Money Supply'!$A:$E,5)</f>
        <v/>
      </c>
      <c r="C265" s="31">
        <f>(Table26[[#This Row],[M2 Money Stock, Billions of Dollars, Monthly, Seasonally Adjusted]]-B264)/B264</f>
        <v/>
      </c>
      <c r="D265" s="32">
        <f>((1+Table26[[#This Row],[Monthly change]])^12)-1</f>
        <v/>
      </c>
    </row>
    <row r="266">
      <c r="A266" s="34" t="n">
        <v>29465</v>
      </c>
      <c r="B266" s="59">
        <f>VLOOKUP(Table26[[#This Row],[Date]],'DB Money Supply'!$A:$E,5)</f>
        <v/>
      </c>
      <c r="C266" s="31">
        <f>(Table26[[#This Row],[M2 Money Stock, Billions of Dollars, Monthly, Seasonally Adjusted]]-B265)/B265</f>
        <v/>
      </c>
      <c r="D266" s="32">
        <f>((1+Table26[[#This Row],[Monthly change]])^12)-1</f>
        <v/>
      </c>
    </row>
    <row r="267">
      <c r="A267" s="57" t="n">
        <v>29495</v>
      </c>
      <c r="B267" s="59">
        <f>VLOOKUP(Table26[[#This Row],[Date]],'DB Money Supply'!$A:$E,5)</f>
        <v/>
      </c>
      <c r="C267" s="31">
        <f>(Table26[[#This Row],[M2 Money Stock, Billions of Dollars, Monthly, Seasonally Adjusted]]-B266)/B266</f>
        <v/>
      </c>
      <c r="D267" s="32">
        <f>((1+Table26[[#This Row],[Monthly change]])^12)-1</f>
        <v/>
      </c>
    </row>
    <row r="268">
      <c r="A268" s="34" t="n">
        <v>29526</v>
      </c>
      <c r="B268" s="59">
        <f>VLOOKUP(Table26[[#This Row],[Date]],'DB Money Supply'!$A:$E,5)</f>
        <v/>
      </c>
      <c r="C268" s="31">
        <f>(Table26[[#This Row],[M2 Money Stock, Billions of Dollars, Monthly, Seasonally Adjusted]]-B267)/B267</f>
        <v/>
      </c>
      <c r="D268" s="32">
        <f>((1+Table26[[#This Row],[Monthly change]])^12)-1</f>
        <v/>
      </c>
    </row>
    <row r="269">
      <c r="A269" s="57" t="n">
        <v>29556</v>
      </c>
      <c r="B269" s="59">
        <f>VLOOKUP(Table26[[#This Row],[Date]],'DB Money Supply'!$A:$E,5)</f>
        <v/>
      </c>
      <c r="C269" s="31">
        <f>(Table26[[#This Row],[M2 Money Stock, Billions of Dollars, Monthly, Seasonally Adjusted]]-B268)/B268</f>
        <v/>
      </c>
      <c r="D269" s="32">
        <f>((1+Table26[[#This Row],[Monthly change]])^12)-1</f>
        <v/>
      </c>
    </row>
    <row r="270">
      <c r="A270" s="34" t="n">
        <v>29587</v>
      </c>
      <c r="B270" s="59">
        <f>VLOOKUP(Table26[[#This Row],[Date]],'DB Money Supply'!$A:$E,5)</f>
        <v/>
      </c>
      <c r="C270" s="31">
        <f>(Table26[[#This Row],[M2 Money Stock, Billions of Dollars, Monthly, Seasonally Adjusted]]-B269)/B269</f>
        <v/>
      </c>
      <c r="D270" s="32">
        <f>((1+Table26[[#This Row],[Monthly change]])^12)-1</f>
        <v/>
      </c>
    </row>
    <row r="271">
      <c r="A271" s="57" t="n">
        <v>29618</v>
      </c>
      <c r="B271" s="59">
        <f>VLOOKUP(Table26[[#This Row],[Date]],'DB Money Supply'!$A:$E,5)</f>
        <v/>
      </c>
      <c r="C271" s="31">
        <f>(Table26[[#This Row],[M2 Money Stock, Billions of Dollars, Monthly, Seasonally Adjusted]]-B270)/B270</f>
        <v/>
      </c>
      <c r="D271" s="32">
        <f>((1+Table26[[#This Row],[Monthly change]])^12)-1</f>
        <v/>
      </c>
    </row>
    <row r="272">
      <c r="A272" s="57" t="n">
        <v>29646</v>
      </c>
      <c r="B272" s="59">
        <f>VLOOKUP(Table26[[#This Row],[Date]],'DB Money Supply'!$A:$E,5)</f>
        <v/>
      </c>
      <c r="C272" s="31">
        <f>(Table26[[#This Row],[M2 Money Stock, Billions of Dollars, Monthly, Seasonally Adjusted]]-B271)/B271</f>
        <v/>
      </c>
      <c r="D272" s="32">
        <f>((1+Table26[[#This Row],[Monthly change]])^12)-1</f>
        <v/>
      </c>
    </row>
    <row r="273">
      <c r="A273" s="34" t="n">
        <v>29677</v>
      </c>
      <c r="B273" s="59">
        <f>VLOOKUP(Table26[[#This Row],[Date]],'DB Money Supply'!$A:$E,5)</f>
        <v/>
      </c>
      <c r="C273" s="31">
        <f>(Table26[[#This Row],[M2 Money Stock, Billions of Dollars, Monthly, Seasonally Adjusted]]-B272)/B272</f>
        <v/>
      </c>
      <c r="D273" s="32">
        <f>((1+Table26[[#This Row],[Monthly change]])^12)-1</f>
        <v/>
      </c>
    </row>
    <row r="274">
      <c r="A274" s="57" t="n">
        <v>29707</v>
      </c>
      <c r="B274" s="59">
        <f>VLOOKUP(Table26[[#This Row],[Date]],'DB Money Supply'!$A:$E,5)</f>
        <v/>
      </c>
      <c r="C274" s="31">
        <f>(Table26[[#This Row],[M2 Money Stock, Billions of Dollars, Monthly, Seasonally Adjusted]]-B273)/B273</f>
        <v/>
      </c>
      <c r="D274" s="32">
        <f>((1+Table26[[#This Row],[Monthly change]])^12)-1</f>
        <v/>
      </c>
    </row>
    <row r="275">
      <c r="A275" s="34" t="n">
        <v>29738</v>
      </c>
      <c r="B275" s="59">
        <f>VLOOKUP(Table26[[#This Row],[Date]],'DB Money Supply'!$A:$E,5)</f>
        <v/>
      </c>
      <c r="C275" s="31">
        <f>(Table26[[#This Row],[M2 Money Stock, Billions of Dollars, Monthly, Seasonally Adjusted]]-B274)/B274</f>
        <v/>
      </c>
      <c r="D275" s="32">
        <f>((1+Table26[[#This Row],[Monthly change]])^12)-1</f>
        <v/>
      </c>
    </row>
    <row r="276">
      <c r="A276" s="57" t="n">
        <v>29768</v>
      </c>
      <c r="B276" s="59">
        <f>VLOOKUP(Table26[[#This Row],[Date]],'DB Money Supply'!$A:$E,5)</f>
        <v/>
      </c>
      <c r="C276" s="31">
        <f>(Table26[[#This Row],[M2 Money Stock, Billions of Dollars, Monthly, Seasonally Adjusted]]-B275)/B275</f>
        <v/>
      </c>
      <c r="D276" s="32">
        <f>((1+Table26[[#This Row],[Monthly change]])^12)-1</f>
        <v/>
      </c>
    </row>
    <row r="277">
      <c r="A277" s="34" t="n">
        <v>29799</v>
      </c>
      <c r="B277" s="59">
        <f>VLOOKUP(Table26[[#This Row],[Date]],'DB Money Supply'!$A:$E,5)</f>
        <v/>
      </c>
      <c r="C277" s="31">
        <f>(Table26[[#This Row],[M2 Money Stock, Billions of Dollars, Monthly, Seasonally Adjusted]]-B276)/B276</f>
        <v/>
      </c>
      <c r="D277" s="32">
        <f>((1+Table26[[#This Row],[Monthly change]])^12)-1</f>
        <v/>
      </c>
    </row>
    <row r="278">
      <c r="A278" s="57" t="n">
        <v>29830</v>
      </c>
      <c r="B278" s="59">
        <f>VLOOKUP(Table26[[#This Row],[Date]],'DB Money Supply'!$A:$E,5)</f>
        <v/>
      </c>
      <c r="C278" s="31">
        <f>(Table26[[#This Row],[M2 Money Stock, Billions of Dollars, Monthly, Seasonally Adjusted]]-B277)/B277</f>
        <v/>
      </c>
      <c r="D278" s="32">
        <f>((1+Table26[[#This Row],[Monthly change]])^12)-1</f>
        <v/>
      </c>
    </row>
    <row r="279">
      <c r="A279" s="34" t="n">
        <v>29860</v>
      </c>
      <c r="B279" s="59">
        <f>VLOOKUP(Table26[[#This Row],[Date]],'DB Money Supply'!$A:$E,5)</f>
        <v/>
      </c>
      <c r="C279" s="31">
        <f>(Table26[[#This Row],[M2 Money Stock, Billions of Dollars, Monthly, Seasonally Adjusted]]-B278)/B278</f>
        <v/>
      </c>
      <c r="D279" s="32">
        <f>((1+Table26[[#This Row],[Monthly change]])^12)-1</f>
        <v/>
      </c>
    </row>
    <row r="280">
      <c r="A280" s="57" t="n">
        <v>29891</v>
      </c>
      <c r="B280" s="59">
        <f>VLOOKUP(Table26[[#This Row],[Date]],'DB Money Supply'!$A:$E,5)</f>
        <v/>
      </c>
      <c r="C280" s="31">
        <f>(Table26[[#This Row],[M2 Money Stock, Billions of Dollars, Monthly, Seasonally Adjusted]]-B279)/B279</f>
        <v/>
      </c>
      <c r="D280" s="32">
        <f>((1+Table26[[#This Row],[Monthly change]])^12)-1</f>
        <v/>
      </c>
    </row>
    <row r="281">
      <c r="A281" s="34" t="n">
        <v>29921</v>
      </c>
      <c r="B281" s="59">
        <f>VLOOKUP(Table26[[#This Row],[Date]],'DB Money Supply'!$A:$E,5)</f>
        <v/>
      </c>
      <c r="C281" s="31">
        <f>(Table26[[#This Row],[M2 Money Stock, Billions of Dollars, Monthly, Seasonally Adjusted]]-B280)/B280</f>
        <v/>
      </c>
      <c r="D281" s="32">
        <f>((1+Table26[[#This Row],[Monthly change]])^12)-1</f>
        <v/>
      </c>
    </row>
    <row r="282">
      <c r="A282" s="57" t="n">
        <v>29952</v>
      </c>
      <c r="B282" s="59">
        <f>VLOOKUP(Table26[[#This Row],[Date]],'DB Money Supply'!$A:$E,5)</f>
        <v/>
      </c>
      <c r="C282" s="31">
        <f>(Table26[[#This Row],[M2 Money Stock, Billions of Dollars, Monthly, Seasonally Adjusted]]-B281)/B281</f>
        <v/>
      </c>
      <c r="D282" s="32">
        <f>((1+Table26[[#This Row],[Monthly change]])^12)-1</f>
        <v/>
      </c>
    </row>
    <row r="283">
      <c r="A283" s="34" t="n">
        <v>29983</v>
      </c>
      <c r="B283" s="59">
        <f>VLOOKUP(Table26[[#This Row],[Date]],'DB Money Supply'!$A:$E,5)</f>
        <v/>
      </c>
      <c r="C283" s="31">
        <f>(Table26[[#This Row],[M2 Money Stock, Billions of Dollars, Monthly, Seasonally Adjusted]]-B282)/B282</f>
        <v/>
      </c>
      <c r="D283" s="32">
        <f>((1+Table26[[#This Row],[Monthly change]])^12)-1</f>
        <v/>
      </c>
    </row>
    <row r="284">
      <c r="A284" s="57" t="n">
        <v>30011</v>
      </c>
      <c r="B284" s="59">
        <f>VLOOKUP(Table26[[#This Row],[Date]],'DB Money Supply'!$A:$E,5)</f>
        <v/>
      </c>
      <c r="C284" s="31">
        <f>(Table26[[#This Row],[M2 Money Stock, Billions of Dollars, Monthly, Seasonally Adjusted]]-B283)/B283</f>
        <v/>
      </c>
      <c r="D284" s="32">
        <f>((1+Table26[[#This Row],[Monthly change]])^12)-1</f>
        <v/>
      </c>
    </row>
    <row r="285">
      <c r="A285" s="34" t="n">
        <v>30042</v>
      </c>
      <c r="B285" s="59">
        <f>VLOOKUP(Table26[[#This Row],[Date]],'DB Money Supply'!$A:$E,5)</f>
        <v/>
      </c>
      <c r="C285" s="31">
        <f>(Table26[[#This Row],[M2 Money Stock, Billions of Dollars, Monthly, Seasonally Adjusted]]-B284)/B284</f>
        <v/>
      </c>
      <c r="D285" s="32">
        <f>((1+Table26[[#This Row],[Monthly change]])^12)-1</f>
        <v/>
      </c>
    </row>
    <row r="286">
      <c r="A286" s="57" t="n">
        <v>30072</v>
      </c>
      <c r="B286" s="59">
        <f>VLOOKUP(Table26[[#This Row],[Date]],'DB Money Supply'!$A:$E,5)</f>
        <v/>
      </c>
      <c r="C286" s="31">
        <f>(Table26[[#This Row],[M2 Money Stock, Billions of Dollars, Monthly, Seasonally Adjusted]]-B285)/B285</f>
        <v/>
      </c>
      <c r="D286" s="32">
        <f>((1+Table26[[#This Row],[Monthly change]])^12)-1</f>
        <v/>
      </c>
    </row>
    <row r="287">
      <c r="A287" s="34" t="n">
        <v>30103</v>
      </c>
      <c r="B287" s="59">
        <f>VLOOKUP(Table26[[#This Row],[Date]],'DB Money Supply'!$A:$E,5)</f>
        <v/>
      </c>
      <c r="C287" s="31">
        <f>(Table26[[#This Row],[M2 Money Stock, Billions of Dollars, Monthly, Seasonally Adjusted]]-B286)/B286</f>
        <v/>
      </c>
      <c r="D287" s="32">
        <f>((1+Table26[[#This Row],[Monthly change]])^12)-1</f>
        <v/>
      </c>
    </row>
    <row r="288">
      <c r="A288" s="57" t="n">
        <v>30133</v>
      </c>
      <c r="B288" s="59">
        <f>VLOOKUP(Table26[[#This Row],[Date]],'DB Money Supply'!$A:$E,5)</f>
        <v/>
      </c>
      <c r="C288" s="31">
        <f>(Table26[[#This Row],[M2 Money Stock, Billions of Dollars, Monthly, Seasonally Adjusted]]-B287)/B287</f>
        <v/>
      </c>
      <c r="D288" s="32">
        <f>((1+Table26[[#This Row],[Monthly change]])^12)-1</f>
        <v/>
      </c>
    </row>
    <row r="289">
      <c r="A289" s="34" t="n">
        <v>30164</v>
      </c>
      <c r="B289" s="59">
        <f>VLOOKUP(Table26[[#This Row],[Date]],'DB Money Supply'!$A:$E,5)</f>
        <v/>
      </c>
      <c r="C289" s="31">
        <f>(Table26[[#This Row],[M2 Money Stock, Billions of Dollars, Monthly, Seasonally Adjusted]]-B288)/B288</f>
        <v/>
      </c>
      <c r="D289" s="32">
        <f>((1+Table26[[#This Row],[Monthly change]])^12)-1</f>
        <v/>
      </c>
    </row>
    <row r="290">
      <c r="A290" s="57" t="n">
        <v>30195</v>
      </c>
      <c r="B290" s="59">
        <f>VLOOKUP(Table26[[#This Row],[Date]],'DB Money Supply'!$A:$E,5)</f>
        <v/>
      </c>
      <c r="C290" s="31">
        <f>(Table26[[#This Row],[M2 Money Stock, Billions of Dollars, Monthly, Seasonally Adjusted]]-B289)/B289</f>
        <v/>
      </c>
      <c r="D290" s="32">
        <f>((1+Table26[[#This Row],[Monthly change]])^12)-1</f>
        <v/>
      </c>
    </row>
    <row r="291">
      <c r="A291" s="57" t="n">
        <v>30225</v>
      </c>
      <c r="B291" s="59">
        <f>VLOOKUP(Table26[[#This Row],[Date]],'DB Money Supply'!$A:$E,5)</f>
        <v/>
      </c>
      <c r="C291" s="31">
        <f>(Table26[[#This Row],[M2 Money Stock, Billions of Dollars, Monthly, Seasonally Adjusted]]-B290)/B290</f>
        <v/>
      </c>
      <c r="D291" s="32">
        <f>((1+Table26[[#This Row],[Monthly change]])^12)-1</f>
        <v/>
      </c>
    </row>
    <row r="292">
      <c r="A292" s="34" t="n">
        <v>30256</v>
      </c>
      <c r="B292" s="59">
        <f>VLOOKUP(Table26[[#This Row],[Date]],'DB Money Supply'!$A:$E,5)</f>
        <v/>
      </c>
      <c r="C292" s="31">
        <f>(Table26[[#This Row],[M2 Money Stock, Billions of Dollars, Monthly, Seasonally Adjusted]]-B291)/B291</f>
        <v/>
      </c>
      <c r="D292" s="32">
        <f>((1+Table26[[#This Row],[Monthly change]])^12)-1</f>
        <v/>
      </c>
    </row>
    <row r="293">
      <c r="A293" s="57" t="n">
        <v>30286</v>
      </c>
      <c r="B293" s="59">
        <f>VLOOKUP(Table26[[#This Row],[Date]],'DB Money Supply'!$A:$E,5)</f>
        <v/>
      </c>
      <c r="C293" s="31">
        <f>(Table26[[#This Row],[M2 Money Stock, Billions of Dollars, Monthly, Seasonally Adjusted]]-B292)/B292</f>
        <v/>
      </c>
      <c r="D293" s="32">
        <f>((1+Table26[[#This Row],[Monthly change]])^12)-1</f>
        <v/>
      </c>
    </row>
    <row r="294">
      <c r="A294" s="34" t="n">
        <v>30317</v>
      </c>
      <c r="B294" s="59">
        <f>VLOOKUP(Table26[[#This Row],[Date]],'DB Money Supply'!$A:$E,5)</f>
        <v/>
      </c>
      <c r="C294" s="31">
        <f>(Table26[[#This Row],[M2 Money Stock, Billions of Dollars, Monthly, Seasonally Adjusted]]-B293)/B293</f>
        <v/>
      </c>
      <c r="D294" s="32">
        <f>((1+Table26[[#This Row],[Monthly change]])^12)-1</f>
        <v/>
      </c>
    </row>
    <row r="295">
      <c r="A295" s="57" t="n">
        <v>30348</v>
      </c>
      <c r="B295" s="59">
        <f>VLOOKUP(Table26[[#This Row],[Date]],'DB Money Supply'!$A:$E,5)</f>
        <v/>
      </c>
      <c r="C295" s="31">
        <f>(Table26[[#This Row],[M2 Money Stock, Billions of Dollars, Monthly, Seasonally Adjusted]]-B294)/B294</f>
        <v/>
      </c>
      <c r="D295" s="32">
        <f>((1+Table26[[#This Row],[Monthly change]])^12)-1</f>
        <v/>
      </c>
    </row>
    <row r="296">
      <c r="A296" s="34" t="n">
        <v>30376</v>
      </c>
      <c r="B296" s="59">
        <f>VLOOKUP(Table26[[#This Row],[Date]],'DB Money Supply'!$A:$E,5)</f>
        <v/>
      </c>
      <c r="C296" s="31">
        <f>(Table26[[#This Row],[M2 Money Stock, Billions of Dollars, Monthly, Seasonally Adjusted]]-B295)/B295</f>
        <v/>
      </c>
      <c r="D296" s="32">
        <f>((1+Table26[[#This Row],[Monthly change]])^12)-1</f>
        <v/>
      </c>
    </row>
    <row r="297">
      <c r="A297" s="57" t="n">
        <v>30407</v>
      </c>
      <c r="B297" s="59">
        <f>VLOOKUP(Table26[[#This Row],[Date]],'DB Money Supply'!$A:$E,5)</f>
        <v/>
      </c>
      <c r="C297" s="31">
        <f>(Table26[[#This Row],[M2 Money Stock, Billions of Dollars, Monthly, Seasonally Adjusted]]-B296)/B296</f>
        <v/>
      </c>
      <c r="D297" s="32">
        <f>((1+Table26[[#This Row],[Monthly change]])^12)-1</f>
        <v/>
      </c>
    </row>
    <row r="298">
      <c r="A298" s="34" t="n">
        <v>30437</v>
      </c>
      <c r="B298" s="59">
        <f>VLOOKUP(Table26[[#This Row],[Date]],'DB Money Supply'!$A:$E,5)</f>
        <v/>
      </c>
      <c r="C298" s="31">
        <f>(Table26[[#This Row],[M2 Money Stock, Billions of Dollars, Monthly, Seasonally Adjusted]]-B297)/B297</f>
        <v/>
      </c>
      <c r="D298" s="32">
        <f>((1+Table26[[#This Row],[Monthly change]])^12)-1</f>
        <v/>
      </c>
    </row>
    <row r="299">
      <c r="A299" s="57" t="n">
        <v>30468</v>
      </c>
      <c r="B299" s="59">
        <f>VLOOKUP(Table26[[#This Row],[Date]],'DB Money Supply'!$A:$E,5)</f>
        <v/>
      </c>
      <c r="C299" s="31">
        <f>(Table26[[#This Row],[M2 Money Stock, Billions of Dollars, Monthly, Seasonally Adjusted]]-B298)/B298</f>
        <v/>
      </c>
      <c r="D299" s="32">
        <f>((1+Table26[[#This Row],[Monthly change]])^12)-1</f>
        <v/>
      </c>
    </row>
    <row r="300">
      <c r="A300" s="34" t="n">
        <v>30498</v>
      </c>
      <c r="B300" s="59">
        <f>VLOOKUP(Table26[[#This Row],[Date]],'DB Money Supply'!$A:$E,5)</f>
        <v/>
      </c>
      <c r="C300" s="31">
        <f>(Table26[[#This Row],[M2 Money Stock, Billions of Dollars, Monthly, Seasonally Adjusted]]-B299)/B299</f>
        <v/>
      </c>
      <c r="D300" s="32">
        <f>((1+Table26[[#This Row],[Monthly change]])^12)-1</f>
        <v/>
      </c>
    </row>
    <row r="301">
      <c r="A301" s="57" t="n">
        <v>30529</v>
      </c>
      <c r="B301" s="59">
        <f>VLOOKUP(Table26[[#This Row],[Date]],'DB Money Supply'!$A:$E,5)</f>
        <v/>
      </c>
      <c r="C301" s="31">
        <f>(Table26[[#This Row],[M2 Money Stock, Billions of Dollars, Monthly, Seasonally Adjusted]]-B300)/B300</f>
        <v/>
      </c>
      <c r="D301" s="32">
        <f>((1+Table26[[#This Row],[Monthly change]])^12)-1</f>
        <v/>
      </c>
    </row>
    <row r="302">
      <c r="A302" s="34" t="n">
        <v>30560</v>
      </c>
      <c r="B302" s="59">
        <f>VLOOKUP(Table26[[#This Row],[Date]],'DB Money Supply'!$A:$E,5)</f>
        <v/>
      </c>
      <c r="C302" s="31">
        <f>(Table26[[#This Row],[M2 Money Stock, Billions of Dollars, Monthly, Seasonally Adjusted]]-B301)/B301</f>
        <v/>
      </c>
      <c r="D302" s="32">
        <f>((1+Table26[[#This Row],[Monthly change]])^12)-1</f>
        <v/>
      </c>
    </row>
    <row r="303">
      <c r="A303" s="57" t="n">
        <v>30590</v>
      </c>
      <c r="B303" s="59">
        <f>VLOOKUP(Table26[[#This Row],[Date]],'DB Money Supply'!$A:$E,5)</f>
        <v/>
      </c>
      <c r="C303" s="31">
        <f>(Table26[[#This Row],[M2 Money Stock, Billions of Dollars, Monthly, Seasonally Adjusted]]-B302)/B302</f>
        <v/>
      </c>
      <c r="D303" s="32">
        <f>((1+Table26[[#This Row],[Monthly change]])^12)-1</f>
        <v/>
      </c>
    </row>
    <row r="304">
      <c r="A304" s="34" t="n">
        <v>30621</v>
      </c>
      <c r="B304" s="59">
        <f>VLOOKUP(Table26[[#This Row],[Date]],'DB Money Supply'!$A:$E,5)</f>
        <v/>
      </c>
      <c r="C304" s="31">
        <f>(Table26[[#This Row],[M2 Money Stock, Billions of Dollars, Monthly, Seasonally Adjusted]]-B303)/B303</f>
        <v/>
      </c>
      <c r="D304" s="32">
        <f>((1+Table26[[#This Row],[Monthly change]])^12)-1</f>
        <v/>
      </c>
    </row>
    <row r="305">
      <c r="A305" s="57" t="n">
        <v>30651</v>
      </c>
      <c r="B305" s="59">
        <f>VLOOKUP(Table26[[#This Row],[Date]],'DB Money Supply'!$A:$E,5)</f>
        <v/>
      </c>
      <c r="C305" s="31">
        <f>(Table26[[#This Row],[M2 Money Stock, Billions of Dollars, Monthly, Seasonally Adjusted]]-B304)/B304</f>
        <v/>
      </c>
      <c r="D305" s="32">
        <f>((1+Table26[[#This Row],[Monthly change]])^12)-1</f>
        <v/>
      </c>
    </row>
    <row r="306">
      <c r="A306" s="34" t="n">
        <v>30682</v>
      </c>
      <c r="B306" s="59">
        <f>VLOOKUP(Table26[[#This Row],[Date]],'DB Money Supply'!$A:$E,5)</f>
        <v/>
      </c>
      <c r="C306" s="31">
        <f>(Table26[[#This Row],[M2 Money Stock, Billions of Dollars, Monthly, Seasonally Adjusted]]-B305)/B305</f>
        <v/>
      </c>
      <c r="D306" s="32">
        <f>((1+Table26[[#This Row],[Monthly change]])^12)-1</f>
        <v/>
      </c>
    </row>
    <row r="307">
      <c r="A307" s="57" t="n">
        <v>30713</v>
      </c>
      <c r="B307" s="59">
        <f>VLOOKUP(Table26[[#This Row],[Date]],'DB Money Supply'!$A:$E,5)</f>
        <v/>
      </c>
      <c r="C307" s="31">
        <f>(Table26[[#This Row],[M2 Money Stock, Billions of Dollars, Monthly, Seasonally Adjusted]]-B306)/B306</f>
        <v/>
      </c>
      <c r="D307" s="32">
        <f>((1+Table26[[#This Row],[Monthly change]])^12)-1</f>
        <v/>
      </c>
    </row>
    <row r="308">
      <c r="A308" s="34" t="n">
        <v>30742</v>
      </c>
      <c r="B308" s="59">
        <f>VLOOKUP(Table26[[#This Row],[Date]],'DB Money Supply'!$A:$E,5)</f>
        <v/>
      </c>
      <c r="C308" s="31">
        <f>(Table26[[#This Row],[M2 Money Stock, Billions of Dollars, Monthly, Seasonally Adjusted]]-B307)/B307</f>
        <v/>
      </c>
      <c r="D308" s="32">
        <f>((1+Table26[[#This Row],[Monthly change]])^12)-1</f>
        <v/>
      </c>
    </row>
    <row r="309">
      <c r="A309" s="57" t="n">
        <v>30773</v>
      </c>
      <c r="B309" s="59">
        <f>VLOOKUP(Table26[[#This Row],[Date]],'DB Money Supply'!$A:$E,5)</f>
        <v/>
      </c>
      <c r="C309" s="31">
        <f>(Table26[[#This Row],[M2 Money Stock, Billions of Dollars, Monthly, Seasonally Adjusted]]-B308)/B308</f>
        <v/>
      </c>
      <c r="D309" s="32">
        <f>((1+Table26[[#This Row],[Monthly change]])^12)-1</f>
        <v/>
      </c>
    </row>
    <row r="310">
      <c r="A310" s="57" t="n">
        <v>30803</v>
      </c>
      <c r="B310" s="59">
        <f>VLOOKUP(Table26[[#This Row],[Date]],'DB Money Supply'!$A:$E,5)</f>
        <v/>
      </c>
      <c r="C310" s="31">
        <f>(Table26[[#This Row],[M2 Money Stock, Billions of Dollars, Monthly, Seasonally Adjusted]]-B309)/B309</f>
        <v/>
      </c>
      <c r="D310" s="32">
        <f>((1+Table26[[#This Row],[Monthly change]])^12)-1</f>
        <v/>
      </c>
    </row>
    <row r="311">
      <c r="A311" s="34" t="n">
        <v>30834</v>
      </c>
      <c r="B311" s="59">
        <f>VLOOKUP(Table26[[#This Row],[Date]],'DB Money Supply'!$A:$E,5)</f>
        <v/>
      </c>
      <c r="C311" s="31">
        <f>(Table26[[#This Row],[M2 Money Stock, Billions of Dollars, Monthly, Seasonally Adjusted]]-B310)/B310</f>
        <v/>
      </c>
      <c r="D311" s="32">
        <f>((1+Table26[[#This Row],[Monthly change]])^12)-1</f>
        <v/>
      </c>
    </row>
    <row r="312">
      <c r="A312" s="57" t="n">
        <v>30864</v>
      </c>
      <c r="B312" s="59">
        <f>VLOOKUP(Table26[[#This Row],[Date]],'DB Money Supply'!$A:$E,5)</f>
        <v/>
      </c>
      <c r="C312" s="31">
        <f>(Table26[[#This Row],[M2 Money Stock, Billions of Dollars, Monthly, Seasonally Adjusted]]-B311)/B311</f>
        <v/>
      </c>
      <c r="D312" s="32">
        <f>((1+Table26[[#This Row],[Monthly change]])^12)-1</f>
        <v/>
      </c>
    </row>
    <row r="313">
      <c r="A313" s="34" t="n">
        <v>30895</v>
      </c>
      <c r="B313" s="59">
        <f>VLOOKUP(Table26[[#This Row],[Date]],'DB Money Supply'!$A:$E,5)</f>
        <v/>
      </c>
      <c r="C313" s="31">
        <f>(Table26[[#This Row],[M2 Money Stock, Billions of Dollars, Monthly, Seasonally Adjusted]]-B312)/B312</f>
        <v/>
      </c>
      <c r="D313" s="32">
        <f>((1+Table26[[#This Row],[Monthly change]])^12)-1</f>
        <v/>
      </c>
    </row>
    <row r="314">
      <c r="A314" s="57" t="n">
        <v>30926</v>
      </c>
      <c r="B314" s="59">
        <f>VLOOKUP(Table26[[#This Row],[Date]],'DB Money Supply'!$A:$E,5)</f>
        <v/>
      </c>
      <c r="C314" s="31">
        <f>(Table26[[#This Row],[M2 Money Stock, Billions of Dollars, Monthly, Seasonally Adjusted]]-B313)/B313</f>
        <v/>
      </c>
      <c r="D314" s="32">
        <f>((1+Table26[[#This Row],[Monthly change]])^12)-1</f>
        <v/>
      </c>
    </row>
    <row r="315">
      <c r="A315" s="34" t="n">
        <v>30956</v>
      </c>
      <c r="B315" s="59">
        <f>VLOOKUP(Table26[[#This Row],[Date]],'DB Money Supply'!$A:$E,5)</f>
        <v/>
      </c>
      <c r="C315" s="31">
        <f>(Table26[[#This Row],[M2 Money Stock, Billions of Dollars, Monthly, Seasonally Adjusted]]-B314)/B314</f>
        <v/>
      </c>
      <c r="D315" s="32">
        <f>((1+Table26[[#This Row],[Monthly change]])^12)-1</f>
        <v/>
      </c>
    </row>
    <row r="316">
      <c r="A316" s="57" t="n">
        <v>30987</v>
      </c>
      <c r="B316" s="59">
        <f>VLOOKUP(Table26[[#This Row],[Date]],'DB Money Supply'!$A:$E,5)</f>
        <v/>
      </c>
      <c r="C316" s="31">
        <f>(Table26[[#This Row],[M2 Money Stock, Billions of Dollars, Monthly, Seasonally Adjusted]]-B315)/B315</f>
        <v/>
      </c>
      <c r="D316" s="32">
        <f>((1+Table26[[#This Row],[Monthly change]])^12)-1</f>
        <v/>
      </c>
    </row>
    <row r="317">
      <c r="A317" s="34" t="n">
        <v>31017</v>
      </c>
      <c r="B317" s="59">
        <f>VLOOKUP(Table26[[#This Row],[Date]],'DB Money Supply'!$A:$E,5)</f>
        <v/>
      </c>
      <c r="C317" s="31">
        <f>(Table26[[#This Row],[M2 Money Stock, Billions of Dollars, Monthly, Seasonally Adjusted]]-B316)/B316</f>
        <v/>
      </c>
      <c r="D317" s="32">
        <f>((1+Table26[[#This Row],[Monthly change]])^12)-1</f>
        <v/>
      </c>
    </row>
    <row r="318">
      <c r="A318" s="57" t="n">
        <v>31048</v>
      </c>
      <c r="B318" s="59">
        <f>VLOOKUP(Table26[[#This Row],[Date]],'DB Money Supply'!$A:$E,5)</f>
        <v/>
      </c>
      <c r="C318" s="31">
        <f>(Table26[[#This Row],[M2 Money Stock, Billions of Dollars, Monthly, Seasonally Adjusted]]-B317)/B317</f>
        <v/>
      </c>
      <c r="D318" s="32">
        <f>((1+Table26[[#This Row],[Monthly change]])^12)-1</f>
        <v/>
      </c>
    </row>
    <row r="319">
      <c r="A319" s="34" t="n">
        <v>31079</v>
      </c>
      <c r="B319" s="59">
        <f>VLOOKUP(Table26[[#This Row],[Date]],'DB Money Supply'!$A:$E,5)</f>
        <v/>
      </c>
      <c r="C319" s="31">
        <f>(Table26[[#This Row],[M2 Money Stock, Billions of Dollars, Monthly, Seasonally Adjusted]]-B318)/B318</f>
        <v/>
      </c>
      <c r="D319" s="32">
        <f>((1+Table26[[#This Row],[Monthly change]])^12)-1</f>
        <v/>
      </c>
    </row>
    <row r="320">
      <c r="A320" s="57" t="n">
        <v>31107</v>
      </c>
      <c r="B320" s="59">
        <f>VLOOKUP(Table26[[#This Row],[Date]],'DB Money Supply'!$A:$E,5)</f>
        <v/>
      </c>
      <c r="C320" s="31">
        <f>(Table26[[#This Row],[M2 Money Stock, Billions of Dollars, Monthly, Seasonally Adjusted]]-B319)/B319</f>
        <v/>
      </c>
      <c r="D320" s="32">
        <f>((1+Table26[[#This Row],[Monthly change]])^12)-1</f>
        <v/>
      </c>
    </row>
    <row r="321">
      <c r="A321" s="34" t="n">
        <v>31138</v>
      </c>
      <c r="B321" s="59">
        <f>VLOOKUP(Table26[[#This Row],[Date]],'DB Money Supply'!$A:$E,5)</f>
        <v/>
      </c>
      <c r="C321" s="31">
        <f>(Table26[[#This Row],[M2 Money Stock, Billions of Dollars, Monthly, Seasonally Adjusted]]-B320)/B320</f>
        <v/>
      </c>
      <c r="D321" s="32">
        <f>((1+Table26[[#This Row],[Monthly change]])^12)-1</f>
        <v/>
      </c>
    </row>
    <row r="322">
      <c r="A322" s="57" t="n">
        <v>31168</v>
      </c>
      <c r="B322" s="59">
        <f>VLOOKUP(Table26[[#This Row],[Date]],'DB Money Supply'!$A:$E,5)</f>
        <v/>
      </c>
      <c r="C322" s="31">
        <f>(Table26[[#This Row],[M2 Money Stock, Billions of Dollars, Monthly, Seasonally Adjusted]]-B321)/B321</f>
        <v/>
      </c>
      <c r="D322" s="32">
        <f>((1+Table26[[#This Row],[Monthly change]])^12)-1</f>
        <v/>
      </c>
    </row>
    <row r="323">
      <c r="A323" s="34" t="n">
        <v>31199</v>
      </c>
      <c r="B323" s="59">
        <f>VLOOKUP(Table26[[#This Row],[Date]],'DB Money Supply'!$A:$E,5)</f>
        <v/>
      </c>
      <c r="C323" s="31">
        <f>(Table26[[#This Row],[M2 Money Stock, Billions of Dollars, Monthly, Seasonally Adjusted]]-B322)/B322</f>
        <v/>
      </c>
      <c r="D323" s="32">
        <f>((1+Table26[[#This Row],[Monthly change]])^12)-1</f>
        <v/>
      </c>
    </row>
    <row r="324">
      <c r="A324" s="57" t="n">
        <v>31229</v>
      </c>
      <c r="B324" s="59">
        <f>VLOOKUP(Table26[[#This Row],[Date]],'DB Money Supply'!$A:$E,5)</f>
        <v/>
      </c>
      <c r="C324" s="31">
        <f>(Table26[[#This Row],[M2 Money Stock, Billions of Dollars, Monthly, Seasonally Adjusted]]-B323)/B323</f>
        <v/>
      </c>
      <c r="D324" s="32">
        <f>((1+Table26[[#This Row],[Monthly change]])^12)-1</f>
        <v/>
      </c>
    </row>
    <row r="325">
      <c r="A325" s="34" t="n">
        <v>31260</v>
      </c>
      <c r="B325" s="59">
        <f>VLOOKUP(Table26[[#This Row],[Date]],'DB Money Supply'!$A:$E,5)</f>
        <v/>
      </c>
      <c r="C325" s="31">
        <f>(Table26[[#This Row],[M2 Money Stock, Billions of Dollars, Monthly, Seasonally Adjusted]]-B324)/B324</f>
        <v/>
      </c>
      <c r="D325" s="32">
        <f>((1+Table26[[#This Row],[Monthly change]])^12)-1</f>
        <v/>
      </c>
    </row>
    <row r="326">
      <c r="A326" s="57" t="n">
        <v>31291</v>
      </c>
      <c r="B326" s="59">
        <f>VLOOKUP(Table26[[#This Row],[Date]],'DB Money Supply'!$A:$E,5)</f>
        <v/>
      </c>
      <c r="C326" s="31">
        <f>(Table26[[#This Row],[M2 Money Stock, Billions of Dollars, Monthly, Seasonally Adjusted]]-B325)/B325</f>
        <v/>
      </c>
      <c r="D326" s="32">
        <f>((1+Table26[[#This Row],[Monthly change]])^12)-1</f>
        <v/>
      </c>
    </row>
    <row r="327">
      <c r="A327" s="34" t="n">
        <v>31321</v>
      </c>
      <c r="B327" s="59">
        <f>VLOOKUP(Table26[[#This Row],[Date]],'DB Money Supply'!$A:$E,5)</f>
        <v/>
      </c>
      <c r="C327" s="31">
        <f>(Table26[[#This Row],[M2 Money Stock, Billions of Dollars, Monthly, Seasonally Adjusted]]-B326)/B326</f>
        <v/>
      </c>
      <c r="D327" s="32">
        <f>((1+Table26[[#This Row],[Monthly change]])^12)-1</f>
        <v/>
      </c>
    </row>
    <row r="328">
      <c r="A328" s="57" t="n">
        <v>31352</v>
      </c>
      <c r="B328" s="59">
        <f>VLOOKUP(Table26[[#This Row],[Date]],'DB Money Supply'!$A:$E,5)</f>
        <v/>
      </c>
      <c r="C328" s="31">
        <f>(Table26[[#This Row],[M2 Money Stock, Billions of Dollars, Monthly, Seasonally Adjusted]]-B327)/B327</f>
        <v/>
      </c>
      <c r="D328" s="32">
        <f>((1+Table26[[#This Row],[Monthly change]])^12)-1</f>
        <v/>
      </c>
    </row>
    <row r="329">
      <c r="A329" s="57" t="n">
        <v>31382</v>
      </c>
      <c r="B329" s="59">
        <f>VLOOKUP(Table26[[#This Row],[Date]],'DB Money Supply'!$A:$E,5)</f>
        <v/>
      </c>
      <c r="C329" s="31">
        <f>(Table26[[#This Row],[M2 Money Stock, Billions of Dollars, Monthly, Seasonally Adjusted]]-B328)/B328</f>
        <v/>
      </c>
      <c r="D329" s="32">
        <f>((1+Table26[[#This Row],[Monthly change]])^12)-1</f>
        <v/>
      </c>
    </row>
    <row r="330">
      <c r="A330" s="34" t="n">
        <v>31413</v>
      </c>
      <c r="B330" s="59">
        <f>VLOOKUP(Table26[[#This Row],[Date]],'DB Money Supply'!$A:$E,5)</f>
        <v/>
      </c>
      <c r="C330" s="31">
        <f>(Table26[[#This Row],[M2 Money Stock, Billions of Dollars, Monthly, Seasonally Adjusted]]-B329)/B329</f>
        <v/>
      </c>
      <c r="D330" s="32">
        <f>((1+Table26[[#This Row],[Monthly change]])^12)-1</f>
        <v/>
      </c>
    </row>
    <row r="331">
      <c r="A331" s="57" t="n">
        <v>31444</v>
      </c>
      <c r="B331" s="59">
        <f>VLOOKUP(Table26[[#This Row],[Date]],'DB Money Supply'!$A:$E,5)</f>
        <v/>
      </c>
      <c r="C331" s="31">
        <f>(Table26[[#This Row],[M2 Money Stock, Billions of Dollars, Monthly, Seasonally Adjusted]]-B330)/B330</f>
        <v/>
      </c>
      <c r="D331" s="32">
        <f>((1+Table26[[#This Row],[Monthly change]])^12)-1</f>
        <v/>
      </c>
    </row>
    <row r="332">
      <c r="A332" s="34" t="n">
        <v>31472</v>
      </c>
      <c r="B332" s="59">
        <f>VLOOKUP(Table26[[#This Row],[Date]],'DB Money Supply'!$A:$E,5)</f>
        <v/>
      </c>
      <c r="C332" s="31">
        <f>(Table26[[#This Row],[M2 Money Stock, Billions of Dollars, Monthly, Seasonally Adjusted]]-B331)/B331</f>
        <v/>
      </c>
      <c r="D332" s="32">
        <f>((1+Table26[[#This Row],[Monthly change]])^12)-1</f>
        <v/>
      </c>
    </row>
    <row r="333">
      <c r="A333" s="57" t="n">
        <v>31503</v>
      </c>
      <c r="B333" s="59">
        <f>VLOOKUP(Table26[[#This Row],[Date]],'DB Money Supply'!$A:$E,5)</f>
        <v/>
      </c>
      <c r="C333" s="31">
        <f>(Table26[[#This Row],[M2 Money Stock, Billions of Dollars, Monthly, Seasonally Adjusted]]-B332)/B332</f>
        <v/>
      </c>
      <c r="D333" s="32">
        <f>((1+Table26[[#This Row],[Monthly change]])^12)-1</f>
        <v/>
      </c>
    </row>
    <row r="334">
      <c r="A334" s="34" t="n">
        <v>31533</v>
      </c>
      <c r="B334" s="59">
        <f>VLOOKUP(Table26[[#This Row],[Date]],'DB Money Supply'!$A:$E,5)</f>
        <v/>
      </c>
      <c r="C334" s="31">
        <f>(Table26[[#This Row],[M2 Money Stock, Billions of Dollars, Monthly, Seasonally Adjusted]]-B333)/B333</f>
        <v/>
      </c>
      <c r="D334" s="32">
        <f>((1+Table26[[#This Row],[Monthly change]])^12)-1</f>
        <v/>
      </c>
    </row>
    <row r="335">
      <c r="A335" s="57" t="n">
        <v>31564</v>
      </c>
      <c r="B335" s="59">
        <f>VLOOKUP(Table26[[#This Row],[Date]],'DB Money Supply'!$A:$E,5)</f>
        <v/>
      </c>
      <c r="C335" s="31">
        <f>(Table26[[#This Row],[M2 Money Stock, Billions of Dollars, Monthly, Seasonally Adjusted]]-B334)/B334</f>
        <v/>
      </c>
      <c r="D335" s="32">
        <f>((1+Table26[[#This Row],[Monthly change]])^12)-1</f>
        <v/>
      </c>
    </row>
    <row r="336">
      <c r="A336" s="34" t="n">
        <v>31594</v>
      </c>
      <c r="B336" s="59">
        <f>VLOOKUP(Table26[[#This Row],[Date]],'DB Money Supply'!$A:$E,5)</f>
        <v/>
      </c>
      <c r="C336" s="31">
        <f>(Table26[[#This Row],[M2 Money Stock, Billions of Dollars, Monthly, Seasonally Adjusted]]-B335)/B335</f>
        <v/>
      </c>
      <c r="D336" s="32">
        <f>((1+Table26[[#This Row],[Monthly change]])^12)-1</f>
        <v/>
      </c>
    </row>
    <row r="337">
      <c r="A337" s="57" t="n">
        <v>31625</v>
      </c>
      <c r="B337" s="59">
        <f>VLOOKUP(Table26[[#This Row],[Date]],'DB Money Supply'!$A:$E,5)</f>
        <v/>
      </c>
      <c r="C337" s="31">
        <f>(Table26[[#This Row],[M2 Money Stock, Billions of Dollars, Monthly, Seasonally Adjusted]]-B336)/B336</f>
        <v/>
      </c>
      <c r="D337" s="32">
        <f>((1+Table26[[#This Row],[Monthly change]])^12)-1</f>
        <v/>
      </c>
    </row>
    <row r="338">
      <c r="A338" s="34" t="n">
        <v>31656</v>
      </c>
      <c r="B338" s="59">
        <f>VLOOKUP(Table26[[#This Row],[Date]],'DB Money Supply'!$A:$E,5)</f>
        <v/>
      </c>
      <c r="C338" s="31">
        <f>(Table26[[#This Row],[M2 Money Stock, Billions of Dollars, Monthly, Seasonally Adjusted]]-B337)/B337</f>
        <v/>
      </c>
      <c r="D338" s="32">
        <f>((1+Table26[[#This Row],[Monthly change]])^12)-1</f>
        <v/>
      </c>
    </row>
    <row r="339">
      <c r="A339" s="57" t="n">
        <v>31686</v>
      </c>
      <c r="B339" s="59">
        <f>VLOOKUP(Table26[[#This Row],[Date]],'DB Money Supply'!$A:$E,5)</f>
        <v/>
      </c>
      <c r="C339" s="31">
        <f>(Table26[[#This Row],[M2 Money Stock, Billions of Dollars, Monthly, Seasonally Adjusted]]-B338)/B338</f>
        <v/>
      </c>
      <c r="D339" s="32">
        <f>((1+Table26[[#This Row],[Monthly change]])^12)-1</f>
        <v/>
      </c>
    </row>
    <row r="340">
      <c r="A340" s="34" t="n">
        <v>31717</v>
      </c>
      <c r="B340" s="59">
        <f>VLOOKUP(Table26[[#This Row],[Date]],'DB Money Supply'!$A:$E,5)</f>
        <v/>
      </c>
      <c r="C340" s="31">
        <f>(Table26[[#This Row],[M2 Money Stock, Billions of Dollars, Monthly, Seasonally Adjusted]]-B339)/B339</f>
        <v/>
      </c>
      <c r="D340" s="32">
        <f>((1+Table26[[#This Row],[Monthly change]])^12)-1</f>
        <v/>
      </c>
    </row>
    <row r="341">
      <c r="A341" s="57" t="n">
        <v>31747</v>
      </c>
      <c r="B341" s="59">
        <f>VLOOKUP(Table26[[#This Row],[Date]],'DB Money Supply'!$A:$E,5)</f>
        <v/>
      </c>
      <c r="C341" s="31">
        <f>(Table26[[#This Row],[M2 Money Stock, Billions of Dollars, Monthly, Seasonally Adjusted]]-B340)/B340</f>
        <v/>
      </c>
      <c r="D341" s="32">
        <f>((1+Table26[[#This Row],[Monthly change]])^12)-1</f>
        <v/>
      </c>
    </row>
    <row r="342">
      <c r="A342" s="34" t="n">
        <v>31778</v>
      </c>
      <c r="B342" s="59">
        <f>VLOOKUP(Table26[[#This Row],[Date]],'DB Money Supply'!$A:$E,5)</f>
        <v/>
      </c>
      <c r="C342" s="31">
        <f>(Table26[[#This Row],[M2 Money Stock, Billions of Dollars, Monthly, Seasonally Adjusted]]-B341)/B341</f>
        <v/>
      </c>
      <c r="D342" s="32">
        <f>((1+Table26[[#This Row],[Monthly change]])^12)-1</f>
        <v/>
      </c>
    </row>
    <row r="343">
      <c r="A343" s="57" t="n">
        <v>31809</v>
      </c>
      <c r="B343" s="59">
        <f>VLOOKUP(Table26[[#This Row],[Date]],'DB Money Supply'!$A:$E,5)</f>
        <v/>
      </c>
      <c r="C343" s="31">
        <f>(Table26[[#This Row],[M2 Money Stock, Billions of Dollars, Monthly, Seasonally Adjusted]]-B342)/B342</f>
        <v/>
      </c>
      <c r="D343" s="32">
        <f>((1+Table26[[#This Row],[Monthly change]])^12)-1</f>
        <v/>
      </c>
    </row>
    <row r="344">
      <c r="A344" s="34" t="n">
        <v>31837</v>
      </c>
      <c r="B344" s="59">
        <f>VLOOKUP(Table26[[#This Row],[Date]],'DB Money Supply'!$A:$E,5)</f>
        <v/>
      </c>
      <c r="C344" s="31">
        <f>(Table26[[#This Row],[M2 Money Stock, Billions of Dollars, Monthly, Seasonally Adjusted]]-B343)/B343</f>
        <v/>
      </c>
      <c r="D344" s="32">
        <f>((1+Table26[[#This Row],[Monthly change]])^12)-1</f>
        <v/>
      </c>
    </row>
    <row r="345">
      <c r="A345" s="57" t="n">
        <v>31868</v>
      </c>
      <c r="B345" s="59">
        <f>VLOOKUP(Table26[[#This Row],[Date]],'DB Money Supply'!$A:$E,5)</f>
        <v/>
      </c>
      <c r="C345" s="31">
        <f>(Table26[[#This Row],[M2 Money Stock, Billions of Dollars, Monthly, Seasonally Adjusted]]-B344)/B344</f>
        <v/>
      </c>
      <c r="D345" s="32">
        <f>((1+Table26[[#This Row],[Monthly change]])^12)-1</f>
        <v/>
      </c>
    </row>
    <row r="346">
      <c r="A346" s="34" t="n">
        <v>31898</v>
      </c>
      <c r="B346" s="59">
        <f>VLOOKUP(Table26[[#This Row],[Date]],'DB Money Supply'!$A:$E,5)</f>
        <v/>
      </c>
      <c r="C346" s="31">
        <f>(Table26[[#This Row],[M2 Money Stock, Billions of Dollars, Monthly, Seasonally Adjusted]]-B345)/B345</f>
        <v/>
      </c>
      <c r="D346" s="32">
        <f>((1+Table26[[#This Row],[Monthly change]])^12)-1</f>
        <v/>
      </c>
    </row>
    <row r="347">
      <c r="A347" s="57" t="n">
        <v>31929</v>
      </c>
      <c r="B347" s="59">
        <f>VLOOKUP(Table26[[#This Row],[Date]],'DB Money Supply'!$A:$E,5)</f>
        <v/>
      </c>
      <c r="C347" s="31">
        <f>(Table26[[#This Row],[M2 Money Stock, Billions of Dollars, Monthly, Seasonally Adjusted]]-B346)/B346</f>
        <v/>
      </c>
      <c r="D347" s="32">
        <f>((1+Table26[[#This Row],[Monthly change]])^12)-1</f>
        <v/>
      </c>
    </row>
    <row r="348">
      <c r="A348" s="57" t="n">
        <v>31959</v>
      </c>
      <c r="B348" s="59">
        <f>VLOOKUP(Table26[[#This Row],[Date]],'DB Money Supply'!$A:$E,5)</f>
        <v/>
      </c>
      <c r="C348" s="31">
        <f>(Table26[[#This Row],[M2 Money Stock, Billions of Dollars, Monthly, Seasonally Adjusted]]-B347)/B347</f>
        <v/>
      </c>
      <c r="D348" s="32">
        <f>((1+Table26[[#This Row],[Monthly change]])^12)-1</f>
        <v/>
      </c>
    </row>
    <row r="349">
      <c r="A349" s="34" t="n">
        <v>31990</v>
      </c>
      <c r="B349" s="59">
        <f>VLOOKUP(Table26[[#This Row],[Date]],'DB Money Supply'!$A:$E,5)</f>
        <v/>
      </c>
      <c r="C349" s="31">
        <f>(Table26[[#This Row],[M2 Money Stock, Billions of Dollars, Monthly, Seasonally Adjusted]]-B348)/B348</f>
        <v/>
      </c>
      <c r="D349" s="32">
        <f>((1+Table26[[#This Row],[Monthly change]])^12)-1</f>
        <v/>
      </c>
    </row>
    <row r="350">
      <c r="A350" s="57" t="n">
        <v>32021</v>
      </c>
      <c r="B350" s="59">
        <f>VLOOKUP(Table26[[#This Row],[Date]],'DB Money Supply'!$A:$E,5)</f>
        <v/>
      </c>
      <c r="C350" s="31">
        <f>(Table26[[#This Row],[M2 Money Stock, Billions of Dollars, Monthly, Seasonally Adjusted]]-B349)/B349</f>
        <v/>
      </c>
      <c r="D350" s="32">
        <f>((1+Table26[[#This Row],[Monthly change]])^12)-1</f>
        <v/>
      </c>
    </row>
    <row r="351">
      <c r="A351" s="34" t="n">
        <v>32051</v>
      </c>
      <c r="B351" s="59">
        <f>VLOOKUP(Table26[[#This Row],[Date]],'DB Money Supply'!$A:$E,5)</f>
        <v/>
      </c>
      <c r="C351" s="31">
        <f>(Table26[[#This Row],[M2 Money Stock, Billions of Dollars, Monthly, Seasonally Adjusted]]-B350)/B350</f>
        <v/>
      </c>
      <c r="D351" s="32">
        <f>((1+Table26[[#This Row],[Monthly change]])^12)-1</f>
        <v/>
      </c>
    </row>
    <row r="352">
      <c r="A352" s="57" t="n">
        <v>32082</v>
      </c>
      <c r="B352" s="59">
        <f>VLOOKUP(Table26[[#This Row],[Date]],'DB Money Supply'!$A:$E,5)</f>
        <v/>
      </c>
      <c r="C352" s="31">
        <f>(Table26[[#This Row],[M2 Money Stock, Billions of Dollars, Monthly, Seasonally Adjusted]]-B351)/B351</f>
        <v/>
      </c>
      <c r="D352" s="32">
        <f>((1+Table26[[#This Row],[Monthly change]])^12)-1</f>
        <v/>
      </c>
    </row>
    <row r="353">
      <c r="A353" s="34" t="n">
        <v>32112</v>
      </c>
      <c r="B353" s="59">
        <f>VLOOKUP(Table26[[#This Row],[Date]],'DB Money Supply'!$A:$E,5)</f>
        <v/>
      </c>
      <c r="C353" s="31">
        <f>(Table26[[#This Row],[M2 Money Stock, Billions of Dollars, Monthly, Seasonally Adjusted]]-B352)/B352</f>
        <v/>
      </c>
      <c r="D353" s="32">
        <f>((1+Table26[[#This Row],[Monthly change]])^12)-1</f>
        <v/>
      </c>
    </row>
    <row r="354">
      <c r="A354" s="57" t="n">
        <v>32143</v>
      </c>
      <c r="B354" s="59">
        <f>VLOOKUP(Table26[[#This Row],[Date]],'DB Money Supply'!$A:$E,5)</f>
        <v/>
      </c>
      <c r="C354" s="31">
        <f>(Table26[[#This Row],[M2 Money Stock, Billions of Dollars, Monthly, Seasonally Adjusted]]-B353)/B353</f>
        <v/>
      </c>
      <c r="D354" s="32">
        <f>((1+Table26[[#This Row],[Monthly change]])^12)-1</f>
        <v/>
      </c>
    </row>
    <row r="355">
      <c r="A355" s="34" t="n">
        <v>32174</v>
      </c>
      <c r="B355" s="59">
        <f>VLOOKUP(Table26[[#This Row],[Date]],'DB Money Supply'!$A:$E,5)</f>
        <v/>
      </c>
      <c r="C355" s="31">
        <f>(Table26[[#This Row],[M2 Money Stock, Billions of Dollars, Monthly, Seasonally Adjusted]]-B354)/B354</f>
        <v/>
      </c>
      <c r="D355" s="32">
        <f>((1+Table26[[#This Row],[Monthly change]])^12)-1</f>
        <v/>
      </c>
    </row>
    <row r="356">
      <c r="A356" s="57" t="n">
        <v>32203</v>
      </c>
      <c r="B356" s="59">
        <f>VLOOKUP(Table26[[#This Row],[Date]],'DB Money Supply'!$A:$E,5)</f>
        <v/>
      </c>
      <c r="C356" s="31">
        <f>(Table26[[#This Row],[M2 Money Stock, Billions of Dollars, Monthly, Seasonally Adjusted]]-B355)/B355</f>
        <v/>
      </c>
      <c r="D356" s="32">
        <f>((1+Table26[[#This Row],[Monthly change]])^12)-1</f>
        <v/>
      </c>
    </row>
    <row r="357">
      <c r="A357" s="34" t="n">
        <v>32234</v>
      </c>
      <c r="B357" s="59">
        <f>VLOOKUP(Table26[[#This Row],[Date]],'DB Money Supply'!$A:$E,5)</f>
        <v/>
      </c>
      <c r="C357" s="31">
        <f>(Table26[[#This Row],[M2 Money Stock, Billions of Dollars, Monthly, Seasonally Adjusted]]-B356)/B356</f>
        <v/>
      </c>
      <c r="D357" s="32">
        <f>((1+Table26[[#This Row],[Monthly change]])^12)-1</f>
        <v/>
      </c>
    </row>
    <row r="358">
      <c r="A358" s="57" t="n">
        <v>32264</v>
      </c>
      <c r="B358" s="59">
        <f>VLOOKUP(Table26[[#This Row],[Date]],'DB Money Supply'!$A:$E,5)</f>
        <v/>
      </c>
      <c r="C358" s="31">
        <f>(Table26[[#This Row],[M2 Money Stock, Billions of Dollars, Monthly, Seasonally Adjusted]]-B357)/B357</f>
        <v/>
      </c>
      <c r="D358" s="32">
        <f>((1+Table26[[#This Row],[Monthly change]])^12)-1</f>
        <v/>
      </c>
    </row>
    <row r="359">
      <c r="A359" s="34" t="n">
        <v>32295</v>
      </c>
      <c r="B359" s="59">
        <f>VLOOKUP(Table26[[#This Row],[Date]],'DB Money Supply'!$A:$E,5)</f>
        <v/>
      </c>
      <c r="C359" s="31">
        <f>(Table26[[#This Row],[M2 Money Stock, Billions of Dollars, Monthly, Seasonally Adjusted]]-B358)/B358</f>
        <v/>
      </c>
      <c r="D359" s="32">
        <f>((1+Table26[[#This Row],[Monthly change]])^12)-1</f>
        <v/>
      </c>
    </row>
    <row r="360">
      <c r="A360" s="57" t="n">
        <v>32325</v>
      </c>
      <c r="B360" s="59">
        <f>VLOOKUP(Table26[[#This Row],[Date]],'DB Money Supply'!$A:$E,5)</f>
        <v/>
      </c>
      <c r="C360" s="31">
        <f>(Table26[[#This Row],[M2 Money Stock, Billions of Dollars, Monthly, Seasonally Adjusted]]-B359)/B359</f>
        <v/>
      </c>
      <c r="D360" s="32">
        <f>((1+Table26[[#This Row],[Monthly change]])^12)-1</f>
        <v/>
      </c>
    </row>
    <row r="361">
      <c r="A361" s="34" t="n">
        <v>32356</v>
      </c>
      <c r="B361" s="59">
        <f>VLOOKUP(Table26[[#This Row],[Date]],'DB Money Supply'!$A:$E,5)</f>
        <v/>
      </c>
      <c r="C361" s="31">
        <f>(Table26[[#This Row],[M2 Money Stock, Billions of Dollars, Monthly, Seasonally Adjusted]]-B360)/B360</f>
        <v/>
      </c>
      <c r="D361" s="32">
        <f>((1+Table26[[#This Row],[Monthly change]])^12)-1</f>
        <v/>
      </c>
    </row>
    <row r="362">
      <c r="A362" s="57" t="n">
        <v>32387</v>
      </c>
      <c r="B362" s="59">
        <f>VLOOKUP(Table26[[#This Row],[Date]],'DB Money Supply'!$A:$E,5)</f>
        <v/>
      </c>
      <c r="C362" s="31">
        <f>(Table26[[#This Row],[M2 Money Stock, Billions of Dollars, Monthly, Seasonally Adjusted]]-B361)/B361</f>
        <v/>
      </c>
      <c r="D362" s="32">
        <f>((1+Table26[[#This Row],[Monthly change]])^12)-1</f>
        <v/>
      </c>
    </row>
    <row r="363">
      <c r="A363" s="34" t="n">
        <v>32417</v>
      </c>
      <c r="B363" s="59">
        <f>VLOOKUP(Table26[[#This Row],[Date]],'DB Money Supply'!$A:$E,5)</f>
        <v/>
      </c>
      <c r="C363" s="31">
        <f>(Table26[[#This Row],[M2 Money Stock, Billions of Dollars, Monthly, Seasonally Adjusted]]-B362)/B362</f>
        <v/>
      </c>
      <c r="D363" s="32">
        <f>((1+Table26[[#This Row],[Monthly change]])^12)-1</f>
        <v/>
      </c>
    </row>
    <row r="364">
      <c r="A364" s="57" t="n">
        <v>32448</v>
      </c>
      <c r="B364" s="59">
        <f>VLOOKUP(Table26[[#This Row],[Date]],'DB Money Supply'!$A:$E,5)</f>
        <v/>
      </c>
      <c r="C364" s="31">
        <f>(Table26[[#This Row],[M2 Money Stock, Billions of Dollars, Monthly, Seasonally Adjusted]]-B363)/B363</f>
        <v/>
      </c>
      <c r="D364" s="32">
        <f>((1+Table26[[#This Row],[Monthly change]])^12)-1</f>
        <v/>
      </c>
    </row>
    <row r="365">
      <c r="A365" s="34" t="n">
        <v>32478</v>
      </c>
      <c r="B365" s="59">
        <f>VLOOKUP(Table26[[#This Row],[Date]],'DB Money Supply'!$A:$E,5)</f>
        <v/>
      </c>
      <c r="C365" s="31">
        <f>(Table26[[#This Row],[M2 Money Stock, Billions of Dollars, Monthly, Seasonally Adjusted]]-B364)/B364</f>
        <v/>
      </c>
      <c r="D365" s="32">
        <f>((1+Table26[[#This Row],[Monthly change]])^12)-1</f>
        <v/>
      </c>
    </row>
    <row r="366">
      <c r="A366" s="57" t="n">
        <v>32509</v>
      </c>
      <c r="B366" s="59">
        <f>VLOOKUP(Table26[[#This Row],[Date]],'DB Money Supply'!$A:$E,5)</f>
        <v/>
      </c>
      <c r="C366" s="31">
        <f>(Table26[[#This Row],[M2 Money Stock, Billions of Dollars, Monthly, Seasonally Adjusted]]-B365)/B365</f>
        <v/>
      </c>
      <c r="D366" s="32">
        <f>((1+Table26[[#This Row],[Monthly change]])^12)-1</f>
        <v/>
      </c>
    </row>
    <row r="367">
      <c r="A367" s="57" t="n">
        <v>32540</v>
      </c>
      <c r="B367" s="59">
        <f>VLOOKUP(Table26[[#This Row],[Date]],'DB Money Supply'!$A:$E,5)</f>
        <v/>
      </c>
      <c r="C367" s="31">
        <f>(Table26[[#This Row],[M2 Money Stock, Billions of Dollars, Monthly, Seasonally Adjusted]]-B366)/B366</f>
        <v/>
      </c>
      <c r="D367" s="32">
        <f>((1+Table26[[#This Row],[Monthly change]])^12)-1</f>
        <v/>
      </c>
    </row>
    <row r="368">
      <c r="A368" s="34" t="n">
        <v>32568</v>
      </c>
      <c r="B368" s="59">
        <f>VLOOKUP(Table26[[#This Row],[Date]],'DB Money Supply'!$A:$E,5)</f>
        <v/>
      </c>
      <c r="C368" s="31">
        <f>(Table26[[#This Row],[M2 Money Stock, Billions of Dollars, Monthly, Seasonally Adjusted]]-B367)/B367</f>
        <v/>
      </c>
      <c r="D368" s="32">
        <f>((1+Table26[[#This Row],[Monthly change]])^12)-1</f>
        <v/>
      </c>
    </row>
    <row r="369">
      <c r="A369" s="57" t="n">
        <v>32599</v>
      </c>
      <c r="B369" s="59">
        <f>VLOOKUP(Table26[[#This Row],[Date]],'DB Money Supply'!$A:$E,5)</f>
        <v/>
      </c>
      <c r="C369" s="31">
        <f>(Table26[[#This Row],[M2 Money Stock, Billions of Dollars, Monthly, Seasonally Adjusted]]-B368)/B368</f>
        <v/>
      </c>
      <c r="D369" s="32">
        <f>((1+Table26[[#This Row],[Monthly change]])^12)-1</f>
        <v/>
      </c>
    </row>
    <row r="370">
      <c r="A370" s="34" t="n">
        <v>32629</v>
      </c>
      <c r="B370" s="59">
        <f>VLOOKUP(Table26[[#This Row],[Date]],'DB Money Supply'!$A:$E,5)</f>
        <v/>
      </c>
      <c r="C370" s="31">
        <f>(Table26[[#This Row],[M2 Money Stock, Billions of Dollars, Monthly, Seasonally Adjusted]]-B369)/B369</f>
        <v/>
      </c>
      <c r="D370" s="32">
        <f>((1+Table26[[#This Row],[Monthly change]])^12)-1</f>
        <v/>
      </c>
    </row>
    <row r="371">
      <c r="A371" s="57" t="n">
        <v>32660</v>
      </c>
      <c r="B371" s="59">
        <f>VLOOKUP(Table26[[#This Row],[Date]],'DB Money Supply'!$A:$E,5)</f>
        <v/>
      </c>
      <c r="C371" s="31">
        <f>(Table26[[#This Row],[M2 Money Stock, Billions of Dollars, Monthly, Seasonally Adjusted]]-B370)/B370</f>
        <v/>
      </c>
      <c r="D371" s="32">
        <f>((1+Table26[[#This Row],[Monthly change]])^12)-1</f>
        <v/>
      </c>
    </row>
    <row r="372">
      <c r="A372" s="34" t="n">
        <v>32690</v>
      </c>
      <c r="B372" s="59">
        <f>VLOOKUP(Table26[[#This Row],[Date]],'DB Money Supply'!$A:$E,5)</f>
        <v/>
      </c>
      <c r="C372" s="31">
        <f>(Table26[[#This Row],[M2 Money Stock, Billions of Dollars, Monthly, Seasonally Adjusted]]-B371)/B371</f>
        <v/>
      </c>
      <c r="D372" s="32">
        <f>((1+Table26[[#This Row],[Monthly change]])^12)-1</f>
        <v/>
      </c>
    </row>
    <row r="373">
      <c r="A373" s="57" t="n">
        <v>32721</v>
      </c>
      <c r="B373" s="59">
        <f>VLOOKUP(Table26[[#This Row],[Date]],'DB Money Supply'!$A:$E,5)</f>
        <v/>
      </c>
      <c r="C373" s="31">
        <f>(Table26[[#This Row],[M2 Money Stock, Billions of Dollars, Monthly, Seasonally Adjusted]]-B372)/B372</f>
        <v/>
      </c>
      <c r="D373" s="32">
        <f>((1+Table26[[#This Row],[Monthly change]])^12)-1</f>
        <v/>
      </c>
    </row>
    <row r="374">
      <c r="A374" s="34" t="n">
        <v>32752</v>
      </c>
      <c r="B374" s="59">
        <f>VLOOKUP(Table26[[#This Row],[Date]],'DB Money Supply'!$A:$E,5)</f>
        <v/>
      </c>
      <c r="C374" s="31">
        <f>(Table26[[#This Row],[M2 Money Stock, Billions of Dollars, Monthly, Seasonally Adjusted]]-B373)/B373</f>
        <v/>
      </c>
      <c r="D374" s="32">
        <f>((1+Table26[[#This Row],[Monthly change]])^12)-1</f>
        <v/>
      </c>
    </row>
    <row r="375">
      <c r="A375" s="57" t="n">
        <v>32782</v>
      </c>
      <c r="B375" s="59">
        <f>VLOOKUP(Table26[[#This Row],[Date]],'DB Money Supply'!$A:$E,5)</f>
        <v/>
      </c>
      <c r="C375" s="31">
        <f>(Table26[[#This Row],[M2 Money Stock, Billions of Dollars, Monthly, Seasonally Adjusted]]-B374)/B374</f>
        <v/>
      </c>
      <c r="D375" s="32">
        <f>((1+Table26[[#This Row],[Monthly change]])^12)-1</f>
        <v/>
      </c>
    </row>
    <row r="376">
      <c r="A376" s="34" t="n">
        <v>32813</v>
      </c>
      <c r="B376" s="59">
        <f>VLOOKUP(Table26[[#This Row],[Date]],'DB Money Supply'!$A:$E,5)</f>
        <v/>
      </c>
      <c r="C376" s="31">
        <f>(Table26[[#This Row],[M2 Money Stock, Billions of Dollars, Monthly, Seasonally Adjusted]]-B375)/B375</f>
        <v/>
      </c>
      <c r="D376" s="32">
        <f>((1+Table26[[#This Row],[Monthly change]])^12)-1</f>
        <v/>
      </c>
    </row>
    <row r="377">
      <c r="A377" s="57" t="n">
        <v>32843</v>
      </c>
      <c r="B377" s="59">
        <f>VLOOKUP(Table26[[#This Row],[Date]],'DB Money Supply'!$A:$E,5)</f>
        <v/>
      </c>
      <c r="C377" s="31">
        <f>(Table26[[#This Row],[M2 Money Stock, Billions of Dollars, Monthly, Seasonally Adjusted]]-B376)/B376</f>
        <v/>
      </c>
      <c r="D377" s="32">
        <f>((1+Table26[[#This Row],[Monthly change]])^12)-1</f>
        <v/>
      </c>
    </row>
    <row r="378">
      <c r="A378" s="34" t="n">
        <v>32874</v>
      </c>
      <c r="B378" s="59">
        <f>VLOOKUP(Table26[[#This Row],[Date]],'DB Money Supply'!$A:$E,5)</f>
        <v/>
      </c>
      <c r="C378" s="31">
        <f>(Table26[[#This Row],[M2 Money Stock, Billions of Dollars, Monthly, Seasonally Adjusted]]-B377)/B377</f>
        <v/>
      </c>
      <c r="D378" s="32">
        <f>((1+Table26[[#This Row],[Monthly change]])^12)-1</f>
        <v/>
      </c>
    </row>
    <row r="379">
      <c r="A379" s="57" t="n">
        <v>32905</v>
      </c>
      <c r="B379" s="59">
        <f>VLOOKUP(Table26[[#This Row],[Date]],'DB Money Supply'!$A:$E,5)</f>
        <v/>
      </c>
      <c r="C379" s="31">
        <f>(Table26[[#This Row],[M2 Money Stock, Billions of Dollars, Monthly, Seasonally Adjusted]]-B378)/B378</f>
        <v/>
      </c>
      <c r="D379" s="32">
        <f>((1+Table26[[#This Row],[Monthly change]])^12)-1</f>
        <v/>
      </c>
    </row>
    <row r="380">
      <c r="A380" s="34" t="n">
        <v>32933</v>
      </c>
      <c r="B380" s="59">
        <f>VLOOKUP(Table26[[#This Row],[Date]],'DB Money Supply'!$A:$E,5)</f>
        <v/>
      </c>
      <c r="C380" s="31">
        <f>(Table26[[#This Row],[M2 Money Stock, Billions of Dollars, Monthly, Seasonally Adjusted]]-B379)/B379</f>
        <v/>
      </c>
      <c r="D380" s="32">
        <f>((1+Table26[[#This Row],[Monthly change]])^12)-1</f>
        <v/>
      </c>
    </row>
    <row r="381">
      <c r="A381" s="57" t="n">
        <v>32964</v>
      </c>
      <c r="B381" s="59">
        <f>VLOOKUP(Table26[[#This Row],[Date]],'DB Money Supply'!$A:$E,5)</f>
        <v/>
      </c>
      <c r="C381" s="31">
        <f>(Table26[[#This Row],[M2 Money Stock, Billions of Dollars, Monthly, Seasonally Adjusted]]-B380)/B380</f>
        <v/>
      </c>
      <c r="D381" s="32">
        <f>((1+Table26[[#This Row],[Monthly change]])^12)-1</f>
        <v/>
      </c>
    </row>
    <row r="382">
      <c r="A382" s="34" t="n">
        <v>32994</v>
      </c>
      <c r="B382" s="59">
        <f>VLOOKUP(Table26[[#This Row],[Date]],'DB Money Supply'!$A:$E,5)</f>
        <v/>
      </c>
      <c r="C382" s="31">
        <f>(Table26[[#This Row],[M2 Money Stock, Billions of Dollars, Monthly, Seasonally Adjusted]]-B381)/B381</f>
        <v/>
      </c>
      <c r="D382" s="32">
        <f>((1+Table26[[#This Row],[Monthly change]])^12)-1</f>
        <v/>
      </c>
    </row>
    <row r="383">
      <c r="A383" s="57" t="n">
        <v>33025</v>
      </c>
      <c r="B383" s="59">
        <f>VLOOKUP(Table26[[#This Row],[Date]],'DB Money Supply'!$A:$E,5)</f>
        <v/>
      </c>
      <c r="C383" s="31">
        <f>(Table26[[#This Row],[M2 Money Stock, Billions of Dollars, Monthly, Seasonally Adjusted]]-B382)/B382</f>
        <v/>
      </c>
      <c r="D383" s="32">
        <f>((1+Table26[[#This Row],[Monthly change]])^12)-1</f>
        <v/>
      </c>
    </row>
    <row r="384">
      <c r="A384" s="34" t="n">
        <v>33055</v>
      </c>
      <c r="B384" s="59">
        <f>VLOOKUP(Table26[[#This Row],[Date]],'DB Money Supply'!$A:$E,5)</f>
        <v/>
      </c>
      <c r="C384" s="31">
        <f>(Table26[[#This Row],[M2 Money Stock, Billions of Dollars, Monthly, Seasonally Adjusted]]-B383)/B383</f>
        <v/>
      </c>
      <c r="D384" s="32">
        <f>((1+Table26[[#This Row],[Monthly change]])^12)-1</f>
        <v/>
      </c>
    </row>
    <row r="385">
      <c r="A385" s="57" t="n">
        <v>33086</v>
      </c>
      <c r="B385" s="59">
        <f>VLOOKUP(Table26[[#This Row],[Date]],'DB Money Supply'!$A:$E,5)</f>
        <v/>
      </c>
      <c r="C385" s="31">
        <f>(Table26[[#This Row],[M2 Money Stock, Billions of Dollars, Monthly, Seasonally Adjusted]]-B384)/B384</f>
        <v/>
      </c>
      <c r="D385" s="32">
        <f>((1+Table26[[#This Row],[Monthly change]])^12)-1</f>
        <v/>
      </c>
    </row>
    <row r="386">
      <c r="A386" s="57" t="n">
        <v>33117</v>
      </c>
      <c r="B386" s="59">
        <f>VLOOKUP(Table26[[#This Row],[Date]],'DB Money Supply'!$A:$E,5)</f>
        <v/>
      </c>
      <c r="C386" s="31">
        <f>(Table26[[#This Row],[M2 Money Stock, Billions of Dollars, Monthly, Seasonally Adjusted]]-B385)/B385</f>
        <v/>
      </c>
      <c r="D386" s="32">
        <f>((1+Table26[[#This Row],[Monthly change]])^12)-1</f>
        <v/>
      </c>
    </row>
    <row r="387">
      <c r="A387" s="34" t="n">
        <v>33147</v>
      </c>
      <c r="B387" s="59">
        <f>VLOOKUP(Table26[[#This Row],[Date]],'DB Money Supply'!$A:$E,5)</f>
        <v/>
      </c>
      <c r="C387" s="31">
        <f>(Table26[[#This Row],[M2 Money Stock, Billions of Dollars, Monthly, Seasonally Adjusted]]-B386)/B386</f>
        <v/>
      </c>
      <c r="D387" s="32">
        <f>((1+Table26[[#This Row],[Monthly change]])^12)-1</f>
        <v/>
      </c>
    </row>
    <row r="388">
      <c r="A388" s="57" t="n">
        <v>33178</v>
      </c>
      <c r="B388" s="59">
        <f>VLOOKUP(Table26[[#This Row],[Date]],'DB Money Supply'!$A:$E,5)</f>
        <v/>
      </c>
      <c r="C388" s="31">
        <f>(Table26[[#This Row],[M2 Money Stock, Billions of Dollars, Monthly, Seasonally Adjusted]]-B387)/B387</f>
        <v/>
      </c>
      <c r="D388" s="32">
        <f>((1+Table26[[#This Row],[Monthly change]])^12)-1</f>
        <v/>
      </c>
    </row>
    <row r="389">
      <c r="A389" s="34" t="n">
        <v>33208</v>
      </c>
      <c r="B389" s="59">
        <f>VLOOKUP(Table26[[#This Row],[Date]],'DB Money Supply'!$A:$E,5)</f>
        <v/>
      </c>
      <c r="C389" s="31">
        <f>(Table26[[#This Row],[M2 Money Stock, Billions of Dollars, Monthly, Seasonally Adjusted]]-B388)/B388</f>
        <v/>
      </c>
      <c r="D389" s="32">
        <f>((1+Table26[[#This Row],[Monthly change]])^12)-1</f>
        <v/>
      </c>
    </row>
    <row r="390">
      <c r="A390" s="57" t="n">
        <v>33239</v>
      </c>
      <c r="B390" s="59">
        <f>VLOOKUP(Table26[[#This Row],[Date]],'DB Money Supply'!$A:$E,5)</f>
        <v/>
      </c>
      <c r="C390" s="31">
        <f>(Table26[[#This Row],[M2 Money Stock, Billions of Dollars, Monthly, Seasonally Adjusted]]-B389)/B389</f>
        <v/>
      </c>
      <c r="D390" s="32">
        <f>((1+Table26[[#This Row],[Monthly change]])^12)-1</f>
        <v/>
      </c>
    </row>
    <row r="391">
      <c r="A391" s="34" t="n">
        <v>33270</v>
      </c>
      <c r="B391" s="59">
        <f>VLOOKUP(Table26[[#This Row],[Date]],'DB Money Supply'!$A:$E,5)</f>
        <v/>
      </c>
      <c r="C391" s="31">
        <f>(Table26[[#This Row],[M2 Money Stock, Billions of Dollars, Monthly, Seasonally Adjusted]]-B390)/B390</f>
        <v/>
      </c>
      <c r="D391" s="32">
        <f>((1+Table26[[#This Row],[Monthly change]])^12)-1</f>
        <v/>
      </c>
    </row>
    <row r="392">
      <c r="A392" s="57" t="n">
        <v>33298</v>
      </c>
      <c r="B392" s="59">
        <f>VLOOKUP(Table26[[#This Row],[Date]],'DB Money Supply'!$A:$E,5)</f>
        <v/>
      </c>
      <c r="C392" s="31">
        <f>(Table26[[#This Row],[M2 Money Stock, Billions of Dollars, Monthly, Seasonally Adjusted]]-B391)/B391</f>
        <v/>
      </c>
      <c r="D392" s="32">
        <f>((1+Table26[[#This Row],[Monthly change]])^12)-1</f>
        <v/>
      </c>
    </row>
    <row r="393">
      <c r="A393" s="34" t="n">
        <v>33329</v>
      </c>
      <c r="B393" s="59">
        <f>VLOOKUP(Table26[[#This Row],[Date]],'DB Money Supply'!$A:$E,5)</f>
        <v/>
      </c>
      <c r="C393" s="31">
        <f>(Table26[[#This Row],[M2 Money Stock, Billions of Dollars, Monthly, Seasonally Adjusted]]-B392)/B392</f>
        <v/>
      </c>
      <c r="D393" s="32">
        <f>((1+Table26[[#This Row],[Monthly change]])^12)-1</f>
        <v/>
      </c>
    </row>
    <row r="394">
      <c r="A394" s="57" t="n">
        <v>33359</v>
      </c>
      <c r="B394" s="59">
        <f>VLOOKUP(Table26[[#This Row],[Date]],'DB Money Supply'!$A:$E,5)</f>
        <v/>
      </c>
      <c r="C394" s="31">
        <f>(Table26[[#This Row],[M2 Money Stock, Billions of Dollars, Monthly, Seasonally Adjusted]]-B393)/B393</f>
        <v/>
      </c>
      <c r="D394" s="32">
        <f>((1+Table26[[#This Row],[Monthly change]])^12)-1</f>
        <v/>
      </c>
    </row>
    <row r="395">
      <c r="A395" s="34" t="n">
        <v>33390</v>
      </c>
      <c r="B395" s="59">
        <f>VLOOKUP(Table26[[#This Row],[Date]],'DB Money Supply'!$A:$E,5)</f>
        <v/>
      </c>
      <c r="C395" s="31">
        <f>(Table26[[#This Row],[M2 Money Stock, Billions of Dollars, Monthly, Seasonally Adjusted]]-B394)/B394</f>
        <v/>
      </c>
      <c r="D395" s="32">
        <f>((1+Table26[[#This Row],[Monthly change]])^12)-1</f>
        <v/>
      </c>
    </row>
    <row r="396">
      <c r="A396" s="57" t="n">
        <v>33420</v>
      </c>
      <c r="B396" s="59">
        <f>VLOOKUP(Table26[[#This Row],[Date]],'DB Money Supply'!$A:$E,5)</f>
        <v/>
      </c>
      <c r="C396" s="31">
        <f>(Table26[[#This Row],[M2 Money Stock, Billions of Dollars, Monthly, Seasonally Adjusted]]-B395)/B395</f>
        <v/>
      </c>
      <c r="D396" s="32">
        <f>((1+Table26[[#This Row],[Monthly change]])^12)-1</f>
        <v/>
      </c>
    </row>
    <row r="397">
      <c r="A397" s="34" t="n">
        <v>33451</v>
      </c>
      <c r="B397" s="59">
        <f>VLOOKUP(Table26[[#This Row],[Date]],'DB Money Supply'!$A:$E,5)</f>
        <v/>
      </c>
      <c r="C397" s="31">
        <f>(Table26[[#This Row],[M2 Money Stock, Billions of Dollars, Monthly, Seasonally Adjusted]]-B396)/B396</f>
        <v/>
      </c>
      <c r="D397" s="32">
        <f>((1+Table26[[#This Row],[Monthly change]])^12)-1</f>
        <v/>
      </c>
    </row>
    <row r="398">
      <c r="A398" s="57" t="n">
        <v>33482</v>
      </c>
      <c r="B398" s="59">
        <f>VLOOKUP(Table26[[#This Row],[Date]],'DB Money Supply'!$A:$E,5)</f>
        <v/>
      </c>
      <c r="C398" s="31">
        <f>(Table26[[#This Row],[M2 Money Stock, Billions of Dollars, Monthly, Seasonally Adjusted]]-B397)/B397</f>
        <v/>
      </c>
      <c r="D398" s="32">
        <f>((1+Table26[[#This Row],[Monthly change]])^12)-1</f>
        <v/>
      </c>
    </row>
    <row r="399">
      <c r="A399" s="34" t="n">
        <v>33512</v>
      </c>
      <c r="B399" s="59">
        <f>VLOOKUP(Table26[[#This Row],[Date]],'DB Money Supply'!$A:$E,5)</f>
        <v/>
      </c>
      <c r="C399" s="31">
        <f>(Table26[[#This Row],[M2 Money Stock, Billions of Dollars, Monthly, Seasonally Adjusted]]-B398)/B398</f>
        <v/>
      </c>
      <c r="D399" s="32">
        <f>((1+Table26[[#This Row],[Monthly change]])^12)-1</f>
        <v/>
      </c>
    </row>
    <row r="400">
      <c r="A400" s="57" t="n">
        <v>33543</v>
      </c>
      <c r="B400" s="59">
        <f>VLOOKUP(Table26[[#This Row],[Date]],'DB Money Supply'!$A:$E,5)</f>
        <v/>
      </c>
      <c r="C400" s="31">
        <f>(Table26[[#This Row],[M2 Money Stock, Billions of Dollars, Monthly, Seasonally Adjusted]]-B399)/B399</f>
        <v/>
      </c>
      <c r="D400" s="32">
        <f>((1+Table26[[#This Row],[Monthly change]])^12)-1</f>
        <v/>
      </c>
    </row>
    <row r="401">
      <c r="A401" s="34" t="n">
        <v>33573</v>
      </c>
      <c r="B401" s="59">
        <f>VLOOKUP(Table26[[#This Row],[Date]],'DB Money Supply'!$A:$E,5)</f>
        <v/>
      </c>
      <c r="C401" s="31">
        <f>(Table26[[#This Row],[M2 Money Stock, Billions of Dollars, Monthly, Seasonally Adjusted]]-B400)/B400</f>
        <v/>
      </c>
      <c r="D401" s="32">
        <f>((1+Table26[[#This Row],[Monthly change]])^12)-1</f>
        <v/>
      </c>
    </row>
    <row r="402">
      <c r="A402" s="57" t="n">
        <v>33604</v>
      </c>
      <c r="B402" s="59">
        <f>VLOOKUP(Table26[[#This Row],[Date]],'DB Money Supply'!$A:$E,5)</f>
        <v/>
      </c>
      <c r="C402" s="31">
        <f>(Table26[[#This Row],[M2 Money Stock, Billions of Dollars, Monthly, Seasonally Adjusted]]-B401)/B401</f>
        <v/>
      </c>
      <c r="D402" s="32">
        <f>((1+Table26[[#This Row],[Monthly change]])^12)-1</f>
        <v/>
      </c>
    </row>
    <row r="403">
      <c r="A403" s="34" t="n">
        <v>33635</v>
      </c>
      <c r="B403" s="59">
        <f>VLOOKUP(Table26[[#This Row],[Date]],'DB Money Supply'!$A:$E,5)</f>
        <v/>
      </c>
      <c r="C403" s="31">
        <f>(Table26[[#This Row],[M2 Money Stock, Billions of Dollars, Monthly, Seasonally Adjusted]]-B402)/B402</f>
        <v/>
      </c>
      <c r="D403" s="32">
        <f>((1+Table26[[#This Row],[Monthly change]])^12)-1</f>
        <v/>
      </c>
    </row>
    <row r="404">
      <c r="A404" s="57" t="n">
        <v>33664</v>
      </c>
      <c r="B404" s="59">
        <f>VLOOKUP(Table26[[#This Row],[Date]],'DB Money Supply'!$A:$E,5)</f>
        <v/>
      </c>
      <c r="C404" s="31">
        <f>(Table26[[#This Row],[M2 Money Stock, Billions of Dollars, Monthly, Seasonally Adjusted]]-B403)/B403</f>
        <v/>
      </c>
      <c r="D404" s="32">
        <f>((1+Table26[[#This Row],[Monthly change]])^12)-1</f>
        <v/>
      </c>
    </row>
    <row r="405">
      <c r="A405" s="57" t="n">
        <v>33695</v>
      </c>
      <c r="B405" s="59">
        <f>VLOOKUP(Table26[[#This Row],[Date]],'DB Money Supply'!$A:$E,5)</f>
        <v/>
      </c>
      <c r="C405" s="31">
        <f>(Table26[[#This Row],[M2 Money Stock, Billions of Dollars, Monthly, Seasonally Adjusted]]-B404)/B404</f>
        <v/>
      </c>
      <c r="D405" s="32">
        <f>((1+Table26[[#This Row],[Monthly change]])^12)-1</f>
        <v/>
      </c>
    </row>
    <row r="406">
      <c r="A406" s="34" t="n">
        <v>33725</v>
      </c>
      <c r="B406" s="59">
        <f>VLOOKUP(Table26[[#This Row],[Date]],'DB Money Supply'!$A:$E,5)</f>
        <v/>
      </c>
      <c r="C406" s="31">
        <f>(Table26[[#This Row],[M2 Money Stock, Billions of Dollars, Monthly, Seasonally Adjusted]]-B405)/B405</f>
        <v/>
      </c>
      <c r="D406" s="32">
        <f>((1+Table26[[#This Row],[Monthly change]])^12)-1</f>
        <v/>
      </c>
    </row>
    <row r="407">
      <c r="A407" s="57" t="n">
        <v>33756</v>
      </c>
      <c r="B407" s="59">
        <f>VLOOKUP(Table26[[#This Row],[Date]],'DB Money Supply'!$A:$E,5)</f>
        <v/>
      </c>
      <c r="C407" s="31">
        <f>(Table26[[#This Row],[M2 Money Stock, Billions of Dollars, Monthly, Seasonally Adjusted]]-B406)/B406</f>
        <v/>
      </c>
      <c r="D407" s="32">
        <f>((1+Table26[[#This Row],[Monthly change]])^12)-1</f>
        <v/>
      </c>
    </row>
    <row r="408">
      <c r="A408" s="34" t="n">
        <v>33786</v>
      </c>
      <c r="B408" s="59">
        <f>VLOOKUP(Table26[[#This Row],[Date]],'DB Money Supply'!$A:$E,5)</f>
        <v/>
      </c>
      <c r="C408" s="31">
        <f>(Table26[[#This Row],[M2 Money Stock, Billions of Dollars, Monthly, Seasonally Adjusted]]-B407)/B407</f>
        <v/>
      </c>
      <c r="D408" s="32">
        <f>((1+Table26[[#This Row],[Monthly change]])^12)-1</f>
        <v/>
      </c>
    </row>
    <row r="409">
      <c r="A409" s="57" t="n">
        <v>33817</v>
      </c>
      <c r="B409" s="59">
        <f>VLOOKUP(Table26[[#This Row],[Date]],'DB Money Supply'!$A:$E,5)</f>
        <v/>
      </c>
      <c r="C409" s="31">
        <f>(Table26[[#This Row],[M2 Money Stock, Billions of Dollars, Monthly, Seasonally Adjusted]]-B408)/B408</f>
        <v/>
      </c>
      <c r="D409" s="32">
        <f>((1+Table26[[#This Row],[Monthly change]])^12)-1</f>
        <v/>
      </c>
    </row>
    <row r="410">
      <c r="A410" s="34" t="n">
        <v>33848</v>
      </c>
      <c r="B410" s="59">
        <f>VLOOKUP(Table26[[#This Row],[Date]],'DB Money Supply'!$A:$E,5)</f>
        <v/>
      </c>
      <c r="C410" s="31">
        <f>(Table26[[#This Row],[M2 Money Stock, Billions of Dollars, Monthly, Seasonally Adjusted]]-B409)/B409</f>
        <v/>
      </c>
      <c r="D410" s="32">
        <f>((1+Table26[[#This Row],[Monthly change]])^12)-1</f>
        <v/>
      </c>
    </row>
    <row r="411">
      <c r="A411" s="57" t="n">
        <v>33878</v>
      </c>
      <c r="B411" s="59">
        <f>VLOOKUP(Table26[[#This Row],[Date]],'DB Money Supply'!$A:$E,5)</f>
        <v/>
      </c>
      <c r="C411" s="31">
        <f>(Table26[[#This Row],[M2 Money Stock, Billions of Dollars, Monthly, Seasonally Adjusted]]-B410)/B410</f>
        <v/>
      </c>
      <c r="D411" s="32">
        <f>((1+Table26[[#This Row],[Monthly change]])^12)-1</f>
        <v/>
      </c>
    </row>
    <row r="412">
      <c r="A412" s="34" t="n">
        <v>33909</v>
      </c>
      <c r="B412" s="59">
        <f>VLOOKUP(Table26[[#This Row],[Date]],'DB Money Supply'!$A:$E,5)</f>
        <v/>
      </c>
      <c r="C412" s="31">
        <f>(Table26[[#This Row],[M2 Money Stock, Billions of Dollars, Monthly, Seasonally Adjusted]]-B411)/B411</f>
        <v/>
      </c>
      <c r="D412" s="32">
        <f>((1+Table26[[#This Row],[Monthly change]])^12)-1</f>
        <v/>
      </c>
    </row>
    <row r="413">
      <c r="A413" s="57" t="n">
        <v>33939</v>
      </c>
      <c r="B413" s="59">
        <f>VLOOKUP(Table26[[#This Row],[Date]],'DB Money Supply'!$A:$E,5)</f>
        <v/>
      </c>
      <c r="C413" s="31">
        <f>(Table26[[#This Row],[M2 Money Stock, Billions of Dollars, Monthly, Seasonally Adjusted]]-B412)/B412</f>
        <v/>
      </c>
      <c r="D413" s="32">
        <f>((1+Table26[[#This Row],[Monthly change]])^12)-1</f>
        <v/>
      </c>
    </row>
    <row r="414">
      <c r="A414" s="34" t="n">
        <v>33970</v>
      </c>
      <c r="B414" s="59">
        <f>VLOOKUP(Table26[[#This Row],[Date]],'DB Money Supply'!$A:$E,5)</f>
        <v/>
      </c>
      <c r="C414" s="31">
        <f>(Table26[[#This Row],[M2 Money Stock, Billions of Dollars, Monthly, Seasonally Adjusted]]-B413)/B413</f>
        <v/>
      </c>
      <c r="D414" s="32">
        <f>((1+Table26[[#This Row],[Monthly change]])^12)-1</f>
        <v/>
      </c>
    </row>
    <row r="415">
      <c r="A415" s="57" t="n">
        <v>34001</v>
      </c>
      <c r="B415" s="59">
        <f>VLOOKUP(Table26[[#This Row],[Date]],'DB Money Supply'!$A:$E,5)</f>
        <v/>
      </c>
      <c r="C415" s="31">
        <f>(Table26[[#This Row],[M2 Money Stock, Billions of Dollars, Monthly, Seasonally Adjusted]]-B414)/B414</f>
        <v/>
      </c>
      <c r="D415" s="32">
        <f>((1+Table26[[#This Row],[Monthly change]])^12)-1</f>
        <v/>
      </c>
    </row>
    <row r="416">
      <c r="A416" s="34" t="n">
        <v>34029</v>
      </c>
      <c r="B416" s="59">
        <f>VLOOKUP(Table26[[#This Row],[Date]],'DB Money Supply'!$A:$E,5)</f>
        <v/>
      </c>
      <c r="C416" s="31">
        <f>(Table26[[#This Row],[M2 Money Stock, Billions of Dollars, Monthly, Seasonally Adjusted]]-B415)/B415</f>
        <v/>
      </c>
      <c r="D416" s="32">
        <f>((1+Table26[[#This Row],[Monthly change]])^12)-1</f>
        <v/>
      </c>
    </row>
    <row r="417">
      <c r="A417" s="57" t="n">
        <v>34060</v>
      </c>
      <c r="B417" s="59">
        <f>VLOOKUP(Table26[[#This Row],[Date]],'DB Money Supply'!$A:$E,5)</f>
        <v/>
      </c>
      <c r="C417" s="31">
        <f>(Table26[[#This Row],[M2 Money Stock, Billions of Dollars, Monthly, Seasonally Adjusted]]-B416)/B416</f>
        <v/>
      </c>
      <c r="D417" s="32">
        <f>((1+Table26[[#This Row],[Monthly change]])^12)-1</f>
        <v/>
      </c>
    </row>
    <row r="418">
      <c r="A418" s="34" t="n">
        <v>34090</v>
      </c>
      <c r="B418" s="59">
        <f>VLOOKUP(Table26[[#This Row],[Date]],'DB Money Supply'!$A:$E,5)</f>
        <v/>
      </c>
      <c r="C418" s="31">
        <f>(Table26[[#This Row],[M2 Money Stock, Billions of Dollars, Monthly, Seasonally Adjusted]]-B417)/B417</f>
        <v/>
      </c>
      <c r="D418" s="32">
        <f>((1+Table26[[#This Row],[Monthly change]])^12)-1</f>
        <v/>
      </c>
    </row>
    <row r="419">
      <c r="A419" s="57" t="n">
        <v>34121</v>
      </c>
      <c r="B419" s="59">
        <f>VLOOKUP(Table26[[#This Row],[Date]],'DB Money Supply'!$A:$E,5)</f>
        <v/>
      </c>
      <c r="C419" s="31">
        <f>(Table26[[#This Row],[M2 Money Stock, Billions of Dollars, Monthly, Seasonally Adjusted]]-B418)/B418</f>
        <v/>
      </c>
      <c r="D419" s="32">
        <f>((1+Table26[[#This Row],[Monthly change]])^12)-1</f>
        <v/>
      </c>
    </row>
    <row r="420">
      <c r="A420" s="34" t="n">
        <v>34151</v>
      </c>
      <c r="B420" s="59">
        <f>VLOOKUP(Table26[[#This Row],[Date]],'DB Money Supply'!$A:$E,5)</f>
        <v/>
      </c>
      <c r="C420" s="31">
        <f>(Table26[[#This Row],[M2 Money Stock, Billions of Dollars, Monthly, Seasonally Adjusted]]-B419)/B419</f>
        <v/>
      </c>
      <c r="D420" s="32">
        <f>((1+Table26[[#This Row],[Monthly change]])^12)-1</f>
        <v/>
      </c>
    </row>
    <row r="421">
      <c r="A421" s="57" t="n">
        <v>34182</v>
      </c>
      <c r="B421" s="59">
        <f>VLOOKUP(Table26[[#This Row],[Date]],'DB Money Supply'!$A:$E,5)</f>
        <v/>
      </c>
      <c r="C421" s="31">
        <f>(Table26[[#This Row],[M2 Money Stock, Billions of Dollars, Monthly, Seasonally Adjusted]]-B420)/B420</f>
        <v/>
      </c>
      <c r="D421" s="32">
        <f>((1+Table26[[#This Row],[Monthly change]])^12)-1</f>
        <v/>
      </c>
    </row>
    <row r="422">
      <c r="A422" s="34" t="n">
        <v>34213</v>
      </c>
      <c r="B422" s="59">
        <f>VLOOKUP(Table26[[#This Row],[Date]],'DB Money Supply'!$A:$E,5)</f>
        <v/>
      </c>
      <c r="C422" s="31">
        <f>(Table26[[#This Row],[M2 Money Stock, Billions of Dollars, Monthly, Seasonally Adjusted]]-B421)/B421</f>
        <v/>
      </c>
      <c r="D422" s="32">
        <f>((1+Table26[[#This Row],[Monthly change]])^12)-1</f>
        <v/>
      </c>
    </row>
    <row r="423">
      <c r="A423" s="57" t="n">
        <v>34243</v>
      </c>
      <c r="B423" s="59">
        <f>VLOOKUP(Table26[[#This Row],[Date]],'DB Money Supply'!$A:$E,5)</f>
        <v/>
      </c>
      <c r="C423" s="31">
        <f>(Table26[[#This Row],[M2 Money Stock, Billions of Dollars, Monthly, Seasonally Adjusted]]-B422)/B422</f>
        <v/>
      </c>
      <c r="D423" s="32">
        <f>((1+Table26[[#This Row],[Monthly change]])^12)-1</f>
        <v/>
      </c>
    </row>
    <row r="424">
      <c r="A424" s="57" t="n">
        <v>34274</v>
      </c>
      <c r="B424" s="59">
        <f>VLOOKUP(Table26[[#This Row],[Date]],'DB Money Supply'!$A:$E,5)</f>
        <v/>
      </c>
      <c r="C424" s="31">
        <f>(Table26[[#This Row],[M2 Money Stock, Billions of Dollars, Monthly, Seasonally Adjusted]]-B423)/B423</f>
        <v/>
      </c>
      <c r="D424" s="32">
        <f>((1+Table26[[#This Row],[Monthly change]])^12)-1</f>
        <v/>
      </c>
    </row>
    <row r="425">
      <c r="A425" s="34" t="n">
        <v>34304</v>
      </c>
      <c r="B425" s="59">
        <f>VLOOKUP(Table26[[#This Row],[Date]],'DB Money Supply'!$A:$E,5)</f>
        <v/>
      </c>
      <c r="C425" s="31">
        <f>(Table26[[#This Row],[M2 Money Stock, Billions of Dollars, Monthly, Seasonally Adjusted]]-B424)/B424</f>
        <v/>
      </c>
      <c r="D425" s="32">
        <f>((1+Table26[[#This Row],[Monthly change]])^12)-1</f>
        <v/>
      </c>
    </row>
    <row r="426">
      <c r="A426" s="57" t="n">
        <v>34335</v>
      </c>
      <c r="B426" s="59">
        <f>VLOOKUP(Table26[[#This Row],[Date]],'DB Money Supply'!$A:$E,5)</f>
        <v/>
      </c>
      <c r="C426" s="31">
        <f>(Table26[[#This Row],[M2 Money Stock, Billions of Dollars, Monthly, Seasonally Adjusted]]-B425)/B425</f>
        <v/>
      </c>
      <c r="D426" s="32">
        <f>((1+Table26[[#This Row],[Monthly change]])^12)-1</f>
        <v/>
      </c>
    </row>
    <row r="427">
      <c r="A427" s="34" t="n">
        <v>34366</v>
      </c>
      <c r="B427" s="59">
        <f>VLOOKUP(Table26[[#This Row],[Date]],'DB Money Supply'!$A:$E,5)</f>
        <v/>
      </c>
      <c r="C427" s="31">
        <f>(Table26[[#This Row],[M2 Money Stock, Billions of Dollars, Monthly, Seasonally Adjusted]]-B426)/B426</f>
        <v/>
      </c>
      <c r="D427" s="32">
        <f>((1+Table26[[#This Row],[Monthly change]])^12)-1</f>
        <v/>
      </c>
    </row>
    <row r="428">
      <c r="A428" s="57" t="n">
        <v>34394</v>
      </c>
      <c r="B428" s="59">
        <f>VLOOKUP(Table26[[#This Row],[Date]],'DB Money Supply'!$A:$E,5)</f>
        <v/>
      </c>
      <c r="C428" s="31">
        <f>(Table26[[#This Row],[M2 Money Stock, Billions of Dollars, Monthly, Seasonally Adjusted]]-B427)/B427</f>
        <v/>
      </c>
      <c r="D428" s="32">
        <f>((1+Table26[[#This Row],[Monthly change]])^12)-1</f>
        <v/>
      </c>
    </row>
    <row r="429">
      <c r="A429" s="34" t="n">
        <v>34425</v>
      </c>
      <c r="B429" s="59">
        <f>VLOOKUP(Table26[[#This Row],[Date]],'DB Money Supply'!$A:$E,5)</f>
        <v/>
      </c>
      <c r="C429" s="31">
        <f>(Table26[[#This Row],[M2 Money Stock, Billions of Dollars, Monthly, Seasonally Adjusted]]-B428)/B428</f>
        <v/>
      </c>
      <c r="D429" s="32">
        <f>((1+Table26[[#This Row],[Monthly change]])^12)-1</f>
        <v/>
      </c>
    </row>
    <row r="430">
      <c r="A430" s="57" t="n">
        <v>34455</v>
      </c>
      <c r="B430" s="59">
        <f>VLOOKUP(Table26[[#This Row],[Date]],'DB Money Supply'!$A:$E,5)</f>
        <v/>
      </c>
      <c r="C430" s="31">
        <f>(Table26[[#This Row],[M2 Money Stock, Billions of Dollars, Monthly, Seasonally Adjusted]]-B429)/B429</f>
        <v/>
      </c>
      <c r="D430" s="32">
        <f>((1+Table26[[#This Row],[Monthly change]])^12)-1</f>
        <v/>
      </c>
    </row>
    <row r="431">
      <c r="A431" s="34" t="n">
        <v>34486</v>
      </c>
      <c r="B431" s="59">
        <f>VLOOKUP(Table26[[#This Row],[Date]],'DB Money Supply'!$A:$E,5)</f>
        <v/>
      </c>
      <c r="C431" s="31">
        <f>(Table26[[#This Row],[M2 Money Stock, Billions of Dollars, Monthly, Seasonally Adjusted]]-B430)/B430</f>
        <v/>
      </c>
      <c r="D431" s="32">
        <f>((1+Table26[[#This Row],[Monthly change]])^12)-1</f>
        <v/>
      </c>
    </row>
    <row r="432">
      <c r="A432" s="57" t="n">
        <v>34516</v>
      </c>
      <c r="B432" s="59">
        <f>VLOOKUP(Table26[[#This Row],[Date]],'DB Money Supply'!$A:$E,5)</f>
        <v/>
      </c>
      <c r="C432" s="31">
        <f>(Table26[[#This Row],[M2 Money Stock, Billions of Dollars, Monthly, Seasonally Adjusted]]-B431)/B431</f>
        <v/>
      </c>
      <c r="D432" s="32">
        <f>((1+Table26[[#This Row],[Monthly change]])^12)-1</f>
        <v/>
      </c>
    </row>
    <row r="433">
      <c r="A433" s="34" t="n">
        <v>34547</v>
      </c>
      <c r="B433" s="59">
        <f>VLOOKUP(Table26[[#This Row],[Date]],'DB Money Supply'!$A:$E,5)</f>
        <v/>
      </c>
      <c r="C433" s="31">
        <f>(Table26[[#This Row],[M2 Money Stock, Billions of Dollars, Monthly, Seasonally Adjusted]]-B432)/B432</f>
        <v/>
      </c>
      <c r="D433" s="32">
        <f>((1+Table26[[#This Row],[Monthly change]])^12)-1</f>
        <v/>
      </c>
    </row>
    <row r="434">
      <c r="A434" s="57" t="n">
        <v>34578</v>
      </c>
      <c r="B434" s="59">
        <f>VLOOKUP(Table26[[#This Row],[Date]],'DB Money Supply'!$A:$E,5)</f>
        <v/>
      </c>
      <c r="C434" s="31">
        <f>(Table26[[#This Row],[M2 Money Stock, Billions of Dollars, Monthly, Seasonally Adjusted]]-B433)/B433</f>
        <v/>
      </c>
      <c r="D434" s="32">
        <f>((1+Table26[[#This Row],[Monthly change]])^12)-1</f>
        <v/>
      </c>
    </row>
    <row r="435">
      <c r="A435" s="34" t="n">
        <v>34608</v>
      </c>
      <c r="B435" s="59">
        <f>VLOOKUP(Table26[[#This Row],[Date]],'DB Money Supply'!$A:$E,5)</f>
        <v/>
      </c>
      <c r="C435" s="31">
        <f>(Table26[[#This Row],[M2 Money Stock, Billions of Dollars, Monthly, Seasonally Adjusted]]-B434)/B434</f>
        <v/>
      </c>
      <c r="D435" s="32">
        <f>((1+Table26[[#This Row],[Monthly change]])^12)-1</f>
        <v/>
      </c>
    </row>
    <row r="436">
      <c r="A436" s="57" t="n">
        <v>34639</v>
      </c>
      <c r="B436" s="59">
        <f>VLOOKUP(Table26[[#This Row],[Date]],'DB Money Supply'!$A:$E,5)</f>
        <v/>
      </c>
      <c r="C436" s="31">
        <f>(Table26[[#This Row],[M2 Money Stock, Billions of Dollars, Monthly, Seasonally Adjusted]]-B435)/B435</f>
        <v/>
      </c>
      <c r="D436" s="32">
        <f>((1+Table26[[#This Row],[Monthly change]])^12)-1</f>
        <v/>
      </c>
    </row>
    <row r="437">
      <c r="A437" s="34" t="n">
        <v>34669</v>
      </c>
      <c r="B437" s="59">
        <f>VLOOKUP(Table26[[#This Row],[Date]],'DB Money Supply'!$A:$E,5)</f>
        <v/>
      </c>
      <c r="C437" s="31">
        <f>(Table26[[#This Row],[M2 Money Stock, Billions of Dollars, Monthly, Seasonally Adjusted]]-B436)/B436</f>
        <v/>
      </c>
      <c r="D437" s="32">
        <f>((1+Table26[[#This Row],[Monthly change]])^12)-1</f>
        <v/>
      </c>
    </row>
    <row r="438">
      <c r="A438" s="57" t="n">
        <v>34700</v>
      </c>
      <c r="B438" s="59">
        <f>VLOOKUP(Table26[[#This Row],[Date]],'DB Money Supply'!$A:$E,5)</f>
        <v/>
      </c>
      <c r="C438" s="31">
        <f>(Table26[[#This Row],[M2 Money Stock, Billions of Dollars, Monthly, Seasonally Adjusted]]-B437)/B437</f>
        <v/>
      </c>
      <c r="D438" s="32">
        <f>((1+Table26[[#This Row],[Monthly change]])^12)-1</f>
        <v/>
      </c>
    </row>
    <row r="439">
      <c r="A439" s="34" t="n">
        <v>34731</v>
      </c>
      <c r="B439" s="59">
        <f>VLOOKUP(Table26[[#This Row],[Date]],'DB Money Supply'!$A:$E,5)</f>
        <v/>
      </c>
      <c r="C439" s="31">
        <f>(Table26[[#This Row],[M2 Money Stock, Billions of Dollars, Monthly, Seasonally Adjusted]]-B438)/B438</f>
        <v/>
      </c>
      <c r="D439" s="32">
        <f>((1+Table26[[#This Row],[Monthly change]])^12)-1</f>
        <v/>
      </c>
    </row>
    <row r="440">
      <c r="A440" s="57" t="n">
        <v>34759</v>
      </c>
      <c r="B440" s="59">
        <f>VLOOKUP(Table26[[#This Row],[Date]],'DB Money Supply'!$A:$E,5)</f>
        <v/>
      </c>
      <c r="C440" s="31">
        <f>(Table26[[#This Row],[M2 Money Stock, Billions of Dollars, Monthly, Seasonally Adjusted]]-B439)/B439</f>
        <v/>
      </c>
      <c r="D440" s="32">
        <f>((1+Table26[[#This Row],[Monthly change]])^12)-1</f>
        <v/>
      </c>
    </row>
    <row r="441">
      <c r="A441" s="34" t="n">
        <v>34790</v>
      </c>
      <c r="B441" s="59">
        <f>VLOOKUP(Table26[[#This Row],[Date]],'DB Money Supply'!$A:$E,5)</f>
        <v/>
      </c>
      <c r="C441" s="31">
        <f>(Table26[[#This Row],[M2 Money Stock, Billions of Dollars, Monthly, Seasonally Adjusted]]-B440)/B440</f>
        <v/>
      </c>
      <c r="D441" s="32">
        <f>((1+Table26[[#This Row],[Monthly change]])^12)-1</f>
        <v/>
      </c>
    </row>
    <row r="442">
      <c r="A442" s="57" t="n">
        <v>34820</v>
      </c>
      <c r="B442" s="59">
        <f>VLOOKUP(Table26[[#This Row],[Date]],'DB Money Supply'!$A:$E,5)</f>
        <v/>
      </c>
      <c r="C442" s="31">
        <f>(Table26[[#This Row],[M2 Money Stock, Billions of Dollars, Monthly, Seasonally Adjusted]]-B441)/B441</f>
        <v/>
      </c>
      <c r="D442" s="32">
        <f>((1+Table26[[#This Row],[Monthly change]])^12)-1</f>
        <v/>
      </c>
    </row>
    <row r="443">
      <c r="A443" s="57" t="n">
        <v>34851</v>
      </c>
      <c r="B443" s="59">
        <f>VLOOKUP(Table26[[#This Row],[Date]],'DB Money Supply'!$A:$E,5)</f>
        <v/>
      </c>
      <c r="C443" s="31">
        <f>(Table26[[#This Row],[M2 Money Stock, Billions of Dollars, Monthly, Seasonally Adjusted]]-B442)/B442</f>
        <v/>
      </c>
      <c r="D443" s="32">
        <f>((1+Table26[[#This Row],[Monthly change]])^12)-1</f>
        <v/>
      </c>
    </row>
    <row r="444">
      <c r="A444" s="34" t="n">
        <v>34881</v>
      </c>
      <c r="B444" s="59">
        <f>VLOOKUP(Table26[[#This Row],[Date]],'DB Money Supply'!$A:$E,5)</f>
        <v/>
      </c>
      <c r="C444" s="31">
        <f>(Table26[[#This Row],[M2 Money Stock, Billions of Dollars, Monthly, Seasonally Adjusted]]-B443)/B443</f>
        <v/>
      </c>
      <c r="D444" s="32">
        <f>((1+Table26[[#This Row],[Monthly change]])^12)-1</f>
        <v/>
      </c>
    </row>
    <row r="445">
      <c r="A445" s="57" t="n">
        <v>34912</v>
      </c>
      <c r="B445" s="59">
        <f>VLOOKUP(Table26[[#This Row],[Date]],'DB Money Supply'!$A:$E,5)</f>
        <v/>
      </c>
      <c r="C445" s="31">
        <f>(Table26[[#This Row],[M2 Money Stock, Billions of Dollars, Monthly, Seasonally Adjusted]]-B444)/B444</f>
        <v/>
      </c>
      <c r="D445" s="32">
        <f>((1+Table26[[#This Row],[Monthly change]])^12)-1</f>
        <v/>
      </c>
    </row>
    <row r="446">
      <c r="A446" s="34" t="n">
        <v>34943</v>
      </c>
      <c r="B446" s="59">
        <f>VLOOKUP(Table26[[#This Row],[Date]],'DB Money Supply'!$A:$E,5)</f>
        <v/>
      </c>
      <c r="C446" s="31">
        <f>(Table26[[#This Row],[M2 Money Stock, Billions of Dollars, Monthly, Seasonally Adjusted]]-B445)/B445</f>
        <v/>
      </c>
      <c r="D446" s="32">
        <f>((1+Table26[[#This Row],[Monthly change]])^12)-1</f>
        <v/>
      </c>
    </row>
    <row r="447">
      <c r="A447" s="57" t="n">
        <v>34973</v>
      </c>
      <c r="B447" s="59">
        <f>VLOOKUP(Table26[[#This Row],[Date]],'DB Money Supply'!$A:$E,5)</f>
        <v/>
      </c>
      <c r="C447" s="31">
        <f>(Table26[[#This Row],[M2 Money Stock, Billions of Dollars, Monthly, Seasonally Adjusted]]-B446)/B446</f>
        <v/>
      </c>
      <c r="D447" s="32">
        <f>((1+Table26[[#This Row],[Monthly change]])^12)-1</f>
        <v/>
      </c>
    </row>
    <row r="448">
      <c r="A448" s="34" t="n">
        <v>35004</v>
      </c>
      <c r="B448" s="59">
        <f>VLOOKUP(Table26[[#This Row],[Date]],'DB Money Supply'!$A:$E,5)</f>
        <v/>
      </c>
      <c r="C448" s="31">
        <f>(Table26[[#This Row],[M2 Money Stock, Billions of Dollars, Monthly, Seasonally Adjusted]]-B447)/B447</f>
        <v/>
      </c>
      <c r="D448" s="32">
        <f>((1+Table26[[#This Row],[Monthly change]])^12)-1</f>
        <v/>
      </c>
    </row>
    <row r="449">
      <c r="A449" s="57" t="n">
        <v>35034</v>
      </c>
      <c r="B449" s="59">
        <f>VLOOKUP(Table26[[#This Row],[Date]],'DB Money Supply'!$A:$E,5)</f>
        <v/>
      </c>
      <c r="C449" s="31">
        <f>(Table26[[#This Row],[M2 Money Stock, Billions of Dollars, Monthly, Seasonally Adjusted]]-B448)/B448</f>
        <v/>
      </c>
      <c r="D449" s="32">
        <f>((1+Table26[[#This Row],[Monthly change]])^12)-1</f>
        <v/>
      </c>
    </row>
    <row r="450">
      <c r="A450" s="34" t="n">
        <v>35065</v>
      </c>
      <c r="B450" s="59">
        <f>VLOOKUP(Table26[[#This Row],[Date]],'DB Money Supply'!$A:$E,5)</f>
        <v/>
      </c>
      <c r="C450" s="31">
        <f>(Table26[[#This Row],[M2 Money Stock, Billions of Dollars, Monthly, Seasonally Adjusted]]-B449)/B449</f>
        <v/>
      </c>
      <c r="D450" s="32">
        <f>((1+Table26[[#This Row],[Monthly change]])^12)-1</f>
        <v/>
      </c>
    </row>
    <row r="451">
      <c r="A451" s="57" t="n">
        <v>35096</v>
      </c>
      <c r="B451" s="59">
        <f>VLOOKUP(Table26[[#This Row],[Date]],'DB Money Supply'!$A:$E,5)</f>
        <v/>
      </c>
      <c r="C451" s="31">
        <f>(Table26[[#This Row],[M2 Money Stock, Billions of Dollars, Monthly, Seasonally Adjusted]]-B450)/B450</f>
        <v/>
      </c>
      <c r="D451" s="32">
        <f>((1+Table26[[#This Row],[Monthly change]])^12)-1</f>
        <v/>
      </c>
    </row>
    <row r="452">
      <c r="A452" s="34" t="n">
        <v>35125</v>
      </c>
      <c r="B452" s="59">
        <f>VLOOKUP(Table26[[#This Row],[Date]],'DB Money Supply'!$A:$E,5)</f>
        <v/>
      </c>
      <c r="C452" s="31">
        <f>(Table26[[#This Row],[M2 Money Stock, Billions of Dollars, Monthly, Seasonally Adjusted]]-B451)/B451</f>
        <v/>
      </c>
      <c r="D452" s="32">
        <f>((1+Table26[[#This Row],[Monthly change]])^12)-1</f>
        <v/>
      </c>
    </row>
    <row r="453">
      <c r="A453" s="57" t="n">
        <v>35156</v>
      </c>
      <c r="B453" s="59">
        <f>VLOOKUP(Table26[[#This Row],[Date]],'DB Money Supply'!$A:$E,5)</f>
        <v/>
      </c>
      <c r="C453" s="31">
        <f>(Table26[[#This Row],[M2 Money Stock, Billions of Dollars, Monthly, Seasonally Adjusted]]-B452)/B452</f>
        <v/>
      </c>
      <c r="D453" s="32">
        <f>((1+Table26[[#This Row],[Monthly change]])^12)-1</f>
        <v/>
      </c>
    </row>
    <row r="454">
      <c r="A454" s="34" t="n">
        <v>35186</v>
      </c>
      <c r="B454" s="59">
        <f>VLOOKUP(Table26[[#This Row],[Date]],'DB Money Supply'!$A:$E,5)</f>
        <v/>
      </c>
      <c r="C454" s="31">
        <f>(Table26[[#This Row],[M2 Money Stock, Billions of Dollars, Monthly, Seasonally Adjusted]]-B453)/B453</f>
        <v/>
      </c>
      <c r="D454" s="32">
        <f>((1+Table26[[#This Row],[Monthly change]])^12)-1</f>
        <v/>
      </c>
    </row>
    <row r="455">
      <c r="A455" s="57" t="n">
        <v>35217</v>
      </c>
      <c r="B455" s="59">
        <f>VLOOKUP(Table26[[#This Row],[Date]],'DB Money Supply'!$A:$E,5)</f>
        <v/>
      </c>
      <c r="C455" s="31">
        <f>(Table26[[#This Row],[M2 Money Stock, Billions of Dollars, Monthly, Seasonally Adjusted]]-B454)/B454</f>
        <v/>
      </c>
      <c r="D455" s="32">
        <f>((1+Table26[[#This Row],[Monthly change]])^12)-1</f>
        <v/>
      </c>
    </row>
    <row r="456">
      <c r="A456" s="34" t="n">
        <v>35247</v>
      </c>
      <c r="B456" s="59">
        <f>VLOOKUP(Table26[[#This Row],[Date]],'DB Money Supply'!$A:$E,5)</f>
        <v/>
      </c>
      <c r="C456" s="31">
        <f>(Table26[[#This Row],[M2 Money Stock, Billions of Dollars, Monthly, Seasonally Adjusted]]-B455)/B455</f>
        <v/>
      </c>
      <c r="D456" s="32">
        <f>((1+Table26[[#This Row],[Monthly change]])^12)-1</f>
        <v/>
      </c>
    </row>
    <row r="457">
      <c r="A457" s="57" t="n">
        <v>35278</v>
      </c>
      <c r="B457" s="59">
        <f>VLOOKUP(Table26[[#This Row],[Date]],'DB Money Supply'!$A:$E,5)</f>
        <v/>
      </c>
      <c r="C457" s="31">
        <f>(Table26[[#This Row],[M2 Money Stock, Billions of Dollars, Monthly, Seasonally Adjusted]]-B456)/B456</f>
        <v/>
      </c>
      <c r="D457" s="32">
        <f>((1+Table26[[#This Row],[Monthly change]])^12)-1</f>
        <v/>
      </c>
    </row>
    <row r="458">
      <c r="A458" s="34" t="n">
        <v>35309</v>
      </c>
      <c r="B458" s="59">
        <f>VLOOKUP(Table26[[#This Row],[Date]],'DB Money Supply'!$A:$E,5)</f>
        <v/>
      </c>
      <c r="C458" s="31">
        <f>(Table26[[#This Row],[M2 Money Stock, Billions of Dollars, Monthly, Seasonally Adjusted]]-B457)/B457</f>
        <v/>
      </c>
      <c r="D458" s="32">
        <f>((1+Table26[[#This Row],[Monthly change]])^12)-1</f>
        <v/>
      </c>
    </row>
    <row r="459">
      <c r="A459" s="57" t="n">
        <v>35339</v>
      </c>
      <c r="B459" s="59">
        <f>VLOOKUP(Table26[[#This Row],[Date]],'DB Money Supply'!$A:$E,5)</f>
        <v/>
      </c>
      <c r="C459" s="31">
        <f>(Table26[[#This Row],[M2 Money Stock, Billions of Dollars, Monthly, Seasonally Adjusted]]-B458)/B458</f>
        <v/>
      </c>
      <c r="D459" s="32">
        <f>((1+Table26[[#This Row],[Monthly change]])^12)-1</f>
        <v/>
      </c>
    </row>
    <row r="460">
      <c r="A460" s="34" t="n">
        <v>35370</v>
      </c>
      <c r="B460" s="59">
        <f>VLOOKUP(Table26[[#This Row],[Date]],'DB Money Supply'!$A:$E,5)</f>
        <v/>
      </c>
      <c r="C460" s="31">
        <f>(Table26[[#This Row],[M2 Money Stock, Billions of Dollars, Monthly, Seasonally Adjusted]]-B459)/B459</f>
        <v/>
      </c>
      <c r="D460" s="32">
        <f>((1+Table26[[#This Row],[Monthly change]])^12)-1</f>
        <v/>
      </c>
    </row>
    <row r="461">
      <c r="A461" s="57" t="n">
        <v>35400</v>
      </c>
      <c r="B461" s="59">
        <f>VLOOKUP(Table26[[#This Row],[Date]],'DB Money Supply'!$A:$E,5)</f>
        <v/>
      </c>
      <c r="C461" s="31">
        <f>(Table26[[#This Row],[M2 Money Stock, Billions of Dollars, Monthly, Seasonally Adjusted]]-B460)/B460</f>
        <v/>
      </c>
      <c r="D461" s="32">
        <f>((1+Table26[[#This Row],[Monthly change]])^12)-1</f>
        <v/>
      </c>
    </row>
    <row r="462">
      <c r="A462" s="57" t="n">
        <v>35431</v>
      </c>
      <c r="B462" s="59">
        <f>VLOOKUP(Table26[[#This Row],[Date]],'DB Money Supply'!$A:$E,5)</f>
        <v/>
      </c>
      <c r="C462" s="31">
        <f>(Table26[[#This Row],[M2 Money Stock, Billions of Dollars, Monthly, Seasonally Adjusted]]-B461)/B461</f>
        <v/>
      </c>
      <c r="D462" s="32">
        <f>((1+Table26[[#This Row],[Monthly change]])^12)-1</f>
        <v/>
      </c>
    </row>
    <row r="463">
      <c r="A463" s="34" t="n">
        <v>35462</v>
      </c>
      <c r="B463" s="59">
        <f>VLOOKUP(Table26[[#This Row],[Date]],'DB Money Supply'!$A:$E,5)</f>
        <v/>
      </c>
      <c r="C463" s="31">
        <f>(Table26[[#This Row],[M2 Money Stock, Billions of Dollars, Monthly, Seasonally Adjusted]]-B462)/B462</f>
        <v/>
      </c>
      <c r="D463" s="32">
        <f>((1+Table26[[#This Row],[Monthly change]])^12)-1</f>
        <v/>
      </c>
    </row>
    <row r="464">
      <c r="A464" s="57" t="n">
        <v>35490</v>
      </c>
      <c r="B464" s="59">
        <f>VLOOKUP(Table26[[#This Row],[Date]],'DB Money Supply'!$A:$E,5)</f>
        <v/>
      </c>
      <c r="C464" s="31">
        <f>(Table26[[#This Row],[M2 Money Stock, Billions of Dollars, Monthly, Seasonally Adjusted]]-B463)/B463</f>
        <v/>
      </c>
      <c r="D464" s="32">
        <f>((1+Table26[[#This Row],[Monthly change]])^12)-1</f>
        <v/>
      </c>
    </row>
    <row r="465">
      <c r="A465" s="34" t="n">
        <v>35521</v>
      </c>
      <c r="B465" s="59">
        <f>VLOOKUP(Table26[[#This Row],[Date]],'DB Money Supply'!$A:$E,5)</f>
        <v/>
      </c>
      <c r="C465" s="31">
        <f>(Table26[[#This Row],[M2 Money Stock, Billions of Dollars, Monthly, Seasonally Adjusted]]-B464)/B464</f>
        <v/>
      </c>
      <c r="D465" s="32">
        <f>((1+Table26[[#This Row],[Monthly change]])^12)-1</f>
        <v/>
      </c>
    </row>
    <row r="466">
      <c r="A466" s="57" t="n">
        <v>35551</v>
      </c>
      <c r="B466" s="59">
        <f>VLOOKUP(Table26[[#This Row],[Date]],'DB Money Supply'!$A:$E,5)</f>
        <v/>
      </c>
      <c r="C466" s="31">
        <f>(Table26[[#This Row],[M2 Money Stock, Billions of Dollars, Monthly, Seasonally Adjusted]]-B465)/B465</f>
        <v/>
      </c>
      <c r="D466" s="32">
        <f>((1+Table26[[#This Row],[Monthly change]])^12)-1</f>
        <v/>
      </c>
    </row>
    <row r="467">
      <c r="A467" s="34" t="n">
        <v>35582</v>
      </c>
      <c r="B467" s="59">
        <f>VLOOKUP(Table26[[#This Row],[Date]],'DB Money Supply'!$A:$E,5)</f>
        <v/>
      </c>
      <c r="C467" s="31">
        <f>(Table26[[#This Row],[M2 Money Stock, Billions of Dollars, Monthly, Seasonally Adjusted]]-B466)/B466</f>
        <v/>
      </c>
      <c r="D467" s="32">
        <f>((1+Table26[[#This Row],[Monthly change]])^12)-1</f>
        <v/>
      </c>
    </row>
    <row r="468">
      <c r="A468" s="57" t="n">
        <v>35612</v>
      </c>
      <c r="B468" s="59">
        <f>VLOOKUP(Table26[[#This Row],[Date]],'DB Money Supply'!$A:$E,5)</f>
        <v/>
      </c>
      <c r="C468" s="31">
        <f>(Table26[[#This Row],[M2 Money Stock, Billions of Dollars, Monthly, Seasonally Adjusted]]-B467)/B467</f>
        <v/>
      </c>
      <c r="D468" s="32">
        <f>((1+Table26[[#This Row],[Monthly change]])^12)-1</f>
        <v/>
      </c>
    </row>
    <row r="469">
      <c r="A469" s="34" t="n">
        <v>35643</v>
      </c>
      <c r="B469" s="59">
        <f>VLOOKUP(Table26[[#This Row],[Date]],'DB Money Supply'!$A:$E,5)</f>
        <v/>
      </c>
      <c r="C469" s="31">
        <f>(Table26[[#This Row],[M2 Money Stock, Billions of Dollars, Monthly, Seasonally Adjusted]]-B468)/B468</f>
        <v/>
      </c>
      <c r="D469" s="32">
        <f>((1+Table26[[#This Row],[Monthly change]])^12)-1</f>
        <v/>
      </c>
    </row>
    <row r="470">
      <c r="A470" s="57" t="n">
        <v>35674</v>
      </c>
      <c r="B470" s="59">
        <f>VLOOKUP(Table26[[#This Row],[Date]],'DB Money Supply'!$A:$E,5)</f>
        <v/>
      </c>
      <c r="C470" s="31">
        <f>(Table26[[#This Row],[M2 Money Stock, Billions of Dollars, Monthly, Seasonally Adjusted]]-B469)/B469</f>
        <v/>
      </c>
      <c r="D470" s="32">
        <f>((1+Table26[[#This Row],[Monthly change]])^12)-1</f>
        <v/>
      </c>
    </row>
    <row r="471">
      <c r="A471" s="34" t="n">
        <v>35704</v>
      </c>
      <c r="B471" s="59">
        <f>VLOOKUP(Table26[[#This Row],[Date]],'DB Money Supply'!$A:$E,5)</f>
        <v/>
      </c>
      <c r="C471" s="31">
        <f>(Table26[[#This Row],[M2 Money Stock, Billions of Dollars, Monthly, Seasonally Adjusted]]-B470)/B470</f>
        <v/>
      </c>
      <c r="D471" s="32">
        <f>((1+Table26[[#This Row],[Monthly change]])^12)-1</f>
        <v/>
      </c>
    </row>
    <row r="472">
      <c r="A472" s="57" t="n">
        <v>35735</v>
      </c>
      <c r="B472" s="59">
        <f>VLOOKUP(Table26[[#This Row],[Date]],'DB Money Supply'!$A:$E,5)</f>
        <v/>
      </c>
      <c r="C472" s="31">
        <f>(Table26[[#This Row],[M2 Money Stock, Billions of Dollars, Monthly, Seasonally Adjusted]]-B471)/B471</f>
        <v/>
      </c>
      <c r="D472" s="32">
        <f>((1+Table26[[#This Row],[Monthly change]])^12)-1</f>
        <v/>
      </c>
    </row>
    <row r="473">
      <c r="A473" s="34" t="n">
        <v>35765</v>
      </c>
      <c r="B473" s="59">
        <f>VLOOKUP(Table26[[#This Row],[Date]],'DB Money Supply'!$A:$E,5)</f>
        <v/>
      </c>
      <c r="C473" s="31">
        <f>(Table26[[#This Row],[M2 Money Stock, Billions of Dollars, Monthly, Seasonally Adjusted]]-B472)/B472</f>
        <v/>
      </c>
      <c r="D473" s="32">
        <f>((1+Table26[[#This Row],[Monthly change]])^12)-1</f>
        <v/>
      </c>
    </row>
    <row r="474">
      <c r="A474" s="57" t="n">
        <v>35796</v>
      </c>
      <c r="B474" s="59">
        <f>VLOOKUP(Table26[[#This Row],[Date]],'DB Money Supply'!$A:$E,5)</f>
        <v/>
      </c>
      <c r="C474" s="31">
        <f>(Table26[[#This Row],[M2 Money Stock, Billions of Dollars, Monthly, Seasonally Adjusted]]-B473)/B473</f>
        <v/>
      </c>
      <c r="D474" s="32">
        <f>((1+Table26[[#This Row],[Monthly change]])^12)-1</f>
        <v/>
      </c>
    </row>
    <row r="475">
      <c r="A475" s="34" t="n">
        <v>35827</v>
      </c>
      <c r="B475" s="59">
        <f>VLOOKUP(Table26[[#This Row],[Date]],'DB Money Supply'!$A:$E,5)</f>
        <v/>
      </c>
      <c r="C475" s="31">
        <f>(Table26[[#This Row],[M2 Money Stock, Billions of Dollars, Monthly, Seasonally Adjusted]]-B474)/B474</f>
        <v/>
      </c>
      <c r="D475" s="32">
        <f>((1+Table26[[#This Row],[Monthly change]])^12)-1</f>
        <v/>
      </c>
    </row>
    <row r="476">
      <c r="A476" s="57" t="n">
        <v>35855</v>
      </c>
      <c r="B476" s="59">
        <f>VLOOKUP(Table26[[#This Row],[Date]],'DB Money Supply'!$A:$E,5)</f>
        <v/>
      </c>
      <c r="C476" s="31">
        <f>(Table26[[#This Row],[M2 Money Stock, Billions of Dollars, Monthly, Seasonally Adjusted]]-B475)/B475</f>
        <v/>
      </c>
      <c r="D476" s="32">
        <f>((1+Table26[[#This Row],[Monthly change]])^12)-1</f>
        <v/>
      </c>
    </row>
    <row r="477">
      <c r="A477" s="34" t="n">
        <v>35886</v>
      </c>
      <c r="B477" s="59">
        <f>VLOOKUP(Table26[[#This Row],[Date]],'DB Money Supply'!$A:$E,5)</f>
        <v/>
      </c>
      <c r="C477" s="31">
        <f>(Table26[[#This Row],[M2 Money Stock, Billions of Dollars, Monthly, Seasonally Adjusted]]-B476)/B476</f>
        <v/>
      </c>
      <c r="D477" s="32">
        <f>((1+Table26[[#This Row],[Monthly change]])^12)-1</f>
        <v/>
      </c>
    </row>
    <row r="478">
      <c r="A478" s="57" t="n">
        <v>35916</v>
      </c>
      <c r="B478" s="59">
        <f>VLOOKUP(Table26[[#This Row],[Date]],'DB Money Supply'!$A:$E,5)</f>
        <v/>
      </c>
      <c r="C478" s="31">
        <f>(Table26[[#This Row],[M2 Money Stock, Billions of Dollars, Monthly, Seasonally Adjusted]]-B477)/B477</f>
        <v/>
      </c>
      <c r="D478" s="32">
        <f>((1+Table26[[#This Row],[Monthly change]])^12)-1</f>
        <v/>
      </c>
    </row>
    <row r="479">
      <c r="A479" s="34" t="n">
        <v>35947</v>
      </c>
      <c r="B479" s="59">
        <f>VLOOKUP(Table26[[#This Row],[Date]],'DB Money Supply'!$A:$E,5)</f>
        <v/>
      </c>
      <c r="C479" s="31">
        <f>(Table26[[#This Row],[M2 Money Stock, Billions of Dollars, Monthly, Seasonally Adjusted]]-B478)/B478</f>
        <v/>
      </c>
      <c r="D479" s="32">
        <f>((1+Table26[[#This Row],[Monthly change]])^12)-1</f>
        <v/>
      </c>
    </row>
    <row r="480">
      <c r="A480" s="57" t="n">
        <v>35977</v>
      </c>
      <c r="B480" s="59">
        <f>VLOOKUP(Table26[[#This Row],[Date]],'DB Money Supply'!$A:$E,5)</f>
        <v/>
      </c>
      <c r="C480" s="31">
        <f>(Table26[[#This Row],[M2 Money Stock, Billions of Dollars, Monthly, Seasonally Adjusted]]-B479)/B479</f>
        <v/>
      </c>
      <c r="D480" s="32">
        <f>((1+Table26[[#This Row],[Monthly change]])^12)-1</f>
        <v/>
      </c>
    </row>
    <row r="481">
      <c r="A481" s="57" t="n">
        <v>36008</v>
      </c>
      <c r="B481" s="59">
        <f>VLOOKUP(Table26[[#This Row],[Date]],'DB Money Supply'!$A:$E,5)</f>
        <v/>
      </c>
      <c r="C481" s="31">
        <f>(Table26[[#This Row],[M2 Money Stock, Billions of Dollars, Monthly, Seasonally Adjusted]]-B480)/B480</f>
        <v/>
      </c>
      <c r="D481" s="32">
        <f>((1+Table26[[#This Row],[Monthly change]])^12)-1</f>
        <v/>
      </c>
    </row>
    <row r="482">
      <c r="A482" s="34" t="n">
        <v>36039</v>
      </c>
      <c r="B482" s="59">
        <f>VLOOKUP(Table26[[#This Row],[Date]],'DB Money Supply'!$A:$E,5)</f>
        <v/>
      </c>
      <c r="C482" s="31">
        <f>(Table26[[#This Row],[M2 Money Stock, Billions of Dollars, Monthly, Seasonally Adjusted]]-B481)/B481</f>
        <v/>
      </c>
      <c r="D482" s="32">
        <f>((1+Table26[[#This Row],[Monthly change]])^12)-1</f>
        <v/>
      </c>
    </row>
    <row r="483">
      <c r="A483" s="57" t="n">
        <v>36069</v>
      </c>
      <c r="B483" s="59">
        <f>VLOOKUP(Table26[[#This Row],[Date]],'DB Money Supply'!$A:$E,5)</f>
        <v/>
      </c>
      <c r="C483" s="31">
        <f>(Table26[[#This Row],[M2 Money Stock, Billions of Dollars, Monthly, Seasonally Adjusted]]-B482)/B482</f>
        <v/>
      </c>
      <c r="D483" s="32">
        <f>((1+Table26[[#This Row],[Monthly change]])^12)-1</f>
        <v/>
      </c>
    </row>
    <row r="484">
      <c r="A484" s="34" t="n">
        <v>36100</v>
      </c>
      <c r="B484" s="59">
        <f>VLOOKUP(Table26[[#This Row],[Date]],'DB Money Supply'!$A:$E,5)</f>
        <v/>
      </c>
      <c r="C484" s="31">
        <f>(Table26[[#This Row],[M2 Money Stock, Billions of Dollars, Monthly, Seasonally Adjusted]]-B483)/B483</f>
        <v/>
      </c>
      <c r="D484" s="32">
        <f>((1+Table26[[#This Row],[Monthly change]])^12)-1</f>
        <v/>
      </c>
    </row>
    <row r="485">
      <c r="A485" s="57" t="n">
        <v>36130</v>
      </c>
      <c r="B485" s="59">
        <f>VLOOKUP(Table26[[#This Row],[Date]],'DB Money Supply'!$A:$E,5)</f>
        <v/>
      </c>
      <c r="C485" s="31">
        <f>(Table26[[#This Row],[M2 Money Stock, Billions of Dollars, Monthly, Seasonally Adjusted]]-B484)/B484</f>
        <v/>
      </c>
      <c r="D485" s="32">
        <f>((1+Table26[[#This Row],[Monthly change]])^12)-1</f>
        <v/>
      </c>
    </row>
    <row r="486">
      <c r="A486" s="34" t="n">
        <v>36161</v>
      </c>
      <c r="B486" s="59">
        <f>VLOOKUP(Table26[[#This Row],[Date]],'DB Money Supply'!$A:$E,5)</f>
        <v/>
      </c>
      <c r="C486" s="31">
        <f>(Table26[[#This Row],[M2 Money Stock, Billions of Dollars, Monthly, Seasonally Adjusted]]-B485)/B485</f>
        <v/>
      </c>
      <c r="D486" s="32">
        <f>((1+Table26[[#This Row],[Monthly change]])^12)-1</f>
        <v/>
      </c>
    </row>
    <row r="487">
      <c r="A487" s="57" t="n">
        <v>36192</v>
      </c>
      <c r="B487" s="59">
        <f>VLOOKUP(Table26[[#This Row],[Date]],'DB Money Supply'!$A:$E,5)</f>
        <v/>
      </c>
      <c r="C487" s="31">
        <f>(Table26[[#This Row],[M2 Money Stock, Billions of Dollars, Monthly, Seasonally Adjusted]]-B486)/B486</f>
        <v/>
      </c>
      <c r="D487" s="32">
        <f>((1+Table26[[#This Row],[Monthly change]])^12)-1</f>
        <v/>
      </c>
    </row>
    <row r="488">
      <c r="A488" s="34" t="n">
        <v>36220</v>
      </c>
      <c r="B488" s="59">
        <f>VLOOKUP(Table26[[#This Row],[Date]],'DB Money Supply'!$A:$E,5)</f>
        <v/>
      </c>
      <c r="C488" s="31">
        <f>(Table26[[#This Row],[M2 Money Stock, Billions of Dollars, Monthly, Seasonally Adjusted]]-B487)/B487</f>
        <v/>
      </c>
      <c r="D488" s="32">
        <f>((1+Table26[[#This Row],[Monthly change]])^12)-1</f>
        <v/>
      </c>
    </row>
    <row r="489">
      <c r="A489" s="57" t="n">
        <v>36251</v>
      </c>
      <c r="B489" s="59">
        <f>VLOOKUP(Table26[[#This Row],[Date]],'DB Money Supply'!$A:$E,5)</f>
        <v/>
      </c>
      <c r="C489" s="31">
        <f>(Table26[[#This Row],[M2 Money Stock, Billions of Dollars, Monthly, Seasonally Adjusted]]-B488)/B488</f>
        <v/>
      </c>
      <c r="D489" s="32">
        <f>((1+Table26[[#This Row],[Monthly change]])^12)-1</f>
        <v/>
      </c>
    </row>
    <row r="490">
      <c r="A490" s="34" t="n">
        <v>36281</v>
      </c>
      <c r="B490" s="59">
        <f>VLOOKUP(Table26[[#This Row],[Date]],'DB Money Supply'!$A:$E,5)</f>
        <v/>
      </c>
      <c r="C490" s="31">
        <f>(Table26[[#This Row],[M2 Money Stock, Billions of Dollars, Monthly, Seasonally Adjusted]]-B489)/B489</f>
        <v/>
      </c>
      <c r="D490" s="32">
        <f>((1+Table26[[#This Row],[Monthly change]])^12)-1</f>
        <v/>
      </c>
    </row>
    <row r="491">
      <c r="A491" s="57" t="n">
        <v>36312</v>
      </c>
      <c r="B491" s="59">
        <f>VLOOKUP(Table26[[#This Row],[Date]],'DB Money Supply'!$A:$E,5)</f>
        <v/>
      </c>
      <c r="C491" s="31">
        <f>(Table26[[#This Row],[M2 Money Stock, Billions of Dollars, Monthly, Seasonally Adjusted]]-B490)/B490</f>
        <v/>
      </c>
      <c r="D491" s="32">
        <f>((1+Table26[[#This Row],[Monthly change]])^12)-1</f>
        <v/>
      </c>
    </row>
    <row r="492">
      <c r="A492" s="34" t="n">
        <v>36342</v>
      </c>
      <c r="B492" s="59">
        <f>VLOOKUP(Table26[[#This Row],[Date]],'DB Money Supply'!$A:$E,5)</f>
        <v/>
      </c>
      <c r="C492" s="31">
        <f>(Table26[[#This Row],[M2 Money Stock, Billions of Dollars, Monthly, Seasonally Adjusted]]-B491)/B491</f>
        <v/>
      </c>
      <c r="D492" s="32">
        <f>((1+Table26[[#This Row],[Monthly change]])^12)-1</f>
        <v/>
      </c>
    </row>
    <row r="493">
      <c r="A493" s="57" t="n">
        <v>36373</v>
      </c>
      <c r="B493" s="59">
        <f>VLOOKUP(Table26[[#This Row],[Date]],'DB Money Supply'!$A:$E,5)</f>
        <v/>
      </c>
      <c r="C493" s="31">
        <f>(Table26[[#This Row],[M2 Money Stock, Billions of Dollars, Monthly, Seasonally Adjusted]]-B492)/B492</f>
        <v/>
      </c>
      <c r="D493" s="32">
        <f>((1+Table26[[#This Row],[Monthly change]])^12)-1</f>
        <v/>
      </c>
    </row>
    <row r="494">
      <c r="A494" s="34" t="n">
        <v>36404</v>
      </c>
      <c r="B494" s="59">
        <f>VLOOKUP(Table26[[#This Row],[Date]],'DB Money Supply'!$A:$E,5)</f>
        <v/>
      </c>
      <c r="C494" s="31">
        <f>(Table26[[#This Row],[M2 Money Stock, Billions of Dollars, Monthly, Seasonally Adjusted]]-B493)/B493</f>
        <v/>
      </c>
      <c r="D494" s="32">
        <f>((1+Table26[[#This Row],[Monthly change]])^12)-1</f>
        <v/>
      </c>
    </row>
    <row r="495">
      <c r="A495" s="57" t="n">
        <v>36434</v>
      </c>
      <c r="B495" s="59">
        <f>VLOOKUP(Table26[[#This Row],[Date]],'DB Money Supply'!$A:$E,5)</f>
        <v/>
      </c>
      <c r="C495" s="31">
        <f>(Table26[[#This Row],[M2 Money Stock, Billions of Dollars, Monthly, Seasonally Adjusted]]-B494)/B494</f>
        <v/>
      </c>
      <c r="D495" s="32">
        <f>((1+Table26[[#This Row],[Monthly change]])^12)-1</f>
        <v/>
      </c>
    </row>
    <row r="496">
      <c r="A496" s="34" t="n">
        <v>36465</v>
      </c>
      <c r="B496" s="59">
        <f>VLOOKUP(Table26[[#This Row],[Date]],'DB Money Supply'!$A:$E,5)</f>
        <v/>
      </c>
      <c r="C496" s="31">
        <f>(Table26[[#This Row],[M2 Money Stock, Billions of Dollars, Monthly, Seasonally Adjusted]]-B495)/B495</f>
        <v/>
      </c>
      <c r="D496" s="32">
        <f>((1+Table26[[#This Row],[Monthly change]])^12)-1</f>
        <v/>
      </c>
    </row>
    <row r="497">
      <c r="A497" s="57" t="n">
        <v>36495</v>
      </c>
      <c r="B497" s="59">
        <f>VLOOKUP(Table26[[#This Row],[Date]],'DB Money Supply'!$A:$E,5)</f>
        <v/>
      </c>
      <c r="C497" s="31">
        <f>(Table26[[#This Row],[M2 Money Stock, Billions of Dollars, Monthly, Seasonally Adjusted]]-B496)/B496</f>
        <v/>
      </c>
      <c r="D497" s="32">
        <f>((1+Table26[[#This Row],[Monthly change]])^12)-1</f>
        <v/>
      </c>
    </row>
    <row r="498">
      <c r="A498" s="34" t="n">
        <v>36526</v>
      </c>
      <c r="B498" s="59">
        <f>VLOOKUP(Table26[[#This Row],[Date]],'DB Money Supply'!$A:$E,5)</f>
        <v/>
      </c>
      <c r="C498" s="31">
        <f>(Table26[[#This Row],[M2 Money Stock, Billions of Dollars, Monthly, Seasonally Adjusted]]-B497)/B497</f>
        <v/>
      </c>
      <c r="D498" s="32">
        <f>((1+Table26[[#This Row],[Monthly change]])^12)-1</f>
        <v/>
      </c>
    </row>
    <row r="499">
      <c r="A499" s="57" t="n">
        <v>36557</v>
      </c>
      <c r="B499" s="59">
        <f>VLOOKUP(Table26[[#This Row],[Date]],'DB Money Supply'!$A:$E,5)</f>
        <v/>
      </c>
      <c r="C499" s="31">
        <f>(Table26[[#This Row],[M2 Money Stock, Billions of Dollars, Monthly, Seasonally Adjusted]]-B498)/B498</f>
        <v/>
      </c>
      <c r="D499" s="32">
        <f>((1+Table26[[#This Row],[Monthly change]])^12)-1</f>
        <v/>
      </c>
    </row>
    <row r="500">
      <c r="A500" s="57" t="n">
        <v>36586</v>
      </c>
      <c r="B500" s="59">
        <f>VLOOKUP(Table26[[#This Row],[Date]],'DB Money Supply'!$A:$E,5)</f>
        <v/>
      </c>
      <c r="C500" s="31">
        <f>(Table26[[#This Row],[M2 Money Stock, Billions of Dollars, Monthly, Seasonally Adjusted]]-B499)/B499</f>
        <v/>
      </c>
      <c r="D500" s="32">
        <f>((1+Table26[[#This Row],[Monthly change]])^12)-1</f>
        <v/>
      </c>
    </row>
    <row r="501">
      <c r="A501" s="34" t="n">
        <v>36617</v>
      </c>
      <c r="B501" s="59">
        <f>VLOOKUP(Table26[[#This Row],[Date]],'DB Money Supply'!$A:$E,5)</f>
        <v/>
      </c>
      <c r="C501" s="31">
        <f>(Table26[[#This Row],[M2 Money Stock, Billions of Dollars, Monthly, Seasonally Adjusted]]-B500)/B500</f>
        <v/>
      </c>
      <c r="D501" s="32">
        <f>((1+Table26[[#This Row],[Monthly change]])^12)-1</f>
        <v/>
      </c>
    </row>
    <row r="502">
      <c r="A502" s="57" t="n">
        <v>36647</v>
      </c>
      <c r="B502" s="59">
        <f>VLOOKUP(Table26[[#This Row],[Date]],'DB Money Supply'!$A:$E,5)</f>
        <v/>
      </c>
      <c r="C502" s="31">
        <f>(Table26[[#This Row],[M2 Money Stock, Billions of Dollars, Monthly, Seasonally Adjusted]]-B501)/B501</f>
        <v/>
      </c>
      <c r="D502" s="32">
        <f>((1+Table26[[#This Row],[Monthly change]])^12)-1</f>
        <v/>
      </c>
    </row>
    <row r="503">
      <c r="A503" s="34" t="n">
        <v>36678</v>
      </c>
      <c r="B503" s="59">
        <f>VLOOKUP(Table26[[#This Row],[Date]],'DB Money Supply'!$A:$E,5)</f>
        <v/>
      </c>
      <c r="C503" s="31">
        <f>(Table26[[#This Row],[M2 Money Stock, Billions of Dollars, Monthly, Seasonally Adjusted]]-B502)/B502</f>
        <v/>
      </c>
      <c r="D503" s="32">
        <f>((1+Table26[[#This Row],[Monthly change]])^12)-1</f>
        <v/>
      </c>
    </row>
    <row r="504">
      <c r="A504" s="57" t="n">
        <v>36708</v>
      </c>
      <c r="B504" s="59">
        <f>VLOOKUP(Table26[[#This Row],[Date]],'DB Money Supply'!$A:$E,5)</f>
        <v/>
      </c>
      <c r="C504" s="31">
        <f>(Table26[[#This Row],[M2 Money Stock, Billions of Dollars, Monthly, Seasonally Adjusted]]-B503)/B503</f>
        <v/>
      </c>
      <c r="D504" s="32">
        <f>((1+Table26[[#This Row],[Monthly change]])^12)-1</f>
        <v/>
      </c>
    </row>
    <row r="505">
      <c r="A505" s="34" t="n">
        <v>36739</v>
      </c>
      <c r="B505" s="59">
        <f>VLOOKUP(Table26[[#This Row],[Date]],'DB Money Supply'!$A:$E,5)</f>
        <v/>
      </c>
      <c r="C505" s="31">
        <f>(Table26[[#This Row],[M2 Money Stock, Billions of Dollars, Monthly, Seasonally Adjusted]]-B504)/B504</f>
        <v/>
      </c>
      <c r="D505" s="32">
        <f>((1+Table26[[#This Row],[Monthly change]])^12)-1</f>
        <v/>
      </c>
    </row>
    <row r="506">
      <c r="A506" s="57" t="n">
        <v>36770</v>
      </c>
      <c r="B506" s="59">
        <f>VLOOKUP(Table26[[#This Row],[Date]],'DB Money Supply'!$A:$E,5)</f>
        <v/>
      </c>
      <c r="C506" s="31">
        <f>(Table26[[#This Row],[M2 Money Stock, Billions of Dollars, Monthly, Seasonally Adjusted]]-B505)/B505</f>
        <v/>
      </c>
      <c r="D506" s="32">
        <f>((1+Table26[[#This Row],[Monthly change]])^12)-1</f>
        <v/>
      </c>
    </row>
    <row r="507">
      <c r="A507" s="34" t="n">
        <v>36800</v>
      </c>
      <c r="B507" s="59">
        <f>VLOOKUP(Table26[[#This Row],[Date]],'DB Money Supply'!$A:$E,5)</f>
        <v/>
      </c>
      <c r="C507" s="31">
        <f>(Table26[[#This Row],[M2 Money Stock, Billions of Dollars, Monthly, Seasonally Adjusted]]-B506)/B506</f>
        <v/>
      </c>
      <c r="D507" s="32">
        <f>((1+Table26[[#This Row],[Monthly change]])^12)-1</f>
        <v/>
      </c>
    </row>
    <row r="508">
      <c r="A508" s="57" t="n">
        <v>36831</v>
      </c>
      <c r="B508" s="59">
        <f>VLOOKUP(Table26[[#This Row],[Date]],'DB Money Supply'!$A:$E,5)</f>
        <v/>
      </c>
      <c r="C508" s="31">
        <f>(Table26[[#This Row],[M2 Money Stock, Billions of Dollars, Monthly, Seasonally Adjusted]]-B507)/B507</f>
        <v/>
      </c>
      <c r="D508" s="32">
        <f>((1+Table26[[#This Row],[Monthly change]])^12)-1</f>
        <v/>
      </c>
    </row>
    <row r="509">
      <c r="A509" s="34" t="n">
        <v>36861</v>
      </c>
      <c r="B509" s="59">
        <f>VLOOKUP(Table26[[#This Row],[Date]],'DB Money Supply'!$A:$E,5)</f>
        <v/>
      </c>
      <c r="C509" s="31">
        <f>(Table26[[#This Row],[M2 Money Stock, Billions of Dollars, Monthly, Seasonally Adjusted]]-B508)/B508</f>
        <v/>
      </c>
      <c r="D509" s="32">
        <f>((1+Table26[[#This Row],[Monthly change]])^12)-1</f>
        <v/>
      </c>
    </row>
    <row r="510">
      <c r="A510" s="57" t="n">
        <v>36892</v>
      </c>
      <c r="B510" s="59">
        <f>VLOOKUP(Table26[[#This Row],[Date]],'DB Money Supply'!$A:$E,5)</f>
        <v/>
      </c>
      <c r="C510" s="31">
        <f>(Table26[[#This Row],[M2 Money Stock, Billions of Dollars, Monthly, Seasonally Adjusted]]-B509)/B509</f>
        <v/>
      </c>
      <c r="D510" s="32">
        <f>((1+Table26[[#This Row],[Monthly change]])^12)-1</f>
        <v/>
      </c>
    </row>
    <row r="511">
      <c r="A511" s="34" t="n">
        <v>36923</v>
      </c>
      <c r="B511" s="59">
        <f>VLOOKUP(Table26[[#This Row],[Date]],'DB Money Supply'!$A:$E,5)</f>
        <v/>
      </c>
      <c r="C511" s="31">
        <f>(Table26[[#This Row],[M2 Money Stock, Billions of Dollars, Monthly, Seasonally Adjusted]]-B510)/B510</f>
        <v/>
      </c>
      <c r="D511" s="32">
        <f>((1+Table26[[#This Row],[Monthly change]])^12)-1</f>
        <v/>
      </c>
    </row>
    <row r="512">
      <c r="A512" s="57" t="n">
        <v>36951</v>
      </c>
      <c r="B512" s="59">
        <f>VLOOKUP(Table26[[#This Row],[Date]],'DB Money Supply'!$A:$E,5)</f>
        <v/>
      </c>
      <c r="C512" s="31">
        <f>(Table26[[#This Row],[M2 Money Stock, Billions of Dollars, Monthly, Seasonally Adjusted]]-B511)/B511</f>
        <v/>
      </c>
      <c r="D512" s="32">
        <f>((1+Table26[[#This Row],[Monthly change]])^12)-1</f>
        <v/>
      </c>
    </row>
    <row r="513">
      <c r="A513" s="34" t="n">
        <v>36982</v>
      </c>
      <c r="B513" s="59">
        <f>VLOOKUP(Table26[[#This Row],[Date]],'DB Money Supply'!$A:$E,5)</f>
        <v/>
      </c>
      <c r="C513" s="31">
        <f>(Table26[[#This Row],[M2 Money Stock, Billions of Dollars, Monthly, Seasonally Adjusted]]-B512)/B512</f>
        <v/>
      </c>
      <c r="D513" s="32">
        <f>((1+Table26[[#This Row],[Monthly change]])^12)-1</f>
        <v/>
      </c>
    </row>
    <row r="514">
      <c r="A514" s="57" t="n">
        <v>37012</v>
      </c>
      <c r="B514" s="59">
        <f>VLOOKUP(Table26[[#This Row],[Date]],'DB Money Supply'!$A:$E,5)</f>
        <v/>
      </c>
      <c r="C514" s="31">
        <f>(Table26[[#This Row],[M2 Money Stock, Billions of Dollars, Monthly, Seasonally Adjusted]]-B513)/B513</f>
        <v/>
      </c>
      <c r="D514" s="32">
        <f>((1+Table26[[#This Row],[Monthly change]])^12)-1</f>
        <v/>
      </c>
    </row>
    <row r="515">
      <c r="A515" s="34" t="n">
        <v>37043</v>
      </c>
      <c r="B515" s="59">
        <f>VLOOKUP(Table26[[#This Row],[Date]],'DB Money Supply'!$A:$E,5)</f>
        <v/>
      </c>
      <c r="C515" s="31">
        <f>(Table26[[#This Row],[M2 Money Stock, Billions of Dollars, Monthly, Seasonally Adjusted]]-B514)/B514</f>
        <v/>
      </c>
      <c r="D515" s="32">
        <f>((1+Table26[[#This Row],[Monthly change]])^12)-1</f>
        <v/>
      </c>
    </row>
    <row r="516">
      <c r="A516" s="57" t="n">
        <v>37073</v>
      </c>
      <c r="B516" s="59">
        <f>VLOOKUP(Table26[[#This Row],[Date]],'DB Money Supply'!$A:$E,5)</f>
        <v/>
      </c>
      <c r="C516" s="31">
        <f>(Table26[[#This Row],[M2 Money Stock, Billions of Dollars, Monthly, Seasonally Adjusted]]-B515)/B515</f>
        <v/>
      </c>
      <c r="D516" s="32">
        <f>((1+Table26[[#This Row],[Monthly change]])^12)-1</f>
        <v/>
      </c>
    </row>
    <row r="517">
      <c r="A517" s="34" t="n">
        <v>37104</v>
      </c>
      <c r="B517" s="59">
        <f>VLOOKUP(Table26[[#This Row],[Date]],'DB Money Supply'!$A:$E,5)</f>
        <v/>
      </c>
      <c r="C517" s="31">
        <f>(Table26[[#This Row],[M2 Money Stock, Billions of Dollars, Monthly, Seasonally Adjusted]]-B516)/B516</f>
        <v/>
      </c>
      <c r="D517" s="32">
        <f>((1+Table26[[#This Row],[Monthly change]])^12)-1</f>
        <v/>
      </c>
    </row>
    <row r="518">
      <c r="A518" s="57" t="n">
        <v>37135</v>
      </c>
      <c r="B518" s="59">
        <f>VLOOKUP(Table26[[#This Row],[Date]],'DB Money Supply'!$A:$E,5)</f>
        <v/>
      </c>
      <c r="C518" s="31">
        <f>(Table26[[#This Row],[M2 Money Stock, Billions of Dollars, Monthly, Seasonally Adjusted]]-B517)/B517</f>
        <v/>
      </c>
      <c r="D518" s="32">
        <f>((1+Table26[[#This Row],[Monthly change]])^12)-1</f>
        <v/>
      </c>
    </row>
    <row r="519">
      <c r="A519" s="57" t="n">
        <v>37165</v>
      </c>
      <c r="B519" s="59">
        <f>VLOOKUP(Table26[[#This Row],[Date]],'DB Money Supply'!$A:$E,5)</f>
        <v/>
      </c>
      <c r="C519" s="31">
        <f>(Table26[[#This Row],[M2 Money Stock, Billions of Dollars, Monthly, Seasonally Adjusted]]-B518)/B518</f>
        <v/>
      </c>
      <c r="D519" s="32">
        <f>((1+Table26[[#This Row],[Monthly change]])^12)-1</f>
        <v/>
      </c>
    </row>
    <row r="520">
      <c r="A520" s="34" t="n">
        <v>37196</v>
      </c>
      <c r="B520" s="59">
        <f>VLOOKUP(Table26[[#This Row],[Date]],'DB Money Supply'!$A:$E,5)</f>
        <v/>
      </c>
      <c r="C520" s="31">
        <f>(Table26[[#This Row],[M2 Money Stock, Billions of Dollars, Monthly, Seasonally Adjusted]]-B519)/B519</f>
        <v/>
      </c>
      <c r="D520" s="32">
        <f>((1+Table26[[#This Row],[Monthly change]])^12)-1</f>
        <v/>
      </c>
    </row>
    <row r="521">
      <c r="A521" s="57" t="n">
        <v>37226</v>
      </c>
      <c r="B521" s="59">
        <f>VLOOKUP(Table26[[#This Row],[Date]],'DB Money Supply'!$A:$E,5)</f>
        <v/>
      </c>
      <c r="C521" s="31">
        <f>(Table26[[#This Row],[M2 Money Stock, Billions of Dollars, Monthly, Seasonally Adjusted]]-B520)/B520</f>
        <v/>
      </c>
      <c r="D521" s="32">
        <f>((1+Table26[[#This Row],[Monthly change]])^12)-1</f>
        <v/>
      </c>
    </row>
    <row r="522">
      <c r="A522" s="34" t="n">
        <v>37257</v>
      </c>
      <c r="B522" s="59">
        <f>VLOOKUP(Table26[[#This Row],[Date]],'DB Money Supply'!$A:$E,5)</f>
        <v/>
      </c>
      <c r="C522" s="31">
        <f>(Table26[[#This Row],[M2 Money Stock, Billions of Dollars, Monthly, Seasonally Adjusted]]-B521)/B521</f>
        <v/>
      </c>
      <c r="D522" s="32">
        <f>((1+Table26[[#This Row],[Monthly change]])^12)-1</f>
        <v/>
      </c>
    </row>
    <row r="523">
      <c r="A523" s="57" t="n">
        <v>37288</v>
      </c>
      <c r="B523" s="59">
        <f>VLOOKUP(Table26[[#This Row],[Date]],'DB Money Supply'!$A:$E,5)</f>
        <v/>
      </c>
      <c r="C523" s="31">
        <f>(Table26[[#This Row],[M2 Money Stock, Billions of Dollars, Monthly, Seasonally Adjusted]]-B522)/B522</f>
        <v/>
      </c>
      <c r="D523" s="32">
        <f>((1+Table26[[#This Row],[Monthly change]])^12)-1</f>
        <v/>
      </c>
    </row>
    <row r="524">
      <c r="A524" s="34" t="n">
        <v>37316</v>
      </c>
      <c r="B524" s="59">
        <f>VLOOKUP(Table26[[#This Row],[Date]],'DB Money Supply'!$A:$E,5)</f>
        <v/>
      </c>
      <c r="C524" s="31">
        <f>(Table26[[#This Row],[M2 Money Stock, Billions of Dollars, Monthly, Seasonally Adjusted]]-B523)/B523</f>
        <v/>
      </c>
      <c r="D524" s="32">
        <f>((1+Table26[[#This Row],[Monthly change]])^12)-1</f>
        <v/>
      </c>
    </row>
    <row r="525">
      <c r="A525" s="57" t="n">
        <v>37347</v>
      </c>
      <c r="B525" s="59">
        <f>VLOOKUP(Table26[[#This Row],[Date]],'DB Money Supply'!$A:$E,5)</f>
        <v/>
      </c>
      <c r="C525" s="31">
        <f>(Table26[[#This Row],[M2 Money Stock, Billions of Dollars, Monthly, Seasonally Adjusted]]-B524)/B524</f>
        <v/>
      </c>
      <c r="D525" s="32">
        <f>((1+Table26[[#This Row],[Monthly change]])^12)-1</f>
        <v/>
      </c>
    </row>
    <row r="526">
      <c r="A526" s="34" t="n">
        <v>37377</v>
      </c>
      <c r="B526" s="59">
        <f>VLOOKUP(Table26[[#This Row],[Date]],'DB Money Supply'!$A:$E,5)</f>
        <v/>
      </c>
      <c r="C526" s="31">
        <f>(Table26[[#This Row],[M2 Money Stock, Billions of Dollars, Monthly, Seasonally Adjusted]]-B525)/B525</f>
        <v/>
      </c>
      <c r="D526" s="32">
        <f>((1+Table26[[#This Row],[Monthly change]])^12)-1</f>
        <v/>
      </c>
    </row>
    <row r="527">
      <c r="A527" s="57" t="n">
        <v>37408</v>
      </c>
      <c r="B527" s="59">
        <f>VLOOKUP(Table26[[#This Row],[Date]],'DB Money Supply'!$A:$E,5)</f>
        <v/>
      </c>
      <c r="C527" s="31">
        <f>(Table26[[#This Row],[M2 Money Stock, Billions of Dollars, Monthly, Seasonally Adjusted]]-B526)/B526</f>
        <v/>
      </c>
      <c r="D527" s="32">
        <f>((1+Table26[[#This Row],[Monthly change]])^12)-1</f>
        <v/>
      </c>
    </row>
    <row r="528">
      <c r="A528" s="34" t="n">
        <v>37438</v>
      </c>
      <c r="B528" s="59">
        <f>VLOOKUP(Table26[[#This Row],[Date]],'DB Money Supply'!$A:$E,5)</f>
        <v/>
      </c>
      <c r="C528" s="31">
        <f>(Table26[[#This Row],[M2 Money Stock, Billions of Dollars, Monthly, Seasonally Adjusted]]-B527)/B527</f>
        <v/>
      </c>
      <c r="D528" s="32">
        <f>((1+Table26[[#This Row],[Monthly change]])^12)-1</f>
        <v/>
      </c>
    </row>
    <row r="529">
      <c r="A529" s="57" t="n">
        <v>37469</v>
      </c>
      <c r="B529" s="59">
        <f>VLOOKUP(Table26[[#This Row],[Date]],'DB Money Supply'!$A:$E,5)</f>
        <v/>
      </c>
      <c r="C529" s="31">
        <f>(Table26[[#This Row],[M2 Money Stock, Billions of Dollars, Monthly, Seasonally Adjusted]]-B528)/B528</f>
        <v/>
      </c>
      <c r="D529" s="32">
        <f>((1+Table26[[#This Row],[Monthly change]])^12)-1</f>
        <v/>
      </c>
    </row>
    <row r="530">
      <c r="A530" s="34" t="n">
        <v>37500</v>
      </c>
      <c r="B530" s="59">
        <f>VLOOKUP(Table26[[#This Row],[Date]],'DB Money Supply'!$A:$E,5)</f>
        <v/>
      </c>
      <c r="C530" s="31">
        <f>(Table26[[#This Row],[M2 Money Stock, Billions of Dollars, Monthly, Seasonally Adjusted]]-B529)/B529</f>
        <v/>
      </c>
      <c r="D530" s="32">
        <f>((1+Table26[[#This Row],[Monthly change]])^12)-1</f>
        <v/>
      </c>
    </row>
    <row r="531">
      <c r="A531" s="57" t="n">
        <v>37530</v>
      </c>
      <c r="B531" s="59">
        <f>VLOOKUP(Table26[[#This Row],[Date]],'DB Money Supply'!$A:$E,5)</f>
        <v/>
      </c>
      <c r="C531" s="31">
        <f>(Table26[[#This Row],[M2 Money Stock, Billions of Dollars, Monthly, Seasonally Adjusted]]-B530)/B530</f>
        <v/>
      </c>
      <c r="D531" s="32">
        <f>((1+Table26[[#This Row],[Monthly change]])^12)-1</f>
        <v/>
      </c>
    </row>
    <row r="532">
      <c r="A532" s="34" t="n">
        <v>37561</v>
      </c>
      <c r="B532" s="59">
        <f>VLOOKUP(Table26[[#This Row],[Date]],'DB Money Supply'!$A:$E,5)</f>
        <v/>
      </c>
      <c r="C532" s="31">
        <f>(Table26[[#This Row],[M2 Money Stock, Billions of Dollars, Monthly, Seasonally Adjusted]]-B531)/B531</f>
        <v/>
      </c>
      <c r="D532" s="32">
        <f>((1+Table26[[#This Row],[Monthly change]])^12)-1</f>
        <v/>
      </c>
    </row>
    <row r="533">
      <c r="A533" s="57" t="n">
        <v>37591</v>
      </c>
      <c r="B533" s="59">
        <f>VLOOKUP(Table26[[#This Row],[Date]],'DB Money Supply'!$A:$E,5)</f>
        <v/>
      </c>
      <c r="C533" s="31">
        <f>(Table26[[#This Row],[M2 Money Stock, Billions of Dollars, Monthly, Seasonally Adjusted]]-B532)/B532</f>
        <v/>
      </c>
      <c r="D533" s="32">
        <f>((1+Table26[[#This Row],[Monthly change]])^12)-1</f>
        <v/>
      </c>
    </row>
    <row r="534">
      <c r="A534" s="34" t="n">
        <v>37622</v>
      </c>
      <c r="B534" s="59">
        <f>VLOOKUP(Table26[[#This Row],[Date]],'DB Money Supply'!$A:$E,5)</f>
        <v/>
      </c>
      <c r="C534" s="31">
        <f>(Table26[[#This Row],[M2 Money Stock, Billions of Dollars, Monthly, Seasonally Adjusted]]-B533)/B533</f>
        <v/>
      </c>
      <c r="D534" s="32">
        <f>((1+Table26[[#This Row],[Monthly change]])^12)-1</f>
        <v/>
      </c>
    </row>
    <row r="535">
      <c r="A535" s="57" t="n">
        <v>37653</v>
      </c>
      <c r="B535" s="59">
        <f>VLOOKUP(Table26[[#This Row],[Date]],'DB Money Supply'!$A:$E,5)</f>
        <v/>
      </c>
      <c r="C535" s="31">
        <f>(Table26[[#This Row],[M2 Money Stock, Billions of Dollars, Monthly, Seasonally Adjusted]]-B534)/B534</f>
        <v/>
      </c>
      <c r="D535" s="32">
        <f>((1+Table26[[#This Row],[Monthly change]])^12)-1</f>
        <v/>
      </c>
    </row>
    <row r="536">
      <c r="A536" s="34" t="n">
        <v>37681</v>
      </c>
      <c r="B536" s="59">
        <f>VLOOKUP(Table26[[#This Row],[Date]],'DB Money Supply'!$A:$E,5)</f>
        <v/>
      </c>
      <c r="C536" s="31">
        <f>(Table26[[#This Row],[M2 Money Stock, Billions of Dollars, Monthly, Seasonally Adjusted]]-B535)/B535</f>
        <v/>
      </c>
      <c r="D536" s="32">
        <f>((1+Table26[[#This Row],[Monthly change]])^12)-1</f>
        <v/>
      </c>
    </row>
    <row r="537">
      <c r="A537" s="57" t="n">
        <v>37712</v>
      </c>
      <c r="B537" s="59">
        <f>VLOOKUP(Table26[[#This Row],[Date]],'DB Money Supply'!$A:$E,5)</f>
        <v/>
      </c>
      <c r="C537" s="31">
        <f>(Table26[[#This Row],[M2 Money Stock, Billions of Dollars, Monthly, Seasonally Adjusted]]-B536)/B536</f>
        <v/>
      </c>
      <c r="D537" s="32">
        <f>((1+Table26[[#This Row],[Monthly change]])^12)-1</f>
        <v/>
      </c>
    </row>
    <row r="538">
      <c r="A538" s="57" t="n">
        <v>37742</v>
      </c>
      <c r="B538" s="59">
        <f>VLOOKUP(Table26[[#This Row],[Date]],'DB Money Supply'!$A:$E,5)</f>
        <v/>
      </c>
      <c r="C538" s="31">
        <f>(Table26[[#This Row],[M2 Money Stock, Billions of Dollars, Monthly, Seasonally Adjusted]]-B537)/B537</f>
        <v/>
      </c>
      <c r="D538" s="32">
        <f>((1+Table26[[#This Row],[Monthly change]])^12)-1</f>
        <v/>
      </c>
    </row>
    <row r="539">
      <c r="A539" s="34" t="n">
        <v>37773</v>
      </c>
      <c r="B539" s="59">
        <f>VLOOKUP(Table26[[#This Row],[Date]],'DB Money Supply'!$A:$E,5)</f>
        <v/>
      </c>
      <c r="C539" s="31">
        <f>(Table26[[#This Row],[M2 Money Stock, Billions of Dollars, Monthly, Seasonally Adjusted]]-B538)/B538</f>
        <v/>
      </c>
      <c r="D539" s="32">
        <f>((1+Table26[[#This Row],[Monthly change]])^12)-1</f>
        <v/>
      </c>
    </row>
    <row r="540">
      <c r="A540" s="57" t="n">
        <v>37803</v>
      </c>
      <c r="B540" s="59">
        <f>VLOOKUP(Table26[[#This Row],[Date]],'DB Money Supply'!$A:$E,5)</f>
        <v/>
      </c>
      <c r="C540" s="31">
        <f>(Table26[[#This Row],[M2 Money Stock, Billions of Dollars, Monthly, Seasonally Adjusted]]-B539)/B539</f>
        <v/>
      </c>
      <c r="D540" s="32">
        <f>((1+Table26[[#This Row],[Monthly change]])^12)-1</f>
        <v/>
      </c>
    </row>
    <row r="541">
      <c r="A541" s="34" t="n">
        <v>37834</v>
      </c>
      <c r="B541" s="59">
        <f>VLOOKUP(Table26[[#This Row],[Date]],'DB Money Supply'!$A:$E,5)</f>
        <v/>
      </c>
      <c r="C541" s="31">
        <f>(Table26[[#This Row],[M2 Money Stock, Billions of Dollars, Monthly, Seasonally Adjusted]]-B540)/B540</f>
        <v/>
      </c>
      <c r="D541" s="32">
        <f>((1+Table26[[#This Row],[Monthly change]])^12)-1</f>
        <v/>
      </c>
    </row>
    <row r="542">
      <c r="A542" s="57" t="n">
        <v>37865</v>
      </c>
      <c r="B542" s="59">
        <f>VLOOKUP(Table26[[#This Row],[Date]],'DB Money Supply'!$A:$E,5)</f>
        <v/>
      </c>
      <c r="C542" s="31">
        <f>(Table26[[#This Row],[M2 Money Stock, Billions of Dollars, Monthly, Seasonally Adjusted]]-B541)/B541</f>
        <v/>
      </c>
      <c r="D542" s="32">
        <f>((1+Table26[[#This Row],[Monthly change]])^12)-1</f>
        <v/>
      </c>
    </row>
    <row r="543">
      <c r="A543" s="34" t="n">
        <v>37895</v>
      </c>
      <c r="B543" s="59">
        <f>VLOOKUP(Table26[[#This Row],[Date]],'DB Money Supply'!$A:$E,5)</f>
        <v/>
      </c>
      <c r="C543" s="31">
        <f>(Table26[[#This Row],[M2 Money Stock, Billions of Dollars, Monthly, Seasonally Adjusted]]-B542)/B542</f>
        <v/>
      </c>
      <c r="D543" s="32">
        <f>((1+Table26[[#This Row],[Monthly change]])^12)-1</f>
        <v/>
      </c>
    </row>
    <row r="544">
      <c r="A544" s="57" t="n">
        <v>37926</v>
      </c>
      <c r="B544" s="59">
        <f>VLOOKUP(Table26[[#This Row],[Date]],'DB Money Supply'!$A:$E,5)</f>
        <v/>
      </c>
      <c r="C544" s="31">
        <f>(Table26[[#This Row],[M2 Money Stock, Billions of Dollars, Monthly, Seasonally Adjusted]]-B543)/B543</f>
        <v/>
      </c>
      <c r="D544" s="32">
        <f>((1+Table26[[#This Row],[Monthly change]])^12)-1</f>
        <v/>
      </c>
    </row>
    <row r="545">
      <c r="A545" s="34" t="n">
        <v>37956</v>
      </c>
      <c r="B545" s="59">
        <f>VLOOKUP(Table26[[#This Row],[Date]],'DB Money Supply'!$A:$E,5)</f>
        <v/>
      </c>
      <c r="C545" s="31">
        <f>(Table26[[#This Row],[M2 Money Stock, Billions of Dollars, Monthly, Seasonally Adjusted]]-B544)/B544</f>
        <v/>
      </c>
      <c r="D545" s="32">
        <f>((1+Table26[[#This Row],[Monthly change]])^12)-1</f>
        <v/>
      </c>
    </row>
    <row r="546">
      <c r="A546" s="57" t="n">
        <v>37987</v>
      </c>
      <c r="B546" s="59">
        <f>VLOOKUP(Table26[[#This Row],[Date]],'DB Money Supply'!$A:$E,5)</f>
        <v/>
      </c>
      <c r="C546" s="31">
        <f>(Table26[[#This Row],[M2 Money Stock, Billions of Dollars, Monthly, Seasonally Adjusted]]-B545)/B545</f>
        <v/>
      </c>
      <c r="D546" s="32">
        <f>((1+Table26[[#This Row],[Monthly change]])^12)-1</f>
        <v/>
      </c>
    </row>
    <row r="547">
      <c r="A547" s="34" t="n">
        <v>38018</v>
      </c>
      <c r="B547" s="59">
        <f>VLOOKUP(Table26[[#This Row],[Date]],'DB Money Supply'!$A:$E,5)</f>
        <v/>
      </c>
      <c r="C547" s="31">
        <f>(Table26[[#This Row],[M2 Money Stock, Billions of Dollars, Monthly, Seasonally Adjusted]]-B546)/B546</f>
        <v/>
      </c>
      <c r="D547" s="32">
        <f>((1+Table26[[#This Row],[Monthly change]])^12)-1</f>
        <v/>
      </c>
    </row>
    <row r="548">
      <c r="A548" s="57" t="n">
        <v>38047</v>
      </c>
      <c r="B548" s="59">
        <f>VLOOKUP(Table26[[#This Row],[Date]],'DB Money Supply'!$A:$E,5)</f>
        <v/>
      </c>
      <c r="C548" s="31">
        <f>(Table26[[#This Row],[M2 Money Stock, Billions of Dollars, Monthly, Seasonally Adjusted]]-B547)/B547</f>
        <v/>
      </c>
      <c r="D548" s="32">
        <f>((1+Table26[[#This Row],[Monthly change]])^12)-1</f>
        <v/>
      </c>
    </row>
    <row r="549">
      <c r="A549" s="34" t="n">
        <v>38078</v>
      </c>
      <c r="B549" s="59">
        <f>VLOOKUP(Table26[[#This Row],[Date]],'DB Money Supply'!$A:$E,5)</f>
        <v/>
      </c>
      <c r="C549" s="31">
        <f>(Table26[[#This Row],[M2 Money Stock, Billions of Dollars, Monthly, Seasonally Adjusted]]-B548)/B548</f>
        <v/>
      </c>
      <c r="D549" s="32">
        <f>((1+Table26[[#This Row],[Monthly change]])^12)-1</f>
        <v/>
      </c>
    </row>
    <row r="550">
      <c r="A550" s="57" t="n">
        <v>38108</v>
      </c>
      <c r="B550" s="59">
        <f>VLOOKUP(Table26[[#This Row],[Date]],'DB Money Supply'!$A:$E,5)</f>
        <v/>
      </c>
      <c r="C550" s="31">
        <f>(Table26[[#This Row],[M2 Money Stock, Billions of Dollars, Monthly, Seasonally Adjusted]]-B549)/B549</f>
        <v/>
      </c>
      <c r="D550" s="32">
        <f>((1+Table26[[#This Row],[Monthly change]])^12)-1</f>
        <v/>
      </c>
    </row>
    <row r="551">
      <c r="A551" s="34" t="n">
        <v>38139</v>
      </c>
      <c r="B551" s="59">
        <f>VLOOKUP(Table26[[#This Row],[Date]],'DB Money Supply'!$A:$E,5)</f>
        <v/>
      </c>
      <c r="C551" s="31">
        <f>(Table26[[#This Row],[M2 Money Stock, Billions of Dollars, Monthly, Seasonally Adjusted]]-B550)/B550</f>
        <v/>
      </c>
      <c r="D551" s="32">
        <f>((1+Table26[[#This Row],[Monthly change]])^12)-1</f>
        <v/>
      </c>
    </row>
    <row r="552">
      <c r="A552" s="57" t="n">
        <v>38169</v>
      </c>
      <c r="B552" s="59">
        <f>VLOOKUP(Table26[[#This Row],[Date]],'DB Money Supply'!$A:$E,5)</f>
        <v/>
      </c>
      <c r="C552" s="31">
        <f>(Table26[[#This Row],[M2 Money Stock, Billions of Dollars, Monthly, Seasonally Adjusted]]-B551)/B551</f>
        <v/>
      </c>
      <c r="D552" s="32">
        <f>((1+Table26[[#This Row],[Monthly change]])^12)-1</f>
        <v/>
      </c>
    </row>
    <row r="553">
      <c r="A553" s="34" t="n">
        <v>38200</v>
      </c>
      <c r="B553" s="59">
        <f>VLOOKUP(Table26[[#This Row],[Date]],'DB Money Supply'!$A:$E,5)</f>
        <v/>
      </c>
      <c r="C553" s="31">
        <f>(Table26[[#This Row],[M2 Money Stock, Billions of Dollars, Monthly, Seasonally Adjusted]]-B552)/B552</f>
        <v/>
      </c>
      <c r="D553" s="32">
        <f>((1+Table26[[#This Row],[Monthly change]])^12)-1</f>
        <v/>
      </c>
    </row>
    <row r="554">
      <c r="A554" s="57" t="n">
        <v>38231</v>
      </c>
      <c r="B554" s="59">
        <f>VLOOKUP(Table26[[#This Row],[Date]],'DB Money Supply'!$A:$E,5)</f>
        <v/>
      </c>
      <c r="C554" s="31">
        <f>(Table26[[#This Row],[M2 Money Stock, Billions of Dollars, Monthly, Seasonally Adjusted]]-B553)/B553</f>
        <v/>
      </c>
      <c r="D554" s="32">
        <f>((1+Table26[[#This Row],[Monthly change]])^12)-1</f>
        <v/>
      </c>
    </row>
    <row r="555">
      <c r="A555" s="34" t="n">
        <v>38261</v>
      </c>
      <c r="B555" s="59">
        <f>VLOOKUP(Table26[[#This Row],[Date]],'DB Money Supply'!$A:$E,5)</f>
        <v/>
      </c>
      <c r="C555" s="31">
        <f>(Table26[[#This Row],[M2 Money Stock, Billions of Dollars, Monthly, Seasonally Adjusted]]-B554)/B554</f>
        <v/>
      </c>
      <c r="D555" s="32">
        <f>((1+Table26[[#This Row],[Monthly change]])^12)-1</f>
        <v/>
      </c>
    </row>
    <row r="556">
      <c r="A556" s="57" t="n">
        <v>38292</v>
      </c>
      <c r="B556" s="59">
        <f>VLOOKUP(Table26[[#This Row],[Date]],'DB Money Supply'!$A:$E,5)</f>
        <v/>
      </c>
      <c r="C556" s="31">
        <f>(Table26[[#This Row],[M2 Money Stock, Billions of Dollars, Monthly, Seasonally Adjusted]]-B555)/B555</f>
        <v/>
      </c>
      <c r="D556" s="32">
        <f>((1+Table26[[#This Row],[Monthly change]])^12)-1</f>
        <v/>
      </c>
    </row>
    <row r="557">
      <c r="A557" s="57" t="n">
        <v>38322</v>
      </c>
      <c r="B557" s="59">
        <f>VLOOKUP(Table26[[#This Row],[Date]],'DB Money Supply'!$A:$E,5)</f>
        <v/>
      </c>
      <c r="C557" s="31">
        <f>(Table26[[#This Row],[M2 Money Stock, Billions of Dollars, Monthly, Seasonally Adjusted]]-B556)/B556</f>
        <v/>
      </c>
      <c r="D557" s="32">
        <f>((1+Table26[[#This Row],[Monthly change]])^12)-1</f>
        <v/>
      </c>
    </row>
    <row r="558">
      <c r="A558" s="34" t="n">
        <v>38353</v>
      </c>
      <c r="B558" s="59">
        <f>VLOOKUP(Table26[[#This Row],[Date]],'DB Money Supply'!$A:$E,5)</f>
        <v/>
      </c>
      <c r="C558" s="31">
        <f>(Table26[[#This Row],[M2 Money Stock, Billions of Dollars, Monthly, Seasonally Adjusted]]-B557)/B557</f>
        <v/>
      </c>
      <c r="D558" s="32">
        <f>((1+Table26[[#This Row],[Monthly change]])^12)-1</f>
        <v/>
      </c>
    </row>
    <row r="559">
      <c r="A559" s="57" t="n">
        <v>38384</v>
      </c>
      <c r="B559" s="59">
        <f>VLOOKUP(Table26[[#This Row],[Date]],'DB Money Supply'!$A:$E,5)</f>
        <v/>
      </c>
      <c r="C559" s="31">
        <f>(Table26[[#This Row],[M2 Money Stock, Billions of Dollars, Monthly, Seasonally Adjusted]]-B558)/B558</f>
        <v/>
      </c>
      <c r="D559" s="32">
        <f>((1+Table26[[#This Row],[Monthly change]])^12)-1</f>
        <v/>
      </c>
    </row>
    <row r="560">
      <c r="A560" s="34" t="n">
        <v>38412</v>
      </c>
      <c r="B560" s="59">
        <f>VLOOKUP(Table26[[#This Row],[Date]],'DB Money Supply'!$A:$E,5)</f>
        <v/>
      </c>
      <c r="C560" s="31">
        <f>(Table26[[#This Row],[M2 Money Stock, Billions of Dollars, Monthly, Seasonally Adjusted]]-B559)/B559</f>
        <v/>
      </c>
      <c r="D560" s="32">
        <f>((1+Table26[[#This Row],[Monthly change]])^12)-1</f>
        <v/>
      </c>
    </row>
    <row r="561">
      <c r="A561" s="57" t="n">
        <v>38443</v>
      </c>
      <c r="B561" s="59">
        <f>VLOOKUP(Table26[[#This Row],[Date]],'DB Money Supply'!$A:$E,5)</f>
        <v/>
      </c>
      <c r="C561" s="31">
        <f>(Table26[[#This Row],[M2 Money Stock, Billions of Dollars, Monthly, Seasonally Adjusted]]-B560)/B560</f>
        <v/>
      </c>
      <c r="D561" s="32">
        <f>((1+Table26[[#This Row],[Monthly change]])^12)-1</f>
        <v/>
      </c>
    </row>
    <row r="562">
      <c r="A562" s="34" t="n">
        <v>38473</v>
      </c>
      <c r="B562" s="59">
        <f>VLOOKUP(Table26[[#This Row],[Date]],'DB Money Supply'!$A:$E,5)</f>
        <v/>
      </c>
      <c r="C562" s="31">
        <f>(Table26[[#This Row],[M2 Money Stock, Billions of Dollars, Monthly, Seasonally Adjusted]]-B561)/B561</f>
        <v/>
      </c>
      <c r="D562" s="32">
        <f>((1+Table26[[#This Row],[Monthly change]])^12)-1</f>
        <v/>
      </c>
    </row>
    <row r="563">
      <c r="A563" s="57" t="n">
        <v>38504</v>
      </c>
      <c r="B563" s="59">
        <f>VLOOKUP(Table26[[#This Row],[Date]],'DB Money Supply'!$A:$E,5)</f>
        <v/>
      </c>
      <c r="C563" s="31">
        <f>(Table26[[#This Row],[M2 Money Stock, Billions of Dollars, Monthly, Seasonally Adjusted]]-B562)/B562</f>
        <v/>
      </c>
      <c r="D563" s="32">
        <f>((1+Table26[[#This Row],[Monthly change]])^12)-1</f>
        <v/>
      </c>
    </row>
    <row r="564">
      <c r="A564" s="34" t="n">
        <v>38534</v>
      </c>
      <c r="B564" s="59">
        <f>VLOOKUP(Table26[[#This Row],[Date]],'DB Money Supply'!$A:$E,5)</f>
        <v/>
      </c>
      <c r="C564" s="31">
        <f>(Table26[[#This Row],[M2 Money Stock, Billions of Dollars, Monthly, Seasonally Adjusted]]-B563)/B563</f>
        <v/>
      </c>
      <c r="D564" s="32">
        <f>((1+Table26[[#This Row],[Monthly change]])^12)-1</f>
        <v/>
      </c>
    </row>
    <row r="565">
      <c r="A565" s="57" t="n">
        <v>38565</v>
      </c>
      <c r="B565" s="59">
        <f>VLOOKUP(Table26[[#This Row],[Date]],'DB Money Supply'!$A:$E,5)</f>
        <v/>
      </c>
      <c r="C565" s="31">
        <f>(Table26[[#This Row],[M2 Money Stock, Billions of Dollars, Monthly, Seasonally Adjusted]]-B564)/B564</f>
        <v/>
      </c>
      <c r="D565" s="32">
        <f>((1+Table26[[#This Row],[Monthly change]])^12)-1</f>
        <v/>
      </c>
    </row>
    <row r="566">
      <c r="A566" s="34" t="n">
        <v>38596</v>
      </c>
      <c r="B566" s="59">
        <f>VLOOKUP(Table26[[#This Row],[Date]],'DB Money Supply'!$A:$E,5)</f>
        <v/>
      </c>
      <c r="C566" s="31">
        <f>(Table26[[#This Row],[M2 Money Stock, Billions of Dollars, Monthly, Seasonally Adjusted]]-B565)/B565</f>
        <v/>
      </c>
      <c r="D566" s="32">
        <f>((1+Table26[[#This Row],[Monthly change]])^12)-1</f>
        <v/>
      </c>
    </row>
    <row r="567">
      <c r="A567" s="57" t="n">
        <v>38626</v>
      </c>
      <c r="B567" s="59">
        <f>VLOOKUP(Table26[[#This Row],[Date]],'DB Money Supply'!$A:$E,5)</f>
        <v/>
      </c>
      <c r="C567" s="31">
        <f>(Table26[[#This Row],[M2 Money Stock, Billions of Dollars, Monthly, Seasonally Adjusted]]-B566)/B566</f>
        <v/>
      </c>
      <c r="D567" s="32">
        <f>((1+Table26[[#This Row],[Monthly change]])^12)-1</f>
        <v/>
      </c>
    </row>
    <row r="568">
      <c r="A568" s="34" t="n">
        <v>38657</v>
      </c>
      <c r="B568" s="59">
        <f>VLOOKUP(Table26[[#This Row],[Date]],'DB Money Supply'!$A:$E,5)</f>
        <v/>
      </c>
      <c r="C568" s="31">
        <f>(Table26[[#This Row],[M2 Money Stock, Billions of Dollars, Monthly, Seasonally Adjusted]]-B567)/B567</f>
        <v/>
      </c>
      <c r="D568" s="32">
        <f>((1+Table26[[#This Row],[Monthly change]])^12)-1</f>
        <v/>
      </c>
    </row>
    <row r="569">
      <c r="A569" s="57" t="n">
        <v>38687</v>
      </c>
      <c r="B569" s="59">
        <f>VLOOKUP(Table26[[#This Row],[Date]],'DB Money Supply'!$A:$E,5)</f>
        <v/>
      </c>
      <c r="C569" s="31">
        <f>(Table26[[#This Row],[M2 Money Stock, Billions of Dollars, Monthly, Seasonally Adjusted]]-B568)/B568</f>
        <v/>
      </c>
      <c r="D569" s="32">
        <f>((1+Table26[[#This Row],[Monthly change]])^12)-1</f>
        <v/>
      </c>
    </row>
    <row r="570">
      <c r="A570" s="34" t="n">
        <v>38718</v>
      </c>
      <c r="B570" s="59">
        <f>VLOOKUP(Table26[[#This Row],[Date]],'DB Money Supply'!$A:$E,5)</f>
        <v/>
      </c>
      <c r="C570" s="31">
        <f>(Table26[[#This Row],[M2 Money Stock, Billions of Dollars, Monthly, Seasonally Adjusted]]-B569)/B569</f>
        <v/>
      </c>
      <c r="D570" s="32">
        <f>((1+Table26[[#This Row],[Monthly change]])^12)-1</f>
        <v/>
      </c>
    </row>
    <row r="571">
      <c r="A571" s="57" t="n">
        <v>38749</v>
      </c>
      <c r="B571" s="59">
        <f>VLOOKUP(Table26[[#This Row],[Date]],'DB Money Supply'!$A:$E,5)</f>
        <v/>
      </c>
      <c r="C571" s="31">
        <f>(Table26[[#This Row],[M2 Money Stock, Billions of Dollars, Monthly, Seasonally Adjusted]]-B570)/B570</f>
        <v/>
      </c>
      <c r="D571" s="32">
        <f>((1+Table26[[#This Row],[Monthly change]])^12)-1</f>
        <v/>
      </c>
    </row>
    <row r="572">
      <c r="A572" s="34" t="n">
        <v>38777</v>
      </c>
      <c r="B572" s="59">
        <f>VLOOKUP(Table26[[#This Row],[Date]],'DB Money Supply'!$A:$E,5)</f>
        <v/>
      </c>
      <c r="C572" s="31">
        <f>(Table26[[#This Row],[M2 Money Stock, Billions of Dollars, Monthly, Seasonally Adjusted]]-B571)/B571</f>
        <v/>
      </c>
      <c r="D572" s="32">
        <f>((1+Table26[[#This Row],[Monthly change]])^12)-1</f>
        <v/>
      </c>
    </row>
    <row r="573">
      <c r="A573" s="57" t="n">
        <v>38808</v>
      </c>
      <c r="B573" s="59">
        <f>VLOOKUP(Table26[[#This Row],[Date]],'DB Money Supply'!$A:$E,5)</f>
        <v/>
      </c>
      <c r="C573" s="31">
        <f>(Table26[[#This Row],[M2 Money Stock, Billions of Dollars, Monthly, Seasonally Adjusted]]-B572)/B572</f>
        <v/>
      </c>
      <c r="D573" s="32">
        <f>((1+Table26[[#This Row],[Monthly change]])^12)-1</f>
        <v/>
      </c>
    </row>
    <row r="574">
      <c r="A574" s="34" t="n">
        <v>38838</v>
      </c>
      <c r="B574" s="59">
        <f>VLOOKUP(Table26[[#This Row],[Date]],'DB Money Supply'!$A:$E,5)</f>
        <v/>
      </c>
      <c r="C574" s="31">
        <f>(Table26[[#This Row],[M2 Money Stock, Billions of Dollars, Monthly, Seasonally Adjusted]]-B573)/B573</f>
        <v/>
      </c>
      <c r="D574" s="32">
        <f>((1+Table26[[#This Row],[Monthly change]])^12)-1</f>
        <v/>
      </c>
    </row>
    <row r="575">
      <c r="A575" s="57" t="n">
        <v>38869</v>
      </c>
      <c r="B575" s="59">
        <f>VLOOKUP(Table26[[#This Row],[Date]],'DB Money Supply'!$A:$E,5)</f>
        <v/>
      </c>
      <c r="C575" s="31">
        <f>(Table26[[#This Row],[M2 Money Stock, Billions of Dollars, Monthly, Seasonally Adjusted]]-B574)/B574</f>
        <v/>
      </c>
      <c r="D575" s="32">
        <f>((1+Table26[[#This Row],[Monthly change]])^12)-1</f>
        <v/>
      </c>
    </row>
    <row r="576">
      <c r="A576" s="57" t="n">
        <v>38899</v>
      </c>
      <c r="B576" s="59">
        <f>VLOOKUP(Table26[[#This Row],[Date]],'DB Money Supply'!$A:$E,5)</f>
        <v/>
      </c>
      <c r="C576" s="31">
        <f>(Table26[[#This Row],[M2 Money Stock, Billions of Dollars, Monthly, Seasonally Adjusted]]-B575)/B575</f>
        <v/>
      </c>
      <c r="D576" s="32">
        <f>((1+Table26[[#This Row],[Monthly change]])^12)-1</f>
        <v/>
      </c>
    </row>
    <row r="577">
      <c r="A577" s="34" t="n">
        <v>38930</v>
      </c>
      <c r="B577" s="59">
        <f>VLOOKUP(Table26[[#This Row],[Date]],'DB Money Supply'!$A:$E,5)</f>
        <v/>
      </c>
      <c r="C577" s="31">
        <f>(Table26[[#This Row],[M2 Money Stock, Billions of Dollars, Monthly, Seasonally Adjusted]]-B576)/B576</f>
        <v/>
      </c>
      <c r="D577" s="32">
        <f>((1+Table26[[#This Row],[Monthly change]])^12)-1</f>
        <v/>
      </c>
    </row>
    <row r="578">
      <c r="A578" s="57" t="n">
        <v>38961</v>
      </c>
      <c r="B578" s="59">
        <f>VLOOKUP(Table26[[#This Row],[Date]],'DB Money Supply'!$A:$E,5)</f>
        <v/>
      </c>
      <c r="C578" s="31">
        <f>(Table26[[#This Row],[M2 Money Stock, Billions of Dollars, Monthly, Seasonally Adjusted]]-B577)/B577</f>
        <v/>
      </c>
      <c r="D578" s="32">
        <f>((1+Table26[[#This Row],[Monthly change]])^12)-1</f>
        <v/>
      </c>
    </row>
    <row r="579">
      <c r="A579" s="34" t="n">
        <v>38991</v>
      </c>
      <c r="B579" s="59">
        <f>VLOOKUP(Table26[[#This Row],[Date]],'DB Money Supply'!$A:$E,5)</f>
        <v/>
      </c>
      <c r="C579" s="31">
        <f>(Table26[[#This Row],[M2 Money Stock, Billions of Dollars, Monthly, Seasonally Adjusted]]-B578)/B578</f>
        <v/>
      </c>
      <c r="D579" s="32">
        <f>((1+Table26[[#This Row],[Monthly change]])^12)-1</f>
        <v/>
      </c>
    </row>
    <row r="580">
      <c r="A580" s="57" t="n">
        <v>39022</v>
      </c>
      <c r="B580" s="59">
        <f>VLOOKUP(Table26[[#This Row],[Date]],'DB Money Supply'!$A:$E,5)</f>
        <v/>
      </c>
      <c r="C580" s="31">
        <f>(Table26[[#This Row],[M2 Money Stock, Billions of Dollars, Monthly, Seasonally Adjusted]]-B579)/B579</f>
        <v/>
      </c>
      <c r="D580" s="32">
        <f>((1+Table26[[#This Row],[Monthly change]])^12)-1</f>
        <v/>
      </c>
    </row>
    <row r="581">
      <c r="A581" s="34" t="n">
        <v>39052</v>
      </c>
      <c r="B581" s="59">
        <f>VLOOKUP(Table26[[#This Row],[Date]],'DB Money Supply'!$A:$E,5)</f>
        <v/>
      </c>
      <c r="C581" s="31">
        <f>(Table26[[#This Row],[M2 Money Stock, Billions of Dollars, Monthly, Seasonally Adjusted]]-B580)/B580</f>
        <v/>
      </c>
      <c r="D581" s="32">
        <f>((1+Table26[[#This Row],[Monthly change]])^12)-1</f>
        <v/>
      </c>
    </row>
    <row r="582">
      <c r="A582" s="57" t="n">
        <v>39083</v>
      </c>
      <c r="B582" s="59">
        <f>VLOOKUP(Table26[[#This Row],[Date]],'DB Money Supply'!$A:$E,5)</f>
        <v/>
      </c>
      <c r="C582" s="31">
        <f>(Table26[[#This Row],[M2 Money Stock, Billions of Dollars, Monthly, Seasonally Adjusted]]-B581)/B581</f>
        <v/>
      </c>
      <c r="D582" s="32">
        <f>((1+Table26[[#This Row],[Monthly change]])^12)-1</f>
        <v/>
      </c>
    </row>
    <row r="583">
      <c r="A583" s="34" t="n">
        <v>39114</v>
      </c>
      <c r="B583" s="59">
        <f>VLOOKUP(Table26[[#This Row],[Date]],'DB Money Supply'!$A:$E,5)</f>
        <v/>
      </c>
      <c r="C583" s="31">
        <f>(Table26[[#This Row],[M2 Money Stock, Billions of Dollars, Monthly, Seasonally Adjusted]]-B582)/B582</f>
        <v/>
      </c>
      <c r="D583" s="32">
        <f>((1+Table26[[#This Row],[Monthly change]])^12)-1</f>
        <v/>
      </c>
    </row>
    <row r="584">
      <c r="A584" s="57" t="n">
        <v>39142</v>
      </c>
      <c r="B584" s="59">
        <f>VLOOKUP(Table26[[#This Row],[Date]],'DB Money Supply'!$A:$E,5)</f>
        <v/>
      </c>
      <c r="C584" s="31">
        <f>(Table26[[#This Row],[M2 Money Stock, Billions of Dollars, Monthly, Seasonally Adjusted]]-B583)/B583</f>
        <v/>
      </c>
      <c r="D584" s="32">
        <f>((1+Table26[[#This Row],[Monthly change]])^12)-1</f>
        <v/>
      </c>
    </row>
    <row r="585">
      <c r="A585" s="34" t="n">
        <v>39173</v>
      </c>
      <c r="B585" s="59">
        <f>VLOOKUP(Table26[[#This Row],[Date]],'DB Money Supply'!$A:$E,5)</f>
        <v/>
      </c>
      <c r="C585" s="31">
        <f>(Table26[[#This Row],[M2 Money Stock, Billions of Dollars, Monthly, Seasonally Adjusted]]-B584)/B584</f>
        <v/>
      </c>
      <c r="D585" s="32">
        <f>((1+Table26[[#This Row],[Monthly change]])^12)-1</f>
        <v/>
      </c>
    </row>
    <row r="586">
      <c r="A586" s="57" t="n">
        <v>39203</v>
      </c>
      <c r="B586" s="59">
        <f>VLOOKUP(Table26[[#This Row],[Date]],'DB Money Supply'!$A:$E,5)</f>
        <v/>
      </c>
      <c r="C586" s="31">
        <f>(Table26[[#This Row],[M2 Money Stock, Billions of Dollars, Monthly, Seasonally Adjusted]]-B585)/B585</f>
        <v/>
      </c>
      <c r="D586" s="32">
        <f>((1+Table26[[#This Row],[Monthly change]])^12)-1</f>
        <v/>
      </c>
    </row>
    <row r="587">
      <c r="A587" s="34" t="n">
        <v>39234</v>
      </c>
      <c r="B587" s="59">
        <f>VLOOKUP(Table26[[#This Row],[Date]],'DB Money Supply'!$A:$E,5)</f>
        <v/>
      </c>
      <c r="C587" s="31">
        <f>(Table26[[#This Row],[M2 Money Stock, Billions of Dollars, Monthly, Seasonally Adjusted]]-B586)/B586</f>
        <v/>
      </c>
      <c r="D587" s="32">
        <f>((1+Table26[[#This Row],[Monthly change]])^12)-1</f>
        <v/>
      </c>
    </row>
    <row r="588">
      <c r="A588" s="57" t="n">
        <v>39264</v>
      </c>
      <c r="B588" s="59">
        <f>VLOOKUP(Table26[[#This Row],[Date]],'DB Money Supply'!$A:$E,5)</f>
        <v/>
      </c>
      <c r="C588" s="31">
        <f>(Table26[[#This Row],[M2 Money Stock, Billions of Dollars, Monthly, Seasonally Adjusted]]-B587)/B587</f>
        <v/>
      </c>
      <c r="D588" s="32">
        <f>((1+Table26[[#This Row],[Monthly change]])^12)-1</f>
        <v/>
      </c>
    </row>
    <row r="589">
      <c r="A589" s="34" t="n">
        <v>39295</v>
      </c>
      <c r="B589" s="59">
        <f>VLOOKUP(Table26[[#This Row],[Date]],'DB Money Supply'!$A:$E,5)</f>
        <v/>
      </c>
      <c r="C589" s="31">
        <f>(Table26[[#This Row],[M2 Money Stock, Billions of Dollars, Monthly, Seasonally Adjusted]]-B588)/B588</f>
        <v/>
      </c>
      <c r="D589" s="32">
        <f>((1+Table26[[#This Row],[Monthly change]])^12)-1</f>
        <v/>
      </c>
    </row>
    <row r="590">
      <c r="A590" s="57" t="n">
        <v>39326</v>
      </c>
      <c r="B590" s="59">
        <f>VLOOKUP(Table26[[#This Row],[Date]],'DB Money Supply'!$A:$E,5)</f>
        <v/>
      </c>
      <c r="C590" s="31">
        <f>(Table26[[#This Row],[M2 Money Stock, Billions of Dollars, Monthly, Seasonally Adjusted]]-B589)/B589</f>
        <v/>
      </c>
      <c r="D590" s="32">
        <f>((1+Table26[[#This Row],[Monthly change]])^12)-1</f>
        <v/>
      </c>
    </row>
    <row r="591">
      <c r="A591" s="34" t="n">
        <v>39356</v>
      </c>
      <c r="B591" s="59">
        <f>VLOOKUP(Table26[[#This Row],[Date]],'DB Money Supply'!$A:$E,5)</f>
        <v/>
      </c>
      <c r="C591" s="31">
        <f>(Table26[[#This Row],[M2 Money Stock, Billions of Dollars, Monthly, Seasonally Adjusted]]-B590)/B590</f>
        <v/>
      </c>
      <c r="D591" s="32">
        <f>((1+Table26[[#This Row],[Monthly change]])^12)-1</f>
        <v/>
      </c>
    </row>
    <row r="592">
      <c r="A592" s="57" t="n">
        <v>39387</v>
      </c>
      <c r="B592" s="59">
        <f>VLOOKUP(Table26[[#This Row],[Date]],'DB Money Supply'!$A:$E,5)</f>
        <v/>
      </c>
      <c r="C592" s="31">
        <f>(Table26[[#This Row],[M2 Money Stock, Billions of Dollars, Monthly, Seasonally Adjusted]]-B591)/B591</f>
        <v/>
      </c>
      <c r="D592" s="32">
        <f>((1+Table26[[#This Row],[Monthly change]])^12)-1</f>
        <v/>
      </c>
    </row>
    <row r="593">
      <c r="A593" s="34" t="n">
        <v>39417</v>
      </c>
      <c r="B593" s="59">
        <f>VLOOKUP(Table26[[#This Row],[Date]],'DB Money Supply'!$A:$E,5)</f>
        <v/>
      </c>
      <c r="C593" s="31">
        <f>(Table26[[#This Row],[M2 Money Stock, Billions of Dollars, Monthly, Seasonally Adjusted]]-B592)/B592</f>
        <v/>
      </c>
      <c r="D593" s="32">
        <f>((1+Table26[[#This Row],[Monthly change]])^12)-1</f>
        <v/>
      </c>
    </row>
    <row r="594">
      <c r="A594" s="57" t="n">
        <v>39448</v>
      </c>
      <c r="B594" s="59">
        <f>VLOOKUP(Table26[[#This Row],[Date]],'DB Money Supply'!$A:$E,5)</f>
        <v/>
      </c>
      <c r="C594" s="31">
        <f>(Table26[[#This Row],[M2 Money Stock, Billions of Dollars, Monthly, Seasonally Adjusted]]-B593)/B593</f>
        <v/>
      </c>
      <c r="D594" s="32">
        <f>((1+Table26[[#This Row],[Monthly change]])^12)-1</f>
        <v/>
      </c>
    </row>
    <row r="595">
      <c r="A595" s="57" t="n">
        <v>39479</v>
      </c>
      <c r="B595" s="59">
        <f>VLOOKUP(Table26[[#This Row],[Date]],'DB Money Supply'!$A:$E,5)</f>
        <v/>
      </c>
      <c r="C595" s="31">
        <f>(Table26[[#This Row],[M2 Money Stock, Billions of Dollars, Monthly, Seasonally Adjusted]]-B594)/B594</f>
        <v/>
      </c>
      <c r="D595" s="32">
        <f>((1+Table26[[#This Row],[Monthly change]])^12)-1</f>
        <v/>
      </c>
    </row>
    <row r="596">
      <c r="A596" s="34" t="n">
        <v>39508</v>
      </c>
      <c r="B596" s="59">
        <f>VLOOKUP(Table26[[#This Row],[Date]],'DB Money Supply'!$A:$E,5)</f>
        <v/>
      </c>
      <c r="C596" s="31">
        <f>(Table26[[#This Row],[M2 Money Stock, Billions of Dollars, Monthly, Seasonally Adjusted]]-B595)/B595</f>
        <v/>
      </c>
      <c r="D596" s="32">
        <f>((1+Table26[[#This Row],[Monthly change]])^12)-1</f>
        <v/>
      </c>
    </row>
    <row r="597">
      <c r="A597" s="57" t="n">
        <v>39539</v>
      </c>
      <c r="B597" s="59">
        <f>VLOOKUP(Table26[[#This Row],[Date]],'DB Money Supply'!$A:$E,5)</f>
        <v/>
      </c>
      <c r="C597" s="31">
        <f>(Table26[[#This Row],[M2 Money Stock, Billions of Dollars, Monthly, Seasonally Adjusted]]-B596)/B596</f>
        <v/>
      </c>
      <c r="D597" s="32">
        <f>((1+Table26[[#This Row],[Monthly change]])^12)-1</f>
        <v/>
      </c>
    </row>
    <row r="598">
      <c r="A598" s="34" t="n">
        <v>39569</v>
      </c>
      <c r="B598" s="59">
        <f>VLOOKUP(Table26[[#This Row],[Date]],'DB Money Supply'!$A:$E,5)</f>
        <v/>
      </c>
      <c r="C598" s="31">
        <f>(Table26[[#This Row],[M2 Money Stock, Billions of Dollars, Monthly, Seasonally Adjusted]]-B597)/B597</f>
        <v/>
      </c>
      <c r="D598" s="32">
        <f>((1+Table26[[#This Row],[Monthly change]])^12)-1</f>
        <v/>
      </c>
    </row>
    <row r="599">
      <c r="A599" s="57" t="n">
        <v>39600</v>
      </c>
      <c r="B599" s="59">
        <f>VLOOKUP(Table26[[#This Row],[Date]],'DB Money Supply'!$A:$E,5)</f>
        <v/>
      </c>
      <c r="C599" s="31">
        <f>(Table26[[#This Row],[M2 Money Stock, Billions of Dollars, Monthly, Seasonally Adjusted]]-B598)/B598</f>
        <v/>
      </c>
      <c r="D599" s="32">
        <f>((1+Table26[[#This Row],[Monthly change]])^12)-1</f>
        <v/>
      </c>
    </row>
    <row r="600">
      <c r="A600" s="34" t="n">
        <v>39630</v>
      </c>
      <c r="B600" s="59">
        <f>VLOOKUP(Table26[[#This Row],[Date]],'DB Money Supply'!$A:$E,5)</f>
        <v/>
      </c>
      <c r="C600" s="31">
        <f>(Table26[[#This Row],[M2 Money Stock, Billions of Dollars, Monthly, Seasonally Adjusted]]-B599)/B599</f>
        <v/>
      </c>
      <c r="D600" s="32">
        <f>((1+Table26[[#This Row],[Monthly change]])^12)-1</f>
        <v/>
      </c>
    </row>
    <row r="601">
      <c r="A601" s="57" t="n">
        <v>39661</v>
      </c>
      <c r="B601" s="59">
        <f>VLOOKUP(Table26[[#This Row],[Date]],'DB Money Supply'!$A:$E,5)</f>
        <v/>
      </c>
      <c r="C601" s="31">
        <f>(Table26[[#This Row],[M2 Money Stock, Billions of Dollars, Monthly, Seasonally Adjusted]]-B600)/B600</f>
        <v/>
      </c>
      <c r="D601" s="32">
        <f>((1+Table26[[#This Row],[Monthly change]])^12)-1</f>
        <v/>
      </c>
    </row>
    <row r="602">
      <c r="A602" s="34" t="n">
        <v>39692</v>
      </c>
      <c r="B602" s="59">
        <f>VLOOKUP(Table26[[#This Row],[Date]],'DB Money Supply'!$A:$E,5)</f>
        <v/>
      </c>
      <c r="C602" s="31">
        <f>(Table26[[#This Row],[M2 Money Stock, Billions of Dollars, Monthly, Seasonally Adjusted]]-B601)/B601</f>
        <v/>
      </c>
      <c r="D602" s="32">
        <f>((1+Table26[[#This Row],[Monthly change]])^12)-1</f>
        <v/>
      </c>
    </row>
    <row r="603">
      <c r="A603" s="57" t="n">
        <v>39722</v>
      </c>
      <c r="B603" s="59">
        <f>VLOOKUP(Table26[[#This Row],[Date]],'DB Money Supply'!$A:$E,5)</f>
        <v/>
      </c>
      <c r="C603" s="31">
        <f>(Table26[[#This Row],[M2 Money Stock, Billions of Dollars, Monthly, Seasonally Adjusted]]-B602)/B602</f>
        <v/>
      </c>
      <c r="D603" s="32">
        <f>((1+Table26[[#This Row],[Monthly change]])^12)-1</f>
        <v/>
      </c>
    </row>
    <row r="604">
      <c r="A604" s="34" t="n">
        <v>39753</v>
      </c>
      <c r="B604" s="59">
        <f>VLOOKUP(Table26[[#This Row],[Date]],'DB Money Supply'!$A:$E,5)</f>
        <v/>
      </c>
      <c r="C604" s="31">
        <f>(Table26[[#This Row],[M2 Money Stock, Billions of Dollars, Monthly, Seasonally Adjusted]]-B603)/B603</f>
        <v/>
      </c>
      <c r="D604" s="32">
        <f>((1+Table26[[#This Row],[Monthly change]])^12)-1</f>
        <v/>
      </c>
    </row>
    <row r="605">
      <c r="A605" s="57" t="n">
        <v>39783</v>
      </c>
      <c r="B605" s="59">
        <f>VLOOKUP(Table26[[#This Row],[Date]],'DB Money Supply'!$A:$E,5)</f>
        <v/>
      </c>
      <c r="C605" s="31">
        <f>(Table26[[#This Row],[M2 Money Stock, Billions of Dollars, Monthly, Seasonally Adjusted]]-B604)/B604</f>
        <v/>
      </c>
      <c r="D605" s="32">
        <f>((1+Table26[[#This Row],[Monthly change]])^12)-1</f>
        <v/>
      </c>
    </row>
    <row r="606">
      <c r="A606" s="34" t="n">
        <v>39814</v>
      </c>
      <c r="B606" s="59">
        <f>VLOOKUP(Table26[[#This Row],[Date]],'DB Money Supply'!$A:$E,5)</f>
        <v/>
      </c>
      <c r="C606" s="31">
        <f>(Table26[[#This Row],[M2 Money Stock, Billions of Dollars, Monthly, Seasonally Adjusted]]-B605)/B605</f>
        <v/>
      </c>
      <c r="D606" s="32">
        <f>((1+Table26[[#This Row],[Monthly change]])^12)-1</f>
        <v/>
      </c>
    </row>
    <row r="607">
      <c r="A607" s="57" t="n">
        <v>39845</v>
      </c>
      <c r="B607" s="59">
        <f>VLOOKUP(Table26[[#This Row],[Date]],'DB Money Supply'!$A:$E,5)</f>
        <v/>
      </c>
      <c r="C607" s="31">
        <f>(Table26[[#This Row],[M2 Money Stock, Billions of Dollars, Monthly, Seasonally Adjusted]]-B606)/B606</f>
        <v/>
      </c>
      <c r="D607" s="32">
        <f>((1+Table26[[#This Row],[Monthly change]])^12)-1</f>
        <v/>
      </c>
    </row>
    <row r="608">
      <c r="A608" s="34" t="n">
        <v>39873</v>
      </c>
      <c r="B608" s="59">
        <f>VLOOKUP(Table26[[#This Row],[Date]],'DB Money Supply'!$A:$E,5)</f>
        <v/>
      </c>
      <c r="C608" s="31">
        <f>(Table26[[#This Row],[M2 Money Stock, Billions of Dollars, Monthly, Seasonally Adjusted]]-B607)/B607</f>
        <v/>
      </c>
      <c r="D608" s="32">
        <f>((1+Table26[[#This Row],[Monthly change]])^12)-1</f>
        <v/>
      </c>
    </row>
    <row r="609">
      <c r="A609" s="57" t="n">
        <v>39904</v>
      </c>
      <c r="B609" s="59">
        <f>VLOOKUP(Table26[[#This Row],[Date]],'DB Money Supply'!$A:$E,5)</f>
        <v/>
      </c>
      <c r="C609" s="31">
        <f>(Table26[[#This Row],[M2 Money Stock, Billions of Dollars, Monthly, Seasonally Adjusted]]-B608)/B608</f>
        <v/>
      </c>
      <c r="D609" s="32">
        <f>((1+Table26[[#This Row],[Monthly change]])^12)-1</f>
        <v/>
      </c>
    </row>
    <row r="610">
      <c r="A610" s="34" t="n">
        <v>39934</v>
      </c>
      <c r="B610" s="59">
        <f>VLOOKUP(Table26[[#This Row],[Date]],'DB Money Supply'!$A:$E,5)</f>
        <v/>
      </c>
      <c r="C610" s="31">
        <f>(Table26[[#This Row],[M2 Money Stock, Billions of Dollars, Monthly, Seasonally Adjusted]]-B609)/B609</f>
        <v/>
      </c>
      <c r="D610" s="32">
        <f>((1+Table26[[#This Row],[Monthly change]])^12)-1</f>
        <v/>
      </c>
    </row>
    <row r="611">
      <c r="A611" s="57" t="n">
        <v>39965</v>
      </c>
      <c r="B611" s="59">
        <f>VLOOKUP(Table26[[#This Row],[Date]],'DB Money Supply'!$A:$E,5)</f>
        <v/>
      </c>
      <c r="C611" s="31">
        <f>(Table26[[#This Row],[M2 Money Stock, Billions of Dollars, Monthly, Seasonally Adjusted]]-B610)/B610</f>
        <v/>
      </c>
      <c r="D611" s="32">
        <f>((1+Table26[[#This Row],[Monthly change]])^12)-1</f>
        <v/>
      </c>
    </row>
    <row r="612">
      <c r="A612" s="34" t="n">
        <v>39995</v>
      </c>
      <c r="B612" s="59">
        <f>VLOOKUP(Table26[[#This Row],[Date]],'DB Money Supply'!$A:$E,5)</f>
        <v/>
      </c>
      <c r="C612" s="31">
        <f>(Table26[[#This Row],[M2 Money Stock, Billions of Dollars, Monthly, Seasonally Adjusted]]-B611)/B611</f>
        <v/>
      </c>
      <c r="D612" s="32">
        <f>((1+Table26[[#This Row],[Monthly change]])^12)-1</f>
        <v/>
      </c>
    </row>
    <row r="613">
      <c r="A613" s="57" t="n">
        <v>40026</v>
      </c>
      <c r="B613" s="59">
        <f>VLOOKUP(Table26[[#This Row],[Date]],'DB Money Supply'!$A:$E,5)</f>
        <v/>
      </c>
      <c r="C613" s="31">
        <f>(Table26[[#This Row],[M2 Money Stock, Billions of Dollars, Monthly, Seasonally Adjusted]]-B612)/B612</f>
        <v/>
      </c>
      <c r="D613" s="32">
        <f>((1+Table26[[#This Row],[Monthly change]])^12)-1</f>
        <v/>
      </c>
    </row>
    <row r="614">
      <c r="A614" s="57" t="n">
        <v>40057</v>
      </c>
      <c r="B614" s="59">
        <f>VLOOKUP(Table26[[#This Row],[Date]],'DB Money Supply'!$A:$E,5)</f>
        <v/>
      </c>
      <c r="C614" s="31">
        <f>(Table26[[#This Row],[M2 Money Stock, Billions of Dollars, Monthly, Seasonally Adjusted]]-B613)/B613</f>
        <v/>
      </c>
      <c r="D614" s="32">
        <f>((1+Table26[[#This Row],[Monthly change]])^12)-1</f>
        <v/>
      </c>
    </row>
    <row r="615">
      <c r="A615" s="34" t="n">
        <v>40087</v>
      </c>
      <c r="B615" s="59">
        <f>VLOOKUP(Table26[[#This Row],[Date]],'DB Money Supply'!$A:$E,5)</f>
        <v/>
      </c>
      <c r="C615" s="31">
        <f>(Table26[[#This Row],[M2 Money Stock, Billions of Dollars, Monthly, Seasonally Adjusted]]-B614)/B614</f>
        <v/>
      </c>
      <c r="D615" s="32">
        <f>((1+Table26[[#This Row],[Monthly change]])^12)-1</f>
        <v/>
      </c>
    </row>
    <row r="616">
      <c r="A616" s="57" t="n">
        <v>40118</v>
      </c>
      <c r="B616" s="59">
        <f>VLOOKUP(Table26[[#This Row],[Date]],'DB Money Supply'!$A:$E,5)</f>
        <v/>
      </c>
      <c r="C616" s="31">
        <f>(Table26[[#This Row],[M2 Money Stock, Billions of Dollars, Monthly, Seasonally Adjusted]]-B615)/B615</f>
        <v/>
      </c>
      <c r="D616" s="32">
        <f>((1+Table26[[#This Row],[Monthly change]])^12)-1</f>
        <v/>
      </c>
    </row>
    <row r="617">
      <c r="A617" s="34" t="n">
        <v>40148</v>
      </c>
      <c r="B617" s="59">
        <f>VLOOKUP(Table26[[#This Row],[Date]],'DB Money Supply'!$A:$E,5)</f>
        <v/>
      </c>
      <c r="C617" s="31">
        <f>(Table26[[#This Row],[M2 Money Stock, Billions of Dollars, Monthly, Seasonally Adjusted]]-B616)/B616</f>
        <v/>
      </c>
      <c r="D617" s="32">
        <f>((1+Table26[[#This Row],[Monthly change]])^12)-1</f>
        <v/>
      </c>
    </row>
    <row r="618">
      <c r="A618" s="57" t="n">
        <v>40179</v>
      </c>
      <c r="B618" s="59">
        <f>VLOOKUP(Table26[[#This Row],[Date]],'DB Money Supply'!$A:$E,5)</f>
        <v/>
      </c>
      <c r="C618" s="31">
        <f>(Table26[[#This Row],[M2 Money Stock, Billions of Dollars, Monthly, Seasonally Adjusted]]-B617)/B617</f>
        <v/>
      </c>
      <c r="D618" s="32">
        <f>((1+Table26[[#This Row],[Monthly change]])^12)-1</f>
        <v/>
      </c>
    </row>
    <row r="619">
      <c r="A619" s="34" t="n">
        <v>40210</v>
      </c>
      <c r="B619" s="59">
        <f>VLOOKUP(Table26[[#This Row],[Date]],'DB Money Supply'!$A:$E,5)</f>
        <v/>
      </c>
      <c r="C619" s="31">
        <f>(Table26[[#This Row],[M2 Money Stock, Billions of Dollars, Monthly, Seasonally Adjusted]]-B618)/B618</f>
        <v/>
      </c>
      <c r="D619" s="32">
        <f>((1+Table26[[#This Row],[Monthly change]])^12)-1</f>
        <v/>
      </c>
    </row>
    <row r="620">
      <c r="A620" s="57" t="n">
        <v>40238</v>
      </c>
      <c r="B620" s="59">
        <f>VLOOKUP(Table26[[#This Row],[Date]],'DB Money Supply'!$A:$E,5)</f>
        <v/>
      </c>
      <c r="C620" s="31">
        <f>(Table26[[#This Row],[M2 Money Stock, Billions of Dollars, Monthly, Seasonally Adjusted]]-B619)/B619</f>
        <v/>
      </c>
      <c r="D620" s="32">
        <f>((1+Table26[[#This Row],[Monthly change]])^12)-1</f>
        <v/>
      </c>
    </row>
    <row r="621">
      <c r="A621" s="34" t="n">
        <v>40269</v>
      </c>
      <c r="B621" s="59">
        <f>VLOOKUP(Table26[[#This Row],[Date]],'DB Money Supply'!$A:$E,5)</f>
        <v/>
      </c>
      <c r="C621" s="31">
        <f>(Table26[[#This Row],[M2 Money Stock, Billions of Dollars, Monthly, Seasonally Adjusted]]-B620)/B620</f>
        <v/>
      </c>
      <c r="D621" s="32">
        <f>((1+Table26[[#This Row],[Monthly change]])^12)-1</f>
        <v/>
      </c>
    </row>
    <row r="622">
      <c r="A622" s="57" t="n">
        <v>40299</v>
      </c>
      <c r="B622" s="59">
        <f>VLOOKUP(Table26[[#This Row],[Date]],'DB Money Supply'!$A:$E,5)</f>
        <v/>
      </c>
      <c r="C622" s="31">
        <f>(Table26[[#This Row],[M2 Money Stock, Billions of Dollars, Monthly, Seasonally Adjusted]]-B621)/B621</f>
        <v/>
      </c>
      <c r="D622" s="32">
        <f>((1+Table26[[#This Row],[Monthly change]])^12)-1</f>
        <v/>
      </c>
    </row>
    <row r="623">
      <c r="A623" s="34" t="n">
        <v>40330</v>
      </c>
      <c r="B623" s="59">
        <f>VLOOKUP(Table26[[#This Row],[Date]],'DB Money Supply'!$A:$E,5)</f>
        <v/>
      </c>
      <c r="C623" s="31">
        <f>(Table26[[#This Row],[M2 Money Stock, Billions of Dollars, Monthly, Seasonally Adjusted]]-B622)/B622</f>
        <v/>
      </c>
      <c r="D623" s="32">
        <f>((1+Table26[[#This Row],[Monthly change]])^12)-1</f>
        <v/>
      </c>
    </row>
    <row r="624">
      <c r="A624" s="57" t="n">
        <v>40360</v>
      </c>
      <c r="B624" s="59">
        <f>VLOOKUP(Table26[[#This Row],[Date]],'DB Money Supply'!$A:$E,5)</f>
        <v/>
      </c>
      <c r="C624" s="31">
        <f>(Table26[[#This Row],[M2 Money Stock, Billions of Dollars, Monthly, Seasonally Adjusted]]-B623)/B623</f>
        <v/>
      </c>
      <c r="D624" s="32">
        <f>((1+Table26[[#This Row],[Monthly change]])^12)-1</f>
        <v/>
      </c>
    </row>
    <row r="625">
      <c r="A625" s="34" t="n">
        <v>40391</v>
      </c>
      <c r="B625" s="59">
        <f>VLOOKUP(Table26[[#This Row],[Date]],'DB Money Supply'!$A:$E,5)</f>
        <v/>
      </c>
      <c r="C625" s="31">
        <f>(Table26[[#This Row],[M2 Money Stock, Billions of Dollars, Monthly, Seasonally Adjusted]]-B624)/B624</f>
        <v/>
      </c>
      <c r="D625" s="32">
        <f>((1+Table26[[#This Row],[Monthly change]])^12)-1</f>
        <v/>
      </c>
    </row>
    <row r="626">
      <c r="A626" s="57" t="n">
        <v>40422</v>
      </c>
      <c r="B626" s="59">
        <f>VLOOKUP(Table26[[#This Row],[Date]],'DB Money Supply'!$A:$E,5)</f>
        <v/>
      </c>
      <c r="C626" s="31">
        <f>(Table26[[#This Row],[M2 Money Stock, Billions of Dollars, Monthly, Seasonally Adjusted]]-B625)/B625</f>
        <v/>
      </c>
      <c r="D626" s="32">
        <f>((1+Table26[[#This Row],[Monthly change]])^12)-1</f>
        <v/>
      </c>
    </row>
    <row r="627">
      <c r="A627" s="34" t="n">
        <v>40452</v>
      </c>
      <c r="B627" s="59">
        <f>VLOOKUP(Table26[[#This Row],[Date]],'DB Money Supply'!$A:$E,5)</f>
        <v/>
      </c>
      <c r="C627" s="31">
        <f>(Table26[[#This Row],[M2 Money Stock, Billions of Dollars, Monthly, Seasonally Adjusted]]-B626)/B626</f>
        <v/>
      </c>
      <c r="D627" s="32">
        <f>((1+Table26[[#This Row],[Monthly change]])^12)-1</f>
        <v/>
      </c>
    </row>
    <row r="628">
      <c r="A628" s="57" t="n">
        <v>40483</v>
      </c>
      <c r="B628" s="59">
        <f>VLOOKUP(Table26[[#This Row],[Date]],'DB Money Supply'!$A:$E,5)</f>
        <v/>
      </c>
      <c r="C628" s="31">
        <f>(Table26[[#This Row],[M2 Money Stock, Billions of Dollars, Monthly, Seasonally Adjusted]]-B627)/B627</f>
        <v/>
      </c>
      <c r="D628" s="32">
        <f>((1+Table26[[#This Row],[Monthly change]])^12)-1</f>
        <v/>
      </c>
    </row>
    <row r="629">
      <c r="A629" s="34" t="n">
        <v>40513</v>
      </c>
      <c r="B629" s="59">
        <f>VLOOKUP(Table26[[#This Row],[Date]],'DB Money Supply'!$A:$E,5)</f>
        <v/>
      </c>
      <c r="C629" s="31">
        <f>(Table26[[#This Row],[M2 Money Stock, Billions of Dollars, Monthly, Seasonally Adjusted]]-B628)/B628</f>
        <v/>
      </c>
      <c r="D629" s="32">
        <f>((1+Table26[[#This Row],[Monthly change]])^12)-1</f>
        <v/>
      </c>
    </row>
    <row r="630">
      <c r="A630" s="57" t="n">
        <v>40544</v>
      </c>
      <c r="B630" s="59">
        <f>VLOOKUP(Table26[[#This Row],[Date]],'DB Money Supply'!$A:$E,5)</f>
        <v/>
      </c>
      <c r="C630" s="31">
        <f>(Table26[[#This Row],[M2 Money Stock, Billions of Dollars, Monthly, Seasonally Adjusted]]-B629)/B629</f>
        <v/>
      </c>
      <c r="D630" s="32">
        <f>((1+Table26[[#This Row],[Monthly change]])^12)-1</f>
        <v/>
      </c>
    </row>
    <row r="631">
      <c r="A631" s="34" t="n">
        <v>40575</v>
      </c>
      <c r="B631" s="59">
        <f>VLOOKUP(Table26[[#This Row],[Date]],'DB Money Supply'!$A:$E,5)</f>
        <v/>
      </c>
      <c r="C631" s="31">
        <f>(Table26[[#This Row],[M2 Money Stock, Billions of Dollars, Monthly, Seasonally Adjusted]]-B630)/B630</f>
        <v/>
      </c>
      <c r="D631" s="32">
        <f>((1+Table26[[#This Row],[Monthly change]])^12)-1</f>
        <v/>
      </c>
    </row>
    <row r="632">
      <c r="A632" s="57" t="n">
        <v>40603</v>
      </c>
      <c r="B632" s="59">
        <f>VLOOKUP(Table26[[#This Row],[Date]],'DB Money Supply'!$A:$E,5)</f>
        <v/>
      </c>
      <c r="C632" s="31">
        <f>(Table26[[#This Row],[M2 Money Stock, Billions of Dollars, Monthly, Seasonally Adjusted]]-B631)/B631</f>
        <v/>
      </c>
      <c r="D632" s="32">
        <f>((1+Table26[[#This Row],[Monthly change]])^12)-1</f>
        <v/>
      </c>
    </row>
    <row r="633">
      <c r="A633" s="57" t="n">
        <v>40634</v>
      </c>
      <c r="B633" s="59">
        <f>VLOOKUP(Table26[[#This Row],[Date]],'DB Money Supply'!$A:$E,5)</f>
        <v/>
      </c>
      <c r="C633" s="31">
        <f>(Table26[[#This Row],[M2 Money Stock, Billions of Dollars, Monthly, Seasonally Adjusted]]-B632)/B632</f>
        <v/>
      </c>
      <c r="D633" s="32">
        <f>((1+Table26[[#This Row],[Monthly change]])^12)-1</f>
        <v/>
      </c>
    </row>
    <row r="634">
      <c r="A634" s="34" t="n">
        <v>40664</v>
      </c>
      <c r="B634" s="59">
        <f>VLOOKUP(Table26[[#This Row],[Date]],'DB Money Supply'!$A:$E,5)</f>
        <v/>
      </c>
      <c r="C634" s="31">
        <f>(Table26[[#This Row],[M2 Money Stock, Billions of Dollars, Monthly, Seasonally Adjusted]]-B633)/B633</f>
        <v/>
      </c>
      <c r="D634" s="32">
        <f>((1+Table26[[#This Row],[Monthly change]])^12)-1</f>
        <v/>
      </c>
    </row>
    <row r="635">
      <c r="A635" s="57" t="n">
        <v>40695</v>
      </c>
      <c r="B635" s="59">
        <f>VLOOKUP(Table26[[#This Row],[Date]],'DB Money Supply'!$A:$E,5)</f>
        <v/>
      </c>
      <c r="C635" s="31">
        <f>(Table26[[#This Row],[M2 Money Stock, Billions of Dollars, Monthly, Seasonally Adjusted]]-B634)/B634</f>
        <v/>
      </c>
      <c r="D635" s="32">
        <f>((1+Table26[[#This Row],[Monthly change]])^12)-1</f>
        <v/>
      </c>
    </row>
    <row r="636">
      <c r="A636" s="34" t="n">
        <v>40725</v>
      </c>
      <c r="B636" s="59">
        <f>VLOOKUP(Table26[[#This Row],[Date]],'DB Money Supply'!$A:$E,5)</f>
        <v/>
      </c>
      <c r="C636" s="31">
        <f>(Table26[[#This Row],[M2 Money Stock, Billions of Dollars, Monthly, Seasonally Adjusted]]-B635)/B635</f>
        <v/>
      </c>
      <c r="D636" s="32">
        <f>((1+Table26[[#This Row],[Monthly change]])^12)-1</f>
        <v/>
      </c>
    </row>
    <row r="637">
      <c r="A637" s="57" t="n">
        <v>40756</v>
      </c>
      <c r="B637" s="59">
        <f>VLOOKUP(Table26[[#This Row],[Date]],'DB Money Supply'!$A:$E,5)</f>
        <v/>
      </c>
      <c r="C637" s="31">
        <f>(Table26[[#This Row],[M2 Money Stock, Billions of Dollars, Monthly, Seasonally Adjusted]]-B636)/B636</f>
        <v/>
      </c>
      <c r="D637" s="32">
        <f>((1+Table26[[#This Row],[Monthly change]])^12)-1</f>
        <v/>
      </c>
    </row>
    <row r="638">
      <c r="A638" s="34" t="n">
        <v>40787</v>
      </c>
      <c r="B638" s="59">
        <f>VLOOKUP(Table26[[#This Row],[Date]],'DB Money Supply'!$A:$E,5)</f>
        <v/>
      </c>
      <c r="C638" s="31">
        <f>(Table26[[#This Row],[M2 Money Stock, Billions of Dollars, Monthly, Seasonally Adjusted]]-B637)/B637</f>
        <v/>
      </c>
      <c r="D638" s="32">
        <f>((1+Table26[[#This Row],[Monthly change]])^12)-1</f>
        <v/>
      </c>
    </row>
    <row r="639">
      <c r="A639" s="57" t="n">
        <v>40817</v>
      </c>
      <c r="B639" s="59">
        <f>VLOOKUP(Table26[[#This Row],[Date]],'DB Money Supply'!$A:$E,5)</f>
        <v/>
      </c>
      <c r="C639" s="31">
        <f>(Table26[[#This Row],[M2 Money Stock, Billions of Dollars, Monthly, Seasonally Adjusted]]-B638)/B638</f>
        <v/>
      </c>
      <c r="D639" s="32">
        <f>((1+Table26[[#This Row],[Monthly change]])^12)-1</f>
        <v/>
      </c>
    </row>
    <row r="640">
      <c r="A640" s="34" t="n">
        <v>40848</v>
      </c>
      <c r="B640" s="59">
        <f>VLOOKUP(Table26[[#This Row],[Date]],'DB Money Supply'!$A:$E,5)</f>
        <v/>
      </c>
      <c r="C640" s="31">
        <f>(Table26[[#This Row],[M2 Money Stock, Billions of Dollars, Monthly, Seasonally Adjusted]]-B639)/B639</f>
        <v/>
      </c>
      <c r="D640" s="32">
        <f>((1+Table26[[#This Row],[Monthly change]])^12)-1</f>
        <v/>
      </c>
    </row>
    <row r="641">
      <c r="A641" s="57" t="n">
        <v>40878</v>
      </c>
      <c r="B641" s="59">
        <f>VLOOKUP(Table26[[#This Row],[Date]],'DB Money Supply'!$A:$E,5)</f>
        <v/>
      </c>
      <c r="C641" s="31">
        <f>(Table26[[#This Row],[M2 Money Stock, Billions of Dollars, Monthly, Seasonally Adjusted]]-B640)/B640</f>
        <v/>
      </c>
      <c r="D641" s="32">
        <f>((1+Table26[[#This Row],[Monthly change]])^12)-1</f>
        <v/>
      </c>
    </row>
    <row r="642">
      <c r="A642" s="34" t="n">
        <v>40909</v>
      </c>
      <c r="B642" s="59">
        <f>VLOOKUP(Table26[[#This Row],[Date]],'DB Money Supply'!$A:$E,5)</f>
        <v/>
      </c>
      <c r="C642" s="31">
        <f>(Table26[[#This Row],[M2 Money Stock, Billions of Dollars, Monthly, Seasonally Adjusted]]-B641)/B641</f>
        <v/>
      </c>
      <c r="D642" s="32">
        <f>((1+Table26[[#This Row],[Monthly change]])^12)-1</f>
        <v/>
      </c>
    </row>
    <row r="643">
      <c r="A643" s="57" t="n">
        <v>40940</v>
      </c>
      <c r="B643" s="59">
        <f>VLOOKUP(Table26[[#This Row],[Date]],'DB Money Supply'!$A:$E,5)</f>
        <v/>
      </c>
      <c r="C643" s="31">
        <f>(Table26[[#This Row],[M2 Money Stock, Billions of Dollars, Monthly, Seasonally Adjusted]]-B642)/B642</f>
        <v/>
      </c>
      <c r="D643" s="32">
        <f>((1+Table26[[#This Row],[Monthly change]])^12)-1</f>
        <v/>
      </c>
    </row>
    <row r="644">
      <c r="A644" s="34" t="n">
        <v>40969</v>
      </c>
      <c r="B644" s="59">
        <f>VLOOKUP(Table26[[#This Row],[Date]],'DB Money Supply'!$A:$E,5)</f>
        <v/>
      </c>
      <c r="C644" s="31">
        <f>(Table26[[#This Row],[M2 Money Stock, Billions of Dollars, Monthly, Seasonally Adjusted]]-B643)/B643</f>
        <v/>
      </c>
      <c r="D644" s="32">
        <f>((1+Table26[[#This Row],[Monthly change]])^12)-1</f>
        <v/>
      </c>
    </row>
    <row r="645">
      <c r="A645" s="57" t="n">
        <v>41000</v>
      </c>
      <c r="B645" s="59">
        <f>VLOOKUP(Table26[[#This Row],[Date]],'DB Money Supply'!$A:$E,5)</f>
        <v/>
      </c>
      <c r="C645" s="31">
        <f>(Table26[[#This Row],[M2 Money Stock, Billions of Dollars, Monthly, Seasonally Adjusted]]-B644)/B644</f>
        <v/>
      </c>
      <c r="D645" s="32">
        <f>((1+Table26[[#This Row],[Monthly change]])^12)-1</f>
        <v/>
      </c>
    </row>
    <row r="646">
      <c r="A646" s="34" t="n">
        <v>41030</v>
      </c>
      <c r="B646" s="59">
        <f>VLOOKUP(Table26[[#This Row],[Date]],'DB Money Supply'!$A:$E,5)</f>
        <v/>
      </c>
      <c r="C646" s="31">
        <f>(Table26[[#This Row],[M2 Money Stock, Billions of Dollars, Monthly, Seasonally Adjusted]]-B645)/B645</f>
        <v/>
      </c>
      <c r="D646" s="32">
        <f>((1+Table26[[#This Row],[Monthly change]])^12)-1</f>
        <v/>
      </c>
    </row>
    <row r="647">
      <c r="A647" s="57" t="n">
        <v>41061</v>
      </c>
      <c r="B647" s="59">
        <f>VLOOKUP(Table26[[#This Row],[Date]],'DB Money Supply'!$A:$E,5)</f>
        <v/>
      </c>
      <c r="C647" s="31">
        <f>(Table26[[#This Row],[M2 Money Stock, Billions of Dollars, Monthly, Seasonally Adjusted]]-B646)/B646</f>
        <v/>
      </c>
      <c r="D647" s="32">
        <f>((1+Table26[[#This Row],[Monthly change]])^12)-1</f>
        <v/>
      </c>
    </row>
    <row r="648">
      <c r="A648" s="34" t="n">
        <v>41091</v>
      </c>
      <c r="B648" s="59">
        <f>VLOOKUP(Table26[[#This Row],[Date]],'DB Money Supply'!$A:$E,5)</f>
        <v/>
      </c>
      <c r="C648" s="31">
        <f>(Table26[[#This Row],[M2 Money Stock, Billions of Dollars, Monthly, Seasonally Adjusted]]-B647)/B647</f>
        <v/>
      </c>
      <c r="D648" s="32">
        <f>((1+Table26[[#This Row],[Monthly change]])^12)-1</f>
        <v/>
      </c>
    </row>
    <row r="649">
      <c r="A649" s="57" t="n">
        <v>41122</v>
      </c>
      <c r="B649" s="59">
        <f>VLOOKUP(Table26[[#This Row],[Date]],'DB Money Supply'!$A:$E,5)</f>
        <v/>
      </c>
      <c r="C649" s="31">
        <f>(Table26[[#This Row],[M2 Money Stock, Billions of Dollars, Monthly, Seasonally Adjusted]]-B648)/B648</f>
        <v/>
      </c>
      <c r="D649" s="32">
        <f>((1+Table26[[#This Row],[Monthly change]])^12)-1</f>
        <v/>
      </c>
    </row>
    <row r="650">
      <c r="A650" s="34" t="n">
        <v>41153</v>
      </c>
      <c r="B650" s="59">
        <f>VLOOKUP(Table26[[#This Row],[Date]],'DB Money Supply'!$A:$E,5)</f>
        <v/>
      </c>
      <c r="C650" s="31">
        <f>(Table26[[#This Row],[M2 Money Stock, Billions of Dollars, Monthly, Seasonally Adjusted]]-B649)/B649</f>
        <v/>
      </c>
      <c r="D650" s="32">
        <f>((1+Table26[[#This Row],[Monthly change]])^12)-1</f>
        <v/>
      </c>
    </row>
    <row r="651">
      <c r="A651" s="57" t="n">
        <v>41183</v>
      </c>
      <c r="B651" s="59">
        <f>VLOOKUP(Table26[[#This Row],[Date]],'DB Money Supply'!$A:$E,5)</f>
        <v/>
      </c>
      <c r="C651" s="31">
        <f>(Table26[[#This Row],[M2 Money Stock, Billions of Dollars, Monthly, Seasonally Adjusted]]-B650)/B650</f>
        <v/>
      </c>
      <c r="D651" s="32">
        <f>((1+Table26[[#This Row],[Monthly change]])^12)-1</f>
        <v/>
      </c>
    </row>
    <row r="652">
      <c r="A652" s="57" t="n">
        <v>41214</v>
      </c>
      <c r="B652" s="59">
        <f>VLOOKUP(Table26[[#This Row],[Date]],'DB Money Supply'!$A:$E,5)</f>
        <v/>
      </c>
      <c r="C652" s="31">
        <f>(Table26[[#This Row],[M2 Money Stock, Billions of Dollars, Monthly, Seasonally Adjusted]]-B651)/B651</f>
        <v/>
      </c>
      <c r="D652" s="32">
        <f>((1+Table26[[#This Row],[Monthly change]])^12)-1</f>
        <v/>
      </c>
    </row>
    <row r="653">
      <c r="A653" s="34" t="n">
        <v>41244</v>
      </c>
      <c r="B653" s="59">
        <f>VLOOKUP(Table26[[#This Row],[Date]],'DB Money Supply'!$A:$E,5)</f>
        <v/>
      </c>
      <c r="C653" s="31">
        <f>(Table26[[#This Row],[M2 Money Stock, Billions of Dollars, Monthly, Seasonally Adjusted]]-B652)/B652</f>
        <v/>
      </c>
      <c r="D653" s="32">
        <f>((1+Table26[[#This Row],[Monthly change]])^12)-1</f>
        <v/>
      </c>
    </row>
    <row r="654">
      <c r="A654" s="57" t="n">
        <v>41275</v>
      </c>
      <c r="B654" s="59">
        <f>VLOOKUP(Table26[[#This Row],[Date]],'DB Money Supply'!$A:$E,5)</f>
        <v/>
      </c>
      <c r="C654" s="31">
        <f>(Table26[[#This Row],[M2 Money Stock, Billions of Dollars, Monthly, Seasonally Adjusted]]-B653)/B653</f>
        <v/>
      </c>
      <c r="D654" s="32">
        <f>((1+Table26[[#This Row],[Monthly change]])^12)-1</f>
        <v/>
      </c>
    </row>
    <row r="655">
      <c r="A655" s="34" t="n">
        <v>41306</v>
      </c>
      <c r="B655" s="59">
        <f>VLOOKUP(Table26[[#This Row],[Date]],'DB Money Supply'!$A:$E,5)</f>
        <v/>
      </c>
      <c r="C655" s="31">
        <f>(Table26[[#This Row],[M2 Money Stock, Billions of Dollars, Monthly, Seasonally Adjusted]]-B654)/B654</f>
        <v/>
      </c>
      <c r="D655" s="32">
        <f>((1+Table26[[#This Row],[Monthly change]])^12)-1</f>
        <v/>
      </c>
    </row>
    <row r="656">
      <c r="A656" s="57" t="n">
        <v>41334</v>
      </c>
      <c r="B656" s="59">
        <f>VLOOKUP(Table26[[#This Row],[Date]],'DB Money Supply'!$A:$E,5)</f>
        <v/>
      </c>
      <c r="C656" s="31">
        <f>(Table26[[#This Row],[M2 Money Stock, Billions of Dollars, Monthly, Seasonally Adjusted]]-B655)/B655</f>
        <v/>
      </c>
      <c r="D656" s="32">
        <f>((1+Table26[[#This Row],[Monthly change]])^12)-1</f>
        <v/>
      </c>
    </row>
    <row r="657">
      <c r="A657" s="34" t="n">
        <v>41365</v>
      </c>
      <c r="B657" s="59">
        <f>VLOOKUP(Table26[[#This Row],[Date]],'DB Money Supply'!$A:$E,5)</f>
        <v/>
      </c>
      <c r="C657" s="31">
        <f>(Table26[[#This Row],[M2 Money Stock, Billions of Dollars, Monthly, Seasonally Adjusted]]-B656)/B656</f>
        <v/>
      </c>
      <c r="D657" s="32">
        <f>((1+Table26[[#This Row],[Monthly change]])^12)-1</f>
        <v/>
      </c>
    </row>
    <row r="658">
      <c r="A658" s="57" t="n">
        <v>41395</v>
      </c>
      <c r="B658" s="59">
        <f>VLOOKUP(Table26[[#This Row],[Date]],'DB Money Supply'!$A:$E,5)</f>
        <v/>
      </c>
      <c r="C658" s="31">
        <f>(Table26[[#This Row],[M2 Money Stock, Billions of Dollars, Monthly, Seasonally Adjusted]]-B657)/B657</f>
        <v/>
      </c>
      <c r="D658" s="32">
        <f>((1+Table26[[#This Row],[Monthly change]])^12)-1</f>
        <v/>
      </c>
    </row>
    <row r="659">
      <c r="A659" s="34" t="n">
        <v>41426</v>
      </c>
      <c r="B659" s="59">
        <f>VLOOKUP(Table26[[#This Row],[Date]],'DB Money Supply'!$A:$E,5)</f>
        <v/>
      </c>
      <c r="C659" s="31">
        <f>(Table26[[#This Row],[M2 Money Stock, Billions of Dollars, Monthly, Seasonally Adjusted]]-B658)/B658</f>
        <v/>
      </c>
      <c r="D659" s="32">
        <f>((1+Table26[[#This Row],[Monthly change]])^12)-1</f>
        <v/>
      </c>
    </row>
    <row r="660">
      <c r="A660" s="57" t="n">
        <v>41456</v>
      </c>
      <c r="B660" s="59">
        <f>VLOOKUP(Table26[[#This Row],[Date]],'DB Money Supply'!$A:$E,5)</f>
        <v/>
      </c>
      <c r="C660" s="31">
        <f>(Table26[[#This Row],[M2 Money Stock, Billions of Dollars, Monthly, Seasonally Adjusted]]-B659)/B659</f>
        <v/>
      </c>
      <c r="D660" s="32">
        <f>((1+Table26[[#This Row],[Monthly change]])^12)-1</f>
        <v/>
      </c>
    </row>
    <row r="661">
      <c r="A661" s="34" t="n">
        <v>41487</v>
      </c>
      <c r="B661" s="59">
        <f>VLOOKUP(Table26[[#This Row],[Date]],'DB Money Supply'!$A:$E,5)</f>
        <v/>
      </c>
      <c r="C661" s="31">
        <f>(Table26[[#This Row],[M2 Money Stock, Billions of Dollars, Monthly, Seasonally Adjusted]]-B660)/B660</f>
        <v/>
      </c>
      <c r="D661" s="32">
        <f>((1+Table26[[#This Row],[Monthly change]])^12)-1</f>
        <v/>
      </c>
    </row>
    <row r="662">
      <c r="A662" s="57" t="n">
        <v>41518</v>
      </c>
      <c r="B662" s="59">
        <f>VLOOKUP(Table26[[#This Row],[Date]],'DB Money Supply'!$A:$E,5)</f>
        <v/>
      </c>
      <c r="C662" s="31">
        <f>(Table26[[#This Row],[M2 Money Stock, Billions of Dollars, Monthly, Seasonally Adjusted]]-B661)/B661</f>
        <v/>
      </c>
      <c r="D662" s="32">
        <f>((1+Table26[[#This Row],[Monthly change]])^12)-1</f>
        <v/>
      </c>
    </row>
    <row r="663">
      <c r="A663" s="34" t="n">
        <v>41548</v>
      </c>
      <c r="B663" s="59">
        <f>VLOOKUP(Table26[[#This Row],[Date]],'DB Money Supply'!$A:$E,5)</f>
        <v/>
      </c>
      <c r="C663" s="31">
        <f>(Table26[[#This Row],[M2 Money Stock, Billions of Dollars, Monthly, Seasonally Adjusted]]-B662)/B662</f>
        <v/>
      </c>
      <c r="D663" s="32">
        <f>((1+Table26[[#This Row],[Monthly change]])^12)-1</f>
        <v/>
      </c>
    </row>
    <row r="664">
      <c r="A664" s="57" t="n">
        <v>41579</v>
      </c>
      <c r="B664" s="59">
        <f>VLOOKUP(Table26[[#This Row],[Date]],'DB Money Supply'!$A:$E,5)</f>
        <v/>
      </c>
      <c r="C664" s="31">
        <f>(Table26[[#This Row],[M2 Money Stock, Billions of Dollars, Monthly, Seasonally Adjusted]]-B663)/B663</f>
        <v/>
      </c>
      <c r="D664" s="32">
        <f>((1+Table26[[#This Row],[Monthly change]])^12)-1</f>
        <v/>
      </c>
    </row>
    <row r="665">
      <c r="A665" s="34" t="n">
        <v>41609</v>
      </c>
      <c r="B665" s="59">
        <f>VLOOKUP(Table26[[#This Row],[Date]],'DB Money Supply'!$A:$E,5)</f>
        <v/>
      </c>
      <c r="C665" s="31">
        <f>(Table26[[#This Row],[M2 Money Stock, Billions of Dollars, Monthly, Seasonally Adjusted]]-B664)/B664</f>
        <v/>
      </c>
      <c r="D665" s="32">
        <f>((1+Table26[[#This Row],[Monthly change]])^12)-1</f>
        <v/>
      </c>
    </row>
    <row r="666">
      <c r="A666" s="57" t="n">
        <v>41640</v>
      </c>
      <c r="B666" s="59">
        <f>VLOOKUP(Table26[[#This Row],[Date]],'DB Money Supply'!$A:$E,5)</f>
        <v/>
      </c>
      <c r="C666" s="31">
        <f>(Table26[[#This Row],[M2 Money Stock, Billions of Dollars, Monthly, Seasonally Adjusted]]-B665)/B665</f>
        <v/>
      </c>
      <c r="D666" s="32">
        <f>((1+Table26[[#This Row],[Monthly change]])^12)-1</f>
        <v/>
      </c>
    </row>
    <row r="667">
      <c r="A667" s="34" t="n">
        <v>41671</v>
      </c>
      <c r="B667" s="59">
        <f>VLOOKUP(Table26[[#This Row],[Date]],'DB Money Supply'!$A:$E,5)</f>
        <v/>
      </c>
      <c r="C667" s="31">
        <f>(Table26[[#This Row],[M2 Money Stock, Billions of Dollars, Monthly, Seasonally Adjusted]]-B666)/B666</f>
        <v/>
      </c>
      <c r="D667" s="32">
        <f>((1+Table26[[#This Row],[Monthly change]])^12)-1</f>
        <v/>
      </c>
    </row>
    <row r="668">
      <c r="A668" s="57" t="n">
        <v>41699</v>
      </c>
      <c r="B668" s="59">
        <f>VLOOKUP(Table26[[#This Row],[Date]],'DB Money Supply'!$A:$E,5)</f>
        <v/>
      </c>
      <c r="C668" s="31">
        <f>(Table26[[#This Row],[M2 Money Stock, Billions of Dollars, Monthly, Seasonally Adjusted]]-B667)/B667</f>
        <v/>
      </c>
      <c r="D668" s="32">
        <f>((1+Table26[[#This Row],[Monthly change]])^12)-1</f>
        <v/>
      </c>
    </row>
    <row r="669">
      <c r="A669" s="34" t="n">
        <v>41730</v>
      </c>
      <c r="B669" s="59">
        <f>VLOOKUP(Table26[[#This Row],[Date]],'DB Money Supply'!$A:$E,5)</f>
        <v/>
      </c>
      <c r="C669" s="31">
        <f>(Table26[[#This Row],[M2 Money Stock, Billions of Dollars, Monthly, Seasonally Adjusted]]-B668)/B668</f>
        <v/>
      </c>
      <c r="D669" s="32">
        <f>((1+Table26[[#This Row],[Monthly change]])^12)-1</f>
        <v/>
      </c>
    </row>
    <row r="670">
      <c r="A670" s="57" t="n">
        <v>41760</v>
      </c>
      <c r="B670" s="59">
        <f>VLOOKUP(Table26[[#This Row],[Date]],'DB Money Supply'!$A:$E,5)</f>
        <v/>
      </c>
      <c r="C670" s="31">
        <f>(Table26[[#This Row],[M2 Money Stock, Billions of Dollars, Monthly, Seasonally Adjusted]]-B669)/B669</f>
        <v/>
      </c>
      <c r="D670" s="32">
        <f>((1+Table26[[#This Row],[Monthly change]])^12)-1</f>
        <v/>
      </c>
    </row>
    <row r="671">
      <c r="A671" s="57" t="n">
        <v>41791</v>
      </c>
      <c r="B671" s="59">
        <f>VLOOKUP(Table26[[#This Row],[Date]],'DB Money Supply'!$A:$E,5)</f>
        <v/>
      </c>
      <c r="C671" s="31">
        <f>(Table26[[#This Row],[M2 Money Stock, Billions of Dollars, Monthly, Seasonally Adjusted]]-B670)/B670</f>
        <v/>
      </c>
      <c r="D671" s="32">
        <f>((1+Table26[[#This Row],[Monthly change]])^12)-1</f>
        <v/>
      </c>
    </row>
    <row r="672">
      <c r="A672" s="34" t="n">
        <v>41821</v>
      </c>
      <c r="B672" s="59">
        <f>VLOOKUP(Table26[[#This Row],[Date]],'DB Money Supply'!$A:$E,5)</f>
        <v/>
      </c>
      <c r="C672" s="31">
        <f>(Table26[[#This Row],[M2 Money Stock, Billions of Dollars, Monthly, Seasonally Adjusted]]-B671)/B671</f>
        <v/>
      </c>
      <c r="D672" s="32">
        <f>((1+Table26[[#This Row],[Monthly change]])^12)-1</f>
        <v/>
      </c>
    </row>
    <row r="673">
      <c r="A673" s="57" t="n">
        <v>41852</v>
      </c>
      <c r="B673" s="59">
        <f>VLOOKUP(Table26[[#This Row],[Date]],'DB Money Supply'!$A:$E,5)</f>
        <v/>
      </c>
      <c r="C673" s="31">
        <f>(Table26[[#This Row],[M2 Money Stock, Billions of Dollars, Monthly, Seasonally Adjusted]]-B672)/B672</f>
        <v/>
      </c>
      <c r="D673" s="32">
        <f>((1+Table26[[#This Row],[Monthly change]])^12)-1</f>
        <v/>
      </c>
    </row>
    <row r="674">
      <c r="A674" s="34" t="n">
        <v>41883</v>
      </c>
      <c r="B674" s="59">
        <f>VLOOKUP(Table26[[#This Row],[Date]],'DB Money Supply'!$A:$E,5)</f>
        <v/>
      </c>
      <c r="C674" s="31">
        <f>(Table26[[#This Row],[M2 Money Stock, Billions of Dollars, Monthly, Seasonally Adjusted]]-B673)/B673</f>
        <v/>
      </c>
      <c r="D674" s="32">
        <f>((1+Table26[[#This Row],[Monthly change]])^12)-1</f>
        <v/>
      </c>
    </row>
    <row r="675">
      <c r="A675" s="57" t="n">
        <v>41913</v>
      </c>
      <c r="B675" s="59">
        <f>VLOOKUP(Table26[[#This Row],[Date]],'DB Money Supply'!$A:$E,5)</f>
        <v/>
      </c>
      <c r="C675" s="31">
        <f>(Table26[[#This Row],[M2 Money Stock, Billions of Dollars, Monthly, Seasonally Adjusted]]-B674)/B674</f>
        <v/>
      </c>
      <c r="D675" s="32">
        <f>((1+Table26[[#This Row],[Monthly change]])^12)-1</f>
        <v/>
      </c>
    </row>
    <row r="676">
      <c r="A676" s="34" t="n">
        <v>41944</v>
      </c>
      <c r="B676" s="59">
        <f>VLOOKUP(Table26[[#This Row],[Date]],'DB Money Supply'!$A:$E,5)</f>
        <v/>
      </c>
      <c r="C676" s="31">
        <f>(Table26[[#This Row],[M2 Money Stock, Billions of Dollars, Monthly, Seasonally Adjusted]]-B675)/B675</f>
        <v/>
      </c>
      <c r="D676" s="32">
        <f>((1+Table26[[#This Row],[Monthly change]])^12)-1</f>
        <v/>
      </c>
    </row>
    <row r="677">
      <c r="A677" s="57" t="n">
        <v>41974</v>
      </c>
      <c r="B677" s="59">
        <f>VLOOKUP(Table26[[#This Row],[Date]],'DB Money Supply'!$A:$E,5)</f>
        <v/>
      </c>
      <c r="C677" s="31">
        <f>(Table26[[#This Row],[M2 Money Stock, Billions of Dollars, Monthly, Seasonally Adjusted]]-B676)/B676</f>
        <v/>
      </c>
      <c r="D677" s="32">
        <f>((1+Table26[[#This Row],[Monthly change]])^12)-1</f>
        <v/>
      </c>
    </row>
    <row r="678">
      <c r="A678" s="34" t="n">
        <v>42005</v>
      </c>
      <c r="B678" s="59">
        <f>VLOOKUP(Table26[[#This Row],[Date]],'DB Money Supply'!$A:$E,5)</f>
        <v/>
      </c>
      <c r="C678" s="31">
        <f>(Table26[[#This Row],[M2 Money Stock, Billions of Dollars, Monthly, Seasonally Adjusted]]-B677)/B677</f>
        <v/>
      </c>
      <c r="D678" s="32">
        <f>((1+Table26[[#This Row],[Monthly change]])^12)-1</f>
        <v/>
      </c>
    </row>
    <row r="679">
      <c r="A679" s="57" t="n">
        <v>42036</v>
      </c>
      <c r="B679" s="59">
        <f>VLOOKUP(Table26[[#This Row],[Date]],'DB Money Supply'!$A:$E,5)</f>
        <v/>
      </c>
      <c r="C679" s="31">
        <f>(Table26[[#This Row],[M2 Money Stock, Billions of Dollars, Monthly, Seasonally Adjusted]]-B678)/B678</f>
        <v/>
      </c>
      <c r="D679" s="32">
        <f>((1+Table26[[#This Row],[Monthly change]])^12)-1</f>
        <v/>
      </c>
    </row>
    <row r="680">
      <c r="A680" s="34" t="n">
        <v>42064</v>
      </c>
      <c r="B680" s="59">
        <f>VLOOKUP(Table26[[#This Row],[Date]],'DB Money Supply'!$A:$E,5)</f>
        <v/>
      </c>
      <c r="C680" s="31">
        <f>(Table26[[#This Row],[M2 Money Stock, Billions of Dollars, Monthly, Seasonally Adjusted]]-B679)/B679</f>
        <v/>
      </c>
      <c r="D680" s="32">
        <f>((1+Table26[[#This Row],[Monthly change]])^12)-1</f>
        <v/>
      </c>
    </row>
    <row r="681">
      <c r="A681" s="57" t="n">
        <v>42095</v>
      </c>
      <c r="B681" s="59">
        <f>VLOOKUP(Table26[[#This Row],[Date]],'DB Money Supply'!$A:$E,5)</f>
        <v/>
      </c>
      <c r="C681" s="31">
        <f>(Table26[[#This Row],[M2 Money Stock, Billions of Dollars, Monthly, Seasonally Adjusted]]-B680)/B680</f>
        <v/>
      </c>
      <c r="D681" s="32">
        <f>((1+Table26[[#This Row],[Monthly change]])^12)-1</f>
        <v/>
      </c>
    </row>
    <row r="682">
      <c r="A682" s="34" t="n">
        <v>42125</v>
      </c>
      <c r="B682" s="59">
        <f>VLOOKUP(Table26[[#This Row],[Date]],'DB Money Supply'!$A:$E,5)</f>
        <v/>
      </c>
      <c r="C682" s="31">
        <f>(Table26[[#This Row],[M2 Money Stock, Billions of Dollars, Monthly, Seasonally Adjusted]]-B681)/B681</f>
        <v/>
      </c>
      <c r="D682" s="32">
        <f>((1+Table26[[#This Row],[Monthly change]])^12)-1</f>
        <v/>
      </c>
    </row>
    <row r="683">
      <c r="A683" s="57" t="n">
        <v>42156</v>
      </c>
      <c r="B683" s="59">
        <f>VLOOKUP(Table26[[#This Row],[Date]],'DB Money Supply'!$A:$E,5)</f>
        <v/>
      </c>
      <c r="C683" s="31">
        <f>(Table26[[#This Row],[M2 Money Stock, Billions of Dollars, Monthly, Seasonally Adjusted]]-B682)/B682</f>
        <v/>
      </c>
      <c r="D683" s="32">
        <f>((1+Table26[[#This Row],[Monthly change]])^12)-1</f>
        <v/>
      </c>
    </row>
    <row r="684">
      <c r="A684" s="34" t="n">
        <v>42186</v>
      </c>
      <c r="B684" s="59">
        <f>VLOOKUP(Table26[[#This Row],[Date]],'DB Money Supply'!$A:$E,5)</f>
        <v/>
      </c>
      <c r="C684" s="31">
        <f>(Table26[[#This Row],[M2 Money Stock, Billions of Dollars, Monthly, Seasonally Adjusted]]-B683)/B683</f>
        <v/>
      </c>
      <c r="D684" s="32">
        <f>((1+Table26[[#This Row],[Monthly change]])^12)-1</f>
        <v/>
      </c>
    </row>
    <row r="685">
      <c r="A685" s="57" t="n">
        <v>42217</v>
      </c>
      <c r="B685" s="59">
        <f>VLOOKUP(Table26[[#This Row],[Date]],'DB Money Supply'!$A:$E,5)</f>
        <v/>
      </c>
      <c r="C685" s="31">
        <f>(Table26[[#This Row],[M2 Money Stock, Billions of Dollars, Monthly, Seasonally Adjusted]]-B684)/B684</f>
        <v/>
      </c>
      <c r="D685" s="32">
        <f>((1+Table26[[#This Row],[Monthly change]])^12)-1</f>
        <v/>
      </c>
    </row>
    <row r="686">
      <c r="A686" s="34" t="n">
        <v>42248</v>
      </c>
      <c r="B686" s="59">
        <f>VLOOKUP(Table26[[#This Row],[Date]],'DB Money Supply'!$A:$E,5)</f>
        <v/>
      </c>
      <c r="C686" s="31">
        <f>(Table26[[#This Row],[M2 Money Stock, Billions of Dollars, Monthly, Seasonally Adjusted]]-B685)/B685</f>
        <v/>
      </c>
      <c r="D686" s="32">
        <f>((1+Table26[[#This Row],[Monthly change]])^12)-1</f>
        <v/>
      </c>
    </row>
    <row r="687">
      <c r="A687" s="57" t="n">
        <v>42278</v>
      </c>
      <c r="B687" s="59">
        <f>VLOOKUP(Table26[[#This Row],[Date]],'DB Money Supply'!$A:$E,5)</f>
        <v/>
      </c>
      <c r="C687" s="31">
        <f>(Table26[[#This Row],[M2 Money Stock, Billions of Dollars, Monthly, Seasonally Adjusted]]-B686)/B686</f>
        <v/>
      </c>
      <c r="D687" s="32">
        <f>((1+Table26[[#This Row],[Monthly change]])^12)-1</f>
        <v/>
      </c>
    </row>
    <row r="688">
      <c r="A688" s="34" t="n">
        <v>42309</v>
      </c>
      <c r="B688" s="59">
        <f>VLOOKUP(Table26[[#This Row],[Date]],'DB Money Supply'!$A:$E,5)</f>
        <v/>
      </c>
      <c r="C688" s="31">
        <f>(Table26[[#This Row],[M2 Money Stock, Billions of Dollars, Monthly, Seasonally Adjusted]]-B687)/B687</f>
        <v/>
      </c>
      <c r="D688" s="32">
        <f>((1+Table26[[#This Row],[Monthly change]])^12)-1</f>
        <v/>
      </c>
    </row>
    <row r="689">
      <c r="A689" s="57" t="n">
        <v>42339</v>
      </c>
      <c r="B689" s="59">
        <f>VLOOKUP(Table26[[#This Row],[Date]],'DB Money Supply'!$A:$E,5)</f>
        <v/>
      </c>
      <c r="C689" s="31">
        <f>(Table26[[#This Row],[M2 Money Stock, Billions of Dollars, Monthly, Seasonally Adjusted]]-B688)/B688</f>
        <v/>
      </c>
      <c r="D689" s="32">
        <f>((1+Table26[[#This Row],[Monthly change]])^12)-1</f>
        <v/>
      </c>
    </row>
    <row r="690">
      <c r="A690" s="57" t="n">
        <v>42370</v>
      </c>
      <c r="B690" s="59">
        <f>VLOOKUP(Table26[[#This Row],[Date]],'DB Money Supply'!$A:$E,5)</f>
        <v/>
      </c>
      <c r="C690" s="31">
        <f>(Table26[[#This Row],[M2 Money Stock, Billions of Dollars, Monthly, Seasonally Adjusted]]-B689)/B689</f>
        <v/>
      </c>
      <c r="D690" s="32">
        <f>((1+Table26[[#This Row],[Monthly change]])^12)-1</f>
        <v/>
      </c>
    </row>
    <row r="691">
      <c r="A691" s="34" t="n">
        <v>42401</v>
      </c>
      <c r="B691" s="59">
        <f>VLOOKUP(Table26[[#This Row],[Date]],'DB Money Supply'!$A:$E,5)</f>
        <v/>
      </c>
      <c r="C691" s="31">
        <f>(Table26[[#This Row],[M2 Money Stock, Billions of Dollars, Monthly, Seasonally Adjusted]]-B690)/B690</f>
        <v/>
      </c>
      <c r="D691" s="32">
        <f>((1+Table26[[#This Row],[Monthly change]])^12)-1</f>
        <v/>
      </c>
    </row>
    <row r="692">
      <c r="A692" s="57" t="n">
        <v>42430</v>
      </c>
      <c r="B692" s="59">
        <f>VLOOKUP(Table26[[#This Row],[Date]],'DB Money Supply'!$A:$E,5)</f>
        <v/>
      </c>
      <c r="C692" s="31">
        <f>(Table26[[#This Row],[M2 Money Stock, Billions of Dollars, Monthly, Seasonally Adjusted]]-B691)/B691</f>
        <v/>
      </c>
      <c r="D692" s="32">
        <f>((1+Table26[[#This Row],[Monthly change]])^12)-1</f>
        <v/>
      </c>
    </row>
    <row r="693">
      <c r="A693" s="34" t="n">
        <v>42461</v>
      </c>
      <c r="B693" s="59">
        <f>VLOOKUP(Table26[[#This Row],[Date]],'DB Money Supply'!$A:$E,5)</f>
        <v/>
      </c>
      <c r="C693" s="31">
        <f>(Table26[[#This Row],[M2 Money Stock, Billions of Dollars, Monthly, Seasonally Adjusted]]-B692)/B692</f>
        <v/>
      </c>
      <c r="D693" s="32">
        <f>((1+Table26[[#This Row],[Monthly change]])^12)-1</f>
        <v/>
      </c>
    </row>
    <row r="694">
      <c r="A694" s="57" t="n">
        <v>42491</v>
      </c>
      <c r="B694" s="59">
        <f>VLOOKUP(Table26[[#This Row],[Date]],'DB Money Supply'!$A:$E,5)</f>
        <v/>
      </c>
      <c r="C694" s="31">
        <f>(Table26[[#This Row],[M2 Money Stock, Billions of Dollars, Monthly, Seasonally Adjusted]]-B693)/B693</f>
        <v/>
      </c>
      <c r="D694" s="32">
        <f>((1+Table26[[#This Row],[Monthly change]])^12)-1</f>
        <v/>
      </c>
    </row>
    <row r="695">
      <c r="A695" s="34" t="n">
        <v>42522</v>
      </c>
      <c r="B695" s="59">
        <f>VLOOKUP(Table26[[#This Row],[Date]],'DB Money Supply'!$A:$E,5)</f>
        <v/>
      </c>
      <c r="C695" s="31">
        <f>(Table26[[#This Row],[M2 Money Stock, Billions of Dollars, Monthly, Seasonally Adjusted]]-B694)/B694</f>
        <v/>
      </c>
      <c r="D695" s="32">
        <f>((1+Table26[[#This Row],[Monthly change]])^12)-1</f>
        <v/>
      </c>
    </row>
    <row r="696">
      <c r="A696" s="57" t="n">
        <v>42552</v>
      </c>
      <c r="B696" s="59">
        <f>VLOOKUP(Table26[[#This Row],[Date]],'DB Money Supply'!$A:$E,5)</f>
        <v/>
      </c>
      <c r="C696" s="31">
        <f>(Table26[[#This Row],[M2 Money Stock, Billions of Dollars, Monthly, Seasonally Adjusted]]-B695)/B695</f>
        <v/>
      </c>
      <c r="D696" s="32">
        <f>((1+Table26[[#This Row],[Monthly change]])^12)-1</f>
        <v/>
      </c>
    </row>
    <row r="697">
      <c r="A697" s="34" t="n">
        <v>42583</v>
      </c>
      <c r="B697" s="59">
        <f>VLOOKUP(Table26[[#This Row],[Date]],'DB Money Supply'!$A:$E,5)</f>
        <v/>
      </c>
      <c r="C697" s="31">
        <f>(Table26[[#This Row],[M2 Money Stock, Billions of Dollars, Monthly, Seasonally Adjusted]]-B696)/B696</f>
        <v/>
      </c>
      <c r="D697" s="32">
        <f>((1+Table26[[#This Row],[Monthly change]])^12)-1</f>
        <v/>
      </c>
    </row>
    <row r="698">
      <c r="A698" s="57" t="n">
        <v>42614</v>
      </c>
      <c r="B698" s="59">
        <f>VLOOKUP(Table26[[#This Row],[Date]],'DB Money Supply'!$A:$E,5)</f>
        <v/>
      </c>
      <c r="C698" s="31">
        <f>(Table26[[#This Row],[M2 Money Stock, Billions of Dollars, Monthly, Seasonally Adjusted]]-B697)/B697</f>
        <v/>
      </c>
      <c r="D698" s="32">
        <f>((1+Table26[[#This Row],[Monthly change]])^12)-1</f>
        <v/>
      </c>
    </row>
    <row r="699">
      <c r="A699" s="34" t="n">
        <v>42644</v>
      </c>
      <c r="B699" s="59">
        <f>VLOOKUP(Table26[[#This Row],[Date]],'DB Money Supply'!$A:$E,5)</f>
        <v/>
      </c>
      <c r="C699" s="31">
        <f>(Table26[[#This Row],[M2 Money Stock, Billions of Dollars, Monthly, Seasonally Adjusted]]-B698)/B698</f>
        <v/>
      </c>
      <c r="D699" s="32">
        <f>((1+Table26[[#This Row],[Monthly change]])^12)-1</f>
        <v/>
      </c>
    </row>
    <row r="700">
      <c r="A700" s="57" t="n">
        <v>42675</v>
      </c>
      <c r="B700" s="59">
        <f>VLOOKUP(Table26[[#This Row],[Date]],'DB Money Supply'!$A:$E,5)</f>
        <v/>
      </c>
      <c r="C700" s="31">
        <f>(Table26[[#This Row],[M2 Money Stock, Billions of Dollars, Monthly, Seasonally Adjusted]]-B699)/B699</f>
        <v/>
      </c>
      <c r="D700" s="32">
        <f>((1+Table26[[#This Row],[Monthly change]])^12)-1</f>
        <v/>
      </c>
    </row>
    <row r="701">
      <c r="A701" s="34" t="n">
        <v>42705</v>
      </c>
      <c r="B701" s="59">
        <f>VLOOKUP(Table26[[#This Row],[Date]],'DB Money Supply'!$A:$E,5)</f>
        <v/>
      </c>
      <c r="C701" s="31">
        <f>(Table26[[#This Row],[M2 Money Stock, Billions of Dollars, Monthly, Seasonally Adjusted]]-B700)/B700</f>
        <v/>
      </c>
      <c r="D701" s="32">
        <f>((1+Table26[[#This Row],[Monthly change]])^12)-1</f>
        <v/>
      </c>
    </row>
    <row r="702">
      <c r="A702" s="57" t="n">
        <v>42736</v>
      </c>
      <c r="B702" s="59">
        <f>VLOOKUP(Table26[[#This Row],[Date]],'DB Money Supply'!$A:$E,5)</f>
        <v/>
      </c>
      <c r="C702" s="31">
        <f>(Table26[[#This Row],[M2 Money Stock, Billions of Dollars, Monthly, Seasonally Adjusted]]-B701)/B701</f>
        <v/>
      </c>
      <c r="D702" s="32">
        <f>((1+Table26[[#This Row],[Monthly change]])^12)-1</f>
        <v/>
      </c>
    </row>
    <row r="703">
      <c r="A703" s="34" t="n">
        <v>42767</v>
      </c>
      <c r="B703" s="59">
        <f>VLOOKUP(Table26[[#This Row],[Date]],'DB Money Supply'!$A:$E,5)</f>
        <v/>
      </c>
      <c r="C703" s="31">
        <f>(Table26[[#This Row],[M2 Money Stock, Billions of Dollars, Monthly, Seasonally Adjusted]]-B702)/B702</f>
        <v/>
      </c>
      <c r="D703" s="32">
        <f>((1+Table26[[#This Row],[Monthly change]])^12)-1</f>
        <v/>
      </c>
    </row>
    <row r="704">
      <c r="A704" s="57" t="n">
        <v>42795</v>
      </c>
      <c r="B704" s="59">
        <f>VLOOKUP(Table26[[#This Row],[Date]],'DB Money Supply'!$A:$E,5)</f>
        <v/>
      </c>
      <c r="C704" s="31">
        <f>(Table26[[#This Row],[M2 Money Stock, Billions of Dollars, Monthly, Seasonally Adjusted]]-B703)/B703</f>
        <v/>
      </c>
      <c r="D704" s="32">
        <f>((1+Table26[[#This Row],[Monthly change]])^12)-1</f>
        <v/>
      </c>
    </row>
    <row r="705">
      <c r="A705" s="34" t="n">
        <v>42826</v>
      </c>
      <c r="B705" s="59">
        <f>VLOOKUP(Table26[[#This Row],[Date]],'DB Money Supply'!$A:$E,5)</f>
        <v/>
      </c>
      <c r="C705" s="31">
        <f>(Table26[[#This Row],[M2 Money Stock, Billions of Dollars, Monthly, Seasonally Adjusted]]-B704)/B704</f>
        <v/>
      </c>
      <c r="D705" s="32">
        <f>((1+Table26[[#This Row],[Monthly change]])^12)-1</f>
        <v/>
      </c>
    </row>
    <row r="706">
      <c r="A706" s="57" t="n">
        <v>42856</v>
      </c>
      <c r="B706" s="59">
        <f>VLOOKUP(Table26[[#This Row],[Date]],'DB Money Supply'!$A:$E,5)</f>
        <v/>
      </c>
      <c r="C706" s="31">
        <f>(Table26[[#This Row],[M2 Money Stock, Billions of Dollars, Monthly, Seasonally Adjusted]]-B705)/B705</f>
        <v/>
      </c>
      <c r="D706" s="32">
        <f>((1+Table26[[#This Row],[Monthly change]])^12)-1</f>
        <v/>
      </c>
    </row>
    <row r="707">
      <c r="A707" s="34" t="n">
        <v>42887</v>
      </c>
      <c r="B707" s="59">
        <f>VLOOKUP(Table26[[#This Row],[Date]],'DB Money Supply'!$A:$E,5)</f>
        <v/>
      </c>
      <c r="C707" s="31">
        <f>(Table26[[#This Row],[M2 Money Stock, Billions of Dollars, Monthly, Seasonally Adjusted]]-B706)/B706</f>
        <v/>
      </c>
      <c r="D707" s="32">
        <f>((1+Table26[[#This Row],[Monthly change]])^12)-1</f>
        <v/>
      </c>
    </row>
    <row r="708">
      <c r="A708" s="57" t="n">
        <v>42917</v>
      </c>
      <c r="B708" s="59">
        <f>VLOOKUP(Table26[[#This Row],[Date]],'DB Money Supply'!$A:$E,5)</f>
        <v/>
      </c>
      <c r="C708" s="31">
        <f>(Table26[[#This Row],[M2 Money Stock, Billions of Dollars, Monthly, Seasonally Adjusted]]-B707)/B707</f>
        <v/>
      </c>
      <c r="D708" s="32">
        <f>((1+Table26[[#This Row],[Monthly change]])^12)-1</f>
        <v/>
      </c>
    </row>
    <row r="709">
      <c r="A709" s="57" t="n">
        <v>42948</v>
      </c>
      <c r="B709" s="59">
        <f>VLOOKUP(Table26[[#This Row],[Date]],'DB Money Supply'!$A:$E,5)</f>
        <v/>
      </c>
      <c r="C709" s="31">
        <f>(Table26[[#This Row],[M2 Money Stock, Billions of Dollars, Monthly, Seasonally Adjusted]]-B708)/B708</f>
        <v/>
      </c>
      <c r="D709" s="32">
        <f>((1+Table26[[#This Row],[Monthly change]])^12)-1</f>
        <v/>
      </c>
    </row>
    <row r="710">
      <c r="A710" s="34" t="n">
        <v>42979</v>
      </c>
      <c r="B710" s="59">
        <f>VLOOKUP(Table26[[#This Row],[Date]],'DB Money Supply'!$A:$E,5)</f>
        <v/>
      </c>
      <c r="C710" s="31">
        <f>(Table26[[#This Row],[M2 Money Stock, Billions of Dollars, Monthly, Seasonally Adjusted]]-B709)/B709</f>
        <v/>
      </c>
      <c r="D710" s="32">
        <f>((1+Table26[[#This Row],[Monthly change]])^12)-1</f>
        <v/>
      </c>
    </row>
    <row r="711">
      <c r="A711" s="57" t="n">
        <v>43009</v>
      </c>
      <c r="B711" s="59">
        <f>VLOOKUP(Table26[[#This Row],[Date]],'DB Money Supply'!$A:$E,5)</f>
        <v/>
      </c>
      <c r="C711" s="31">
        <f>(Table26[[#This Row],[M2 Money Stock, Billions of Dollars, Monthly, Seasonally Adjusted]]-B710)/B710</f>
        <v/>
      </c>
      <c r="D711" s="32">
        <f>((1+Table26[[#This Row],[Monthly change]])^12)-1</f>
        <v/>
      </c>
    </row>
    <row r="712">
      <c r="A712" s="34" t="n">
        <v>43040</v>
      </c>
      <c r="B712" s="59">
        <f>VLOOKUP(Table26[[#This Row],[Date]],'DB Money Supply'!$A:$E,5)</f>
        <v/>
      </c>
      <c r="C712" s="31">
        <f>(Table26[[#This Row],[M2 Money Stock, Billions of Dollars, Monthly, Seasonally Adjusted]]-B711)/B711</f>
        <v/>
      </c>
      <c r="D712" s="32">
        <f>((1+Table26[[#This Row],[Monthly change]])^12)-1</f>
        <v/>
      </c>
    </row>
    <row r="713">
      <c r="A713" s="57" t="n">
        <v>43070</v>
      </c>
      <c r="B713" s="59">
        <f>VLOOKUP(Table26[[#This Row],[Date]],'DB Money Supply'!$A:$E,5)</f>
        <v/>
      </c>
      <c r="C713" s="31">
        <f>(Table26[[#This Row],[M2 Money Stock, Billions of Dollars, Monthly, Seasonally Adjusted]]-B712)/B712</f>
        <v/>
      </c>
      <c r="D713" s="32">
        <f>((1+Table26[[#This Row],[Monthly change]])^12)-1</f>
        <v/>
      </c>
    </row>
    <row r="714">
      <c r="A714" s="34" t="n">
        <v>43101</v>
      </c>
      <c r="B714" s="59">
        <f>VLOOKUP(Table26[[#This Row],[Date]],'DB Money Supply'!$A:$E,5)</f>
        <v/>
      </c>
      <c r="C714" s="31">
        <f>(Table26[[#This Row],[M2 Money Stock, Billions of Dollars, Monthly, Seasonally Adjusted]]-B713)/B713</f>
        <v/>
      </c>
      <c r="D714" s="32">
        <f>((1+Table26[[#This Row],[Monthly change]])^12)-1</f>
        <v/>
      </c>
    </row>
    <row r="715">
      <c r="A715" s="57" t="n">
        <v>43132</v>
      </c>
      <c r="B715" s="59">
        <f>VLOOKUP(Table26[[#This Row],[Date]],'DB Money Supply'!$A:$E,5)</f>
        <v/>
      </c>
      <c r="C715" s="31">
        <f>(Table26[[#This Row],[M2 Money Stock, Billions of Dollars, Monthly, Seasonally Adjusted]]-B714)/B714</f>
        <v/>
      </c>
      <c r="D715" s="32">
        <f>((1+Table26[[#This Row],[Monthly change]])^12)-1</f>
        <v/>
      </c>
    </row>
    <row r="716">
      <c r="A716" s="34" t="n">
        <v>43160</v>
      </c>
      <c r="B716" s="59">
        <f>VLOOKUP(Table26[[#This Row],[Date]],'DB Money Supply'!$A:$E,5)</f>
        <v/>
      </c>
      <c r="C716" s="31">
        <f>(Table26[[#This Row],[M2 Money Stock, Billions of Dollars, Monthly, Seasonally Adjusted]]-B715)/B715</f>
        <v/>
      </c>
      <c r="D716" s="32">
        <f>((1+Table26[[#This Row],[Monthly change]])^12)-1</f>
        <v/>
      </c>
    </row>
    <row r="717">
      <c r="A717" s="57" t="n">
        <v>43191</v>
      </c>
      <c r="B717" s="59">
        <f>VLOOKUP(Table26[[#This Row],[Date]],'DB Money Supply'!$A:$E,5)</f>
        <v/>
      </c>
      <c r="C717" s="31">
        <f>(Table26[[#This Row],[M2 Money Stock, Billions of Dollars, Monthly, Seasonally Adjusted]]-B716)/B716</f>
        <v/>
      </c>
      <c r="D717" s="32">
        <f>((1+Table26[[#This Row],[Monthly change]])^12)-1</f>
        <v/>
      </c>
    </row>
    <row r="718">
      <c r="A718" s="34" t="n">
        <v>43221</v>
      </c>
      <c r="B718" s="59">
        <f>VLOOKUP(Table26[[#This Row],[Date]],'DB Money Supply'!$A:$E,5)</f>
        <v/>
      </c>
      <c r="C718" s="31">
        <f>(Table26[[#This Row],[M2 Money Stock, Billions of Dollars, Monthly, Seasonally Adjusted]]-B717)/B717</f>
        <v/>
      </c>
      <c r="D718" s="32">
        <f>((1+Table26[[#This Row],[Monthly change]])^12)-1</f>
        <v/>
      </c>
    </row>
    <row r="719">
      <c r="A719" s="57" t="n">
        <v>43252</v>
      </c>
      <c r="B719" s="59">
        <f>VLOOKUP(Table26[[#This Row],[Date]],'DB Money Supply'!$A:$E,5)</f>
        <v/>
      </c>
      <c r="C719" s="31">
        <f>(Table26[[#This Row],[M2 Money Stock, Billions of Dollars, Monthly, Seasonally Adjusted]]-B718)/B718</f>
        <v/>
      </c>
      <c r="D719" s="32">
        <f>((1+Table26[[#This Row],[Monthly change]])^12)-1</f>
        <v/>
      </c>
    </row>
    <row r="720">
      <c r="A720" s="34" t="n">
        <v>43282</v>
      </c>
      <c r="B720" s="59">
        <f>VLOOKUP(Table26[[#This Row],[Date]],'DB Money Supply'!$A:$E,5)</f>
        <v/>
      </c>
      <c r="C720" s="31">
        <f>(Table26[[#This Row],[M2 Money Stock, Billions of Dollars, Monthly, Seasonally Adjusted]]-B719)/B719</f>
        <v/>
      </c>
      <c r="D720" s="32">
        <f>((1+Table26[[#This Row],[Monthly change]])^12)-1</f>
        <v/>
      </c>
    </row>
    <row r="721">
      <c r="A721" s="57" t="n">
        <v>43313</v>
      </c>
      <c r="B721" s="59">
        <f>VLOOKUP(Table26[[#This Row],[Date]],'DB Money Supply'!$A:$E,5)</f>
        <v/>
      </c>
      <c r="C721" s="31">
        <f>(Table26[[#This Row],[M2 Money Stock, Billions of Dollars, Monthly, Seasonally Adjusted]]-B720)/B720</f>
        <v/>
      </c>
      <c r="D721" s="32">
        <f>((1+Table26[[#This Row],[Monthly change]])^12)-1</f>
        <v/>
      </c>
    </row>
    <row r="722">
      <c r="A722" s="34" t="n">
        <v>43344</v>
      </c>
      <c r="B722" s="59">
        <f>VLOOKUP(Table26[[#This Row],[Date]],'DB Money Supply'!$A:$E,5)</f>
        <v/>
      </c>
      <c r="C722" s="31">
        <f>(Table26[[#This Row],[M2 Money Stock, Billions of Dollars, Monthly, Seasonally Adjusted]]-B721)/B721</f>
        <v/>
      </c>
      <c r="D722" s="32">
        <f>((1+Table26[[#This Row],[Monthly change]])^12)-1</f>
        <v/>
      </c>
    </row>
    <row r="723">
      <c r="A723" s="57" t="n">
        <v>43374</v>
      </c>
      <c r="B723" s="59">
        <f>VLOOKUP(Table26[[#This Row],[Date]],'DB Money Supply'!$A:$E,5)</f>
        <v/>
      </c>
      <c r="C723" s="31">
        <f>(Table26[[#This Row],[M2 Money Stock, Billions of Dollars, Monthly, Seasonally Adjusted]]-B722)/B722</f>
        <v/>
      </c>
      <c r="D723" s="32">
        <f>((1+Table26[[#This Row],[Monthly change]])^12)-1</f>
        <v/>
      </c>
    </row>
    <row r="724">
      <c r="A724" s="34" t="n">
        <v>43405</v>
      </c>
      <c r="B724" s="59">
        <f>VLOOKUP(Table26[[#This Row],[Date]],'DB Money Supply'!$A:$E,5)</f>
        <v/>
      </c>
      <c r="C724" s="31">
        <f>(Table26[[#This Row],[M2 Money Stock, Billions of Dollars, Monthly, Seasonally Adjusted]]-B723)/B723</f>
        <v/>
      </c>
      <c r="D724" s="32">
        <f>((1+Table26[[#This Row],[Monthly change]])^12)-1</f>
        <v/>
      </c>
    </row>
    <row r="725">
      <c r="A725" s="57" t="n">
        <v>43435</v>
      </c>
      <c r="B725" s="59">
        <f>VLOOKUP(Table26[[#This Row],[Date]],'DB Money Supply'!$A:$E,5)</f>
        <v/>
      </c>
      <c r="C725" s="31">
        <f>(Table26[[#This Row],[M2 Money Stock, Billions of Dollars, Monthly, Seasonally Adjusted]]-B724)/B724</f>
        <v/>
      </c>
      <c r="D725" s="32">
        <f>((1+Table26[[#This Row],[Monthly change]])^12)-1</f>
        <v/>
      </c>
    </row>
    <row r="726">
      <c r="A726" s="34" t="n">
        <v>43466</v>
      </c>
      <c r="B726" s="59">
        <f>VLOOKUP(Table26[[#This Row],[Date]],'DB Money Supply'!$A:$E,5)</f>
        <v/>
      </c>
      <c r="C726" s="31">
        <f>(Table26[[#This Row],[M2 Money Stock, Billions of Dollars, Monthly, Seasonally Adjusted]]-B725)/B725</f>
        <v/>
      </c>
      <c r="D726" s="32">
        <f>((1+Table26[[#This Row],[Monthly change]])^12)-1</f>
        <v/>
      </c>
    </row>
    <row r="727">
      <c r="A727" s="57" t="n">
        <v>43497</v>
      </c>
      <c r="B727" s="59">
        <f>VLOOKUP(Table26[[#This Row],[Date]],'DB Money Supply'!$A:$E,5)</f>
        <v/>
      </c>
      <c r="C727" s="31">
        <f>(Table26[[#This Row],[M2 Money Stock, Billions of Dollars, Monthly, Seasonally Adjusted]]-B726)/B726</f>
        <v/>
      </c>
      <c r="D727" s="32">
        <f>((1+Table26[[#This Row],[Monthly change]])^12)-1</f>
        <v/>
      </c>
    </row>
    <row r="728">
      <c r="A728" s="57" t="n">
        <v>43525</v>
      </c>
      <c r="B728" s="59">
        <f>VLOOKUP(Table26[[#This Row],[Date]],'DB Money Supply'!$A:$E,5)</f>
        <v/>
      </c>
      <c r="C728" s="31">
        <f>(Table26[[#This Row],[M2 Money Stock, Billions of Dollars, Monthly, Seasonally Adjusted]]-B727)/B727</f>
        <v/>
      </c>
      <c r="D728" s="32">
        <f>((1+Table26[[#This Row],[Monthly change]])^12)-1</f>
        <v/>
      </c>
    </row>
    <row r="729">
      <c r="A729" s="34" t="n">
        <v>43556</v>
      </c>
      <c r="B729" s="59">
        <f>VLOOKUP(Table26[[#This Row],[Date]],'DB Money Supply'!$A:$E,5)</f>
        <v/>
      </c>
      <c r="C729" s="31">
        <f>(Table26[[#This Row],[M2 Money Stock, Billions of Dollars, Monthly, Seasonally Adjusted]]-B728)/B728</f>
        <v/>
      </c>
      <c r="D729" s="32">
        <f>((1+Table26[[#This Row],[Monthly change]])^12)-1</f>
        <v/>
      </c>
    </row>
    <row r="730">
      <c r="A730" s="57" t="n">
        <v>43586</v>
      </c>
      <c r="B730" s="59">
        <f>VLOOKUP(Table26[[#This Row],[Date]],'DB Money Supply'!$A:$E,5)</f>
        <v/>
      </c>
      <c r="C730" s="31">
        <f>(Table26[[#This Row],[M2 Money Stock, Billions of Dollars, Monthly, Seasonally Adjusted]]-B729)/B729</f>
        <v/>
      </c>
      <c r="D730" s="32">
        <f>((1+Table26[[#This Row],[Monthly change]])^12)-1</f>
        <v/>
      </c>
    </row>
    <row r="731">
      <c r="A731" s="34" t="n">
        <v>43617</v>
      </c>
      <c r="B731" s="59">
        <f>VLOOKUP(Table26[[#This Row],[Date]],'DB Money Supply'!$A:$E,5)</f>
        <v/>
      </c>
      <c r="C731" s="31">
        <f>(Table26[[#This Row],[M2 Money Stock, Billions of Dollars, Monthly, Seasonally Adjusted]]-B730)/B730</f>
        <v/>
      </c>
      <c r="D731" s="32">
        <f>((1+Table26[[#This Row],[Monthly change]])^12)-1</f>
        <v/>
      </c>
    </row>
    <row r="732">
      <c r="A732" s="57" t="n">
        <v>43647</v>
      </c>
      <c r="B732" s="59">
        <f>VLOOKUP(Table26[[#This Row],[Date]],'DB Money Supply'!$A:$E,5)</f>
        <v/>
      </c>
      <c r="C732" s="31">
        <f>(Table26[[#This Row],[M2 Money Stock, Billions of Dollars, Monthly, Seasonally Adjusted]]-B731)/B731</f>
        <v/>
      </c>
      <c r="D732" s="32">
        <f>((1+Table26[[#This Row],[Monthly change]])^12)-1</f>
        <v/>
      </c>
    </row>
    <row r="733">
      <c r="A733" s="34" t="n">
        <v>43678</v>
      </c>
      <c r="B733" s="59">
        <f>VLOOKUP(Table26[[#This Row],[Date]],'DB Money Supply'!$A:$E,5)</f>
        <v/>
      </c>
      <c r="C733" s="31">
        <f>(Table26[[#This Row],[M2 Money Stock, Billions of Dollars, Monthly, Seasonally Adjusted]]-B732)/B732</f>
        <v/>
      </c>
      <c r="D733" s="32">
        <f>((1+Table26[[#This Row],[Monthly change]])^12)-1</f>
        <v/>
      </c>
    </row>
    <row r="734">
      <c r="A734" s="57" t="n">
        <v>43709</v>
      </c>
      <c r="B734" s="59">
        <f>VLOOKUP(Table26[[#This Row],[Date]],'DB Money Supply'!$A:$E,5)</f>
        <v/>
      </c>
      <c r="C734" s="31">
        <f>(Table26[[#This Row],[M2 Money Stock, Billions of Dollars, Monthly, Seasonally Adjusted]]-B733)/B733</f>
        <v/>
      </c>
      <c r="D734" s="32">
        <f>((1+Table26[[#This Row],[Monthly change]])^12)-1</f>
        <v/>
      </c>
    </row>
    <row r="735">
      <c r="A735" s="34" t="n">
        <v>43739</v>
      </c>
      <c r="B735" s="59">
        <f>VLOOKUP(Table26[[#This Row],[Date]],'DB Money Supply'!$A:$E,5)</f>
        <v/>
      </c>
      <c r="C735" s="31">
        <f>(Table26[[#This Row],[M2 Money Stock, Billions of Dollars, Monthly, Seasonally Adjusted]]-B734)/B734</f>
        <v/>
      </c>
      <c r="D735" s="32">
        <f>((1+Table26[[#This Row],[Monthly change]])^12)-1</f>
        <v/>
      </c>
    </row>
    <row r="736">
      <c r="A736" s="57" t="n">
        <v>43770</v>
      </c>
      <c r="B736" s="59">
        <f>VLOOKUP(Table26[[#This Row],[Date]],'DB Money Supply'!$A:$E,5)</f>
        <v/>
      </c>
      <c r="C736" s="31">
        <f>(Table26[[#This Row],[M2 Money Stock, Billions of Dollars, Monthly, Seasonally Adjusted]]-B735)/B735</f>
        <v/>
      </c>
      <c r="D736" s="32">
        <f>((1+Table26[[#This Row],[Monthly change]])^12)-1</f>
        <v/>
      </c>
    </row>
    <row r="737">
      <c r="A737" s="34" t="n">
        <v>43800</v>
      </c>
      <c r="B737" s="59">
        <f>VLOOKUP(Table26[[#This Row],[Date]],'DB Money Supply'!$A:$E,5)</f>
        <v/>
      </c>
      <c r="C737" s="31">
        <f>(Table26[[#This Row],[M2 Money Stock, Billions of Dollars, Monthly, Seasonally Adjusted]]-B736)/B736</f>
        <v/>
      </c>
      <c r="D737" s="32">
        <f>((1+Table26[[#This Row],[Monthly change]])^12)-1</f>
        <v/>
      </c>
    </row>
    <row r="738">
      <c r="A738" s="57" t="n">
        <v>43831</v>
      </c>
      <c r="B738" s="59">
        <f>VLOOKUP(Table26[[#This Row],[Date]],'DB Money Supply'!$A:$E,5)</f>
        <v/>
      </c>
      <c r="C738" s="31">
        <f>(Table26[[#This Row],[M2 Money Stock, Billions of Dollars, Monthly, Seasonally Adjusted]]-B737)/B737</f>
        <v/>
      </c>
      <c r="D738" s="32">
        <f>((1+Table26[[#This Row],[Monthly change]])^12)-1</f>
        <v/>
      </c>
    </row>
    <row r="739">
      <c r="A739" s="34" t="n">
        <v>43862</v>
      </c>
      <c r="B739" s="59">
        <f>VLOOKUP(Table26[[#This Row],[Date]],'DB Money Supply'!$A:$E,5)</f>
        <v/>
      </c>
      <c r="C739" s="31">
        <f>(Table26[[#This Row],[M2 Money Stock, Billions of Dollars, Monthly, Seasonally Adjusted]]-B738)/B738</f>
        <v/>
      </c>
      <c r="D739" s="32">
        <f>((1+Table26[[#This Row],[Monthly change]])^12)-1</f>
        <v/>
      </c>
    </row>
    <row r="740">
      <c r="A740" s="57" t="n">
        <v>43891</v>
      </c>
      <c r="B740" s="59">
        <f>VLOOKUP(Table26[[#This Row],[Date]],'DB Money Supply'!$A:$E,5)</f>
        <v/>
      </c>
      <c r="C740" s="31">
        <f>(Table26[[#This Row],[M2 Money Stock, Billions of Dollars, Monthly, Seasonally Adjusted]]-B739)/B739</f>
        <v/>
      </c>
      <c r="D740" s="32">
        <f>((1+Table26[[#This Row],[Monthly change]])^12)-1</f>
        <v/>
      </c>
    </row>
    <row r="741">
      <c r="A741" s="34" t="n">
        <v>43922</v>
      </c>
      <c r="B741" s="59">
        <f>VLOOKUP(Table26[[#This Row],[Date]],'DB Money Supply'!$A:$E,5)</f>
        <v/>
      </c>
      <c r="C741" s="31">
        <f>(Table26[[#This Row],[M2 Money Stock, Billions of Dollars, Monthly, Seasonally Adjusted]]-B740)/B740</f>
        <v/>
      </c>
      <c r="D741" s="32">
        <f>((1+Table26[[#This Row],[Monthly change]])^12)-1</f>
        <v/>
      </c>
    </row>
    <row r="742">
      <c r="A742" s="57" t="n">
        <v>43952</v>
      </c>
      <c r="B742" s="59">
        <f>VLOOKUP(Table26[[#This Row],[Date]],'DB Money Supply'!$A:$E,5)</f>
        <v/>
      </c>
      <c r="C742" s="31">
        <f>(Table26[[#This Row],[M2 Money Stock, Billions of Dollars, Monthly, Seasonally Adjusted]]-B741)/B741</f>
        <v/>
      </c>
      <c r="D742" s="32">
        <f>((1+Table26[[#This Row],[Monthly change]])^12)-1</f>
        <v/>
      </c>
    </row>
    <row r="743">
      <c r="A743" s="34" t="n">
        <v>43983</v>
      </c>
      <c r="B743" s="59">
        <f>VLOOKUP(Table26[[#This Row],[Date]],'DB Money Supply'!$A:$E,5)</f>
        <v/>
      </c>
      <c r="C743" s="31">
        <f>(Table26[[#This Row],[M2 Money Stock, Billions of Dollars, Monthly, Seasonally Adjusted]]-B742)/B742</f>
        <v/>
      </c>
      <c r="D743" s="32">
        <f>((1+Table26[[#This Row],[Monthly change]])^12)-1</f>
        <v/>
      </c>
    </row>
    <row r="744">
      <c r="A744" s="57" t="n">
        <v>44013</v>
      </c>
      <c r="B744" s="59">
        <f>VLOOKUP(Table26[[#This Row],[Date]],'DB Money Supply'!$A:$E,5)</f>
        <v/>
      </c>
      <c r="C744" s="31">
        <f>(Table26[[#This Row],[M2 Money Stock, Billions of Dollars, Monthly, Seasonally Adjusted]]-B743)/B743</f>
        <v/>
      </c>
      <c r="D744" s="32">
        <f>((1+Table26[[#This Row],[Monthly change]])^12)-1</f>
        <v/>
      </c>
    </row>
    <row r="745">
      <c r="A745" s="34" t="n">
        <v>44044</v>
      </c>
      <c r="B745" s="59">
        <f>VLOOKUP(Table26[[#This Row],[Date]],'DB Money Supply'!$A:$E,5)</f>
        <v/>
      </c>
      <c r="C745" s="31">
        <f>(Table26[[#This Row],[M2 Money Stock, Billions of Dollars, Monthly, Seasonally Adjusted]]-B744)/B744</f>
        <v/>
      </c>
      <c r="D745" s="32">
        <f>((1+Table26[[#This Row],[Monthly change]])^12)-1</f>
        <v/>
      </c>
    </row>
    <row r="746">
      <c r="A746" s="57" t="n">
        <v>44075</v>
      </c>
      <c r="B746" s="59">
        <f>VLOOKUP(Table26[[#This Row],[Date]],'DB Money Supply'!$A:$E,5)</f>
        <v/>
      </c>
      <c r="C746" s="31">
        <f>(Table26[[#This Row],[M2 Money Stock, Billions of Dollars, Monthly, Seasonally Adjusted]]-B745)/B745</f>
        <v/>
      </c>
      <c r="D746" s="32">
        <f>((1+Table26[[#This Row],[Monthly change]])^12)-1</f>
        <v/>
      </c>
    </row>
    <row r="747">
      <c r="A747" s="57" t="n">
        <v>44105</v>
      </c>
      <c r="B747" s="59">
        <f>VLOOKUP(Table26[[#This Row],[Date]],'DB Money Supply'!$A:$E,5)</f>
        <v/>
      </c>
      <c r="C747" s="31">
        <f>(Table26[[#This Row],[M2 Money Stock, Billions of Dollars, Monthly, Seasonally Adjusted]]-B746)/B746</f>
        <v/>
      </c>
      <c r="D747" s="32">
        <f>((1+Table26[[#This Row],[Monthly change]])^12)-1</f>
        <v/>
      </c>
    </row>
    <row r="748">
      <c r="A748" s="34" t="n">
        <v>44136</v>
      </c>
      <c r="B748" s="59">
        <f>VLOOKUP(Table26[[#This Row],[Date]],'DB Money Supply'!$A:$E,5)</f>
        <v/>
      </c>
      <c r="C748" s="31">
        <f>(Table26[[#This Row],[M2 Money Stock, Billions of Dollars, Monthly, Seasonally Adjusted]]-B747)/B747</f>
        <v/>
      </c>
      <c r="D748" s="32">
        <f>((1+Table26[[#This Row],[Monthly change]])^12)-1</f>
        <v/>
      </c>
    </row>
    <row r="749">
      <c r="A749" s="57" t="n">
        <v>44166</v>
      </c>
      <c r="B749" s="59">
        <f>VLOOKUP(Table26[[#This Row],[Date]],'DB Money Supply'!$A:$E,5)</f>
        <v/>
      </c>
      <c r="C749" s="31">
        <f>(Table26[[#This Row],[M2 Money Stock, Billions of Dollars, Monthly, Seasonally Adjusted]]-B748)/B748</f>
        <v/>
      </c>
      <c r="D749" s="32">
        <f>((1+Table26[[#This Row],[Monthly change]])^12)-1</f>
        <v/>
      </c>
    </row>
    <row r="750">
      <c r="A750" s="34" t="n">
        <v>44197</v>
      </c>
      <c r="B750" s="59">
        <f>VLOOKUP(Table26[[#This Row],[Date]],'DB Money Supply'!$A:$E,5)</f>
        <v/>
      </c>
      <c r="C750" s="31">
        <f>(Table26[[#This Row],[M2 Money Stock, Billions of Dollars, Monthly, Seasonally Adjusted]]-B749)/B749</f>
        <v/>
      </c>
      <c r="D750" s="32">
        <f>((1+Table26[[#This Row],[Monthly change]])^12)-1</f>
        <v/>
      </c>
    </row>
    <row r="751">
      <c r="A751" s="57" t="n">
        <v>44228</v>
      </c>
      <c r="B751" s="59">
        <f>VLOOKUP(Table26[[#This Row],[Date]],'DB Money Supply'!$A:$E,5)</f>
        <v/>
      </c>
      <c r="C751" s="31">
        <f>(Table26[[#This Row],[M2 Money Stock, Billions of Dollars, Monthly, Seasonally Adjusted]]-B750)/B750</f>
        <v/>
      </c>
      <c r="D751" s="32">
        <f>((1+Table26[[#This Row],[Monthly change]])^12)-1</f>
        <v/>
      </c>
    </row>
    <row r="752">
      <c r="A752" s="34" t="n">
        <v>44256</v>
      </c>
      <c r="B752" s="59">
        <f>VLOOKUP(Table26[[#This Row],[Date]],'DB Money Supply'!$A:$E,5)</f>
        <v/>
      </c>
      <c r="C752" s="31">
        <f>(Table26[[#This Row],[M2 Money Stock, Billions of Dollars, Monthly, Seasonally Adjusted]]-B751)/B751</f>
        <v/>
      </c>
      <c r="D752" s="32">
        <f>((1+Table26[[#This Row],[Monthly change]])^12)-1</f>
        <v/>
      </c>
    </row>
    <row r="753">
      <c r="A753" s="57" t="n">
        <v>44287</v>
      </c>
      <c r="B753" s="59">
        <f>VLOOKUP(Table26[[#This Row],[Date]],'DB Money Supply'!$A:$E,5)</f>
        <v/>
      </c>
      <c r="C753" s="31">
        <f>(Table26[[#This Row],[M2 Money Stock, Billions of Dollars, Monthly, Seasonally Adjusted]]-B752)/B752</f>
        <v/>
      </c>
      <c r="D753" s="32">
        <f>((1+Table26[[#This Row],[Monthly change]])^12)-1</f>
        <v/>
      </c>
    </row>
    <row r="754">
      <c r="A754" s="34" t="n">
        <v>44317</v>
      </c>
      <c r="B754" s="59">
        <f>VLOOKUP(Table26[[#This Row],[Date]],'DB Money Supply'!$A:$E,5)</f>
        <v/>
      </c>
      <c r="C754" s="31">
        <f>(Table26[[#This Row],[M2 Money Stock, Billions of Dollars, Monthly, Seasonally Adjusted]]-B753)/B753</f>
        <v/>
      </c>
      <c r="D754" s="32">
        <f>((1+Table26[[#This Row],[Monthly change]])^12)-1</f>
        <v/>
      </c>
    </row>
    <row r="755">
      <c r="A755" s="57" t="n">
        <v>44348</v>
      </c>
      <c r="B755" s="59">
        <f>VLOOKUP(Table26[[#This Row],[Date]],'DB Money Supply'!$A:$E,5)</f>
        <v/>
      </c>
      <c r="C755" s="31">
        <f>(Table26[[#This Row],[M2 Money Stock, Billions of Dollars, Monthly, Seasonally Adjusted]]-B754)/B754</f>
        <v/>
      </c>
      <c r="D755" s="32">
        <f>((1+Table26[[#This Row],[Monthly change]])^12)-1</f>
        <v/>
      </c>
    </row>
    <row r="756">
      <c r="A756" s="34" t="n">
        <v>44378</v>
      </c>
      <c r="B756" s="59">
        <f>VLOOKUP(Table26[[#This Row],[Date]],'DB Money Supply'!$A:$E,5)</f>
        <v/>
      </c>
      <c r="C756" s="31">
        <f>(Table26[[#This Row],[M2 Money Stock, Billions of Dollars, Monthly, Seasonally Adjusted]]-B755)/B755</f>
        <v/>
      </c>
      <c r="D756" s="32">
        <f>((1+Table26[[#This Row],[Monthly change]])^12)-1</f>
        <v/>
      </c>
    </row>
    <row r="757">
      <c r="A757" s="57" t="n">
        <v>44409</v>
      </c>
      <c r="B757" s="59">
        <f>VLOOKUP(Table26[[#This Row],[Date]],'DB Money Supply'!$A:$E,5)</f>
        <v/>
      </c>
      <c r="C757" s="31">
        <f>(Table26[[#This Row],[M2 Money Stock, Billions of Dollars, Monthly, Seasonally Adjusted]]-B756)/B756</f>
        <v/>
      </c>
      <c r="D757" s="32">
        <f>((1+Table26[[#This Row],[Monthly change]])^12)-1</f>
        <v/>
      </c>
    </row>
    <row r="758">
      <c r="A758" s="34" t="n">
        <v>44440</v>
      </c>
      <c r="B758" s="59">
        <f>VLOOKUP(Table26[[#This Row],[Date]],'DB Money Supply'!$A:$E,5)</f>
        <v/>
      </c>
      <c r="C758" s="31">
        <f>(Table26[[#This Row],[M2 Money Stock, Billions of Dollars, Monthly, Seasonally Adjusted]]-B757)/B757</f>
        <v/>
      </c>
      <c r="D758" s="32">
        <f>((1+Table26[[#This Row],[Monthly change]])^12)-1</f>
        <v/>
      </c>
    </row>
    <row r="759">
      <c r="A759" s="57" t="n">
        <v>44470</v>
      </c>
      <c r="B759" s="59">
        <f>VLOOKUP(Table26[[#This Row],[Date]],'DB Money Supply'!$A:$E,5)</f>
        <v/>
      </c>
      <c r="C759" s="31">
        <f>(Table26[[#This Row],[M2 Money Stock, Billions of Dollars, Monthly, Seasonally Adjusted]]-B758)/B758</f>
        <v/>
      </c>
      <c r="D759" s="32">
        <f>((1+Table26[[#This Row],[Monthly change]])^12)-1</f>
        <v/>
      </c>
    </row>
    <row r="760">
      <c r="A760" s="34" t="n">
        <v>44501</v>
      </c>
      <c r="B760" s="59">
        <f>VLOOKUP(Table26[[#This Row],[Date]],'DB Money Supply'!$A:$E,5)</f>
        <v/>
      </c>
      <c r="C760" s="31">
        <f>(Table26[[#This Row],[M2 Money Stock, Billions of Dollars, Monthly, Seasonally Adjusted]]-B759)/B759</f>
        <v/>
      </c>
      <c r="D760" s="32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60" zoomScaleNormal="160" workbookViewId="0">
      <selection activeCell="D2" sqref="D2"/>
    </sheetView>
  </sheetViews>
  <sheetFormatPr baseColWidth="10" defaultColWidth="9.1640625" defaultRowHeight="15"/>
  <cols>
    <col width="9.1640625" customWidth="1" style="83" min="1" max="3"/>
    <col width="28" customWidth="1" style="16" min="4" max="9"/>
    <col width="9.1640625" customWidth="1" style="83" min="10" max="13"/>
    <col width="9.1640625" customWidth="1" style="83" min="14" max="16384"/>
  </cols>
  <sheetData>
    <row r="2">
      <c r="D2" s="1" t="inlineStr">
        <is>
          <t>https://tradingeconomics.com/country-list/money-supply-m2?continent=g20</t>
        </is>
      </c>
    </row>
    <row r="7">
      <c r="D7" s="88" t="inlineStr">
        <is>
          <t>Country</t>
        </is>
      </c>
      <c r="E7" s="88" t="inlineStr">
        <is>
          <t>Last</t>
        </is>
      </c>
      <c r="F7" s="88" t="inlineStr">
        <is>
          <t>Month</t>
        </is>
      </c>
      <c r="G7" s="88" t="inlineStr">
        <is>
          <t>Previous</t>
        </is>
      </c>
      <c r="H7" s="88" t="inlineStr">
        <is>
          <t>mom annualized</t>
        </is>
      </c>
      <c r="I7" s="88" t="inlineStr">
        <is>
          <t>Currency</t>
        </is>
      </c>
    </row>
    <row r="8">
      <c r="D8" s="49" t="inlineStr">
        <is>
          <t>Argentina</t>
        </is>
      </c>
      <c r="E8" s="24" t="n">
        <v>2738509</v>
      </c>
      <c r="F8" s="48" t="n">
        <v>43800</v>
      </c>
      <c r="G8" s="24" t="n">
        <v>2329022</v>
      </c>
      <c r="H8" s="65">
        <f>(((E8-G8)/G8)+1)^12-1</f>
        <v/>
      </c>
      <c r="I8" s="24" t="inlineStr">
        <is>
          <t>ARS Million</t>
        </is>
      </c>
    </row>
    <row r="9">
      <c r="D9" s="49" t="inlineStr">
        <is>
          <t>Brazil</t>
        </is>
      </c>
      <c r="E9" s="24" t="n">
        <v>3036685</v>
      </c>
      <c r="F9" s="48" t="n">
        <v>43862</v>
      </c>
      <c r="G9" s="24" t="n">
        <v>3023993</v>
      </c>
      <c r="H9" s="65">
        <f>(((E9-G9)/G9)+1)^12-1</f>
        <v/>
      </c>
      <c r="I9" s="24" t="inlineStr">
        <is>
          <t>BRL Million</t>
        </is>
      </c>
    </row>
    <row r="10">
      <c r="D10" s="49" t="inlineStr">
        <is>
          <t>Canada</t>
        </is>
      </c>
      <c r="E10" s="24" t="n">
        <v>1814298</v>
      </c>
      <c r="F10" s="48" t="n">
        <v>43862</v>
      </c>
      <c r="G10" s="24" t="n">
        <v>1801010</v>
      </c>
      <c r="H10" s="65">
        <f>(((E10-G10)/G10)+1)^12-1</f>
        <v/>
      </c>
      <c r="I10" s="24" t="inlineStr">
        <is>
          <t>CAD Million</t>
        </is>
      </c>
    </row>
    <row r="11">
      <c r="D11" s="49" t="inlineStr">
        <is>
          <t>China</t>
        </is>
      </c>
      <c r="E11" s="24" t="n">
        <v>208090</v>
      </c>
      <c r="F11" s="48" t="n">
        <v>43891</v>
      </c>
      <c r="G11" s="24" t="n">
        <v>203080</v>
      </c>
      <c r="H11" s="65">
        <f>(((E11-G11)/G11)+1)^12-1</f>
        <v/>
      </c>
      <c r="I11" s="24" t="inlineStr">
        <is>
          <t>CNY Billion</t>
        </is>
      </c>
    </row>
    <row r="12">
      <c r="D12" s="49" t="inlineStr">
        <is>
          <t>Euro Area</t>
        </is>
      </c>
      <c r="E12" s="24" t="n">
        <v>12484479</v>
      </c>
      <c r="F12" s="48" t="n">
        <v>43862</v>
      </c>
      <c r="G12" s="24" t="n">
        <v>12399289</v>
      </c>
      <c r="H12" s="65">
        <f>(((E12-G12)/G12)+1)^12-1</f>
        <v/>
      </c>
      <c r="I12" s="24" t="inlineStr">
        <is>
          <t>EUR Million</t>
        </is>
      </c>
    </row>
    <row r="13">
      <c r="D13" s="49" t="inlineStr">
        <is>
          <t>France</t>
        </is>
      </c>
      <c r="E13" s="24" t="n">
        <v>2332570</v>
      </c>
      <c r="F13" s="48" t="n">
        <v>43862</v>
      </c>
      <c r="G13" s="24" t="n">
        <v>2317012</v>
      </c>
      <c r="H13" s="65">
        <f>(((E13-G13)/G13)+1)^12-1</f>
        <v/>
      </c>
      <c r="I13" s="24" t="inlineStr">
        <is>
          <t>EUR Million</t>
        </is>
      </c>
    </row>
    <row r="14">
      <c r="D14" s="49" t="inlineStr">
        <is>
          <t>Germany</t>
        </is>
      </c>
      <c r="E14" s="24" t="n">
        <v>3174</v>
      </c>
      <c r="F14" s="48" t="n">
        <v>43862</v>
      </c>
      <c r="G14" s="24" t="n">
        <v>3159</v>
      </c>
      <c r="H14" s="65">
        <f>(((E14-G14)/G14)+1)^12-1</f>
        <v/>
      </c>
      <c r="I14" s="24" t="inlineStr">
        <is>
          <t>EUR Billion</t>
        </is>
      </c>
    </row>
    <row r="15">
      <c r="D15" s="49" t="inlineStr">
        <is>
          <t>India</t>
        </is>
      </c>
      <c r="E15" s="24" t="n">
        <v>40623</v>
      </c>
      <c r="F15" s="48" t="n">
        <v>43891</v>
      </c>
      <c r="G15" s="24" t="n">
        <v>39147</v>
      </c>
      <c r="H15" s="65">
        <f>(((E15-G15)/G15)+1)^12-1</f>
        <v/>
      </c>
      <c r="I15" s="24" t="inlineStr">
        <is>
          <t>INR Billion</t>
        </is>
      </c>
    </row>
    <row r="16">
      <c r="D16" s="49" t="inlineStr">
        <is>
          <t>Indonesia</t>
        </is>
      </c>
      <c r="E16" s="24" t="n">
        <v>6116500</v>
      </c>
      <c r="F16" s="48" t="n">
        <v>43862</v>
      </c>
      <c r="G16" s="24" t="n">
        <v>6046700</v>
      </c>
      <c r="H16" s="65">
        <f>(((E16-G16)/G16)+1)^12-1</f>
        <v/>
      </c>
      <c r="I16" s="24" t="inlineStr">
        <is>
          <t>IDR Billion</t>
        </is>
      </c>
    </row>
    <row r="17">
      <c r="D17" s="49" t="inlineStr">
        <is>
          <t>Italy</t>
        </is>
      </c>
      <c r="E17" s="24" t="n">
        <v>1647897</v>
      </c>
      <c r="F17" s="48" t="n">
        <v>43862</v>
      </c>
      <c r="G17" s="24" t="n">
        <v>1628206</v>
      </c>
      <c r="H17" s="65">
        <f>(((E17-G17)/G17)+1)^12-1</f>
        <v/>
      </c>
      <c r="I17" s="24" t="inlineStr">
        <is>
          <t>EUR Million</t>
        </is>
      </c>
    </row>
    <row r="18">
      <c r="D18" s="49" t="inlineStr">
        <is>
          <t>Japan</t>
        </is>
      </c>
      <c r="E18" s="24" t="n">
        <v>1046008</v>
      </c>
      <c r="F18" s="48" t="n">
        <v>43891</v>
      </c>
      <c r="G18" s="24" t="n">
        <v>1039844</v>
      </c>
      <c r="H18" s="65">
        <f>(((E18-G18)/G18)+1)^12-1</f>
        <v/>
      </c>
      <c r="I18" s="24" t="inlineStr">
        <is>
          <t>JPY Billion</t>
        </is>
      </c>
    </row>
    <row r="19">
      <c r="D19" s="49" t="inlineStr">
        <is>
          <t>Mexico</t>
        </is>
      </c>
      <c r="E19" s="24" t="n">
        <v>9371776319</v>
      </c>
      <c r="F19" s="48" t="n">
        <v>43862</v>
      </c>
      <c r="G19" s="24" t="n">
        <v>9258541872</v>
      </c>
      <c r="H19" s="65">
        <f>(((E19-G19)/G19)+1)^12-1</f>
        <v/>
      </c>
      <c r="I19" s="24" t="inlineStr">
        <is>
          <t>MXN Thousand</t>
        </is>
      </c>
    </row>
    <row r="20">
      <c r="D20" s="49" t="inlineStr">
        <is>
          <t>Netherlands</t>
        </is>
      </c>
      <c r="E20" s="24" t="n">
        <v>898932</v>
      </c>
      <c r="F20" s="48" t="n">
        <v>43862</v>
      </c>
      <c r="G20" s="24" t="n">
        <v>890434</v>
      </c>
      <c r="H20" s="65">
        <f>(((E20-G20)/G20)+1)^12-1</f>
        <v/>
      </c>
      <c r="I20" s="24" t="inlineStr">
        <is>
          <t>EUR Million</t>
        </is>
      </c>
    </row>
    <row r="21">
      <c r="D21" s="49" t="inlineStr">
        <is>
          <t>Russia</t>
        </is>
      </c>
      <c r="E21" s="24" t="n">
        <v>51314</v>
      </c>
      <c r="F21" s="48" t="n">
        <v>43862</v>
      </c>
      <c r="G21" s="24" t="n">
        <v>50623</v>
      </c>
      <c r="H21" s="65">
        <f>(((E21-G21)/G21)+1)^12-1</f>
        <v/>
      </c>
      <c r="I21" s="24" t="inlineStr">
        <is>
          <t>RUB Billion</t>
        </is>
      </c>
    </row>
    <row r="22">
      <c r="D22" s="49" t="inlineStr">
        <is>
          <t>Saudi Arabia</t>
        </is>
      </c>
      <c r="E22" s="24" t="n">
        <v>1791108</v>
      </c>
      <c r="F22" s="48" t="n">
        <v>43862</v>
      </c>
      <c r="G22" s="24" t="n">
        <v>1773028</v>
      </c>
      <c r="H22" s="65">
        <f>(((E22-G22)/G22)+1)^12-1</f>
        <v/>
      </c>
      <c r="I22" s="24" t="inlineStr">
        <is>
          <t>SAR Million</t>
        </is>
      </c>
    </row>
    <row r="23">
      <c r="D23" s="49" t="inlineStr">
        <is>
          <t>Singapore</t>
        </is>
      </c>
      <c r="E23" s="24" t="n">
        <v>646295</v>
      </c>
      <c r="F23" s="48" t="n">
        <v>43862</v>
      </c>
      <c r="G23" s="24" t="n">
        <v>641820</v>
      </c>
      <c r="H23" s="65">
        <f>(((E23-G23)/G23)+1)^12-1</f>
        <v/>
      </c>
      <c r="I23" s="24" t="inlineStr">
        <is>
          <t>SGD Million</t>
        </is>
      </c>
    </row>
    <row r="24">
      <c r="D24" s="49" t="inlineStr">
        <is>
          <t>South Africa</t>
        </is>
      </c>
      <c r="E24" s="24" t="n">
        <v>3039985</v>
      </c>
      <c r="F24" s="48" t="n">
        <v>43862</v>
      </c>
      <c r="G24" s="24" t="n">
        <v>3028250</v>
      </c>
      <c r="H24" s="65">
        <f>(((E24-G24)/G24)+1)^12-1</f>
        <v/>
      </c>
      <c r="I24" s="24" t="inlineStr">
        <is>
          <t>ZAR Million</t>
        </is>
      </c>
    </row>
    <row r="25">
      <c r="D25" s="49" t="inlineStr">
        <is>
          <t>South Korea</t>
        </is>
      </c>
      <c r="E25" s="24" t="n">
        <v>2958283</v>
      </c>
      <c r="F25" s="48" t="n">
        <v>43862</v>
      </c>
      <c r="G25" s="24" t="n">
        <v>2926410</v>
      </c>
      <c r="H25" s="65">
        <f>(((E25-G25)/G25)+1)^12-1</f>
        <v/>
      </c>
      <c r="I25" s="24" t="inlineStr">
        <is>
          <t>KRW Billion</t>
        </is>
      </c>
    </row>
    <row r="26">
      <c r="D26" s="49" t="inlineStr">
        <is>
          <t>Spain</t>
        </is>
      </c>
      <c r="E26" s="24" t="n">
        <v>1237649</v>
      </c>
      <c r="F26" s="48" t="n">
        <v>43862</v>
      </c>
      <c r="G26" s="24" t="n">
        <v>1229187</v>
      </c>
      <c r="H26" s="65">
        <f>(((E26-G26)/G26)+1)^12-1</f>
        <v/>
      </c>
      <c r="I26" s="24" t="inlineStr">
        <is>
          <t>EUR Million</t>
        </is>
      </c>
    </row>
    <row r="27">
      <c r="D27" s="49" t="inlineStr">
        <is>
          <t>Switzerland</t>
        </is>
      </c>
      <c r="E27" s="24" t="n">
        <v>1025336</v>
      </c>
      <c r="F27" s="48" t="n">
        <v>43891</v>
      </c>
      <c r="G27" s="24" t="n">
        <v>1012042</v>
      </c>
      <c r="H27" s="65">
        <f>(((E27-G27)/G27)+1)^12-1</f>
        <v/>
      </c>
      <c r="I27" s="24" t="inlineStr">
        <is>
          <t>CHF Million</t>
        </is>
      </c>
    </row>
    <row r="28">
      <c r="D28" s="49" t="inlineStr">
        <is>
          <t>Turkey</t>
        </is>
      </c>
      <c r="E28" s="24" t="n">
        <v>2666743294</v>
      </c>
      <c r="F28" s="48" t="n">
        <v>43891</v>
      </c>
      <c r="G28" s="24" t="n">
        <v>2551412776</v>
      </c>
      <c r="H28" s="65">
        <f>(((E28-G28)/G28)+1)^12-1</f>
        <v/>
      </c>
      <c r="I28" s="24" t="inlineStr">
        <is>
          <t>TRY Thousand</t>
        </is>
      </c>
    </row>
    <row r="29">
      <c r="D29" s="49" t="inlineStr">
        <is>
          <t>United Kingdom</t>
        </is>
      </c>
      <c r="E29" s="24" t="n">
        <v>2472269</v>
      </c>
      <c r="F29" s="48" t="n">
        <v>43862</v>
      </c>
      <c r="G29" s="24" t="n">
        <v>2471137</v>
      </c>
      <c r="H29" s="65">
        <f>(((E29-G29)/G29)+1)^12-1</f>
        <v/>
      </c>
      <c r="I29" s="24" t="inlineStr">
        <is>
          <t>GBP Million</t>
        </is>
      </c>
    </row>
    <row r="30">
      <c r="D30" s="49" t="inlineStr">
        <is>
          <t>United States</t>
        </is>
      </c>
      <c r="E30" s="24" t="n">
        <v>16104</v>
      </c>
      <c r="F30" s="48" t="n">
        <v>43891</v>
      </c>
      <c r="G30" s="24" t="n">
        <v>15535</v>
      </c>
      <c r="H30" s="65">
        <f>(((E30-G30)/G30)+1)^12-1</f>
        <v/>
      </c>
      <c r="I30" s="24" t="inlineStr">
        <is>
          <t>USD Billion</t>
        </is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66"/>
  <sheetViews>
    <sheetView zoomScale="180" zoomScaleNormal="180" workbookViewId="0">
      <pane xSplit="1" ySplit="5" topLeftCell="B44" activePane="bottomRight" state="frozen"/>
      <selection pane="topRight" activeCell="B1" sqref="B1"/>
      <selection pane="bottomLeft" activeCell="A6" sqref="A6"/>
      <selection pane="bottomRight" activeCell="R51" sqref="R51"/>
    </sheetView>
  </sheetViews>
  <sheetFormatPr baseColWidth="10" defaultColWidth="8.83203125" defaultRowHeight="15"/>
  <cols>
    <col width="10.6640625" bestFit="1" customWidth="1" style="83" min="1" max="1"/>
    <col width="13.6640625" customWidth="1" style="77" min="2" max="2"/>
    <col width="6.33203125" customWidth="1" style="77" min="3" max="3"/>
    <col width="6.1640625" customWidth="1" style="77" min="4" max="4"/>
    <col width="7.33203125" customWidth="1" style="77" min="5" max="5"/>
    <col width="6.6640625" customWidth="1" style="77" min="6" max="6"/>
    <col width="6.1640625" customWidth="1" style="77" min="7" max="9"/>
    <col width="5.33203125" customWidth="1" style="77" min="10" max="10"/>
    <col width="6.1640625" customWidth="1" style="77" min="11" max="22"/>
    <col width="5.6640625" customWidth="1" style="77" min="23" max="23"/>
    <col width="6.1640625" customWidth="1" style="77" min="24" max="27"/>
    <col width="9.1640625" customWidth="1" style="83" min="28" max="28"/>
    <col width="12.33203125" customWidth="1" style="83" min="29" max="29"/>
    <col width="9.1640625" customWidth="1" style="83" min="30" max="30"/>
    <col width="10.6640625" customWidth="1" style="83" min="31" max="31"/>
    <col width="10.6640625" bestFit="1" customWidth="1" style="83" min="32" max="32"/>
    <col width="9.1640625" customWidth="1" style="83" min="33" max="73"/>
  </cols>
  <sheetData>
    <row r="1" customFormat="1" s="83">
      <c r="C1" s="83" t="inlineStr">
        <is>
          <t>OECD</t>
        </is>
      </c>
      <c r="D1" s="83" t="inlineStr">
        <is>
          <t>USA</t>
        </is>
      </c>
      <c r="E1" s="83" t="inlineStr">
        <is>
          <t>CHN</t>
        </is>
      </c>
      <c r="F1" s="83" t="inlineStr">
        <is>
          <t>EA19</t>
        </is>
      </c>
      <c r="G1" s="83" t="inlineStr">
        <is>
          <t>JPN</t>
        </is>
      </c>
      <c r="H1" s="83" t="inlineStr">
        <is>
          <t>GBR</t>
        </is>
      </c>
      <c r="I1" s="83" t="inlineStr">
        <is>
          <t>CHE</t>
        </is>
      </c>
      <c r="J1" s="83" t="inlineStr">
        <is>
          <t>SWE</t>
        </is>
      </c>
      <c r="K1" s="83" t="inlineStr">
        <is>
          <t>NOR</t>
        </is>
      </c>
      <c r="L1" s="83" t="inlineStr">
        <is>
          <t>BRA</t>
        </is>
      </c>
      <c r="M1" s="83" t="inlineStr">
        <is>
          <t>MEX</t>
        </is>
      </c>
      <c r="N1" s="83" t="inlineStr">
        <is>
          <t>RUS</t>
        </is>
      </c>
      <c r="O1" s="83" t="inlineStr">
        <is>
          <t>IND</t>
        </is>
      </c>
      <c r="P1" s="83" t="inlineStr">
        <is>
          <t>CAN</t>
        </is>
      </c>
      <c r="Q1" s="83" t="inlineStr">
        <is>
          <t>AUS</t>
        </is>
      </c>
      <c r="R1" s="83" t="inlineStr">
        <is>
          <t>IDN</t>
        </is>
      </c>
      <c r="S1" s="83" t="inlineStr">
        <is>
          <t>KOR</t>
        </is>
      </c>
      <c r="T1" s="83" t="inlineStr">
        <is>
          <t>CHL</t>
        </is>
      </c>
      <c r="U1" s="83" t="inlineStr">
        <is>
          <t>DNK</t>
        </is>
      </c>
      <c r="V1" s="83" t="inlineStr">
        <is>
          <t>ISR</t>
        </is>
      </c>
      <c r="W1" s="83" t="inlineStr">
        <is>
          <t>TUR</t>
        </is>
      </c>
      <c r="X1" s="83" t="inlineStr">
        <is>
          <t>ZAF</t>
        </is>
      </c>
      <c r="Y1" s="83" t="inlineStr">
        <is>
          <t>NZL</t>
        </is>
      </c>
      <c r="Z1" s="83" t="inlineStr">
        <is>
          <t>CZE</t>
        </is>
      </c>
      <c r="AA1" s="83" t="inlineStr">
        <is>
          <t>POL</t>
        </is>
      </c>
      <c r="AI1" s="83" t="inlineStr">
        <is>
          <t>modify max/min/avg</t>
        </is>
      </c>
    </row>
    <row r="2" ht="90" customHeight="1" s="7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7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7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7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7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7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7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7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7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7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7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7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7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7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DATE(YEAR(B20)-1,MONTH(B20),DAY(B20))</f>
        <v/>
      </c>
      <c r="B20" s="12" t="n">
        <v>42461</v>
      </c>
      <c r="C20" s="14">
        <f>(VLOOKUP(B20,Data!$E:$BM,MATCH(yoy!$C$1,Data!$E$1:$BM$1,),)-VLOOKUP(A20,Data!$E:$BM,MATCH(yoy!$C$1,Data!$E$1:$BM$1,),))/VLOOKUP(A20,Data!$E:$BM,MATCH(yoy!$C$1,Data!$E$1:$BM$1,),)</f>
        <v/>
      </c>
      <c r="D20" s="14">
        <f>(VLOOKUP(B20,Data!$E:$BM,MATCH(yoy!$D$1,Data!$E$1:$BM$1,),)-VLOOKUP(A20,Data!$E:$BM,MATCH(yoy!$D$1,Data!$E$1:$BM$1,),))/VLOOKUP(A20,Data!$E:$BM,MATCH(yoy!$D$1,Data!$E$1:$BM$1,),)</f>
        <v/>
      </c>
      <c r="E20" s="14">
        <f>(VLOOKUP(B20,Data!$E:$BM,MATCH(yoy!$E$1,Data!$E$1:$BM$1,),)-VLOOKUP(A20,Data!$E:$BM,MATCH(yoy!$E$1,Data!$E$1:$BM$1,),))/VLOOKUP(A20,Data!$E:$BM,MATCH(yoy!$E$1,Data!$E$1:$BM$1,),)</f>
        <v/>
      </c>
      <c r="F20" s="14">
        <f>(VLOOKUP(B20,Data!$E:$BM,MATCH(yoy!$F$1,Data!$E$1:$BM$1,),)-VLOOKUP(A20,Data!$E:$BM,MATCH(yoy!$F$1,Data!$E$1:$BM$1,),))/VLOOKUP(A20,Data!$E:$BM,MATCH(yoy!$F$1,Data!$E$1:$BM$1,),)</f>
        <v/>
      </c>
      <c r="G20" s="14">
        <f>(VLOOKUP(B20,Data!$E:$BM,MATCH(yoy!$G$1,Data!$E$1:$BM$1,),)-VLOOKUP(A20,Data!$E:$BM,MATCH(yoy!$G$1,Data!$E$1:$BM$1,),))/VLOOKUP(A20,Data!$E:$BM,MATCH(yoy!$G$1,Data!$E$1:$BM$1,),)</f>
        <v/>
      </c>
      <c r="H20" s="14">
        <f>(VLOOKUP(B20,Data!$E:$BM,MATCH(yoy!$H$1,Data!$E$1:$BM$1,),)-VLOOKUP(A20,Data!$E:$BM,MATCH(yoy!$H$1,Data!$E$1:$BM$1,),))/VLOOKUP(A20,Data!$E:$BM,MATCH(yoy!$H$1,Data!$E$1:$BM$1,),)</f>
        <v/>
      </c>
      <c r="I20" s="14">
        <f>(VLOOKUP(B20,Data!$E:$BM,MATCH(yoy!$I$1,Data!$E$1:$BM$1,),)-VLOOKUP(A20,Data!$E:$BM,MATCH(yoy!$I$1,Data!$E$1:$BM$1,),))/VLOOKUP(A20,Data!$E:$BM,MATCH(yoy!$I$1,Data!$E$1:$BM$1,),)</f>
        <v/>
      </c>
      <c r="J20" s="14">
        <f>(VLOOKUP(B20,Data!$E:$BM,MATCH(yoy!$J$1,Data!$E$1:$BM$1,),)-VLOOKUP(A20,Data!$E:$BM,MATCH(yoy!$J$1,Data!$E$1:$BM$1,),))/VLOOKUP(A20,Data!$E:$BM,MATCH(yoy!$J$1,Data!$E$1:$BM$1,),)</f>
        <v/>
      </c>
      <c r="K20" s="14">
        <f>(VLOOKUP(B20,Data!$E:$BM,MATCH(yoy!$K$1,Data!$E$1:$BM$1,),)-VLOOKUP(A20,Data!$E:$BM,MATCH(yoy!$K$1,Data!$E$1:$BM$1,),))/VLOOKUP(A20,Data!$E:$BM,MATCH(yoy!$K$1,Data!$E$1:$BM$1,),)</f>
        <v/>
      </c>
      <c r="L20" s="14">
        <f>(VLOOKUP(B20,Data!$E:$BM,MATCH(yoy!$L$1,Data!$E$1:$BM$1,),)-VLOOKUP(A20,Data!$E:$BM,MATCH(yoy!$L$1,Data!$E$1:$BM$1,),))/VLOOKUP(A20,Data!$E:$BM,MATCH(yoy!$L$1,Data!$E$1:$BM$1,),)</f>
        <v/>
      </c>
      <c r="M20" s="14">
        <f>(VLOOKUP(B20,Data!$E:$BM,MATCH(yoy!$M$1,Data!$E$1:$BM$1,),)-VLOOKUP(A20,Data!$E:$BM,MATCH(yoy!$M$1,Data!$E$1:$BM$1,),))/VLOOKUP(A20,Data!$E:$BM,MATCH(yoy!$M$1,Data!$E$1:$BM$1,),)</f>
        <v/>
      </c>
      <c r="N20" s="14">
        <f>(VLOOKUP(B20,Data!$E:$BM,MATCH(yoy!$N$1,Data!$E$1:$BM$1,),)-VLOOKUP(A20,Data!$E:$BM,MATCH(yoy!$N$1,Data!$E$1:$BM$1,),))/VLOOKUP(A20,Data!$E:$BM,MATCH(yoy!$N$1,Data!$E$1:$BM$1,),)</f>
        <v/>
      </c>
      <c r="O20" s="14">
        <f>(VLOOKUP(B20,Data!$E:$BM,MATCH(yoy!$O$1,Data!$E$1:$BM$1,),)-VLOOKUP(A20,Data!$E:$BM,MATCH(yoy!$O$1,Data!$E$1:$BM$1,),))/VLOOKUP(A20,Data!$E:$BM,MATCH(yoy!$O$1,Data!$E$1:$BM$1,),)</f>
        <v/>
      </c>
      <c r="P20" s="14">
        <f>(VLOOKUP(B20,Data!$E:$BM,MATCH(yoy!$P$1,Data!$E$1:$BM$1,),)-VLOOKUP(A20,Data!$E:$BM,MATCH(yoy!$P$1,Data!$E$1:$BM$1,),))/VLOOKUP(A20,Data!$E:$BM,MATCH(yoy!$P$1,Data!$E$1:$BM$1,),)</f>
        <v/>
      </c>
      <c r="Q20" s="14">
        <f>(VLOOKUP(B20,Data!$E:$BM,MATCH(yoy!$Q$1,Data!$E$1:$BM$1,),)-VLOOKUP(A20,Data!$E:$BM,MATCH(yoy!$Q$1,Data!$E$1:$BM$1,),))/VLOOKUP(A20,Data!$E:$BM,MATCH(yoy!$Q$1,Data!$E$1:$BM$1,),)</f>
        <v/>
      </c>
      <c r="R20" s="14">
        <f>(VLOOKUP(B20,Data!$E:$BM,MATCH(yoy!$R$1,Data!$E$1:$BM$1,),)-VLOOKUP(A20,Data!$E:$BM,MATCH(yoy!$R$1,Data!$E$1:$BM$1,),))/VLOOKUP(A20,Data!$E:$BM,MATCH(yoy!$R$1,Data!$E$1:$BM$1,),)</f>
        <v/>
      </c>
      <c r="S20" s="14">
        <f>(VLOOKUP(B20,Data!$E:$BM,MATCH(yoy!$S$1,Data!$E$1:$BM$1,),)-VLOOKUP(A20,Data!$E:$BM,MATCH(yoy!$S$1,Data!$E$1:$BM$1,),))/VLOOKUP(A20,Data!$E:$BM,MATCH(yoy!$S$1,Data!$E$1:$BM$1,),)</f>
        <v/>
      </c>
      <c r="T20" s="14">
        <f>(VLOOKUP(B20,Data!$E:$BM,MATCH(yoy!$T$1,Data!$E$1:$BM$1,),)-VLOOKUP(A20,Data!$E:$BM,MATCH(yoy!$T$1,Data!$E$1:$BM$1,),))/VLOOKUP(A20,Data!$E:$BM,MATCH(yoy!$T$1,Data!$E$1:$BM$1,),)</f>
        <v/>
      </c>
      <c r="U20" s="14">
        <f>(VLOOKUP(B20,Data!$E:$BM,MATCH(yoy!$U$1,Data!$E$1:$BM$1,),)-VLOOKUP(A20,Data!$E:$BM,MATCH(yoy!$U$1,Data!$E$1:$BM$1,),))/VLOOKUP(A20,Data!$E:$BM,MATCH(yoy!$U$1,Data!$E$1:$BM$1,),)</f>
        <v/>
      </c>
      <c r="V20" s="14">
        <f>(VLOOKUP(B20,Data!$E:$BM,MATCH(yoy!$V$1,Data!$E$1:$BM$1,),)-VLOOKUP(A20,Data!$E:$BM,MATCH(yoy!$V$1,Data!$E$1:$BM$1,),))/VLOOKUP(A20,Data!$E:$BM,MATCH(yoy!$V$1,Data!$E$1:$BM$1,),)</f>
        <v/>
      </c>
      <c r="W20" s="14">
        <f>(VLOOKUP(B20,Data!$E:$BM,MATCH(yoy!$W$1,Data!$E$1:$BM$1,),)-VLOOKUP(A20,Data!$E:$BM,MATCH(yoy!$W$1,Data!$E$1:$BM$1,),))/VLOOKUP(A20,Data!$E:$BM,MATCH(yoy!$W$1,Data!$E$1:$BM$1,),)</f>
        <v/>
      </c>
      <c r="X20" s="14">
        <f>(VLOOKUP(B20,Data!$E:$BM,MATCH(yoy!$X$1,Data!$E$1:$BM$1,),)-VLOOKUP(A20,Data!$E:$BM,MATCH(yoy!$X$1,Data!$E$1:$BM$1,),))/VLOOKUP(A20,Data!$E:$BM,MATCH(yoy!$X$1,Data!$E$1:$BM$1,),)</f>
        <v/>
      </c>
      <c r="Y20" s="14">
        <f>(VLOOKUP(B20,Data!$E:$BM,MATCH(yoy!$Y$1,Data!$E$1:$BM$1,),)-VLOOKUP(A20,Data!$E:$BM,MATCH(yoy!$Y$1,Data!$E$1:$BM$1,),))/VLOOKUP(A20,Data!$E:$BM,MATCH(yoy!$Y$1,Data!$E$1:$BM$1,),)</f>
        <v/>
      </c>
      <c r="Z20" s="14">
        <f>(VLOOKUP(B20,Data!$E:$BM,MATCH(yoy!$Z$1,Data!$E$1:$BM$1,),)-VLOOKUP(A20,Data!$E:$BM,MATCH(yoy!$Z$1,Data!$E$1:$BM$1,),))/VLOOKUP(A20,Data!$E:$BM,MATCH(yoy!$Z$1,Data!$E$1:$BM$1,),)</f>
        <v/>
      </c>
      <c r="AA20" s="14">
        <f>(VLOOKUP(B20,Data!$E:$BM,MATCH(yoy!$AA$1,Data!$E$1:$BM$1,),)-VLOOKUP(A20,Data!$E:$BM,MATCH(yoy!$AA$1,Data!$E$1:$BM$1,),))/VLOOKUP(A20,Data!$E:$BM,MATCH(yoy!$AA$1,Data!$E$1:$BM$1,),)</f>
        <v/>
      </c>
    </row>
    <row r="21">
      <c r="A21" s="20">
        <f>DATE(YEAR(B21)-1,MONTH(B21),DAY(B21))</f>
        <v/>
      </c>
      <c r="B21" s="12" t="n">
        <v>42491</v>
      </c>
      <c r="C21" s="14">
        <f>(VLOOKUP(B21,Data!$E:$BM,MATCH(yoy!$C$1,Data!$E$1:$BM$1,),)-VLOOKUP(A21,Data!$E:$BM,MATCH(yoy!$C$1,Data!$E$1:$BM$1,),))/VLOOKUP(A21,Data!$E:$BM,MATCH(yoy!$C$1,Data!$E$1:$BM$1,),)</f>
        <v/>
      </c>
      <c r="D21" s="14">
        <f>(VLOOKUP(B21,Data!$E:$BM,MATCH(yoy!$D$1,Data!$E$1:$BM$1,),)-VLOOKUP(A21,Data!$E:$BM,MATCH(yoy!$D$1,Data!$E$1:$BM$1,),))/VLOOKUP(A21,Data!$E:$BM,MATCH(yoy!$D$1,Data!$E$1:$BM$1,),)</f>
        <v/>
      </c>
      <c r="E21" s="14">
        <f>(VLOOKUP(B21,Data!$E:$BM,MATCH(yoy!$E$1,Data!$E$1:$BM$1,),)-VLOOKUP(A21,Data!$E:$BM,MATCH(yoy!$E$1,Data!$E$1:$BM$1,),))/VLOOKUP(A21,Data!$E:$BM,MATCH(yoy!$E$1,Data!$E$1:$BM$1,),)</f>
        <v/>
      </c>
      <c r="F21" s="14">
        <f>(VLOOKUP(B21,Data!$E:$BM,MATCH(yoy!$F$1,Data!$E$1:$BM$1,),)-VLOOKUP(A21,Data!$E:$BM,MATCH(yoy!$F$1,Data!$E$1:$BM$1,),))/VLOOKUP(A21,Data!$E:$BM,MATCH(yoy!$F$1,Data!$E$1:$BM$1,),)</f>
        <v/>
      </c>
      <c r="G21" s="14">
        <f>(VLOOKUP(B21,Data!$E:$BM,MATCH(yoy!$G$1,Data!$E$1:$BM$1,),)-VLOOKUP(A21,Data!$E:$BM,MATCH(yoy!$G$1,Data!$E$1:$BM$1,),))/VLOOKUP(A21,Data!$E:$BM,MATCH(yoy!$G$1,Data!$E$1:$BM$1,),)</f>
        <v/>
      </c>
      <c r="H21" s="14">
        <f>(VLOOKUP(B21,Data!$E:$BM,MATCH(yoy!$H$1,Data!$E$1:$BM$1,),)-VLOOKUP(A21,Data!$E:$BM,MATCH(yoy!$H$1,Data!$E$1:$BM$1,),))/VLOOKUP(A21,Data!$E:$BM,MATCH(yoy!$H$1,Data!$E$1:$BM$1,),)</f>
        <v/>
      </c>
      <c r="I21" s="14">
        <f>(VLOOKUP(B21,Data!$E:$BM,MATCH(yoy!$I$1,Data!$E$1:$BM$1,),)-VLOOKUP(A21,Data!$E:$BM,MATCH(yoy!$I$1,Data!$E$1:$BM$1,),))/VLOOKUP(A21,Data!$E:$BM,MATCH(yoy!$I$1,Data!$E$1:$BM$1,),)</f>
        <v/>
      </c>
      <c r="J21" s="14">
        <f>(VLOOKUP(B21,Data!$E:$BM,MATCH(yoy!$J$1,Data!$E$1:$BM$1,),)-VLOOKUP(A21,Data!$E:$BM,MATCH(yoy!$J$1,Data!$E$1:$BM$1,),))/VLOOKUP(A21,Data!$E:$BM,MATCH(yoy!$J$1,Data!$E$1:$BM$1,),)</f>
        <v/>
      </c>
      <c r="K21" s="14">
        <f>(VLOOKUP(B21,Data!$E:$BM,MATCH(yoy!$K$1,Data!$E$1:$BM$1,),)-VLOOKUP(A21,Data!$E:$BM,MATCH(yoy!$K$1,Data!$E$1:$BM$1,),))/VLOOKUP(A21,Data!$E:$BM,MATCH(yoy!$K$1,Data!$E$1:$BM$1,),)</f>
        <v/>
      </c>
      <c r="L21" s="14">
        <f>(VLOOKUP(B21,Data!$E:$BM,MATCH(yoy!$L$1,Data!$E$1:$BM$1,),)-VLOOKUP(A21,Data!$E:$BM,MATCH(yoy!$L$1,Data!$E$1:$BM$1,),))/VLOOKUP(A21,Data!$E:$BM,MATCH(yoy!$L$1,Data!$E$1:$BM$1,),)</f>
        <v/>
      </c>
      <c r="M21" s="14">
        <f>(VLOOKUP(B21,Data!$E:$BM,MATCH(yoy!$M$1,Data!$E$1:$BM$1,),)-VLOOKUP(A21,Data!$E:$BM,MATCH(yoy!$M$1,Data!$E$1:$BM$1,),))/VLOOKUP(A21,Data!$E:$BM,MATCH(yoy!$M$1,Data!$E$1:$BM$1,),)</f>
        <v/>
      </c>
      <c r="N21" s="14">
        <f>(VLOOKUP(B21,Data!$E:$BM,MATCH(yoy!$N$1,Data!$E$1:$BM$1,),)-VLOOKUP(A21,Data!$E:$BM,MATCH(yoy!$N$1,Data!$E$1:$BM$1,),))/VLOOKUP(A21,Data!$E:$BM,MATCH(yoy!$N$1,Data!$E$1:$BM$1,),)</f>
        <v/>
      </c>
      <c r="O21" s="14">
        <f>(VLOOKUP(B21,Data!$E:$BM,MATCH(yoy!$O$1,Data!$E$1:$BM$1,),)-VLOOKUP(A21,Data!$E:$BM,MATCH(yoy!$O$1,Data!$E$1:$BM$1,),))/VLOOKUP(A21,Data!$E:$BM,MATCH(yoy!$O$1,Data!$E$1:$BM$1,),)</f>
        <v/>
      </c>
      <c r="P21" s="14">
        <f>(VLOOKUP(B21,Data!$E:$BM,MATCH(yoy!$P$1,Data!$E$1:$BM$1,),)-VLOOKUP(A21,Data!$E:$BM,MATCH(yoy!$P$1,Data!$E$1:$BM$1,),))/VLOOKUP(A21,Data!$E:$BM,MATCH(yoy!$P$1,Data!$E$1:$BM$1,),)</f>
        <v/>
      </c>
      <c r="Q21" s="14">
        <f>(VLOOKUP(B21,Data!$E:$BM,MATCH(yoy!$Q$1,Data!$E$1:$BM$1,),)-VLOOKUP(A21,Data!$E:$BM,MATCH(yoy!$Q$1,Data!$E$1:$BM$1,),))/VLOOKUP(A21,Data!$E:$BM,MATCH(yoy!$Q$1,Data!$E$1:$BM$1,),)</f>
        <v/>
      </c>
      <c r="R21" s="14">
        <f>(VLOOKUP(B21,Data!$E:$BM,MATCH(yoy!$R$1,Data!$E$1:$BM$1,),)-VLOOKUP(A21,Data!$E:$BM,MATCH(yoy!$R$1,Data!$E$1:$BM$1,),))/VLOOKUP(A21,Data!$E:$BM,MATCH(yoy!$R$1,Data!$E$1:$BM$1,),)</f>
        <v/>
      </c>
      <c r="S21" s="14">
        <f>(VLOOKUP(B21,Data!$E:$BM,MATCH(yoy!$S$1,Data!$E$1:$BM$1,),)-VLOOKUP(A21,Data!$E:$BM,MATCH(yoy!$S$1,Data!$E$1:$BM$1,),))/VLOOKUP(A21,Data!$E:$BM,MATCH(yoy!$S$1,Data!$E$1:$BM$1,),)</f>
        <v/>
      </c>
      <c r="T21" s="14">
        <f>(VLOOKUP(B21,Data!$E:$BM,MATCH(yoy!$T$1,Data!$E$1:$BM$1,),)-VLOOKUP(A21,Data!$E:$BM,MATCH(yoy!$T$1,Data!$E$1:$BM$1,),))/VLOOKUP(A21,Data!$E:$BM,MATCH(yoy!$T$1,Data!$E$1:$BM$1,),)</f>
        <v/>
      </c>
      <c r="U21" s="14">
        <f>(VLOOKUP(B21,Data!$E:$BM,MATCH(yoy!$U$1,Data!$E$1:$BM$1,),)-VLOOKUP(A21,Data!$E:$BM,MATCH(yoy!$U$1,Data!$E$1:$BM$1,),))/VLOOKUP(A21,Data!$E:$BM,MATCH(yoy!$U$1,Data!$E$1:$BM$1,),)</f>
        <v/>
      </c>
      <c r="V21" s="14">
        <f>(VLOOKUP(B21,Data!$E:$BM,MATCH(yoy!$V$1,Data!$E$1:$BM$1,),)-VLOOKUP(A21,Data!$E:$BM,MATCH(yoy!$V$1,Data!$E$1:$BM$1,),))/VLOOKUP(A21,Data!$E:$BM,MATCH(yoy!$V$1,Data!$E$1:$BM$1,),)</f>
        <v/>
      </c>
      <c r="W21" s="14">
        <f>(VLOOKUP(B21,Data!$E:$BM,MATCH(yoy!$W$1,Data!$E$1:$BM$1,),)-VLOOKUP(A21,Data!$E:$BM,MATCH(yoy!$W$1,Data!$E$1:$BM$1,),))/VLOOKUP(A21,Data!$E:$BM,MATCH(yoy!$W$1,Data!$E$1:$BM$1,),)</f>
        <v/>
      </c>
      <c r="X21" s="14">
        <f>(VLOOKUP(B21,Data!$E:$BM,MATCH(yoy!$X$1,Data!$E$1:$BM$1,),)-VLOOKUP(A21,Data!$E:$BM,MATCH(yoy!$X$1,Data!$E$1:$BM$1,),))/VLOOKUP(A21,Data!$E:$BM,MATCH(yoy!$X$1,Data!$E$1:$BM$1,),)</f>
        <v/>
      </c>
      <c r="Y21" s="14">
        <f>(VLOOKUP(B21,Data!$E:$BM,MATCH(yoy!$Y$1,Data!$E$1:$BM$1,),)-VLOOKUP(A21,Data!$E:$BM,MATCH(yoy!$Y$1,Data!$E$1:$BM$1,),))/VLOOKUP(A21,Data!$E:$BM,MATCH(yoy!$Y$1,Data!$E$1:$BM$1,),)</f>
        <v/>
      </c>
      <c r="Z21" s="14">
        <f>(VLOOKUP(B21,Data!$E:$BM,MATCH(yoy!$Z$1,Data!$E$1:$BM$1,),)-VLOOKUP(A21,Data!$E:$BM,MATCH(yoy!$Z$1,Data!$E$1:$BM$1,),))/VLOOKUP(A21,Data!$E:$BM,MATCH(yoy!$Z$1,Data!$E$1:$BM$1,),)</f>
        <v/>
      </c>
      <c r="AA21" s="14">
        <f>(VLOOKUP(B21,Data!$E:$BM,MATCH(yoy!$AA$1,Data!$E$1:$BM$1,),)-VLOOKUP(A21,Data!$E:$BM,MATCH(yoy!$AA$1,Data!$E$1:$BM$1,),))/VLOOKUP(A21,Data!$E:$BM,MATCH(yoy!$AA$1,Data!$E$1:$BM$1,),)</f>
        <v/>
      </c>
    </row>
    <row r="22">
      <c r="A22" s="20">
        <f>DATE(YEAR(B22)-1,MONTH(B22),DAY(B22))</f>
        <v/>
      </c>
      <c r="B22" s="12" t="n">
        <v>42522</v>
      </c>
      <c r="C22" s="14">
        <f>(VLOOKUP(B22,Data!$E:$BM,MATCH(yoy!$C$1,Data!$E$1:$BM$1,),)-VLOOKUP(A22,Data!$E:$BM,MATCH(yoy!$C$1,Data!$E$1:$BM$1,),))/VLOOKUP(A22,Data!$E:$BM,MATCH(yoy!$C$1,Data!$E$1:$BM$1,),)</f>
        <v/>
      </c>
      <c r="D22" s="14">
        <f>(VLOOKUP(B22,Data!$E:$BM,MATCH(yoy!$D$1,Data!$E$1:$BM$1,),)-VLOOKUP(A22,Data!$E:$BM,MATCH(yoy!$D$1,Data!$E$1:$BM$1,),))/VLOOKUP(A22,Data!$E:$BM,MATCH(yoy!$D$1,Data!$E$1:$BM$1,),)</f>
        <v/>
      </c>
      <c r="E22" s="14">
        <f>(VLOOKUP(B22,Data!$E:$BM,MATCH(yoy!$E$1,Data!$E$1:$BM$1,),)-VLOOKUP(A22,Data!$E:$BM,MATCH(yoy!$E$1,Data!$E$1:$BM$1,),))/VLOOKUP(A22,Data!$E:$BM,MATCH(yoy!$E$1,Data!$E$1:$BM$1,),)</f>
        <v/>
      </c>
      <c r="F22" s="14">
        <f>(VLOOKUP(B22,Data!$E:$BM,MATCH(yoy!$F$1,Data!$E$1:$BM$1,),)-VLOOKUP(A22,Data!$E:$BM,MATCH(yoy!$F$1,Data!$E$1:$BM$1,),))/VLOOKUP(A22,Data!$E:$BM,MATCH(yoy!$F$1,Data!$E$1:$BM$1,),)</f>
        <v/>
      </c>
      <c r="G22" s="14">
        <f>(VLOOKUP(B22,Data!$E:$BM,MATCH(yoy!$G$1,Data!$E$1:$BM$1,),)-VLOOKUP(A22,Data!$E:$BM,MATCH(yoy!$G$1,Data!$E$1:$BM$1,),))/VLOOKUP(A22,Data!$E:$BM,MATCH(yoy!$G$1,Data!$E$1:$BM$1,),)</f>
        <v/>
      </c>
      <c r="H22" s="14">
        <f>(VLOOKUP(B22,Data!$E:$BM,MATCH(yoy!$H$1,Data!$E$1:$BM$1,),)-VLOOKUP(A22,Data!$E:$BM,MATCH(yoy!$H$1,Data!$E$1:$BM$1,),))/VLOOKUP(A22,Data!$E:$BM,MATCH(yoy!$H$1,Data!$E$1:$BM$1,),)</f>
        <v/>
      </c>
      <c r="I22" s="14">
        <f>(VLOOKUP(B22,Data!$E:$BM,MATCH(yoy!$I$1,Data!$E$1:$BM$1,),)-VLOOKUP(A22,Data!$E:$BM,MATCH(yoy!$I$1,Data!$E$1:$BM$1,),))/VLOOKUP(A22,Data!$E:$BM,MATCH(yoy!$I$1,Data!$E$1:$BM$1,),)</f>
        <v/>
      </c>
      <c r="J22" s="14">
        <f>(VLOOKUP(B22,Data!$E:$BM,MATCH(yoy!$J$1,Data!$E$1:$BM$1,),)-VLOOKUP(A22,Data!$E:$BM,MATCH(yoy!$J$1,Data!$E$1:$BM$1,),))/VLOOKUP(A22,Data!$E:$BM,MATCH(yoy!$J$1,Data!$E$1:$BM$1,),)</f>
        <v/>
      </c>
      <c r="K22" s="14">
        <f>(VLOOKUP(B22,Data!$E:$BM,MATCH(yoy!$K$1,Data!$E$1:$BM$1,),)-VLOOKUP(A22,Data!$E:$BM,MATCH(yoy!$K$1,Data!$E$1:$BM$1,),))/VLOOKUP(A22,Data!$E:$BM,MATCH(yoy!$K$1,Data!$E$1:$BM$1,),)</f>
        <v/>
      </c>
      <c r="L22" s="14">
        <f>(VLOOKUP(B22,Data!$E:$BM,MATCH(yoy!$L$1,Data!$E$1:$BM$1,),)-VLOOKUP(A22,Data!$E:$BM,MATCH(yoy!$L$1,Data!$E$1:$BM$1,),))/VLOOKUP(A22,Data!$E:$BM,MATCH(yoy!$L$1,Data!$E$1:$BM$1,),)</f>
        <v/>
      </c>
      <c r="M22" s="14">
        <f>(VLOOKUP(B22,Data!$E:$BM,MATCH(yoy!$M$1,Data!$E$1:$BM$1,),)-VLOOKUP(A22,Data!$E:$BM,MATCH(yoy!$M$1,Data!$E$1:$BM$1,),))/VLOOKUP(A22,Data!$E:$BM,MATCH(yoy!$M$1,Data!$E$1:$BM$1,),)</f>
        <v/>
      </c>
      <c r="N22" s="14">
        <f>(VLOOKUP(B22,Data!$E:$BM,MATCH(yoy!$N$1,Data!$E$1:$BM$1,),)-VLOOKUP(A22,Data!$E:$BM,MATCH(yoy!$N$1,Data!$E$1:$BM$1,),))/VLOOKUP(A22,Data!$E:$BM,MATCH(yoy!$N$1,Data!$E$1:$BM$1,),)</f>
        <v/>
      </c>
      <c r="O22" s="14">
        <f>(VLOOKUP(B22,Data!$E:$BM,MATCH(yoy!$O$1,Data!$E$1:$BM$1,),)-VLOOKUP(A22,Data!$E:$BM,MATCH(yoy!$O$1,Data!$E$1:$BM$1,),))/VLOOKUP(A22,Data!$E:$BM,MATCH(yoy!$O$1,Data!$E$1:$BM$1,),)</f>
        <v/>
      </c>
      <c r="P22" s="14">
        <f>(VLOOKUP(B22,Data!$E:$BM,MATCH(yoy!$P$1,Data!$E$1:$BM$1,),)-VLOOKUP(A22,Data!$E:$BM,MATCH(yoy!$P$1,Data!$E$1:$BM$1,),))/VLOOKUP(A22,Data!$E:$BM,MATCH(yoy!$P$1,Data!$E$1:$BM$1,),)</f>
        <v/>
      </c>
      <c r="Q22" s="14">
        <f>(VLOOKUP(B22,Data!$E:$BM,MATCH(yoy!$Q$1,Data!$E$1:$BM$1,),)-VLOOKUP(A22,Data!$E:$BM,MATCH(yoy!$Q$1,Data!$E$1:$BM$1,),))/VLOOKUP(A22,Data!$E:$BM,MATCH(yoy!$Q$1,Data!$E$1:$BM$1,),)</f>
        <v/>
      </c>
      <c r="R22" s="14">
        <f>(VLOOKUP(B22,Data!$E:$BM,MATCH(yoy!$R$1,Data!$E$1:$BM$1,),)-VLOOKUP(A22,Data!$E:$BM,MATCH(yoy!$R$1,Data!$E$1:$BM$1,),))/VLOOKUP(A22,Data!$E:$BM,MATCH(yoy!$R$1,Data!$E$1:$BM$1,),)</f>
        <v/>
      </c>
      <c r="S22" s="14">
        <f>(VLOOKUP(B22,Data!$E:$BM,MATCH(yoy!$S$1,Data!$E$1:$BM$1,),)-VLOOKUP(A22,Data!$E:$BM,MATCH(yoy!$S$1,Data!$E$1:$BM$1,),))/VLOOKUP(A22,Data!$E:$BM,MATCH(yoy!$S$1,Data!$E$1:$BM$1,),)</f>
        <v/>
      </c>
      <c r="T22" s="14">
        <f>(VLOOKUP(B22,Data!$E:$BM,MATCH(yoy!$T$1,Data!$E$1:$BM$1,),)-VLOOKUP(A22,Data!$E:$BM,MATCH(yoy!$T$1,Data!$E$1:$BM$1,),))/VLOOKUP(A22,Data!$E:$BM,MATCH(yoy!$T$1,Data!$E$1:$BM$1,),)</f>
        <v/>
      </c>
      <c r="U22" s="14">
        <f>(VLOOKUP(B22,Data!$E:$BM,MATCH(yoy!$U$1,Data!$E$1:$BM$1,),)-VLOOKUP(A22,Data!$E:$BM,MATCH(yoy!$U$1,Data!$E$1:$BM$1,),))/VLOOKUP(A22,Data!$E:$BM,MATCH(yoy!$U$1,Data!$E$1:$BM$1,),)</f>
        <v/>
      </c>
      <c r="V22" s="14">
        <f>(VLOOKUP(B22,Data!$E:$BM,MATCH(yoy!$V$1,Data!$E$1:$BM$1,),)-VLOOKUP(A22,Data!$E:$BM,MATCH(yoy!$V$1,Data!$E$1:$BM$1,),))/VLOOKUP(A22,Data!$E:$BM,MATCH(yoy!$V$1,Data!$E$1:$BM$1,),)</f>
        <v/>
      </c>
      <c r="W22" s="14">
        <f>(VLOOKUP(B22,Data!$E:$BM,MATCH(yoy!$W$1,Data!$E$1:$BM$1,),)-VLOOKUP(A22,Data!$E:$BM,MATCH(yoy!$W$1,Data!$E$1:$BM$1,),))/VLOOKUP(A22,Data!$E:$BM,MATCH(yoy!$W$1,Data!$E$1:$BM$1,),)</f>
        <v/>
      </c>
      <c r="X22" s="14">
        <f>(VLOOKUP(B22,Data!$E:$BM,MATCH(yoy!$X$1,Data!$E$1:$BM$1,),)-VLOOKUP(A22,Data!$E:$BM,MATCH(yoy!$X$1,Data!$E$1:$BM$1,),))/VLOOKUP(A22,Data!$E:$BM,MATCH(yoy!$X$1,Data!$E$1:$BM$1,),)</f>
        <v/>
      </c>
      <c r="Y22" s="14">
        <f>(VLOOKUP(B22,Data!$E:$BM,MATCH(yoy!$Y$1,Data!$E$1:$BM$1,),)-VLOOKUP(A22,Data!$E:$BM,MATCH(yoy!$Y$1,Data!$E$1:$BM$1,),))/VLOOKUP(A22,Data!$E:$BM,MATCH(yoy!$Y$1,Data!$E$1:$BM$1,),)</f>
        <v/>
      </c>
      <c r="Z22" s="14">
        <f>(VLOOKUP(B22,Data!$E:$BM,MATCH(yoy!$Z$1,Data!$E$1:$BM$1,),)-VLOOKUP(A22,Data!$E:$BM,MATCH(yoy!$Z$1,Data!$E$1:$BM$1,),))/VLOOKUP(A22,Data!$E:$BM,MATCH(yoy!$Z$1,Data!$E$1:$BM$1,),)</f>
        <v/>
      </c>
      <c r="AA22" s="14">
        <f>(VLOOKUP(B22,Data!$E:$BM,MATCH(yoy!$AA$1,Data!$E$1:$BM$1,),)-VLOOKUP(A22,Data!$E:$BM,MATCH(yoy!$AA$1,Data!$E$1:$BM$1,),))/VLOOKUP(A22,Data!$E:$BM,MATCH(yoy!$AA$1,Data!$E$1:$BM$1,),)</f>
        <v/>
      </c>
    </row>
    <row r="23">
      <c r="A23" s="20">
        <f>DATE(YEAR(B23)-1,MONTH(B23),DAY(B23))</f>
        <v/>
      </c>
      <c r="B23" s="12" t="n">
        <v>42552</v>
      </c>
      <c r="C23" s="14">
        <f>(VLOOKUP(B23,Data!$E:$BM,MATCH(yoy!$C$1,Data!$E$1:$BM$1,),)-VLOOKUP(A23,Data!$E:$BM,MATCH(yoy!$C$1,Data!$E$1:$BM$1,),))/VLOOKUP(A23,Data!$E:$BM,MATCH(yoy!$C$1,Data!$E$1:$BM$1,),)</f>
        <v/>
      </c>
      <c r="D23" s="14">
        <f>(VLOOKUP(B23,Data!$E:$BM,MATCH(yoy!$D$1,Data!$E$1:$BM$1,),)-VLOOKUP(A23,Data!$E:$BM,MATCH(yoy!$D$1,Data!$E$1:$BM$1,),))/VLOOKUP(A23,Data!$E:$BM,MATCH(yoy!$D$1,Data!$E$1:$BM$1,),)</f>
        <v/>
      </c>
      <c r="E23" s="14">
        <f>(VLOOKUP(B23,Data!$E:$BM,MATCH(yoy!$E$1,Data!$E$1:$BM$1,),)-VLOOKUP(A23,Data!$E:$BM,MATCH(yoy!$E$1,Data!$E$1:$BM$1,),))/VLOOKUP(A23,Data!$E:$BM,MATCH(yoy!$E$1,Data!$E$1:$BM$1,),)</f>
        <v/>
      </c>
      <c r="F23" s="14">
        <f>(VLOOKUP(B23,Data!$E:$BM,MATCH(yoy!$F$1,Data!$E$1:$BM$1,),)-VLOOKUP(A23,Data!$E:$BM,MATCH(yoy!$F$1,Data!$E$1:$BM$1,),))/VLOOKUP(A23,Data!$E:$BM,MATCH(yoy!$F$1,Data!$E$1:$BM$1,),)</f>
        <v/>
      </c>
      <c r="G23" s="14">
        <f>(VLOOKUP(B23,Data!$E:$BM,MATCH(yoy!$G$1,Data!$E$1:$BM$1,),)-VLOOKUP(A23,Data!$E:$BM,MATCH(yoy!$G$1,Data!$E$1:$BM$1,),))/VLOOKUP(A23,Data!$E:$BM,MATCH(yoy!$G$1,Data!$E$1:$BM$1,),)</f>
        <v/>
      </c>
      <c r="H23" s="14">
        <f>(VLOOKUP(B23,Data!$E:$BM,MATCH(yoy!$H$1,Data!$E$1:$BM$1,),)-VLOOKUP(A23,Data!$E:$BM,MATCH(yoy!$H$1,Data!$E$1:$BM$1,),))/VLOOKUP(A23,Data!$E:$BM,MATCH(yoy!$H$1,Data!$E$1:$BM$1,),)</f>
        <v/>
      </c>
      <c r="I23" s="14">
        <f>(VLOOKUP(B23,Data!$E:$BM,MATCH(yoy!$I$1,Data!$E$1:$BM$1,),)-VLOOKUP(A23,Data!$E:$BM,MATCH(yoy!$I$1,Data!$E$1:$BM$1,),))/VLOOKUP(A23,Data!$E:$BM,MATCH(yoy!$I$1,Data!$E$1:$BM$1,),)</f>
        <v/>
      </c>
      <c r="J23" s="14">
        <f>(VLOOKUP(B23,Data!$E:$BM,MATCH(yoy!$J$1,Data!$E$1:$BM$1,),)-VLOOKUP(A23,Data!$E:$BM,MATCH(yoy!$J$1,Data!$E$1:$BM$1,),))/VLOOKUP(A23,Data!$E:$BM,MATCH(yoy!$J$1,Data!$E$1:$BM$1,),)</f>
        <v/>
      </c>
      <c r="K23" s="14">
        <f>(VLOOKUP(B23,Data!$E:$BM,MATCH(yoy!$K$1,Data!$E$1:$BM$1,),)-VLOOKUP(A23,Data!$E:$BM,MATCH(yoy!$K$1,Data!$E$1:$BM$1,),))/VLOOKUP(A23,Data!$E:$BM,MATCH(yoy!$K$1,Data!$E$1:$BM$1,),)</f>
        <v/>
      </c>
      <c r="L23" s="14">
        <f>(VLOOKUP(B23,Data!$E:$BM,MATCH(yoy!$L$1,Data!$E$1:$BM$1,),)-VLOOKUP(A23,Data!$E:$BM,MATCH(yoy!$L$1,Data!$E$1:$BM$1,),))/VLOOKUP(A23,Data!$E:$BM,MATCH(yoy!$L$1,Data!$E$1:$BM$1,),)</f>
        <v/>
      </c>
      <c r="M23" s="14">
        <f>(VLOOKUP(B23,Data!$E:$BM,MATCH(yoy!$M$1,Data!$E$1:$BM$1,),)-VLOOKUP(A23,Data!$E:$BM,MATCH(yoy!$M$1,Data!$E$1:$BM$1,),))/VLOOKUP(A23,Data!$E:$BM,MATCH(yoy!$M$1,Data!$E$1:$BM$1,),)</f>
        <v/>
      </c>
      <c r="N23" s="14">
        <f>(VLOOKUP(B23,Data!$E:$BM,MATCH(yoy!$N$1,Data!$E$1:$BM$1,),)-VLOOKUP(A23,Data!$E:$BM,MATCH(yoy!$N$1,Data!$E$1:$BM$1,),))/VLOOKUP(A23,Data!$E:$BM,MATCH(yoy!$N$1,Data!$E$1:$BM$1,),)</f>
        <v/>
      </c>
      <c r="O23" s="14">
        <f>(VLOOKUP(B23,Data!$E:$BM,MATCH(yoy!$O$1,Data!$E$1:$BM$1,),)-VLOOKUP(A23,Data!$E:$BM,MATCH(yoy!$O$1,Data!$E$1:$BM$1,),))/VLOOKUP(A23,Data!$E:$BM,MATCH(yoy!$O$1,Data!$E$1:$BM$1,),)</f>
        <v/>
      </c>
      <c r="P23" s="14">
        <f>(VLOOKUP(B23,Data!$E:$BM,MATCH(yoy!$P$1,Data!$E$1:$BM$1,),)-VLOOKUP(A23,Data!$E:$BM,MATCH(yoy!$P$1,Data!$E$1:$BM$1,),))/VLOOKUP(A23,Data!$E:$BM,MATCH(yoy!$P$1,Data!$E$1:$BM$1,),)</f>
        <v/>
      </c>
      <c r="Q23" s="14">
        <f>(VLOOKUP(B23,Data!$E:$BM,MATCH(yoy!$Q$1,Data!$E$1:$BM$1,),)-VLOOKUP(A23,Data!$E:$BM,MATCH(yoy!$Q$1,Data!$E$1:$BM$1,),))/VLOOKUP(A23,Data!$E:$BM,MATCH(yoy!$Q$1,Data!$E$1:$BM$1,),)</f>
        <v/>
      </c>
      <c r="R23" s="14">
        <f>(VLOOKUP(B23,Data!$E:$BM,MATCH(yoy!$R$1,Data!$E$1:$BM$1,),)-VLOOKUP(A23,Data!$E:$BM,MATCH(yoy!$R$1,Data!$E$1:$BM$1,),))/VLOOKUP(A23,Data!$E:$BM,MATCH(yoy!$R$1,Data!$E$1:$BM$1,),)</f>
        <v/>
      </c>
      <c r="S23" s="14">
        <f>(VLOOKUP(B23,Data!$E:$BM,MATCH(yoy!$S$1,Data!$E$1:$BM$1,),)-VLOOKUP(A23,Data!$E:$BM,MATCH(yoy!$S$1,Data!$E$1:$BM$1,),))/VLOOKUP(A23,Data!$E:$BM,MATCH(yoy!$S$1,Data!$E$1:$BM$1,),)</f>
        <v/>
      </c>
      <c r="T23" s="14">
        <f>(VLOOKUP(B23,Data!$E:$BM,MATCH(yoy!$T$1,Data!$E$1:$BM$1,),)-VLOOKUP(A23,Data!$E:$BM,MATCH(yoy!$T$1,Data!$E$1:$BM$1,),))/VLOOKUP(A23,Data!$E:$BM,MATCH(yoy!$T$1,Data!$E$1:$BM$1,),)</f>
        <v/>
      </c>
      <c r="U23" s="14">
        <f>(VLOOKUP(B23,Data!$E:$BM,MATCH(yoy!$U$1,Data!$E$1:$BM$1,),)-VLOOKUP(A23,Data!$E:$BM,MATCH(yoy!$U$1,Data!$E$1:$BM$1,),))/VLOOKUP(A23,Data!$E:$BM,MATCH(yoy!$U$1,Data!$E$1:$BM$1,),)</f>
        <v/>
      </c>
      <c r="V23" s="14">
        <f>(VLOOKUP(B23,Data!$E:$BM,MATCH(yoy!$V$1,Data!$E$1:$BM$1,),)-VLOOKUP(A23,Data!$E:$BM,MATCH(yoy!$V$1,Data!$E$1:$BM$1,),))/VLOOKUP(A23,Data!$E:$BM,MATCH(yoy!$V$1,Data!$E$1:$BM$1,),)</f>
        <v/>
      </c>
      <c r="W23" s="14">
        <f>(VLOOKUP(B23,Data!$E:$BM,MATCH(yoy!$W$1,Data!$E$1:$BM$1,),)-VLOOKUP(A23,Data!$E:$BM,MATCH(yoy!$W$1,Data!$E$1:$BM$1,),))/VLOOKUP(A23,Data!$E:$BM,MATCH(yoy!$W$1,Data!$E$1:$BM$1,),)</f>
        <v/>
      </c>
      <c r="X23" s="14">
        <f>(VLOOKUP(B23,Data!$E:$BM,MATCH(yoy!$X$1,Data!$E$1:$BM$1,),)-VLOOKUP(A23,Data!$E:$BM,MATCH(yoy!$X$1,Data!$E$1:$BM$1,),))/VLOOKUP(A23,Data!$E:$BM,MATCH(yoy!$X$1,Data!$E$1:$BM$1,),)</f>
        <v/>
      </c>
      <c r="Y23" s="14">
        <f>(VLOOKUP(B23,Data!$E:$BM,MATCH(yoy!$Y$1,Data!$E$1:$BM$1,),)-VLOOKUP(A23,Data!$E:$BM,MATCH(yoy!$Y$1,Data!$E$1:$BM$1,),))/VLOOKUP(A23,Data!$E:$BM,MATCH(yoy!$Y$1,Data!$E$1:$BM$1,),)</f>
        <v/>
      </c>
      <c r="Z23" s="14">
        <f>(VLOOKUP(B23,Data!$E:$BM,MATCH(yoy!$Z$1,Data!$E$1:$BM$1,),)-VLOOKUP(A23,Data!$E:$BM,MATCH(yoy!$Z$1,Data!$E$1:$BM$1,),))/VLOOKUP(A23,Data!$E:$BM,MATCH(yoy!$Z$1,Data!$E$1:$BM$1,),)</f>
        <v/>
      </c>
      <c r="AA23" s="14">
        <f>(VLOOKUP(B23,Data!$E:$BM,MATCH(yoy!$AA$1,Data!$E$1:$BM$1,),)-VLOOKUP(A23,Data!$E:$BM,MATCH(yoy!$AA$1,Data!$E$1:$BM$1,),))/VLOOKUP(A23,Data!$E:$BM,MATCH(yoy!$AA$1,Data!$E$1:$BM$1,),)</f>
        <v/>
      </c>
    </row>
    <row r="24">
      <c r="A24" s="20">
        <f>DATE(YEAR(B24)-1,MONTH(B24),DAY(B24))</f>
        <v/>
      </c>
      <c r="B24" s="12" t="n">
        <v>42583</v>
      </c>
      <c r="C24" s="14">
        <f>(VLOOKUP(B24,Data!$E:$BM,MATCH(yoy!$C$1,Data!$E$1:$BM$1,),)-VLOOKUP(A24,Data!$E:$BM,MATCH(yoy!$C$1,Data!$E$1:$BM$1,),))/VLOOKUP(A24,Data!$E:$BM,MATCH(yoy!$C$1,Data!$E$1:$BM$1,),)</f>
        <v/>
      </c>
      <c r="D24" s="14">
        <f>(VLOOKUP(B24,Data!$E:$BM,MATCH(yoy!$D$1,Data!$E$1:$BM$1,),)-VLOOKUP(A24,Data!$E:$BM,MATCH(yoy!$D$1,Data!$E$1:$BM$1,),))/VLOOKUP(A24,Data!$E:$BM,MATCH(yoy!$D$1,Data!$E$1:$BM$1,),)</f>
        <v/>
      </c>
      <c r="E24" s="14">
        <f>(VLOOKUP(B24,Data!$E:$BM,MATCH(yoy!$E$1,Data!$E$1:$BM$1,),)-VLOOKUP(A24,Data!$E:$BM,MATCH(yoy!$E$1,Data!$E$1:$BM$1,),))/VLOOKUP(A24,Data!$E:$BM,MATCH(yoy!$E$1,Data!$E$1:$BM$1,),)</f>
        <v/>
      </c>
      <c r="F24" s="14">
        <f>(VLOOKUP(B24,Data!$E:$BM,MATCH(yoy!$F$1,Data!$E$1:$BM$1,),)-VLOOKUP(A24,Data!$E:$BM,MATCH(yoy!$F$1,Data!$E$1:$BM$1,),))/VLOOKUP(A24,Data!$E:$BM,MATCH(yoy!$F$1,Data!$E$1:$BM$1,),)</f>
        <v/>
      </c>
      <c r="G24" s="14">
        <f>(VLOOKUP(B24,Data!$E:$BM,MATCH(yoy!$G$1,Data!$E$1:$BM$1,),)-VLOOKUP(A24,Data!$E:$BM,MATCH(yoy!$G$1,Data!$E$1:$BM$1,),))/VLOOKUP(A24,Data!$E:$BM,MATCH(yoy!$G$1,Data!$E$1:$BM$1,),)</f>
        <v/>
      </c>
      <c r="H24" s="14">
        <f>(VLOOKUP(B24,Data!$E:$BM,MATCH(yoy!$H$1,Data!$E$1:$BM$1,),)-VLOOKUP(A24,Data!$E:$BM,MATCH(yoy!$H$1,Data!$E$1:$BM$1,),))/VLOOKUP(A24,Data!$E:$BM,MATCH(yoy!$H$1,Data!$E$1:$BM$1,),)</f>
        <v/>
      </c>
      <c r="I24" s="14">
        <f>(VLOOKUP(B24,Data!$E:$BM,MATCH(yoy!$I$1,Data!$E$1:$BM$1,),)-VLOOKUP(A24,Data!$E:$BM,MATCH(yoy!$I$1,Data!$E$1:$BM$1,),))/VLOOKUP(A24,Data!$E:$BM,MATCH(yoy!$I$1,Data!$E$1:$BM$1,),)</f>
        <v/>
      </c>
      <c r="J24" s="14">
        <f>(VLOOKUP(B24,Data!$E:$BM,MATCH(yoy!$J$1,Data!$E$1:$BM$1,),)-VLOOKUP(A24,Data!$E:$BM,MATCH(yoy!$J$1,Data!$E$1:$BM$1,),))/VLOOKUP(A24,Data!$E:$BM,MATCH(yoy!$J$1,Data!$E$1:$BM$1,),)</f>
        <v/>
      </c>
      <c r="K24" s="14">
        <f>(VLOOKUP(B24,Data!$E:$BM,MATCH(yoy!$K$1,Data!$E$1:$BM$1,),)-VLOOKUP(A24,Data!$E:$BM,MATCH(yoy!$K$1,Data!$E$1:$BM$1,),))/VLOOKUP(A24,Data!$E:$BM,MATCH(yoy!$K$1,Data!$E$1:$BM$1,),)</f>
        <v/>
      </c>
      <c r="L24" s="14">
        <f>(VLOOKUP(B24,Data!$E:$BM,MATCH(yoy!$L$1,Data!$E$1:$BM$1,),)-VLOOKUP(A24,Data!$E:$BM,MATCH(yoy!$L$1,Data!$E$1:$BM$1,),))/VLOOKUP(A24,Data!$E:$BM,MATCH(yoy!$L$1,Data!$E$1:$BM$1,),)</f>
        <v/>
      </c>
      <c r="M24" s="14">
        <f>(VLOOKUP(B24,Data!$E:$BM,MATCH(yoy!$M$1,Data!$E$1:$BM$1,),)-VLOOKUP(A24,Data!$E:$BM,MATCH(yoy!$M$1,Data!$E$1:$BM$1,),))/VLOOKUP(A24,Data!$E:$BM,MATCH(yoy!$M$1,Data!$E$1:$BM$1,),)</f>
        <v/>
      </c>
      <c r="N24" s="14">
        <f>(VLOOKUP(B24,Data!$E:$BM,MATCH(yoy!$N$1,Data!$E$1:$BM$1,),)-VLOOKUP(A24,Data!$E:$BM,MATCH(yoy!$N$1,Data!$E$1:$BM$1,),))/VLOOKUP(A24,Data!$E:$BM,MATCH(yoy!$N$1,Data!$E$1:$BM$1,),)</f>
        <v/>
      </c>
      <c r="O24" s="14">
        <f>(VLOOKUP(B24,Data!$E:$BM,MATCH(yoy!$O$1,Data!$E$1:$BM$1,),)-VLOOKUP(A24,Data!$E:$BM,MATCH(yoy!$O$1,Data!$E$1:$BM$1,),))/VLOOKUP(A24,Data!$E:$BM,MATCH(yoy!$O$1,Data!$E$1:$BM$1,),)</f>
        <v/>
      </c>
      <c r="P24" s="14">
        <f>(VLOOKUP(B24,Data!$E:$BM,MATCH(yoy!$P$1,Data!$E$1:$BM$1,),)-VLOOKUP(A24,Data!$E:$BM,MATCH(yoy!$P$1,Data!$E$1:$BM$1,),))/VLOOKUP(A24,Data!$E:$BM,MATCH(yoy!$P$1,Data!$E$1:$BM$1,),)</f>
        <v/>
      </c>
      <c r="Q24" s="14">
        <f>(VLOOKUP(B24,Data!$E:$BM,MATCH(yoy!$Q$1,Data!$E$1:$BM$1,),)-VLOOKUP(A24,Data!$E:$BM,MATCH(yoy!$Q$1,Data!$E$1:$BM$1,),))/VLOOKUP(A24,Data!$E:$BM,MATCH(yoy!$Q$1,Data!$E$1:$BM$1,),)</f>
        <v/>
      </c>
      <c r="R24" s="14">
        <f>(VLOOKUP(B24,Data!$E:$BM,MATCH(yoy!$R$1,Data!$E$1:$BM$1,),)-VLOOKUP(A24,Data!$E:$BM,MATCH(yoy!$R$1,Data!$E$1:$BM$1,),))/VLOOKUP(A24,Data!$E:$BM,MATCH(yoy!$R$1,Data!$E$1:$BM$1,),)</f>
        <v/>
      </c>
      <c r="S24" s="14">
        <f>(VLOOKUP(B24,Data!$E:$BM,MATCH(yoy!$S$1,Data!$E$1:$BM$1,),)-VLOOKUP(A24,Data!$E:$BM,MATCH(yoy!$S$1,Data!$E$1:$BM$1,),))/VLOOKUP(A24,Data!$E:$BM,MATCH(yoy!$S$1,Data!$E$1:$BM$1,),)</f>
        <v/>
      </c>
      <c r="T24" s="14">
        <f>(VLOOKUP(B24,Data!$E:$BM,MATCH(yoy!$T$1,Data!$E$1:$BM$1,),)-VLOOKUP(A24,Data!$E:$BM,MATCH(yoy!$T$1,Data!$E$1:$BM$1,),))/VLOOKUP(A24,Data!$E:$BM,MATCH(yoy!$T$1,Data!$E$1:$BM$1,),)</f>
        <v/>
      </c>
      <c r="U24" s="14">
        <f>(VLOOKUP(B24,Data!$E:$BM,MATCH(yoy!$U$1,Data!$E$1:$BM$1,),)-VLOOKUP(A24,Data!$E:$BM,MATCH(yoy!$U$1,Data!$E$1:$BM$1,),))/VLOOKUP(A24,Data!$E:$BM,MATCH(yoy!$U$1,Data!$E$1:$BM$1,),)</f>
        <v/>
      </c>
      <c r="V24" s="14">
        <f>(VLOOKUP(B24,Data!$E:$BM,MATCH(yoy!$V$1,Data!$E$1:$BM$1,),)-VLOOKUP(A24,Data!$E:$BM,MATCH(yoy!$V$1,Data!$E$1:$BM$1,),))/VLOOKUP(A24,Data!$E:$BM,MATCH(yoy!$V$1,Data!$E$1:$BM$1,),)</f>
        <v/>
      </c>
      <c r="W24" s="14">
        <f>(VLOOKUP(B24,Data!$E:$BM,MATCH(yoy!$W$1,Data!$E$1:$BM$1,),)-VLOOKUP(A24,Data!$E:$BM,MATCH(yoy!$W$1,Data!$E$1:$BM$1,),))/VLOOKUP(A24,Data!$E:$BM,MATCH(yoy!$W$1,Data!$E$1:$BM$1,),)</f>
        <v/>
      </c>
      <c r="X24" s="14">
        <f>(VLOOKUP(B24,Data!$E:$BM,MATCH(yoy!$X$1,Data!$E$1:$BM$1,),)-VLOOKUP(A24,Data!$E:$BM,MATCH(yoy!$X$1,Data!$E$1:$BM$1,),))/VLOOKUP(A24,Data!$E:$BM,MATCH(yoy!$X$1,Data!$E$1:$BM$1,),)</f>
        <v/>
      </c>
      <c r="Y24" s="14">
        <f>(VLOOKUP(B24,Data!$E:$BM,MATCH(yoy!$Y$1,Data!$E$1:$BM$1,),)-VLOOKUP(A24,Data!$E:$BM,MATCH(yoy!$Y$1,Data!$E$1:$BM$1,),))/VLOOKUP(A24,Data!$E:$BM,MATCH(yoy!$Y$1,Data!$E$1:$BM$1,),)</f>
        <v/>
      </c>
      <c r="Z24" s="14">
        <f>(VLOOKUP(B24,Data!$E:$BM,MATCH(yoy!$Z$1,Data!$E$1:$BM$1,),)-VLOOKUP(A24,Data!$E:$BM,MATCH(yoy!$Z$1,Data!$E$1:$BM$1,),))/VLOOKUP(A24,Data!$E:$BM,MATCH(yoy!$Z$1,Data!$E$1:$BM$1,),)</f>
        <v/>
      </c>
      <c r="AA24" s="14">
        <f>(VLOOKUP(B24,Data!$E:$BM,MATCH(yoy!$AA$1,Data!$E$1:$BM$1,),)-VLOOKUP(A24,Data!$E:$BM,MATCH(yoy!$AA$1,Data!$E$1:$BM$1,),))/VLOOKUP(A24,Data!$E:$BM,MATCH(yoy!$AA$1,Data!$E$1:$BM$1,),)</f>
        <v/>
      </c>
    </row>
    <row r="25">
      <c r="A25" s="20">
        <f>DATE(YEAR(B25)-1,MONTH(B25),DAY(B25))</f>
        <v/>
      </c>
      <c r="B25" s="12" t="n">
        <v>42614</v>
      </c>
      <c r="C25" s="14">
        <f>(VLOOKUP(B25,Data!$E:$BM,MATCH(yoy!$C$1,Data!$E$1:$BM$1,),)-VLOOKUP(A25,Data!$E:$BM,MATCH(yoy!$C$1,Data!$E$1:$BM$1,),))/VLOOKUP(A25,Data!$E:$BM,MATCH(yoy!$C$1,Data!$E$1:$BM$1,),)</f>
        <v/>
      </c>
      <c r="D25" s="14">
        <f>(VLOOKUP(B25,Data!$E:$BM,MATCH(yoy!$D$1,Data!$E$1:$BM$1,),)-VLOOKUP(A25,Data!$E:$BM,MATCH(yoy!$D$1,Data!$E$1:$BM$1,),))/VLOOKUP(A25,Data!$E:$BM,MATCH(yoy!$D$1,Data!$E$1:$BM$1,),)</f>
        <v/>
      </c>
      <c r="E25" s="14">
        <f>(VLOOKUP(B25,Data!$E:$BM,MATCH(yoy!$E$1,Data!$E$1:$BM$1,),)-VLOOKUP(A25,Data!$E:$BM,MATCH(yoy!$E$1,Data!$E$1:$BM$1,),))/VLOOKUP(A25,Data!$E:$BM,MATCH(yoy!$E$1,Data!$E$1:$BM$1,),)</f>
        <v/>
      </c>
      <c r="F25" s="14">
        <f>(VLOOKUP(B25,Data!$E:$BM,MATCH(yoy!$F$1,Data!$E$1:$BM$1,),)-VLOOKUP(A25,Data!$E:$BM,MATCH(yoy!$F$1,Data!$E$1:$BM$1,),))/VLOOKUP(A25,Data!$E:$BM,MATCH(yoy!$F$1,Data!$E$1:$BM$1,),)</f>
        <v/>
      </c>
      <c r="G25" s="14">
        <f>(VLOOKUP(B25,Data!$E:$BM,MATCH(yoy!$G$1,Data!$E$1:$BM$1,),)-VLOOKUP(A25,Data!$E:$BM,MATCH(yoy!$G$1,Data!$E$1:$BM$1,),))/VLOOKUP(A25,Data!$E:$BM,MATCH(yoy!$G$1,Data!$E$1:$BM$1,),)</f>
        <v/>
      </c>
      <c r="H25" s="14">
        <f>(VLOOKUP(B25,Data!$E:$BM,MATCH(yoy!$H$1,Data!$E$1:$BM$1,),)-VLOOKUP(A25,Data!$E:$BM,MATCH(yoy!$H$1,Data!$E$1:$BM$1,),))/VLOOKUP(A25,Data!$E:$BM,MATCH(yoy!$H$1,Data!$E$1:$BM$1,),)</f>
        <v/>
      </c>
      <c r="I25" s="14">
        <f>(VLOOKUP(B25,Data!$E:$BM,MATCH(yoy!$I$1,Data!$E$1:$BM$1,),)-VLOOKUP(A25,Data!$E:$BM,MATCH(yoy!$I$1,Data!$E$1:$BM$1,),))/VLOOKUP(A25,Data!$E:$BM,MATCH(yoy!$I$1,Data!$E$1:$BM$1,),)</f>
        <v/>
      </c>
      <c r="J25" s="14">
        <f>(VLOOKUP(B25,Data!$E:$BM,MATCH(yoy!$J$1,Data!$E$1:$BM$1,),)-VLOOKUP(A25,Data!$E:$BM,MATCH(yoy!$J$1,Data!$E$1:$BM$1,),))/VLOOKUP(A25,Data!$E:$BM,MATCH(yoy!$J$1,Data!$E$1:$BM$1,),)</f>
        <v/>
      </c>
      <c r="K25" s="14">
        <f>(VLOOKUP(B25,Data!$E:$BM,MATCH(yoy!$K$1,Data!$E$1:$BM$1,),)-VLOOKUP(A25,Data!$E:$BM,MATCH(yoy!$K$1,Data!$E$1:$BM$1,),))/VLOOKUP(A25,Data!$E:$BM,MATCH(yoy!$K$1,Data!$E$1:$BM$1,),)</f>
        <v/>
      </c>
      <c r="L25" s="14">
        <f>(VLOOKUP(B25,Data!$E:$BM,MATCH(yoy!$L$1,Data!$E$1:$BM$1,),)-VLOOKUP(A25,Data!$E:$BM,MATCH(yoy!$L$1,Data!$E$1:$BM$1,),))/VLOOKUP(A25,Data!$E:$BM,MATCH(yoy!$L$1,Data!$E$1:$BM$1,),)</f>
        <v/>
      </c>
      <c r="M25" s="14">
        <f>(VLOOKUP(B25,Data!$E:$BM,MATCH(yoy!$M$1,Data!$E$1:$BM$1,),)-VLOOKUP(A25,Data!$E:$BM,MATCH(yoy!$M$1,Data!$E$1:$BM$1,),))/VLOOKUP(A25,Data!$E:$BM,MATCH(yoy!$M$1,Data!$E$1:$BM$1,),)</f>
        <v/>
      </c>
      <c r="N25" s="14">
        <f>(VLOOKUP(B25,Data!$E:$BM,MATCH(yoy!$N$1,Data!$E$1:$BM$1,),)-VLOOKUP(A25,Data!$E:$BM,MATCH(yoy!$N$1,Data!$E$1:$BM$1,),))/VLOOKUP(A25,Data!$E:$BM,MATCH(yoy!$N$1,Data!$E$1:$BM$1,),)</f>
        <v/>
      </c>
      <c r="O25" s="14">
        <f>(VLOOKUP(B25,Data!$E:$BM,MATCH(yoy!$O$1,Data!$E$1:$BM$1,),)-VLOOKUP(A25,Data!$E:$BM,MATCH(yoy!$O$1,Data!$E$1:$BM$1,),))/VLOOKUP(A25,Data!$E:$BM,MATCH(yoy!$O$1,Data!$E$1:$BM$1,),)</f>
        <v/>
      </c>
      <c r="P25" s="14">
        <f>(VLOOKUP(B25,Data!$E:$BM,MATCH(yoy!$P$1,Data!$E$1:$BM$1,),)-VLOOKUP(A25,Data!$E:$BM,MATCH(yoy!$P$1,Data!$E$1:$BM$1,),))/VLOOKUP(A25,Data!$E:$BM,MATCH(yoy!$P$1,Data!$E$1:$BM$1,),)</f>
        <v/>
      </c>
      <c r="Q25" s="14">
        <f>(VLOOKUP(B25,Data!$E:$BM,MATCH(yoy!$Q$1,Data!$E$1:$BM$1,),)-VLOOKUP(A25,Data!$E:$BM,MATCH(yoy!$Q$1,Data!$E$1:$BM$1,),))/VLOOKUP(A25,Data!$E:$BM,MATCH(yoy!$Q$1,Data!$E$1:$BM$1,),)</f>
        <v/>
      </c>
      <c r="R25" s="14">
        <f>(VLOOKUP(B25,Data!$E:$BM,MATCH(yoy!$R$1,Data!$E$1:$BM$1,),)-VLOOKUP(A25,Data!$E:$BM,MATCH(yoy!$R$1,Data!$E$1:$BM$1,),))/VLOOKUP(A25,Data!$E:$BM,MATCH(yoy!$R$1,Data!$E$1:$BM$1,),)</f>
        <v/>
      </c>
      <c r="S25" s="14">
        <f>(VLOOKUP(B25,Data!$E:$BM,MATCH(yoy!$S$1,Data!$E$1:$BM$1,),)-VLOOKUP(A25,Data!$E:$BM,MATCH(yoy!$S$1,Data!$E$1:$BM$1,),))/VLOOKUP(A25,Data!$E:$BM,MATCH(yoy!$S$1,Data!$E$1:$BM$1,),)</f>
        <v/>
      </c>
      <c r="T25" s="14">
        <f>(VLOOKUP(B25,Data!$E:$BM,MATCH(yoy!$T$1,Data!$E$1:$BM$1,),)-VLOOKUP(A25,Data!$E:$BM,MATCH(yoy!$T$1,Data!$E$1:$BM$1,),))/VLOOKUP(A25,Data!$E:$BM,MATCH(yoy!$T$1,Data!$E$1:$BM$1,),)</f>
        <v/>
      </c>
      <c r="U25" s="14">
        <f>(VLOOKUP(B25,Data!$E:$BM,MATCH(yoy!$U$1,Data!$E$1:$BM$1,),)-VLOOKUP(A25,Data!$E:$BM,MATCH(yoy!$U$1,Data!$E$1:$BM$1,),))/VLOOKUP(A25,Data!$E:$BM,MATCH(yoy!$U$1,Data!$E$1:$BM$1,),)</f>
        <v/>
      </c>
      <c r="V25" s="14">
        <f>(VLOOKUP(B25,Data!$E:$BM,MATCH(yoy!$V$1,Data!$E$1:$BM$1,),)-VLOOKUP(A25,Data!$E:$BM,MATCH(yoy!$V$1,Data!$E$1:$BM$1,),))/VLOOKUP(A25,Data!$E:$BM,MATCH(yoy!$V$1,Data!$E$1:$BM$1,),)</f>
        <v/>
      </c>
      <c r="W25" s="14">
        <f>(VLOOKUP(B25,Data!$E:$BM,MATCH(yoy!$W$1,Data!$E$1:$BM$1,),)-VLOOKUP(A25,Data!$E:$BM,MATCH(yoy!$W$1,Data!$E$1:$BM$1,),))/VLOOKUP(A25,Data!$E:$BM,MATCH(yoy!$W$1,Data!$E$1:$BM$1,),)</f>
        <v/>
      </c>
      <c r="X25" s="14">
        <f>(VLOOKUP(B25,Data!$E:$BM,MATCH(yoy!$X$1,Data!$E$1:$BM$1,),)-VLOOKUP(A25,Data!$E:$BM,MATCH(yoy!$X$1,Data!$E$1:$BM$1,),))/VLOOKUP(A25,Data!$E:$BM,MATCH(yoy!$X$1,Data!$E$1:$BM$1,),)</f>
        <v/>
      </c>
      <c r="Y25" s="14">
        <f>(VLOOKUP(B25,Data!$E:$BM,MATCH(yoy!$Y$1,Data!$E$1:$BM$1,),)-VLOOKUP(A25,Data!$E:$BM,MATCH(yoy!$Y$1,Data!$E$1:$BM$1,),))/VLOOKUP(A25,Data!$E:$BM,MATCH(yoy!$Y$1,Data!$E$1:$BM$1,),)</f>
        <v/>
      </c>
      <c r="Z25" s="14">
        <f>(VLOOKUP(B25,Data!$E:$BM,MATCH(yoy!$Z$1,Data!$E$1:$BM$1,),)-VLOOKUP(A25,Data!$E:$BM,MATCH(yoy!$Z$1,Data!$E$1:$BM$1,),))/VLOOKUP(A25,Data!$E:$BM,MATCH(yoy!$Z$1,Data!$E$1:$BM$1,),)</f>
        <v/>
      </c>
      <c r="AA25" s="14">
        <f>(VLOOKUP(B25,Data!$E:$BM,MATCH(yoy!$AA$1,Data!$E$1:$BM$1,),)-VLOOKUP(A25,Data!$E:$BM,MATCH(yoy!$AA$1,Data!$E$1:$BM$1,),))/VLOOKUP(A25,Data!$E:$BM,MATCH(yoy!$AA$1,Data!$E$1:$BM$1,),)</f>
        <v/>
      </c>
    </row>
    <row r="26">
      <c r="A26" s="20">
        <f>DATE(YEAR(B26)-1,MONTH(B26),DAY(B26))</f>
        <v/>
      </c>
      <c r="B26" s="12" t="n">
        <v>42644</v>
      </c>
      <c r="C26" s="14">
        <f>(VLOOKUP(B26,Data!$E:$BM,MATCH(yoy!$C$1,Data!$E$1:$BM$1,),)-VLOOKUP(A26,Data!$E:$BM,MATCH(yoy!$C$1,Data!$E$1:$BM$1,),))/VLOOKUP(A26,Data!$E:$BM,MATCH(yoy!$C$1,Data!$E$1:$BM$1,),)</f>
        <v/>
      </c>
      <c r="D26" s="14">
        <f>(VLOOKUP(B26,Data!$E:$BM,MATCH(yoy!$D$1,Data!$E$1:$BM$1,),)-VLOOKUP(A26,Data!$E:$BM,MATCH(yoy!$D$1,Data!$E$1:$BM$1,),))/VLOOKUP(A26,Data!$E:$BM,MATCH(yoy!$D$1,Data!$E$1:$BM$1,),)</f>
        <v/>
      </c>
      <c r="E26" s="14">
        <f>(VLOOKUP(B26,Data!$E:$BM,MATCH(yoy!$E$1,Data!$E$1:$BM$1,),)-VLOOKUP(A26,Data!$E:$BM,MATCH(yoy!$E$1,Data!$E$1:$BM$1,),))/VLOOKUP(A26,Data!$E:$BM,MATCH(yoy!$E$1,Data!$E$1:$BM$1,),)</f>
        <v/>
      </c>
      <c r="F26" s="14">
        <f>(VLOOKUP(B26,Data!$E:$BM,MATCH(yoy!$F$1,Data!$E$1:$BM$1,),)-VLOOKUP(A26,Data!$E:$BM,MATCH(yoy!$F$1,Data!$E$1:$BM$1,),))/VLOOKUP(A26,Data!$E:$BM,MATCH(yoy!$F$1,Data!$E$1:$BM$1,),)</f>
        <v/>
      </c>
      <c r="G26" s="14">
        <f>(VLOOKUP(B26,Data!$E:$BM,MATCH(yoy!$G$1,Data!$E$1:$BM$1,),)-VLOOKUP(A26,Data!$E:$BM,MATCH(yoy!$G$1,Data!$E$1:$BM$1,),))/VLOOKUP(A26,Data!$E:$BM,MATCH(yoy!$G$1,Data!$E$1:$BM$1,),)</f>
        <v/>
      </c>
      <c r="H26" s="14">
        <f>(VLOOKUP(B26,Data!$E:$BM,MATCH(yoy!$H$1,Data!$E$1:$BM$1,),)-VLOOKUP(A26,Data!$E:$BM,MATCH(yoy!$H$1,Data!$E$1:$BM$1,),))/VLOOKUP(A26,Data!$E:$BM,MATCH(yoy!$H$1,Data!$E$1:$BM$1,),)</f>
        <v/>
      </c>
      <c r="I26" s="14">
        <f>(VLOOKUP(B26,Data!$E:$BM,MATCH(yoy!$I$1,Data!$E$1:$BM$1,),)-VLOOKUP(A26,Data!$E:$BM,MATCH(yoy!$I$1,Data!$E$1:$BM$1,),))/VLOOKUP(A26,Data!$E:$BM,MATCH(yoy!$I$1,Data!$E$1:$BM$1,),)</f>
        <v/>
      </c>
      <c r="J26" s="14">
        <f>(VLOOKUP(B26,Data!$E:$BM,MATCH(yoy!$J$1,Data!$E$1:$BM$1,),)-VLOOKUP(A26,Data!$E:$BM,MATCH(yoy!$J$1,Data!$E$1:$BM$1,),))/VLOOKUP(A26,Data!$E:$BM,MATCH(yoy!$J$1,Data!$E$1:$BM$1,),)</f>
        <v/>
      </c>
      <c r="K26" s="14">
        <f>(VLOOKUP(B26,Data!$E:$BM,MATCH(yoy!$K$1,Data!$E$1:$BM$1,),)-VLOOKUP(A26,Data!$E:$BM,MATCH(yoy!$K$1,Data!$E$1:$BM$1,),))/VLOOKUP(A26,Data!$E:$BM,MATCH(yoy!$K$1,Data!$E$1:$BM$1,),)</f>
        <v/>
      </c>
      <c r="L26" s="14">
        <f>(VLOOKUP(B26,Data!$E:$BM,MATCH(yoy!$L$1,Data!$E$1:$BM$1,),)-VLOOKUP(A26,Data!$E:$BM,MATCH(yoy!$L$1,Data!$E$1:$BM$1,),))/VLOOKUP(A26,Data!$E:$BM,MATCH(yoy!$L$1,Data!$E$1:$BM$1,),)</f>
        <v/>
      </c>
      <c r="M26" s="14">
        <f>(VLOOKUP(B26,Data!$E:$BM,MATCH(yoy!$M$1,Data!$E$1:$BM$1,),)-VLOOKUP(A26,Data!$E:$BM,MATCH(yoy!$M$1,Data!$E$1:$BM$1,),))/VLOOKUP(A26,Data!$E:$BM,MATCH(yoy!$M$1,Data!$E$1:$BM$1,),)</f>
        <v/>
      </c>
      <c r="N26" s="14">
        <f>(VLOOKUP(B26,Data!$E:$BM,MATCH(yoy!$N$1,Data!$E$1:$BM$1,),)-VLOOKUP(A26,Data!$E:$BM,MATCH(yoy!$N$1,Data!$E$1:$BM$1,),))/VLOOKUP(A26,Data!$E:$BM,MATCH(yoy!$N$1,Data!$E$1:$BM$1,),)</f>
        <v/>
      </c>
      <c r="O26" s="14">
        <f>(VLOOKUP(B26,Data!$E:$BM,MATCH(yoy!$O$1,Data!$E$1:$BM$1,),)-VLOOKUP(A26,Data!$E:$BM,MATCH(yoy!$O$1,Data!$E$1:$BM$1,),))/VLOOKUP(A26,Data!$E:$BM,MATCH(yoy!$O$1,Data!$E$1:$BM$1,),)</f>
        <v/>
      </c>
      <c r="P26" s="14">
        <f>(VLOOKUP(B26,Data!$E:$BM,MATCH(yoy!$P$1,Data!$E$1:$BM$1,),)-VLOOKUP(A26,Data!$E:$BM,MATCH(yoy!$P$1,Data!$E$1:$BM$1,),))/VLOOKUP(A26,Data!$E:$BM,MATCH(yoy!$P$1,Data!$E$1:$BM$1,),)</f>
        <v/>
      </c>
      <c r="Q26" s="14">
        <f>(VLOOKUP(B26,Data!$E:$BM,MATCH(yoy!$Q$1,Data!$E$1:$BM$1,),)-VLOOKUP(A26,Data!$E:$BM,MATCH(yoy!$Q$1,Data!$E$1:$BM$1,),))/VLOOKUP(A26,Data!$E:$BM,MATCH(yoy!$Q$1,Data!$E$1:$BM$1,),)</f>
        <v/>
      </c>
      <c r="R26" s="14">
        <f>(VLOOKUP(B26,Data!$E:$BM,MATCH(yoy!$R$1,Data!$E$1:$BM$1,),)-VLOOKUP(A26,Data!$E:$BM,MATCH(yoy!$R$1,Data!$E$1:$BM$1,),))/VLOOKUP(A26,Data!$E:$BM,MATCH(yoy!$R$1,Data!$E$1:$BM$1,),)</f>
        <v/>
      </c>
      <c r="S26" s="14">
        <f>(VLOOKUP(B26,Data!$E:$BM,MATCH(yoy!$S$1,Data!$E$1:$BM$1,),)-VLOOKUP(A26,Data!$E:$BM,MATCH(yoy!$S$1,Data!$E$1:$BM$1,),))/VLOOKUP(A26,Data!$E:$BM,MATCH(yoy!$S$1,Data!$E$1:$BM$1,),)</f>
        <v/>
      </c>
      <c r="T26" s="14">
        <f>(VLOOKUP(B26,Data!$E:$BM,MATCH(yoy!$T$1,Data!$E$1:$BM$1,),)-VLOOKUP(A26,Data!$E:$BM,MATCH(yoy!$T$1,Data!$E$1:$BM$1,),))/VLOOKUP(A26,Data!$E:$BM,MATCH(yoy!$T$1,Data!$E$1:$BM$1,),)</f>
        <v/>
      </c>
      <c r="U26" s="14">
        <f>(VLOOKUP(B26,Data!$E:$BM,MATCH(yoy!$U$1,Data!$E$1:$BM$1,),)-VLOOKUP(A26,Data!$E:$BM,MATCH(yoy!$U$1,Data!$E$1:$BM$1,),))/VLOOKUP(A26,Data!$E:$BM,MATCH(yoy!$U$1,Data!$E$1:$BM$1,),)</f>
        <v/>
      </c>
      <c r="V26" s="14">
        <f>(VLOOKUP(B26,Data!$E:$BM,MATCH(yoy!$V$1,Data!$E$1:$BM$1,),)-VLOOKUP(A26,Data!$E:$BM,MATCH(yoy!$V$1,Data!$E$1:$BM$1,),))/VLOOKUP(A26,Data!$E:$BM,MATCH(yoy!$V$1,Data!$E$1:$BM$1,),)</f>
        <v/>
      </c>
      <c r="W26" s="14">
        <f>(VLOOKUP(B26,Data!$E:$BM,MATCH(yoy!$W$1,Data!$E$1:$BM$1,),)-VLOOKUP(A26,Data!$E:$BM,MATCH(yoy!$W$1,Data!$E$1:$BM$1,),))/VLOOKUP(A26,Data!$E:$BM,MATCH(yoy!$W$1,Data!$E$1:$BM$1,),)</f>
        <v/>
      </c>
      <c r="X26" s="14">
        <f>(VLOOKUP(B26,Data!$E:$BM,MATCH(yoy!$X$1,Data!$E$1:$BM$1,),)-VLOOKUP(A26,Data!$E:$BM,MATCH(yoy!$X$1,Data!$E$1:$BM$1,),))/VLOOKUP(A26,Data!$E:$BM,MATCH(yoy!$X$1,Data!$E$1:$BM$1,),)</f>
        <v/>
      </c>
      <c r="Y26" s="14">
        <f>(VLOOKUP(B26,Data!$E:$BM,MATCH(yoy!$Y$1,Data!$E$1:$BM$1,),)-VLOOKUP(A26,Data!$E:$BM,MATCH(yoy!$Y$1,Data!$E$1:$BM$1,),))/VLOOKUP(A26,Data!$E:$BM,MATCH(yoy!$Y$1,Data!$E$1:$BM$1,),)</f>
        <v/>
      </c>
      <c r="Z26" s="14">
        <f>(VLOOKUP(B26,Data!$E:$BM,MATCH(yoy!$Z$1,Data!$E$1:$BM$1,),)-VLOOKUP(A26,Data!$E:$BM,MATCH(yoy!$Z$1,Data!$E$1:$BM$1,),))/VLOOKUP(A26,Data!$E:$BM,MATCH(yoy!$Z$1,Data!$E$1:$BM$1,),)</f>
        <v/>
      </c>
      <c r="AA26" s="14">
        <f>(VLOOKUP(B26,Data!$E:$BM,MATCH(yoy!$AA$1,Data!$E$1:$BM$1,),)-VLOOKUP(A26,Data!$E:$BM,MATCH(yoy!$AA$1,Data!$E$1:$BM$1,),))/VLOOKUP(A26,Data!$E:$BM,MATCH(yoy!$AA$1,Data!$E$1:$BM$1,),)</f>
        <v/>
      </c>
    </row>
    <row r="27">
      <c r="A27" s="20">
        <f>DATE(YEAR(B27)-1,MONTH(B27),DAY(B27))</f>
        <v/>
      </c>
      <c r="B27" s="12" t="n">
        <v>42675</v>
      </c>
      <c r="C27" s="14">
        <f>(VLOOKUP(B27,Data!$E:$BM,MATCH(yoy!$C$1,Data!$E$1:$BM$1,),)-VLOOKUP(A27,Data!$E:$BM,MATCH(yoy!$C$1,Data!$E$1:$BM$1,),))/VLOOKUP(A27,Data!$E:$BM,MATCH(yoy!$C$1,Data!$E$1:$BM$1,),)</f>
        <v/>
      </c>
      <c r="D27" s="14">
        <f>(VLOOKUP(B27,Data!$E:$BM,MATCH(yoy!$D$1,Data!$E$1:$BM$1,),)-VLOOKUP(A27,Data!$E:$BM,MATCH(yoy!$D$1,Data!$E$1:$BM$1,),))/VLOOKUP(A27,Data!$E:$BM,MATCH(yoy!$D$1,Data!$E$1:$BM$1,),)</f>
        <v/>
      </c>
      <c r="E27" s="14">
        <f>(VLOOKUP(B27,Data!$E:$BM,MATCH(yoy!$E$1,Data!$E$1:$BM$1,),)-VLOOKUP(A27,Data!$E:$BM,MATCH(yoy!$E$1,Data!$E$1:$BM$1,),))/VLOOKUP(A27,Data!$E:$BM,MATCH(yoy!$E$1,Data!$E$1:$BM$1,),)</f>
        <v/>
      </c>
      <c r="F27" s="14">
        <f>(VLOOKUP(B27,Data!$E:$BM,MATCH(yoy!$F$1,Data!$E$1:$BM$1,),)-VLOOKUP(A27,Data!$E:$BM,MATCH(yoy!$F$1,Data!$E$1:$BM$1,),))/VLOOKUP(A27,Data!$E:$BM,MATCH(yoy!$F$1,Data!$E$1:$BM$1,),)</f>
        <v/>
      </c>
      <c r="G27" s="14">
        <f>(VLOOKUP(B27,Data!$E:$BM,MATCH(yoy!$G$1,Data!$E$1:$BM$1,),)-VLOOKUP(A27,Data!$E:$BM,MATCH(yoy!$G$1,Data!$E$1:$BM$1,),))/VLOOKUP(A27,Data!$E:$BM,MATCH(yoy!$G$1,Data!$E$1:$BM$1,),)</f>
        <v/>
      </c>
      <c r="H27" s="14">
        <f>(VLOOKUP(B27,Data!$E:$BM,MATCH(yoy!$H$1,Data!$E$1:$BM$1,),)-VLOOKUP(A27,Data!$E:$BM,MATCH(yoy!$H$1,Data!$E$1:$BM$1,),))/VLOOKUP(A27,Data!$E:$BM,MATCH(yoy!$H$1,Data!$E$1:$BM$1,),)</f>
        <v/>
      </c>
      <c r="I27" s="14">
        <f>(VLOOKUP(B27,Data!$E:$BM,MATCH(yoy!$I$1,Data!$E$1:$BM$1,),)-VLOOKUP(A27,Data!$E:$BM,MATCH(yoy!$I$1,Data!$E$1:$BM$1,),))/VLOOKUP(A27,Data!$E:$BM,MATCH(yoy!$I$1,Data!$E$1:$BM$1,),)</f>
        <v/>
      </c>
      <c r="J27" s="14">
        <f>(VLOOKUP(B27,Data!$E:$BM,MATCH(yoy!$J$1,Data!$E$1:$BM$1,),)-VLOOKUP(A27,Data!$E:$BM,MATCH(yoy!$J$1,Data!$E$1:$BM$1,),))/VLOOKUP(A27,Data!$E:$BM,MATCH(yoy!$J$1,Data!$E$1:$BM$1,),)</f>
        <v/>
      </c>
      <c r="K27" s="14">
        <f>(VLOOKUP(B27,Data!$E:$BM,MATCH(yoy!$K$1,Data!$E$1:$BM$1,),)-VLOOKUP(A27,Data!$E:$BM,MATCH(yoy!$K$1,Data!$E$1:$BM$1,),))/VLOOKUP(A27,Data!$E:$BM,MATCH(yoy!$K$1,Data!$E$1:$BM$1,),)</f>
        <v/>
      </c>
      <c r="L27" s="14">
        <f>(VLOOKUP(B27,Data!$E:$BM,MATCH(yoy!$L$1,Data!$E$1:$BM$1,),)-VLOOKUP(A27,Data!$E:$BM,MATCH(yoy!$L$1,Data!$E$1:$BM$1,),))/VLOOKUP(A27,Data!$E:$BM,MATCH(yoy!$L$1,Data!$E$1:$BM$1,),)</f>
        <v/>
      </c>
      <c r="M27" s="14">
        <f>(VLOOKUP(B27,Data!$E:$BM,MATCH(yoy!$M$1,Data!$E$1:$BM$1,),)-VLOOKUP(A27,Data!$E:$BM,MATCH(yoy!$M$1,Data!$E$1:$BM$1,),))/VLOOKUP(A27,Data!$E:$BM,MATCH(yoy!$M$1,Data!$E$1:$BM$1,),)</f>
        <v/>
      </c>
      <c r="N27" s="14">
        <f>(VLOOKUP(B27,Data!$E:$BM,MATCH(yoy!$N$1,Data!$E$1:$BM$1,),)-VLOOKUP(A27,Data!$E:$BM,MATCH(yoy!$N$1,Data!$E$1:$BM$1,),))/VLOOKUP(A27,Data!$E:$BM,MATCH(yoy!$N$1,Data!$E$1:$BM$1,),)</f>
        <v/>
      </c>
      <c r="O27" s="14">
        <f>(VLOOKUP(B27,Data!$E:$BM,MATCH(yoy!$O$1,Data!$E$1:$BM$1,),)-VLOOKUP(A27,Data!$E:$BM,MATCH(yoy!$O$1,Data!$E$1:$BM$1,),))/VLOOKUP(A27,Data!$E:$BM,MATCH(yoy!$O$1,Data!$E$1:$BM$1,),)</f>
        <v/>
      </c>
      <c r="P27" s="14">
        <f>(VLOOKUP(B27,Data!$E:$BM,MATCH(yoy!$P$1,Data!$E$1:$BM$1,),)-VLOOKUP(A27,Data!$E:$BM,MATCH(yoy!$P$1,Data!$E$1:$BM$1,),))/VLOOKUP(A27,Data!$E:$BM,MATCH(yoy!$P$1,Data!$E$1:$BM$1,),)</f>
        <v/>
      </c>
      <c r="Q27" s="14">
        <f>(VLOOKUP(B27,Data!$E:$BM,MATCH(yoy!$Q$1,Data!$E$1:$BM$1,),)-VLOOKUP(A27,Data!$E:$BM,MATCH(yoy!$Q$1,Data!$E$1:$BM$1,),))/VLOOKUP(A27,Data!$E:$BM,MATCH(yoy!$Q$1,Data!$E$1:$BM$1,),)</f>
        <v/>
      </c>
      <c r="R27" s="14">
        <f>(VLOOKUP(B27,Data!$E:$BM,MATCH(yoy!$R$1,Data!$E$1:$BM$1,),)-VLOOKUP(A27,Data!$E:$BM,MATCH(yoy!$R$1,Data!$E$1:$BM$1,),))/VLOOKUP(A27,Data!$E:$BM,MATCH(yoy!$R$1,Data!$E$1:$BM$1,),)</f>
        <v/>
      </c>
      <c r="S27" s="14">
        <f>(VLOOKUP(B27,Data!$E:$BM,MATCH(yoy!$S$1,Data!$E$1:$BM$1,),)-VLOOKUP(A27,Data!$E:$BM,MATCH(yoy!$S$1,Data!$E$1:$BM$1,),))/VLOOKUP(A27,Data!$E:$BM,MATCH(yoy!$S$1,Data!$E$1:$BM$1,),)</f>
        <v/>
      </c>
      <c r="T27" s="14">
        <f>(VLOOKUP(B27,Data!$E:$BM,MATCH(yoy!$T$1,Data!$E$1:$BM$1,),)-VLOOKUP(A27,Data!$E:$BM,MATCH(yoy!$T$1,Data!$E$1:$BM$1,),))/VLOOKUP(A27,Data!$E:$BM,MATCH(yoy!$T$1,Data!$E$1:$BM$1,),)</f>
        <v/>
      </c>
      <c r="U27" s="14">
        <f>(VLOOKUP(B27,Data!$E:$BM,MATCH(yoy!$U$1,Data!$E$1:$BM$1,),)-VLOOKUP(A27,Data!$E:$BM,MATCH(yoy!$U$1,Data!$E$1:$BM$1,),))/VLOOKUP(A27,Data!$E:$BM,MATCH(yoy!$U$1,Data!$E$1:$BM$1,),)</f>
        <v/>
      </c>
      <c r="V27" s="14">
        <f>(VLOOKUP(B27,Data!$E:$BM,MATCH(yoy!$V$1,Data!$E$1:$BM$1,),)-VLOOKUP(A27,Data!$E:$BM,MATCH(yoy!$V$1,Data!$E$1:$BM$1,),))/VLOOKUP(A27,Data!$E:$BM,MATCH(yoy!$V$1,Data!$E$1:$BM$1,),)</f>
        <v/>
      </c>
      <c r="W27" s="14">
        <f>(VLOOKUP(B27,Data!$E:$BM,MATCH(yoy!$W$1,Data!$E$1:$BM$1,),)-VLOOKUP(A27,Data!$E:$BM,MATCH(yoy!$W$1,Data!$E$1:$BM$1,),))/VLOOKUP(A27,Data!$E:$BM,MATCH(yoy!$W$1,Data!$E$1:$BM$1,),)</f>
        <v/>
      </c>
      <c r="X27" s="14">
        <f>(VLOOKUP(B27,Data!$E:$BM,MATCH(yoy!$X$1,Data!$E$1:$BM$1,),)-VLOOKUP(A27,Data!$E:$BM,MATCH(yoy!$X$1,Data!$E$1:$BM$1,),))/VLOOKUP(A27,Data!$E:$BM,MATCH(yoy!$X$1,Data!$E$1:$BM$1,),)</f>
        <v/>
      </c>
      <c r="Y27" s="14">
        <f>(VLOOKUP(B27,Data!$E:$BM,MATCH(yoy!$Y$1,Data!$E$1:$BM$1,),)-VLOOKUP(A27,Data!$E:$BM,MATCH(yoy!$Y$1,Data!$E$1:$BM$1,),))/VLOOKUP(A27,Data!$E:$BM,MATCH(yoy!$Y$1,Data!$E$1:$BM$1,),)</f>
        <v/>
      </c>
      <c r="Z27" s="14">
        <f>(VLOOKUP(B27,Data!$E:$BM,MATCH(yoy!$Z$1,Data!$E$1:$BM$1,),)-VLOOKUP(A27,Data!$E:$BM,MATCH(yoy!$Z$1,Data!$E$1:$BM$1,),))/VLOOKUP(A27,Data!$E:$BM,MATCH(yoy!$Z$1,Data!$E$1:$BM$1,),)</f>
        <v/>
      </c>
      <c r="AA27" s="14">
        <f>(VLOOKUP(B27,Data!$E:$BM,MATCH(yoy!$AA$1,Data!$E$1:$BM$1,),)-VLOOKUP(A27,Data!$E:$BM,MATCH(yoy!$AA$1,Data!$E$1:$BM$1,),))/VLOOKUP(A27,Data!$E:$BM,MATCH(yoy!$AA$1,Data!$E$1:$BM$1,),)</f>
        <v/>
      </c>
    </row>
    <row r="28">
      <c r="A28" s="20">
        <f>DATE(YEAR(B28)-1,MONTH(B28),DAY(B28))</f>
        <v/>
      </c>
      <c r="B28" s="12" t="n">
        <v>42705</v>
      </c>
      <c r="C28" s="14">
        <f>(VLOOKUP(B28,Data!$E:$BM,MATCH(yoy!$C$1,Data!$E$1:$BM$1,),)-VLOOKUP(A28,Data!$E:$BM,MATCH(yoy!$C$1,Data!$E$1:$BM$1,),))/VLOOKUP(A28,Data!$E:$BM,MATCH(yoy!$C$1,Data!$E$1:$BM$1,),)</f>
        <v/>
      </c>
      <c r="D28" s="14">
        <f>(VLOOKUP(B28,Data!$E:$BM,MATCH(yoy!$D$1,Data!$E$1:$BM$1,),)-VLOOKUP(A28,Data!$E:$BM,MATCH(yoy!$D$1,Data!$E$1:$BM$1,),))/VLOOKUP(A28,Data!$E:$BM,MATCH(yoy!$D$1,Data!$E$1:$BM$1,),)</f>
        <v/>
      </c>
      <c r="E28" s="14">
        <f>(VLOOKUP(B28,Data!$E:$BM,MATCH(yoy!$E$1,Data!$E$1:$BM$1,),)-VLOOKUP(A28,Data!$E:$BM,MATCH(yoy!$E$1,Data!$E$1:$BM$1,),))/VLOOKUP(A28,Data!$E:$BM,MATCH(yoy!$E$1,Data!$E$1:$BM$1,),)</f>
        <v/>
      </c>
      <c r="F28" s="14">
        <f>(VLOOKUP(B28,Data!$E:$BM,MATCH(yoy!$F$1,Data!$E$1:$BM$1,),)-VLOOKUP(A28,Data!$E:$BM,MATCH(yoy!$F$1,Data!$E$1:$BM$1,),))/VLOOKUP(A28,Data!$E:$BM,MATCH(yoy!$F$1,Data!$E$1:$BM$1,),)</f>
        <v/>
      </c>
      <c r="G28" s="14">
        <f>(VLOOKUP(B28,Data!$E:$BM,MATCH(yoy!$G$1,Data!$E$1:$BM$1,),)-VLOOKUP(A28,Data!$E:$BM,MATCH(yoy!$G$1,Data!$E$1:$BM$1,),))/VLOOKUP(A28,Data!$E:$BM,MATCH(yoy!$G$1,Data!$E$1:$BM$1,),)</f>
        <v/>
      </c>
      <c r="H28" s="14">
        <f>(VLOOKUP(B28,Data!$E:$BM,MATCH(yoy!$H$1,Data!$E$1:$BM$1,),)-VLOOKUP(A28,Data!$E:$BM,MATCH(yoy!$H$1,Data!$E$1:$BM$1,),))/VLOOKUP(A28,Data!$E:$BM,MATCH(yoy!$H$1,Data!$E$1:$BM$1,),)</f>
        <v/>
      </c>
      <c r="I28" s="14">
        <f>(VLOOKUP(B28,Data!$E:$BM,MATCH(yoy!$I$1,Data!$E$1:$BM$1,),)-VLOOKUP(A28,Data!$E:$BM,MATCH(yoy!$I$1,Data!$E$1:$BM$1,),))/VLOOKUP(A28,Data!$E:$BM,MATCH(yoy!$I$1,Data!$E$1:$BM$1,),)</f>
        <v/>
      </c>
      <c r="J28" s="14">
        <f>(VLOOKUP(B28,Data!$E:$BM,MATCH(yoy!$J$1,Data!$E$1:$BM$1,),)-VLOOKUP(A28,Data!$E:$BM,MATCH(yoy!$J$1,Data!$E$1:$BM$1,),))/VLOOKUP(A28,Data!$E:$BM,MATCH(yoy!$J$1,Data!$E$1:$BM$1,),)</f>
        <v/>
      </c>
      <c r="K28" s="14">
        <f>(VLOOKUP(B28,Data!$E:$BM,MATCH(yoy!$K$1,Data!$E$1:$BM$1,),)-VLOOKUP(A28,Data!$E:$BM,MATCH(yoy!$K$1,Data!$E$1:$BM$1,),))/VLOOKUP(A28,Data!$E:$BM,MATCH(yoy!$K$1,Data!$E$1:$BM$1,),)</f>
        <v/>
      </c>
      <c r="L28" s="14">
        <f>(VLOOKUP(B28,Data!$E:$BM,MATCH(yoy!$L$1,Data!$E$1:$BM$1,),)-VLOOKUP(A28,Data!$E:$BM,MATCH(yoy!$L$1,Data!$E$1:$BM$1,),))/VLOOKUP(A28,Data!$E:$BM,MATCH(yoy!$L$1,Data!$E$1:$BM$1,),)</f>
        <v/>
      </c>
      <c r="M28" s="14">
        <f>(VLOOKUP(B28,Data!$E:$BM,MATCH(yoy!$M$1,Data!$E$1:$BM$1,),)-VLOOKUP(A28,Data!$E:$BM,MATCH(yoy!$M$1,Data!$E$1:$BM$1,),))/VLOOKUP(A28,Data!$E:$BM,MATCH(yoy!$M$1,Data!$E$1:$BM$1,),)</f>
        <v/>
      </c>
      <c r="N28" s="14">
        <f>(VLOOKUP(B28,Data!$E:$BM,MATCH(yoy!$N$1,Data!$E$1:$BM$1,),)-VLOOKUP(A28,Data!$E:$BM,MATCH(yoy!$N$1,Data!$E$1:$BM$1,),))/VLOOKUP(A28,Data!$E:$BM,MATCH(yoy!$N$1,Data!$E$1:$BM$1,),)</f>
        <v/>
      </c>
      <c r="O28" s="14">
        <f>(VLOOKUP(B28,Data!$E:$BM,MATCH(yoy!$O$1,Data!$E$1:$BM$1,),)-VLOOKUP(A28,Data!$E:$BM,MATCH(yoy!$O$1,Data!$E$1:$BM$1,),))/VLOOKUP(A28,Data!$E:$BM,MATCH(yoy!$O$1,Data!$E$1:$BM$1,),)</f>
        <v/>
      </c>
      <c r="P28" s="14">
        <f>(VLOOKUP(B28,Data!$E:$BM,MATCH(yoy!$P$1,Data!$E$1:$BM$1,),)-VLOOKUP(A28,Data!$E:$BM,MATCH(yoy!$P$1,Data!$E$1:$BM$1,),))/VLOOKUP(A28,Data!$E:$BM,MATCH(yoy!$P$1,Data!$E$1:$BM$1,),)</f>
        <v/>
      </c>
      <c r="Q28" s="14">
        <f>(VLOOKUP(B28,Data!$E:$BM,MATCH(yoy!$Q$1,Data!$E$1:$BM$1,),)-VLOOKUP(A28,Data!$E:$BM,MATCH(yoy!$Q$1,Data!$E$1:$BM$1,),))/VLOOKUP(A28,Data!$E:$BM,MATCH(yoy!$Q$1,Data!$E$1:$BM$1,),)</f>
        <v/>
      </c>
      <c r="R28" s="14">
        <f>(VLOOKUP(B28,Data!$E:$BM,MATCH(yoy!$R$1,Data!$E$1:$BM$1,),)-VLOOKUP(A28,Data!$E:$BM,MATCH(yoy!$R$1,Data!$E$1:$BM$1,),))/VLOOKUP(A28,Data!$E:$BM,MATCH(yoy!$R$1,Data!$E$1:$BM$1,),)</f>
        <v/>
      </c>
      <c r="S28" s="14">
        <f>(VLOOKUP(B28,Data!$E:$BM,MATCH(yoy!$S$1,Data!$E$1:$BM$1,),)-VLOOKUP(A28,Data!$E:$BM,MATCH(yoy!$S$1,Data!$E$1:$BM$1,),))/VLOOKUP(A28,Data!$E:$BM,MATCH(yoy!$S$1,Data!$E$1:$BM$1,),)</f>
        <v/>
      </c>
      <c r="T28" s="14">
        <f>(VLOOKUP(B28,Data!$E:$BM,MATCH(yoy!$T$1,Data!$E$1:$BM$1,),)-VLOOKUP(A28,Data!$E:$BM,MATCH(yoy!$T$1,Data!$E$1:$BM$1,),))/VLOOKUP(A28,Data!$E:$BM,MATCH(yoy!$T$1,Data!$E$1:$BM$1,),)</f>
        <v/>
      </c>
      <c r="U28" s="14">
        <f>(VLOOKUP(B28,Data!$E:$BM,MATCH(yoy!$U$1,Data!$E$1:$BM$1,),)-VLOOKUP(A28,Data!$E:$BM,MATCH(yoy!$U$1,Data!$E$1:$BM$1,),))/VLOOKUP(A28,Data!$E:$BM,MATCH(yoy!$U$1,Data!$E$1:$BM$1,),)</f>
        <v/>
      </c>
      <c r="V28" s="14">
        <f>(VLOOKUP(B28,Data!$E:$BM,MATCH(yoy!$V$1,Data!$E$1:$BM$1,),)-VLOOKUP(A28,Data!$E:$BM,MATCH(yoy!$V$1,Data!$E$1:$BM$1,),))/VLOOKUP(A28,Data!$E:$BM,MATCH(yoy!$V$1,Data!$E$1:$BM$1,),)</f>
        <v/>
      </c>
      <c r="W28" s="14">
        <f>(VLOOKUP(B28,Data!$E:$BM,MATCH(yoy!$W$1,Data!$E$1:$BM$1,),)-VLOOKUP(A28,Data!$E:$BM,MATCH(yoy!$W$1,Data!$E$1:$BM$1,),))/VLOOKUP(A28,Data!$E:$BM,MATCH(yoy!$W$1,Data!$E$1:$BM$1,),)</f>
        <v/>
      </c>
      <c r="X28" s="14">
        <f>(VLOOKUP(B28,Data!$E:$BM,MATCH(yoy!$X$1,Data!$E$1:$BM$1,),)-VLOOKUP(A28,Data!$E:$BM,MATCH(yoy!$X$1,Data!$E$1:$BM$1,),))/VLOOKUP(A28,Data!$E:$BM,MATCH(yoy!$X$1,Data!$E$1:$BM$1,),)</f>
        <v/>
      </c>
      <c r="Y28" s="14">
        <f>(VLOOKUP(B28,Data!$E:$BM,MATCH(yoy!$Y$1,Data!$E$1:$BM$1,),)-VLOOKUP(A28,Data!$E:$BM,MATCH(yoy!$Y$1,Data!$E$1:$BM$1,),))/VLOOKUP(A28,Data!$E:$BM,MATCH(yoy!$Y$1,Data!$E$1:$BM$1,),)</f>
        <v/>
      </c>
      <c r="Z28" s="14">
        <f>(VLOOKUP(B28,Data!$E:$BM,MATCH(yoy!$Z$1,Data!$E$1:$BM$1,),)-VLOOKUP(A28,Data!$E:$BM,MATCH(yoy!$Z$1,Data!$E$1:$BM$1,),))/VLOOKUP(A28,Data!$E:$BM,MATCH(yoy!$Z$1,Data!$E$1:$BM$1,),)</f>
        <v/>
      </c>
      <c r="AA28" s="14">
        <f>(VLOOKUP(B28,Data!$E:$BM,MATCH(yoy!$AA$1,Data!$E$1:$BM$1,),)-VLOOKUP(A28,Data!$E:$BM,MATCH(yoy!$AA$1,Data!$E$1:$BM$1,),))/VLOOKUP(A28,Data!$E:$BM,MATCH(yoy!$AA$1,Data!$E$1:$BM$1,),)</f>
        <v/>
      </c>
    </row>
    <row r="29">
      <c r="A29" s="20">
        <f>DATE(YEAR(B29)-1,MONTH(B29),DAY(B29))</f>
        <v/>
      </c>
      <c r="B29" s="12" t="n">
        <v>42736</v>
      </c>
      <c r="C29" s="14">
        <f>(VLOOKUP(B29,Data!$E:$BM,MATCH(yoy!$C$1,Data!$E$1:$BM$1,),)-VLOOKUP(A29,Data!$E:$BM,MATCH(yoy!$C$1,Data!$E$1:$BM$1,),))/VLOOKUP(A29,Data!$E:$BM,MATCH(yoy!$C$1,Data!$E$1:$BM$1,),)</f>
        <v/>
      </c>
      <c r="D29" s="14">
        <f>(VLOOKUP(B29,Data!$E:$BM,MATCH(yoy!$D$1,Data!$E$1:$BM$1,),)-VLOOKUP(A29,Data!$E:$BM,MATCH(yoy!$D$1,Data!$E$1:$BM$1,),))/VLOOKUP(A29,Data!$E:$BM,MATCH(yoy!$D$1,Data!$E$1:$BM$1,),)</f>
        <v/>
      </c>
      <c r="E29" s="14">
        <f>(VLOOKUP(B29,Data!$E:$BM,MATCH(yoy!$E$1,Data!$E$1:$BM$1,),)-VLOOKUP(A29,Data!$E:$BM,MATCH(yoy!$E$1,Data!$E$1:$BM$1,),))/VLOOKUP(A29,Data!$E:$BM,MATCH(yoy!$E$1,Data!$E$1:$BM$1,),)</f>
        <v/>
      </c>
      <c r="F29" s="14">
        <f>(VLOOKUP(B29,Data!$E:$BM,MATCH(yoy!$F$1,Data!$E$1:$BM$1,),)-VLOOKUP(A29,Data!$E:$BM,MATCH(yoy!$F$1,Data!$E$1:$BM$1,),))/VLOOKUP(A29,Data!$E:$BM,MATCH(yoy!$F$1,Data!$E$1:$BM$1,),)</f>
        <v/>
      </c>
      <c r="G29" s="14">
        <f>(VLOOKUP(B29,Data!$E:$BM,MATCH(yoy!$G$1,Data!$E$1:$BM$1,),)-VLOOKUP(A29,Data!$E:$BM,MATCH(yoy!$G$1,Data!$E$1:$BM$1,),))/VLOOKUP(A29,Data!$E:$BM,MATCH(yoy!$G$1,Data!$E$1:$BM$1,),)</f>
        <v/>
      </c>
      <c r="H29" s="14">
        <f>(VLOOKUP(B29,Data!$E:$BM,MATCH(yoy!$H$1,Data!$E$1:$BM$1,),)-VLOOKUP(A29,Data!$E:$BM,MATCH(yoy!$H$1,Data!$E$1:$BM$1,),))/VLOOKUP(A29,Data!$E:$BM,MATCH(yoy!$H$1,Data!$E$1:$BM$1,),)</f>
        <v/>
      </c>
      <c r="I29" s="14">
        <f>(VLOOKUP(B29,Data!$E:$BM,MATCH(yoy!$I$1,Data!$E$1:$BM$1,),)-VLOOKUP(A29,Data!$E:$BM,MATCH(yoy!$I$1,Data!$E$1:$BM$1,),))/VLOOKUP(A29,Data!$E:$BM,MATCH(yoy!$I$1,Data!$E$1:$BM$1,),)</f>
        <v/>
      </c>
      <c r="J29" s="14">
        <f>(VLOOKUP(B29,Data!$E:$BM,MATCH(yoy!$J$1,Data!$E$1:$BM$1,),)-VLOOKUP(A29,Data!$E:$BM,MATCH(yoy!$J$1,Data!$E$1:$BM$1,),))/VLOOKUP(A29,Data!$E:$BM,MATCH(yoy!$J$1,Data!$E$1:$BM$1,),)</f>
        <v/>
      </c>
      <c r="K29" s="14">
        <f>(VLOOKUP(B29,Data!$E:$BM,MATCH(yoy!$K$1,Data!$E$1:$BM$1,),)-VLOOKUP(A29,Data!$E:$BM,MATCH(yoy!$K$1,Data!$E$1:$BM$1,),))/VLOOKUP(A29,Data!$E:$BM,MATCH(yoy!$K$1,Data!$E$1:$BM$1,),)</f>
        <v/>
      </c>
      <c r="L29" s="14">
        <f>(VLOOKUP(B29,Data!$E:$BM,MATCH(yoy!$L$1,Data!$E$1:$BM$1,),)-VLOOKUP(A29,Data!$E:$BM,MATCH(yoy!$L$1,Data!$E$1:$BM$1,),))/VLOOKUP(A29,Data!$E:$BM,MATCH(yoy!$L$1,Data!$E$1:$BM$1,),)</f>
        <v/>
      </c>
      <c r="M29" s="14">
        <f>(VLOOKUP(B29,Data!$E:$BM,MATCH(yoy!$M$1,Data!$E$1:$BM$1,),)-VLOOKUP(A29,Data!$E:$BM,MATCH(yoy!$M$1,Data!$E$1:$BM$1,),))/VLOOKUP(A29,Data!$E:$BM,MATCH(yoy!$M$1,Data!$E$1:$BM$1,),)</f>
        <v/>
      </c>
      <c r="N29" s="14">
        <f>(VLOOKUP(B29,Data!$E:$BM,MATCH(yoy!$N$1,Data!$E$1:$BM$1,),)-VLOOKUP(A29,Data!$E:$BM,MATCH(yoy!$N$1,Data!$E$1:$BM$1,),))/VLOOKUP(A29,Data!$E:$BM,MATCH(yoy!$N$1,Data!$E$1:$BM$1,),)</f>
        <v/>
      </c>
      <c r="O29" s="14">
        <f>(VLOOKUP(B29,Data!$E:$BM,MATCH(yoy!$O$1,Data!$E$1:$BM$1,),)-VLOOKUP(A29,Data!$E:$BM,MATCH(yoy!$O$1,Data!$E$1:$BM$1,),))/VLOOKUP(A29,Data!$E:$BM,MATCH(yoy!$O$1,Data!$E$1:$BM$1,),)</f>
        <v/>
      </c>
      <c r="P29" s="14">
        <f>(VLOOKUP(B29,Data!$E:$BM,MATCH(yoy!$P$1,Data!$E$1:$BM$1,),)-VLOOKUP(A29,Data!$E:$BM,MATCH(yoy!$P$1,Data!$E$1:$BM$1,),))/VLOOKUP(A29,Data!$E:$BM,MATCH(yoy!$P$1,Data!$E$1:$BM$1,),)</f>
        <v/>
      </c>
      <c r="Q29" s="14">
        <f>(VLOOKUP(B29,Data!$E:$BM,MATCH(yoy!$Q$1,Data!$E$1:$BM$1,),)-VLOOKUP(A29,Data!$E:$BM,MATCH(yoy!$Q$1,Data!$E$1:$BM$1,),))/VLOOKUP(A29,Data!$E:$BM,MATCH(yoy!$Q$1,Data!$E$1:$BM$1,),)</f>
        <v/>
      </c>
      <c r="R29" s="14">
        <f>(VLOOKUP(B29,Data!$E:$BM,MATCH(yoy!$R$1,Data!$E$1:$BM$1,),)-VLOOKUP(A29,Data!$E:$BM,MATCH(yoy!$R$1,Data!$E$1:$BM$1,),))/VLOOKUP(A29,Data!$E:$BM,MATCH(yoy!$R$1,Data!$E$1:$BM$1,),)</f>
        <v/>
      </c>
      <c r="S29" s="14">
        <f>(VLOOKUP(B29,Data!$E:$BM,MATCH(yoy!$S$1,Data!$E$1:$BM$1,),)-VLOOKUP(A29,Data!$E:$BM,MATCH(yoy!$S$1,Data!$E$1:$BM$1,),))/VLOOKUP(A29,Data!$E:$BM,MATCH(yoy!$S$1,Data!$E$1:$BM$1,),)</f>
        <v/>
      </c>
      <c r="T29" s="14">
        <f>(VLOOKUP(B29,Data!$E:$BM,MATCH(yoy!$T$1,Data!$E$1:$BM$1,),)-VLOOKUP(A29,Data!$E:$BM,MATCH(yoy!$T$1,Data!$E$1:$BM$1,),))/VLOOKUP(A29,Data!$E:$BM,MATCH(yoy!$T$1,Data!$E$1:$BM$1,),)</f>
        <v/>
      </c>
      <c r="U29" s="14">
        <f>(VLOOKUP(B29,Data!$E:$BM,MATCH(yoy!$U$1,Data!$E$1:$BM$1,),)-VLOOKUP(A29,Data!$E:$BM,MATCH(yoy!$U$1,Data!$E$1:$BM$1,),))/VLOOKUP(A29,Data!$E:$BM,MATCH(yoy!$U$1,Data!$E$1:$BM$1,),)</f>
        <v/>
      </c>
      <c r="V29" s="14">
        <f>(VLOOKUP(B29,Data!$E:$BM,MATCH(yoy!$V$1,Data!$E$1:$BM$1,),)-VLOOKUP(A29,Data!$E:$BM,MATCH(yoy!$V$1,Data!$E$1:$BM$1,),))/VLOOKUP(A29,Data!$E:$BM,MATCH(yoy!$V$1,Data!$E$1:$BM$1,),)</f>
        <v/>
      </c>
      <c r="W29" s="14">
        <f>(VLOOKUP(B29,Data!$E:$BM,MATCH(yoy!$W$1,Data!$E$1:$BM$1,),)-VLOOKUP(A29,Data!$E:$BM,MATCH(yoy!$W$1,Data!$E$1:$BM$1,),))/VLOOKUP(A29,Data!$E:$BM,MATCH(yoy!$W$1,Data!$E$1:$BM$1,),)</f>
        <v/>
      </c>
      <c r="X29" s="14">
        <f>(VLOOKUP(B29,Data!$E:$BM,MATCH(yoy!$X$1,Data!$E$1:$BM$1,),)-VLOOKUP(A29,Data!$E:$BM,MATCH(yoy!$X$1,Data!$E$1:$BM$1,),))/VLOOKUP(A29,Data!$E:$BM,MATCH(yoy!$X$1,Data!$E$1:$BM$1,),)</f>
        <v/>
      </c>
      <c r="Y29" s="14">
        <f>(VLOOKUP(B29,Data!$E:$BM,MATCH(yoy!$Y$1,Data!$E$1:$BM$1,),)-VLOOKUP(A29,Data!$E:$BM,MATCH(yoy!$Y$1,Data!$E$1:$BM$1,),))/VLOOKUP(A29,Data!$E:$BM,MATCH(yoy!$Y$1,Data!$E$1:$BM$1,),)</f>
        <v/>
      </c>
      <c r="Z29" s="14">
        <f>(VLOOKUP(B29,Data!$E:$BM,MATCH(yoy!$Z$1,Data!$E$1:$BM$1,),)-VLOOKUP(A29,Data!$E:$BM,MATCH(yoy!$Z$1,Data!$E$1:$BM$1,),))/VLOOKUP(A29,Data!$E:$BM,MATCH(yoy!$Z$1,Data!$E$1:$BM$1,),)</f>
        <v/>
      </c>
      <c r="AA29" s="14">
        <f>(VLOOKUP(B29,Data!$E:$BM,MATCH(yoy!$AA$1,Data!$E$1:$BM$1,),)-VLOOKUP(A29,Data!$E:$BM,MATCH(yoy!$AA$1,Data!$E$1:$BM$1,),))/VLOOKUP(A29,Data!$E:$BM,MATCH(yoy!$AA$1,Data!$E$1:$BM$1,),)</f>
        <v/>
      </c>
    </row>
    <row r="30">
      <c r="A30" s="20">
        <f>DATE(YEAR(B30)-1,MONTH(B30),DAY(B30))</f>
        <v/>
      </c>
      <c r="B30" s="12" t="n">
        <v>42767</v>
      </c>
      <c r="C30" s="14">
        <f>(VLOOKUP(B30,Data!$E:$BM,MATCH(yoy!$C$1,Data!$E$1:$BM$1,),)-VLOOKUP(A30,Data!$E:$BM,MATCH(yoy!$C$1,Data!$E$1:$BM$1,),))/VLOOKUP(A30,Data!$E:$BM,MATCH(yoy!$C$1,Data!$E$1:$BM$1,),)</f>
        <v/>
      </c>
      <c r="D30" s="14">
        <f>(VLOOKUP(B30,Data!$E:$BM,MATCH(yoy!$D$1,Data!$E$1:$BM$1,),)-VLOOKUP(A30,Data!$E:$BM,MATCH(yoy!$D$1,Data!$E$1:$BM$1,),))/VLOOKUP(A30,Data!$E:$BM,MATCH(yoy!$D$1,Data!$E$1:$BM$1,),)</f>
        <v/>
      </c>
      <c r="E30" s="14">
        <f>(VLOOKUP(B30,Data!$E:$BM,MATCH(yoy!$E$1,Data!$E$1:$BM$1,),)-VLOOKUP(A30,Data!$E:$BM,MATCH(yoy!$E$1,Data!$E$1:$BM$1,),))/VLOOKUP(A30,Data!$E:$BM,MATCH(yoy!$E$1,Data!$E$1:$BM$1,),)</f>
        <v/>
      </c>
      <c r="F30" s="14">
        <f>(VLOOKUP(B30,Data!$E:$BM,MATCH(yoy!$F$1,Data!$E$1:$BM$1,),)-VLOOKUP(A30,Data!$E:$BM,MATCH(yoy!$F$1,Data!$E$1:$BM$1,),))/VLOOKUP(A30,Data!$E:$BM,MATCH(yoy!$F$1,Data!$E$1:$BM$1,),)</f>
        <v/>
      </c>
      <c r="G30" s="14">
        <f>(VLOOKUP(B30,Data!$E:$BM,MATCH(yoy!$G$1,Data!$E$1:$BM$1,),)-VLOOKUP(A30,Data!$E:$BM,MATCH(yoy!$G$1,Data!$E$1:$BM$1,),))/VLOOKUP(A30,Data!$E:$BM,MATCH(yoy!$G$1,Data!$E$1:$BM$1,),)</f>
        <v/>
      </c>
      <c r="H30" s="14">
        <f>(VLOOKUP(B30,Data!$E:$BM,MATCH(yoy!$H$1,Data!$E$1:$BM$1,),)-VLOOKUP(A30,Data!$E:$BM,MATCH(yoy!$H$1,Data!$E$1:$BM$1,),))/VLOOKUP(A30,Data!$E:$BM,MATCH(yoy!$H$1,Data!$E$1:$BM$1,),)</f>
        <v/>
      </c>
      <c r="I30" s="14">
        <f>(VLOOKUP(B30,Data!$E:$BM,MATCH(yoy!$I$1,Data!$E$1:$BM$1,),)-VLOOKUP(A30,Data!$E:$BM,MATCH(yoy!$I$1,Data!$E$1:$BM$1,),))/VLOOKUP(A30,Data!$E:$BM,MATCH(yoy!$I$1,Data!$E$1:$BM$1,),)</f>
        <v/>
      </c>
      <c r="J30" s="14">
        <f>(VLOOKUP(B30,Data!$E:$BM,MATCH(yoy!$J$1,Data!$E$1:$BM$1,),)-VLOOKUP(A30,Data!$E:$BM,MATCH(yoy!$J$1,Data!$E$1:$BM$1,),))/VLOOKUP(A30,Data!$E:$BM,MATCH(yoy!$J$1,Data!$E$1:$BM$1,),)</f>
        <v/>
      </c>
      <c r="K30" s="14">
        <f>(VLOOKUP(B30,Data!$E:$BM,MATCH(yoy!$K$1,Data!$E$1:$BM$1,),)-VLOOKUP(A30,Data!$E:$BM,MATCH(yoy!$K$1,Data!$E$1:$BM$1,),))/VLOOKUP(A30,Data!$E:$BM,MATCH(yoy!$K$1,Data!$E$1:$BM$1,),)</f>
        <v/>
      </c>
      <c r="L30" s="14">
        <f>(VLOOKUP(B30,Data!$E:$BM,MATCH(yoy!$L$1,Data!$E$1:$BM$1,),)-VLOOKUP(A30,Data!$E:$BM,MATCH(yoy!$L$1,Data!$E$1:$BM$1,),))/VLOOKUP(A30,Data!$E:$BM,MATCH(yoy!$L$1,Data!$E$1:$BM$1,),)</f>
        <v/>
      </c>
      <c r="M30" s="14">
        <f>(VLOOKUP(B30,Data!$E:$BM,MATCH(yoy!$M$1,Data!$E$1:$BM$1,),)-VLOOKUP(A30,Data!$E:$BM,MATCH(yoy!$M$1,Data!$E$1:$BM$1,),))/VLOOKUP(A30,Data!$E:$BM,MATCH(yoy!$M$1,Data!$E$1:$BM$1,),)</f>
        <v/>
      </c>
      <c r="N30" s="14">
        <f>(VLOOKUP(B30,Data!$E:$BM,MATCH(yoy!$N$1,Data!$E$1:$BM$1,),)-VLOOKUP(A30,Data!$E:$BM,MATCH(yoy!$N$1,Data!$E$1:$BM$1,),))/VLOOKUP(A30,Data!$E:$BM,MATCH(yoy!$N$1,Data!$E$1:$BM$1,),)</f>
        <v/>
      </c>
      <c r="O30" s="14">
        <f>(VLOOKUP(B30,Data!$E:$BM,MATCH(yoy!$O$1,Data!$E$1:$BM$1,),)-VLOOKUP(A30,Data!$E:$BM,MATCH(yoy!$O$1,Data!$E$1:$BM$1,),))/VLOOKUP(A30,Data!$E:$BM,MATCH(yoy!$O$1,Data!$E$1:$BM$1,),)</f>
        <v/>
      </c>
      <c r="P30" s="14">
        <f>(VLOOKUP(B30,Data!$E:$BM,MATCH(yoy!$P$1,Data!$E$1:$BM$1,),)-VLOOKUP(A30,Data!$E:$BM,MATCH(yoy!$P$1,Data!$E$1:$BM$1,),))/VLOOKUP(A30,Data!$E:$BM,MATCH(yoy!$P$1,Data!$E$1:$BM$1,),)</f>
        <v/>
      </c>
      <c r="Q30" s="14">
        <f>(VLOOKUP(B30,Data!$E:$BM,MATCH(yoy!$Q$1,Data!$E$1:$BM$1,),)-VLOOKUP(A30,Data!$E:$BM,MATCH(yoy!$Q$1,Data!$E$1:$BM$1,),))/VLOOKUP(A30,Data!$E:$BM,MATCH(yoy!$Q$1,Data!$E$1:$BM$1,),)</f>
        <v/>
      </c>
      <c r="R30" s="14">
        <f>(VLOOKUP(B30,Data!$E:$BM,MATCH(yoy!$R$1,Data!$E$1:$BM$1,),)-VLOOKUP(A30,Data!$E:$BM,MATCH(yoy!$R$1,Data!$E$1:$BM$1,),))/VLOOKUP(A30,Data!$E:$BM,MATCH(yoy!$R$1,Data!$E$1:$BM$1,),)</f>
        <v/>
      </c>
      <c r="S30" s="14">
        <f>(VLOOKUP(B30,Data!$E:$BM,MATCH(yoy!$S$1,Data!$E$1:$BM$1,),)-VLOOKUP(A30,Data!$E:$BM,MATCH(yoy!$S$1,Data!$E$1:$BM$1,),))/VLOOKUP(A30,Data!$E:$BM,MATCH(yoy!$S$1,Data!$E$1:$BM$1,),)</f>
        <v/>
      </c>
      <c r="T30" s="14">
        <f>(VLOOKUP(B30,Data!$E:$BM,MATCH(yoy!$T$1,Data!$E$1:$BM$1,),)-VLOOKUP(A30,Data!$E:$BM,MATCH(yoy!$T$1,Data!$E$1:$BM$1,),))/VLOOKUP(A30,Data!$E:$BM,MATCH(yoy!$T$1,Data!$E$1:$BM$1,),)</f>
        <v/>
      </c>
      <c r="U30" s="14">
        <f>(VLOOKUP(B30,Data!$E:$BM,MATCH(yoy!$U$1,Data!$E$1:$BM$1,),)-VLOOKUP(A30,Data!$E:$BM,MATCH(yoy!$U$1,Data!$E$1:$BM$1,),))/VLOOKUP(A30,Data!$E:$BM,MATCH(yoy!$U$1,Data!$E$1:$BM$1,),)</f>
        <v/>
      </c>
      <c r="V30" s="14">
        <f>(VLOOKUP(B30,Data!$E:$BM,MATCH(yoy!$V$1,Data!$E$1:$BM$1,),)-VLOOKUP(A30,Data!$E:$BM,MATCH(yoy!$V$1,Data!$E$1:$BM$1,),))/VLOOKUP(A30,Data!$E:$BM,MATCH(yoy!$V$1,Data!$E$1:$BM$1,),)</f>
        <v/>
      </c>
      <c r="W30" s="14">
        <f>(VLOOKUP(B30,Data!$E:$BM,MATCH(yoy!$W$1,Data!$E$1:$BM$1,),)-VLOOKUP(A30,Data!$E:$BM,MATCH(yoy!$W$1,Data!$E$1:$BM$1,),))/VLOOKUP(A30,Data!$E:$BM,MATCH(yoy!$W$1,Data!$E$1:$BM$1,),)</f>
        <v/>
      </c>
      <c r="X30" s="14">
        <f>(VLOOKUP(B30,Data!$E:$BM,MATCH(yoy!$X$1,Data!$E$1:$BM$1,),)-VLOOKUP(A30,Data!$E:$BM,MATCH(yoy!$X$1,Data!$E$1:$BM$1,),))/VLOOKUP(A30,Data!$E:$BM,MATCH(yoy!$X$1,Data!$E$1:$BM$1,),)</f>
        <v/>
      </c>
      <c r="Y30" s="14">
        <f>(VLOOKUP(B30,Data!$E:$BM,MATCH(yoy!$Y$1,Data!$E$1:$BM$1,),)-VLOOKUP(A30,Data!$E:$BM,MATCH(yoy!$Y$1,Data!$E$1:$BM$1,),))/VLOOKUP(A30,Data!$E:$BM,MATCH(yoy!$Y$1,Data!$E$1:$BM$1,),)</f>
        <v/>
      </c>
      <c r="Z30" s="14">
        <f>(VLOOKUP(B30,Data!$E:$BM,MATCH(yoy!$Z$1,Data!$E$1:$BM$1,),)-VLOOKUP(A30,Data!$E:$BM,MATCH(yoy!$Z$1,Data!$E$1:$BM$1,),))/VLOOKUP(A30,Data!$E:$BM,MATCH(yoy!$Z$1,Data!$E$1:$BM$1,),)</f>
        <v/>
      </c>
      <c r="AA30" s="14">
        <f>(VLOOKUP(B30,Data!$E:$BM,MATCH(yoy!$AA$1,Data!$E$1:$BM$1,),)-VLOOKUP(A30,Data!$E:$BM,MATCH(yoy!$AA$1,Data!$E$1:$BM$1,),))/VLOOKUP(A30,Data!$E:$BM,MATCH(yoy!$AA$1,Data!$E$1:$BM$1,),)</f>
        <v/>
      </c>
    </row>
    <row r="31">
      <c r="A31" s="20">
        <f>DATE(YEAR(B31)-1,MONTH(B31),DAY(B31))</f>
        <v/>
      </c>
      <c r="B31" s="12" t="n">
        <v>42795</v>
      </c>
      <c r="C31" s="14">
        <f>(VLOOKUP(B31,Data!$E:$BM,MATCH(yoy!$C$1,Data!$E$1:$BM$1,),)-VLOOKUP(A31,Data!$E:$BM,MATCH(yoy!$C$1,Data!$E$1:$BM$1,),))/VLOOKUP(A31,Data!$E:$BM,MATCH(yoy!$C$1,Data!$E$1:$BM$1,),)</f>
        <v/>
      </c>
      <c r="D31" s="14">
        <f>(VLOOKUP(B31,Data!$E:$BM,MATCH(yoy!$D$1,Data!$E$1:$BM$1,),)-VLOOKUP(A31,Data!$E:$BM,MATCH(yoy!$D$1,Data!$E$1:$BM$1,),))/VLOOKUP(A31,Data!$E:$BM,MATCH(yoy!$D$1,Data!$E$1:$BM$1,),)</f>
        <v/>
      </c>
      <c r="E31" s="14">
        <f>(VLOOKUP(B31,Data!$E:$BM,MATCH(yoy!$E$1,Data!$E$1:$BM$1,),)-VLOOKUP(A31,Data!$E:$BM,MATCH(yoy!$E$1,Data!$E$1:$BM$1,),))/VLOOKUP(A31,Data!$E:$BM,MATCH(yoy!$E$1,Data!$E$1:$BM$1,),)</f>
        <v/>
      </c>
      <c r="F31" s="14">
        <f>(VLOOKUP(B31,Data!$E:$BM,MATCH(yoy!$F$1,Data!$E$1:$BM$1,),)-VLOOKUP(A31,Data!$E:$BM,MATCH(yoy!$F$1,Data!$E$1:$BM$1,),))/VLOOKUP(A31,Data!$E:$BM,MATCH(yoy!$F$1,Data!$E$1:$BM$1,),)</f>
        <v/>
      </c>
      <c r="G31" s="14">
        <f>(VLOOKUP(B31,Data!$E:$BM,MATCH(yoy!$G$1,Data!$E$1:$BM$1,),)-VLOOKUP(A31,Data!$E:$BM,MATCH(yoy!$G$1,Data!$E$1:$BM$1,),))/VLOOKUP(A31,Data!$E:$BM,MATCH(yoy!$G$1,Data!$E$1:$BM$1,),)</f>
        <v/>
      </c>
      <c r="H31" s="14">
        <f>(VLOOKUP(B31,Data!$E:$BM,MATCH(yoy!$H$1,Data!$E$1:$BM$1,),)-VLOOKUP(A31,Data!$E:$BM,MATCH(yoy!$H$1,Data!$E$1:$BM$1,),))/VLOOKUP(A31,Data!$E:$BM,MATCH(yoy!$H$1,Data!$E$1:$BM$1,),)</f>
        <v/>
      </c>
      <c r="I31" s="14">
        <f>(VLOOKUP(B31,Data!$E:$BM,MATCH(yoy!$I$1,Data!$E$1:$BM$1,),)-VLOOKUP(A31,Data!$E:$BM,MATCH(yoy!$I$1,Data!$E$1:$BM$1,),))/VLOOKUP(A31,Data!$E:$BM,MATCH(yoy!$I$1,Data!$E$1:$BM$1,),)</f>
        <v/>
      </c>
      <c r="J31" s="14">
        <f>(VLOOKUP(B31,Data!$E:$BM,MATCH(yoy!$J$1,Data!$E$1:$BM$1,),)-VLOOKUP(A31,Data!$E:$BM,MATCH(yoy!$J$1,Data!$E$1:$BM$1,),))/VLOOKUP(A31,Data!$E:$BM,MATCH(yoy!$J$1,Data!$E$1:$BM$1,),)</f>
        <v/>
      </c>
      <c r="K31" s="14">
        <f>(VLOOKUP(B31,Data!$E:$BM,MATCH(yoy!$K$1,Data!$E$1:$BM$1,),)-VLOOKUP(A31,Data!$E:$BM,MATCH(yoy!$K$1,Data!$E$1:$BM$1,),))/VLOOKUP(A31,Data!$E:$BM,MATCH(yoy!$K$1,Data!$E$1:$BM$1,),)</f>
        <v/>
      </c>
      <c r="L31" s="14">
        <f>(VLOOKUP(B31,Data!$E:$BM,MATCH(yoy!$L$1,Data!$E$1:$BM$1,),)-VLOOKUP(A31,Data!$E:$BM,MATCH(yoy!$L$1,Data!$E$1:$BM$1,),))/VLOOKUP(A31,Data!$E:$BM,MATCH(yoy!$L$1,Data!$E$1:$BM$1,),)</f>
        <v/>
      </c>
      <c r="M31" s="14">
        <f>(VLOOKUP(B31,Data!$E:$BM,MATCH(yoy!$M$1,Data!$E$1:$BM$1,),)-VLOOKUP(A31,Data!$E:$BM,MATCH(yoy!$M$1,Data!$E$1:$BM$1,),))/VLOOKUP(A31,Data!$E:$BM,MATCH(yoy!$M$1,Data!$E$1:$BM$1,),)</f>
        <v/>
      </c>
      <c r="N31" s="14">
        <f>(VLOOKUP(B31,Data!$E:$BM,MATCH(yoy!$N$1,Data!$E$1:$BM$1,),)-VLOOKUP(A31,Data!$E:$BM,MATCH(yoy!$N$1,Data!$E$1:$BM$1,),))/VLOOKUP(A31,Data!$E:$BM,MATCH(yoy!$N$1,Data!$E$1:$BM$1,),)</f>
        <v/>
      </c>
      <c r="O31" s="14">
        <f>(VLOOKUP(B31,Data!$E:$BM,MATCH(yoy!$O$1,Data!$E$1:$BM$1,),)-VLOOKUP(A31,Data!$E:$BM,MATCH(yoy!$O$1,Data!$E$1:$BM$1,),))/VLOOKUP(A31,Data!$E:$BM,MATCH(yoy!$O$1,Data!$E$1:$BM$1,),)</f>
        <v/>
      </c>
      <c r="P31" s="14">
        <f>(VLOOKUP(B31,Data!$E:$BM,MATCH(yoy!$P$1,Data!$E$1:$BM$1,),)-VLOOKUP(A31,Data!$E:$BM,MATCH(yoy!$P$1,Data!$E$1:$BM$1,),))/VLOOKUP(A31,Data!$E:$BM,MATCH(yoy!$P$1,Data!$E$1:$BM$1,),)</f>
        <v/>
      </c>
      <c r="Q31" s="14">
        <f>(VLOOKUP(B31,Data!$E:$BM,MATCH(yoy!$Q$1,Data!$E$1:$BM$1,),)-VLOOKUP(A31,Data!$E:$BM,MATCH(yoy!$Q$1,Data!$E$1:$BM$1,),))/VLOOKUP(A31,Data!$E:$BM,MATCH(yoy!$Q$1,Data!$E$1:$BM$1,),)</f>
        <v/>
      </c>
      <c r="R31" s="14">
        <f>(VLOOKUP(B31,Data!$E:$BM,MATCH(yoy!$R$1,Data!$E$1:$BM$1,),)-VLOOKUP(A31,Data!$E:$BM,MATCH(yoy!$R$1,Data!$E$1:$BM$1,),))/VLOOKUP(A31,Data!$E:$BM,MATCH(yoy!$R$1,Data!$E$1:$BM$1,),)</f>
        <v/>
      </c>
      <c r="S31" s="14">
        <f>(VLOOKUP(B31,Data!$E:$BM,MATCH(yoy!$S$1,Data!$E$1:$BM$1,),)-VLOOKUP(A31,Data!$E:$BM,MATCH(yoy!$S$1,Data!$E$1:$BM$1,),))/VLOOKUP(A31,Data!$E:$BM,MATCH(yoy!$S$1,Data!$E$1:$BM$1,),)</f>
        <v/>
      </c>
      <c r="T31" s="14">
        <f>(VLOOKUP(B31,Data!$E:$BM,MATCH(yoy!$T$1,Data!$E$1:$BM$1,),)-VLOOKUP(A31,Data!$E:$BM,MATCH(yoy!$T$1,Data!$E$1:$BM$1,),))/VLOOKUP(A31,Data!$E:$BM,MATCH(yoy!$T$1,Data!$E$1:$BM$1,),)</f>
        <v/>
      </c>
      <c r="U31" s="14">
        <f>(VLOOKUP(B31,Data!$E:$BM,MATCH(yoy!$U$1,Data!$E$1:$BM$1,),)-VLOOKUP(A31,Data!$E:$BM,MATCH(yoy!$U$1,Data!$E$1:$BM$1,),))/VLOOKUP(A31,Data!$E:$BM,MATCH(yoy!$U$1,Data!$E$1:$BM$1,),)</f>
        <v/>
      </c>
      <c r="V31" s="14">
        <f>(VLOOKUP(B31,Data!$E:$BM,MATCH(yoy!$V$1,Data!$E$1:$BM$1,),)-VLOOKUP(A31,Data!$E:$BM,MATCH(yoy!$V$1,Data!$E$1:$BM$1,),))/VLOOKUP(A31,Data!$E:$BM,MATCH(yoy!$V$1,Data!$E$1:$BM$1,),)</f>
        <v/>
      </c>
      <c r="W31" s="14">
        <f>(VLOOKUP(B31,Data!$E:$BM,MATCH(yoy!$W$1,Data!$E$1:$BM$1,),)-VLOOKUP(A31,Data!$E:$BM,MATCH(yoy!$W$1,Data!$E$1:$BM$1,),))/VLOOKUP(A31,Data!$E:$BM,MATCH(yoy!$W$1,Data!$E$1:$BM$1,),)</f>
        <v/>
      </c>
      <c r="X31" s="14">
        <f>(VLOOKUP(B31,Data!$E:$BM,MATCH(yoy!$X$1,Data!$E$1:$BM$1,),)-VLOOKUP(A31,Data!$E:$BM,MATCH(yoy!$X$1,Data!$E$1:$BM$1,),))/VLOOKUP(A31,Data!$E:$BM,MATCH(yoy!$X$1,Data!$E$1:$BM$1,),)</f>
        <v/>
      </c>
      <c r="Y31" s="14">
        <f>(VLOOKUP(B31,Data!$E:$BM,MATCH(yoy!$Y$1,Data!$E$1:$BM$1,),)-VLOOKUP(A31,Data!$E:$BM,MATCH(yoy!$Y$1,Data!$E$1:$BM$1,),))/VLOOKUP(A31,Data!$E:$BM,MATCH(yoy!$Y$1,Data!$E$1:$BM$1,),)</f>
        <v/>
      </c>
      <c r="Z31" s="14">
        <f>(VLOOKUP(B31,Data!$E:$BM,MATCH(yoy!$Z$1,Data!$E$1:$BM$1,),)-VLOOKUP(A31,Data!$E:$BM,MATCH(yoy!$Z$1,Data!$E$1:$BM$1,),))/VLOOKUP(A31,Data!$E:$BM,MATCH(yoy!$Z$1,Data!$E$1:$BM$1,),)</f>
        <v/>
      </c>
      <c r="AA31" s="14">
        <f>(VLOOKUP(B31,Data!$E:$BM,MATCH(yoy!$AA$1,Data!$E$1:$BM$1,),)-VLOOKUP(A31,Data!$E:$BM,MATCH(yoy!$AA$1,Data!$E$1:$BM$1,),))/VLOOKUP(A31,Data!$E:$BM,MATCH(yoy!$AA$1,Data!$E$1:$BM$1,),)</f>
        <v/>
      </c>
    </row>
    <row r="32">
      <c r="A32" s="20">
        <f>DATE(YEAR(B32)-1,MONTH(B32),DAY(B32))</f>
        <v/>
      </c>
      <c r="B32" s="12" t="n">
        <v>42826</v>
      </c>
      <c r="C32" s="14">
        <f>(VLOOKUP(B32,Data!$E:$BM,MATCH(yoy!$C$1,Data!$E$1:$BM$1,),)-VLOOKUP(A32,Data!$E:$BM,MATCH(yoy!$C$1,Data!$E$1:$BM$1,),))/VLOOKUP(A32,Data!$E:$BM,MATCH(yoy!$C$1,Data!$E$1:$BM$1,),)</f>
        <v/>
      </c>
      <c r="D32" s="14">
        <f>(VLOOKUP(B32,Data!$E:$BM,MATCH(yoy!$D$1,Data!$E$1:$BM$1,),)-VLOOKUP(A32,Data!$E:$BM,MATCH(yoy!$D$1,Data!$E$1:$BM$1,),))/VLOOKUP(A32,Data!$E:$BM,MATCH(yoy!$D$1,Data!$E$1:$BM$1,),)</f>
        <v/>
      </c>
      <c r="E32" s="14">
        <f>(VLOOKUP(B32,Data!$E:$BM,MATCH(yoy!$E$1,Data!$E$1:$BM$1,),)-VLOOKUP(A32,Data!$E:$BM,MATCH(yoy!$E$1,Data!$E$1:$BM$1,),))/VLOOKUP(A32,Data!$E:$BM,MATCH(yoy!$E$1,Data!$E$1:$BM$1,),)</f>
        <v/>
      </c>
      <c r="F32" s="14">
        <f>(VLOOKUP(B32,Data!$E:$BM,MATCH(yoy!$F$1,Data!$E$1:$BM$1,),)-VLOOKUP(A32,Data!$E:$BM,MATCH(yoy!$F$1,Data!$E$1:$BM$1,),))/VLOOKUP(A32,Data!$E:$BM,MATCH(yoy!$F$1,Data!$E$1:$BM$1,),)</f>
        <v/>
      </c>
      <c r="G32" s="14">
        <f>(VLOOKUP(B32,Data!$E:$BM,MATCH(yoy!$G$1,Data!$E$1:$BM$1,),)-VLOOKUP(A32,Data!$E:$BM,MATCH(yoy!$G$1,Data!$E$1:$BM$1,),))/VLOOKUP(A32,Data!$E:$BM,MATCH(yoy!$G$1,Data!$E$1:$BM$1,),)</f>
        <v/>
      </c>
      <c r="H32" s="14">
        <f>(VLOOKUP(B32,Data!$E:$BM,MATCH(yoy!$H$1,Data!$E$1:$BM$1,),)-VLOOKUP(A32,Data!$E:$BM,MATCH(yoy!$H$1,Data!$E$1:$BM$1,),))/VLOOKUP(A32,Data!$E:$BM,MATCH(yoy!$H$1,Data!$E$1:$BM$1,),)</f>
        <v/>
      </c>
      <c r="I32" s="14">
        <f>(VLOOKUP(B32,Data!$E:$BM,MATCH(yoy!$I$1,Data!$E$1:$BM$1,),)-VLOOKUP(A32,Data!$E:$BM,MATCH(yoy!$I$1,Data!$E$1:$BM$1,),))/VLOOKUP(A32,Data!$E:$BM,MATCH(yoy!$I$1,Data!$E$1:$BM$1,),)</f>
        <v/>
      </c>
      <c r="J32" s="14">
        <f>(VLOOKUP(B32,Data!$E:$BM,MATCH(yoy!$J$1,Data!$E$1:$BM$1,),)-VLOOKUP(A32,Data!$E:$BM,MATCH(yoy!$J$1,Data!$E$1:$BM$1,),))/VLOOKUP(A32,Data!$E:$BM,MATCH(yoy!$J$1,Data!$E$1:$BM$1,),)</f>
        <v/>
      </c>
      <c r="K32" s="14">
        <f>(VLOOKUP(B32,Data!$E:$BM,MATCH(yoy!$K$1,Data!$E$1:$BM$1,),)-VLOOKUP(A32,Data!$E:$BM,MATCH(yoy!$K$1,Data!$E$1:$BM$1,),))/VLOOKUP(A32,Data!$E:$BM,MATCH(yoy!$K$1,Data!$E$1:$BM$1,),)</f>
        <v/>
      </c>
      <c r="L32" s="14">
        <f>(VLOOKUP(B32,Data!$E:$BM,MATCH(yoy!$L$1,Data!$E$1:$BM$1,),)-VLOOKUP(A32,Data!$E:$BM,MATCH(yoy!$L$1,Data!$E$1:$BM$1,),))/VLOOKUP(A32,Data!$E:$BM,MATCH(yoy!$L$1,Data!$E$1:$BM$1,),)</f>
        <v/>
      </c>
      <c r="M32" s="14">
        <f>(VLOOKUP(B32,Data!$E:$BM,MATCH(yoy!$M$1,Data!$E$1:$BM$1,),)-VLOOKUP(A32,Data!$E:$BM,MATCH(yoy!$M$1,Data!$E$1:$BM$1,),))/VLOOKUP(A32,Data!$E:$BM,MATCH(yoy!$M$1,Data!$E$1:$BM$1,),)</f>
        <v/>
      </c>
      <c r="N32" s="14">
        <f>(VLOOKUP(B32,Data!$E:$BM,MATCH(yoy!$N$1,Data!$E$1:$BM$1,),)-VLOOKUP(A32,Data!$E:$BM,MATCH(yoy!$N$1,Data!$E$1:$BM$1,),))/VLOOKUP(A32,Data!$E:$BM,MATCH(yoy!$N$1,Data!$E$1:$BM$1,),)</f>
        <v/>
      </c>
      <c r="O32" s="14">
        <f>(VLOOKUP(B32,Data!$E:$BM,MATCH(yoy!$O$1,Data!$E$1:$BM$1,),)-VLOOKUP(A32,Data!$E:$BM,MATCH(yoy!$O$1,Data!$E$1:$BM$1,),))/VLOOKUP(A32,Data!$E:$BM,MATCH(yoy!$O$1,Data!$E$1:$BM$1,),)</f>
        <v/>
      </c>
      <c r="P32" s="14">
        <f>(VLOOKUP(B32,Data!$E:$BM,MATCH(yoy!$P$1,Data!$E$1:$BM$1,),)-VLOOKUP(A32,Data!$E:$BM,MATCH(yoy!$P$1,Data!$E$1:$BM$1,),))/VLOOKUP(A32,Data!$E:$BM,MATCH(yoy!$P$1,Data!$E$1:$BM$1,),)</f>
        <v/>
      </c>
      <c r="Q32" s="14">
        <f>(VLOOKUP(B32,Data!$E:$BM,MATCH(yoy!$Q$1,Data!$E$1:$BM$1,),)-VLOOKUP(A32,Data!$E:$BM,MATCH(yoy!$Q$1,Data!$E$1:$BM$1,),))/VLOOKUP(A32,Data!$E:$BM,MATCH(yoy!$Q$1,Data!$E$1:$BM$1,),)</f>
        <v/>
      </c>
      <c r="R32" s="14">
        <f>(VLOOKUP(B32,Data!$E:$BM,MATCH(yoy!$R$1,Data!$E$1:$BM$1,),)-VLOOKUP(A32,Data!$E:$BM,MATCH(yoy!$R$1,Data!$E$1:$BM$1,),))/VLOOKUP(A32,Data!$E:$BM,MATCH(yoy!$R$1,Data!$E$1:$BM$1,),)</f>
        <v/>
      </c>
      <c r="S32" s="14">
        <f>(VLOOKUP(B32,Data!$E:$BM,MATCH(yoy!$S$1,Data!$E$1:$BM$1,),)-VLOOKUP(A32,Data!$E:$BM,MATCH(yoy!$S$1,Data!$E$1:$BM$1,),))/VLOOKUP(A32,Data!$E:$BM,MATCH(yoy!$S$1,Data!$E$1:$BM$1,),)</f>
        <v/>
      </c>
      <c r="T32" s="14">
        <f>(VLOOKUP(B32,Data!$E:$BM,MATCH(yoy!$T$1,Data!$E$1:$BM$1,),)-VLOOKUP(A32,Data!$E:$BM,MATCH(yoy!$T$1,Data!$E$1:$BM$1,),))/VLOOKUP(A32,Data!$E:$BM,MATCH(yoy!$T$1,Data!$E$1:$BM$1,),)</f>
        <v/>
      </c>
      <c r="U32" s="14">
        <f>(VLOOKUP(B32,Data!$E:$BM,MATCH(yoy!$U$1,Data!$E$1:$BM$1,),)-VLOOKUP(A32,Data!$E:$BM,MATCH(yoy!$U$1,Data!$E$1:$BM$1,),))/VLOOKUP(A32,Data!$E:$BM,MATCH(yoy!$U$1,Data!$E$1:$BM$1,),)</f>
        <v/>
      </c>
      <c r="V32" s="14">
        <f>(VLOOKUP(B32,Data!$E:$BM,MATCH(yoy!$V$1,Data!$E$1:$BM$1,),)-VLOOKUP(A32,Data!$E:$BM,MATCH(yoy!$V$1,Data!$E$1:$BM$1,),))/VLOOKUP(A32,Data!$E:$BM,MATCH(yoy!$V$1,Data!$E$1:$BM$1,),)</f>
        <v/>
      </c>
      <c r="W32" s="14">
        <f>(VLOOKUP(B32,Data!$E:$BM,MATCH(yoy!$W$1,Data!$E$1:$BM$1,),)-VLOOKUP(A32,Data!$E:$BM,MATCH(yoy!$W$1,Data!$E$1:$BM$1,),))/VLOOKUP(A32,Data!$E:$BM,MATCH(yoy!$W$1,Data!$E$1:$BM$1,),)</f>
        <v/>
      </c>
      <c r="X32" s="14">
        <f>(VLOOKUP(B32,Data!$E:$BM,MATCH(yoy!$X$1,Data!$E$1:$BM$1,),)-VLOOKUP(A32,Data!$E:$BM,MATCH(yoy!$X$1,Data!$E$1:$BM$1,),))/VLOOKUP(A32,Data!$E:$BM,MATCH(yoy!$X$1,Data!$E$1:$BM$1,),)</f>
        <v/>
      </c>
      <c r="Y32" s="14">
        <f>(VLOOKUP(B32,Data!$E:$BM,MATCH(yoy!$Y$1,Data!$E$1:$BM$1,),)-VLOOKUP(A32,Data!$E:$BM,MATCH(yoy!$Y$1,Data!$E$1:$BM$1,),))/VLOOKUP(A32,Data!$E:$BM,MATCH(yoy!$Y$1,Data!$E$1:$BM$1,),)</f>
        <v/>
      </c>
      <c r="Z32" s="14">
        <f>(VLOOKUP(B32,Data!$E:$BM,MATCH(yoy!$Z$1,Data!$E$1:$BM$1,),)-VLOOKUP(A32,Data!$E:$BM,MATCH(yoy!$Z$1,Data!$E$1:$BM$1,),))/VLOOKUP(A32,Data!$E:$BM,MATCH(yoy!$Z$1,Data!$E$1:$BM$1,),)</f>
        <v/>
      </c>
      <c r="AA32" s="14">
        <f>(VLOOKUP(B32,Data!$E:$BM,MATCH(yoy!$AA$1,Data!$E$1:$BM$1,),)-VLOOKUP(A32,Data!$E:$BM,MATCH(yoy!$AA$1,Data!$E$1:$BM$1,),))/VLOOKUP(A32,Data!$E:$BM,MATCH(yoy!$AA$1,Data!$E$1:$BM$1,),)</f>
        <v/>
      </c>
    </row>
    <row r="33">
      <c r="A33" s="20">
        <f>DATE(YEAR(B33)-1,MONTH(B33),DAY(B33))</f>
        <v/>
      </c>
      <c r="B33" s="12" t="n">
        <v>42856</v>
      </c>
      <c r="C33" s="14">
        <f>(VLOOKUP(B33,Data!$E:$BM,MATCH(yoy!$C$1,Data!$E$1:$BM$1,),)-VLOOKUP(A33,Data!$E:$BM,MATCH(yoy!$C$1,Data!$E$1:$BM$1,),))/VLOOKUP(A33,Data!$E:$BM,MATCH(yoy!$C$1,Data!$E$1:$BM$1,),)</f>
        <v/>
      </c>
      <c r="D33" s="14">
        <f>(VLOOKUP(B33,Data!$E:$BM,MATCH(yoy!$D$1,Data!$E$1:$BM$1,),)-VLOOKUP(A33,Data!$E:$BM,MATCH(yoy!$D$1,Data!$E$1:$BM$1,),))/VLOOKUP(A33,Data!$E:$BM,MATCH(yoy!$D$1,Data!$E$1:$BM$1,),)</f>
        <v/>
      </c>
      <c r="E33" s="14">
        <f>(VLOOKUP(B33,Data!$E:$BM,MATCH(yoy!$E$1,Data!$E$1:$BM$1,),)-VLOOKUP(A33,Data!$E:$BM,MATCH(yoy!$E$1,Data!$E$1:$BM$1,),))/VLOOKUP(A33,Data!$E:$BM,MATCH(yoy!$E$1,Data!$E$1:$BM$1,),)</f>
        <v/>
      </c>
      <c r="F33" s="14">
        <f>(VLOOKUP(B33,Data!$E:$BM,MATCH(yoy!$F$1,Data!$E$1:$BM$1,),)-VLOOKUP(A33,Data!$E:$BM,MATCH(yoy!$F$1,Data!$E$1:$BM$1,),))/VLOOKUP(A33,Data!$E:$BM,MATCH(yoy!$F$1,Data!$E$1:$BM$1,),)</f>
        <v/>
      </c>
      <c r="G33" s="14">
        <f>(VLOOKUP(B33,Data!$E:$BM,MATCH(yoy!$G$1,Data!$E$1:$BM$1,),)-VLOOKUP(A33,Data!$E:$BM,MATCH(yoy!$G$1,Data!$E$1:$BM$1,),))/VLOOKUP(A33,Data!$E:$BM,MATCH(yoy!$G$1,Data!$E$1:$BM$1,),)</f>
        <v/>
      </c>
      <c r="H33" s="14">
        <f>(VLOOKUP(B33,Data!$E:$BM,MATCH(yoy!$H$1,Data!$E$1:$BM$1,),)-VLOOKUP(A33,Data!$E:$BM,MATCH(yoy!$H$1,Data!$E$1:$BM$1,),))/VLOOKUP(A33,Data!$E:$BM,MATCH(yoy!$H$1,Data!$E$1:$BM$1,),)</f>
        <v/>
      </c>
      <c r="I33" s="14">
        <f>(VLOOKUP(B33,Data!$E:$BM,MATCH(yoy!$I$1,Data!$E$1:$BM$1,),)-VLOOKUP(A33,Data!$E:$BM,MATCH(yoy!$I$1,Data!$E$1:$BM$1,),))/VLOOKUP(A33,Data!$E:$BM,MATCH(yoy!$I$1,Data!$E$1:$BM$1,),)</f>
        <v/>
      </c>
      <c r="J33" s="14">
        <f>(VLOOKUP(B33,Data!$E:$BM,MATCH(yoy!$J$1,Data!$E$1:$BM$1,),)-VLOOKUP(A33,Data!$E:$BM,MATCH(yoy!$J$1,Data!$E$1:$BM$1,),))/VLOOKUP(A33,Data!$E:$BM,MATCH(yoy!$J$1,Data!$E$1:$BM$1,),)</f>
        <v/>
      </c>
      <c r="K33" s="14">
        <f>(VLOOKUP(B33,Data!$E:$BM,MATCH(yoy!$K$1,Data!$E$1:$BM$1,),)-VLOOKUP(A33,Data!$E:$BM,MATCH(yoy!$K$1,Data!$E$1:$BM$1,),))/VLOOKUP(A33,Data!$E:$BM,MATCH(yoy!$K$1,Data!$E$1:$BM$1,),)</f>
        <v/>
      </c>
      <c r="L33" s="14">
        <f>(VLOOKUP(B33,Data!$E:$BM,MATCH(yoy!$L$1,Data!$E$1:$BM$1,),)-VLOOKUP(A33,Data!$E:$BM,MATCH(yoy!$L$1,Data!$E$1:$BM$1,),))/VLOOKUP(A33,Data!$E:$BM,MATCH(yoy!$L$1,Data!$E$1:$BM$1,),)</f>
        <v/>
      </c>
      <c r="M33" s="14">
        <f>(VLOOKUP(B33,Data!$E:$BM,MATCH(yoy!$M$1,Data!$E$1:$BM$1,),)-VLOOKUP(A33,Data!$E:$BM,MATCH(yoy!$M$1,Data!$E$1:$BM$1,),))/VLOOKUP(A33,Data!$E:$BM,MATCH(yoy!$M$1,Data!$E$1:$BM$1,),)</f>
        <v/>
      </c>
      <c r="N33" s="14">
        <f>(VLOOKUP(B33,Data!$E:$BM,MATCH(yoy!$N$1,Data!$E$1:$BM$1,),)-VLOOKUP(A33,Data!$E:$BM,MATCH(yoy!$N$1,Data!$E$1:$BM$1,),))/VLOOKUP(A33,Data!$E:$BM,MATCH(yoy!$N$1,Data!$E$1:$BM$1,),)</f>
        <v/>
      </c>
      <c r="O33" s="14">
        <f>(VLOOKUP(B33,Data!$E:$BM,MATCH(yoy!$O$1,Data!$E$1:$BM$1,),)-VLOOKUP(A33,Data!$E:$BM,MATCH(yoy!$O$1,Data!$E$1:$BM$1,),))/VLOOKUP(A33,Data!$E:$BM,MATCH(yoy!$O$1,Data!$E$1:$BM$1,),)</f>
        <v/>
      </c>
      <c r="P33" s="14">
        <f>(VLOOKUP(B33,Data!$E:$BM,MATCH(yoy!$P$1,Data!$E$1:$BM$1,),)-VLOOKUP(A33,Data!$E:$BM,MATCH(yoy!$P$1,Data!$E$1:$BM$1,),))/VLOOKUP(A33,Data!$E:$BM,MATCH(yoy!$P$1,Data!$E$1:$BM$1,),)</f>
        <v/>
      </c>
      <c r="Q33" s="14">
        <f>(VLOOKUP(B33,Data!$E:$BM,MATCH(yoy!$Q$1,Data!$E$1:$BM$1,),)-VLOOKUP(A33,Data!$E:$BM,MATCH(yoy!$Q$1,Data!$E$1:$BM$1,),))/VLOOKUP(A33,Data!$E:$BM,MATCH(yoy!$Q$1,Data!$E$1:$BM$1,),)</f>
        <v/>
      </c>
      <c r="R33" s="14">
        <f>(VLOOKUP(B33,Data!$E:$BM,MATCH(yoy!$R$1,Data!$E$1:$BM$1,),)-VLOOKUP(A33,Data!$E:$BM,MATCH(yoy!$R$1,Data!$E$1:$BM$1,),))/VLOOKUP(A33,Data!$E:$BM,MATCH(yoy!$R$1,Data!$E$1:$BM$1,),)</f>
        <v/>
      </c>
      <c r="S33" s="14">
        <f>(VLOOKUP(B33,Data!$E:$BM,MATCH(yoy!$S$1,Data!$E$1:$BM$1,),)-VLOOKUP(A33,Data!$E:$BM,MATCH(yoy!$S$1,Data!$E$1:$BM$1,),))/VLOOKUP(A33,Data!$E:$BM,MATCH(yoy!$S$1,Data!$E$1:$BM$1,),)</f>
        <v/>
      </c>
      <c r="T33" s="14">
        <f>(VLOOKUP(B33,Data!$E:$BM,MATCH(yoy!$T$1,Data!$E$1:$BM$1,),)-VLOOKUP(A33,Data!$E:$BM,MATCH(yoy!$T$1,Data!$E$1:$BM$1,),))/VLOOKUP(A33,Data!$E:$BM,MATCH(yoy!$T$1,Data!$E$1:$BM$1,),)</f>
        <v/>
      </c>
      <c r="U33" s="14">
        <f>(VLOOKUP(B33,Data!$E:$BM,MATCH(yoy!$U$1,Data!$E$1:$BM$1,),)-VLOOKUP(A33,Data!$E:$BM,MATCH(yoy!$U$1,Data!$E$1:$BM$1,),))/VLOOKUP(A33,Data!$E:$BM,MATCH(yoy!$U$1,Data!$E$1:$BM$1,),)</f>
        <v/>
      </c>
      <c r="V33" s="14">
        <f>(VLOOKUP(B33,Data!$E:$BM,MATCH(yoy!$V$1,Data!$E$1:$BM$1,),)-VLOOKUP(A33,Data!$E:$BM,MATCH(yoy!$V$1,Data!$E$1:$BM$1,),))/VLOOKUP(A33,Data!$E:$BM,MATCH(yoy!$V$1,Data!$E$1:$BM$1,),)</f>
        <v/>
      </c>
      <c r="W33" s="14">
        <f>(VLOOKUP(B33,Data!$E:$BM,MATCH(yoy!$W$1,Data!$E$1:$BM$1,),)-VLOOKUP(A33,Data!$E:$BM,MATCH(yoy!$W$1,Data!$E$1:$BM$1,),))/VLOOKUP(A33,Data!$E:$BM,MATCH(yoy!$W$1,Data!$E$1:$BM$1,),)</f>
        <v/>
      </c>
      <c r="X33" s="14">
        <f>(VLOOKUP(B33,Data!$E:$BM,MATCH(yoy!$X$1,Data!$E$1:$BM$1,),)-VLOOKUP(A33,Data!$E:$BM,MATCH(yoy!$X$1,Data!$E$1:$BM$1,),))/VLOOKUP(A33,Data!$E:$BM,MATCH(yoy!$X$1,Data!$E$1:$BM$1,),)</f>
        <v/>
      </c>
      <c r="Y33" s="14">
        <f>(VLOOKUP(B33,Data!$E:$BM,MATCH(yoy!$Y$1,Data!$E$1:$BM$1,),)-VLOOKUP(A33,Data!$E:$BM,MATCH(yoy!$Y$1,Data!$E$1:$BM$1,),))/VLOOKUP(A33,Data!$E:$BM,MATCH(yoy!$Y$1,Data!$E$1:$BM$1,),)</f>
        <v/>
      </c>
      <c r="Z33" s="14">
        <f>(VLOOKUP(B33,Data!$E:$BM,MATCH(yoy!$Z$1,Data!$E$1:$BM$1,),)-VLOOKUP(A33,Data!$E:$BM,MATCH(yoy!$Z$1,Data!$E$1:$BM$1,),))/VLOOKUP(A33,Data!$E:$BM,MATCH(yoy!$Z$1,Data!$E$1:$BM$1,),)</f>
        <v/>
      </c>
      <c r="AA33" s="14">
        <f>(VLOOKUP(B33,Data!$E:$BM,MATCH(yoy!$AA$1,Data!$E$1:$BM$1,),)-VLOOKUP(A33,Data!$E:$BM,MATCH(yoy!$AA$1,Data!$E$1:$BM$1,),))/VLOOKUP(A33,Data!$E:$BM,MATCH(yoy!$AA$1,Data!$E$1:$BM$1,),)</f>
        <v/>
      </c>
    </row>
    <row r="34">
      <c r="A34" s="20">
        <f>DATE(YEAR(B34)-1,MONTH(B34),DAY(B34))</f>
        <v/>
      </c>
      <c r="B34" s="12" t="n">
        <v>42887</v>
      </c>
      <c r="C34" s="14">
        <f>(VLOOKUP(B34,Data!$E:$BM,MATCH(yoy!$C$1,Data!$E$1:$BM$1,),)-VLOOKUP(A34,Data!$E:$BM,MATCH(yoy!$C$1,Data!$E$1:$BM$1,),))/VLOOKUP(A34,Data!$E:$BM,MATCH(yoy!$C$1,Data!$E$1:$BM$1,),)</f>
        <v/>
      </c>
      <c r="D34" s="14">
        <f>(VLOOKUP(B34,Data!$E:$BM,MATCH(yoy!$D$1,Data!$E$1:$BM$1,),)-VLOOKUP(A34,Data!$E:$BM,MATCH(yoy!$D$1,Data!$E$1:$BM$1,),))/VLOOKUP(A34,Data!$E:$BM,MATCH(yoy!$D$1,Data!$E$1:$BM$1,),)</f>
        <v/>
      </c>
      <c r="E34" s="14">
        <f>(VLOOKUP(B34,Data!$E:$BM,MATCH(yoy!$E$1,Data!$E$1:$BM$1,),)-VLOOKUP(A34,Data!$E:$BM,MATCH(yoy!$E$1,Data!$E$1:$BM$1,),))/VLOOKUP(A34,Data!$E:$BM,MATCH(yoy!$E$1,Data!$E$1:$BM$1,),)</f>
        <v/>
      </c>
      <c r="F34" s="14">
        <f>(VLOOKUP(B34,Data!$E:$BM,MATCH(yoy!$F$1,Data!$E$1:$BM$1,),)-VLOOKUP(A34,Data!$E:$BM,MATCH(yoy!$F$1,Data!$E$1:$BM$1,),))/VLOOKUP(A34,Data!$E:$BM,MATCH(yoy!$F$1,Data!$E$1:$BM$1,),)</f>
        <v/>
      </c>
      <c r="G34" s="14">
        <f>(VLOOKUP(B34,Data!$E:$BM,MATCH(yoy!$G$1,Data!$E$1:$BM$1,),)-VLOOKUP(A34,Data!$E:$BM,MATCH(yoy!$G$1,Data!$E$1:$BM$1,),))/VLOOKUP(A34,Data!$E:$BM,MATCH(yoy!$G$1,Data!$E$1:$BM$1,),)</f>
        <v/>
      </c>
      <c r="H34" s="14">
        <f>(VLOOKUP(B34,Data!$E:$BM,MATCH(yoy!$H$1,Data!$E$1:$BM$1,),)-VLOOKUP(A34,Data!$E:$BM,MATCH(yoy!$H$1,Data!$E$1:$BM$1,),))/VLOOKUP(A34,Data!$E:$BM,MATCH(yoy!$H$1,Data!$E$1:$BM$1,),)</f>
        <v/>
      </c>
      <c r="I34" s="14">
        <f>(VLOOKUP(B34,Data!$E:$BM,MATCH(yoy!$I$1,Data!$E$1:$BM$1,),)-VLOOKUP(A34,Data!$E:$BM,MATCH(yoy!$I$1,Data!$E$1:$BM$1,),))/VLOOKUP(A34,Data!$E:$BM,MATCH(yoy!$I$1,Data!$E$1:$BM$1,),)</f>
        <v/>
      </c>
      <c r="J34" s="14">
        <f>(VLOOKUP(B34,Data!$E:$BM,MATCH(yoy!$J$1,Data!$E$1:$BM$1,),)-VLOOKUP(A34,Data!$E:$BM,MATCH(yoy!$J$1,Data!$E$1:$BM$1,),))/VLOOKUP(A34,Data!$E:$BM,MATCH(yoy!$J$1,Data!$E$1:$BM$1,),)</f>
        <v/>
      </c>
      <c r="K34" s="14">
        <f>(VLOOKUP(B34,Data!$E:$BM,MATCH(yoy!$K$1,Data!$E$1:$BM$1,),)-VLOOKUP(A34,Data!$E:$BM,MATCH(yoy!$K$1,Data!$E$1:$BM$1,),))/VLOOKUP(A34,Data!$E:$BM,MATCH(yoy!$K$1,Data!$E$1:$BM$1,),)</f>
        <v/>
      </c>
      <c r="L34" s="14">
        <f>(VLOOKUP(B34,Data!$E:$BM,MATCH(yoy!$L$1,Data!$E$1:$BM$1,),)-VLOOKUP(A34,Data!$E:$BM,MATCH(yoy!$L$1,Data!$E$1:$BM$1,),))/VLOOKUP(A34,Data!$E:$BM,MATCH(yoy!$L$1,Data!$E$1:$BM$1,),)</f>
        <v/>
      </c>
      <c r="M34" s="14">
        <f>(VLOOKUP(B34,Data!$E:$BM,MATCH(yoy!$M$1,Data!$E$1:$BM$1,),)-VLOOKUP(A34,Data!$E:$BM,MATCH(yoy!$M$1,Data!$E$1:$BM$1,),))/VLOOKUP(A34,Data!$E:$BM,MATCH(yoy!$M$1,Data!$E$1:$BM$1,),)</f>
        <v/>
      </c>
      <c r="N34" s="14">
        <f>(VLOOKUP(B34,Data!$E:$BM,MATCH(yoy!$N$1,Data!$E$1:$BM$1,),)-VLOOKUP(A34,Data!$E:$BM,MATCH(yoy!$N$1,Data!$E$1:$BM$1,),))/VLOOKUP(A34,Data!$E:$BM,MATCH(yoy!$N$1,Data!$E$1:$BM$1,),)</f>
        <v/>
      </c>
      <c r="O34" s="14">
        <f>(VLOOKUP(B34,Data!$E:$BM,MATCH(yoy!$O$1,Data!$E$1:$BM$1,),)-VLOOKUP(A34,Data!$E:$BM,MATCH(yoy!$O$1,Data!$E$1:$BM$1,),))/VLOOKUP(A34,Data!$E:$BM,MATCH(yoy!$O$1,Data!$E$1:$BM$1,),)</f>
        <v/>
      </c>
      <c r="P34" s="14">
        <f>(VLOOKUP(B34,Data!$E:$BM,MATCH(yoy!$P$1,Data!$E$1:$BM$1,),)-VLOOKUP(A34,Data!$E:$BM,MATCH(yoy!$P$1,Data!$E$1:$BM$1,),))/VLOOKUP(A34,Data!$E:$BM,MATCH(yoy!$P$1,Data!$E$1:$BM$1,),)</f>
        <v/>
      </c>
      <c r="Q34" s="14">
        <f>(VLOOKUP(B34,Data!$E:$BM,MATCH(yoy!$Q$1,Data!$E$1:$BM$1,),)-VLOOKUP(A34,Data!$E:$BM,MATCH(yoy!$Q$1,Data!$E$1:$BM$1,),))/VLOOKUP(A34,Data!$E:$BM,MATCH(yoy!$Q$1,Data!$E$1:$BM$1,),)</f>
        <v/>
      </c>
      <c r="R34" s="14">
        <f>(VLOOKUP(B34,Data!$E:$BM,MATCH(yoy!$R$1,Data!$E$1:$BM$1,),)-VLOOKUP(A34,Data!$E:$BM,MATCH(yoy!$R$1,Data!$E$1:$BM$1,),))/VLOOKUP(A34,Data!$E:$BM,MATCH(yoy!$R$1,Data!$E$1:$BM$1,),)</f>
        <v/>
      </c>
      <c r="S34" s="14">
        <f>(VLOOKUP(B34,Data!$E:$BM,MATCH(yoy!$S$1,Data!$E$1:$BM$1,),)-VLOOKUP(A34,Data!$E:$BM,MATCH(yoy!$S$1,Data!$E$1:$BM$1,),))/VLOOKUP(A34,Data!$E:$BM,MATCH(yoy!$S$1,Data!$E$1:$BM$1,),)</f>
        <v/>
      </c>
      <c r="T34" s="14">
        <f>(VLOOKUP(B34,Data!$E:$BM,MATCH(yoy!$T$1,Data!$E$1:$BM$1,),)-VLOOKUP(A34,Data!$E:$BM,MATCH(yoy!$T$1,Data!$E$1:$BM$1,),))/VLOOKUP(A34,Data!$E:$BM,MATCH(yoy!$T$1,Data!$E$1:$BM$1,),)</f>
        <v/>
      </c>
      <c r="U34" s="14">
        <f>(VLOOKUP(B34,Data!$E:$BM,MATCH(yoy!$U$1,Data!$E$1:$BM$1,),)-VLOOKUP(A34,Data!$E:$BM,MATCH(yoy!$U$1,Data!$E$1:$BM$1,),))/VLOOKUP(A34,Data!$E:$BM,MATCH(yoy!$U$1,Data!$E$1:$BM$1,),)</f>
        <v/>
      </c>
      <c r="V34" s="14">
        <f>(VLOOKUP(B34,Data!$E:$BM,MATCH(yoy!$V$1,Data!$E$1:$BM$1,),)-VLOOKUP(A34,Data!$E:$BM,MATCH(yoy!$V$1,Data!$E$1:$BM$1,),))/VLOOKUP(A34,Data!$E:$BM,MATCH(yoy!$V$1,Data!$E$1:$BM$1,),)</f>
        <v/>
      </c>
      <c r="W34" s="14">
        <f>(VLOOKUP(B34,Data!$E:$BM,MATCH(yoy!$W$1,Data!$E$1:$BM$1,),)-VLOOKUP(A34,Data!$E:$BM,MATCH(yoy!$W$1,Data!$E$1:$BM$1,),))/VLOOKUP(A34,Data!$E:$BM,MATCH(yoy!$W$1,Data!$E$1:$BM$1,),)</f>
        <v/>
      </c>
      <c r="X34" s="14">
        <f>(VLOOKUP(B34,Data!$E:$BM,MATCH(yoy!$X$1,Data!$E$1:$BM$1,),)-VLOOKUP(A34,Data!$E:$BM,MATCH(yoy!$X$1,Data!$E$1:$BM$1,),))/VLOOKUP(A34,Data!$E:$BM,MATCH(yoy!$X$1,Data!$E$1:$BM$1,),)</f>
        <v/>
      </c>
      <c r="Y34" s="14">
        <f>(VLOOKUP(B34,Data!$E:$BM,MATCH(yoy!$Y$1,Data!$E$1:$BM$1,),)-VLOOKUP(A34,Data!$E:$BM,MATCH(yoy!$Y$1,Data!$E$1:$BM$1,),))/VLOOKUP(A34,Data!$E:$BM,MATCH(yoy!$Y$1,Data!$E$1:$BM$1,),)</f>
        <v/>
      </c>
      <c r="Z34" s="14">
        <f>(VLOOKUP(B34,Data!$E:$BM,MATCH(yoy!$Z$1,Data!$E$1:$BM$1,),)-VLOOKUP(A34,Data!$E:$BM,MATCH(yoy!$Z$1,Data!$E$1:$BM$1,),))/VLOOKUP(A34,Data!$E:$BM,MATCH(yoy!$Z$1,Data!$E$1:$BM$1,),)</f>
        <v/>
      </c>
      <c r="AA34" s="14">
        <f>(VLOOKUP(B34,Data!$E:$BM,MATCH(yoy!$AA$1,Data!$E$1:$BM$1,),)-VLOOKUP(A34,Data!$E:$BM,MATCH(yoy!$AA$1,Data!$E$1:$BM$1,),))/VLOOKUP(A34,Data!$E:$BM,MATCH(yoy!$AA$1,Data!$E$1:$BM$1,),)</f>
        <v/>
      </c>
    </row>
    <row r="35">
      <c r="A35" s="20">
        <f>DATE(YEAR(B35)-1,MONTH(B35),DAY(B35))</f>
        <v/>
      </c>
      <c r="B35" s="12" t="n">
        <v>42917</v>
      </c>
      <c r="C35" s="14">
        <f>(VLOOKUP(B35,Data!$E:$BM,MATCH(yoy!$C$1,Data!$E$1:$BM$1,),)-VLOOKUP(A35,Data!$E:$BM,MATCH(yoy!$C$1,Data!$E$1:$BM$1,),))/VLOOKUP(A35,Data!$E:$BM,MATCH(yoy!$C$1,Data!$E$1:$BM$1,),)</f>
        <v/>
      </c>
      <c r="D35" s="14">
        <f>(VLOOKUP(B35,Data!$E:$BM,MATCH(yoy!$D$1,Data!$E$1:$BM$1,),)-VLOOKUP(A35,Data!$E:$BM,MATCH(yoy!$D$1,Data!$E$1:$BM$1,),))/VLOOKUP(A35,Data!$E:$BM,MATCH(yoy!$D$1,Data!$E$1:$BM$1,),)</f>
        <v/>
      </c>
      <c r="E35" s="14">
        <f>(VLOOKUP(B35,Data!$E:$BM,MATCH(yoy!$E$1,Data!$E$1:$BM$1,),)-VLOOKUP(A35,Data!$E:$BM,MATCH(yoy!$E$1,Data!$E$1:$BM$1,),))/VLOOKUP(A35,Data!$E:$BM,MATCH(yoy!$E$1,Data!$E$1:$BM$1,),)</f>
        <v/>
      </c>
      <c r="F35" s="14">
        <f>(VLOOKUP(B35,Data!$E:$BM,MATCH(yoy!$F$1,Data!$E$1:$BM$1,),)-VLOOKUP(A35,Data!$E:$BM,MATCH(yoy!$F$1,Data!$E$1:$BM$1,),))/VLOOKUP(A35,Data!$E:$BM,MATCH(yoy!$F$1,Data!$E$1:$BM$1,),)</f>
        <v/>
      </c>
      <c r="G35" s="14">
        <f>(VLOOKUP(B35,Data!$E:$BM,MATCH(yoy!$G$1,Data!$E$1:$BM$1,),)-VLOOKUP(A35,Data!$E:$BM,MATCH(yoy!$G$1,Data!$E$1:$BM$1,),))/VLOOKUP(A35,Data!$E:$BM,MATCH(yoy!$G$1,Data!$E$1:$BM$1,),)</f>
        <v/>
      </c>
      <c r="H35" s="14">
        <f>(VLOOKUP(B35,Data!$E:$BM,MATCH(yoy!$H$1,Data!$E$1:$BM$1,),)-VLOOKUP(A35,Data!$E:$BM,MATCH(yoy!$H$1,Data!$E$1:$BM$1,),))/VLOOKUP(A35,Data!$E:$BM,MATCH(yoy!$H$1,Data!$E$1:$BM$1,),)</f>
        <v/>
      </c>
      <c r="I35" s="14">
        <f>(VLOOKUP(B35,Data!$E:$BM,MATCH(yoy!$I$1,Data!$E$1:$BM$1,),)-VLOOKUP(A35,Data!$E:$BM,MATCH(yoy!$I$1,Data!$E$1:$BM$1,),))/VLOOKUP(A35,Data!$E:$BM,MATCH(yoy!$I$1,Data!$E$1:$BM$1,),)</f>
        <v/>
      </c>
      <c r="J35" s="14">
        <f>(VLOOKUP(B35,Data!$E:$BM,MATCH(yoy!$J$1,Data!$E$1:$BM$1,),)-VLOOKUP(A35,Data!$E:$BM,MATCH(yoy!$J$1,Data!$E$1:$BM$1,),))/VLOOKUP(A35,Data!$E:$BM,MATCH(yoy!$J$1,Data!$E$1:$BM$1,),)</f>
        <v/>
      </c>
      <c r="K35" s="14">
        <f>(VLOOKUP(B35,Data!$E:$BM,MATCH(yoy!$K$1,Data!$E$1:$BM$1,),)-VLOOKUP(A35,Data!$E:$BM,MATCH(yoy!$K$1,Data!$E$1:$BM$1,),))/VLOOKUP(A35,Data!$E:$BM,MATCH(yoy!$K$1,Data!$E$1:$BM$1,),)</f>
        <v/>
      </c>
      <c r="L35" s="14">
        <f>(VLOOKUP(B35,Data!$E:$BM,MATCH(yoy!$L$1,Data!$E$1:$BM$1,),)-VLOOKUP(A35,Data!$E:$BM,MATCH(yoy!$L$1,Data!$E$1:$BM$1,),))/VLOOKUP(A35,Data!$E:$BM,MATCH(yoy!$L$1,Data!$E$1:$BM$1,),)</f>
        <v/>
      </c>
      <c r="M35" s="14">
        <f>(VLOOKUP(B35,Data!$E:$BM,MATCH(yoy!$M$1,Data!$E$1:$BM$1,),)-VLOOKUP(A35,Data!$E:$BM,MATCH(yoy!$M$1,Data!$E$1:$BM$1,),))/VLOOKUP(A35,Data!$E:$BM,MATCH(yoy!$M$1,Data!$E$1:$BM$1,),)</f>
        <v/>
      </c>
      <c r="N35" s="14">
        <f>(VLOOKUP(B35,Data!$E:$BM,MATCH(yoy!$N$1,Data!$E$1:$BM$1,),)-VLOOKUP(A35,Data!$E:$BM,MATCH(yoy!$N$1,Data!$E$1:$BM$1,),))/VLOOKUP(A35,Data!$E:$BM,MATCH(yoy!$N$1,Data!$E$1:$BM$1,),)</f>
        <v/>
      </c>
      <c r="O35" s="14">
        <f>(VLOOKUP(B35,Data!$E:$BM,MATCH(yoy!$O$1,Data!$E$1:$BM$1,),)-VLOOKUP(A35,Data!$E:$BM,MATCH(yoy!$O$1,Data!$E$1:$BM$1,),))/VLOOKUP(A35,Data!$E:$BM,MATCH(yoy!$O$1,Data!$E$1:$BM$1,),)</f>
        <v/>
      </c>
      <c r="P35" s="14">
        <f>(VLOOKUP(B35,Data!$E:$BM,MATCH(yoy!$P$1,Data!$E$1:$BM$1,),)-VLOOKUP(A35,Data!$E:$BM,MATCH(yoy!$P$1,Data!$E$1:$BM$1,),))/VLOOKUP(A35,Data!$E:$BM,MATCH(yoy!$P$1,Data!$E$1:$BM$1,),)</f>
        <v/>
      </c>
      <c r="Q35" s="14">
        <f>(VLOOKUP(B35,Data!$E:$BM,MATCH(yoy!$Q$1,Data!$E$1:$BM$1,),)-VLOOKUP(A35,Data!$E:$BM,MATCH(yoy!$Q$1,Data!$E$1:$BM$1,),))/VLOOKUP(A35,Data!$E:$BM,MATCH(yoy!$Q$1,Data!$E$1:$BM$1,),)</f>
        <v/>
      </c>
      <c r="R35" s="14">
        <f>(VLOOKUP(B35,Data!$E:$BM,MATCH(yoy!$R$1,Data!$E$1:$BM$1,),)-VLOOKUP(A35,Data!$E:$BM,MATCH(yoy!$R$1,Data!$E$1:$BM$1,),))/VLOOKUP(A35,Data!$E:$BM,MATCH(yoy!$R$1,Data!$E$1:$BM$1,),)</f>
        <v/>
      </c>
      <c r="S35" s="14">
        <f>(VLOOKUP(B35,Data!$E:$BM,MATCH(yoy!$S$1,Data!$E$1:$BM$1,),)-VLOOKUP(A35,Data!$E:$BM,MATCH(yoy!$S$1,Data!$E$1:$BM$1,),))/VLOOKUP(A35,Data!$E:$BM,MATCH(yoy!$S$1,Data!$E$1:$BM$1,),)</f>
        <v/>
      </c>
      <c r="T35" s="14">
        <f>(VLOOKUP(B35,Data!$E:$BM,MATCH(yoy!$T$1,Data!$E$1:$BM$1,),)-VLOOKUP(A35,Data!$E:$BM,MATCH(yoy!$T$1,Data!$E$1:$BM$1,),))/VLOOKUP(A35,Data!$E:$BM,MATCH(yoy!$T$1,Data!$E$1:$BM$1,),)</f>
        <v/>
      </c>
      <c r="U35" s="14">
        <f>(VLOOKUP(B35,Data!$E:$BM,MATCH(yoy!$U$1,Data!$E$1:$BM$1,),)-VLOOKUP(A35,Data!$E:$BM,MATCH(yoy!$U$1,Data!$E$1:$BM$1,),))/VLOOKUP(A35,Data!$E:$BM,MATCH(yoy!$U$1,Data!$E$1:$BM$1,),)</f>
        <v/>
      </c>
      <c r="V35" s="14">
        <f>(VLOOKUP(B35,Data!$E:$BM,MATCH(yoy!$V$1,Data!$E$1:$BM$1,),)-VLOOKUP(A35,Data!$E:$BM,MATCH(yoy!$V$1,Data!$E$1:$BM$1,),))/VLOOKUP(A35,Data!$E:$BM,MATCH(yoy!$V$1,Data!$E$1:$BM$1,),)</f>
        <v/>
      </c>
      <c r="W35" s="14">
        <f>(VLOOKUP(B35,Data!$E:$BM,MATCH(yoy!$W$1,Data!$E$1:$BM$1,),)-VLOOKUP(A35,Data!$E:$BM,MATCH(yoy!$W$1,Data!$E$1:$BM$1,),))/VLOOKUP(A35,Data!$E:$BM,MATCH(yoy!$W$1,Data!$E$1:$BM$1,),)</f>
        <v/>
      </c>
      <c r="X35" s="14">
        <f>(VLOOKUP(B35,Data!$E:$BM,MATCH(yoy!$X$1,Data!$E$1:$BM$1,),)-VLOOKUP(A35,Data!$E:$BM,MATCH(yoy!$X$1,Data!$E$1:$BM$1,),))/VLOOKUP(A35,Data!$E:$BM,MATCH(yoy!$X$1,Data!$E$1:$BM$1,),)</f>
        <v/>
      </c>
      <c r="Y35" s="14">
        <f>(VLOOKUP(B35,Data!$E:$BM,MATCH(yoy!$Y$1,Data!$E$1:$BM$1,),)-VLOOKUP(A35,Data!$E:$BM,MATCH(yoy!$Y$1,Data!$E$1:$BM$1,),))/VLOOKUP(A35,Data!$E:$BM,MATCH(yoy!$Y$1,Data!$E$1:$BM$1,),)</f>
        <v/>
      </c>
      <c r="Z35" s="14">
        <f>(VLOOKUP(B35,Data!$E:$BM,MATCH(yoy!$Z$1,Data!$E$1:$BM$1,),)-VLOOKUP(A35,Data!$E:$BM,MATCH(yoy!$Z$1,Data!$E$1:$BM$1,),))/VLOOKUP(A35,Data!$E:$BM,MATCH(yoy!$Z$1,Data!$E$1:$BM$1,),)</f>
        <v/>
      </c>
      <c r="AA35" s="14">
        <f>(VLOOKUP(B35,Data!$E:$BM,MATCH(yoy!$AA$1,Data!$E$1:$BM$1,),)-VLOOKUP(A35,Data!$E:$BM,MATCH(yoy!$AA$1,Data!$E$1:$BM$1,),))/VLOOKUP(A35,Data!$E:$BM,MATCH(yoy!$AA$1,Data!$E$1:$BM$1,),)</f>
        <v/>
      </c>
    </row>
    <row r="36">
      <c r="A36" s="20">
        <f>DATE(YEAR(B36)-1,MONTH(B36),DAY(B36))</f>
        <v/>
      </c>
      <c r="B36" s="12" t="n">
        <v>42948</v>
      </c>
      <c r="C36" s="14">
        <f>(VLOOKUP(B36,Data!$E:$BM,MATCH(yoy!$C$1,Data!$E$1:$BM$1,),)-VLOOKUP(A36,Data!$E:$BM,MATCH(yoy!$C$1,Data!$E$1:$BM$1,),))/VLOOKUP(A36,Data!$E:$BM,MATCH(yoy!$C$1,Data!$E$1:$BM$1,),)</f>
        <v/>
      </c>
      <c r="D36" s="14">
        <f>(VLOOKUP(B36,Data!$E:$BM,MATCH(yoy!$D$1,Data!$E$1:$BM$1,),)-VLOOKUP(A36,Data!$E:$BM,MATCH(yoy!$D$1,Data!$E$1:$BM$1,),))/VLOOKUP(A36,Data!$E:$BM,MATCH(yoy!$D$1,Data!$E$1:$BM$1,),)</f>
        <v/>
      </c>
      <c r="E36" s="14">
        <f>(VLOOKUP(B36,Data!$E:$BM,MATCH(yoy!$E$1,Data!$E$1:$BM$1,),)-VLOOKUP(A36,Data!$E:$BM,MATCH(yoy!$E$1,Data!$E$1:$BM$1,),))/VLOOKUP(A36,Data!$E:$BM,MATCH(yoy!$E$1,Data!$E$1:$BM$1,),)</f>
        <v/>
      </c>
      <c r="F36" s="14">
        <f>(VLOOKUP(B36,Data!$E:$BM,MATCH(yoy!$F$1,Data!$E$1:$BM$1,),)-VLOOKUP(A36,Data!$E:$BM,MATCH(yoy!$F$1,Data!$E$1:$BM$1,),))/VLOOKUP(A36,Data!$E:$BM,MATCH(yoy!$F$1,Data!$E$1:$BM$1,),)</f>
        <v/>
      </c>
      <c r="G36" s="14">
        <f>(VLOOKUP(B36,Data!$E:$BM,MATCH(yoy!$G$1,Data!$E$1:$BM$1,),)-VLOOKUP(A36,Data!$E:$BM,MATCH(yoy!$G$1,Data!$E$1:$BM$1,),))/VLOOKUP(A36,Data!$E:$BM,MATCH(yoy!$G$1,Data!$E$1:$BM$1,),)</f>
        <v/>
      </c>
      <c r="H36" s="14">
        <f>(VLOOKUP(B36,Data!$E:$BM,MATCH(yoy!$H$1,Data!$E$1:$BM$1,),)-VLOOKUP(A36,Data!$E:$BM,MATCH(yoy!$H$1,Data!$E$1:$BM$1,),))/VLOOKUP(A36,Data!$E:$BM,MATCH(yoy!$H$1,Data!$E$1:$BM$1,),)</f>
        <v/>
      </c>
      <c r="I36" s="14">
        <f>(VLOOKUP(B36,Data!$E:$BM,MATCH(yoy!$I$1,Data!$E$1:$BM$1,),)-VLOOKUP(A36,Data!$E:$BM,MATCH(yoy!$I$1,Data!$E$1:$BM$1,),))/VLOOKUP(A36,Data!$E:$BM,MATCH(yoy!$I$1,Data!$E$1:$BM$1,),)</f>
        <v/>
      </c>
      <c r="J36" s="14">
        <f>(VLOOKUP(B36,Data!$E:$BM,MATCH(yoy!$J$1,Data!$E$1:$BM$1,),)-VLOOKUP(A36,Data!$E:$BM,MATCH(yoy!$J$1,Data!$E$1:$BM$1,),))/VLOOKUP(A36,Data!$E:$BM,MATCH(yoy!$J$1,Data!$E$1:$BM$1,),)</f>
        <v/>
      </c>
      <c r="K36" s="14">
        <f>(VLOOKUP(B36,Data!$E:$BM,MATCH(yoy!$K$1,Data!$E$1:$BM$1,),)-VLOOKUP(A36,Data!$E:$BM,MATCH(yoy!$K$1,Data!$E$1:$BM$1,),))/VLOOKUP(A36,Data!$E:$BM,MATCH(yoy!$K$1,Data!$E$1:$BM$1,),)</f>
        <v/>
      </c>
      <c r="L36" s="14">
        <f>(VLOOKUP(B36,Data!$E:$BM,MATCH(yoy!$L$1,Data!$E$1:$BM$1,),)-VLOOKUP(A36,Data!$E:$BM,MATCH(yoy!$L$1,Data!$E$1:$BM$1,),))/VLOOKUP(A36,Data!$E:$BM,MATCH(yoy!$L$1,Data!$E$1:$BM$1,),)</f>
        <v/>
      </c>
      <c r="M36" s="14">
        <f>(VLOOKUP(B36,Data!$E:$BM,MATCH(yoy!$M$1,Data!$E$1:$BM$1,),)-VLOOKUP(A36,Data!$E:$BM,MATCH(yoy!$M$1,Data!$E$1:$BM$1,),))/VLOOKUP(A36,Data!$E:$BM,MATCH(yoy!$M$1,Data!$E$1:$BM$1,),)</f>
        <v/>
      </c>
      <c r="N36" s="14">
        <f>(VLOOKUP(B36,Data!$E:$BM,MATCH(yoy!$N$1,Data!$E$1:$BM$1,),)-VLOOKUP(A36,Data!$E:$BM,MATCH(yoy!$N$1,Data!$E$1:$BM$1,),))/VLOOKUP(A36,Data!$E:$BM,MATCH(yoy!$N$1,Data!$E$1:$BM$1,),)</f>
        <v/>
      </c>
      <c r="O36" s="14">
        <f>(VLOOKUP(B36,Data!$E:$BM,MATCH(yoy!$O$1,Data!$E$1:$BM$1,),)-VLOOKUP(A36,Data!$E:$BM,MATCH(yoy!$O$1,Data!$E$1:$BM$1,),))/VLOOKUP(A36,Data!$E:$BM,MATCH(yoy!$O$1,Data!$E$1:$BM$1,),)</f>
        <v/>
      </c>
      <c r="P36" s="14">
        <f>(VLOOKUP(B36,Data!$E:$BM,MATCH(yoy!$P$1,Data!$E$1:$BM$1,),)-VLOOKUP(A36,Data!$E:$BM,MATCH(yoy!$P$1,Data!$E$1:$BM$1,),))/VLOOKUP(A36,Data!$E:$BM,MATCH(yoy!$P$1,Data!$E$1:$BM$1,),)</f>
        <v/>
      </c>
      <c r="Q36" s="14">
        <f>(VLOOKUP(B36,Data!$E:$BM,MATCH(yoy!$Q$1,Data!$E$1:$BM$1,),)-VLOOKUP(A36,Data!$E:$BM,MATCH(yoy!$Q$1,Data!$E$1:$BM$1,),))/VLOOKUP(A36,Data!$E:$BM,MATCH(yoy!$Q$1,Data!$E$1:$BM$1,),)</f>
        <v/>
      </c>
      <c r="R36" s="14">
        <f>(VLOOKUP(B36,Data!$E:$BM,MATCH(yoy!$R$1,Data!$E$1:$BM$1,),)-VLOOKUP(A36,Data!$E:$BM,MATCH(yoy!$R$1,Data!$E$1:$BM$1,),))/VLOOKUP(A36,Data!$E:$BM,MATCH(yoy!$R$1,Data!$E$1:$BM$1,),)</f>
        <v/>
      </c>
      <c r="S36" s="14">
        <f>(VLOOKUP(B36,Data!$E:$BM,MATCH(yoy!$S$1,Data!$E$1:$BM$1,),)-VLOOKUP(A36,Data!$E:$BM,MATCH(yoy!$S$1,Data!$E$1:$BM$1,),))/VLOOKUP(A36,Data!$E:$BM,MATCH(yoy!$S$1,Data!$E$1:$BM$1,),)</f>
        <v/>
      </c>
      <c r="T36" s="14">
        <f>(VLOOKUP(B36,Data!$E:$BM,MATCH(yoy!$T$1,Data!$E$1:$BM$1,),)-VLOOKUP(A36,Data!$E:$BM,MATCH(yoy!$T$1,Data!$E$1:$BM$1,),))/VLOOKUP(A36,Data!$E:$BM,MATCH(yoy!$T$1,Data!$E$1:$BM$1,),)</f>
        <v/>
      </c>
      <c r="U36" s="14">
        <f>(VLOOKUP(B36,Data!$E:$BM,MATCH(yoy!$U$1,Data!$E$1:$BM$1,),)-VLOOKUP(A36,Data!$E:$BM,MATCH(yoy!$U$1,Data!$E$1:$BM$1,),))/VLOOKUP(A36,Data!$E:$BM,MATCH(yoy!$U$1,Data!$E$1:$BM$1,),)</f>
        <v/>
      </c>
      <c r="V36" s="14">
        <f>(VLOOKUP(B36,Data!$E:$BM,MATCH(yoy!$V$1,Data!$E$1:$BM$1,),)-VLOOKUP(A36,Data!$E:$BM,MATCH(yoy!$V$1,Data!$E$1:$BM$1,),))/VLOOKUP(A36,Data!$E:$BM,MATCH(yoy!$V$1,Data!$E$1:$BM$1,),)</f>
        <v/>
      </c>
      <c r="W36" s="14">
        <f>(VLOOKUP(B36,Data!$E:$BM,MATCH(yoy!$W$1,Data!$E$1:$BM$1,),)-VLOOKUP(A36,Data!$E:$BM,MATCH(yoy!$W$1,Data!$E$1:$BM$1,),))/VLOOKUP(A36,Data!$E:$BM,MATCH(yoy!$W$1,Data!$E$1:$BM$1,),)</f>
        <v/>
      </c>
      <c r="X36" s="14">
        <f>(VLOOKUP(B36,Data!$E:$BM,MATCH(yoy!$X$1,Data!$E$1:$BM$1,),)-VLOOKUP(A36,Data!$E:$BM,MATCH(yoy!$X$1,Data!$E$1:$BM$1,),))/VLOOKUP(A36,Data!$E:$BM,MATCH(yoy!$X$1,Data!$E$1:$BM$1,),)</f>
        <v/>
      </c>
      <c r="Y36" s="14">
        <f>(VLOOKUP(B36,Data!$E:$BM,MATCH(yoy!$Y$1,Data!$E$1:$BM$1,),)-VLOOKUP(A36,Data!$E:$BM,MATCH(yoy!$Y$1,Data!$E$1:$BM$1,),))/VLOOKUP(A36,Data!$E:$BM,MATCH(yoy!$Y$1,Data!$E$1:$BM$1,),)</f>
        <v/>
      </c>
      <c r="Z36" s="14">
        <f>(VLOOKUP(B36,Data!$E:$BM,MATCH(yoy!$Z$1,Data!$E$1:$BM$1,),)-VLOOKUP(A36,Data!$E:$BM,MATCH(yoy!$Z$1,Data!$E$1:$BM$1,),))/VLOOKUP(A36,Data!$E:$BM,MATCH(yoy!$Z$1,Data!$E$1:$BM$1,),)</f>
        <v/>
      </c>
      <c r="AA36" s="14">
        <f>(VLOOKUP(B36,Data!$E:$BM,MATCH(yoy!$AA$1,Data!$E$1:$BM$1,),)-VLOOKUP(A36,Data!$E:$BM,MATCH(yoy!$AA$1,Data!$E$1:$BM$1,),))/VLOOKUP(A36,Data!$E:$BM,MATCH(yoy!$AA$1,Data!$E$1:$BM$1,),)</f>
        <v/>
      </c>
    </row>
    <row r="37">
      <c r="A37" s="20">
        <f>DATE(YEAR(B37)-1,MONTH(B37),DAY(B37))</f>
        <v/>
      </c>
      <c r="B37" s="12" t="n">
        <v>42979</v>
      </c>
      <c r="C37" s="14">
        <f>(VLOOKUP(B37,Data!$E:$BM,MATCH(yoy!$C$1,Data!$E$1:$BM$1,),)-VLOOKUP(A37,Data!$E:$BM,MATCH(yoy!$C$1,Data!$E$1:$BM$1,),))/VLOOKUP(A37,Data!$E:$BM,MATCH(yoy!$C$1,Data!$E$1:$BM$1,),)</f>
        <v/>
      </c>
      <c r="D37" s="14">
        <f>(VLOOKUP(B37,Data!$E:$BM,MATCH(yoy!$D$1,Data!$E$1:$BM$1,),)-VLOOKUP(A37,Data!$E:$BM,MATCH(yoy!$D$1,Data!$E$1:$BM$1,),))/VLOOKUP(A37,Data!$E:$BM,MATCH(yoy!$D$1,Data!$E$1:$BM$1,),)</f>
        <v/>
      </c>
      <c r="E37" s="14">
        <f>(VLOOKUP(B37,Data!$E:$BM,MATCH(yoy!$E$1,Data!$E$1:$BM$1,),)-VLOOKUP(A37,Data!$E:$BM,MATCH(yoy!$E$1,Data!$E$1:$BM$1,),))/VLOOKUP(A37,Data!$E:$BM,MATCH(yoy!$E$1,Data!$E$1:$BM$1,),)</f>
        <v/>
      </c>
      <c r="F37" s="14">
        <f>(VLOOKUP(B37,Data!$E:$BM,MATCH(yoy!$F$1,Data!$E$1:$BM$1,),)-VLOOKUP(A37,Data!$E:$BM,MATCH(yoy!$F$1,Data!$E$1:$BM$1,),))/VLOOKUP(A37,Data!$E:$BM,MATCH(yoy!$F$1,Data!$E$1:$BM$1,),)</f>
        <v/>
      </c>
      <c r="G37" s="14">
        <f>(VLOOKUP(B37,Data!$E:$BM,MATCH(yoy!$G$1,Data!$E$1:$BM$1,),)-VLOOKUP(A37,Data!$E:$BM,MATCH(yoy!$G$1,Data!$E$1:$BM$1,),))/VLOOKUP(A37,Data!$E:$BM,MATCH(yoy!$G$1,Data!$E$1:$BM$1,),)</f>
        <v/>
      </c>
      <c r="H37" s="14">
        <f>(VLOOKUP(B37,Data!$E:$BM,MATCH(yoy!$H$1,Data!$E$1:$BM$1,),)-VLOOKUP(A37,Data!$E:$BM,MATCH(yoy!$H$1,Data!$E$1:$BM$1,),))/VLOOKUP(A37,Data!$E:$BM,MATCH(yoy!$H$1,Data!$E$1:$BM$1,),)</f>
        <v/>
      </c>
      <c r="I37" s="14">
        <f>(VLOOKUP(B37,Data!$E:$BM,MATCH(yoy!$I$1,Data!$E$1:$BM$1,),)-VLOOKUP(A37,Data!$E:$BM,MATCH(yoy!$I$1,Data!$E$1:$BM$1,),))/VLOOKUP(A37,Data!$E:$BM,MATCH(yoy!$I$1,Data!$E$1:$BM$1,),)</f>
        <v/>
      </c>
      <c r="J37" s="14">
        <f>(VLOOKUP(B37,Data!$E:$BM,MATCH(yoy!$J$1,Data!$E$1:$BM$1,),)-VLOOKUP(A37,Data!$E:$BM,MATCH(yoy!$J$1,Data!$E$1:$BM$1,),))/VLOOKUP(A37,Data!$E:$BM,MATCH(yoy!$J$1,Data!$E$1:$BM$1,),)</f>
        <v/>
      </c>
      <c r="K37" s="14">
        <f>(VLOOKUP(B37,Data!$E:$BM,MATCH(yoy!$K$1,Data!$E$1:$BM$1,),)-VLOOKUP(A37,Data!$E:$BM,MATCH(yoy!$K$1,Data!$E$1:$BM$1,),))/VLOOKUP(A37,Data!$E:$BM,MATCH(yoy!$K$1,Data!$E$1:$BM$1,),)</f>
        <v/>
      </c>
      <c r="L37" s="14">
        <f>(VLOOKUP(B37,Data!$E:$BM,MATCH(yoy!$L$1,Data!$E$1:$BM$1,),)-VLOOKUP(A37,Data!$E:$BM,MATCH(yoy!$L$1,Data!$E$1:$BM$1,),))/VLOOKUP(A37,Data!$E:$BM,MATCH(yoy!$L$1,Data!$E$1:$BM$1,),)</f>
        <v/>
      </c>
      <c r="M37" s="14">
        <f>(VLOOKUP(B37,Data!$E:$BM,MATCH(yoy!$M$1,Data!$E$1:$BM$1,),)-VLOOKUP(A37,Data!$E:$BM,MATCH(yoy!$M$1,Data!$E$1:$BM$1,),))/VLOOKUP(A37,Data!$E:$BM,MATCH(yoy!$M$1,Data!$E$1:$BM$1,),)</f>
        <v/>
      </c>
      <c r="N37" s="14">
        <f>(VLOOKUP(B37,Data!$E:$BM,MATCH(yoy!$N$1,Data!$E$1:$BM$1,),)-VLOOKUP(A37,Data!$E:$BM,MATCH(yoy!$N$1,Data!$E$1:$BM$1,),))/VLOOKUP(A37,Data!$E:$BM,MATCH(yoy!$N$1,Data!$E$1:$BM$1,),)</f>
        <v/>
      </c>
      <c r="O37" s="14">
        <f>(VLOOKUP(B37,Data!$E:$BM,MATCH(yoy!$O$1,Data!$E$1:$BM$1,),)-VLOOKUP(A37,Data!$E:$BM,MATCH(yoy!$O$1,Data!$E$1:$BM$1,),))/VLOOKUP(A37,Data!$E:$BM,MATCH(yoy!$O$1,Data!$E$1:$BM$1,),)</f>
        <v/>
      </c>
      <c r="P37" s="14">
        <f>(VLOOKUP(B37,Data!$E:$BM,MATCH(yoy!$P$1,Data!$E$1:$BM$1,),)-VLOOKUP(A37,Data!$E:$BM,MATCH(yoy!$P$1,Data!$E$1:$BM$1,),))/VLOOKUP(A37,Data!$E:$BM,MATCH(yoy!$P$1,Data!$E$1:$BM$1,),)</f>
        <v/>
      </c>
      <c r="Q37" s="14">
        <f>(VLOOKUP(B37,Data!$E:$BM,MATCH(yoy!$Q$1,Data!$E$1:$BM$1,),)-VLOOKUP(A37,Data!$E:$BM,MATCH(yoy!$Q$1,Data!$E$1:$BM$1,),))/VLOOKUP(A37,Data!$E:$BM,MATCH(yoy!$Q$1,Data!$E$1:$BM$1,),)</f>
        <v/>
      </c>
      <c r="R37" s="14">
        <f>(VLOOKUP(B37,Data!$E:$BM,MATCH(yoy!$R$1,Data!$E$1:$BM$1,),)-VLOOKUP(A37,Data!$E:$BM,MATCH(yoy!$R$1,Data!$E$1:$BM$1,),))/VLOOKUP(A37,Data!$E:$BM,MATCH(yoy!$R$1,Data!$E$1:$BM$1,),)</f>
        <v/>
      </c>
      <c r="S37" s="14">
        <f>(VLOOKUP(B37,Data!$E:$BM,MATCH(yoy!$S$1,Data!$E$1:$BM$1,),)-VLOOKUP(A37,Data!$E:$BM,MATCH(yoy!$S$1,Data!$E$1:$BM$1,),))/VLOOKUP(A37,Data!$E:$BM,MATCH(yoy!$S$1,Data!$E$1:$BM$1,),)</f>
        <v/>
      </c>
      <c r="T37" s="14">
        <f>(VLOOKUP(B37,Data!$E:$BM,MATCH(yoy!$T$1,Data!$E$1:$BM$1,),)-VLOOKUP(A37,Data!$E:$BM,MATCH(yoy!$T$1,Data!$E$1:$BM$1,),))/VLOOKUP(A37,Data!$E:$BM,MATCH(yoy!$T$1,Data!$E$1:$BM$1,),)</f>
        <v/>
      </c>
      <c r="U37" s="14">
        <f>(VLOOKUP(B37,Data!$E:$BM,MATCH(yoy!$U$1,Data!$E$1:$BM$1,),)-VLOOKUP(A37,Data!$E:$BM,MATCH(yoy!$U$1,Data!$E$1:$BM$1,),))/VLOOKUP(A37,Data!$E:$BM,MATCH(yoy!$U$1,Data!$E$1:$BM$1,),)</f>
        <v/>
      </c>
      <c r="V37" s="14">
        <f>(VLOOKUP(B37,Data!$E:$BM,MATCH(yoy!$V$1,Data!$E$1:$BM$1,),)-VLOOKUP(A37,Data!$E:$BM,MATCH(yoy!$V$1,Data!$E$1:$BM$1,),))/VLOOKUP(A37,Data!$E:$BM,MATCH(yoy!$V$1,Data!$E$1:$BM$1,),)</f>
        <v/>
      </c>
      <c r="W37" s="14">
        <f>(VLOOKUP(B37,Data!$E:$BM,MATCH(yoy!$W$1,Data!$E$1:$BM$1,),)-VLOOKUP(A37,Data!$E:$BM,MATCH(yoy!$W$1,Data!$E$1:$BM$1,),))/VLOOKUP(A37,Data!$E:$BM,MATCH(yoy!$W$1,Data!$E$1:$BM$1,),)</f>
        <v/>
      </c>
      <c r="X37" s="14">
        <f>(VLOOKUP(B37,Data!$E:$BM,MATCH(yoy!$X$1,Data!$E$1:$BM$1,),)-VLOOKUP(A37,Data!$E:$BM,MATCH(yoy!$X$1,Data!$E$1:$BM$1,),))/VLOOKUP(A37,Data!$E:$BM,MATCH(yoy!$X$1,Data!$E$1:$BM$1,),)</f>
        <v/>
      </c>
      <c r="Y37" s="14">
        <f>(VLOOKUP(B37,Data!$E:$BM,MATCH(yoy!$Y$1,Data!$E$1:$BM$1,),)-VLOOKUP(A37,Data!$E:$BM,MATCH(yoy!$Y$1,Data!$E$1:$BM$1,),))/VLOOKUP(A37,Data!$E:$BM,MATCH(yoy!$Y$1,Data!$E$1:$BM$1,),)</f>
        <v/>
      </c>
      <c r="Z37" s="14">
        <f>(VLOOKUP(B37,Data!$E:$BM,MATCH(yoy!$Z$1,Data!$E$1:$BM$1,),)-VLOOKUP(A37,Data!$E:$BM,MATCH(yoy!$Z$1,Data!$E$1:$BM$1,),))/VLOOKUP(A37,Data!$E:$BM,MATCH(yoy!$Z$1,Data!$E$1:$BM$1,),)</f>
        <v/>
      </c>
      <c r="AA37" s="14">
        <f>(VLOOKUP(B37,Data!$E:$BM,MATCH(yoy!$AA$1,Data!$E$1:$BM$1,),)-VLOOKUP(A37,Data!$E:$BM,MATCH(yoy!$AA$1,Data!$E$1:$BM$1,),))/VLOOKUP(A37,Data!$E:$BM,MATCH(yoy!$AA$1,Data!$E$1:$BM$1,),)</f>
        <v/>
      </c>
    </row>
    <row r="38">
      <c r="A38" s="20">
        <f>DATE(YEAR(B38)-1,MONTH(B38),DAY(B38))</f>
        <v/>
      </c>
      <c r="B38" s="12" t="n">
        <v>43009</v>
      </c>
      <c r="C38" s="14">
        <f>(VLOOKUP(B38,Data!$E:$BM,MATCH(yoy!$C$1,Data!$E$1:$BM$1,),)-VLOOKUP(A38,Data!$E:$BM,MATCH(yoy!$C$1,Data!$E$1:$BM$1,),))/VLOOKUP(A38,Data!$E:$BM,MATCH(yoy!$C$1,Data!$E$1:$BM$1,),)</f>
        <v/>
      </c>
      <c r="D38" s="14">
        <f>(VLOOKUP(B38,Data!$E:$BM,MATCH(yoy!$D$1,Data!$E$1:$BM$1,),)-VLOOKUP(A38,Data!$E:$BM,MATCH(yoy!$D$1,Data!$E$1:$BM$1,),))/VLOOKUP(A38,Data!$E:$BM,MATCH(yoy!$D$1,Data!$E$1:$BM$1,),)</f>
        <v/>
      </c>
      <c r="E38" s="14">
        <f>(VLOOKUP(B38,Data!$E:$BM,MATCH(yoy!$E$1,Data!$E$1:$BM$1,),)-VLOOKUP(A38,Data!$E:$BM,MATCH(yoy!$E$1,Data!$E$1:$BM$1,),))/VLOOKUP(A38,Data!$E:$BM,MATCH(yoy!$E$1,Data!$E$1:$BM$1,),)</f>
        <v/>
      </c>
      <c r="F38" s="14">
        <f>(VLOOKUP(B38,Data!$E:$BM,MATCH(yoy!$F$1,Data!$E$1:$BM$1,),)-VLOOKUP(A38,Data!$E:$BM,MATCH(yoy!$F$1,Data!$E$1:$BM$1,),))/VLOOKUP(A38,Data!$E:$BM,MATCH(yoy!$F$1,Data!$E$1:$BM$1,),)</f>
        <v/>
      </c>
      <c r="G38" s="14">
        <f>(VLOOKUP(B38,Data!$E:$BM,MATCH(yoy!$G$1,Data!$E$1:$BM$1,),)-VLOOKUP(A38,Data!$E:$BM,MATCH(yoy!$G$1,Data!$E$1:$BM$1,),))/VLOOKUP(A38,Data!$E:$BM,MATCH(yoy!$G$1,Data!$E$1:$BM$1,),)</f>
        <v/>
      </c>
      <c r="H38" s="14">
        <f>(VLOOKUP(B38,Data!$E:$BM,MATCH(yoy!$H$1,Data!$E$1:$BM$1,),)-VLOOKUP(A38,Data!$E:$BM,MATCH(yoy!$H$1,Data!$E$1:$BM$1,),))/VLOOKUP(A38,Data!$E:$BM,MATCH(yoy!$H$1,Data!$E$1:$BM$1,),)</f>
        <v/>
      </c>
      <c r="I38" s="14">
        <f>(VLOOKUP(B38,Data!$E:$BM,MATCH(yoy!$I$1,Data!$E$1:$BM$1,),)-VLOOKUP(A38,Data!$E:$BM,MATCH(yoy!$I$1,Data!$E$1:$BM$1,),))/VLOOKUP(A38,Data!$E:$BM,MATCH(yoy!$I$1,Data!$E$1:$BM$1,),)</f>
        <v/>
      </c>
      <c r="J38" s="14">
        <f>(VLOOKUP(B38,Data!$E:$BM,MATCH(yoy!$J$1,Data!$E$1:$BM$1,),)-VLOOKUP(A38,Data!$E:$BM,MATCH(yoy!$J$1,Data!$E$1:$BM$1,),))/VLOOKUP(A38,Data!$E:$BM,MATCH(yoy!$J$1,Data!$E$1:$BM$1,),)</f>
        <v/>
      </c>
      <c r="K38" s="14">
        <f>(VLOOKUP(B38,Data!$E:$BM,MATCH(yoy!$K$1,Data!$E$1:$BM$1,),)-VLOOKUP(A38,Data!$E:$BM,MATCH(yoy!$K$1,Data!$E$1:$BM$1,),))/VLOOKUP(A38,Data!$E:$BM,MATCH(yoy!$K$1,Data!$E$1:$BM$1,),)</f>
        <v/>
      </c>
      <c r="L38" s="14">
        <f>(VLOOKUP(B38,Data!$E:$BM,MATCH(yoy!$L$1,Data!$E$1:$BM$1,),)-VLOOKUP(A38,Data!$E:$BM,MATCH(yoy!$L$1,Data!$E$1:$BM$1,),))/VLOOKUP(A38,Data!$E:$BM,MATCH(yoy!$L$1,Data!$E$1:$BM$1,),)</f>
        <v/>
      </c>
      <c r="M38" s="14">
        <f>(VLOOKUP(B38,Data!$E:$BM,MATCH(yoy!$M$1,Data!$E$1:$BM$1,),)-VLOOKUP(A38,Data!$E:$BM,MATCH(yoy!$M$1,Data!$E$1:$BM$1,),))/VLOOKUP(A38,Data!$E:$BM,MATCH(yoy!$M$1,Data!$E$1:$BM$1,),)</f>
        <v/>
      </c>
      <c r="N38" s="14">
        <f>(VLOOKUP(B38,Data!$E:$BM,MATCH(yoy!$N$1,Data!$E$1:$BM$1,),)-VLOOKUP(A38,Data!$E:$BM,MATCH(yoy!$N$1,Data!$E$1:$BM$1,),))/VLOOKUP(A38,Data!$E:$BM,MATCH(yoy!$N$1,Data!$E$1:$BM$1,),)</f>
        <v/>
      </c>
      <c r="O38" s="14">
        <f>(VLOOKUP(B38,Data!$E:$BM,MATCH(yoy!$O$1,Data!$E$1:$BM$1,),)-VLOOKUP(A38,Data!$E:$BM,MATCH(yoy!$O$1,Data!$E$1:$BM$1,),))/VLOOKUP(A38,Data!$E:$BM,MATCH(yoy!$O$1,Data!$E$1:$BM$1,),)</f>
        <v/>
      </c>
      <c r="P38" s="14">
        <f>(VLOOKUP(B38,Data!$E:$BM,MATCH(yoy!$P$1,Data!$E$1:$BM$1,),)-VLOOKUP(A38,Data!$E:$BM,MATCH(yoy!$P$1,Data!$E$1:$BM$1,),))/VLOOKUP(A38,Data!$E:$BM,MATCH(yoy!$P$1,Data!$E$1:$BM$1,),)</f>
        <v/>
      </c>
      <c r="Q38" s="14">
        <f>(VLOOKUP(B38,Data!$E:$BM,MATCH(yoy!$Q$1,Data!$E$1:$BM$1,),)-VLOOKUP(A38,Data!$E:$BM,MATCH(yoy!$Q$1,Data!$E$1:$BM$1,),))/VLOOKUP(A38,Data!$E:$BM,MATCH(yoy!$Q$1,Data!$E$1:$BM$1,),)</f>
        <v/>
      </c>
      <c r="R38" s="14">
        <f>(VLOOKUP(B38,Data!$E:$BM,MATCH(yoy!$R$1,Data!$E$1:$BM$1,),)-VLOOKUP(A38,Data!$E:$BM,MATCH(yoy!$R$1,Data!$E$1:$BM$1,),))/VLOOKUP(A38,Data!$E:$BM,MATCH(yoy!$R$1,Data!$E$1:$BM$1,),)</f>
        <v/>
      </c>
      <c r="S38" s="14">
        <f>(VLOOKUP(B38,Data!$E:$BM,MATCH(yoy!$S$1,Data!$E$1:$BM$1,),)-VLOOKUP(A38,Data!$E:$BM,MATCH(yoy!$S$1,Data!$E$1:$BM$1,),))/VLOOKUP(A38,Data!$E:$BM,MATCH(yoy!$S$1,Data!$E$1:$BM$1,),)</f>
        <v/>
      </c>
      <c r="T38" s="14">
        <f>(VLOOKUP(B38,Data!$E:$BM,MATCH(yoy!$T$1,Data!$E$1:$BM$1,),)-VLOOKUP(A38,Data!$E:$BM,MATCH(yoy!$T$1,Data!$E$1:$BM$1,),))/VLOOKUP(A38,Data!$E:$BM,MATCH(yoy!$T$1,Data!$E$1:$BM$1,),)</f>
        <v/>
      </c>
      <c r="U38" s="14">
        <f>(VLOOKUP(B38,Data!$E:$BM,MATCH(yoy!$U$1,Data!$E$1:$BM$1,),)-VLOOKUP(A38,Data!$E:$BM,MATCH(yoy!$U$1,Data!$E$1:$BM$1,),))/VLOOKUP(A38,Data!$E:$BM,MATCH(yoy!$U$1,Data!$E$1:$BM$1,),)</f>
        <v/>
      </c>
      <c r="V38" s="14">
        <f>(VLOOKUP(B38,Data!$E:$BM,MATCH(yoy!$V$1,Data!$E$1:$BM$1,),)-VLOOKUP(A38,Data!$E:$BM,MATCH(yoy!$V$1,Data!$E$1:$BM$1,),))/VLOOKUP(A38,Data!$E:$BM,MATCH(yoy!$V$1,Data!$E$1:$BM$1,),)</f>
        <v/>
      </c>
      <c r="W38" s="14">
        <f>(VLOOKUP(B38,Data!$E:$BM,MATCH(yoy!$W$1,Data!$E$1:$BM$1,),)-VLOOKUP(A38,Data!$E:$BM,MATCH(yoy!$W$1,Data!$E$1:$BM$1,),))/VLOOKUP(A38,Data!$E:$BM,MATCH(yoy!$W$1,Data!$E$1:$BM$1,),)</f>
        <v/>
      </c>
      <c r="X38" s="14">
        <f>(VLOOKUP(B38,Data!$E:$BM,MATCH(yoy!$X$1,Data!$E$1:$BM$1,),)-VLOOKUP(A38,Data!$E:$BM,MATCH(yoy!$X$1,Data!$E$1:$BM$1,),))/VLOOKUP(A38,Data!$E:$BM,MATCH(yoy!$X$1,Data!$E$1:$BM$1,),)</f>
        <v/>
      </c>
      <c r="Y38" s="14">
        <f>(VLOOKUP(B38,Data!$E:$BM,MATCH(yoy!$Y$1,Data!$E$1:$BM$1,),)-VLOOKUP(A38,Data!$E:$BM,MATCH(yoy!$Y$1,Data!$E$1:$BM$1,),))/VLOOKUP(A38,Data!$E:$BM,MATCH(yoy!$Y$1,Data!$E$1:$BM$1,),)</f>
        <v/>
      </c>
      <c r="Z38" s="14">
        <f>(VLOOKUP(B38,Data!$E:$BM,MATCH(yoy!$Z$1,Data!$E$1:$BM$1,),)-VLOOKUP(A38,Data!$E:$BM,MATCH(yoy!$Z$1,Data!$E$1:$BM$1,),))/VLOOKUP(A38,Data!$E:$BM,MATCH(yoy!$Z$1,Data!$E$1:$BM$1,),)</f>
        <v/>
      </c>
      <c r="AA38" s="14">
        <f>(VLOOKUP(B38,Data!$E:$BM,MATCH(yoy!$AA$1,Data!$E$1:$BM$1,),)-VLOOKUP(A38,Data!$E:$BM,MATCH(yoy!$AA$1,Data!$E$1:$BM$1,),))/VLOOKUP(A38,Data!$E:$BM,MATCH(yoy!$AA$1,Data!$E$1:$BM$1,),)</f>
        <v/>
      </c>
    </row>
    <row r="39">
      <c r="A39" s="20">
        <f>DATE(YEAR(B39)-1,MONTH(B39),DAY(B39))</f>
        <v/>
      </c>
      <c r="B39" s="12" t="n">
        <v>43040</v>
      </c>
      <c r="C39" s="14">
        <f>(VLOOKUP(B39,Data!$E:$BM,MATCH(yoy!$C$1,Data!$E$1:$BM$1,),)-VLOOKUP(A39,Data!$E:$BM,MATCH(yoy!$C$1,Data!$E$1:$BM$1,),))/VLOOKUP(A39,Data!$E:$BM,MATCH(yoy!$C$1,Data!$E$1:$BM$1,),)</f>
        <v/>
      </c>
      <c r="D39" s="14">
        <f>(VLOOKUP(B39,Data!$E:$BM,MATCH(yoy!$D$1,Data!$E$1:$BM$1,),)-VLOOKUP(A39,Data!$E:$BM,MATCH(yoy!$D$1,Data!$E$1:$BM$1,),))/VLOOKUP(A39,Data!$E:$BM,MATCH(yoy!$D$1,Data!$E$1:$BM$1,),)</f>
        <v/>
      </c>
      <c r="E39" s="14">
        <f>(VLOOKUP(B39,Data!$E:$BM,MATCH(yoy!$E$1,Data!$E$1:$BM$1,),)-VLOOKUP(A39,Data!$E:$BM,MATCH(yoy!$E$1,Data!$E$1:$BM$1,),))/VLOOKUP(A39,Data!$E:$BM,MATCH(yoy!$E$1,Data!$E$1:$BM$1,),)</f>
        <v/>
      </c>
      <c r="F39" s="14">
        <f>(VLOOKUP(B39,Data!$E:$BM,MATCH(yoy!$F$1,Data!$E$1:$BM$1,),)-VLOOKUP(A39,Data!$E:$BM,MATCH(yoy!$F$1,Data!$E$1:$BM$1,),))/VLOOKUP(A39,Data!$E:$BM,MATCH(yoy!$F$1,Data!$E$1:$BM$1,),)</f>
        <v/>
      </c>
      <c r="G39" s="14">
        <f>(VLOOKUP(B39,Data!$E:$BM,MATCH(yoy!$G$1,Data!$E$1:$BM$1,),)-VLOOKUP(A39,Data!$E:$BM,MATCH(yoy!$G$1,Data!$E$1:$BM$1,),))/VLOOKUP(A39,Data!$E:$BM,MATCH(yoy!$G$1,Data!$E$1:$BM$1,),)</f>
        <v/>
      </c>
      <c r="H39" s="14">
        <f>(VLOOKUP(B39,Data!$E:$BM,MATCH(yoy!$H$1,Data!$E$1:$BM$1,),)-VLOOKUP(A39,Data!$E:$BM,MATCH(yoy!$H$1,Data!$E$1:$BM$1,),))/VLOOKUP(A39,Data!$E:$BM,MATCH(yoy!$H$1,Data!$E$1:$BM$1,),)</f>
        <v/>
      </c>
      <c r="I39" s="14">
        <f>(VLOOKUP(B39,Data!$E:$BM,MATCH(yoy!$I$1,Data!$E$1:$BM$1,),)-VLOOKUP(A39,Data!$E:$BM,MATCH(yoy!$I$1,Data!$E$1:$BM$1,),))/VLOOKUP(A39,Data!$E:$BM,MATCH(yoy!$I$1,Data!$E$1:$BM$1,),)</f>
        <v/>
      </c>
      <c r="J39" s="14">
        <f>(VLOOKUP(B39,Data!$E:$BM,MATCH(yoy!$J$1,Data!$E$1:$BM$1,),)-VLOOKUP(A39,Data!$E:$BM,MATCH(yoy!$J$1,Data!$E$1:$BM$1,),))/VLOOKUP(A39,Data!$E:$BM,MATCH(yoy!$J$1,Data!$E$1:$BM$1,),)</f>
        <v/>
      </c>
      <c r="K39" s="14">
        <f>(VLOOKUP(B39,Data!$E:$BM,MATCH(yoy!$K$1,Data!$E$1:$BM$1,),)-VLOOKUP(A39,Data!$E:$BM,MATCH(yoy!$K$1,Data!$E$1:$BM$1,),))/VLOOKUP(A39,Data!$E:$BM,MATCH(yoy!$K$1,Data!$E$1:$BM$1,),)</f>
        <v/>
      </c>
      <c r="L39" s="14">
        <f>(VLOOKUP(B39,Data!$E:$BM,MATCH(yoy!$L$1,Data!$E$1:$BM$1,),)-VLOOKUP(A39,Data!$E:$BM,MATCH(yoy!$L$1,Data!$E$1:$BM$1,),))/VLOOKUP(A39,Data!$E:$BM,MATCH(yoy!$L$1,Data!$E$1:$BM$1,),)</f>
        <v/>
      </c>
      <c r="M39" s="14">
        <f>(VLOOKUP(B39,Data!$E:$BM,MATCH(yoy!$M$1,Data!$E$1:$BM$1,),)-VLOOKUP(A39,Data!$E:$BM,MATCH(yoy!$M$1,Data!$E$1:$BM$1,),))/VLOOKUP(A39,Data!$E:$BM,MATCH(yoy!$M$1,Data!$E$1:$BM$1,),)</f>
        <v/>
      </c>
      <c r="N39" s="14">
        <f>(VLOOKUP(B39,Data!$E:$BM,MATCH(yoy!$N$1,Data!$E$1:$BM$1,),)-VLOOKUP(A39,Data!$E:$BM,MATCH(yoy!$N$1,Data!$E$1:$BM$1,),))/VLOOKUP(A39,Data!$E:$BM,MATCH(yoy!$N$1,Data!$E$1:$BM$1,),)</f>
        <v/>
      </c>
      <c r="O39" s="14">
        <f>(VLOOKUP(B39,Data!$E:$BM,MATCH(yoy!$O$1,Data!$E$1:$BM$1,),)-VLOOKUP(A39,Data!$E:$BM,MATCH(yoy!$O$1,Data!$E$1:$BM$1,),))/VLOOKUP(A39,Data!$E:$BM,MATCH(yoy!$O$1,Data!$E$1:$BM$1,),)</f>
        <v/>
      </c>
      <c r="P39" s="14">
        <f>(VLOOKUP(B39,Data!$E:$BM,MATCH(yoy!$P$1,Data!$E$1:$BM$1,),)-VLOOKUP(A39,Data!$E:$BM,MATCH(yoy!$P$1,Data!$E$1:$BM$1,),))/VLOOKUP(A39,Data!$E:$BM,MATCH(yoy!$P$1,Data!$E$1:$BM$1,),)</f>
        <v/>
      </c>
      <c r="Q39" s="14">
        <f>(VLOOKUP(B39,Data!$E:$BM,MATCH(yoy!$Q$1,Data!$E$1:$BM$1,),)-VLOOKUP(A39,Data!$E:$BM,MATCH(yoy!$Q$1,Data!$E$1:$BM$1,),))/VLOOKUP(A39,Data!$E:$BM,MATCH(yoy!$Q$1,Data!$E$1:$BM$1,),)</f>
        <v/>
      </c>
      <c r="R39" s="14">
        <f>(VLOOKUP(B39,Data!$E:$BM,MATCH(yoy!$R$1,Data!$E$1:$BM$1,),)-VLOOKUP(A39,Data!$E:$BM,MATCH(yoy!$R$1,Data!$E$1:$BM$1,),))/VLOOKUP(A39,Data!$E:$BM,MATCH(yoy!$R$1,Data!$E$1:$BM$1,),)</f>
        <v/>
      </c>
      <c r="S39" s="14">
        <f>(VLOOKUP(B39,Data!$E:$BM,MATCH(yoy!$S$1,Data!$E$1:$BM$1,),)-VLOOKUP(A39,Data!$E:$BM,MATCH(yoy!$S$1,Data!$E$1:$BM$1,),))/VLOOKUP(A39,Data!$E:$BM,MATCH(yoy!$S$1,Data!$E$1:$BM$1,),)</f>
        <v/>
      </c>
      <c r="T39" s="14">
        <f>(VLOOKUP(B39,Data!$E:$BM,MATCH(yoy!$T$1,Data!$E$1:$BM$1,),)-VLOOKUP(A39,Data!$E:$BM,MATCH(yoy!$T$1,Data!$E$1:$BM$1,),))/VLOOKUP(A39,Data!$E:$BM,MATCH(yoy!$T$1,Data!$E$1:$BM$1,),)</f>
        <v/>
      </c>
      <c r="U39" s="14">
        <f>(VLOOKUP(B39,Data!$E:$BM,MATCH(yoy!$U$1,Data!$E$1:$BM$1,),)-VLOOKUP(A39,Data!$E:$BM,MATCH(yoy!$U$1,Data!$E$1:$BM$1,),))/VLOOKUP(A39,Data!$E:$BM,MATCH(yoy!$U$1,Data!$E$1:$BM$1,),)</f>
        <v/>
      </c>
      <c r="V39" s="14">
        <f>(VLOOKUP(B39,Data!$E:$BM,MATCH(yoy!$V$1,Data!$E$1:$BM$1,),)-VLOOKUP(A39,Data!$E:$BM,MATCH(yoy!$V$1,Data!$E$1:$BM$1,),))/VLOOKUP(A39,Data!$E:$BM,MATCH(yoy!$V$1,Data!$E$1:$BM$1,),)</f>
        <v/>
      </c>
      <c r="W39" s="14">
        <f>(VLOOKUP(B39,Data!$E:$BM,MATCH(yoy!$W$1,Data!$E$1:$BM$1,),)-VLOOKUP(A39,Data!$E:$BM,MATCH(yoy!$W$1,Data!$E$1:$BM$1,),))/VLOOKUP(A39,Data!$E:$BM,MATCH(yoy!$W$1,Data!$E$1:$BM$1,),)</f>
        <v/>
      </c>
      <c r="X39" s="14">
        <f>(VLOOKUP(B39,Data!$E:$BM,MATCH(yoy!$X$1,Data!$E$1:$BM$1,),)-VLOOKUP(A39,Data!$E:$BM,MATCH(yoy!$X$1,Data!$E$1:$BM$1,),))/VLOOKUP(A39,Data!$E:$BM,MATCH(yoy!$X$1,Data!$E$1:$BM$1,),)</f>
        <v/>
      </c>
      <c r="Y39" s="14">
        <f>(VLOOKUP(B39,Data!$E:$BM,MATCH(yoy!$Y$1,Data!$E$1:$BM$1,),)-VLOOKUP(A39,Data!$E:$BM,MATCH(yoy!$Y$1,Data!$E$1:$BM$1,),))/VLOOKUP(A39,Data!$E:$BM,MATCH(yoy!$Y$1,Data!$E$1:$BM$1,),)</f>
        <v/>
      </c>
      <c r="Z39" s="14">
        <f>(VLOOKUP(B39,Data!$E:$BM,MATCH(yoy!$Z$1,Data!$E$1:$BM$1,),)-VLOOKUP(A39,Data!$E:$BM,MATCH(yoy!$Z$1,Data!$E$1:$BM$1,),))/VLOOKUP(A39,Data!$E:$BM,MATCH(yoy!$Z$1,Data!$E$1:$BM$1,),)</f>
        <v/>
      </c>
      <c r="AA39" s="14">
        <f>(VLOOKUP(B39,Data!$E:$BM,MATCH(yoy!$AA$1,Data!$E$1:$BM$1,),)-VLOOKUP(A39,Data!$E:$BM,MATCH(yoy!$AA$1,Data!$E$1:$BM$1,),))/VLOOKUP(A39,Data!$E:$BM,MATCH(yoy!$AA$1,Data!$E$1:$BM$1,),)</f>
        <v/>
      </c>
    </row>
    <row r="40">
      <c r="A40" s="20">
        <f>DATE(YEAR(B40)-1,MONTH(B40),DAY(B40))</f>
        <v/>
      </c>
      <c r="B40" s="12" t="n">
        <v>43070</v>
      </c>
      <c r="C40" s="14">
        <f>(VLOOKUP(B40,Data!$E:$BM,MATCH(yoy!$C$1,Data!$E$1:$BM$1,),)-VLOOKUP(A40,Data!$E:$BM,MATCH(yoy!$C$1,Data!$E$1:$BM$1,),))/VLOOKUP(A40,Data!$E:$BM,MATCH(yoy!$C$1,Data!$E$1:$BM$1,),)</f>
        <v/>
      </c>
      <c r="D40" s="14">
        <f>(VLOOKUP(B40,Data!$E:$BM,MATCH(yoy!$D$1,Data!$E$1:$BM$1,),)-VLOOKUP(A40,Data!$E:$BM,MATCH(yoy!$D$1,Data!$E$1:$BM$1,),))/VLOOKUP(A40,Data!$E:$BM,MATCH(yoy!$D$1,Data!$E$1:$BM$1,),)</f>
        <v/>
      </c>
      <c r="E40" s="14">
        <f>(VLOOKUP(B40,Data!$E:$BM,MATCH(yoy!$E$1,Data!$E$1:$BM$1,),)-VLOOKUP(A40,Data!$E:$BM,MATCH(yoy!$E$1,Data!$E$1:$BM$1,),))/VLOOKUP(A40,Data!$E:$BM,MATCH(yoy!$E$1,Data!$E$1:$BM$1,),)</f>
        <v/>
      </c>
      <c r="F40" s="14">
        <f>(VLOOKUP(B40,Data!$E:$BM,MATCH(yoy!$F$1,Data!$E$1:$BM$1,),)-VLOOKUP(A40,Data!$E:$BM,MATCH(yoy!$F$1,Data!$E$1:$BM$1,),))/VLOOKUP(A40,Data!$E:$BM,MATCH(yoy!$F$1,Data!$E$1:$BM$1,),)</f>
        <v/>
      </c>
      <c r="G40" s="14">
        <f>(VLOOKUP(B40,Data!$E:$BM,MATCH(yoy!$G$1,Data!$E$1:$BM$1,),)-VLOOKUP(A40,Data!$E:$BM,MATCH(yoy!$G$1,Data!$E$1:$BM$1,),))/VLOOKUP(A40,Data!$E:$BM,MATCH(yoy!$G$1,Data!$E$1:$BM$1,),)</f>
        <v/>
      </c>
      <c r="H40" s="14">
        <f>(VLOOKUP(B40,Data!$E:$BM,MATCH(yoy!$H$1,Data!$E$1:$BM$1,),)-VLOOKUP(A40,Data!$E:$BM,MATCH(yoy!$H$1,Data!$E$1:$BM$1,),))/VLOOKUP(A40,Data!$E:$BM,MATCH(yoy!$H$1,Data!$E$1:$BM$1,),)</f>
        <v/>
      </c>
      <c r="I40" s="14">
        <f>(VLOOKUP(B40,Data!$E:$BM,MATCH(yoy!$I$1,Data!$E$1:$BM$1,),)-VLOOKUP(A40,Data!$E:$BM,MATCH(yoy!$I$1,Data!$E$1:$BM$1,),))/VLOOKUP(A40,Data!$E:$BM,MATCH(yoy!$I$1,Data!$E$1:$BM$1,),)</f>
        <v/>
      </c>
      <c r="J40" s="14">
        <f>(VLOOKUP(B40,Data!$E:$BM,MATCH(yoy!$J$1,Data!$E$1:$BM$1,),)-VLOOKUP(A40,Data!$E:$BM,MATCH(yoy!$J$1,Data!$E$1:$BM$1,),))/VLOOKUP(A40,Data!$E:$BM,MATCH(yoy!$J$1,Data!$E$1:$BM$1,),)</f>
        <v/>
      </c>
      <c r="K40" s="14">
        <f>(VLOOKUP(B40,Data!$E:$BM,MATCH(yoy!$K$1,Data!$E$1:$BM$1,),)-VLOOKUP(A40,Data!$E:$BM,MATCH(yoy!$K$1,Data!$E$1:$BM$1,),))/VLOOKUP(A40,Data!$E:$BM,MATCH(yoy!$K$1,Data!$E$1:$BM$1,),)</f>
        <v/>
      </c>
      <c r="L40" s="14">
        <f>(VLOOKUP(B40,Data!$E:$BM,MATCH(yoy!$L$1,Data!$E$1:$BM$1,),)-VLOOKUP(A40,Data!$E:$BM,MATCH(yoy!$L$1,Data!$E$1:$BM$1,),))/VLOOKUP(A40,Data!$E:$BM,MATCH(yoy!$L$1,Data!$E$1:$BM$1,),)</f>
        <v/>
      </c>
      <c r="M40" s="14">
        <f>(VLOOKUP(B40,Data!$E:$BM,MATCH(yoy!$M$1,Data!$E$1:$BM$1,),)-VLOOKUP(A40,Data!$E:$BM,MATCH(yoy!$M$1,Data!$E$1:$BM$1,),))/VLOOKUP(A40,Data!$E:$BM,MATCH(yoy!$M$1,Data!$E$1:$BM$1,),)</f>
        <v/>
      </c>
      <c r="N40" s="14">
        <f>(VLOOKUP(B40,Data!$E:$BM,MATCH(yoy!$N$1,Data!$E$1:$BM$1,),)-VLOOKUP(A40,Data!$E:$BM,MATCH(yoy!$N$1,Data!$E$1:$BM$1,),))/VLOOKUP(A40,Data!$E:$BM,MATCH(yoy!$N$1,Data!$E$1:$BM$1,),)</f>
        <v/>
      </c>
      <c r="O40" s="14">
        <f>(VLOOKUP(B40,Data!$E:$BM,MATCH(yoy!$O$1,Data!$E$1:$BM$1,),)-VLOOKUP(A40,Data!$E:$BM,MATCH(yoy!$O$1,Data!$E$1:$BM$1,),))/VLOOKUP(A40,Data!$E:$BM,MATCH(yoy!$O$1,Data!$E$1:$BM$1,),)</f>
        <v/>
      </c>
      <c r="P40" s="14">
        <f>(VLOOKUP(B40,Data!$E:$BM,MATCH(yoy!$P$1,Data!$E$1:$BM$1,),)-VLOOKUP(A40,Data!$E:$BM,MATCH(yoy!$P$1,Data!$E$1:$BM$1,),))/VLOOKUP(A40,Data!$E:$BM,MATCH(yoy!$P$1,Data!$E$1:$BM$1,),)</f>
        <v/>
      </c>
      <c r="Q40" s="14">
        <f>(VLOOKUP(B40,Data!$E:$BM,MATCH(yoy!$Q$1,Data!$E$1:$BM$1,),)-VLOOKUP(A40,Data!$E:$BM,MATCH(yoy!$Q$1,Data!$E$1:$BM$1,),))/VLOOKUP(A40,Data!$E:$BM,MATCH(yoy!$Q$1,Data!$E$1:$BM$1,),)</f>
        <v/>
      </c>
      <c r="R40" s="14">
        <f>(VLOOKUP(B40,Data!$E:$BM,MATCH(yoy!$R$1,Data!$E$1:$BM$1,),)-VLOOKUP(A40,Data!$E:$BM,MATCH(yoy!$R$1,Data!$E$1:$BM$1,),))/VLOOKUP(A40,Data!$E:$BM,MATCH(yoy!$R$1,Data!$E$1:$BM$1,),)</f>
        <v/>
      </c>
      <c r="S40" s="14">
        <f>(VLOOKUP(B40,Data!$E:$BM,MATCH(yoy!$S$1,Data!$E$1:$BM$1,),)-VLOOKUP(A40,Data!$E:$BM,MATCH(yoy!$S$1,Data!$E$1:$BM$1,),))/VLOOKUP(A40,Data!$E:$BM,MATCH(yoy!$S$1,Data!$E$1:$BM$1,),)</f>
        <v/>
      </c>
      <c r="T40" s="14">
        <f>(VLOOKUP(B40,Data!$E:$BM,MATCH(yoy!$T$1,Data!$E$1:$BM$1,),)-VLOOKUP(A40,Data!$E:$BM,MATCH(yoy!$T$1,Data!$E$1:$BM$1,),))/VLOOKUP(A40,Data!$E:$BM,MATCH(yoy!$T$1,Data!$E$1:$BM$1,),)</f>
        <v/>
      </c>
      <c r="U40" s="14">
        <f>(VLOOKUP(B40,Data!$E:$BM,MATCH(yoy!$U$1,Data!$E$1:$BM$1,),)-VLOOKUP(A40,Data!$E:$BM,MATCH(yoy!$U$1,Data!$E$1:$BM$1,),))/VLOOKUP(A40,Data!$E:$BM,MATCH(yoy!$U$1,Data!$E$1:$BM$1,),)</f>
        <v/>
      </c>
      <c r="V40" s="14">
        <f>(VLOOKUP(B40,Data!$E:$BM,MATCH(yoy!$V$1,Data!$E$1:$BM$1,),)-VLOOKUP(A40,Data!$E:$BM,MATCH(yoy!$V$1,Data!$E$1:$BM$1,),))/VLOOKUP(A40,Data!$E:$BM,MATCH(yoy!$V$1,Data!$E$1:$BM$1,),)</f>
        <v/>
      </c>
      <c r="W40" s="14">
        <f>(VLOOKUP(B40,Data!$E:$BM,MATCH(yoy!$W$1,Data!$E$1:$BM$1,),)-VLOOKUP(A40,Data!$E:$BM,MATCH(yoy!$W$1,Data!$E$1:$BM$1,),))/VLOOKUP(A40,Data!$E:$BM,MATCH(yoy!$W$1,Data!$E$1:$BM$1,),)</f>
        <v/>
      </c>
      <c r="X40" s="14">
        <f>(VLOOKUP(B40,Data!$E:$BM,MATCH(yoy!$X$1,Data!$E$1:$BM$1,),)-VLOOKUP(A40,Data!$E:$BM,MATCH(yoy!$X$1,Data!$E$1:$BM$1,),))/VLOOKUP(A40,Data!$E:$BM,MATCH(yoy!$X$1,Data!$E$1:$BM$1,),)</f>
        <v/>
      </c>
      <c r="Y40" s="14">
        <f>(VLOOKUP(B40,Data!$E:$BM,MATCH(yoy!$Y$1,Data!$E$1:$BM$1,),)-VLOOKUP(A40,Data!$E:$BM,MATCH(yoy!$Y$1,Data!$E$1:$BM$1,),))/VLOOKUP(A40,Data!$E:$BM,MATCH(yoy!$Y$1,Data!$E$1:$BM$1,),)</f>
        <v/>
      </c>
      <c r="Z40" s="14">
        <f>(VLOOKUP(B40,Data!$E:$BM,MATCH(yoy!$Z$1,Data!$E$1:$BM$1,),)-VLOOKUP(A40,Data!$E:$BM,MATCH(yoy!$Z$1,Data!$E$1:$BM$1,),))/VLOOKUP(A40,Data!$E:$BM,MATCH(yoy!$Z$1,Data!$E$1:$BM$1,),)</f>
        <v/>
      </c>
      <c r="AA40" s="14">
        <f>(VLOOKUP(B40,Data!$E:$BM,MATCH(yoy!$AA$1,Data!$E$1:$BM$1,),)-VLOOKUP(A40,Data!$E:$BM,MATCH(yoy!$AA$1,Data!$E$1:$BM$1,),))/VLOOKUP(A40,Data!$E:$BM,MATCH(yoy!$AA$1,Data!$E$1:$BM$1,),)</f>
        <v/>
      </c>
    </row>
    <row r="41">
      <c r="A41" s="20">
        <f>DATE(YEAR(B41)-1,MONTH(B41),DAY(B41))</f>
        <v/>
      </c>
      <c r="B41" s="12" t="n">
        <v>43101</v>
      </c>
      <c r="C41" s="14">
        <f>(VLOOKUP(B41,Data!$E:$BM,MATCH(yoy!$C$1,Data!$E$1:$BM$1,),)-VLOOKUP(A41,Data!$E:$BM,MATCH(yoy!$C$1,Data!$E$1:$BM$1,),))/VLOOKUP(A41,Data!$E:$BM,MATCH(yoy!$C$1,Data!$E$1:$BM$1,),)</f>
        <v/>
      </c>
      <c r="D41" s="14">
        <f>(VLOOKUP(B41,Data!$E:$BM,MATCH(yoy!$D$1,Data!$E$1:$BM$1,),)-VLOOKUP(A41,Data!$E:$BM,MATCH(yoy!$D$1,Data!$E$1:$BM$1,),))/VLOOKUP(A41,Data!$E:$BM,MATCH(yoy!$D$1,Data!$E$1:$BM$1,),)</f>
        <v/>
      </c>
      <c r="E41" s="14">
        <f>(VLOOKUP(B41,Data!$E:$BM,MATCH(yoy!$E$1,Data!$E$1:$BM$1,),)-VLOOKUP(A41,Data!$E:$BM,MATCH(yoy!$E$1,Data!$E$1:$BM$1,),))/VLOOKUP(A41,Data!$E:$BM,MATCH(yoy!$E$1,Data!$E$1:$BM$1,),)</f>
        <v/>
      </c>
      <c r="F41" s="14">
        <f>(VLOOKUP(B41,Data!$E:$BM,MATCH(yoy!$F$1,Data!$E$1:$BM$1,),)-VLOOKUP(A41,Data!$E:$BM,MATCH(yoy!$F$1,Data!$E$1:$BM$1,),))/VLOOKUP(A41,Data!$E:$BM,MATCH(yoy!$F$1,Data!$E$1:$BM$1,),)</f>
        <v/>
      </c>
      <c r="G41" s="14">
        <f>(VLOOKUP(B41,Data!$E:$BM,MATCH(yoy!$G$1,Data!$E$1:$BM$1,),)-VLOOKUP(A41,Data!$E:$BM,MATCH(yoy!$G$1,Data!$E$1:$BM$1,),))/VLOOKUP(A41,Data!$E:$BM,MATCH(yoy!$G$1,Data!$E$1:$BM$1,),)</f>
        <v/>
      </c>
      <c r="H41" s="14">
        <f>(VLOOKUP(B41,Data!$E:$BM,MATCH(yoy!$H$1,Data!$E$1:$BM$1,),)-VLOOKUP(A41,Data!$E:$BM,MATCH(yoy!$H$1,Data!$E$1:$BM$1,),))/VLOOKUP(A41,Data!$E:$BM,MATCH(yoy!$H$1,Data!$E$1:$BM$1,),)</f>
        <v/>
      </c>
      <c r="I41" s="14">
        <f>(VLOOKUP(B41,Data!$E:$BM,MATCH(yoy!$I$1,Data!$E$1:$BM$1,),)-VLOOKUP(A41,Data!$E:$BM,MATCH(yoy!$I$1,Data!$E$1:$BM$1,),))/VLOOKUP(A41,Data!$E:$BM,MATCH(yoy!$I$1,Data!$E$1:$BM$1,),)</f>
        <v/>
      </c>
      <c r="J41" s="14">
        <f>(VLOOKUP(B41,Data!$E:$BM,MATCH(yoy!$J$1,Data!$E$1:$BM$1,),)-VLOOKUP(A41,Data!$E:$BM,MATCH(yoy!$J$1,Data!$E$1:$BM$1,),))/VLOOKUP(A41,Data!$E:$BM,MATCH(yoy!$J$1,Data!$E$1:$BM$1,),)</f>
        <v/>
      </c>
      <c r="K41" s="14">
        <f>(VLOOKUP(B41,Data!$E:$BM,MATCH(yoy!$K$1,Data!$E$1:$BM$1,),)-VLOOKUP(A41,Data!$E:$BM,MATCH(yoy!$K$1,Data!$E$1:$BM$1,),))/VLOOKUP(A41,Data!$E:$BM,MATCH(yoy!$K$1,Data!$E$1:$BM$1,),)</f>
        <v/>
      </c>
      <c r="L41" s="14">
        <f>(VLOOKUP(B41,Data!$E:$BM,MATCH(yoy!$L$1,Data!$E$1:$BM$1,),)-VLOOKUP(A41,Data!$E:$BM,MATCH(yoy!$L$1,Data!$E$1:$BM$1,),))/VLOOKUP(A41,Data!$E:$BM,MATCH(yoy!$L$1,Data!$E$1:$BM$1,),)</f>
        <v/>
      </c>
      <c r="M41" s="14">
        <f>(VLOOKUP(B41,Data!$E:$BM,MATCH(yoy!$M$1,Data!$E$1:$BM$1,),)-VLOOKUP(A41,Data!$E:$BM,MATCH(yoy!$M$1,Data!$E$1:$BM$1,),))/VLOOKUP(A41,Data!$E:$BM,MATCH(yoy!$M$1,Data!$E$1:$BM$1,),)</f>
        <v/>
      </c>
      <c r="N41" s="14">
        <f>(VLOOKUP(B41,Data!$E:$BM,MATCH(yoy!$N$1,Data!$E$1:$BM$1,),)-VLOOKUP(A41,Data!$E:$BM,MATCH(yoy!$N$1,Data!$E$1:$BM$1,),))/VLOOKUP(A41,Data!$E:$BM,MATCH(yoy!$N$1,Data!$E$1:$BM$1,),)</f>
        <v/>
      </c>
      <c r="O41" s="14">
        <f>(VLOOKUP(B41,Data!$E:$BM,MATCH(yoy!$O$1,Data!$E$1:$BM$1,),)-VLOOKUP(A41,Data!$E:$BM,MATCH(yoy!$O$1,Data!$E$1:$BM$1,),))/VLOOKUP(A41,Data!$E:$BM,MATCH(yoy!$O$1,Data!$E$1:$BM$1,),)</f>
        <v/>
      </c>
      <c r="P41" s="14">
        <f>(VLOOKUP(B41,Data!$E:$BM,MATCH(yoy!$P$1,Data!$E$1:$BM$1,),)-VLOOKUP(A41,Data!$E:$BM,MATCH(yoy!$P$1,Data!$E$1:$BM$1,),))/VLOOKUP(A41,Data!$E:$BM,MATCH(yoy!$P$1,Data!$E$1:$BM$1,),)</f>
        <v/>
      </c>
      <c r="Q41" s="14">
        <f>(VLOOKUP(B41,Data!$E:$BM,MATCH(yoy!$Q$1,Data!$E$1:$BM$1,),)-VLOOKUP(A41,Data!$E:$BM,MATCH(yoy!$Q$1,Data!$E$1:$BM$1,),))/VLOOKUP(A41,Data!$E:$BM,MATCH(yoy!$Q$1,Data!$E$1:$BM$1,),)</f>
        <v/>
      </c>
      <c r="R41" s="14">
        <f>(VLOOKUP(B41,Data!$E:$BM,MATCH(yoy!$R$1,Data!$E$1:$BM$1,),)-VLOOKUP(A41,Data!$E:$BM,MATCH(yoy!$R$1,Data!$E$1:$BM$1,),))/VLOOKUP(A41,Data!$E:$BM,MATCH(yoy!$R$1,Data!$E$1:$BM$1,),)</f>
        <v/>
      </c>
      <c r="S41" s="14">
        <f>(VLOOKUP(B41,Data!$E:$BM,MATCH(yoy!$S$1,Data!$E$1:$BM$1,),)-VLOOKUP(A41,Data!$E:$BM,MATCH(yoy!$S$1,Data!$E$1:$BM$1,),))/VLOOKUP(A41,Data!$E:$BM,MATCH(yoy!$S$1,Data!$E$1:$BM$1,),)</f>
        <v/>
      </c>
      <c r="T41" s="14">
        <f>(VLOOKUP(B41,Data!$E:$BM,MATCH(yoy!$T$1,Data!$E$1:$BM$1,),)-VLOOKUP(A41,Data!$E:$BM,MATCH(yoy!$T$1,Data!$E$1:$BM$1,),))/VLOOKUP(A41,Data!$E:$BM,MATCH(yoy!$T$1,Data!$E$1:$BM$1,),)</f>
        <v/>
      </c>
      <c r="U41" s="14">
        <f>(VLOOKUP(B41,Data!$E:$BM,MATCH(yoy!$U$1,Data!$E$1:$BM$1,),)-VLOOKUP(A41,Data!$E:$BM,MATCH(yoy!$U$1,Data!$E$1:$BM$1,),))/VLOOKUP(A41,Data!$E:$BM,MATCH(yoy!$U$1,Data!$E$1:$BM$1,),)</f>
        <v/>
      </c>
      <c r="V41" s="14">
        <f>(VLOOKUP(B41,Data!$E:$BM,MATCH(yoy!$V$1,Data!$E$1:$BM$1,),)-VLOOKUP(A41,Data!$E:$BM,MATCH(yoy!$V$1,Data!$E$1:$BM$1,),))/VLOOKUP(A41,Data!$E:$BM,MATCH(yoy!$V$1,Data!$E$1:$BM$1,),)</f>
        <v/>
      </c>
      <c r="W41" s="14">
        <f>(VLOOKUP(B41,Data!$E:$BM,MATCH(yoy!$W$1,Data!$E$1:$BM$1,),)-VLOOKUP(A41,Data!$E:$BM,MATCH(yoy!$W$1,Data!$E$1:$BM$1,),))/VLOOKUP(A41,Data!$E:$BM,MATCH(yoy!$W$1,Data!$E$1:$BM$1,),)</f>
        <v/>
      </c>
      <c r="X41" s="14">
        <f>(VLOOKUP(B41,Data!$E:$BM,MATCH(yoy!$X$1,Data!$E$1:$BM$1,),)-VLOOKUP(A41,Data!$E:$BM,MATCH(yoy!$X$1,Data!$E$1:$BM$1,),))/VLOOKUP(A41,Data!$E:$BM,MATCH(yoy!$X$1,Data!$E$1:$BM$1,),)</f>
        <v/>
      </c>
      <c r="Y41" s="14">
        <f>(VLOOKUP(B41,Data!$E:$BM,MATCH(yoy!$Y$1,Data!$E$1:$BM$1,),)-VLOOKUP(A41,Data!$E:$BM,MATCH(yoy!$Y$1,Data!$E$1:$BM$1,),))/VLOOKUP(A41,Data!$E:$BM,MATCH(yoy!$Y$1,Data!$E$1:$BM$1,),)</f>
        <v/>
      </c>
      <c r="Z41" s="14">
        <f>(VLOOKUP(B41,Data!$E:$BM,MATCH(yoy!$Z$1,Data!$E$1:$BM$1,),)-VLOOKUP(A41,Data!$E:$BM,MATCH(yoy!$Z$1,Data!$E$1:$BM$1,),))/VLOOKUP(A41,Data!$E:$BM,MATCH(yoy!$Z$1,Data!$E$1:$BM$1,),)</f>
        <v/>
      </c>
      <c r="AA41" s="14">
        <f>(VLOOKUP(B41,Data!$E:$BM,MATCH(yoy!$AA$1,Data!$E$1:$BM$1,),)-VLOOKUP(A41,Data!$E:$BM,MATCH(yoy!$AA$1,Data!$E$1:$BM$1,),))/VLOOKUP(A41,Data!$E:$BM,MATCH(yoy!$AA$1,Data!$E$1:$BM$1,),)</f>
        <v/>
      </c>
    </row>
    <row r="42">
      <c r="A42" s="20">
        <f>DATE(YEAR(B42)-1,MONTH(B42),DAY(B42))</f>
        <v/>
      </c>
      <c r="B42" s="12" t="n">
        <v>43132</v>
      </c>
      <c r="C42" s="14">
        <f>(VLOOKUP(B42,Data!$E:$BM,MATCH(yoy!$C$1,Data!$E$1:$BM$1,),)-VLOOKUP(A42,Data!$E:$BM,MATCH(yoy!$C$1,Data!$E$1:$BM$1,),))/VLOOKUP(A42,Data!$E:$BM,MATCH(yoy!$C$1,Data!$E$1:$BM$1,),)</f>
        <v/>
      </c>
      <c r="D42" s="14">
        <f>(VLOOKUP(B42,Data!$E:$BM,MATCH(yoy!$D$1,Data!$E$1:$BM$1,),)-VLOOKUP(A42,Data!$E:$BM,MATCH(yoy!$D$1,Data!$E$1:$BM$1,),))/VLOOKUP(A42,Data!$E:$BM,MATCH(yoy!$D$1,Data!$E$1:$BM$1,),)</f>
        <v/>
      </c>
      <c r="E42" s="14">
        <f>(VLOOKUP(B42,Data!$E:$BM,MATCH(yoy!$E$1,Data!$E$1:$BM$1,),)-VLOOKUP(A42,Data!$E:$BM,MATCH(yoy!$E$1,Data!$E$1:$BM$1,),))/VLOOKUP(A42,Data!$E:$BM,MATCH(yoy!$E$1,Data!$E$1:$BM$1,),)</f>
        <v/>
      </c>
      <c r="F42" s="14">
        <f>(VLOOKUP(B42,Data!$E:$BM,MATCH(yoy!$F$1,Data!$E$1:$BM$1,),)-VLOOKUP(A42,Data!$E:$BM,MATCH(yoy!$F$1,Data!$E$1:$BM$1,),))/VLOOKUP(A42,Data!$E:$BM,MATCH(yoy!$F$1,Data!$E$1:$BM$1,),)</f>
        <v/>
      </c>
      <c r="G42" s="14">
        <f>(VLOOKUP(B42,Data!$E:$BM,MATCH(yoy!$G$1,Data!$E$1:$BM$1,),)-VLOOKUP(A42,Data!$E:$BM,MATCH(yoy!$G$1,Data!$E$1:$BM$1,),))/VLOOKUP(A42,Data!$E:$BM,MATCH(yoy!$G$1,Data!$E$1:$BM$1,),)</f>
        <v/>
      </c>
      <c r="H42" s="14">
        <f>(VLOOKUP(B42,Data!$E:$BM,MATCH(yoy!$H$1,Data!$E$1:$BM$1,),)-VLOOKUP(A42,Data!$E:$BM,MATCH(yoy!$H$1,Data!$E$1:$BM$1,),))/VLOOKUP(A42,Data!$E:$BM,MATCH(yoy!$H$1,Data!$E$1:$BM$1,),)</f>
        <v/>
      </c>
      <c r="I42" s="14">
        <f>(VLOOKUP(B42,Data!$E:$BM,MATCH(yoy!$I$1,Data!$E$1:$BM$1,),)-VLOOKUP(A42,Data!$E:$BM,MATCH(yoy!$I$1,Data!$E$1:$BM$1,),))/VLOOKUP(A42,Data!$E:$BM,MATCH(yoy!$I$1,Data!$E$1:$BM$1,),)</f>
        <v/>
      </c>
      <c r="J42" s="14">
        <f>(VLOOKUP(B42,Data!$E:$BM,MATCH(yoy!$J$1,Data!$E$1:$BM$1,),)-VLOOKUP(A42,Data!$E:$BM,MATCH(yoy!$J$1,Data!$E$1:$BM$1,),))/VLOOKUP(A42,Data!$E:$BM,MATCH(yoy!$J$1,Data!$E$1:$BM$1,),)</f>
        <v/>
      </c>
      <c r="K42" s="14">
        <f>(VLOOKUP(B42,Data!$E:$BM,MATCH(yoy!$K$1,Data!$E$1:$BM$1,),)-VLOOKUP(A42,Data!$E:$BM,MATCH(yoy!$K$1,Data!$E$1:$BM$1,),))/VLOOKUP(A42,Data!$E:$BM,MATCH(yoy!$K$1,Data!$E$1:$BM$1,),)</f>
        <v/>
      </c>
      <c r="L42" s="14">
        <f>(VLOOKUP(B42,Data!$E:$BM,MATCH(yoy!$L$1,Data!$E$1:$BM$1,),)-VLOOKUP(A42,Data!$E:$BM,MATCH(yoy!$L$1,Data!$E$1:$BM$1,),))/VLOOKUP(A42,Data!$E:$BM,MATCH(yoy!$L$1,Data!$E$1:$BM$1,),)</f>
        <v/>
      </c>
      <c r="M42" s="14">
        <f>(VLOOKUP(B42,Data!$E:$BM,MATCH(yoy!$M$1,Data!$E$1:$BM$1,),)-VLOOKUP(A42,Data!$E:$BM,MATCH(yoy!$M$1,Data!$E$1:$BM$1,),))/VLOOKUP(A42,Data!$E:$BM,MATCH(yoy!$M$1,Data!$E$1:$BM$1,),)</f>
        <v/>
      </c>
      <c r="N42" s="14">
        <f>(VLOOKUP(B42,Data!$E:$BM,MATCH(yoy!$N$1,Data!$E$1:$BM$1,),)-VLOOKUP(A42,Data!$E:$BM,MATCH(yoy!$N$1,Data!$E$1:$BM$1,),))/VLOOKUP(A42,Data!$E:$BM,MATCH(yoy!$N$1,Data!$E$1:$BM$1,),)</f>
        <v/>
      </c>
      <c r="O42" s="14">
        <f>(VLOOKUP(B42,Data!$E:$BM,MATCH(yoy!$O$1,Data!$E$1:$BM$1,),)-VLOOKUP(A42,Data!$E:$BM,MATCH(yoy!$O$1,Data!$E$1:$BM$1,),))/VLOOKUP(A42,Data!$E:$BM,MATCH(yoy!$O$1,Data!$E$1:$BM$1,),)</f>
        <v/>
      </c>
      <c r="P42" s="14">
        <f>(VLOOKUP(B42,Data!$E:$BM,MATCH(yoy!$P$1,Data!$E$1:$BM$1,),)-VLOOKUP(A42,Data!$E:$BM,MATCH(yoy!$P$1,Data!$E$1:$BM$1,),))/VLOOKUP(A42,Data!$E:$BM,MATCH(yoy!$P$1,Data!$E$1:$BM$1,),)</f>
        <v/>
      </c>
      <c r="Q42" s="14">
        <f>(VLOOKUP(B42,Data!$E:$BM,MATCH(yoy!$Q$1,Data!$E$1:$BM$1,),)-VLOOKUP(A42,Data!$E:$BM,MATCH(yoy!$Q$1,Data!$E$1:$BM$1,),))/VLOOKUP(A42,Data!$E:$BM,MATCH(yoy!$Q$1,Data!$E$1:$BM$1,),)</f>
        <v/>
      </c>
      <c r="R42" s="14">
        <f>(VLOOKUP(B42,Data!$E:$BM,MATCH(yoy!$R$1,Data!$E$1:$BM$1,),)-VLOOKUP(A42,Data!$E:$BM,MATCH(yoy!$R$1,Data!$E$1:$BM$1,),))/VLOOKUP(A42,Data!$E:$BM,MATCH(yoy!$R$1,Data!$E$1:$BM$1,),)</f>
        <v/>
      </c>
      <c r="S42" s="14">
        <f>(VLOOKUP(B42,Data!$E:$BM,MATCH(yoy!$S$1,Data!$E$1:$BM$1,),)-VLOOKUP(A42,Data!$E:$BM,MATCH(yoy!$S$1,Data!$E$1:$BM$1,),))/VLOOKUP(A42,Data!$E:$BM,MATCH(yoy!$S$1,Data!$E$1:$BM$1,),)</f>
        <v/>
      </c>
      <c r="T42" s="14">
        <f>(VLOOKUP(B42,Data!$E:$BM,MATCH(yoy!$T$1,Data!$E$1:$BM$1,),)-VLOOKUP(A42,Data!$E:$BM,MATCH(yoy!$T$1,Data!$E$1:$BM$1,),))/VLOOKUP(A42,Data!$E:$BM,MATCH(yoy!$T$1,Data!$E$1:$BM$1,),)</f>
        <v/>
      </c>
      <c r="U42" s="14">
        <f>(VLOOKUP(B42,Data!$E:$BM,MATCH(yoy!$U$1,Data!$E$1:$BM$1,),)-VLOOKUP(A42,Data!$E:$BM,MATCH(yoy!$U$1,Data!$E$1:$BM$1,),))/VLOOKUP(A42,Data!$E:$BM,MATCH(yoy!$U$1,Data!$E$1:$BM$1,),)</f>
        <v/>
      </c>
      <c r="V42" s="14">
        <f>(VLOOKUP(B42,Data!$E:$BM,MATCH(yoy!$V$1,Data!$E$1:$BM$1,),)-VLOOKUP(A42,Data!$E:$BM,MATCH(yoy!$V$1,Data!$E$1:$BM$1,),))/VLOOKUP(A42,Data!$E:$BM,MATCH(yoy!$V$1,Data!$E$1:$BM$1,),)</f>
        <v/>
      </c>
      <c r="W42" s="14">
        <f>(VLOOKUP(B42,Data!$E:$BM,MATCH(yoy!$W$1,Data!$E$1:$BM$1,),)-VLOOKUP(A42,Data!$E:$BM,MATCH(yoy!$W$1,Data!$E$1:$BM$1,),))/VLOOKUP(A42,Data!$E:$BM,MATCH(yoy!$W$1,Data!$E$1:$BM$1,),)</f>
        <v/>
      </c>
      <c r="X42" s="14">
        <f>(VLOOKUP(B42,Data!$E:$BM,MATCH(yoy!$X$1,Data!$E$1:$BM$1,),)-VLOOKUP(A42,Data!$E:$BM,MATCH(yoy!$X$1,Data!$E$1:$BM$1,),))/VLOOKUP(A42,Data!$E:$BM,MATCH(yoy!$X$1,Data!$E$1:$BM$1,),)</f>
        <v/>
      </c>
      <c r="Y42" s="14">
        <f>(VLOOKUP(B42,Data!$E:$BM,MATCH(yoy!$Y$1,Data!$E$1:$BM$1,),)-VLOOKUP(A42,Data!$E:$BM,MATCH(yoy!$Y$1,Data!$E$1:$BM$1,),))/VLOOKUP(A42,Data!$E:$BM,MATCH(yoy!$Y$1,Data!$E$1:$BM$1,),)</f>
        <v/>
      </c>
      <c r="Z42" s="14">
        <f>(VLOOKUP(B42,Data!$E:$BM,MATCH(yoy!$Z$1,Data!$E$1:$BM$1,),)-VLOOKUP(A42,Data!$E:$BM,MATCH(yoy!$Z$1,Data!$E$1:$BM$1,),))/VLOOKUP(A42,Data!$E:$BM,MATCH(yoy!$Z$1,Data!$E$1:$BM$1,),)</f>
        <v/>
      </c>
      <c r="AA42" s="14">
        <f>(VLOOKUP(B42,Data!$E:$BM,MATCH(yoy!$AA$1,Data!$E$1:$BM$1,),)-VLOOKUP(A42,Data!$E:$BM,MATCH(yoy!$AA$1,Data!$E$1:$BM$1,),))/VLOOKUP(A42,Data!$E:$BM,MATCH(yoy!$AA$1,Data!$E$1:$BM$1,),)</f>
        <v/>
      </c>
    </row>
    <row r="43">
      <c r="A43" s="20">
        <f>DATE(YEAR(B43)-1,MONTH(B43),DAY(B43))</f>
        <v/>
      </c>
      <c r="B43" s="12" t="n">
        <v>43160</v>
      </c>
      <c r="C43" s="14">
        <f>(VLOOKUP(B43,Data!$E:$BM,MATCH(yoy!$C$1,Data!$E$1:$BM$1,),)-VLOOKUP(A43,Data!$E:$BM,MATCH(yoy!$C$1,Data!$E$1:$BM$1,),))/VLOOKUP(A43,Data!$E:$BM,MATCH(yoy!$C$1,Data!$E$1:$BM$1,),)</f>
        <v/>
      </c>
      <c r="D43" s="14">
        <f>(VLOOKUP(B43,Data!$E:$BM,MATCH(yoy!$D$1,Data!$E$1:$BM$1,),)-VLOOKUP(A43,Data!$E:$BM,MATCH(yoy!$D$1,Data!$E$1:$BM$1,),))/VLOOKUP(A43,Data!$E:$BM,MATCH(yoy!$D$1,Data!$E$1:$BM$1,),)</f>
        <v/>
      </c>
      <c r="E43" s="14">
        <f>(VLOOKUP(B43,Data!$E:$BM,MATCH(yoy!$E$1,Data!$E$1:$BM$1,),)-VLOOKUP(A43,Data!$E:$BM,MATCH(yoy!$E$1,Data!$E$1:$BM$1,),))/VLOOKUP(A43,Data!$E:$BM,MATCH(yoy!$E$1,Data!$E$1:$BM$1,),)</f>
        <v/>
      </c>
      <c r="F43" s="14">
        <f>(VLOOKUP(B43,Data!$E:$BM,MATCH(yoy!$F$1,Data!$E$1:$BM$1,),)-VLOOKUP(A43,Data!$E:$BM,MATCH(yoy!$F$1,Data!$E$1:$BM$1,),))/VLOOKUP(A43,Data!$E:$BM,MATCH(yoy!$F$1,Data!$E$1:$BM$1,),)</f>
        <v/>
      </c>
      <c r="G43" s="14">
        <f>(VLOOKUP(B43,Data!$E:$BM,MATCH(yoy!$G$1,Data!$E$1:$BM$1,),)-VLOOKUP(A43,Data!$E:$BM,MATCH(yoy!$G$1,Data!$E$1:$BM$1,),))/VLOOKUP(A43,Data!$E:$BM,MATCH(yoy!$G$1,Data!$E$1:$BM$1,),)</f>
        <v/>
      </c>
      <c r="H43" s="14">
        <f>(VLOOKUP(B43,Data!$E:$BM,MATCH(yoy!$H$1,Data!$E$1:$BM$1,),)-VLOOKUP(A43,Data!$E:$BM,MATCH(yoy!$H$1,Data!$E$1:$BM$1,),))/VLOOKUP(A43,Data!$E:$BM,MATCH(yoy!$H$1,Data!$E$1:$BM$1,),)</f>
        <v/>
      </c>
      <c r="I43" s="14">
        <f>(VLOOKUP(B43,Data!$E:$BM,MATCH(yoy!$I$1,Data!$E$1:$BM$1,),)-VLOOKUP(A43,Data!$E:$BM,MATCH(yoy!$I$1,Data!$E$1:$BM$1,),))/VLOOKUP(A43,Data!$E:$BM,MATCH(yoy!$I$1,Data!$E$1:$BM$1,),)</f>
        <v/>
      </c>
      <c r="J43" s="14">
        <f>(VLOOKUP(B43,Data!$E:$BM,MATCH(yoy!$J$1,Data!$E$1:$BM$1,),)-VLOOKUP(A43,Data!$E:$BM,MATCH(yoy!$J$1,Data!$E$1:$BM$1,),))/VLOOKUP(A43,Data!$E:$BM,MATCH(yoy!$J$1,Data!$E$1:$BM$1,),)</f>
        <v/>
      </c>
      <c r="K43" s="14">
        <f>(VLOOKUP(B43,Data!$E:$BM,MATCH(yoy!$K$1,Data!$E$1:$BM$1,),)-VLOOKUP(A43,Data!$E:$BM,MATCH(yoy!$K$1,Data!$E$1:$BM$1,),))/VLOOKUP(A43,Data!$E:$BM,MATCH(yoy!$K$1,Data!$E$1:$BM$1,),)</f>
        <v/>
      </c>
      <c r="L43" s="14">
        <f>(VLOOKUP(B43,Data!$E:$BM,MATCH(yoy!$L$1,Data!$E$1:$BM$1,),)-VLOOKUP(A43,Data!$E:$BM,MATCH(yoy!$L$1,Data!$E$1:$BM$1,),))/VLOOKUP(A43,Data!$E:$BM,MATCH(yoy!$L$1,Data!$E$1:$BM$1,),)</f>
        <v/>
      </c>
      <c r="M43" s="14">
        <f>(VLOOKUP(B43,Data!$E:$BM,MATCH(yoy!$M$1,Data!$E$1:$BM$1,),)-VLOOKUP(A43,Data!$E:$BM,MATCH(yoy!$M$1,Data!$E$1:$BM$1,),))/VLOOKUP(A43,Data!$E:$BM,MATCH(yoy!$M$1,Data!$E$1:$BM$1,),)</f>
        <v/>
      </c>
      <c r="N43" s="14">
        <f>(VLOOKUP(B43,Data!$E:$BM,MATCH(yoy!$N$1,Data!$E$1:$BM$1,),)-VLOOKUP(A43,Data!$E:$BM,MATCH(yoy!$N$1,Data!$E$1:$BM$1,),))/VLOOKUP(A43,Data!$E:$BM,MATCH(yoy!$N$1,Data!$E$1:$BM$1,),)</f>
        <v/>
      </c>
      <c r="O43" s="14">
        <f>(VLOOKUP(B43,Data!$E:$BM,MATCH(yoy!$O$1,Data!$E$1:$BM$1,),)-VLOOKUP(A43,Data!$E:$BM,MATCH(yoy!$O$1,Data!$E$1:$BM$1,),))/VLOOKUP(A43,Data!$E:$BM,MATCH(yoy!$O$1,Data!$E$1:$BM$1,),)</f>
        <v/>
      </c>
      <c r="P43" s="14">
        <f>(VLOOKUP(B43,Data!$E:$BM,MATCH(yoy!$P$1,Data!$E$1:$BM$1,),)-VLOOKUP(A43,Data!$E:$BM,MATCH(yoy!$P$1,Data!$E$1:$BM$1,),))/VLOOKUP(A43,Data!$E:$BM,MATCH(yoy!$P$1,Data!$E$1:$BM$1,),)</f>
        <v/>
      </c>
      <c r="Q43" s="14">
        <f>(VLOOKUP(B43,Data!$E:$BM,MATCH(yoy!$Q$1,Data!$E$1:$BM$1,),)-VLOOKUP(A43,Data!$E:$BM,MATCH(yoy!$Q$1,Data!$E$1:$BM$1,),))/VLOOKUP(A43,Data!$E:$BM,MATCH(yoy!$Q$1,Data!$E$1:$BM$1,),)</f>
        <v/>
      </c>
      <c r="R43" s="14">
        <f>(VLOOKUP(B43,Data!$E:$BM,MATCH(yoy!$R$1,Data!$E$1:$BM$1,),)-VLOOKUP(A43,Data!$E:$BM,MATCH(yoy!$R$1,Data!$E$1:$BM$1,),))/VLOOKUP(A43,Data!$E:$BM,MATCH(yoy!$R$1,Data!$E$1:$BM$1,),)</f>
        <v/>
      </c>
      <c r="S43" s="14">
        <f>(VLOOKUP(B43,Data!$E:$BM,MATCH(yoy!$S$1,Data!$E$1:$BM$1,),)-VLOOKUP(A43,Data!$E:$BM,MATCH(yoy!$S$1,Data!$E$1:$BM$1,),))/VLOOKUP(A43,Data!$E:$BM,MATCH(yoy!$S$1,Data!$E$1:$BM$1,),)</f>
        <v/>
      </c>
      <c r="T43" s="14">
        <f>(VLOOKUP(B43,Data!$E:$BM,MATCH(yoy!$T$1,Data!$E$1:$BM$1,),)-VLOOKUP(A43,Data!$E:$BM,MATCH(yoy!$T$1,Data!$E$1:$BM$1,),))/VLOOKUP(A43,Data!$E:$BM,MATCH(yoy!$T$1,Data!$E$1:$BM$1,),)</f>
        <v/>
      </c>
      <c r="U43" s="14">
        <f>(VLOOKUP(B43,Data!$E:$BM,MATCH(yoy!$U$1,Data!$E$1:$BM$1,),)-VLOOKUP(A43,Data!$E:$BM,MATCH(yoy!$U$1,Data!$E$1:$BM$1,),))/VLOOKUP(A43,Data!$E:$BM,MATCH(yoy!$U$1,Data!$E$1:$BM$1,),)</f>
        <v/>
      </c>
      <c r="V43" s="14">
        <f>(VLOOKUP(B43,Data!$E:$BM,MATCH(yoy!$V$1,Data!$E$1:$BM$1,),)-VLOOKUP(A43,Data!$E:$BM,MATCH(yoy!$V$1,Data!$E$1:$BM$1,),))/VLOOKUP(A43,Data!$E:$BM,MATCH(yoy!$V$1,Data!$E$1:$BM$1,),)</f>
        <v/>
      </c>
      <c r="W43" s="14">
        <f>(VLOOKUP(B43,Data!$E:$BM,MATCH(yoy!$W$1,Data!$E$1:$BM$1,),)-VLOOKUP(A43,Data!$E:$BM,MATCH(yoy!$W$1,Data!$E$1:$BM$1,),))/VLOOKUP(A43,Data!$E:$BM,MATCH(yoy!$W$1,Data!$E$1:$BM$1,),)</f>
        <v/>
      </c>
      <c r="X43" s="14">
        <f>(VLOOKUP(B43,Data!$E:$BM,MATCH(yoy!$X$1,Data!$E$1:$BM$1,),)-VLOOKUP(A43,Data!$E:$BM,MATCH(yoy!$X$1,Data!$E$1:$BM$1,),))/VLOOKUP(A43,Data!$E:$BM,MATCH(yoy!$X$1,Data!$E$1:$BM$1,),)</f>
        <v/>
      </c>
      <c r="Y43" s="14">
        <f>(VLOOKUP(B43,Data!$E:$BM,MATCH(yoy!$Y$1,Data!$E$1:$BM$1,),)-VLOOKUP(A43,Data!$E:$BM,MATCH(yoy!$Y$1,Data!$E$1:$BM$1,),))/VLOOKUP(A43,Data!$E:$BM,MATCH(yoy!$Y$1,Data!$E$1:$BM$1,),)</f>
        <v/>
      </c>
      <c r="Z43" s="14">
        <f>(VLOOKUP(B43,Data!$E:$BM,MATCH(yoy!$Z$1,Data!$E$1:$BM$1,),)-VLOOKUP(A43,Data!$E:$BM,MATCH(yoy!$Z$1,Data!$E$1:$BM$1,),))/VLOOKUP(A43,Data!$E:$BM,MATCH(yoy!$Z$1,Data!$E$1:$BM$1,),)</f>
        <v/>
      </c>
      <c r="AA43" s="14">
        <f>(VLOOKUP(B43,Data!$E:$BM,MATCH(yoy!$AA$1,Data!$E$1:$BM$1,),)-VLOOKUP(A43,Data!$E:$BM,MATCH(yoy!$AA$1,Data!$E$1:$BM$1,),))/VLOOKUP(A43,Data!$E:$BM,MATCH(yoy!$AA$1,Data!$E$1:$BM$1,),)</f>
        <v/>
      </c>
    </row>
    <row r="44">
      <c r="A44" s="20">
        <f>DATE(YEAR(B44)-1,MONTH(B44),DAY(B44))</f>
        <v/>
      </c>
      <c r="B44" s="12" t="n">
        <v>43191</v>
      </c>
      <c r="C44" s="14">
        <f>(VLOOKUP(B44,Data!$E:$BM,MATCH(yoy!$C$1,Data!$E$1:$BM$1,),)-VLOOKUP(A44,Data!$E:$BM,MATCH(yoy!$C$1,Data!$E$1:$BM$1,),))/VLOOKUP(A44,Data!$E:$BM,MATCH(yoy!$C$1,Data!$E$1:$BM$1,),)</f>
        <v/>
      </c>
      <c r="D44" s="14">
        <f>(VLOOKUP(B44,Data!$E:$BM,MATCH(yoy!$D$1,Data!$E$1:$BM$1,),)-VLOOKUP(A44,Data!$E:$BM,MATCH(yoy!$D$1,Data!$E$1:$BM$1,),))/VLOOKUP(A44,Data!$E:$BM,MATCH(yoy!$D$1,Data!$E$1:$BM$1,),)</f>
        <v/>
      </c>
      <c r="E44" s="14">
        <f>(VLOOKUP(B44,Data!$E:$BM,MATCH(yoy!$E$1,Data!$E$1:$BM$1,),)-VLOOKUP(A44,Data!$E:$BM,MATCH(yoy!$E$1,Data!$E$1:$BM$1,),))/VLOOKUP(A44,Data!$E:$BM,MATCH(yoy!$E$1,Data!$E$1:$BM$1,),)</f>
        <v/>
      </c>
      <c r="F44" s="14">
        <f>(VLOOKUP(B44,Data!$E:$BM,MATCH(yoy!$F$1,Data!$E$1:$BM$1,),)-VLOOKUP(A44,Data!$E:$BM,MATCH(yoy!$F$1,Data!$E$1:$BM$1,),))/VLOOKUP(A44,Data!$E:$BM,MATCH(yoy!$F$1,Data!$E$1:$BM$1,),)</f>
        <v/>
      </c>
      <c r="G44" s="14">
        <f>(VLOOKUP(B44,Data!$E:$BM,MATCH(yoy!$G$1,Data!$E$1:$BM$1,),)-VLOOKUP(A44,Data!$E:$BM,MATCH(yoy!$G$1,Data!$E$1:$BM$1,),))/VLOOKUP(A44,Data!$E:$BM,MATCH(yoy!$G$1,Data!$E$1:$BM$1,),)</f>
        <v/>
      </c>
      <c r="H44" s="14">
        <f>(VLOOKUP(B44,Data!$E:$BM,MATCH(yoy!$H$1,Data!$E$1:$BM$1,),)-VLOOKUP(A44,Data!$E:$BM,MATCH(yoy!$H$1,Data!$E$1:$BM$1,),))/VLOOKUP(A44,Data!$E:$BM,MATCH(yoy!$H$1,Data!$E$1:$BM$1,),)</f>
        <v/>
      </c>
      <c r="I44" s="14">
        <f>(VLOOKUP(B44,Data!$E:$BM,MATCH(yoy!$I$1,Data!$E$1:$BM$1,),)-VLOOKUP(A44,Data!$E:$BM,MATCH(yoy!$I$1,Data!$E$1:$BM$1,),))/VLOOKUP(A44,Data!$E:$BM,MATCH(yoy!$I$1,Data!$E$1:$BM$1,),)</f>
        <v/>
      </c>
      <c r="J44" s="14">
        <f>(VLOOKUP(B44,Data!$E:$BM,MATCH(yoy!$J$1,Data!$E$1:$BM$1,),)-VLOOKUP(A44,Data!$E:$BM,MATCH(yoy!$J$1,Data!$E$1:$BM$1,),))/VLOOKUP(A44,Data!$E:$BM,MATCH(yoy!$J$1,Data!$E$1:$BM$1,),)</f>
        <v/>
      </c>
      <c r="K44" s="14">
        <f>(VLOOKUP(B44,Data!$E:$BM,MATCH(yoy!$K$1,Data!$E$1:$BM$1,),)-VLOOKUP(A44,Data!$E:$BM,MATCH(yoy!$K$1,Data!$E$1:$BM$1,),))/VLOOKUP(A44,Data!$E:$BM,MATCH(yoy!$K$1,Data!$E$1:$BM$1,),)</f>
        <v/>
      </c>
      <c r="L44" s="14">
        <f>(VLOOKUP(B44,Data!$E:$BM,MATCH(yoy!$L$1,Data!$E$1:$BM$1,),)-VLOOKUP(A44,Data!$E:$BM,MATCH(yoy!$L$1,Data!$E$1:$BM$1,),))/VLOOKUP(A44,Data!$E:$BM,MATCH(yoy!$L$1,Data!$E$1:$BM$1,),)</f>
        <v/>
      </c>
      <c r="M44" s="14">
        <f>(VLOOKUP(B44,Data!$E:$BM,MATCH(yoy!$M$1,Data!$E$1:$BM$1,),)-VLOOKUP(A44,Data!$E:$BM,MATCH(yoy!$M$1,Data!$E$1:$BM$1,),))/VLOOKUP(A44,Data!$E:$BM,MATCH(yoy!$M$1,Data!$E$1:$BM$1,),)</f>
        <v/>
      </c>
      <c r="N44" s="14">
        <f>(VLOOKUP(B44,Data!$E:$BM,MATCH(yoy!$N$1,Data!$E$1:$BM$1,),)-VLOOKUP(A44,Data!$E:$BM,MATCH(yoy!$N$1,Data!$E$1:$BM$1,),))/VLOOKUP(A44,Data!$E:$BM,MATCH(yoy!$N$1,Data!$E$1:$BM$1,),)</f>
        <v/>
      </c>
      <c r="O44" s="14">
        <f>(VLOOKUP(B44,Data!$E:$BM,MATCH(yoy!$O$1,Data!$E$1:$BM$1,),)-VLOOKUP(A44,Data!$E:$BM,MATCH(yoy!$O$1,Data!$E$1:$BM$1,),))/VLOOKUP(A44,Data!$E:$BM,MATCH(yoy!$O$1,Data!$E$1:$BM$1,),)</f>
        <v/>
      </c>
      <c r="P44" s="14">
        <f>(VLOOKUP(B44,Data!$E:$BM,MATCH(yoy!$P$1,Data!$E$1:$BM$1,),)-VLOOKUP(A44,Data!$E:$BM,MATCH(yoy!$P$1,Data!$E$1:$BM$1,),))/VLOOKUP(A44,Data!$E:$BM,MATCH(yoy!$P$1,Data!$E$1:$BM$1,),)</f>
        <v/>
      </c>
      <c r="Q44" s="14">
        <f>(VLOOKUP(B44,Data!$E:$BM,MATCH(yoy!$Q$1,Data!$E$1:$BM$1,),)-VLOOKUP(A44,Data!$E:$BM,MATCH(yoy!$Q$1,Data!$E$1:$BM$1,),))/VLOOKUP(A44,Data!$E:$BM,MATCH(yoy!$Q$1,Data!$E$1:$BM$1,),)</f>
        <v/>
      </c>
      <c r="R44" s="14">
        <f>(VLOOKUP(B44,Data!$E:$BM,MATCH(yoy!$R$1,Data!$E$1:$BM$1,),)-VLOOKUP(A44,Data!$E:$BM,MATCH(yoy!$R$1,Data!$E$1:$BM$1,),))/VLOOKUP(A44,Data!$E:$BM,MATCH(yoy!$R$1,Data!$E$1:$BM$1,),)</f>
        <v/>
      </c>
      <c r="S44" s="14">
        <f>(VLOOKUP(B44,Data!$E:$BM,MATCH(yoy!$S$1,Data!$E$1:$BM$1,),)-VLOOKUP(A44,Data!$E:$BM,MATCH(yoy!$S$1,Data!$E$1:$BM$1,),))/VLOOKUP(A44,Data!$E:$BM,MATCH(yoy!$S$1,Data!$E$1:$BM$1,),)</f>
        <v/>
      </c>
      <c r="T44" s="14">
        <f>(VLOOKUP(B44,Data!$E:$BM,MATCH(yoy!$T$1,Data!$E$1:$BM$1,),)-VLOOKUP(A44,Data!$E:$BM,MATCH(yoy!$T$1,Data!$E$1:$BM$1,),))/VLOOKUP(A44,Data!$E:$BM,MATCH(yoy!$T$1,Data!$E$1:$BM$1,),)</f>
        <v/>
      </c>
      <c r="U44" s="14">
        <f>(VLOOKUP(B44,Data!$E:$BM,MATCH(yoy!$U$1,Data!$E$1:$BM$1,),)-VLOOKUP(A44,Data!$E:$BM,MATCH(yoy!$U$1,Data!$E$1:$BM$1,),))/VLOOKUP(A44,Data!$E:$BM,MATCH(yoy!$U$1,Data!$E$1:$BM$1,),)</f>
        <v/>
      </c>
      <c r="V44" s="14">
        <f>(VLOOKUP(B44,Data!$E:$BM,MATCH(yoy!$V$1,Data!$E$1:$BM$1,),)-VLOOKUP(A44,Data!$E:$BM,MATCH(yoy!$V$1,Data!$E$1:$BM$1,),))/VLOOKUP(A44,Data!$E:$BM,MATCH(yoy!$V$1,Data!$E$1:$BM$1,),)</f>
        <v/>
      </c>
      <c r="W44" s="14">
        <f>(VLOOKUP(B44,Data!$E:$BM,MATCH(yoy!$W$1,Data!$E$1:$BM$1,),)-VLOOKUP(A44,Data!$E:$BM,MATCH(yoy!$W$1,Data!$E$1:$BM$1,),))/VLOOKUP(A44,Data!$E:$BM,MATCH(yoy!$W$1,Data!$E$1:$BM$1,),)</f>
        <v/>
      </c>
      <c r="X44" s="14">
        <f>(VLOOKUP(B44,Data!$E:$BM,MATCH(yoy!$X$1,Data!$E$1:$BM$1,),)-VLOOKUP(A44,Data!$E:$BM,MATCH(yoy!$X$1,Data!$E$1:$BM$1,),))/VLOOKUP(A44,Data!$E:$BM,MATCH(yoy!$X$1,Data!$E$1:$BM$1,),)</f>
        <v/>
      </c>
      <c r="Y44" s="14">
        <f>(VLOOKUP(B44,Data!$E:$BM,MATCH(yoy!$Y$1,Data!$E$1:$BM$1,),)-VLOOKUP(A44,Data!$E:$BM,MATCH(yoy!$Y$1,Data!$E$1:$BM$1,),))/VLOOKUP(A44,Data!$E:$BM,MATCH(yoy!$Y$1,Data!$E$1:$BM$1,),)</f>
        <v/>
      </c>
      <c r="Z44" s="14">
        <f>(VLOOKUP(B44,Data!$E:$BM,MATCH(yoy!$Z$1,Data!$E$1:$BM$1,),)-VLOOKUP(A44,Data!$E:$BM,MATCH(yoy!$Z$1,Data!$E$1:$BM$1,),))/VLOOKUP(A44,Data!$E:$BM,MATCH(yoy!$Z$1,Data!$E$1:$BM$1,),)</f>
        <v/>
      </c>
      <c r="AA44" s="14">
        <f>(VLOOKUP(B44,Data!$E:$BM,MATCH(yoy!$AA$1,Data!$E$1:$BM$1,),)-VLOOKUP(A44,Data!$E:$BM,MATCH(yoy!$AA$1,Data!$E$1:$BM$1,),))/VLOOKUP(A44,Data!$E:$BM,MATCH(yoy!$AA$1,Data!$E$1:$BM$1,),)</f>
        <v/>
      </c>
    </row>
    <row r="45" customFormat="1" s="83">
      <c r="A45" s="20">
        <f>DATE(YEAR(B45)-1,MONTH(B45),DAY(B45))</f>
        <v/>
      </c>
      <c r="B45" s="12" t="n">
        <v>43221</v>
      </c>
      <c r="C45" s="14">
        <f>(VLOOKUP(B45,Data!$E:$BM,MATCH(yoy!$C$1,Data!$E$1:$BM$1,),)-VLOOKUP(A45,Data!$E:$BM,MATCH(yoy!$C$1,Data!$E$1:$BM$1,),))/VLOOKUP(A45,Data!$E:$BM,MATCH(yoy!$C$1,Data!$E$1:$BM$1,),)</f>
        <v/>
      </c>
      <c r="D45" s="14">
        <f>(VLOOKUP(B45,Data!$E:$BM,MATCH(yoy!$D$1,Data!$E$1:$BM$1,),)-VLOOKUP(A45,Data!$E:$BM,MATCH(yoy!$D$1,Data!$E$1:$BM$1,),))/VLOOKUP(A45,Data!$E:$BM,MATCH(yoy!$D$1,Data!$E$1:$BM$1,),)</f>
        <v/>
      </c>
      <c r="E45" s="14">
        <f>(VLOOKUP(B45,Data!$E:$BM,MATCH(yoy!$E$1,Data!$E$1:$BM$1,),)-VLOOKUP(A45,Data!$E:$BM,MATCH(yoy!$E$1,Data!$E$1:$BM$1,),))/VLOOKUP(A45,Data!$E:$BM,MATCH(yoy!$E$1,Data!$E$1:$BM$1,),)</f>
        <v/>
      </c>
      <c r="F45" s="14">
        <f>(VLOOKUP(B45,Data!$E:$BM,MATCH(yoy!$F$1,Data!$E$1:$BM$1,),)-VLOOKUP(A45,Data!$E:$BM,MATCH(yoy!$F$1,Data!$E$1:$BM$1,),))/VLOOKUP(A45,Data!$E:$BM,MATCH(yoy!$F$1,Data!$E$1:$BM$1,),)</f>
        <v/>
      </c>
      <c r="G45" s="14">
        <f>(VLOOKUP(B45,Data!$E:$BM,MATCH(yoy!$G$1,Data!$E$1:$BM$1,),)-VLOOKUP(A45,Data!$E:$BM,MATCH(yoy!$G$1,Data!$E$1:$BM$1,),))/VLOOKUP(A45,Data!$E:$BM,MATCH(yoy!$G$1,Data!$E$1:$BM$1,),)</f>
        <v/>
      </c>
      <c r="H45" s="14">
        <f>(VLOOKUP(B45,Data!$E:$BM,MATCH(yoy!$H$1,Data!$E$1:$BM$1,),)-VLOOKUP(A45,Data!$E:$BM,MATCH(yoy!$H$1,Data!$E$1:$BM$1,),))/VLOOKUP(A45,Data!$E:$BM,MATCH(yoy!$H$1,Data!$E$1:$BM$1,),)</f>
        <v/>
      </c>
      <c r="I45" s="14">
        <f>(VLOOKUP(B45,Data!$E:$BM,MATCH(yoy!$I$1,Data!$E$1:$BM$1,),)-VLOOKUP(A45,Data!$E:$BM,MATCH(yoy!$I$1,Data!$E$1:$BM$1,),))/VLOOKUP(A45,Data!$E:$BM,MATCH(yoy!$I$1,Data!$E$1:$BM$1,),)</f>
        <v/>
      </c>
      <c r="J45" s="14">
        <f>(VLOOKUP(B45,Data!$E:$BM,MATCH(yoy!$J$1,Data!$E$1:$BM$1,),)-VLOOKUP(A45,Data!$E:$BM,MATCH(yoy!$J$1,Data!$E$1:$BM$1,),))/VLOOKUP(A45,Data!$E:$BM,MATCH(yoy!$J$1,Data!$E$1:$BM$1,),)</f>
        <v/>
      </c>
      <c r="K45" s="14">
        <f>(VLOOKUP(B45,Data!$E:$BM,MATCH(yoy!$K$1,Data!$E$1:$BM$1,),)-VLOOKUP(A45,Data!$E:$BM,MATCH(yoy!$K$1,Data!$E$1:$BM$1,),))/VLOOKUP(A45,Data!$E:$BM,MATCH(yoy!$K$1,Data!$E$1:$BM$1,),)</f>
        <v/>
      </c>
      <c r="L45" s="14">
        <f>(VLOOKUP(B45,Data!$E:$BM,MATCH(yoy!$L$1,Data!$E$1:$BM$1,),)-VLOOKUP(A45,Data!$E:$BM,MATCH(yoy!$L$1,Data!$E$1:$BM$1,),))/VLOOKUP(A45,Data!$E:$BM,MATCH(yoy!$L$1,Data!$E$1:$BM$1,),)</f>
        <v/>
      </c>
      <c r="M45" s="14">
        <f>(VLOOKUP(B45,Data!$E:$BM,MATCH(yoy!$M$1,Data!$E$1:$BM$1,),)-VLOOKUP(A45,Data!$E:$BM,MATCH(yoy!$M$1,Data!$E$1:$BM$1,),))/VLOOKUP(A45,Data!$E:$BM,MATCH(yoy!$M$1,Data!$E$1:$BM$1,),)</f>
        <v/>
      </c>
      <c r="N45" s="14">
        <f>(VLOOKUP(B45,Data!$E:$BM,MATCH(yoy!$N$1,Data!$E$1:$BM$1,),)-VLOOKUP(A45,Data!$E:$BM,MATCH(yoy!$N$1,Data!$E$1:$BM$1,),))/VLOOKUP(A45,Data!$E:$BM,MATCH(yoy!$N$1,Data!$E$1:$BM$1,),)</f>
        <v/>
      </c>
      <c r="O45" s="14">
        <f>(VLOOKUP(B45,Data!$E:$BM,MATCH(yoy!$O$1,Data!$E$1:$BM$1,),)-VLOOKUP(A45,Data!$E:$BM,MATCH(yoy!$O$1,Data!$E$1:$BM$1,),))/VLOOKUP(A45,Data!$E:$BM,MATCH(yoy!$O$1,Data!$E$1:$BM$1,),)</f>
        <v/>
      </c>
      <c r="P45" s="14">
        <f>(VLOOKUP(B45,Data!$E:$BM,MATCH(yoy!$P$1,Data!$E$1:$BM$1,),)-VLOOKUP(A45,Data!$E:$BM,MATCH(yoy!$P$1,Data!$E$1:$BM$1,),))/VLOOKUP(A45,Data!$E:$BM,MATCH(yoy!$P$1,Data!$E$1:$BM$1,),)</f>
        <v/>
      </c>
      <c r="Q45" s="14">
        <f>(VLOOKUP(B45,Data!$E:$BM,MATCH(yoy!$Q$1,Data!$E$1:$BM$1,),)-VLOOKUP(A45,Data!$E:$BM,MATCH(yoy!$Q$1,Data!$E$1:$BM$1,),))/VLOOKUP(A45,Data!$E:$BM,MATCH(yoy!$Q$1,Data!$E$1:$BM$1,),)</f>
        <v/>
      </c>
      <c r="R45" s="14">
        <f>(VLOOKUP(B45,Data!$E:$BM,MATCH(yoy!$R$1,Data!$E$1:$BM$1,),)-VLOOKUP(A45,Data!$E:$BM,MATCH(yoy!$R$1,Data!$E$1:$BM$1,),))/VLOOKUP(A45,Data!$E:$BM,MATCH(yoy!$R$1,Data!$E$1:$BM$1,),)</f>
        <v/>
      </c>
      <c r="S45" s="14">
        <f>(VLOOKUP(B45,Data!$E:$BM,MATCH(yoy!$S$1,Data!$E$1:$BM$1,),)-VLOOKUP(A45,Data!$E:$BM,MATCH(yoy!$S$1,Data!$E$1:$BM$1,),))/VLOOKUP(A45,Data!$E:$BM,MATCH(yoy!$S$1,Data!$E$1:$BM$1,),)</f>
        <v/>
      </c>
      <c r="T45" s="14">
        <f>(VLOOKUP(B45,Data!$E:$BM,MATCH(yoy!$T$1,Data!$E$1:$BM$1,),)-VLOOKUP(A45,Data!$E:$BM,MATCH(yoy!$T$1,Data!$E$1:$BM$1,),))/VLOOKUP(A45,Data!$E:$BM,MATCH(yoy!$T$1,Data!$E$1:$BM$1,),)</f>
        <v/>
      </c>
      <c r="U45" s="14">
        <f>(VLOOKUP(B45,Data!$E:$BM,MATCH(yoy!$U$1,Data!$E$1:$BM$1,),)-VLOOKUP(A45,Data!$E:$BM,MATCH(yoy!$U$1,Data!$E$1:$BM$1,),))/VLOOKUP(A45,Data!$E:$BM,MATCH(yoy!$U$1,Data!$E$1:$BM$1,),)</f>
        <v/>
      </c>
      <c r="V45" s="14">
        <f>(VLOOKUP(B45,Data!$E:$BM,MATCH(yoy!$V$1,Data!$E$1:$BM$1,),)-VLOOKUP(A45,Data!$E:$BM,MATCH(yoy!$V$1,Data!$E$1:$BM$1,),))/VLOOKUP(A45,Data!$E:$BM,MATCH(yoy!$V$1,Data!$E$1:$BM$1,),)</f>
        <v/>
      </c>
      <c r="W45" s="14">
        <f>(VLOOKUP(B45,Data!$E:$BM,MATCH(yoy!$W$1,Data!$E$1:$BM$1,),)-VLOOKUP(A45,Data!$E:$BM,MATCH(yoy!$W$1,Data!$E$1:$BM$1,),))/VLOOKUP(A45,Data!$E:$BM,MATCH(yoy!$W$1,Data!$E$1:$BM$1,),)</f>
        <v/>
      </c>
      <c r="X45" s="14">
        <f>(VLOOKUP(B45,Data!$E:$BM,MATCH(yoy!$X$1,Data!$E$1:$BM$1,),)-VLOOKUP(A45,Data!$E:$BM,MATCH(yoy!$X$1,Data!$E$1:$BM$1,),))/VLOOKUP(A45,Data!$E:$BM,MATCH(yoy!$X$1,Data!$E$1:$BM$1,),)</f>
        <v/>
      </c>
      <c r="Y45" s="14">
        <f>(VLOOKUP(B45,Data!$E:$BM,MATCH(yoy!$Y$1,Data!$E$1:$BM$1,),)-VLOOKUP(A45,Data!$E:$BM,MATCH(yoy!$Y$1,Data!$E$1:$BM$1,),))/VLOOKUP(A45,Data!$E:$BM,MATCH(yoy!$Y$1,Data!$E$1:$BM$1,),)</f>
        <v/>
      </c>
      <c r="Z45" s="14">
        <f>(VLOOKUP(B45,Data!$E:$BM,MATCH(yoy!$Z$1,Data!$E$1:$BM$1,),)-VLOOKUP(A45,Data!$E:$BM,MATCH(yoy!$Z$1,Data!$E$1:$BM$1,),))/VLOOKUP(A45,Data!$E:$BM,MATCH(yoy!$Z$1,Data!$E$1:$BM$1,),)</f>
        <v/>
      </c>
      <c r="AA45" s="14">
        <f>(VLOOKUP(B45,Data!$E:$BM,MATCH(yoy!$AA$1,Data!$E$1:$BM$1,),)-VLOOKUP(A45,Data!$E:$BM,MATCH(yoy!$AA$1,Data!$E$1:$BM$1,),))/VLOOKUP(A45,Data!$E:$BM,MATCH(yoy!$AA$1,Data!$E$1:$BM$1,),)</f>
        <v/>
      </c>
    </row>
    <row r="46" customFormat="1" s="83">
      <c r="A46" s="20">
        <f>DATE(YEAR(B46)-1,MONTH(B46),DAY(B46))</f>
        <v/>
      </c>
      <c r="B46" s="12" t="n">
        <v>43252</v>
      </c>
      <c r="C46" s="14">
        <f>(VLOOKUP(B46,Data!$E:$BM,MATCH(yoy!$C$1,Data!$E$1:$BM$1,),)-VLOOKUP(A46,Data!$E:$BM,MATCH(yoy!$C$1,Data!$E$1:$BM$1,),))/VLOOKUP(A46,Data!$E:$BM,MATCH(yoy!$C$1,Data!$E$1:$BM$1,),)</f>
        <v/>
      </c>
      <c r="D46" s="14">
        <f>(VLOOKUP(B46,Data!$E:$BM,MATCH(yoy!$D$1,Data!$E$1:$BM$1,),)-VLOOKUP(A46,Data!$E:$BM,MATCH(yoy!$D$1,Data!$E$1:$BM$1,),))/VLOOKUP(A46,Data!$E:$BM,MATCH(yoy!$D$1,Data!$E$1:$BM$1,),)</f>
        <v/>
      </c>
      <c r="E46" s="14">
        <f>(VLOOKUP(B46,Data!$E:$BM,MATCH(yoy!$E$1,Data!$E$1:$BM$1,),)-VLOOKUP(A46,Data!$E:$BM,MATCH(yoy!$E$1,Data!$E$1:$BM$1,),))/VLOOKUP(A46,Data!$E:$BM,MATCH(yoy!$E$1,Data!$E$1:$BM$1,),)</f>
        <v/>
      </c>
      <c r="F46" s="14">
        <f>(VLOOKUP(B46,Data!$E:$BM,MATCH(yoy!$F$1,Data!$E$1:$BM$1,),)-VLOOKUP(A46,Data!$E:$BM,MATCH(yoy!$F$1,Data!$E$1:$BM$1,),))/VLOOKUP(A46,Data!$E:$BM,MATCH(yoy!$F$1,Data!$E$1:$BM$1,),)</f>
        <v/>
      </c>
      <c r="G46" s="14">
        <f>(VLOOKUP(B46,Data!$E:$BM,MATCH(yoy!$G$1,Data!$E$1:$BM$1,),)-VLOOKUP(A46,Data!$E:$BM,MATCH(yoy!$G$1,Data!$E$1:$BM$1,),))/VLOOKUP(A46,Data!$E:$BM,MATCH(yoy!$G$1,Data!$E$1:$BM$1,),)</f>
        <v/>
      </c>
      <c r="H46" s="14">
        <f>(VLOOKUP(B46,Data!$E:$BM,MATCH(yoy!$H$1,Data!$E$1:$BM$1,),)-VLOOKUP(A46,Data!$E:$BM,MATCH(yoy!$H$1,Data!$E$1:$BM$1,),))/VLOOKUP(A46,Data!$E:$BM,MATCH(yoy!$H$1,Data!$E$1:$BM$1,),)</f>
        <v/>
      </c>
      <c r="I46" s="14">
        <f>(VLOOKUP(B46,Data!$E:$BM,MATCH(yoy!$I$1,Data!$E$1:$BM$1,),)-VLOOKUP(A46,Data!$E:$BM,MATCH(yoy!$I$1,Data!$E$1:$BM$1,),))/VLOOKUP(A46,Data!$E:$BM,MATCH(yoy!$I$1,Data!$E$1:$BM$1,),)</f>
        <v/>
      </c>
      <c r="J46" s="14">
        <f>(VLOOKUP(B46,Data!$E:$BM,MATCH(yoy!$J$1,Data!$E$1:$BM$1,),)-VLOOKUP(A46,Data!$E:$BM,MATCH(yoy!$J$1,Data!$E$1:$BM$1,),))/VLOOKUP(A46,Data!$E:$BM,MATCH(yoy!$J$1,Data!$E$1:$BM$1,),)</f>
        <v/>
      </c>
      <c r="K46" s="14">
        <f>(VLOOKUP(B46,Data!$E:$BM,MATCH(yoy!$K$1,Data!$E$1:$BM$1,),)-VLOOKUP(A46,Data!$E:$BM,MATCH(yoy!$K$1,Data!$E$1:$BM$1,),))/VLOOKUP(A46,Data!$E:$BM,MATCH(yoy!$K$1,Data!$E$1:$BM$1,),)</f>
        <v/>
      </c>
      <c r="L46" s="14">
        <f>(VLOOKUP(B46,Data!$E:$BM,MATCH(yoy!$L$1,Data!$E$1:$BM$1,),)-VLOOKUP(A46,Data!$E:$BM,MATCH(yoy!$L$1,Data!$E$1:$BM$1,),))/VLOOKUP(A46,Data!$E:$BM,MATCH(yoy!$L$1,Data!$E$1:$BM$1,),)</f>
        <v/>
      </c>
      <c r="M46" s="14">
        <f>(VLOOKUP(B46,Data!$E:$BM,MATCH(yoy!$M$1,Data!$E$1:$BM$1,),)-VLOOKUP(A46,Data!$E:$BM,MATCH(yoy!$M$1,Data!$E$1:$BM$1,),))/VLOOKUP(A46,Data!$E:$BM,MATCH(yoy!$M$1,Data!$E$1:$BM$1,),)</f>
        <v/>
      </c>
      <c r="N46" s="14">
        <f>(VLOOKUP(B46,Data!$E:$BM,MATCH(yoy!$N$1,Data!$E$1:$BM$1,),)-VLOOKUP(A46,Data!$E:$BM,MATCH(yoy!$N$1,Data!$E$1:$BM$1,),))/VLOOKUP(A46,Data!$E:$BM,MATCH(yoy!$N$1,Data!$E$1:$BM$1,),)</f>
        <v/>
      </c>
      <c r="O46" s="14">
        <f>(VLOOKUP(B46,Data!$E:$BM,MATCH(yoy!$O$1,Data!$E$1:$BM$1,),)-VLOOKUP(A46,Data!$E:$BM,MATCH(yoy!$O$1,Data!$E$1:$BM$1,),))/VLOOKUP(A46,Data!$E:$BM,MATCH(yoy!$O$1,Data!$E$1:$BM$1,),)</f>
        <v/>
      </c>
      <c r="P46" s="14">
        <f>(VLOOKUP(B46,Data!$E:$BM,MATCH(yoy!$P$1,Data!$E$1:$BM$1,),)-VLOOKUP(A46,Data!$E:$BM,MATCH(yoy!$P$1,Data!$E$1:$BM$1,),))/VLOOKUP(A46,Data!$E:$BM,MATCH(yoy!$P$1,Data!$E$1:$BM$1,),)</f>
        <v/>
      </c>
      <c r="Q46" s="14">
        <f>(VLOOKUP(B46,Data!$E:$BM,MATCH(yoy!$Q$1,Data!$E$1:$BM$1,),)-VLOOKUP(A46,Data!$E:$BM,MATCH(yoy!$Q$1,Data!$E$1:$BM$1,),))/VLOOKUP(A46,Data!$E:$BM,MATCH(yoy!$Q$1,Data!$E$1:$BM$1,),)</f>
        <v/>
      </c>
      <c r="R46" s="14">
        <f>(VLOOKUP(B46,Data!$E:$BM,MATCH(yoy!$R$1,Data!$E$1:$BM$1,),)-VLOOKUP(A46,Data!$E:$BM,MATCH(yoy!$R$1,Data!$E$1:$BM$1,),))/VLOOKUP(A46,Data!$E:$BM,MATCH(yoy!$R$1,Data!$E$1:$BM$1,),)</f>
        <v/>
      </c>
      <c r="S46" s="14">
        <f>(VLOOKUP(B46,Data!$E:$BM,MATCH(yoy!$S$1,Data!$E$1:$BM$1,),)-VLOOKUP(A46,Data!$E:$BM,MATCH(yoy!$S$1,Data!$E$1:$BM$1,),))/VLOOKUP(A46,Data!$E:$BM,MATCH(yoy!$S$1,Data!$E$1:$BM$1,),)</f>
        <v/>
      </c>
      <c r="T46" s="14">
        <f>(VLOOKUP(B46,Data!$E:$BM,MATCH(yoy!$T$1,Data!$E$1:$BM$1,),)-VLOOKUP(A46,Data!$E:$BM,MATCH(yoy!$T$1,Data!$E$1:$BM$1,),))/VLOOKUP(A46,Data!$E:$BM,MATCH(yoy!$T$1,Data!$E$1:$BM$1,),)</f>
        <v/>
      </c>
      <c r="U46" s="14">
        <f>(VLOOKUP(B46,Data!$E:$BM,MATCH(yoy!$U$1,Data!$E$1:$BM$1,),)-VLOOKUP(A46,Data!$E:$BM,MATCH(yoy!$U$1,Data!$E$1:$BM$1,),))/VLOOKUP(A46,Data!$E:$BM,MATCH(yoy!$U$1,Data!$E$1:$BM$1,),)</f>
        <v/>
      </c>
      <c r="V46" s="14">
        <f>(VLOOKUP(B46,Data!$E:$BM,MATCH(yoy!$V$1,Data!$E$1:$BM$1,),)-VLOOKUP(A46,Data!$E:$BM,MATCH(yoy!$V$1,Data!$E$1:$BM$1,),))/VLOOKUP(A46,Data!$E:$BM,MATCH(yoy!$V$1,Data!$E$1:$BM$1,),)</f>
        <v/>
      </c>
      <c r="W46" s="14">
        <f>(VLOOKUP(B46,Data!$E:$BM,MATCH(yoy!$W$1,Data!$E$1:$BM$1,),)-VLOOKUP(A46,Data!$E:$BM,MATCH(yoy!$W$1,Data!$E$1:$BM$1,),))/VLOOKUP(A46,Data!$E:$BM,MATCH(yoy!$W$1,Data!$E$1:$BM$1,),)</f>
        <v/>
      </c>
      <c r="X46" s="14">
        <f>(VLOOKUP(B46,Data!$E:$BM,MATCH(yoy!$X$1,Data!$E$1:$BM$1,),)-VLOOKUP(A46,Data!$E:$BM,MATCH(yoy!$X$1,Data!$E$1:$BM$1,),))/VLOOKUP(A46,Data!$E:$BM,MATCH(yoy!$X$1,Data!$E$1:$BM$1,),)</f>
        <v/>
      </c>
      <c r="Y46" s="14">
        <f>(VLOOKUP(B46,Data!$E:$BM,MATCH(yoy!$Y$1,Data!$E$1:$BM$1,),)-VLOOKUP(A46,Data!$E:$BM,MATCH(yoy!$Y$1,Data!$E$1:$BM$1,),))/VLOOKUP(A46,Data!$E:$BM,MATCH(yoy!$Y$1,Data!$E$1:$BM$1,),)</f>
        <v/>
      </c>
      <c r="Z46" s="14">
        <f>(VLOOKUP(B46,Data!$E:$BM,MATCH(yoy!$Z$1,Data!$E$1:$BM$1,),)-VLOOKUP(A46,Data!$E:$BM,MATCH(yoy!$Z$1,Data!$E$1:$BM$1,),))/VLOOKUP(A46,Data!$E:$BM,MATCH(yoy!$Z$1,Data!$E$1:$BM$1,),)</f>
        <v/>
      </c>
      <c r="AA46" s="14">
        <f>(VLOOKUP(B46,Data!$E:$BM,MATCH(yoy!$AA$1,Data!$E$1:$BM$1,),)-VLOOKUP(A46,Data!$E:$BM,MATCH(yoy!$AA$1,Data!$E$1:$BM$1,),))/VLOOKUP(A46,Data!$E:$BM,MATCH(yoy!$AA$1,Data!$E$1:$BM$1,),)</f>
        <v/>
      </c>
    </row>
    <row r="47" customFormat="1" s="83">
      <c r="A47" s="20">
        <f>DATE(YEAR(B47)-1,MONTH(B47),DAY(B47))</f>
        <v/>
      </c>
      <c r="B47" s="12" t="n">
        <v>43282</v>
      </c>
      <c r="C47" s="14">
        <f>(VLOOKUP(B47,Data!$E:$BM,MATCH(yoy!$C$1,Data!$E$1:$BM$1,),)-VLOOKUP(A47,Data!$E:$BM,MATCH(yoy!$C$1,Data!$E$1:$BM$1,),))/VLOOKUP(A47,Data!$E:$BM,MATCH(yoy!$C$1,Data!$E$1:$BM$1,),)</f>
        <v/>
      </c>
      <c r="D47" s="14">
        <f>(VLOOKUP(B47,Data!$E:$BM,MATCH(yoy!$D$1,Data!$E$1:$BM$1,),)-VLOOKUP(A47,Data!$E:$BM,MATCH(yoy!$D$1,Data!$E$1:$BM$1,),))/VLOOKUP(A47,Data!$E:$BM,MATCH(yoy!$D$1,Data!$E$1:$BM$1,),)</f>
        <v/>
      </c>
      <c r="E47" s="14">
        <f>(VLOOKUP(B47,Data!$E:$BM,MATCH(yoy!$E$1,Data!$E$1:$BM$1,),)-VLOOKUP(A47,Data!$E:$BM,MATCH(yoy!$E$1,Data!$E$1:$BM$1,),))/VLOOKUP(A47,Data!$E:$BM,MATCH(yoy!$E$1,Data!$E$1:$BM$1,),)</f>
        <v/>
      </c>
      <c r="F47" s="14">
        <f>(VLOOKUP(B47,Data!$E:$BM,MATCH(yoy!$F$1,Data!$E$1:$BM$1,),)-VLOOKUP(A47,Data!$E:$BM,MATCH(yoy!$F$1,Data!$E$1:$BM$1,),))/VLOOKUP(A47,Data!$E:$BM,MATCH(yoy!$F$1,Data!$E$1:$BM$1,),)</f>
        <v/>
      </c>
      <c r="G47" s="14">
        <f>(VLOOKUP(B47,Data!$E:$BM,MATCH(yoy!$G$1,Data!$E$1:$BM$1,),)-VLOOKUP(A47,Data!$E:$BM,MATCH(yoy!$G$1,Data!$E$1:$BM$1,),))/VLOOKUP(A47,Data!$E:$BM,MATCH(yoy!$G$1,Data!$E$1:$BM$1,),)</f>
        <v/>
      </c>
      <c r="H47" s="14">
        <f>(VLOOKUP(B47,Data!$E:$BM,MATCH(yoy!$H$1,Data!$E$1:$BM$1,),)-VLOOKUP(A47,Data!$E:$BM,MATCH(yoy!$H$1,Data!$E$1:$BM$1,),))/VLOOKUP(A47,Data!$E:$BM,MATCH(yoy!$H$1,Data!$E$1:$BM$1,),)</f>
        <v/>
      </c>
      <c r="I47" s="14">
        <f>(VLOOKUP(B47,Data!$E:$BM,MATCH(yoy!$I$1,Data!$E$1:$BM$1,),)-VLOOKUP(A47,Data!$E:$BM,MATCH(yoy!$I$1,Data!$E$1:$BM$1,),))/VLOOKUP(A47,Data!$E:$BM,MATCH(yoy!$I$1,Data!$E$1:$BM$1,),)</f>
        <v/>
      </c>
      <c r="J47" s="14">
        <f>(VLOOKUP(B47,Data!$E:$BM,MATCH(yoy!$J$1,Data!$E$1:$BM$1,),)-VLOOKUP(A47,Data!$E:$BM,MATCH(yoy!$J$1,Data!$E$1:$BM$1,),))/VLOOKUP(A47,Data!$E:$BM,MATCH(yoy!$J$1,Data!$E$1:$BM$1,),)</f>
        <v/>
      </c>
      <c r="K47" s="14">
        <f>(VLOOKUP(B47,Data!$E:$BM,MATCH(yoy!$K$1,Data!$E$1:$BM$1,),)-VLOOKUP(A47,Data!$E:$BM,MATCH(yoy!$K$1,Data!$E$1:$BM$1,),))/VLOOKUP(A47,Data!$E:$BM,MATCH(yoy!$K$1,Data!$E$1:$BM$1,),)</f>
        <v/>
      </c>
      <c r="L47" s="14">
        <f>(VLOOKUP(B47,Data!$E:$BM,MATCH(yoy!$L$1,Data!$E$1:$BM$1,),)-VLOOKUP(A47,Data!$E:$BM,MATCH(yoy!$L$1,Data!$E$1:$BM$1,),))/VLOOKUP(A47,Data!$E:$BM,MATCH(yoy!$L$1,Data!$E$1:$BM$1,),)</f>
        <v/>
      </c>
      <c r="M47" s="14">
        <f>(VLOOKUP(B47,Data!$E:$BM,MATCH(yoy!$M$1,Data!$E$1:$BM$1,),)-VLOOKUP(A47,Data!$E:$BM,MATCH(yoy!$M$1,Data!$E$1:$BM$1,),))/VLOOKUP(A47,Data!$E:$BM,MATCH(yoy!$M$1,Data!$E$1:$BM$1,),)</f>
        <v/>
      </c>
      <c r="N47" s="14">
        <f>(VLOOKUP(B47,Data!$E:$BM,MATCH(yoy!$N$1,Data!$E$1:$BM$1,),)-VLOOKUP(A47,Data!$E:$BM,MATCH(yoy!$N$1,Data!$E$1:$BM$1,),))/VLOOKUP(A47,Data!$E:$BM,MATCH(yoy!$N$1,Data!$E$1:$BM$1,),)</f>
        <v/>
      </c>
      <c r="O47" s="14">
        <f>(VLOOKUP(B47,Data!$E:$BM,MATCH(yoy!$O$1,Data!$E$1:$BM$1,),)-VLOOKUP(A47,Data!$E:$BM,MATCH(yoy!$O$1,Data!$E$1:$BM$1,),))/VLOOKUP(A47,Data!$E:$BM,MATCH(yoy!$O$1,Data!$E$1:$BM$1,),)</f>
        <v/>
      </c>
      <c r="P47" s="14">
        <f>(VLOOKUP(B47,Data!$E:$BM,MATCH(yoy!$P$1,Data!$E$1:$BM$1,),)-VLOOKUP(A47,Data!$E:$BM,MATCH(yoy!$P$1,Data!$E$1:$BM$1,),))/VLOOKUP(A47,Data!$E:$BM,MATCH(yoy!$P$1,Data!$E$1:$BM$1,),)</f>
        <v/>
      </c>
      <c r="Q47" s="14">
        <f>(VLOOKUP(B47,Data!$E:$BM,MATCH(yoy!$Q$1,Data!$E$1:$BM$1,),)-VLOOKUP(A47,Data!$E:$BM,MATCH(yoy!$Q$1,Data!$E$1:$BM$1,),))/VLOOKUP(A47,Data!$E:$BM,MATCH(yoy!$Q$1,Data!$E$1:$BM$1,),)</f>
        <v/>
      </c>
      <c r="R47" s="14">
        <f>(VLOOKUP(B47,Data!$E:$BM,MATCH(yoy!$R$1,Data!$E$1:$BM$1,),)-VLOOKUP(A47,Data!$E:$BM,MATCH(yoy!$R$1,Data!$E$1:$BM$1,),))/VLOOKUP(A47,Data!$E:$BM,MATCH(yoy!$R$1,Data!$E$1:$BM$1,),)</f>
        <v/>
      </c>
      <c r="S47" s="14">
        <f>(VLOOKUP(B47,Data!$E:$BM,MATCH(yoy!$S$1,Data!$E$1:$BM$1,),)-VLOOKUP(A47,Data!$E:$BM,MATCH(yoy!$S$1,Data!$E$1:$BM$1,),))/VLOOKUP(A47,Data!$E:$BM,MATCH(yoy!$S$1,Data!$E$1:$BM$1,),)</f>
        <v/>
      </c>
      <c r="T47" s="14">
        <f>(VLOOKUP(B47,Data!$E:$BM,MATCH(yoy!$T$1,Data!$E$1:$BM$1,),)-VLOOKUP(A47,Data!$E:$BM,MATCH(yoy!$T$1,Data!$E$1:$BM$1,),))/VLOOKUP(A47,Data!$E:$BM,MATCH(yoy!$T$1,Data!$E$1:$BM$1,),)</f>
        <v/>
      </c>
      <c r="U47" s="14">
        <f>(VLOOKUP(B47,Data!$E:$BM,MATCH(yoy!$U$1,Data!$E$1:$BM$1,),)-VLOOKUP(A47,Data!$E:$BM,MATCH(yoy!$U$1,Data!$E$1:$BM$1,),))/VLOOKUP(A47,Data!$E:$BM,MATCH(yoy!$U$1,Data!$E$1:$BM$1,),)</f>
        <v/>
      </c>
      <c r="V47" s="14">
        <f>(VLOOKUP(B47,Data!$E:$BM,MATCH(yoy!$V$1,Data!$E$1:$BM$1,),)-VLOOKUP(A47,Data!$E:$BM,MATCH(yoy!$V$1,Data!$E$1:$BM$1,),))/VLOOKUP(A47,Data!$E:$BM,MATCH(yoy!$V$1,Data!$E$1:$BM$1,),)</f>
        <v/>
      </c>
      <c r="W47" s="14">
        <f>(VLOOKUP(B47,Data!$E:$BM,MATCH(yoy!$W$1,Data!$E$1:$BM$1,),)-VLOOKUP(A47,Data!$E:$BM,MATCH(yoy!$W$1,Data!$E$1:$BM$1,),))/VLOOKUP(A47,Data!$E:$BM,MATCH(yoy!$W$1,Data!$E$1:$BM$1,),)</f>
        <v/>
      </c>
      <c r="X47" s="14">
        <f>(VLOOKUP(B47,Data!$E:$BM,MATCH(yoy!$X$1,Data!$E$1:$BM$1,),)-VLOOKUP(A47,Data!$E:$BM,MATCH(yoy!$X$1,Data!$E$1:$BM$1,),))/VLOOKUP(A47,Data!$E:$BM,MATCH(yoy!$X$1,Data!$E$1:$BM$1,),)</f>
        <v/>
      </c>
      <c r="Y47" s="14">
        <f>(VLOOKUP(B47,Data!$E:$BM,MATCH(yoy!$Y$1,Data!$E$1:$BM$1,),)-VLOOKUP(A47,Data!$E:$BM,MATCH(yoy!$Y$1,Data!$E$1:$BM$1,),))/VLOOKUP(A47,Data!$E:$BM,MATCH(yoy!$Y$1,Data!$E$1:$BM$1,),)</f>
        <v/>
      </c>
      <c r="Z47" s="14">
        <f>(VLOOKUP(B47,Data!$E:$BM,MATCH(yoy!$Z$1,Data!$E$1:$BM$1,),)-VLOOKUP(A47,Data!$E:$BM,MATCH(yoy!$Z$1,Data!$E$1:$BM$1,),))/VLOOKUP(A47,Data!$E:$BM,MATCH(yoy!$Z$1,Data!$E$1:$BM$1,),)</f>
        <v/>
      </c>
      <c r="AA47" s="14">
        <f>(VLOOKUP(B47,Data!$E:$BM,MATCH(yoy!$AA$1,Data!$E$1:$BM$1,),)-VLOOKUP(A47,Data!$E:$BM,MATCH(yoy!$AA$1,Data!$E$1:$BM$1,),))/VLOOKUP(A47,Data!$E:$BM,MATCH(yoy!$AA$1,Data!$E$1:$BM$1,),)</f>
        <v/>
      </c>
    </row>
    <row r="48" customFormat="1" s="83">
      <c r="A48" s="20">
        <f>DATE(YEAR(B48)-1,MONTH(B48),DAY(B48))</f>
        <v/>
      </c>
      <c r="B48" s="12" t="n">
        <v>43313</v>
      </c>
      <c r="C48" s="14">
        <f>(VLOOKUP(B48,Data!$E:$BM,MATCH(yoy!$C$1,Data!$E$1:$BM$1,),)-VLOOKUP(A48,Data!$E:$BM,MATCH(yoy!$C$1,Data!$E$1:$BM$1,),))/VLOOKUP(A48,Data!$E:$BM,MATCH(yoy!$C$1,Data!$E$1:$BM$1,),)</f>
        <v/>
      </c>
      <c r="D48" s="14">
        <f>(VLOOKUP(B48,Data!$E:$BM,MATCH(yoy!$D$1,Data!$E$1:$BM$1,),)-VLOOKUP(A48,Data!$E:$BM,MATCH(yoy!$D$1,Data!$E$1:$BM$1,),))/VLOOKUP(A48,Data!$E:$BM,MATCH(yoy!$D$1,Data!$E$1:$BM$1,),)</f>
        <v/>
      </c>
      <c r="E48" s="14">
        <f>(VLOOKUP(B48,Data!$E:$BM,MATCH(yoy!$E$1,Data!$E$1:$BM$1,),)-VLOOKUP(A48,Data!$E:$BM,MATCH(yoy!$E$1,Data!$E$1:$BM$1,),))/VLOOKUP(A48,Data!$E:$BM,MATCH(yoy!$E$1,Data!$E$1:$BM$1,),)</f>
        <v/>
      </c>
      <c r="F48" s="14">
        <f>(VLOOKUP(B48,Data!$E:$BM,MATCH(yoy!$F$1,Data!$E$1:$BM$1,),)-VLOOKUP(A48,Data!$E:$BM,MATCH(yoy!$F$1,Data!$E$1:$BM$1,),))/VLOOKUP(A48,Data!$E:$BM,MATCH(yoy!$F$1,Data!$E$1:$BM$1,),)</f>
        <v/>
      </c>
      <c r="G48" s="14">
        <f>(VLOOKUP(B48,Data!$E:$BM,MATCH(yoy!$G$1,Data!$E$1:$BM$1,),)-VLOOKUP(A48,Data!$E:$BM,MATCH(yoy!$G$1,Data!$E$1:$BM$1,),))/VLOOKUP(A48,Data!$E:$BM,MATCH(yoy!$G$1,Data!$E$1:$BM$1,),)</f>
        <v/>
      </c>
      <c r="H48" s="14">
        <f>(VLOOKUP(B48,Data!$E:$BM,MATCH(yoy!$H$1,Data!$E$1:$BM$1,),)-VLOOKUP(A48,Data!$E:$BM,MATCH(yoy!$H$1,Data!$E$1:$BM$1,),))/VLOOKUP(A48,Data!$E:$BM,MATCH(yoy!$H$1,Data!$E$1:$BM$1,),)</f>
        <v/>
      </c>
      <c r="I48" s="14">
        <f>(VLOOKUP(B48,Data!$E:$BM,MATCH(yoy!$I$1,Data!$E$1:$BM$1,),)-VLOOKUP(A48,Data!$E:$BM,MATCH(yoy!$I$1,Data!$E$1:$BM$1,),))/VLOOKUP(A48,Data!$E:$BM,MATCH(yoy!$I$1,Data!$E$1:$BM$1,),)</f>
        <v/>
      </c>
      <c r="J48" s="14">
        <f>(VLOOKUP(B48,Data!$E:$BM,MATCH(yoy!$J$1,Data!$E$1:$BM$1,),)-VLOOKUP(A48,Data!$E:$BM,MATCH(yoy!$J$1,Data!$E$1:$BM$1,),))/VLOOKUP(A48,Data!$E:$BM,MATCH(yoy!$J$1,Data!$E$1:$BM$1,),)</f>
        <v/>
      </c>
      <c r="K48" s="14">
        <f>(VLOOKUP(B48,Data!$E:$BM,MATCH(yoy!$K$1,Data!$E$1:$BM$1,),)-VLOOKUP(A48,Data!$E:$BM,MATCH(yoy!$K$1,Data!$E$1:$BM$1,),))/VLOOKUP(A48,Data!$E:$BM,MATCH(yoy!$K$1,Data!$E$1:$BM$1,),)</f>
        <v/>
      </c>
      <c r="L48" s="14">
        <f>(VLOOKUP(B48,Data!$E:$BM,MATCH(yoy!$L$1,Data!$E$1:$BM$1,),)-VLOOKUP(A48,Data!$E:$BM,MATCH(yoy!$L$1,Data!$E$1:$BM$1,),))/VLOOKUP(A48,Data!$E:$BM,MATCH(yoy!$L$1,Data!$E$1:$BM$1,),)</f>
        <v/>
      </c>
      <c r="M48" s="14">
        <f>(VLOOKUP(B48,Data!$E:$BM,MATCH(yoy!$M$1,Data!$E$1:$BM$1,),)-VLOOKUP(A48,Data!$E:$BM,MATCH(yoy!$M$1,Data!$E$1:$BM$1,),))/VLOOKUP(A48,Data!$E:$BM,MATCH(yoy!$M$1,Data!$E$1:$BM$1,),)</f>
        <v/>
      </c>
      <c r="N48" s="14">
        <f>(VLOOKUP(B48,Data!$E:$BM,MATCH(yoy!$N$1,Data!$E$1:$BM$1,),)-VLOOKUP(A48,Data!$E:$BM,MATCH(yoy!$N$1,Data!$E$1:$BM$1,),))/VLOOKUP(A48,Data!$E:$BM,MATCH(yoy!$N$1,Data!$E$1:$BM$1,),)</f>
        <v/>
      </c>
      <c r="O48" s="14">
        <f>(VLOOKUP(B48,Data!$E:$BM,MATCH(yoy!$O$1,Data!$E$1:$BM$1,),)-VLOOKUP(A48,Data!$E:$BM,MATCH(yoy!$O$1,Data!$E$1:$BM$1,),))/VLOOKUP(A48,Data!$E:$BM,MATCH(yoy!$O$1,Data!$E$1:$BM$1,),)</f>
        <v/>
      </c>
      <c r="P48" s="14">
        <f>(VLOOKUP(B48,Data!$E:$BM,MATCH(yoy!$P$1,Data!$E$1:$BM$1,),)-VLOOKUP(A48,Data!$E:$BM,MATCH(yoy!$P$1,Data!$E$1:$BM$1,),))/VLOOKUP(A48,Data!$E:$BM,MATCH(yoy!$P$1,Data!$E$1:$BM$1,),)</f>
        <v/>
      </c>
      <c r="Q48" s="14">
        <f>(VLOOKUP(B48,Data!$E:$BM,MATCH(yoy!$Q$1,Data!$E$1:$BM$1,),)-VLOOKUP(A48,Data!$E:$BM,MATCH(yoy!$Q$1,Data!$E$1:$BM$1,),))/VLOOKUP(A48,Data!$E:$BM,MATCH(yoy!$Q$1,Data!$E$1:$BM$1,),)</f>
        <v/>
      </c>
      <c r="R48" s="14">
        <f>(VLOOKUP(B48,Data!$E:$BM,MATCH(yoy!$R$1,Data!$E$1:$BM$1,),)-VLOOKUP(A48,Data!$E:$BM,MATCH(yoy!$R$1,Data!$E$1:$BM$1,),))/VLOOKUP(A48,Data!$E:$BM,MATCH(yoy!$R$1,Data!$E$1:$BM$1,),)</f>
        <v/>
      </c>
      <c r="S48" s="14">
        <f>(VLOOKUP(B48,Data!$E:$BM,MATCH(yoy!$S$1,Data!$E$1:$BM$1,),)-VLOOKUP(A48,Data!$E:$BM,MATCH(yoy!$S$1,Data!$E$1:$BM$1,),))/VLOOKUP(A48,Data!$E:$BM,MATCH(yoy!$S$1,Data!$E$1:$BM$1,),)</f>
        <v/>
      </c>
      <c r="T48" s="14">
        <f>(VLOOKUP(B48,Data!$E:$BM,MATCH(yoy!$T$1,Data!$E$1:$BM$1,),)-VLOOKUP(A48,Data!$E:$BM,MATCH(yoy!$T$1,Data!$E$1:$BM$1,),))/VLOOKUP(A48,Data!$E:$BM,MATCH(yoy!$T$1,Data!$E$1:$BM$1,),)</f>
        <v/>
      </c>
      <c r="U48" s="14">
        <f>(VLOOKUP(B48,Data!$E:$BM,MATCH(yoy!$U$1,Data!$E$1:$BM$1,),)-VLOOKUP(A48,Data!$E:$BM,MATCH(yoy!$U$1,Data!$E$1:$BM$1,),))/VLOOKUP(A48,Data!$E:$BM,MATCH(yoy!$U$1,Data!$E$1:$BM$1,),)</f>
        <v/>
      </c>
      <c r="V48" s="14">
        <f>(VLOOKUP(B48,Data!$E:$BM,MATCH(yoy!$V$1,Data!$E$1:$BM$1,),)-VLOOKUP(A48,Data!$E:$BM,MATCH(yoy!$V$1,Data!$E$1:$BM$1,),))/VLOOKUP(A48,Data!$E:$BM,MATCH(yoy!$V$1,Data!$E$1:$BM$1,),)</f>
        <v/>
      </c>
      <c r="W48" s="14">
        <f>(VLOOKUP(B48,Data!$E:$BM,MATCH(yoy!$W$1,Data!$E$1:$BM$1,),)-VLOOKUP(A48,Data!$E:$BM,MATCH(yoy!$W$1,Data!$E$1:$BM$1,),))/VLOOKUP(A48,Data!$E:$BM,MATCH(yoy!$W$1,Data!$E$1:$BM$1,),)</f>
        <v/>
      </c>
      <c r="X48" s="14">
        <f>(VLOOKUP(B48,Data!$E:$BM,MATCH(yoy!$X$1,Data!$E$1:$BM$1,),)-VLOOKUP(A48,Data!$E:$BM,MATCH(yoy!$X$1,Data!$E$1:$BM$1,),))/VLOOKUP(A48,Data!$E:$BM,MATCH(yoy!$X$1,Data!$E$1:$BM$1,),)</f>
        <v/>
      </c>
      <c r="Y48" s="14">
        <f>(VLOOKUP(B48,Data!$E:$BM,MATCH(yoy!$Y$1,Data!$E$1:$BM$1,),)-VLOOKUP(A48,Data!$E:$BM,MATCH(yoy!$Y$1,Data!$E$1:$BM$1,),))/VLOOKUP(A48,Data!$E:$BM,MATCH(yoy!$Y$1,Data!$E$1:$BM$1,),)</f>
        <v/>
      </c>
      <c r="Z48" s="14">
        <f>(VLOOKUP(B48,Data!$E:$BM,MATCH(yoy!$Z$1,Data!$E$1:$BM$1,),)-VLOOKUP(A48,Data!$E:$BM,MATCH(yoy!$Z$1,Data!$E$1:$BM$1,),))/VLOOKUP(A48,Data!$E:$BM,MATCH(yoy!$Z$1,Data!$E$1:$BM$1,),)</f>
        <v/>
      </c>
      <c r="AA48" s="14">
        <f>(VLOOKUP(B48,Data!$E:$BM,MATCH(yoy!$AA$1,Data!$E$1:$BM$1,),)-VLOOKUP(A48,Data!$E:$BM,MATCH(yoy!$AA$1,Data!$E$1:$BM$1,),))/VLOOKUP(A48,Data!$E:$BM,MATCH(yoy!$AA$1,Data!$E$1:$BM$1,),)</f>
        <v/>
      </c>
    </row>
    <row r="49" customFormat="1" s="83">
      <c r="A49" s="20">
        <f>DATE(YEAR(B49)-1,MONTH(B49),DAY(B49))</f>
        <v/>
      </c>
      <c r="B49" s="12" t="n">
        <v>43344</v>
      </c>
      <c r="C49" s="14">
        <f>(VLOOKUP(B49,Data!$E:$BM,MATCH(yoy!$C$1,Data!$E$1:$BM$1,),)-VLOOKUP(A49,Data!$E:$BM,MATCH(yoy!$C$1,Data!$E$1:$BM$1,),))/VLOOKUP(A49,Data!$E:$BM,MATCH(yoy!$C$1,Data!$E$1:$BM$1,),)</f>
        <v/>
      </c>
      <c r="D49" s="14">
        <f>(VLOOKUP(B49,Data!$E:$BM,MATCH(yoy!$D$1,Data!$E$1:$BM$1,),)-VLOOKUP(A49,Data!$E:$BM,MATCH(yoy!$D$1,Data!$E$1:$BM$1,),))/VLOOKUP(A49,Data!$E:$BM,MATCH(yoy!$D$1,Data!$E$1:$BM$1,),)</f>
        <v/>
      </c>
      <c r="E49" s="14">
        <f>(VLOOKUP(B49,Data!$E:$BM,MATCH(yoy!$E$1,Data!$E$1:$BM$1,),)-VLOOKUP(A49,Data!$E:$BM,MATCH(yoy!$E$1,Data!$E$1:$BM$1,),))/VLOOKUP(A49,Data!$E:$BM,MATCH(yoy!$E$1,Data!$E$1:$BM$1,),)</f>
        <v/>
      </c>
      <c r="F49" s="14">
        <f>(VLOOKUP(B49,Data!$E:$BM,MATCH(yoy!$F$1,Data!$E$1:$BM$1,),)-VLOOKUP(A49,Data!$E:$BM,MATCH(yoy!$F$1,Data!$E$1:$BM$1,),))/VLOOKUP(A49,Data!$E:$BM,MATCH(yoy!$F$1,Data!$E$1:$BM$1,),)</f>
        <v/>
      </c>
      <c r="G49" s="14">
        <f>(VLOOKUP(B49,Data!$E:$BM,MATCH(yoy!$G$1,Data!$E$1:$BM$1,),)-VLOOKUP(A49,Data!$E:$BM,MATCH(yoy!$G$1,Data!$E$1:$BM$1,),))/VLOOKUP(A49,Data!$E:$BM,MATCH(yoy!$G$1,Data!$E$1:$BM$1,),)</f>
        <v/>
      </c>
      <c r="H49" s="14">
        <f>(VLOOKUP(B49,Data!$E:$BM,MATCH(yoy!$H$1,Data!$E$1:$BM$1,),)-VLOOKUP(A49,Data!$E:$BM,MATCH(yoy!$H$1,Data!$E$1:$BM$1,),))/VLOOKUP(A49,Data!$E:$BM,MATCH(yoy!$H$1,Data!$E$1:$BM$1,),)</f>
        <v/>
      </c>
      <c r="I49" s="14">
        <f>(VLOOKUP(B49,Data!$E:$BM,MATCH(yoy!$I$1,Data!$E$1:$BM$1,),)-VLOOKUP(A49,Data!$E:$BM,MATCH(yoy!$I$1,Data!$E$1:$BM$1,),))/VLOOKUP(A49,Data!$E:$BM,MATCH(yoy!$I$1,Data!$E$1:$BM$1,),)</f>
        <v/>
      </c>
      <c r="J49" s="14">
        <f>(VLOOKUP(B49,Data!$E:$BM,MATCH(yoy!$J$1,Data!$E$1:$BM$1,),)-VLOOKUP(A49,Data!$E:$BM,MATCH(yoy!$J$1,Data!$E$1:$BM$1,),))/VLOOKUP(A49,Data!$E:$BM,MATCH(yoy!$J$1,Data!$E$1:$BM$1,),)</f>
        <v/>
      </c>
      <c r="K49" s="14">
        <f>(VLOOKUP(B49,Data!$E:$BM,MATCH(yoy!$K$1,Data!$E$1:$BM$1,),)-VLOOKUP(A49,Data!$E:$BM,MATCH(yoy!$K$1,Data!$E$1:$BM$1,),))/VLOOKUP(A49,Data!$E:$BM,MATCH(yoy!$K$1,Data!$E$1:$BM$1,),)</f>
        <v/>
      </c>
      <c r="L49" s="14">
        <f>(VLOOKUP(B49,Data!$E:$BM,MATCH(yoy!$L$1,Data!$E$1:$BM$1,),)-VLOOKUP(A49,Data!$E:$BM,MATCH(yoy!$L$1,Data!$E$1:$BM$1,),))/VLOOKUP(A49,Data!$E:$BM,MATCH(yoy!$L$1,Data!$E$1:$BM$1,),)</f>
        <v/>
      </c>
      <c r="M49" s="14">
        <f>(VLOOKUP(B49,Data!$E:$BM,MATCH(yoy!$M$1,Data!$E$1:$BM$1,),)-VLOOKUP(A49,Data!$E:$BM,MATCH(yoy!$M$1,Data!$E$1:$BM$1,),))/VLOOKUP(A49,Data!$E:$BM,MATCH(yoy!$M$1,Data!$E$1:$BM$1,),)</f>
        <v/>
      </c>
      <c r="N49" s="14">
        <f>(VLOOKUP(B49,Data!$E:$BM,MATCH(yoy!$N$1,Data!$E$1:$BM$1,),)-VLOOKUP(A49,Data!$E:$BM,MATCH(yoy!$N$1,Data!$E$1:$BM$1,),))/VLOOKUP(A49,Data!$E:$BM,MATCH(yoy!$N$1,Data!$E$1:$BM$1,),)</f>
        <v/>
      </c>
      <c r="O49" s="14">
        <f>(VLOOKUP(B49,Data!$E:$BM,MATCH(yoy!$O$1,Data!$E$1:$BM$1,),)-VLOOKUP(A49,Data!$E:$BM,MATCH(yoy!$O$1,Data!$E$1:$BM$1,),))/VLOOKUP(A49,Data!$E:$BM,MATCH(yoy!$O$1,Data!$E$1:$BM$1,),)</f>
        <v/>
      </c>
      <c r="P49" s="14">
        <f>(VLOOKUP(B49,Data!$E:$BM,MATCH(yoy!$P$1,Data!$E$1:$BM$1,),)-VLOOKUP(A49,Data!$E:$BM,MATCH(yoy!$P$1,Data!$E$1:$BM$1,),))/VLOOKUP(A49,Data!$E:$BM,MATCH(yoy!$P$1,Data!$E$1:$BM$1,),)</f>
        <v/>
      </c>
      <c r="Q49" s="14">
        <f>(VLOOKUP(B49,Data!$E:$BM,MATCH(yoy!$Q$1,Data!$E$1:$BM$1,),)-VLOOKUP(A49,Data!$E:$BM,MATCH(yoy!$Q$1,Data!$E$1:$BM$1,),))/VLOOKUP(A49,Data!$E:$BM,MATCH(yoy!$Q$1,Data!$E$1:$BM$1,),)</f>
        <v/>
      </c>
      <c r="R49" s="14">
        <f>(VLOOKUP(B49,Data!$E:$BM,MATCH(yoy!$R$1,Data!$E$1:$BM$1,),)-VLOOKUP(A49,Data!$E:$BM,MATCH(yoy!$R$1,Data!$E$1:$BM$1,),))/VLOOKUP(A49,Data!$E:$BM,MATCH(yoy!$R$1,Data!$E$1:$BM$1,),)</f>
        <v/>
      </c>
      <c r="S49" s="14">
        <f>(VLOOKUP(B49,Data!$E:$BM,MATCH(yoy!$S$1,Data!$E$1:$BM$1,),)-VLOOKUP(A49,Data!$E:$BM,MATCH(yoy!$S$1,Data!$E$1:$BM$1,),))/VLOOKUP(A49,Data!$E:$BM,MATCH(yoy!$S$1,Data!$E$1:$BM$1,),)</f>
        <v/>
      </c>
      <c r="T49" s="14">
        <f>(VLOOKUP(B49,Data!$E:$BM,MATCH(yoy!$T$1,Data!$E$1:$BM$1,),)-VLOOKUP(A49,Data!$E:$BM,MATCH(yoy!$T$1,Data!$E$1:$BM$1,),))/VLOOKUP(A49,Data!$E:$BM,MATCH(yoy!$T$1,Data!$E$1:$BM$1,),)</f>
        <v/>
      </c>
      <c r="U49" s="14">
        <f>(VLOOKUP(B49,Data!$E:$BM,MATCH(yoy!$U$1,Data!$E$1:$BM$1,),)-VLOOKUP(A49,Data!$E:$BM,MATCH(yoy!$U$1,Data!$E$1:$BM$1,),))/VLOOKUP(A49,Data!$E:$BM,MATCH(yoy!$U$1,Data!$E$1:$BM$1,),)</f>
        <v/>
      </c>
      <c r="V49" s="14">
        <f>(VLOOKUP(B49,Data!$E:$BM,MATCH(yoy!$V$1,Data!$E$1:$BM$1,),)-VLOOKUP(A49,Data!$E:$BM,MATCH(yoy!$V$1,Data!$E$1:$BM$1,),))/VLOOKUP(A49,Data!$E:$BM,MATCH(yoy!$V$1,Data!$E$1:$BM$1,),)</f>
        <v/>
      </c>
      <c r="W49" s="14">
        <f>(VLOOKUP(B49,Data!$E:$BM,MATCH(yoy!$W$1,Data!$E$1:$BM$1,),)-VLOOKUP(A49,Data!$E:$BM,MATCH(yoy!$W$1,Data!$E$1:$BM$1,),))/VLOOKUP(A49,Data!$E:$BM,MATCH(yoy!$W$1,Data!$E$1:$BM$1,),)</f>
        <v/>
      </c>
      <c r="X49" s="14">
        <f>(VLOOKUP(B49,Data!$E:$BM,MATCH(yoy!$X$1,Data!$E$1:$BM$1,),)-VLOOKUP(A49,Data!$E:$BM,MATCH(yoy!$X$1,Data!$E$1:$BM$1,),))/VLOOKUP(A49,Data!$E:$BM,MATCH(yoy!$X$1,Data!$E$1:$BM$1,),)</f>
        <v/>
      </c>
      <c r="Y49" s="14">
        <f>(VLOOKUP(B49,Data!$E:$BM,MATCH(yoy!$Y$1,Data!$E$1:$BM$1,),)-VLOOKUP(A49,Data!$E:$BM,MATCH(yoy!$Y$1,Data!$E$1:$BM$1,),))/VLOOKUP(A49,Data!$E:$BM,MATCH(yoy!$Y$1,Data!$E$1:$BM$1,),)</f>
        <v/>
      </c>
      <c r="Z49" s="14">
        <f>(VLOOKUP(B49,Data!$E:$BM,MATCH(yoy!$Z$1,Data!$E$1:$BM$1,),)-VLOOKUP(A49,Data!$E:$BM,MATCH(yoy!$Z$1,Data!$E$1:$BM$1,),))/VLOOKUP(A49,Data!$E:$BM,MATCH(yoy!$Z$1,Data!$E$1:$BM$1,),)</f>
        <v/>
      </c>
      <c r="AA49" s="14">
        <f>(VLOOKUP(B49,Data!$E:$BM,MATCH(yoy!$AA$1,Data!$E$1:$BM$1,),)-VLOOKUP(A49,Data!$E:$BM,MATCH(yoy!$AA$1,Data!$E$1:$BM$1,),))/VLOOKUP(A49,Data!$E:$BM,MATCH(yoy!$AA$1,Data!$E$1:$BM$1,),)</f>
        <v/>
      </c>
    </row>
    <row r="50" customFormat="1" s="83">
      <c r="A50" s="20">
        <f>DATE(YEAR(B50)-1,MONTH(B50),DAY(B50))</f>
        <v/>
      </c>
      <c r="B50" s="12" t="n">
        <v>43374</v>
      </c>
      <c r="C50" s="14">
        <f>(VLOOKUP(B50,Data!$E:$BM,MATCH(yoy!$C$1,Data!$E$1:$BM$1,),)-VLOOKUP(A50,Data!$E:$BM,MATCH(yoy!$C$1,Data!$E$1:$BM$1,),))/VLOOKUP(A50,Data!$E:$BM,MATCH(yoy!$C$1,Data!$E$1:$BM$1,),)</f>
        <v/>
      </c>
      <c r="D50" s="14">
        <f>(VLOOKUP(B50,Data!$E:$BM,MATCH(yoy!$D$1,Data!$E$1:$BM$1,),)-VLOOKUP(A50,Data!$E:$BM,MATCH(yoy!$D$1,Data!$E$1:$BM$1,),))/VLOOKUP(A50,Data!$E:$BM,MATCH(yoy!$D$1,Data!$E$1:$BM$1,),)</f>
        <v/>
      </c>
      <c r="E50" s="14">
        <f>(VLOOKUP(B50,Data!$E:$BM,MATCH(yoy!$E$1,Data!$E$1:$BM$1,),)-VLOOKUP(A50,Data!$E:$BM,MATCH(yoy!$E$1,Data!$E$1:$BM$1,),))/VLOOKUP(A50,Data!$E:$BM,MATCH(yoy!$E$1,Data!$E$1:$BM$1,),)</f>
        <v/>
      </c>
      <c r="F50" s="14">
        <f>(VLOOKUP(B50,Data!$E:$BM,MATCH(yoy!$F$1,Data!$E$1:$BM$1,),)-VLOOKUP(A50,Data!$E:$BM,MATCH(yoy!$F$1,Data!$E$1:$BM$1,),))/VLOOKUP(A50,Data!$E:$BM,MATCH(yoy!$F$1,Data!$E$1:$BM$1,),)</f>
        <v/>
      </c>
      <c r="G50" s="14">
        <f>(VLOOKUP(B50,Data!$E:$BM,MATCH(yoy!$G$1,Data!$E$1:$BM$1,),)-VLOOKUP(A50,Data!$E:$BM,MATCH(yoy!$G$1,Data!$E$1:$BM$1,),))/VLOOKUP(A50,Data!$E:$BM,MATCH(yoy!$G$1,Data!$E$1:$BM$1,),)</f>
        <v/>
      </c>
      <c r="H50" s="14">
        <f>(VLOOKUP(B50,Data!$E:$BM,MATCH(yoy!$H$1,Data!$E$1:$BM$1,),)-VLOOKUP(A50,Data!$E:$BM,MATCH(yoy!$H$1,Data!$E$1:$BM$1,),))/VLOOKUP(A50,Data!$E:$BM,MATCH(yoy!$H$1,Data!$E$1:$BM$1,),)</f>
        <v/>
      </c>
      <c r="I50" s="14">
        <f>(VLOOKUP(B50,Data!$E:$BM,MATCH(yoy!$I$1,Data!$E$1:$BM$1,),)-VLOOKUP(A50,Data!$E:$BM,MATCH(yoy!$I$1,Data!$E$1:$BM$1,),))/VLOOKUP(A50,Data!$E:$BM,MATCH(yoy!$I$1,Data!$E$1:$BM$1,),)</f>
        <v/>
      </c>
      <c r="J50" s="14">
        <f>(VLOOKUP(B50,Data!$E:$BM,MATCH(yoy!$J$1,Data!$E$1:$BM$1,),)-VLOOKUP(A50,Data!$E:$BM,MATCH(yoy!$J$1,Data!$E$1:$BM$1,),))/VLOOKUP(A50,Data!$E:$BM,MATCH(yoy!$J$1,Data!$E$1:$BM$1,),)</f>
        <v/>
      </c>
      <c r="K50" s="14">
        <f>(VLOOKUP(B50,Data!$E:$BM,MATCH(yoy!$K$1,Data!$E$1:$BM$1,),)-VLOOKUP(A50,Data!$E:$BM,MATCH(yoy!$K$1,Data!$E$1:$BM$1,),))/VLOOKUP(A50,Data!$E:$BM,MATCH(yoy!$K$1,Data!$E$1:$BM$1,),)</f>
        <v/>
      </c>
      <c r="L50" s="14">
        <f>(VLOOKUP(B50,Data!$E:$BM,MATCH(yoy!$L$1,Data!$E$1:$BM$1,),)-VLOOKUP(A50,Data!$E:$BM,MATCH(yoy!$L$1,Data!$E$1:$BM$1,),))/VLOOKUP(A50,Data!$E:$BM,MATCH(yoy!$L$1,Data!$E$1:$BM$1,),)</f>
        <v/>
      </c>
      <c r="M50" s="14">
        <f>(VLOOKUP(B50,Data!$E:$BM,MATCH(yoy!$M$1,Data!$E$1:$BM$1,),)-VLOOKUP(A50,Data!$E:$BM,MATCH(yoy!$M$1,Data!$E$1:$BM$1,),))/VLOOKUP(A50,Data!$E:$BM,MATCH(yoy!$M$1,Data!$E$1:$BM$1,),)</f>
        <v/>
      </c>
      <c r="N50" s="14">
        <f>(VLOOKUP(B50,Data!$E:$BM,MATCH(yoy!$N$1,Data!$E$1:$BM$1,),)-VLOOKUP(A50,Data!$E:$BM,MATCH(yoy!$N$1,Data!$E$1:$BM$1,),))/VLOOKUP(A50,Data!$E:$BM,MATCH(yoy!$N$1,Data!$E$1:$BM$1,),)</f>
        <v/>
      </c>
      <c r="O50" s="14">
        <f>(VLOOKUP(B50,Data!$E:$BM,MATCH(yoy!$O$1,Data!$E$1:$BM$1,),)-VLOOKUP(A50,Data!$E:$BM,MATCH(yoy!$O$1,Data!$E$1:$BM$1,),))/VLOOKUP(A50,Data!$E:$BM,MATCH(yoy!$O$1,Data!$E$1:$BM$1,),)</f>
        <v/>
      </c>
      <c r="P50" s="14">
        <f>(VLOOKUP(B50,Data!$E:$BM,MATCH(yoy!$P$1,Data!$E$1:$BM$1,),)-VLOOKUP(A50,Data!$E:$BM,MATCH(yoy!$P$1,Data!$E$1:$BM$1,),))/VLOOKUP(A50,Data!$E:$BM,MATCH(yoy!$P$1,Data!$E$1:$BM$1,),)</f>
        <v/>
      </c>
      <c r="Q50" s="14">
        <f>(VLOOKUP(B50,Data!$E:$BM,MATCH(yoy!$Q$1,Data!$E$1:$BM$1,),)-VLOOKUP(A50,Data!$E:$BM,MATCH(yoy!$Q$1,Data!$E$1:$BM$1,),))/VLOOKUP(A50,Data!$E:$BM,MATCH(yoy!$Q$1,Data!$E$1:$BM$1,),)</f>
        <v/>
      </c>
      <c r="R50" s="14">
        <f>(VLOOKUP(B50,Data!$E:$BM,MATCH(yoy!$R$1,Data!$E$1:$BM$1,),)-VLOOKUP(A50,Data!$E:$BM,MATCH(yoy!$R$1,Data!$E$1:$BM$1,),))/VLOOKUP(A50,Data!$E:$BM,MATCH(yoy!$R$1,Data!$E$1:$BM$1,),)</f>
        <v/>
      </c>
      <c r="S50" s="14">
        <f>(VLOOKUP(B50,Data!$E:$BM,MATCH(yoy!$S$1,Data!$E$1:$BM$1,),)-VLOOKUP(A50,Data!$E:$BM,MATCH(yoy!$S$1,Data!$E$1:$BM$1,),))/VLOOKUP(A50,Data!$E:$BM,MATCH(yoy!$S$1,Data!$E$1:$BM$1,),)</f>
        <v/>
      </c>
      <c r="T50" s="14">
        <f>(VLOOKUP(B50,Data!$E:$BM,MATCH(yoy!$T$1,Data!$E$1:$BM$1,),)-VLOOKUP(A50,Data!$E:$BM,MATCH(yoy!$T$1,Data!$E$1:$BM$1,),))/VLOOKUP(A50,Data!$E:$BM,MATCH(yoy!$T$1,Data!$E$1:$BM$1,),)</f>
        <v/>
      </c>
      <c r="U50" s="14">
        <f>(VLOOKUP(B50,Data!$E:$BM,MATCH(yoy!$U$1,Data!$E$1:$BM$1,),)-VLOOKUP(A50,Data!$E:$BM,MATCH(yoy!$U$1,Data!$E$1:$BM$1,),))/VLOOKUP(A50,Data!$E:$BM,MATCH(yoy!$U$1,Data!$E$1:$BM$1,),)</f>
        <v/>
      </c>
      <c r="V50" s="14">
        <f>(VLOOKUP(B50,Data!$E:$BM,MATCH(yoy!$V$1,Data!$E$1:$BM$1,),)-VLOOKUP(A50,Data!$E:$BM,MATCH(yoy!$V$1,Data!$E$1:$BM$1,),))/VLOOKUP(A50,Data!$E:$BM,MATCH(yoy!$V$1,Data!$E$1:$BM$1,),)</f>
        <v/>
      </c>
      <c r="W50" s="14">
        <f>(VLOOKUP(B50,Data!$E:$BM,MATCH(yoy!$W$1,Data!$E$1:$BM$1,),)-VLOOKUP(A50,Data!$E:$BM,MATCH(yoy!$W$1,Data!$E$1:$BM$1,),))/VLOOKUP(A50,Data!$E:$BM,MATCH(yoy!$W$1,Data!$E$1:$BM$1,),)</f>
        <v/>
      </c>
      <c r="X50" s="14">
        <f>(VLOOKUP(B50,Data!$E:$BM,MATCH(yoy!$X$1,Data!$E$1:$BM$1,),)-VLOOKUP(A50,Data!$E:$BM,MATCH(yoy!$X$1,Data!$E$1:$BM$1,),))/VLOOKUP(A50,Data!$E:$BM,MATCH(yoy!$X$1,Data!$E$1:$BM$1,),)</f>
        <v/>
      </c>
      <c r="Y50" s="14">
        <f>(VLOOKUP(B50,Data!$E:$BM,MATCH(yoy!$Y$1,Data!$E$1:$BM$1,),)-VLOOKUP(A50,Data!$E:$BM,MATCH(yoy!$Y$1,Data!$E$1:$BM$1,),))/VLOOKUP(A50,Data!$E:$BM,MATCH(yoy!$Y$1,Data!$E$1:$BM$1,),)</f>
        <v/>
      </c>
      <c r="Z50" s="14">
        <f>(VLOOKUP(B50,Data!$E:$BM,MATCH(yoy!$Z$1,Data!$E$1:$BM$1,),)-VLOOKUP(A50,Data!$E:$BM,MATCH(yoy!$Z$1,Data!$E$1:$BM$1,),))/VLOOKUP(A50,Data!$E:$BM,MATCH(yoy!$Z$1,Data!$E$1:$BM$1,),)</f>
        <v/>
      </c>
      <c r="AA50" s="14">
        <f>(VLOOKUP(B50,Data!$E:$BM,MATCH(yoy!$AA$1,Data!$E$1:$BM$1,),)-VLOOKUP(A50,Data!$E:$BM,MATCH(yoy!$AA$1,Data!$E$1:$BM$1,),))/VLOOKUP(A50,Data!$E:$BM,MATCH(yoy!$AA$1,Data!$E$1:$BM$1,),)</f>
        <v/>
      </c>
    </row>
    <row r="51" customFormat="1" s="83">
      <c r="A51" s="20">
        <f>DATE(YEAR(B51)-1,MONTH(B51),DAY(B51))</f>
        <v/>
      </c>
      <c r="B51" s="12" t="n">
        <v>43405</v>
      </c>
      <c r="C51" s="14">
        <f>(VLOOKUP(B51,Data!$E:$BM,MATCH(yoy!$C$1,Data!$E$1:$BM$1,),)-VLOOKUP(A51,Data!$E:$BM,MATCH(yoy!$C$1,Data!$E$1:$BM$1,),))/VLOOKUP(A51,Data!$E:$BM,MATCH(yoy!$C$1,Data!$E$1:$BM$1,),)</f>
        <v/>
      </c>
      <c r="D51" s="14">
        <f>(VLOOKUP(B51,Data!$E:$BM,MATCH(yoy!$D$1,Data!$E$1:$BM$1,),)-VLOOKUP(A51,Data!$E:$BM,MATCH(yoy!$D$1,Data!$E$1:$BM$1,),))/VLOOKUP(A51,Data!$E:$BM,MATCH(yoy!$D$1,Data!$E$1:$BM$1,),)</f>
        <v/>
      </c>
      <c r="E51" s="14">
        <f>(VLOOKUP(B51,Data!$E:$BM,MATCH(yoy!$E$1,Data!$E$1:$BM$1,),)-VLOOKUP(A51,Data!$E:$BM,MATCH(yoy!$E$1,Data!$E$1:$BM$1,),))/VLOOKUP(A51,Data!$E:$BM,MATCH(yoy!$E$1,Data!$E$1:$BM$1,),)</f>
        <v/>
      </c>
      <c r="F51" s="14">
        <f>(VLOOKUP(B51,Data!$E:$BM,MATCH(yoy!$F$1,Data!$E$1:$BM$1,),)-VLOOKUP(A51,Data!$E:$BM,MATCH(yoy!$F$1,Data!$E$1:$BM$1,),))/VLOOKUP(A51,Data!$E:$BM,MATCH(yoy!$F$1,Data!$E$1:$BM$1,),)</f>
        <v/>
      </c>
      <c r="G51" s="14">
        <f>(VLOOKUP(B51,Data!$E:$BM,MATCH(yoy!$G$1,Data!$E$1:$BM$1,),)-VLOOKUP(A51,Data!$E:$BM,MATCH(yoy!$G$1,Data!$E$1:$BM$1,),))/VLOOKUP(A51,Data!$E:$BM,MATCH(yoy!$G$1,Data!$E$1:$BM$1,),)</f>
        <v/>
      </c>
      <c r="H51" s="14">
        <f>(VLOOKUP(B51,Data!$E:$BM,MATCH(yoy!$H$1,Data!$E$1:$BM$1,),)-VLOOKUP(A51,Data!$E:$BM,MATCH(yoy!$H$1,Data!$E$1:$BM$1,),))/VLOOKUP(A51,Data!$E:$BM,MATCH(yoy!$H$1,Data!$E$1:$BM$1,),)</f>
        <v/>
      </c>
      <c r="I51" s="14">
        <f>(VLOOKUP(B51,Data!$E:$BM,MATCH(yoy!$I$1,Data!$E$1:$BM$1,),)-VLOOKUP(A51,Data!$E:$BM,MATCH(yoy!$I$1,Data!$E$1:$BM$1,),))/VLOOKUP(A51,Data!$E:$BM,MATCH(yoy!$I$1,Data!$E$1:$BM$1,),)</f>
        <v/>
      </c>
      <c r="J51" s="14">
        <f>(VLOOKUP(B51,Data!$E:$BM,MATCH(yoy!$J$1,Data!$E$1:$BM$1,),)-VLOOKUP(A51,Data!$E:$BM,MATCH(yoy!$J$1,Data!$E$1:$BM$1,),))/VLOOKUP(A51,Data!$E:$BM,MATCH(yoy!$J$1,Data!$E$1:$BM$1,),)</f>
        <v/>
      </c>
      <c r="K51" s="14">
        <f>(VLOOKUP(B51,Data!$E:$BM,MATCH(yoy!$K$1,Data!$E$1:$BM$1,),)-VLOOKUP(A51,Data!$E:$BM,MATCH(yoy!$K$1,Data!$E$1:$BM$1,),))/VLOOKUP(A51,Data!$E:$BM,MATCH(yoy!$K$1,Data!$E$1:$BM$1,),)</f>
        <v/>
      </c>
      <c r="L51" s="14">
        <f>(VLOOKUP(B51,Data!$E:$BM,MATCH(yoy!$L$1,Data!$E$1:$BM$1,),)-VLOOKUP(A51,Data!$E:$BM,MATCH(yoy!$L$1,Data!$E$1:$BM$1,),))/VLOOKUP(A51,Data!$E:$BM,MATCH(yoy!$L$1,Data!$E$1:$BM$1,),)</f>
        <v/>
      </c>
      <c r="M51" s="14">
        <f>(VLOOKUP(B51,Data!$E:$BM,MATCH(yoy!$M$1,Data!$E$1:$BM$1,),)-VLOOKUP(A51,Data!$E:$BM,MATCH(yoy!$M$1,Data!$E$1:$BM$1,),))/VLOOKUP(A51,Data!$E:$BM,MATCH(yoy!$M$1,Data!$E$1:$BM$1,),)</f>
        <v/>
      </c>
      <c r="N51" s="14">
        <f>(VLOOKUP(B51,Data!$E:$BM,MATCH(yoy!$N$1,Data!$E$1:$BM$1,),)-VLOOKUP(A51,Data!$E:$BM,MATCH(yoy!$N$1,Data!$E$1:$BM$1,),))/VLOOKUP(A51,Data!$E:$BM,MATCH(yoy!$N$1,Data!$E$1:$BM$1,),)</f>
        <v/>
      </c>
      <c r="O51" s="14">
        <f>(VLOOKUP(B51,Data!$E:$BM,MATCH(yoy!$O$1,Data!$E$1:$BM$1,),)-VLOOKUP(A51,Data!$E:$BM,MATCH(yoy!$O$1,Data!$E$1:$BM$1,),))/VLOOKUP(A51,Data!$E:$BM,MATCH(yoy!$O$1,Data!$E$1:$BM$1,),)</f>
        <v/>
      </c>
      <c r="P51" s="14">
        <f>(VLOOKUP(B51,Data!$E:$BM,MATCH(yoy!$P$1,Data!$E$1:$BM$1,),)-VLOOKUP(A51,Data!$E:$BM,MATCH(yoy!$P$1,Data!$E$1:$BM$1,),))/VLOOKUP(A51,Data!$E:$BM,MATCH(yoy!$P$1,Data!$E$1:$BM$1,),)</f>
        <v/>
      </c>
      <c r="Q51" s="14">
        <f>(VLOOKUP(B51,Data!$E:$BM,MATCH(yoy!$Q$1,Data!$E$1:$BM$1,),)-VLOOKUP(A51,Data!$E:$BM,MATCH(yoy!$Q$1,Data!$E$1:$BM$1,),))/VLOOKUP(A51,Data!$E:$BM,MATCH(yoy!$Q$1,Data!$E$1:$BM$1,),)</f>
        <v/>
      </c>
      <c r="R51" s="14">
        <f>(VLOOKUP(B51,Data!$E:$BM,MATCH(yoy!$R$1,Data!$E$1:$BM$1,),)-VLOOKUP(A51,Data!$E:$BM,MATCH(yoy!$R$1,Data!$E$1:$BM$1,),))/VLOOKUP(A51,Data!$E:$BM,MATCH(yoy!$R$1,Data!$E$1:$BM$1,),)</f>
        <v/>
      </c>
      <c r="S51" s="14">
        <f>(VLOOKUP(B51,Data!$E:$BM,MATCH(yoy!$S$1,Data!$E$1:$BM$1,),)-VLOOKUP(A51,Data!$E:$BM,MATCH(yoy!$S$1,Data!$E$1:$BM$1,),))/VLOOKUP(A51,Data!$E:$BM,MATCH(yoy!$S$1,Data!$E$1:$BM$1,),)</f>
        <v/>
      </c>
      <c r="T51" s="14">
        <f>(VLOOKUP(B51,Data!$E:$BM,MATCH(yoy!$T$1,Data!$E$1:$BM$1,),)-VLOOKUP(A51,Data!$E:$BM,MATCH(yoy!$T$1,Data!$E$1:$BM$1,),))/VLOOKUP(A51,Data!$E:$BM,MATCH(yoy!$T$1,Data!$E$1:$BM$1,),)</f>
        <v/>
      </c>
      <c r="U51" s="14">
        <f>(VLOOKUP(B51,Data!$E:$BM,MATCH(yoy!$U$1,Data!$E$1:$BM$1,),)-VLOOKUP(A51,Data!$E:$BM,MATCH(yoy!$U$1,Data!$E$1:$BM$1,),))/VLOOKUP(A51,Data!$E:$BM,MATCH(yoy!$U$1,Data!$E$1:$BM$1,),)</f>
        <v/>
      </c>
      <c r="V51" s="14">
        <f>(VLOOKUP(B51,Data!$E:$BM,MATCH(yoy!$V$1,Data!$E$1:$BM$1,),)-VLOOKUP(A51,Data!$E:$BM,MATCH(yoy!$V$1,Data!$E$1:$BM$1,),))/VLOOKUP(A51,Data!$E:$BM,MATCH(yoy!$V$1,Data!$E$1:$BM$1,),)</f>
        <v/>
      </c>
      <c r="W51" s="14">
        <f>(VLOOKUP(B51,Data!$E:$BM,MATCH(yoy!$W$1,Data!$E$1:$BM$1,),)-VLOOKUP(A51,Data!$E:$BM,MATCH(yoy!$W$1,Data!$E$1:$BM$1,),))/VLOOKUP(A51,Data!$E:$BM,MATCH(yoy!$W$1,Data!$E$1:$BM$1,),)</f>
        <v/>
      </c>
      <c r="X51" s="14">
        <f>(VLOOKUP(B51,Data!$E:$BM,MATCH(yoy!$X$1,Data!$E$1:$BM$1,),)-VLOOKUP(A51,Data!$E:$BM,MATCH(yoy!$X$1,Data!$E$1:$BM$1,),))/VLOOKUP(A51,Data!$E:$BM,MATCH(yoy!$X$1,Data!$E$1:$BM$1,),)</f>
        <v/>
      </c>
      <c r="Y51" s="14">
        <f>(VLOOKUP(B51,Data!$E:$BM,MATCH(yoy!$Y$1,Data!$E$1:$BM$1,),)-VLOOKUP(A51,Data!$E:$BM,MATCH(yoy!$Y$1,Data!$E$1:$BM$1,),))/VLOOKUP(A51,Data!$E:$BM,MATCH(yoy!$Y$1,Data!$E$1:$BM$1,),)</f>
        <v/>
      </c>
      <c r="Z51" s="14">
        <f>(VLOOKUP(B51,Data!$E:$BM,MATCH(yoy!$Z$1,Data!$E$1:$BM$1,),)-VLOOKUP(A51,Data!$E:$BM,MATCH(yoy!$Z$1,Data!$E$1:$BM$1,),))/VLOOKUP(A51,Data!$E:$BM,MATCH(yoy!$Z$1,Data!$E$1:$BM$1,),)</f>
        <v/>
      </c>
      <c r="AA51" s="14">
        <f>(VLOOKUP(B51,Data!$E:$BM,MATCH(yoy!$AA$1,Data!$E$1:$BM$1,),)-VLOOKUP(A51,Data!$E:$BM,MATCH(yoy!$AA$1,Data!$E$1:$BM$1,),))/VLOOKUP(A51,Data!$E:$BM,MATCH(yoy!$AA$1,Data!$E$1:$BM$1,),)</f>
        <v/>
      </c>
    </row>
    <row r="52" customFormat="1" s="83">
      <c r="A52" s="20">
        <f>DATE(YEAR(B52)-1,MONTH(B52),DAY(B52))</f>
        <v/>
      </c>
      <c r="B52" s="12" t="n">
        <v>43435</v>
      </c>
      <c r="C52" s="14">
        <f>(VLOOKUP(B52,Data!$E:$BM,MATCH(yoy!$C$1,Data!$E$1:$BM$1,),)-VLOOKUP(A52,Data!$E:$BM,MATCH(yoy!$C$1,Data!$E$1:$BM$1,),))/VLOOKUP(A52,Data!$E:$BM,MATCH(yoy!$C$1,Data!$E$1:$BM$1,),)</f>
        <v/>
      </c>
      <c r="D52" s="14">
        <f>(VLOOKUP(B52,Data!$E:$BM,MATCH(yoy!$D$1,Data!$E$1:$BM$1,),)-VLOOKUP(A52,Data!$E:$BM,MATCH(yoy!$D$1,Data!$E$1:$BM$1,),))/VLOOKUP(A52,Data!$E:$BM,MATCH(yoy!$D$1,Data!$E$1:$BM$1,),)</f>
        <v/>
      </c>
      <c r="E52" s="14">
        <f>(VLOOKUP(B52,Data!$E:$BM,MATCH(yoy!$E$1,Data!$E$1:$BM$1,),)-VLOOKUP(A52,Data!$E:$BM,MATCH(yoy!$E$1,Data!$E$1:$BM$1,),))/VLOOKUP(A52,Data!$E:$BM,MATCH(yoy!$E$1,Data!$E$1:$BM$1,),)</f>
        <v/>
      </c>
      <c r="F52" s="14">
        <f>(VLOOKUP(B52,Data!$E:$BM,MATCH(yoy!$F$1,Data!$E$1:$BM$1,),)-VLOOKUP(A52,Data!$E:$BM,MATCH(yoy!$F$1,Data!$E$1:$BM$1,),))/VLOOKUP(A52,Data!$E:$BM,MATCH(yoy!$F$1,Data!$E$1:$BM$1,),)</f>
        <v/>
      </c>
      <c r="G52" s="14">
        <f>(VLOOKUP(B52,Data!$E:$BM,MATCH(yoy!$G$1,Data!$E$1:$BM$1,),)-VLOOKUP(A52,Data!$E:$BM,MATCH(yoy!$G$1,Data!$E$1:$BM$1,),))/VLOOKUP(A52,Data!$E:$BM,MATCH(yoy!$G$1,Data!$E$1:$BM$1,),)</f>
        <v/>
      </c>
      <c r="H52" s="14">
        <f>(VLOOKUP(B52,Data!$E:$BM,MATCH(yoy!$H$1,Data!$E$1:$BM$1,),)-VLOOKUP(A52,Data!$E:$BM,MATCH(yoy!$H$1,Data!$E$1:$BM$1,),))/VLOOKUP(A52,Data!$E:$BM,MATCH(yoy!$H$1,Data!$E$1:$BM$1,),)</f>
        <v/>
      </c>
      <c r="I52" s="14">
        <f>(VLOOKUP(B52,Data!$E:$BM,MATCH(yoy!$I$1,Data!$E$1:$BM$1,),)-VLOOKUP(A52,Data!$E:$BM,MATCH(yoy!$I$1,Data!$E$1:$BM$1,),))/VLOOKUP(A52,Data!$E:$BM,MATCH(yoy!$I$1,Data!$E$1:$BM$1,),)</f>
        <v/>
      </c>
      <c r="J52" s="14">
        <f>(VLOOKUP(B52,Data!$E:$BM,MATCH(yoy!$J$1,Data!$E$1:$BM$1,),)-VLOOKUP(A52,Data!$E:$BM,MATCH(yoy!$J$1,Data!$E$1:$BM$1,),))/VLOOKUP(A52,Data!$E:$BM,MATCH(yoy!$J$1,Data!$E$1:$BM$1,),)</f>
        <v/>
      </c>
      <c r="K52" s="14">
        <f>(VLOOKUP(B52,Data!$E:$BM,MATCH(yoy!$K$1,Data!$E$1:$BM$1,),)-VLOOKUP(A52,Data!$E:$BM,MATCH(yoy!$K$1,Data!$E$1:$BM$1,),))/VLOOKUP(A52,Data!$E:$BM,MATCH(yoy!$K$1,Data!$E$1:$BM$1,),)</f>
        <v/>
      </c>
      <c r="L52" s="14">
        <f>(VLOOKUP(B52,Data!$E:$BM,MATCH(yoy!$L$1,Data!$E$1:$BM$1,),)-VLOOKUP(A52,Data!$E:$BM,MATCH(yoy!$L$1,Data!$E$1:$BM$1,),))/VLOOKUP(A52,Data!$E:$BM,MATCH(yoy!$L$1,Data!$E$1:$BM$1,),)</f>
        <v/>
      </c>
      <c r="M52" s="14">
        <f>(VLOOKUP(B52,Data!$E:$BM,MATCH(yoy!$M$1,Data!$E$1:$BM$1,),)-VLOOKUP(A52,Data!$E:$BM,MATCH(yoy!$M$1,Data!$E$1:$BM$1,),))/VLOOKUP(A52,Data!$E:$BM,MATCH(yoy!$M$1,Data!$E$1:$BM$1,),)</f>
        <v/>
      </c>
      <c r="N52" s="14">
        <f>(VLOOKUP(B52,Data!$E:$BM,MATCH(yoy!$N$1,Data!$E$1:$BM$1,),)-VLOOKUP(A52,Data!$E:$BM,MATCH(yoy!$N$1,Data!$E$1:$BM$1,),))/VLOOKUP(A52,Data!$E:$BM,MATCH(yoy!$N$1,Data!$E$1:$BM$1,),)</f>
        <v/>
      </c>
      <c r="O52" s="14">
        <f>(VLOOKUP(B52,Data!$E:$BM,MATCH(yoy!$O$1,Data!$E$1:$BM$1,),)-VLOOKUP(A52,Data!$E:$BM,MATCH(yoy!$O$1,Data!$E$1:$BM$1,),))/VLOOKUP(A52,Data!$E:$BM,MATCH(yoy!$O$1,Data!$E$1:$BM$1,),)</f>
        <v/>
      </c>
      <c r="P52" s="14">
        <f>(VLOOKUP(B52,Data!$E:$BM,MATCH(yoy!$P$1,Data!$E$1:$BM$1,),)-VLOOKUP(A52,Data!$E:$BM,MATCH(yoy!$P$1,Data!$E$1:$BM$1,),))/VLOOKUP(A52,Data!$E:$BM,MATCH(yoy!$P$1,Data!$E$1:$BM$1,),)</f>
        <v/>
      </c>
      <c r="Q52" s="14">
        <f>(VLOOKUP(B52,Data!$E:$BM,MATCH(yoy!$Q$1,Data!$E$1:$BM$1,),)-VLOOKUP(A52,Data!$E:$BM,MATCH(yoy!$Q$1,Data!$E$1:$BM$1,),))/VLOOKUP(A52,Data!$E:$BM,MATCH(yoy!$Q$1,Data!$E$1:$BM$1,),)</f>
        <v/>
      </c>
      <c r="R52" s="14">
        <f>(VLOOKUP(B52,Data!$E:$BM,MATCH(yoy!$R$1,Data!$E$1:$BM$1,),)-VLOOKUP(A52,Data!$E:$BM,MATCH(yoy!$R$1,Data!$E$1:$BM$1,),))/VLOOKUP(A52,Data!$E:$BM,MATCH(yoy!$R$1,Data!$E$1:$BM$1,),)</f>
        <v/>
      </c>
      <c r="S52" s="14">
        <f>(VLOOKUP(B52,Data!$E:$BM,MATCH(yoy!$S$1,Data!$E$1:$BM$1,),)-VLOOKUP(A52,Data!$E:$BM,MATCH(yoy!$S$1,Data!$E$1:$BM$1,),))/VLOOKUP(A52,Data!$E:$BM,MATCH(yoy!$S$1,Data!$E$1:$BM$1,),)</f>
        <v/>
      </c>
      <c r="T52" s="14">
        <f>(VLOOKUP(B52,Data!$E:$BM,MATCH(yoy!$T$1,Data!$E$1:$BM$1,),)-VLOOKUP(A52,Data!$E:$BM,MATCH(yoy!$T$1,Data!$E$1:$BM$1,),))/VLOOKUP(A52,Data!$E:$BM,MATCH(yoy!$T$1,Data!$E$1:$BM$1,),)</f>
        <v/>
      </c>
      <c r="U52" s="14">
        <f>(VLOOKUP(B52,Data!$E:$BM,MATCH(yoy!$U$1,Data!$E$1:$BM$1,),)-VLOOKUP(A52,Data!$E:$BM,MATCH(yoy!$U$1,Data!$E$1:$BM$1,),))/VLOOKUP(A52,Data!$E:$BM,MATCH(yoy!$U$1,Data!$E$1:$BM$1,),)</f>
        <v/>
      </c>
      <c r="V52" s="14">
        <f>(VLOOKUP(B52,Data!$E:$BM,MATCH(yoy!$V$1,Data!$E$1:$BM$1,),)-VLOOKUP(A52,Data!$E:$BM,MATCH(yoy!$V$1,Data!$E$1:$BM$1,),))/VLOOKUP(A52,Data!$E:$BM,MATCH(yoy!$V$1,Data!$E$1:$BM$1,),)</f>
        <v/>
      </c>
      <c r="W52" s="14">
        <f>(VLOOKUP(B52,Data!$E:$BM,MATCH(yoy!$W$1,Data!$E$1:$BM$1,),)-VLOOKUP(A52,Data!$E:$BM,MATCH(yoy!$W$1,Data!$E$1:$BM$1,),))/VLOOKUP(A52,Data!$E:$BM,MATCH(yoy!$W$1,Data!$E$1:$BM$1,),)</f>
        <v/>
      </c>
      <c r="X52" s="14">
        <f>(VLOOKUP(B52,Data!$E:$BM,MATCH(yoy!$X$1,Data!$E$1:$BM$1,),)-VLOOKUP(A52,Data!$E:$BM,MATCH(yoy!$X$1,Data!$E$1:$BM$1,),))/VLOOKUP(A52,Data!$E:$BM,MATCH(yoy!$X$1,Data!$E$1:$BM$1,),)</f>
        <v/>
      </c>
      <c r="Y52" s="14">
        <f>(VLOOKUP(B52,Data!$E:$BM,MATCH(yoy!$Y$1,Data!$E$1:$BM$1,),)-VLOOKUP(A52,Data!$E:$BM,MATCH(yoy!$Y$1,Data!$E$1:$BM$1,),))/VLOOKUP(A52,Data!$E:$BM,MATCH(yoy!$Y$1,Data!$E$1:$BM$1,),)</f>
        <v/>
      </c>
      <c r="Z52" s="14">
        <f>(VLOOKUP(B52,Data!$E:$BM,MATCH(yoy!$Z$1,Data!$E$1:$BM$1,),)-VLOOKUP(A52,Data!$E:$BM,MATCH(yoy!$Z$1,Data!$E$1:$BM$1,),))/VLOOKUP(A52,Data!$E:$BM,MATCH(yoy!$Z$1,Data!$E$1:$BM$1,),)</f>
        <v/>
      </c>
      <c r="AA52" s="14">
        <f>(VLOOKUP(B52,Data!$E:$BM,MATCH(yoy!$AA$1,Data!$E$1:$BM$1,),)-VLOOKUP(A52,Data!$E:$BM,MATCH(yoy!$AA$1,Data!$E$1:$BM$1,),))/VLOOKUP(A52,Data!$E:$BM,MATCH(yoy!$AA$1,Data!$E$1:$BM$1,),)</f>
        <v/>
      </c>
    </row>
    <row r="53" customFormat="1" s="83">
      <c r="A53" s="20">
        <f>DATE(YEAR(B53)-1,MONTH(B53),DAY(B53))</f>
        <v/>
      </c>
      <c r="B53" s="12" t="n">
        <v>43466</v>
      </c>
      <c r="C53" s="14">
        <f>(VLOOKUP(B53,Data!$E:$BM,MATCH(yoy!$C$1,Data!$E$1:$BM$1,),)-VLOOKUP(A53,Data!$E:$BM,MATCH(yoy!$C$1,Data!$E$1:$BM$1,),))/VLOOKUP(A53,Data!$E:$BM,MATCH(yoy!$C$1,Data!$E$1:$BM$1,),)</f>
        <v/>
      </c>
      <c r="D53" s="14">
        <f>(VLOOKUP(B53,Data!$E:$BM,MATCH(yoy!$D$1,Data!$E$1:$BM$1,),)-VLOOKUP(A53,Data!$E:$BM,MATCH(yoy!$D$1,Data!$E$1:$BM$1,),))/VLOOKUP(A53,Data!$E:$BM,MATCH(yoy!$D$1,Data!$E$1:$BM$1,),)</f>
        <v/>
      </c>
      <c r="E53" s="14" t="n"/>
      <c r="F53" s="14">
        <f>(VLOOKUP(B53,Data!$E:$BM,MATCH(yoy!$F$1,Data!$E$1:$BM$1,),)-VLOOKUP(A53,Data!$E:$BM,MATCH(yoy!$F$1,Data!$E$1:$BM$1,),))/VLOOKUP(A53,Data!$E:$BM,MATCH(yoy!$F$1,Data!$E$1:$BM$1,),)</f>
        <v/>
      </c>
      <c r="G53" s="14">
        <f>(VLOOKUP(B53,Data!$E:$BM,MATCH(yoy!$G$1,Data!$E$1:$BM$1,),)-VLOOKUP(A53,Data!$E:$BM,MATCH(yoy!$G$1,Data!$E$1:$BM$1,),))/VLOOKUP(A53,Data!$E:$BM,MATCH(yoy!$G$1,Data!$E$1:$BM$1,),)</f>
        <v/>
      </c>
      <c r="H53" s="14">
        <f>(VLOOKUP(B53,Data!$E:$BM,MATCH(yoy!$H$1,Data!$E$1:$BM$1,),)-VLOOKUP(A53,Data!$E:$BM,MATCH(yoy!$H$1,Data!$E$1:$BM$1,),))/VLOOKUP(A53,Data!$E:$BM,MATCH(yoy!$H$1,Data!$E$1:$BM$1,),)</f>
        <v/>
      </c>
      <c r="I53" s="14" t="n"/>
      <c r="J53" s="14" t="n"/>
      <c r="K53" s="14">
        <f>(VLOOKUP(B53,Data!$E:$BM,MATCH(yoy!$K$1,Data!$E$1:$BM$1,),)-VLOOKUP(A53,Data!$E:$BM,MATCH(yoy!$K$1,Data!$E$1:$BM$1,),))/VLOOKUP(A53,Data!$E:$BM,MATCH(yoy!$K$1,Data!$E$1:$BM$1,),)</f>
        <v/>
      </c>
      <c r="L53" s="14" t="n"/>
      <c r="M53" s="14" t="n"/>
      <c r="N53" s="14" t="n"/>
      <c r="O53" s="14" t="n"/>
      <c r="P53" s="14">
        <f>(VLOOKUP(B53,Data!$E:$BM,MATCH(yoy!$P$1,Data!$E$1:$BM$1,),)-VLOOKUP(A53,Data!$E:$BM,MATCH(yoy!$P$1,Data!$E$1:$BM$1,),))/VLOOKUP(A53,Data!$E:$BM,MATCH(yoy!$P$1,Data!$E$1:$BM$1,),)</f>
        <v/>
      </c>
      <c r="Q53" s="14">
        <f>(VLOOKUP(B53,Data!$E:$BM,MATCH(yoy!$Q$1,Data!$E$1:$BM$1,),)-VLOOKUP(A53,Data!$E:$BM,MATCH(yoy!$Q$1,Data!$E$1:$BM$1,),))/VLOOKUP(A53,Data!$E:$BM,MATCH(yoy!$Q$1,Data!$E$1:$BM$1,),)</f>
        <v/>
      </c>
      <c r="R53" s="14" t="n"/>
      <c r="S53" s="14">
        <f>(VLOOKUP(B53,Data!$E:$BM,MATCH(yoy!$S$1,Data!$E$1:$BM$1,),)-VLOOKUP(A53,Data!$E:$BM,MATCH(yoy!$S$1,Data!$E$1:$BM$1,),))/VLOOKUP(A53,Data!$E:$BM,MATCH(yoy!$S$1,Data!$E$1:$BM$1,),)</f>
        <v/>
      </c>
      <c r="T53" s="14" t="n"/>
      <c r="U53" s="14" t="n"/>
      <c r="V53" s="14">
        <f>(VLOOKUP(B53,Data!$E:$BM,MATCH(yoy!$V$1,Data!$E$1:$BM$1,),)-VLOOKUP(A53,Data!$E:$BM,MATCH(yoy!$V$1,Data!$E$1:$BM$1,),))/VLOOKUP(A53,Data!$E:$BM,MATCH(yoy!$V$1,Data!$E$1:$BM$1,),)</f>
        <v/>
      </c>
      <c r="W53" s="14" t="n"/>
      <c r="X53" s="14">
        <f>(VLOOKUP(B53,Data!$E:$BM,MATCH(yoy!$X$1,Data!$E$1:$BM$1,),)-VLOOKUP(A53,Data!$E:$BM,MATCH(yoy!$X$1,Data!$E$1:$BM$1,),))/VLOOKUP(A53,Data!$E:$BM,MATCH(yoy!$X$1,Data!$E$1:$BM$1,),)</f>
        <v/>
      </c>
      <c r="Y53" s="14" t="n"/>
      <c r="Z53" s="14">
        <f>(VLOOKUP(B53,Data!$E:$BM,MATCH(yoy!$Z$1,Data!$E$1:$BM$1,),)-VLOOKUP(A53,Data!$E:$BM,MATCH(yoy!$Z$1,Data!$E$1:$BM$1,),))/VLOOKUP(A53,Data!$E:$BM,MATCH(yoy!$Z$1,Data!$E$1:$BM$1,),)</f>
        <v/>
      </c>
      <c r="AA53" s="14" t="n"/>
    </row>
    <row r="54" customFormat="1" s="83">
      <c r="A54" s="20">
        <f>DATE(YEAR(B54)-1,MONTH(B54),DAY(B54))</f>
        <v/>
      </c>
      <c r="B54" s="12" t="n">
        <v>43497</v>
      </c>
      <c r="C54" s="14">
        <f>(VLOOKUP(B54,Data!$E:$BM,MATCH(yoy!$C$1,Data!$E$1:$BM$1,),)-VLOOKUP(A54,Data!$E:$BM,MATCH(yoy!$C$1,Data!$E$1:$BM$1,),))/VLOOKUP(A54,Data!$E:$BM,MATCH(yoy!$C$1,Data!$E$1:$BM$1,),)</f>
        <v/>
      </c>
      <c r="D54" s="14">
        <f>(VLOOKUP(B54,Data!$E:$BM,MATCH(yoy!$D$1,Data!$E$1:$BM$1,),)-VLOOKUP(A54,Data!$E:$BM,MATCH(yoy!$D$1,Data!$E$1:$BM$1,),))/VLOOKUP(A54,Data!$E:$BM,MATCH(yoy!$D$1,Data!$E$1:$BM$1,),)</f>
        <v/>
      </c>
      <c r="E54" s="14" t="n"/>
      <c r="F54" s="14">
        <f>(VLOOKUP(B54,Data!$E:$BM,MATCH(yoy!$F$1,Data!$E$1:$BM$1,),)-VLOOKUP(A54,Data!$E:$BM,MATCH(yoy!$F$1,Data!$E$1:$BM$1,),))/VLOOKUP(A54,Data!$E:$BM,MATCH(yoy!$F$1,Data!$E$1:$BM$1,),)</f>
        <v/>
      </c>
      <c r="G54" s="14">
        <f>(VLOOKUP(B54,Data!$E:$BM,MATCH(yoy!$G$1,Data!$E$1:$BM$1,),)-VLOOKUP(A54,Data!$E:$BM,MATCH(yoy!$G$1,Data!$E$1:$BM$1,),))/VLOOKUP(A54,Data!$E:$BM,MATCH(yoy!$G$1,Data!$E$1:$BM$1,),)</f>
        <v/>
      </c>
      <c r="H54" s="14">
        <f>(VLOOKUP(B54,Data!$E:$BM,MATCH(yoy!$H$1,Data!$E$1:$BM$1,),)-VLOOKUP(A54,Data!$E:$BM,MATCH(yoy!$H$1,Data!$E$1:$BM$1,),))/VLOOKUP(A54,Data!$E:$BM,MATCH(yoy!$H$1,Data!$E$1:$BM$1,),)</f>
        <v/>
      </c>
      <c r="I54" s="14" t="n"/>
      <c r="J54" s="14" t="n"/>
      <c r="K54" s="14">
        <f>(VLOOKUP(B54,Data!$E:$BM,MATCH(yoy!$K$1,Data!$E$1:$BM$1,),)-VLOOKUP(A54,Data!$E:$BM,MATCH(yoy!$K$1,Data!$E$1:$BM$1,),))/VLOOKUP(A54,Data!$E:$BM,MATCH(yoy!$K$1,Data!$E$1:$BM$1,),)</f>
        <v/>
      </c>
      <c r="L54" s="14" t="n"/>
      <c r="M54" s="14" t="n"/>
      <c r="N54" s="14" t="n"/>
      <c r="O54" s="14" t="n"/>
      <c r="P54" s="14">
        <f>(VLOOKUP(B54,Data!$E:$BM,MATCH(yoy!$P$1,Data!$E$1:$BM$1,),)-VLOOKUP(A54,Data!$E:$BM,MATCH(yoy!$P$1,Data!$E$1:$BM$1,),))/VLOOKUP(A54,Data!$E:$BM,MATCH(yoy!$P$1,Data!$E$1:$BM$1,),)</f>
        <v/>
      </c>
      <c r="Q54" s="14">
        <f>(VLOOKUP(B54,Data!$E:$BM,MATCH(yoy!$Q$1,Data!$E$1:$BM$1,),)-VLOOKUP(A54,Data!$E:$BM,MATCH(yoy!$Q$1,Data!$E$1:$BM$1,),))/VLOOKUP(A54,Data!$E:$BM,MATCH(yoy!$Q$1,Data!$E$1:$BM$1,),)</f>
        <v/>
      </c>
      <c r="R54" s="14" t="n"/>
      <c r="S54" s="14">
        <f>(VLOOKUP(B54,Data!$E:$BM,MATCH(yoy!$S$1,Data!$E$1:$BM$1,),)-VLOOKUP(A54,Data!$E:$BM,MATCH(yoy!$S$1,Data!$E$1:$BM$1,),))/VLOOKUP(A54,Data!$E:$BM,MATCH(yoy!$S$1,Data!$E$1:$BM$1,),)</f>
        <v/>
      </c>
      <c r="T54" s="14" t="n"/>
      <c r="U54" s="14" t="n"/>
      <c r="V54" s="14">
        <f>(VLOOKUP(B54,Data!$E:$BM,MATCH(yoy!$V$1,Data!$E$1:$BM$1,),)-VLOOKUP(A54,Data!$E:$BM,MATCH(yoy!$V$1,Data!$E$1:$BM$1,),))/VLOOKUP(A54,Data!$E:$BM,MATCH(yoy!$V$1,Data!$E$1:$BM$1,),)</f>
        <v/>
      </c>
      <c r="W54" s="14" t="n"/>
      <c r="X54" s="14">
        <f>(VLOOKUP(B54,Data!$E:$BM,MATCH(yoy!$X$1,Data!$E$1:$BM$1,),)-VLOOKUP(A54,Data!$E:$BM,MATCH(yoy!$X$1,Data!$E$1:$BM$1,),))/VLOOKUP(A54,Data!$E:$BM,MATCH(yoy!$X$1,Data!$E$1:$BM$1,),)</f>
        <v/>
      </c>
      <c r="Y54" s="14" t="n"/>
      <c r="Z54" s="14">
        <f>(VLOOKUP(B54,Data!$E:$BM,MATCH(yoy!$Z$1,Data!$E$1:$BM$1,),)-VLOOKUP(A54,Data!$E:$BM,MATCH(yoy!$Z$1,Data!$E$1:$BM$1,),))/VLOOKUP(A54,Data!$E:$BM,MATCH(yoy!$Z$1,Data!$E$1:$BM$1,),)</f>
        <v/>
      </c>
      <c r="AA54" s="14" t="n"/>
    </row>
    <row r="55" customFormat="1" s="83">
      <c r="A55" s="20">
        <f>DATE(YEAR(B55)-1,MONTH(B55),DAY(B55))</f>
        <v/>
      </c>
      <c r="B55" s="12" t="n">
        <v>43525</v>
      </c>
      <c r="C55" s="14">
        <f>(VLOOKUP(B55,Data!$E:$BM,MATCH(yoy!$C$1,Data!$E$1:$BM$1,),)-VLOOKUP(A55,Data!$E:$BM,MATCH(yoy!$C$1,Data!$E$1:$BM$1,),))/VLOOKUP(A55,Data!$E:$BM,MATCH(yoy!$C$1,Data!$E$1:$BM$1,),)</f>
        <v/>
      </c>
      <c r="D55" s="14">
        <f>(VLOOKUP(B55,Data!$E:$BM,MATCH(yoy!$D$1,Data!$E$1:$BM$1,),)-VLOOKUP(A55,Data!$E:$BM,MATCH(yoy!$D$1,Data!$E$1:$BM$1,),))/VLOOKUP(A55,Data!$E:$BM,MATCH(yoy!$D$1,Data!$E$1:$BM$1,),)</f>
        <v/>
      </c>
      <c r="E55" s="14" t="n"/>
      <c r="F55" s="14">
        <f>(VLOOKUP(B55,Data!$E:$BM,MATCH(yoy!$F$1,Data!$E$1:$BM$1,),)-VLOOKUP(A55,Data!$E:$BM,MATCH(yoy!$F$1,Data!$E$1:$BM$1,),))/VLOOKUP(A55,Data!$E:$BM,MATCH(yoy!$F$1,Data!$E$1:$BM$1,),)</f>
        <v/>
      </c>
      <c r="G55" s="14">
        <f>(VLOOKUP(B55,Data!$E:$BM,MATCH(yoy!$G$1,Data!$E$1:$BM$1,),)-VLOOKUP(A55,Data!$E:$BM,MATCH(yoy!$G$1,Data!$E$1:$BM$1,),))/VLOOKUP(A55,Data!$E:$BM,MATCH(yoy!$G$1,Data!$E$1:$BM$1,),)</f>
        <v/>
      </c>
      <c r="H55" s="14">
        <f>(VLOOKUP(B55,Data!$E:$BM,MATCH(yoy!$H$1,Data!$E$1:$BM$1,),)-VLOOKUP(A55,Data!$E:$BM,MATCH(yoy!$H$1,Data!$E$1:$BM$1,),))/VLOOKUP(A55,Data!$E:$BM,MATCH(yoy!$H$1,Data!$E$1:$BM$1,),)</f>
        <v/>
      </c>
      <c r="I55" s="14" t="n"/>
      <c r="J55" s="14" t="n"/>
      <c r="K55" s="14">
        <f>(VLOOKUP(B55,Data!$E:$BM,MATCH(yoy!$K$1,Data!$E$1:$BM$1,),)-VLOOKUP(A55,Data!$E:$BM,MATCH(yoy!$K$1,Data!$E$1:$BM$1,),))/VLOOKUP(A55,Data!$E:$BM,MATCH(yoy!$K$1,Data!$E$1:$BM$1,),)</f>
        <v/>
      </c>
      <c r="L55" s="14" t="n"/>
      <c r="M55" s="14" t="n"/>
      <c r="N55" s="14" t="n"/>
      <c r="O55" s="14" t="n"/>
      <c r="P55" s="14">
        <f>(VLOOKUP(B55,Data!$E:$BM,MATCH(yoy!$P$1,Data!$E$1:$BM$1,),)-VLOOKUP(A55,Data!$E:$BM,MATCH(yoy!$P$1,Data!$E$1:$BM$1,),))/VLOOKUP(A55,Data!$E:$BM,MATCH(yoy!$P$1,Data!$E$1:$BM$1,),)</f>
        <v/>
      </c>
      <c r="Q55" s="14">
        <f>(VLOOKUP(B55,Data!$E:$BM,MATCH(yoy!$Q$1,Data!$E$1:$BM$1,),)-VLOOKUP(A55,Data!$E:$BM,MATCH(yoy!$Q$1,Data!$E$1:$BM$1,),))/VLOOKUP(A55,Data!$E:$BM,MATCH(yoy!$Q$1,Data!$E$1:$BM$1,),)</f>
        <v/>
      </c>
      <c r="R55" s="14" t="n"/>
      <c r="S55" s="14">
        <f>(VLOOKUP(B55,Data!$E:$BM,MATCH(yoy!$S$1,Data!$E$1:$BM$1,),)-VLOOKUP(A55,Data!$E:$BM,MATCH(yoy!$S$1,Data!$E$1:$BM$1,),))/VLOOKUP(A55,Data!$E:$BM,MATCH(yoy!$S$1,Data!$E$1:$BM$1,),)</f>
        <v/>
      </c>
      <c r="T55" s="14" t="n"/>
      <c r="U55" s="14" t="n"/>
      <c r="V55" s="14">
        <f>(VLOOKUP(B55,Data!$E:$BM,MATCH(yoy!$V$1,Data!$E$1:$BM$1,),)-VLOOKUP(A55,Data!$E:$BM,MATCH(yoy!$V$1,Data!$E$1:$BM$1,),))/VLOOKUP(A55,Data!$E:$BM,MATCH(yoy!$V$1,Data!$E$1:$BM$1,),)</f>
        <v/>
      </c>
      <c r="W55" s="14" t="n"/>
      <c r="X55" s="14">
        <f>(VLOOKUP(B55,Data!$E:$BM,MATCH(yoy!$X$1,Data!$E$1:$BM$1,),)-VLOOKUP(A55,Data!$E:$BM,MATCH(yoy!$X$1,Data!$E$1:$BM$1,),))/VLOOKUP(A55,Data!$E:$BM,MATCH(yoy!$X$1,Data!$E$1:$BM$1,),)</f>
        <v/>
      </c>
      <c r="Y55" s="14" t="n"/>
      <c r="Z55" s="14">
        <f>(VLOOKUP(B55,Data!$E:$BM,MATCH(yoy!$Z$1,Data!$E$1:$BM$1,),)-VLOOKUP(A55,Data!$E:$BM,MATCH(yoy!$Z$1,Data!$E$1:$BM$1,),))/VLOOKUP(A55,Data!$E:$BM,MATCH(yoy!$Z$1,Data!$E$1:$BM$1,),)</f>
        <v/>
      </c>
      <c r="AA55" s="14" t="n"/>
    </row>
    <row r="56" customFormat="1" s="83">
      <c r="A56" s="20">
        <f>DATE(YEAR(B56)-1,MONTH(B56),DAY(B56))</f>
        <v/>
      </c>
      <c r="B56" s="12" t="n">
        <v>43556</v>
      </c>
      <c r="C56" s="14">
        <f>(VLOOKUP(B56,Data!$E:$BM,MATCH(yoy!$C$1,Data!$E$1:$BM$1,),)-VLOOKUP(A56,Data!$E:$BM,MATCH(yoy!$C$1,Data!$E$1:$BM$1,),))/VLOOKUP(A56,Data!$E:$BM,MATCH(yoy!$C$1,Data!$E$1:$BM$1,),)</f>
        <v/>
      </c>
      <c r="D56" s="14">
        <f>(VLOOKUP(B56,Data!$E:$BM,MATCH(yoy!$D$1,Data!$E$1:$BM$1,),)-VLOOKUP(A56,Data!$E:$BM,MATCH(yoy!$D$1,Data!$E$1:$BM$1,),))/VLOOKUP(A56,Data!$E:$BM,MATCH(yoy!$D$1,Data!$E$1:$BM$1,),)</f>
        <v/>
      </c>
      <c r="E56" s="14" t="n"/>
      <c r="F56" s="14">
        <f>(VLOOKUP(B56,Data!$E:$BM,MATCH(yoy!$F$1,Data!$E$1:$BM$1,),)-VLOOKUP(A56,Data!$E:$BM,MATCH(yoy!$F$1,Data!$E$1:$BM$1,),))/VLOOKUP(A56,Data!$E:$BM,MATCH(yoy!$F$1,Data!$E$1:$BM$1,),)</f>
        <v/>
      </c>
      <c r="G56" s="14">
        <f>(VLOOKUP(B56,Data!$E:$BM,MATCH(yoy!$G$1,Data!$E$1:$BM$1,),)-VLOOKUP(A56,Data!$E:$BM,MATCH(yoy!$G$1,Data!$E$1:$BM$1,),))/VLOOKUP(A56,Data!$E:$BM,MATCH(yoy!$G$1,Data!$E$1:$BM$1,),)</f>
        <v/>
      </c>
      <c r="H56" s="14">
        <f>(VLOOKUP(B56,Data!$E:$BM,MATCH(yoy!$H$1,Data!$E$1:$BM$1,),)-VLOOKUP(A56,Data!$E:$BM,MATCH(yoy!$H$1,Data!$E$1:$BM$1,),))/VLOOKUP(A56,Data!$E:$BM,MATCH(yoy!$H$1,Data!$E$1:$BM$1,),)</f>
        <v/>
      </c>
      <c r="I56" s="14" t="n"/>
      <c r="J56" s="14" t="n"/>
      <c r="K56" s="14">
        <f>(VLOOKUP(B56,Data!$E:$BM,MATCH(yoy!$K$1,Data!$E$1:$BM$1,),)-VLOOKUP(A56,Data!$E:$BM,MATCH(yoy!$K$1,Data!$E$1:$BM$1,),))/VLOOKUP(A56,Data!$E:$BM,MATCH(yoy!$K$1,Data!$E$1:$BM$1,),)</f>
        <v/>
      </c>
      <c r="L56" s="14" t="n"/>
      <c r="M56" s="14" t="n"/>
      <c r="N56" s="14" t="n"/>
      <c r="O56" s="14" t="n"/>
      <c r="P56" s="14">
        <f>(VLOOKUP(B56,Data!$E:$BM,MATCH(yoy!$P$1,Data!$E$1:$BM$1,),)-VLOOKUP(A56,Data!$E:$BM,MATCH(yoy!$P$1,Data!$E$1:$BM$1,),))/VLOOKUP(A56,Data!$E:$BM,MATCH(yoy!$P$1,Data!$E$1:$BM$1,),)</f>
        <v/>
      </c>
      <c r="Q56" s="14">
        <f>(VLOOKUP(B56,Data!$E:$BM,MATCH(yoy!$Q$1,Data!$E$1:$BM$1,),)-VLOOKUP(A56,Data!$E:$BM,MATCH(yoy!$Q$1,Data!$E$1:$BM$1,),))/VLOOKUP(A56,Data!$E:$BM,MATCH(yoy!$Q$1,Data!$E$1:$BM$1,),)</f>
        <v/>
      </c>
      <c r="R56" s="14" t="n"/>
      <c r="S56" s="14">
        <f>(VLOOKUP(B56,Data!$E:$BM,MATCH(yoy!$S$1,Data!$E$1:$BM$1,),)-VLOOKUP(A56,Data!$E:$BM,MATCH(yoy!$S$1,Data!$E$1:$BM$1,),))/VLOOKUP(A56,Data!$E:$BM,MATCH(yoy!$S$1,Data!$E$1:$BM$1,),)</f>
        <v/>
      </c>
      <c r="T56" s="14" t="n"/>
      <c r="U56" s="14" t="n"/>
      <c r="V56" s="14">
        <f>(VLOOKUP(B56,Data!$E:$BM,MATCH(yoy!$V$1,Data!$E$1:$BM$1,),)-VLOOKUP(A56,Data!$E:$BM,MATCH(yoy!$V$1,Data!$E$1:$BM$1,),))/VLOOKUP(A56,Data!$E:$BM,MATCH(yoy!$V$1,Data!$E$1:$BM$1,),)</f>
        <v/>
      </c>
      <c r="W56" s="14" t="n"/>
      <c r="X56" s="14">
        <f>(VLOOKUP(B56,Data!$E:$BM,MATCH(yoy!$X$1,Data!$E$1:$BM$1,),)-VLOOKUP(A56,Data!$E:$BM,MATCH(yoy!$X$1,Data!$E$1:$BM$1,),))/VLOOKUP(A56,Data!$E:$BM,MATCH(yoy!$X$1,Data!$E$1:$BM$1,),)</f>
        <v/>
      </c>
      <c r="Y56" s="14" t="n"/>
      <c r="Z56" s="14">
        <f>(VLOOKUP(B56,Data!$E:$BM,MATCH(yoy!$Z$1,Data!$E$1:$BM$1,),)-VLOOKUP(A56,Data!$E:$BM,MATCH(yoy!$Z$1,Data!$E$1:$BM$1,),))/VLOOKUP(A56,Data!$E:$BM,MATCH(yoy!$Z$1,Data!$E$1:$BM$1,),)</f>
        <v/>
      </c>
      <c r="AA56" s="14" t="n"/>
    </row>
    <row r="57" customFormat="1" s="83">
      <c r="A57" s="20">
        <f>DATE(YEAR(B57)-1,MONTH(B57),DAY(B57))</f>
        <v/>
      </c>
      <c r="B57" s="12" t="n">
        <v>43586</v>
      </c>
      <c r="C57" s="14">
        <f>(VLOOKUP(B57,Data!$E:$BM,MATCH(yoy!$C$1,Data!$E$1:$BM$1,),)-VLOOKUP(A57,Data!$E:$BM,MATCH(yoy!$C$1,Data!$E$1:$BM$1,),))/VLOOKUP(A57,Data!$E:$BM,MATCH(yoy!$C$1,Data!$E$1:$BM$1,),)</f>
        <v/>
      </c>
      <c r="D57" s="14">
        <f>(VLOOKUP(B57,Data!$E:$BM,MATCH(yoy!$D$1,Data!$E$1:$BM$1,),)-VLOOKUP(A57,Data!$E:$BM,MATCH(yoy!$D$1,Data!$E$1:$BM$1,),))/VLOOKUP(A57,Data!$E:$BM,MATCH(yoy!$D$1,Data!$E$1:$BM$1,),)</f>
        <v/>
      </c>
      <c r="E57" s="14" t="n"/>
      <c r="F57" s="14">
        <f>(VLOOKUP(B57,Data!$E:$BM,MATCH(yoy!$F$1,Data!$E$1:$BM$1,),)-VLOOKUP(A57,Data!$E:$BM,MATCH(yoy!$F$1,Data!$E$1:$BM$1,),))/VLOOKUP(A57,Data!$E:$BM,MATCH(yoy!$F$1,Data!$E$1:$BM$1,),)</f>
        <v/>
      </c>
      <c r="G57" s="14">
        <f>(VLOOKUP(B57,Data!$E:$BM,MATCH(yoy!$G$1,Data!$E$1:$BM$1,),)-VLOOKUP(A57,Data!$E:$BM,MATCH(yoy!$G$1,Data!$E$1:$BM$1,),))/VLOOKUP(A57,Data!$E:$BM,MATCH(yoy!$G$1,Data!$E$1:$BM$1,),)</f>
        <v/>
      </c>
      <c r="H57" s="14">
        <f>(VLOOKUP(B57,Data!$E:$BM,MATCH(yoy!$H$1,Data!$E$1:$BM$1,),)-VLOOKUP(A57,Data!$E:$BM,MATCH(yoy!$H$1,Data!$E$1:$BM$1,),))/VLOOKUP(A57,Data!$E:$BM,MATCH(yoy!$H$1,Data!$E$1:$BM$1,),)</f>
        <v/>
      </c>
      <c r="I57" s="14" t="n"/>
      <c r="J57" s="14" t="n"/>
      <c r="K57" s="14">
        <f>(VLOOKUP(B57,Data!$E:$BM,MATCH(yoy!$K$1,Data!$E$1:$BM$1,),)-VLOOKUP(A57,Data!$E:$BM,MATCH(yoy!$K$1,Data!$E$1:$BM$1,),))/VLOOKUP(A57,Data!$E:$BM,MATCH(yoy!$K$1,Data!$E$1:$BM$1,),)</f>
        <v/>
      </c>
      <c r="L57" s="14" t="n"/>
      <c r="M57" s="14" t="n"/>
      <c r="N57" s="14" t="n"/>
      <c r="O57" s="14" t="n"/>
      <c r="P57" s="14">
        <f>(VLOOKUP(B57,Data!$E:$BM,MATCH(yoy!$P$1,Data!$E$1:$BM$1,),)-VLOOKUP(A57,Data!$E:$BM,MATCH(yoy!$P$1,Data!$E$1:$BM$1,),))/VLOOKUP(A57,Data!$E:$BM,MATCH(yoy!$P$1,Data!$E$1:$BM$1,),)</f>
        <v/>
      </c>
      <c r="Q57" s="14">
        <f>(VLOOKUP(B57,Data!$E:$BM,MATCH(yoy!$Q$1,Data!$E$1:$BM$1,),)-VLOOKUP(A57,Data!$E:$BM,MATCH(yoy!$Q$1,Data!$E$1:$BM$1,),))/VLOOKUP(A57,Data!$E:$BM,MATCH(yoy!$Q$1,Data!$E$1:$BM$1,),)</f>
        <v/>
      </c>
      <c r="R57" s="14" t="n"/>
      <c r="S57" s="14">
        <f>(VLOOKUP(B57,Data!$E:$BM,MATCH(yoy!$S$1,Data!$E$1:$BM$1,),)-VLOOKUP(A57,Data!$E:$BM,MATCH(yoy!$S$1,Data!$E$1:$BM$1,),))/VLOOKUP(A57,Data!$E:$BM,MATCH(yoy!$S$1,Data!$E$1:$BM$1,),)</f>
        <v/>
      </c>
      <c r="T57" s="14" t="n"/>
      <c r="U57" s="14" t="n"/>
      <c r="V57" s="14">
        <f>(VLOOKUP(B57,Data!$E:$BM,MATCH(yoy!$V$1,Data!$E$1:$BM$1,),)-VLOOKUP(A57,Data!$E:$BM,MATCH(yoy!$V$1,Data!$E$1:$BM$1,),))/VLOOKUP(A57,Data!$E:$BM,MATCH(yoy!$V$1,Data!$E$1:$BM$1,),)</f>
        <v/>
      </c>
      <c r="W57" s="14" t="n"/>
      <c r="X57" s="14">
        <f>(VLOOKUP(B57,Data!$E:$BM,MATCH(yoy!$X$1,Data!$E$1:$BM$1,),)-VLOOKUP(A57,Data!$E:$BM,MATCH(yoy!$X$1,Data!$E$1:$BM$1,),))/VLOOKUP(A57,Data!$E:$BM,MATCH(yoy!$X$1,Data!$E$1:$BM$1,),)</f>
        <v/>
      </c>
      <c r="Y57" s="14" t="n"/>
      <c r="Z57" s="14">
        <f>(VLOOKUP(B57,Data!$E:$BM,MATCH(yoy!$Z$1,Data!$E$1:$BM$1,),)-VLOOKUP(A57,Data!$E:$BM,MATCH(yoy!$Z$1,Data!$E$1:$BM$1,),))/VLOOKUP(A57,Data!$E:$BM,MATCH(yoy!$Z$1,Data!$E$1:$BM$1,),)</f>
        <v/>
      </c>
      <c r="AA57" s="14" t="n"/>
    </row>
    <row r="58" customFormat="1" s="83">
      <c r="A58" s="20">
        <f>DATE(YEAR(B58)-1,MONTH(B58),DAY(B58))</f>
        <v/>
      </c>
      <c r="B58" s="12" t="n">
        <v>43617</v>
      </c>
      <c r="C58" s="14">
        <f>(VLOOKUP(B58,Data!$E:$BM,MATCH(yoy!$C$1,Data!$E$1:$BM$1,),)-VLOOKUP(A58,Data!$E:$BM,MATCH(yoy!$C$1,Data!$E$1:$BM$1,),))/VLOOKUP(A58,Data!$E:$BM,MATCH(yoy!$C$1,Data!$E$1:$BM$1,),)</f>
        <v/>
      </c>
      <c r="D58" s="14">
        <f>(VLOOKUP(B58,Data!$E:$BM,MATCH(yoy!$D$1,Data!$E$1:$BM$1,),)-VLOOKUP(A58,Data!$E:$BM,MATCH(yoy!$D$1,Data!$E$1:$BM$1,),))/VLOOKUP(A58,Data!$E:$BM,MATCH(yoy!$D$1,Data!$E$1:$BM$1,),)</f>
        <v/>
      </c>
      <c r="E58" s="14" t="n"/>
      <c r="F58" s="14">
        <f>(VLOOKUP(B58,Data!$E:$BM,MATCH(yoy!$F$1,Data!$E$1:$BM$1,),)-VLOOKUP(A58,Data!$E:$BM,MATCH(yoy!$F$1,Data!$E$1:$BM$1,),))/VLOOKUP(A58,Data!$E:$BM,MATCH(yoy!$F$1,Data!$E$1:$BM$1,),)</f>
        <v/>
      </c>
      <c r="G58" s="14">
        <f>(VLOOKUP(B58,Data!$E:$BM,MATCH(yoy!$G$1,Data!$E$1:$BM$1,),)-VLOOKUP(A58,Data!$E:$BM,MATCH(yoy!$G$1,Data!$E$1:$BM$1,),))/VLOOKUP(A58,Data!$E:$BM,MATCH(yoy!$G$1,Data!$E$1:$BM$1,),)</f>
        <v/>
      </c>
      <c r="H58" s="14">
        <f>(VLOOKUP(B58,Data!$E:$BM,MATCH(yoy!$H$1,Data!$E$1:$BM$1,),)-VLOOKUP(A58,Data!$E:$BM,MATCH(yoy!$H$1,Data!$E$1:$BM$1,),))/VLOOKUP(A58,Data!$E:$BM,MATCH(yoy!$H$1,Data!$E$1:$BM$1,),)</f>
        <v/>
      </c>
      <c r="I58" s="14" t="n"/>
      <c r="J58" s="14" t="n"/>
      <c r="K58" s="14">
        <f>(VLOOKUP(B58,Data!$E:$BM,MATCH(yoy!$K$1,Data!$E$1:$BM$1,),)-VLOOKUP(A58,Data!$E:$BM,MATCH(yoy!$K$1,Data!$E$1:$BM$1,),))/VLOOKUP(A58,Data!$E:$BM,MATCH(yoy!$K$1,Data!$E$1:$BM$1,),)</f>
        <v/>
      </c>
      <c r="L58" s="14" t="n"/>
      <c r="M58" s="14" t="n"/>
      <c r="N58" s="14" t="n"/>
      <c r="O58" s="14" t="n"/>
      <c r="P58" s="14">
        <f>(VLOOKUP(B58,Data!$E:$BM,MATCH(yoy!$P$1,Data!$E$1:$BM$1,),)-VLOOKUP(A58,Data!$E:$BM,MATCH(yoy!$P$1,Data!$E$1:$BM$1,),))/VLOOKUP(A58,Data!$E:$BM,MATCH(yoy!$P$1,Data!$E$1:$BM$1,),)</f>
        <v/>
      </c>
      <c r="Q58" s="14">
        <f>(VLOOKUP(B58,Data!$E:$BM,MATCH(yoy!$Q$1,Data!$E$1:$BM$1,),)-VLOOKUP(A58,Data!$E:$BM,MATCH(yoy!$Q$1,Data!$E$1:$BM$1,),))/VLOOKUP(A58,Data!$E:$BM,MATCH(yoy!$Q$1,Data!$E$1:$BM$1,),)</f>
        <v/>
      </c>
      <c r="R58" s="14" t="n"/>
      <c r="S58" s="14">
        <f>(VLOOKUP(B58,Data!$E:$BM,MATCH(yoy!$S$1,Data!$E$1:$BM$1,),)-VLOOKUP(A58,Data!$E:$BM,MATCH(yoy!$S$1,Data!$E$1:$BM$1,),))/VLOOKUP(A58,Data!$E:$BM,MATCH(yoy!$S$1,Data!$E$1:$BM$1,),)</f>
        <v/>
      </c>
      <c r="T58" s="14" t="n"/>
      <c r="U58" s="14" t="n"/>
      <c r="V58" s="14">
        <f>(VLOOKUP(B58,Data!$E:$BM,MATCH(yoy!$V$1,Data!$E$1:$BM$1,),)-VLOOKUP(A58,Data!$E:$BM,MATCH(yoy!$V$1,Data!$E$1:$BM$1,),))/VLOOKUP(A58,Data!$E:$BM,MATCH(yoy!$V$1,Data!$E$1:$BM$1,),)</f>
        <v/>
      </c>
      <c r="W58" s="14" t="n"/>
      <c r="X58" s="14">
        <f>(VLOOKUP(B58,Data!$E:$BM,MATCH(yoy!$X$1,Data!$E$1:$BM$1,),)-VLOOKUP(A58,Data!$E:$BM,MATCH(yoy!$X$1,Data!$E$1:$BM$1,),))/VLOOKUP(A58,Data!$E:$BM,MATCH(yoy!$X$1,Data!$E$1:$BM$1,),)</f>
        <v/>
      </c>
      <c r="Y58" s="14" t="n"/>
      <c r="Z58" s="14">
        <f>(VLOOKUP(B58,Data!$E:$BM,MATCH(yoy!$Z$1,Data!$E$1:$BM$1,),)-VLOOKUP(A58,Data!$E:$BM,MATCH(yoy!$Z$1,Data!$E$1:$BM$1,),))/VLOOKUP(A58,Data!$E:$BM,MATCH(yoy!$Z$1,Data!$E$1:$BM$1,),)</f>
        <v/>
      </c>
      <c r="AA58" s="14" t="n"/>
    </row>
    <row r="59" customFormat="1" s="83">
      <c r="A59" s="20">
        <f>DATE(YEAR(B59)-1,MONTH(B59),DAY(B59))</f>
        <v/>
      </c>
      <c r="B59" s="12" t="n">
        <v>43647</v>
      </c>
      <c r="C59" s="14">
        <f>(VLOOKUP(B59,Data!$E:$BM,MATCH(yoy!$C$1,Data!$E$1:$BM$1,),)-VLOOKUP(A59,Data!$E:$BM,MATCH(yoy!$C$1,Data!$E$1:$BM$1,),))/VLOOKUP(A59,Data!$E:$BM,MATCH(yoy!$C$1,Data!$E$1:$BM$1,),)</f>
        <v/>
      </c>
      <c r="D59" s="14">
        <f>(VLOOKUP(B59,Data!$E:$BM,MATCH(yoy!$D$1,Data!$E$1:$BM$1,),)-VLOOKUP(A59,Data!$E:$BM,MATCH(yoy!$D$1,Data!$E$1:$BM$1,),))/VLOOKUP(A59,Data!$E:$BM,MATCH(yoy!$D$1,Data!$E$1:$BM$1,),)</f>
        <v/>
      </c>
      <c r="E59" s="14" t="n"/>
      <c r="F59" s="14">
        <f>(VLOOKUP(B59,Data!$E:$BM,MATCH(yoy!$F$1,Data!$E$1:$BM$1,),)-VLOOKUP(A59,Data!$E:$BM,MATCH(yoy!$F$1,Data!$E$1:$BM$1,),))/VLOOKUP(A59,Data!$E:$BM,MATCH(yoy!$F$1,Data!$E$1:$BM$1,),)</f>
        <v/>
      </c>
      <c r="G59" s="14">
        <f>(VLOOKUP(B59,Data!$E:$BM,MATCH(yoy!$G$1,Data!$E$1:$BM$1,),)-VLOOKUP(A59,Data!$E:$BM,MATCH(yoy!$G$1,Data!$E$1:$BM$1,),))/VLOOKUP(A59,Data!$E:$BM,MATCH(yoy!$G$1,Data!$E$1:$BM$1,),)</f>
        <v/>
      </c>
      <c r="H59" s="14">
        <f>(VLOOKUP(B59,Data!$E:$BM,MATCH(yoy!$H$1,Data!$E$1:$BM$1,),)-VLOOKUP(A59,Data!$E:$BM,MATCH(yoy!$H$1,Data!$E$1:$BM$1,),))/VLOOKUP(A59,Data!$E:$BM,MATCH(yoy!$H$1,Data!$E$1:$BM$1,),)</f>
        <v/>
      </c>
      <c r="I59" s="14" t="n"/>
      <c r="J59" s="14" t="n"/>
      <c r="K59" s="14">
        <f>(VLOOKUP(B59,Data!$E:$BM,MATCH(yoy!$K$1,Data!$E$1:$BM$1,),)-VLOOKUP(A59,Data!$E:$BM,MATCH(yoy!$K$1,Data!$E$1:$BM$1,),))/VLOOKUP(A59,Data!$E:$BM,MATCH(yoy!$K$1,Data!$E$1:$BM$1,),)</f>
        <v/>
      </c>
      <c r="L59" s="14" t="n"/>
      <c r="M59" s="14" t="n"/>
      <c r="N59" s="14" t="n"/>
      <c r="O59" s="14" t="n"/>
      <c r="P59" s="14">
        <f>(VLOOKUP(B59,Data!$E:$BM,MATCH(yoy!$P$1,Data!$E$1:$BM$1,),)-VLOOKUP(A59,Data!$E:$BM,MATCH(yoy!$P$1,Data!$E$1:$BM$1,),))/VLOOKUP(A59,Data!$E:$BM,MATCH(yoy!$P$1,Data!$E$1:$BM$1,),)</f>
        <v/>
      </c>
      <c r="Q59" s="14">
        <f>(VLOOKUP(B59,Data!$E:$BM,MATCH(yoy!$Q$1,Data!$E$1:$BM$1,),)-VLOOKUP(A59,Data!$E:$BM,MATCH(yoy!$Q$1,Data!$E$1:$BM$1,),))/VLOOKUP(A59,Data!$E:$BM,MATCH(yoy!$Q$1,Data!$E$1:$BM$1,),)</f>
        <v/>
      </c>
      <c r="R59" s="14" t="n"/>
      <c r="S59" s="14">
        <f>(VLOOKUP(B59,Data!$E:$BM,MATCH(yoy!$S$1,Data!$E$1:$BM$1,),)-VLOOKUP(A59,Data!$E:$BM,MATCH(yoy!$S$1,Data!$E$1:$BM$1,),))/VLOOKUP(A59,Data!$E:$BM,MATCH(yoy!$S$1,Data!$E$1:$BM$1,),)</f>
        <v/>
      </c>
      <c r="T59" s="14" t="n"/>
      <c r="U59" s="14" t="n"/>
      <c r="V59" s="14">
        <f>(VLOOKUP(B59,Data!$E:$BM,MATCH(yoy!$V$1,Data!$E$1:$BM$1,),)-VLOOKUP(A59,Data!$E:$BM,MATCH(yoy!$V$1,Data!$E$1:$BM$1,),))/VLOOKUP(A59,Data!$E:$BM,MATCH(yoy!$V$1,Data!$E$1:$BM$1,),)</f>
        <v/>
      </c>
      <c r="W59" s="14" t="n"/>
      <c r="X59" s="14">
        <f>(VLOOKUP(B59,Data!$E:$BM,MATCH(yoy!$X$1,Data!$E$1:$BM$1,),)-VLOOKUP(A59,Data!$E:$BM,MATCH(yoy!$X$1,Data!$E$1:$BM$1,),))/VLOOKUP(A59,Data!$E:$BM,MATCH(yoy!$X$1,Data!$E$1:$BM$1,),)</f>
        <v/>
      </c>
      <c r="Y59" s="14" t="n"/>
      <c r="Z59" s="14">
        <f>(VLOOKUP(B59,Data!$E:$BM,MATCH(yoy!$Z$1,Data!$E$1:$BM$1,),)-VLOOKUP(A59,Data!$E:$BM,MATCH(yoy!$Z$1,Data!$E$1:$BM$1,),))/VLOOKUP(A59,Data!$E:$BM,MATCH(yoy!$Z$1,Data!$E$1:$BM$1,),)</f>
        <v/>
      </c>
      <c r="AA59" s="14" t="n"/>
    </row>
    <row r="60" customFormat="1" s="83">
      <c r="A60" s="20">
        <f>DATE(YEAR(B60)-1,MONTH(B60),DAY(B60))</f>
        <v/>
      </c>
      <c r="B60" s="12" t="n">
        <v>43678</v>
      </c>
      <c r="C60" s="14">
        <f>(VLOOKUP(B60,Data!$E:$BM,MATCH(yoy!$C$1,Data!$E$1:$BM$1,),)-VLOOKUP(A60,Data!$E:$BM,MATCH(yoy!$C$1,Data!$E$1:$BM$1,),))/VLOOKUP(A60,Data!$E:$BM,MATCH(yoy!$C$1,Data!$E$1:$BM$1,),)</f>
        <v/>
      </c>
      <c r="D60" s="14">
        <f>(VLOOKUP(B60,Data!$E:$BM,MATCH(yoy!$D$1,Data!$E$1:$BM$1,),)-VLOOKUP(A60,Data!$E:$BM,MATCH(yoy!$D$1,Data!$E$1:$BM$1,),))/VLOOKUP(A60,Data!$E:$BM,MATCH(yoy!$D$1,Data!$E$1:$BM$1,),)</f>
        <v/>
      </c>
      <c r="E60" s="14" t="n"/>
      <c r="F60" s="14">
        <f>(VLOOKUP(B60,Data!$E:$BM,MATCH(yoy!$F$1,Data!$E$1:$BM$1,),)-VLOOKUP(A60,Data!$E:$BM,MATCH(yoy!$F$1,Data!$E$1:$BM$1,),))/VLOOKUP(A60,Data!$E:$BM,MATCH(yoy!$F$1,Data!$E$1:$BM$1,),)</f>
        <v/>
      </c>
      <c r="G60" s="14">
        <f>(VLOOKUP(B60,Data!$E:$BM,MATCH(yoy!$G$1,Data!$E$1:$BM$1,),)-VLOOKUP(A60,Data!$E:$BM,MATCH(yoy!$G$1,Data!$E$1:$BM$1,),))/VLOOKUP(A60,Data!$E:$BM,MATCH(yoy!$G$1,Data!$E$1:$BM$1,),)</f>
        <v/>
      </c>
      <c r="H60" s="14">
        <f>(VLOOKUP(B60,Data!$E:$BM,MATCH(yoy!$H$1,Data!$E$1:$BM$1,),)-VLOOKUP(A60,Data!$E:$BM,MATCH(yoy!$H$1,Data!$E$1:$BM$1,),))/VLOOKUP(A60,Data!$E:$BM,MATCH(yoy!$H$1,Data!$E$1:$BM$1,),)</f>
        <v/>
      </c>
      <c r="I60" s="14" t="n"/>
      <c r="J60" s="14" t="n"/>
      <c r="K60" s="14">
        <f>(VLOOKUP(B60,Data!$E:$BM,MATCH(yoy!$K$1,Data!$E$1:$BM$1,),)-VLOOKUP(A60,Data!$E:$BM,MATCH(yoy!$K$1,Data!$E$1:$BM$1,),))/VLOOKUP(A60,Data!$E:$BM,MATCH(yoy!$K$1,Data!$E$1:$BM$1,),)</f>
        <v/>
      </c>
      <c r="L60" s="14" t="n"/>
      <c r="M60" s="14" t="n"/>
      <c r="N60" s="14" t="n"/>
      <c r="O60" s="14" t="n"/>
      <c r="P60" s="14">
        <f>(VLOOKUP(B60,Data!$E:$BM,MATCH(yoy!$P$1,Data!$E$1:$BM$1,),)-VLOOKUP(A60,Data!$E:$BM,MATCH(yoy!$P$1,Data!$E$1:$BM$1,),))/VLOOKUP(A60,Data!$E:$BM,MATCH(yoy!$P$1,Data!$E$1:$BM$1,),)</f>
        <v/>
      </c>
      <c r="Q60" s="14">
        <f>(VLOOKUP(B60,Data!$E:$BM,MATCH(yoy!$Q$1,Data!$E$1:$BM$1,),)-VLOOKUP(A60,Data!$E:$BM,MATCH(yoy!$Q$1,Data!$E$1:$BM$1,),))/VLOOKUP(A60,Data!$E:$BM,MATCH(yoy!$Q$1,Data!$E$1:$BM$1,),)</f>
        <v/>
      </c>
      <c r="R60" s="14" t="n"/>
      <c r="S60" s="14">
        <f>(VLOOKUP(B60,Data!$E:$BM,MATCH(yoy!$S$1,Data!$E$1:$BM$1,),)-VLOOKUP(A60,Data!$E:$BM,MATCH(yoy!$S$1,Data!$E$1:$BM$1,),))/VLOOKUP(A60,Data!$E:$BM,MATCH(yoy!$S$1,Data!$E$1:$BM$1,),)</f>
        <v/>
      </c>
      <c r="T60" s="14" t="n"/>
      <c r="U60" s="14" t="n"/>
      <c r="V60" s="14">
        <f>(VLOOKUP(B60,Data!$E:$BM,MATCH(yoy!$V$1,Data!$E$1:$BM$1,),)-VLOOKUP(A60,Data!$E:$BM,MATCH(yoy!$V$1,Data!$E$1:$BM$1,),))/VLOOKUP(A60,Data!$E:$BM,MATCH(yoy!$V$1,Data!$E$1:$BM$1,),)</f>
        <v/>
      </c>
      <c r="W60" s="14" t="n"/>
      <c r="X60" s="14">
        <f>(VLOOKUP(B60,Data!$E:$BM,MATCH(yoy!$X$1,Data!$E$1:$BM$1,),)-VLOOKUP(A60,Data!$E:$BM,MATCH(yoy!$X$1,Data!$E$1:$BM$1,),))/VLOOKUP(A60,Data!$E:$BM,MATCH(yoy!$X$1,Data!$E$1:$BM$1,),)</f>
        <v/>
      </c>
      <c r="Y60" s="14" t="n"/>
      <c r="Z60" s="14">
        <f>(VLOOKUP(B60,Data!$E:$BM,MATCH(yoy!$Z$1,Data!$E$1:$BM$1,),)-VLOOKUP(A60,Data!$E:$BM,MATCH(yoy!$Z$1,Data!$E$1:$BM$1,),))/VLOOKUP(A60,Data!$E:$BM,MATCH(yoy!$Z$1,Data!$E$1:$BM$1,),)</f>
        <v/>
      </c>
      <c r="AA60" s="14" t="n"/>
    </row>
    <row r="61" customFormat="1" s="83">
      <c r="A61" s="20">
        <f>DATE(YEAR(B61)-1,MONTH(B61),DAY(B61))</f>
        <v/>
      </c>
      <c r="B61" s="12" t="n">
        <v>43709</v>
      </c>
      <c r="C61" s="14">
        <f>(VLOOKUP(B61,Data!$E:$BM,MATCH(yoy!$C$1,Data!$E$1:$BM$1,),)-VLOOKUP(A61,Data!$E:$BM,MATCH(yoy!$C$1,Data!$E$1:$BM$1,),))/VLOOKUP(A61,Data!$E:$BM,MATCH(yoy!$C$1,Data!$E$1:$BM$1,),)</f>
        <v/>
      </c>
      <c r="D61" s="14">
        <f>(VLOOKUP(B61,Data!$E:$BM,MATCH(yoy!$D$1,Data!$E$1:$BM$1,),)-VLOOKUP(A61,Data!$E:$BM,MATCH(yoy!$D$1,Data!$E$1:$BM$1,),))/VLOOKUP(A61,Data!$E:$BM,MATCH(yoy!$D$1,Data!$E$1:$BM$1,),)</f>
        <v/>
      </c>
      <c r="E61" s="14" t="n"/>
      <c r="F61" s="14">
        <f>(VLOOKUP(B61,Data!$E:$BM,MATCH(yoy!$F$1,Data!$E$1:$BM$1,),)-VLOOKUP(A61,Data!$E:$BM,MATCH(yoy!$F$1,Data!$E$1:$BM$1,),))/VLOOKUP(A61,Data!$E:$BM,MATCH(yoy!$F$1,Data!$E$1:$BM$1,),)</f>
        <v/>
      </c>
      <c r="G61" s="14">
        <f>(VLOOKUP(B61,Data!$E:$BM,MATCH(yoy!$G$1,Data!$E$1:$BM$1,),)-VLOOKUP(A61,Data!$E:$BM,MATCH(yoy!$G$1,Data!$E$1:$BM$1,),))/VLOOKUP(A61,Data!$E:$BM,MATCH(yoy!$G$1,Data!$E$1:$BM$1,),)</f>
        <v/>
      </c>
      <c r="H61" s="14">
        <f>(VLOOKUP(B61,Data!$E:$BM,MATCH(yoy!$H$1,Data!$E$1:$BM$1,),)-VLOOKUP(A61,Data!$E:$BM,MATCH(yoy!$H$1,Data!$E$1:$BM$1,),))/VLOOKUP(A61,Data!$E:$BM,MATCH(yoy!$H$1,Data!$E$1:$BM$1,),)</f>
        <v/>
      </c>
      <c r="I61" s="14" t="n"/>
      <c r="J61" s="14" t="n"/>
      <c r="K61" s="14">
        <f>(VLOOKUP(B61,Data!$E:$BM,MATCH(yoy!$K$1,Data!$E$1:$BM$1,),)-VLOOKUP(A61,Data!$E:$BM,MATCH(yoy!$K$1,Data!$E$1:$BM$1,),))/VLOOKUP(A61,Data!$E:$BM,MATCH(yoy!$K$1,Data!$E$1:$BM$1,),)</f>
        <v/>
      </c>
      <c r="L61" s="14" t="n"/>
      <c r="M61" s="14" t="n"/>
      <c r="N61" s="14" t="n"/>
      <c r="O61" s="14" t="n"/>
      <c r="P61" s="14">
        <f>(VLOOKUP(B61,Data!$E:$BM,MATCH(yoy!$P$1,Data!$E$1:$BM$1,),)-VLOOKUP(A61,Data!$E:$BM,MATCH(yoy!$P$1,Data!$E$1:$BM$1,),))/VLOOKUP(A61,Data!$E:$BM,MATCH(yoy!$P$1,Data!$E$1:$BM$1,),)</f>
        <v/>
      </c>
      <c r="Q61" s="14">
        <f>(VLOOKUP(B61,Data!$E:$BM,MATCH(yoy!$Q$1,Data!$E$1:$BM$1,),)-VLOOKUP(A61,Data!$E:$BM,MATCH(yoy!$Q$1,Data!$E$1:$BM$1,),))/VLOOKUP(A61,Data!$E:$BM,MATCH(yoy!$Q$1,Data!$E$1:$BM$1,),)</f>
        <v/>
      </c>
      <c r="R61" s="14" t="n"/>
      <c r="S61" s="14">
        <f>(VLOOKUP(B61,Data!$E:$BM,MATCH(yoy!$S$1,Data!$E$1:$BM$1,),)-VLOOKUP(A61,Data!$E:$BM,MATCH(yoy!$S$1,Data!$E$1:$BM$1,),))/VLOOKUP(A61,Data!$E:$BM,MATCH(yoy!$S$1,Data!$E$1:$BM$1,),)</f>
        <v/>
      </c>
      <c r="T61" s="14" t="n"/>
      <c r="U61" s="14" t="n"/>
      <c r="V61" s="14">
        <f>(VLOOKUP(B61,Data!$E:$BM,MATCH(yoy!$V$1,Data!$E$1:$BM$1,),)-VLOOKUP(A61,Data!$E:$BM,MATCH(yoy!$V$1,Data!$E$1:$BM$1,),))/VLOOKUP(A61,Data!$E:$BM,MATCH(yoy!$V$1,Data!$E$1:$BM$1,),)</f>
        <v/>
      </c>
      <c r="W61" s="14" t="n"/>
      <c r="X61" s="14">
        <f>(VLOOKUP(B61,Data!$E:$BM,MATCH(yoy!$X$1,Data!$E$1:$BM$1,),)-VLOOKUP(A61,Data!$E:$BM,MATCH(yoy!$X$1,Data!$E$1:$BM$1,),))/VLOOKUP(A61,Data!$E:$BM,MATCH(yoy!$X$1,Data!$E$1:$BM$1,),)</f>
        <v/>
      </c>
      <c r="Y61" s="14" t="n"/>
      <c r="Z61" s="14">
        <f>(VLOOKUP(B61,Data!$E:$BM,MATCH(yoy!$Z$1,Data!$E$1:$BM$1,),)-VLOOKUP(A61,Data!$E:$BM,MATCH(yoy!$Z$1,Data!$E$1:$BM$1,),))/VLOOKUP(A61,Data!$E:$BM,MATCH(yoy!$Z$1,Data!$E$1:$BM$1,),)</f>
        <v/>
      </c>
      <c r="AA61" s="14" t="n"/>
    </row>
    <row r="62" customFormat="1" s="83">
      <c r="A62" s="20">
        <f>DATE(YEAR(B62)-1,MONTH(B62),DAY(B62))</f>
        <v/>
      </c>
      <c r="B62" s="12" t="n">
        <v>43739</v>
      </c>
      <c r="C62" s="14">
        <f>(VLOOKUP(B62,Data!$E:$BM,MATCH(yoy!$C$1,Data!$E$1:$BM$1,),)-VLOOKUP(A62,Data!$E:$BM,MATCH(yoy!$C$1,Data!$E$1:$BM$1,),))/VLOOKUP(A62,Data!$E:$BM,MATCH(yoy!$C$1,Data!$E$1:$BM$1,),)</f>
        <v/>
      </c>
      <c r="D62" s="14">
        <f>(VLOOKUP(B62,Data!$E:$BM,MATCH(yoy!$D$1,Data!$E$1:$BM$1,),)-VLOOKUP(A62,Data!$E:$BM,MATCH(yoy!$D$1,Data!$E$1:$BM$1,),))/VLOOKUP(A62,Data!$E:$BM,MATCH(yoy!$D$1,Data!$E$1:$BM$1,),)</f>
        <v/>
      </c>
      <c r="E62" s="14" t="n"/>
      <c r="F62" s="14">
        <f>(VLOOKUP(B62,Data!$E:$BM,MATCH(yoy!$F$1,Data!$E$1:$BM$1,),)-VLOOKUP(A62,Data!$E:$BM,MATCH(yoy!$F$1,Data!$E$1:$BM$1,),))/VLOOKUP(A62,Data!$E:$BM,MATCH(yoy!$F$1,Data!$E$1:$BM$1,),)</f>
        <v/>
      </c>
      <c r="G62" s="14">
        <f>(VLOOKUP(B62,Data!$E:$BM,MATCH(yoy!$G$1,Data!$E$1:$BM$1,),)-VLOOKUP(A62,Data!$E:$BM,MATCH(yoy!$G$1,Data!$E$1:$BM$1,),))/VLOOKUP(A62,Data!$E:$BM,MATCH(yoy!$G$1,Data!$E$1:$BM$1,),)</f>
        <v/>
      </c>
      <c r="H62" s="14">
        <f>(VLOOKUP(B62,Data!$E:$BM,MATCH(yoy!$H$1,Data!$E$1:$BM$1,),)-VLOOKUP(A62,Data!$E:$BM,MATCH(yoy!$H$1,Data!$E$1:$BM$1,),))/VLOOKUP(A62,Data!$E:$BM,MATCH(yoy!$H$1,Data!$E$1:$BM$1,),)</f>
        <v/>
      </c>
      <c r="I62" s="14" t="n"/>
      <c r="J62" s="14" t="n"/>
      <c r="K62" s="14">
        <f>(VLOOKUP(B62,Data!$E:$BM,MATCH(yoy!$K$1,Data!$E$1:$BM$1,),)-VLOOKUP(A62,Data!$E:$BM,MATCH(yoy!$K$1,Data!$E$1:$BM$1,),))/VLOOKUP(A62,Data!$E:$BM,MATCH(yoy!$K$1,Data!$E$1:$BM$1,),)</f>
        <v/>
      </c>
      <c r="L62" s="14" t="n"/>
      <c r="M62" s="14" t="n"/>
      <c r="N62" s="14" t="n"/>
      <c r="O62" s="14" t="n"/>
      <c r="P62" s="14">
        <f>(VLOOKUP(B62,Data!$E:$BM,MATCH(yoy!$P$1,Data!$E$1:$BM$1,),)-VLOOKUP(A62,Data!$E:$BM,MATCH(yoy!$P$1,Data!$E$1:$BM$1,),))/VLOOKUP(A62,Data!$E:$BM,MATCH(yoy!$P$1,Data!$E$1:$BM$1,),)</f>
        <v/>
      </c>
      <c r="Q62" s="14">
        <f>(VLOOKUP(B62,Data!$E:$BM,MATCH(yoy!$Q$1,Data!$E$1:$BM$1,),)-VLOOKUP(A62,Data!$E:$BM,MATCH(yoy!$Q$1,Data!$E$1:$BM$1,),))/VLOOKUP(A62,Data!$E:$BM,MATCH(yoy!$Q$1,Data!$E$1:$BM$1,),)</f>
        <v/>
      </c>
      <c r="R62" s="14" t="n"/>
      <c r="S62" s="14">
        <f>(VLOOKUP(B62,Data!$E:$BM,MATCH(yoy!$S$1,Data!$E$1:$BM$1,),)-VLOOKUP(A62,Data!$E:$BM,MATCH(yoy!$S$1,Data!$E$1:$BM$1,),))/VLOOKUP(A62,Data!$E:$BM,MATCH(yoy!$S$1,Data!$E$1:$BM$1,),)</f>
        <v/>
      </c>
      <c r="T62" s="14" t="n"/>
      <c r="U62" s="14" t="n"/>
      <c r="V62" s="14">
        <f>(VLOOKUP(B62,Data!$E:$BM,MATCH(yoy!$V$1,Data!$E$1:$BM$1,),)-VLOOKUP(A62,Data!$E:$BM,MATCH(yoy!$V$1,Data!$E$1:$BM$1,),))/VLOOKUP(A62,Data!$E:$BM,MATCH(yoy!$V$1,Data!$E$1:$BM$1,),)</f>
        <v/>
      </c>
      <c r="W62" s="14" t="n"/>
      <c r="X62" s="14">
        <f>(VLOOKUP(B62,Data!$E:$BM,MATCH(yoy!$X$1,Data!$E$1:$BM$1,),)-VLOOKUP(A62,Data!$E:$BM,MATCH(yoy!$X$1,Data!$E$1:$BM$1,),))/VLOOKUP(A62,Data!$E:$BM,MATCH(yoy!$X$1,Data!$E$1:$BM$1,),)</f>
        <v/>
      </c>
      <c r="Y62" s="14" t="n"/>
      <c r="Z62" s="14">
        <f>(VLOOKUP(B62,Data!$E:$BM,MATCH(yoy!$Z$1,Data!$E$1:$BM$1,),)-VLOOKUP(A62,Data!$E:$BM,MATCH(yoy!$Z$1,Data!$E$1:$BM$1,),))/VLOOKUP(A62,Data!$E:$BM,MATCH(yoy!$Z$1,Data!$E$1:$BM$1,),)</f>
        <v/>
      </c>
      <c r="AA62" s="14" t="n"/>
    </row>
    <row r="63" customFormat="1" s="83">
      <c r="A63" s="20">
        <f>DATE(YEAR(B63)-1,MONTH(B63),DAY(B63))</f>
        <v/>
      </c>
      <c r="B63" s="12" t="n">
        <v>43770</v>
      </c>
      <c r="C63" s="14">
        <f>(VLOOKUP(B63,Data!$E:$BM,MATCH(yoy!$C$1,Data!$E$1:$BM$1,),)-VLOOKUP(A63,Data!$E:$BM,MATCH(yoy!$C$1,Data!$E$1:$BM$1,),))/VLOOKUP(A63,Data!$E:$BM,MATCH(yoy!$C$1,Data!$E$1:$BM$1,),)</f>
        <v/>
      </c>
      <c r="D63" s="14">
        <f>(VLOOKUP(B63,Data!$E:$BM,MATCH(yoy!$D$1,Data!$E$1:$BM$1,),)-VLOOKUP(A63,Data!$E:$BM,MATCH(yoy!$D$1,Data!$E$1:$BM$1,),))/VLOOKUP(A63,Data!$E:$BM,MATCH(yoy!$D$1,Data!$E$1:$BM$1,),)</f>
        <v/>
      </c>
      <c r="E63" s="14" t="n"/>
      <c r="F63" s="14">
        <f>(VLOOKUP(B63,Data!$E:$BM,MATCH(yoy!$F$1,Data!$E$1:$BM$1,),)-VLOOKUP(A63,Data!$E:$BM,MATCH(yoy!$F$1,Data!$E$1:$BM$1,),))/VLOOKUP(A63,Data!$E:$BM,MATCH(yoy!$F$1,Data!$E$1:$BM$1,),)</f>
        <v/>
      </c>
      <c r="G63" s="14">
        <f>(VLOOKUP(B63,Data!$E:$BM,MATCH(yoy!$G$1,Data!$E$1:$BM$1,),)-VLOOKUP(A63,Data!$E:$BM,MATCH(yoy!$G$1,Data!$E$1:$BM$1,),))/VLOOKUP(A63,Data!$E:$BM,MATCH(yoy!$G$1,Data!$E$1:$BM$1,),)</f>
        <v/>
      </c>
      <c r="H63" s="14">
        <f>(VLOOKUP(B63,Data!$E:$BM,MATCH(yoy!$H$1,Data!$E$1:$BM$1,),)-VLOOKUP(A63,Data!$E:$BM,MATCH(yoy!$H$1,Data!$E$1:$BM$1,),))/VLOOKUP(A63,Data!$E:$BM,MATCH(yoy!$H$1,Data!$E$1:$BM$1,),)</f>
        <v/>
      </c>
      <c r="I63" s="14" t="n"/>
      <c r="J63" s="14" t="n"/>
      <c r="K63" s="14">
        <f>(VLOOKUP(B63,Data!$E:$BM,MATCH(yoy!$K$1,Data!$E$1:$BM$1,),)-VLOOKUP(A63,Data!$E:$BM,MATCH(yoy!$K$1,Data!$E$1:$BM$1,),))/VLOOKUP(A63,Data!$E:$BM,MATCH(yoy!$K$1,Data!$E$1:$BM$1,),)</f>
        <v/>
      </c>
      <c r="L63" s="14" t="n"/>
      <c r="M63" s="14" t="n"/>
      <c r="N63" s="14" t="n"/>
      <c r="O63" s="14" t="n"/>
      <c r="P63" s="14">
        <f>(VLOOKUP(B63,Data!$E:$BM,MATCH(yoy!$P$1,Data!$E$1:$BM$1,),)-VLOOKUP(A63,Data!$E:$BM,MATCH(yoy!$P$1,Data!$E$1:$BM$1,),))/VLOOKUP(A63,Data!$E:$BM,MATCH(yoy!$P$1,Data!$E$1:$BM$1,),)</f>
        <v/>
      </c>
      <c r="Q63" s="14">
        <f>(VLOOKUP(B63,Data!$E:$BM,MATCH(yoy!$Q$1,Data!$E$1:$BM$1,),)-VLOOKUP(A63,Data!$E:$BM,MATCH(yoy!$Q$1,Data!$E$1:$BM$1,),))/VLOOKUP(A63,Data!$E:$BM,MATCH(yoy!$Q$1,Data!$E$1:$BM$1,),)</f>
        <v/>
      </c>
      <c r="R63" s="14" t="n"/>
      <c r="S63" s="14">
        <f>(VLOOKUP(B63,Data!$E:$BM,MATCH(yoy!$S$1,Data!$E$1:$BM$1,),)-VLOOKUP(A63,Data!$E:$BM,MATCH(yoy!$S$1,Data!$E$1:$BM$1,),))/VLOOKUP(A63,Data!$E:$BM,MATCH(yoy!$S$1,Data!$E$1:$BM$1,),)</f>
        <v/>
      </c>
      <c r="T63" s="14" t="n"/>
      <c r="U63" s="14" t="n"/>
      <c r="V63" s="14">
        <f>(VLOOKUP(B63,Data!$E:$BM,MATCH(yoy!$V$1,Data!$E$1:$BM$1,),)-VLOOKUP(A63,Data!$E:$BM,MATCH(yoy!$V$1,Data!$E$1:$BM$1,),))/VLOOKUP(A63,Data!$E:$BM,MATCH(yoy!$V$1,Data!$E$1:$BM$1,),)</f>
        <v/>
      </c>
      <c r="W63" s="14" t="n"/>
      <c r="X63" s="14">
        <f>(VLOOKUP(B63,Data!$E:$BM,MATCH(yoy!$X$1,Data!$E$1:$BM$1,),)-VLOOKUP(A63,Data!$E:$BM,MATCH(yoy!$X$1,Data!$E$1:$BM$1,),))/VLOOKUP(A63,Data!$E:$BM,MATCH(yoy!$X$1,Data!$E$1:$BM$1,),)</f>
        <v/>
      </c>
      <c r="Y63" s="14" t="n"/>
      <c r="Z63" s="14">
        <f>(VLOOKUP(B63,Data!$E:$BM,MATCH(yoy!$Z$1,Data!$E$1:$BM$1,),)-VLOOKUP(A63,Data!$E:$BM,MATCH(yoy!$Z$1,Data!$E$1:$BM$1,),))/VLOOKUP(A63,Data!$E:$BM,MATCH(yoy!$Z$1,Data!$E$1:$BM$1,),)</f>
        <v/>
      </c>
      <c r="AA63" s="14" t="n"/>
    </row>
    <row r="64" customFormat="1" s="83">
      <c r="A64" s="20">
        <f>DATE(YEAR(B64)-1,MONTH(B64),DAY(B64))</f>
        <v/>
      </c>
      <c r="B64" s="12" t="n">
        <v>43800</v>
      </c>
      <c r="C64" s="14">
        <f>(VLOOKUP(B64,Data!$E:$BM,MATCH(yoy!$C$1,Data!$E$1:$BM$1,),)-VLOOKUP(A64,Data!$E:$BM,MATCH(yoy!$C$1,Data!$E$1:$BM$1,),))/VLOOKUP(A64,Data!$E:$BM,MATCH(yoy!$C$1,Data!$E$1:$BM$1,),)</f>
        <v/>
      </c>
      <c r="D64" s="14">
        <f>(VLOOKUP(B64,Data!$E:$BM,MATCH(yoy!$D$1,Data!$E$1:$BM$1,),)-VLOOKUP(A64,Data!$E:$BM,MATCH(yoy!$D$1,Data!$E$1:$BM$1,),))/VLOOKUP(A64,Data!$E:$BM,MATCH(yoy!$D$1,Data!$E$1:$BM$1,),)</f>
        <v/>
      </c>
      <c r="E64" s="14" t="n"/>
      <c r="F64" s="14">
        <f>(VLOOKUP(B64,Data!$E:$BM,MATCH(yoy!$F$1,Data!$E$1:$BM$1,),)-VLOOKUP(A64,Data!$E:$BM,MATCH(yoy!$F$1,Data!$E$1:$BM$1,),))/VLOOKUP(A64,Data!$E:$BM,MATCH(yoy!$F$1,Data!$E$1:$BM$1,),)</f>
        <v/>
      </c>
      <c r="G64" s="14">
        <f>(VLOOKUP(B64,Data!$E:$BM,MATCH(yoy!$G$1,Data!$E$1:$BM$1,),)-VLOOKUP(A64,Data!$E:$BM,MATCH(yoy!$G$1,Data!$E$1:$BM$1,),))/VLOOKUP(A64,Data!$E:$BM,MATCH(yoy!$G$1,Data!$E$1:$BM$1,),)</f>
        <v/>
      </c>
      <c r="H64" s="14">
        <f>(VLOOKUP(B64,Data!$E:$BM,MATCH(yoy!$H$1,Data!$E$1:$BM$1,),)-VLOOKUP(A64,Data!$E:$BM,MATCH(yoy!$H$1,Data!$E$1:$BM$1,),))/VLOOKUP(A64,Data!$E:$BM,MATCH(yoy!$H$1,Data!$E$1:$BM$1,),)</f>
        <v/>
      </c>
      <c r="I64" s="14" t="n"/>
      <c r="J64" s="14" t="n"/>
      <c r="K64" s="14">
        <f>(VLOOKUP(B64,Data!$E:$BM,MATCH(yoy!$K$1,Data!$E$1:$BM$1,),)-VLOOKUP(A64,Data!$E:$BM,MATCH(yoy!$K$1,Data!$E$1:$BM$1,),))/VLOOKUP(A64,Data!$E:$BM,MATCH(yoy!$K$1,Data!$E$1:$BM$1,),)</f>
        <v/>
      </c>
      <c r="L64" s="14" t="n"/>
      <c r="M64" s="14" t="n"/>
      <c r="N64" s="14" t="n"/>
      <c r="O64" s="14" t="n"/>
      <c r="P64" s="14">
        <f>(VLOOKUP(B64,Data!$E:$BM,MATCH(yoy!$P$1,Data!$E$1:$BM$1,),)-VLOOKUP(A64,Data!$E:$BM,MATCH(yoy!$P$1,Data!$E$1:$BM$1,),))/VLOOKUP(A64,Data!$E:$BM,MATCH(yoy!$P$1,Data!$E$1:$BM$1,),)</f>
        <v/>
      </c>
      <c r="Q64" s="14">
        <f>(VLOOKUP(B64,Data!$E:$BM,MATCH(yoy!$Q$1,Data!$E$1:$BM$1,),)-VLOOKUP(A64,Data!$E:$BM,MATCH(yoy!$Q$1,Data!$E$1:$BM$1,),))/VLOOKUP(A64,Data!$E:$BM,MATCH(yoy!$Q$1,Data!$E$1:$BM$1,),)</f>
        <v/>
      </c>
      <c r="R64" s="14" t="n"/>
      <c r="S64" s="14">
        <f>(VLOOKUP(B64,Data!$E:$BM,MATCH(yoy!$S$1,Data!$E$1:$BM$1,),)-VLOOKUP(A64,Data!$E:$BM,MATCH(yoy!$S$1,Data!$E$1:$BM$1,),))/VLOOKUP(A64,Data!$E:$BM,MATCH(yoy!$S$1,Data!$E$1:$BM$1,),)</f>
        <v/>
      </c>
      <c r="T64" s="14" t="n"/>
      <c r="U64" s="14" t="n"/>
      <c r="V64" s="14">
        <f>(VLOOKUP(B64,Data!$E:$BM,MATCH(yoy!$V$1,Data!$E$1:$BM$1,),)-VLOOKUP(A64,Data!$E:$BM,MATCH(yoy!$V$1,Data!$E$1:$BM$1,),))/VLOOKUP(A64,Data!$E:$BM,MATCH(yoy!$V$1,Data!$E$1:$BM$1,),)</f>
        <v/>
      </c>
      <c r="W64" s="14" t="n"/>
      <c r="X64" s="14">
        <f>(VLOOKUP(B64,Data!$E:$BM,MATCH(yoy!$X$1,Data!$E$1:$BM$1,),)-VLOOKUP(A64,Data!$E:$BM,MATCH(yoy!$X$1,Data!$E$1:$BM$1,),))/VLOOKUP(A64,Data!$E:$BM,MATCH(yoy!$X$1,Data!$E$1:$BM$1,),)</f>
        <v/>
      </c>
      <c r="Y64" s="14" t="n"/>
      <c r="Z64" s="14">
        <f>(VLOOKUP(B64,Data!$E:$BM,MATCH(yoy!$Z$1,Data!$E$1:$BM$1,),)-VLOOKUP(A64,Data!$E:$BM,MATCH(yoy!$Z$1,Data!$E$1:$BM$1,),))/VLOOKUP(A64,Data!$E:$BM,MATCH(yoy!$Z$1,Data!$E$1:$BM$1,),)</f>
        <v/>
      </c>
      <c r="AA64" s="14" t="n"/>
    </row>
    <row r="65" customFormat="1" s="83">
      <c r="A65" s="20">
        <f>DATE(YEAR(B65)-1,MONTH(B65),DAY(B65))</f>
        <v/>
      </c>
      <c r="B65" s="12" t="n">
        <v>43831</v>
      </c>
      <c r="C65" s="14">
        <f>(VLOOKUP(B65,Data!$E:$BM,MATCH(yoy!$C$1,Data!$E$1:$BM$1,),)-VLOOKUP(A65,Data!$E:$BM,MATCH(yoy!$C$1,Data!$E$1:$BM$1,),))/VLOOKUP(A65,Data!$E:$BM,MATCH(yoy!$C$1,Data!$E$1:$BM$1,),)</f>
        <v/>
      </c>
      <c r="D65" s="14">
        <f>(VLOOKUP(B65,Data!$E:$BM,MATCH(yoy!$D$1,Data!$E$1:$BM$1,),)-VLOOKUP(A65,Data!$E:$BM,MATCH(yoy!$D$1,Data!$E$1:$BM$1,),))/VLOOKUP(A65,Data!$E:$BM,MATCH(yoy!$D$1,Data!$E$1:$BM$1,),)</f>
        <v/>
      </c>
      <c r="E65" s="14" t="n"/>
      <c r="F65" s="14">
        <f>(VLOOKUP(B65,Data!$E:$BM,MATCH(yoy!$F$1,Data!$E$1:$BM$1,),)-VLOOKUP(A65,Data!$E:$BM,MATCH(yoy!$F$1,Data!$E$1:$BM$1,),))/VLOOKUP(A65,Data!$E:$BM,MATCH(yoy!$F$1,Data!$E$1:$BM$1,),)</f>
        <v/>
      </c>
      <c r="G65" s="14">
        <f>(VLOOKUP(B65,Data!$E:$BM,MATCH(yoy!$G$1,Data!$E$1:$BM$1,),)-VLOOKUP(A65,Data!$E:$BM,MATCH(yoy!$G$1,Data!$E$1:$BM$1,),))/VLOOKUP(A65,Data!$E:$BM,MATCH(yoy!$G$1,Data!$E$1:$BM$1,),)</f>
        <v/>
      </c>
      <c r="H65" s="14">
        <f>(VLOOKUP(B65,Data!$E:$BM,MATCH(yoy!$H$1,Data!$E$1:$BM$1,),)-VLOOKUP(A65,Data!$E:$BM,MATCH(yoy!$H$1,Data!$E$1:$BM$1,),))/VLOOKUP(A65,Data!$E:$BM,MATCH(yoy!$H$1,Data!$E$1:$BM$1,),)</f>
        <v/>
      </c>
      <c r="I65" s="14" t="n"/>
      <c r="J65" s="14" t="n"/>
      <c r="K65" s="14">
        <f>(VLOOKUP(B65,Data!$E:$BM,MATCH(yoy!$K$1,Data!$E$1:$BM$1,),)-VLOOKUP(A65,Data!$E:$BM,MATCH(yoy!$K$1,Data!$E$1:$BM$1,),))/VLOOKUP(A65,Data!$E:$BM,MATCH(yoy!$K$1,Data!$E$1:$BM$1,),)</f>
        <v/>
      </c>
      <c r="L65" s="14" t="n"/>
      <c r="M65" s="14" t="n"/>
      <c r="N65" s="14" t="n"/>
      <c r="O65" s="14" t="n"/>
      <c r="P65" s="14">
        <f>(VLOOKUP(B65,Data!$E:$BM,MATCH(yoy!$P$1,Data!$E$1:$BM$1,),)-VLOOKUP(A65,Data!$E:$BM,MATCH(yoy!$P$1,Data!$E$1:$BM$1,),))/VLOOKUP(A65,Data!$E:$BM,MATCH(yoy!$P$1,Data!$E$1:$BM$1,),)</f>
        <v/>
      </c>
      <c r="Q65" s="14">
        <f>(VLOOKUP(B65,Data!$E:$BM,MATCH(yoy!$Q$1,Data!$E$1:$BM$1,),)-VLOOKUP(A65,Data!$E:$BM,MATCH(yoy!$Q$1,Data!$E$1:$BM$1,),))/VLOOKUP(A65,Data!$E:$BM,MATCH(yoy!$Q$1,Data!$E$1:$BM$1,),)</f>
        <v/>
      </c>
      <c r="R65" s="14" t="n"/>
      <c r="S65" s="14">
        <f>(VLOOKUP(B65,Data!$E:$BM,MATCH(yoy!$S$1,Data!$E$1:$BM$1,),)-VLOOKUP(A65,Data!$E:$BM,MATCH(yoy!$S$1,Data!$E$1:$BM$1,),))/VLOOKUP(A65,Data!$E:$BM,MATCH(yoy!$S$1,Data!$E$1:$BM$1,),)</f>
        <v/>
      </c>
      <c r="T65" s="14" t="n"/>
      <c r="U65" s="14" t="n"/>
      <c r="V65" s="14">
        <f>(VLOOKUP(B65,Data!$E:$BM,MATCH(yoy!$V$1,Data!$E$1:$BM$1,),)-VLOOKUP(A65,Data!$E:$BM,MATCH(yoy!$V$1,Data!$E$1:$BM$1,),))/VLOOKUP(A65,Data!$E:$BM,MATCH(yoy!$V$1,Data!$E$1:$BM$1,),)</f>
        <v/>
      </c>
      <c r="W65" s="14" t="n"/>
      <c r="X65" s="14">
        <f>(VLOOKUP(B65,Data!$E:$BM,MATCH(yoy!$X$1,Data!$E$1:$BM$1,),)-VLOOKUP(A65,Data!$E:$BM,MATCH(yoy!$X$1,Data!$E$1:$BM$1,),))/VLOOKUP(A65,Data!$E:$BM,MATCH(yoy!$X$1,Data!$E$1:$BM$1,),)</f>
        <v/>
      </c>
      <c r="Y65" s="14" t="n"/>
      <c r="Z65" s="14">
        <f>(VLOOKUP(B65,Data!$E:$BM,MATCH(yoy!$Z$1,Data!$E$1:$BM$1,),)-VLOOKUP(A65,Data!$E:$BM,MATCH(yoy!$Z$1,Data!$E$1:$BM$1,),))/VLOOKUP(A65,Data!$E:$BM,MATCH(yoy!$Z$1,Data!$E$1:$BM$1,),)</f>
        <v/>
      </c>
      <c r="AA65" s="14" t="n"/>
    </row>
    <row r="66" customFormat="1" s="83">
      <c r="A66" s="20">
        <f>DATE(YEAR(B66)-1,MONTH(B66),DAY(B66))</f>
        <v/>
      </c>
      <c r="B66" s="12" t="n">
        <v>43862</v>
      </c>
      <c r="C66" s="14">
        <f>(VLOOKUP(B66,Data!$E:$BM,MATCH(yoy!$C$1,Data!$E$1:$BM$1,),)-VLOOKUP(A66,Data!$E:$BM,MATCH(yoy!$C$1,Data!$E$1:$BM$1,),))/VLOOKUP(A66,Data!$E:$BM,MATCH(yoy!$C$1,Data!$E$1:$BM$1,),)</f>
        <v/>
      </c>
      <c r="D66" s="14">
        <f>(VLOOKUP(B66,Data!$E:$BM,MATCH(yoy!$D$1,Data!$E$1:$BM$1,),)-VLOOKUP(A66,Data!$E:$BM,MATCH(yoy!$D$1,Data!$E$1:$BM$1,),))/VLOOKUP(A66,Data!$E:$BM,MATCH(yoy!$D$1,Data!$E$1:$BM$1,),)</f>
        <v/>
      </c>
      <c r="E66" s="14" t="n"/>
      <c r="F66" s="14">
        <f>(VLOOKUP(B66,Data!$E:$BM,MATCH(yoy!$F$1,Data!$E$1:$BM$1,),)-VLOOKUP(A66,Data!$E:$BM,MATCH(yoy!$F$1,Data!$E$1:$BM$1,),))/VLOOKUP(A66,Data!$E:$BM,MATCH(yoy!$F$1,Data!$E$1:$BM$1,),)</f>
        <v/>
      </c>
      <c r="G66" s="14">
        <f>(VLOOKUP(B66,Data!$E:$BM,MATCH(yoy!$G$1,Data!$E$1:$BM$1,),)-VLOOKUP(A66,Data!$E:$BM,MATCH(yoy!$G$1,Data!$E$1:$BM$1,),))/VLOOKUP(A66,Data!$E:$BM,MATCH(yoy!$G$1,Data!$E$1:$BM$1,),)</f>
        <v/>
      </c>
      <c r="H66" s="14">
        <f>(VLOOKUP(B66,Data!$E:$BM,MATCH(yoy!$H$1,Data!$E$1:$BM$1,),)-VLOOKUP(A66,Data!$E:$BM,MATCH(yoy!$H$1,Data!$E$1:$BM$1,),))/VLOOKUP(A66,Data!$E:$BM,MATCH(yoy!$H$1,Data!$E$1:$BM$1,),)</f>
        <v/>
      </c>
      <c r="I66" s="14" t="n"/>
      <c r="J66" s="14" t="n"/>
      <c r="K66" s="14">
        <f>(VLOOKUP(B66,Data!$E:$BM,MATCH(yoy!$K$1,Data!$E$1:$BM$1,),)-VLOOKUP(A66,Data!$E:$BM,MATCH(yoy!$K$1,Data!$E$1:$BM$1,),))/VLOOKUP(A66,Data!$E:$BM,MATCH(yoy!$K$1,Data!$E$1:$BM$1,),)</f>
        <v/>
      </c>
      <c r="L66" s="14" t="n"/>
      <c r="M66" s="14" t="n"/>
      <c r="N66" s="14" t="n"/>
      <c r="O66" s="14" t="n"/>
      <c r="P66" s="14">
        <f>(VLOOKUP(B66,Data!$E:$BM,MATCH(yoy!$P$1,Data!$E$1:$BM$1,),)-VLOOKUP(A66,Data!$E:$BM,MATCH(yoy!$P$1,Data!$E$1:$BM$1,),))/VLOOKUP(A66,Data!$E:$BM,MATCH(yoy!$P$1,Data!$E$1:$BM$1,),)</f>
        <v/>
      </c>
      <c r="Q66" s="14">
        <f>(VLOOKUP(B66,Data!$E:$BM,MATCH(yoy!$Q$1,Data!$E$1:$BM$1,),)-VLOOKUP(A66,Data!$E:$BM,MATCH(yoy!$Q$1,Data!$E$1:$BM$1,),))/VLOOKUP(A66,Data!$E:$BM,MATCH(yoy!$Q$1,Data!$E$1:$BM$1,),)</f>
        <v/>
      </c>
      <c r="R66" s="14" t="n"/>
      <c r="S66" s="14">
        <f>(VLOOKUP(B66,Data!$E:$BM,MATCH(yoy!$S$1,Data!$E$1:$BM$1,),)-VLOOKUP(A66,Data!$E:$BM,MATCH(yoy!$S$1,Data!$E$1:$BM$1,),))/VLOOKUP(A66,Data!$E:$BM,MATCH(yoy!$S$1,Data!$E$1:$BM$1,),)</f>
        <v/>
      </c>
      <c r="T66" s="14" t="n"/>
      <c r="U66" s="14" t="n"/>
      <c r="V66" s="14">
        <f>(VLOOKUP(B66,Data!$E:$BM,MATCH(yoy!$V$1,Data!$E$1:$BM$1,),)-VLOOKUP(A66,Data!$E:$BM,MATCH(yoy!$V$1,Data!$E$1:$BM$1,),))/VLOOKUP(A66,Data!$E:$BM,MATCH(yoy!$V$1,Data!$E$1:$BM$1,),)</f>
        <v/>
      </c>
      <c r="W66" s="14" t="n"/>
      <c r="X66" s="14">
        <f>(VLOOKUP(B66,Data!$E:$BM,MATCH(yoy!$X$1,Data!$E$1:$BM$1,),)-VLOOKUP(A66,Data!$E:$BM,MATCH(yoy!$X$1,Data!$E$1:$BM$1,),))/VLOOKUP(A66,Data!$E:$BM,MATCH(yoy!$X$1,Data!$E$1:$BM$1,),)</f>
        <v/>
      </c>
      <c r="Y66" s="14" t="n"/>
      <c r="Z66" s="14">
        <f>(VLOOKUP(B66,Data!$E:$BM,MATCH(yoy!$Z$1,Data!$E$1:$BM$1,),)-VLOOKUP(A66,Data!$E:$BM,MATCH(yoy!$Z$1,Data!$E$1:$BM$1,),))/VLOOKUP(A66,Data!$E:$BM,MATCH(yoy!$Z$1,Data!$E$1:$BM$1,),)</f>
        <v/>
      </c>
      <c r="AA66" s="14" t="n"/>
    </row>
    <row r="67" customFormat="1" s="83"/>
    <row r="68" customFormat="1" s="83"/>
    <row r="69" customFormat="1" s="83"/>
    <row r="70" customFormat="1" s="83"/>
    <row r="71" customFormat="1" s="83"/>
    <row r="72" customFormat="1" s="83"/>
    <row r="73" customFormat="1" s="83"/>
    <row r="74" customFormat="1" s="83"/>
    <row r="75" customFormat="1" s="83"/>
    <row r="76" customFormat="1" s="83"/>
    <row r="77" customFormat="1" s="83"/>
    <row r="78" customFormat="1" s="83"/>
    <row r="79" customFormat="1" s="83"/>
    <row r="80" customFormat="1" s="83"/>
    <row r="81" customFormat="1" s="83"/>
    <row r="82" customFormat="1" s="83"/>
    <row r="83" customFormat="1" s="83"/>
    <row r="84" customFormat="1" s="83"/>
    <row r="85" customFormat="1" s="83"/>
    <row r="86" customFormat="1" s="83"/>
    <row r="87" customFormat="1" s="83"/>
    <row r="88" customFormat="1" s="83"/>
    <row r="89" customFormat="1" s="83"/>
    <row r="90" customFormat="1" s="83"/>
    <row r="91" customFormat="1" s="83"/>
    <row r="92" customFormat="1" s="83"/>
    <row r="93" customFormat="1" s="83"/>
    <row r="94" customFormat="1" s="83"/>
    <row r="95" customFormat="1" s="83"/>
    <row r="96" customFormat="1" s="83"/>
    <row r="97" customFormat="1" s="83"/>
    <row r="98" customFormat="1" s="83"/>
    <row r="99" customFormat="1" s="83"/>
    <row r="100" customFormat="1" s="83"/>
    <row r="101" customFormat="1" s="83"/>
    <row r="102" customFormat="1" s="83"/>
    <row r="103" customFormat="1" s="83"/>
    <row r="104" customFormat="1" s="83"/>
    <row r="105" customFormat="1" s="83"/>
    <row r="106" customFormat="1" s="83"/>
    <row r="107" customFormat="1" s="83"/>
    <row r="108" customFormat="1" s="83"/>
    <row r="109" customFormat="1" s="83"/>
    <row r="110" customFormat="1" s="83"/>
    <row r="111" customFormat="1" s="83"/>
    <row r="112" customFormat="1" s="83"/>
    <row r="113" customFormat="1" s="83"/>
    <row r="114" customFormat="1" s="83"/>
    <row r="115" customFormat="1" s="83"/>
    <row r="116" customFormat="1" s="83"/>
    <row r="117" customFormat="1" s="83"/>
    <row r="118" customFormat="1" s="83"/>
    <row r="119" customFormat="1" s="83"/>
    <row r="120" customFormat="1" s="83"/>
    <row r="121" customFormat="1" s="83"/>
    <row r="122" customFormat="1" s="83"/>
    <row r="123" customFormat="1" s="83"/>
    <row r="124" customFormat="1" s="83"/>
    <row r="125" customFormat="1" s="83"/>
    <row r="126" customFormat="1" s="83"/>
    <row r="127" customFormat="1" s="83"/>
    <row r="128" customFormat="1" s="83"/>
    <row r="129" customFormat="1" s="83"/>
    <row r="130" customFormat="1" s="83"/>
    <row r="131" customFormat="1" s="83"/>
    <row r="132" customFormat="1" s="83"/>
    <row r="133" customFormat="1" s="83"/>
    <row r="134" customFormat="1" s="83"/>
    <row r="135" customFormat="1" s="83"/>
    <row r="136" customFormat="1" s="83"/>
    <row r="137" customFormat="1" s="83"/>
    <row r="138" customFormat="1" s="83"/>
    <row r="139" customFormat="1" s="83"/>
    <row r="140" customFormat="1" s="83"/>
    <row r="141" customFormat="1" s="83"/>
    <row r="142" customFormat="1" s="83"/>
    <row r="143" customFormat="1" s="83"/>
    <row r="144" customFormat="1" s="83"/>
    <row r="145" customFormat="1" s="83"/>
    <row r="146" customFormat="1" s="83"/>
    <row r="147" customFormat="1" s="83"/>
    <row r="148" customFormat="1" s="83"/>
    <row r="149" customFormat="1" s="83"/>
    <row r="150" customFormat="1" s="83"/>
    <row r="151" customFormat="1" s="83"/>
    <row r="152" customFormat="1" s="83"/>
    <row r="153" customFormat="1" s="83"/>
    <row r="154" customFormat="1" s="83"/>
    <row r="155" customFormat="1" s="83"/>
    <row r="156" customFormat="1" s="83"/>
    <row r="157" customFormat="1" s="83"/>
    <row r="158" customFormat="1" s="83"/>
    <row r="159" customFormat="1" s="83"/>
    <row r="160" customFormat="1" s="83"/>
    <row r="161" customFormat="1" s="83"/>
    <row r="162" customFormat="1" s="83"/>
    <row r="163" customFormat="1" s="83"/>
    <row r="164" customFormat="1" s="83"/>
    <row r="165" customFormat="1" s="83"/>
    <row r="166" customFormat="1" s="83"/>
    <row r="167" customFormat="1" s="83"/>
    <row r="168" customFormat="1" s="83"/>
    <row r="169" customFormat="1" s="83"/>
    <row r="170" customFormat="1" s="83"/>
    <row r="171" customFormat="1" s="83"/>
    <row r="172" customFormat="1" s="83"/>
    <row r="173" customFormat="1" s="83"/>
    <row r="174" customFormat="1" s="83"/>
    <row r="175" customFormat="1" s="83"/>
    <row r="176" customFormat="1" s="83"/>
    <row r="177" customFormat="1" s="83"/>
    <row r="178" customFormat="1" s="83"/>
    <row r="179" customFormat="1" s="83"/>
    <row r="180" customFormat="1" s="83"/>
    <row r="181" customFormat="1" s="83"/>
    <row r="182" customFormat="1" s="83"/>
    <row r="183" customFormat="1" s="83"/>
    <row r="184" customFormat="1" s="83"/>
    <row r="185" customFormat="1" s="83"/>
    <row r="186" customFormat="1" s="83"/>
    <row r="187" customFormat="1" s="83"/>
    <row r="188" customFormat="1" s="83"/>
    <row r="189" customFormat="1" s="83"/>
    <row r="190" customFormat="1" s="83"/>
    <row r="191" customFormat="1" s="83"/>
    <row r="192" customFormat="1" s="83"/>
    <row r="193" customFormat="1" s="83"/>
    <row r="194" customFormat="1" s="83"/>
    <row r="195" customFormat="1" s="83"/>
    <row r="196" customFormat="1" s="83"/>
    <row r="197" customFormat="1" s="83"/>
    <row r="198" customFormat="1" s="83"/>
    <row r="199" customFormat="1" s="83"/>
    <row r="200" customFormat="1" s="83"/>
    <row r="201" customFormat="1" s="83"/>
    <row r="202" customFormat="1" s="83"/>
    <row r="203" customFormat="1" s="83"/>
    <row r="204" customFormat="1" s="83"/>
    <row r="205" customFormat="1" s="83"/>
    <row r="206" customFormat="1" s="83"/>
    <row r="207" customFormat="1" s="83"/>
    <row r="208" customFormat="1" s="83"/>
    <row r="209" customFormat="1" s="83"/>
    <row r="210" customFormat="1" s="83"/>
    <row r="211" customFormat="1" s="83"/>
    <row r="212" customFormat="1" s="83"/>
    <row r="213" customFormat="1" s="83"/>
    <row r="214" customFormat="1" s="83"/>
    <row r="215" customFormat="1" s="83"/>
    <row r="216" customFormat="1" s="83"/>
    <row r="217" customFormat="1" s="83"/>
    <row r="218" customFormat="1" s="83"/>
    <row r="219" customFormat="1" s="83"/>
    <row r="220" customFormat="1" s="83"/>
    <row r="221" customFormat="1" s="83"/>
    <row r="222" customFormat="1" s="83"/>
    <row r="223" customFormat="1" s="83"/>
    <row r="224" customFormat="1" s="83"/>
    <row r="225" customFormat="1" s="83"/>
    <row r="226" customFormat="1" s="83"/>
    <row r="227" customFormat="1" s="83"/>
    <row r="228" customFormat="1" s="83"/>
    <row r="229" customFormat="1" s="83"/>
    <row r="230" customFormat="1" s="83"/>
    <row r="231" customFormat="1" s="83"/>
    <row r="232" customFormat="1" s="83"/>
    <row r="233" customFormat="1" s="83"/>
    <row r="234" customFormat="1" s="83"/>
    <row r="235" customFormat="1" s="83"/>
    <row r="236" customFormat="1" s="83"/>
    <row r="237" customFormat="1" s="83"/>
    <row r="238" customFormat="1" s="83"/>
    <row r="239" customFormat="1" s="83"/>
    <row r="240" customFormat="1" s="83"/>
    <row r="241" customFormat="1" s="83"/>
    <row r="242" customFormat="1" s="83"/>
    <row r="243" customFormat="1" s="83"/>
    <row r="244" customFormat="1" s="83"/>
    <row r="245" customFormat="1" s="83"/>
    <row r="246" customFormat="1" s="83"/>
    <row r="247" customFormat="1" s="83"/>
    <row r="248" customFormat="1" s="83"/>
    <row r="249" customFormat="1" s="83"/>
    <row r="250" customFormat="1" s="83"/>
    <row r="251" customFormat="1" s="83"/>
    <row r="252" customFormat="1" s="83"/>
    <row r="253" customFormat="1" s="83"/>
    <row r="254" customFormat="1" s="83"/>
    <row r="255" customFormat="1" s="83"/>
    <row r="256" customFormat="1" s="83"/>
    <row r="257" customFormat="1" s="83"/>
    <row r="258" customFormat="1" s="83"/>
    <row r="259" customFormat="1" s="83"/>
    <row r="260" customFormat="1" s="83"/>
    <row r="261" customFormat="1" s="83"/>
    <row r="262" customFormat="1" s="83"/>
    <row r="263" customFormat="1" s="83"/>
    <row r="264" customFormat="1" s="83"/>
    <row r="265" customFormat="1" s="83"/>
    <row r="266" customFormat="1" s="83"/>
    <row r="267" customFormat="1" s="83"/>
    <row r="268" customFormat="1" s="83"/>
    <row r="269" customFormat="1" s="83"/>
    <row r="270" customFormat="1" s="83"/>
    <row r="271" customFormat="1" s="83"/>
    <row r="272" customFormat="1" s="83"/>
    <row r="273" customFormat="1" s="83"/>
    <row r="274" customFormat="1" s="83"/>
    <row r="275" customFormat="1" s="83"/>
    <row r="276" customFormat="1" s="83"/>
    <row r="277" customFormat="1" s="83"/>
    <row r="278" customFormat="1" s="83"/>
    <row r="279" customFormat="1" s="83"/>
    <row r="280" customFormat="1" s="83"/>
    <row r="281" customFormat="1" s="83"/>
    <row r="282" customFormat="1" s="83"/>
    <row r="283" customFormat="1" s="83"/>
    <row r="284" customFormat="1" s="83"/>
    <row r="285" customFormat="1" s="83"/>
    <row r="286" customFormat="1" s="83"/>
    <row r="287" customFormat="1" s="83"/>
    <row r="288" customFormat="1" s="83"/>
    <row r="289" customFormat="1" s="83"/>
    <row r="290" customFormat="1" s="83"/>
    <row r="291" customFormat="1" s="83"/>
    <row r="292" customFormat="1" s="83"/>
    <row r="293" customFormat="1" s="83"/>
    <row r="294" customFormat="1" s="83"/>
    <row r="295" customFormat="1" s="83"/>
    <row r="296" customFormat="1" s="83"/>
    <row r="297" customFormat="1" s="83"/>
    <row r="298" customFormat="1" s="83"/>
    <row r="299" customFormat="1" s="83"/>
    <row r="300" customFormat="1" s="83"/>
    <row r="301" customFormat="1" s="83"/>
    <row r="302" customFormat="1" s="83"/>
    <row r="303" customFormat="1" s="83"/>
    <row r="304" customFormat="1" s="83"/>
    <row r="305" customFormat="1" s="83"/>
    <row r="306" customFormat="1" s="83"/>
    <row r="307" customFormat="1" s="83"/>
    <row r="308" customFormat="1" s="83"/>
    <row r="309" customFormat="1" s="83"/>
    <row r="310" customFormat="1" s="83"/>
    <row r="311" customFormat="1" s="83"/>
    <row r="312" customFormat="1" s="83"/>
    <row r="313" customFormat="1" s="83"/>
    <row r="314" customFormat="1" s="83"/>
    <row r="315" customFormat="1" s="83"/>
    <row r="316" customFormat="1" s="83"/>
    <row r="317" customFormat="1" s="83"/>
    <row r="318" customFormat="1" s="83"/>
    <row r="319" customFormat="1" s="83"/>
    <row r="320" customFormat="1" s="83"/>
    <row r="321" customFormat="1" s="83"/>
    <row r="322" customFormat="1" s="83"/>
    <row r="323" customFormat="1" s="83"/>
    <row r="324" customFormat="1" s="83"/>
    <row r="325" customFormat="1" s="83"/>
    <row r="326" customFormat="1" s="83"/>
    <row r="327" customFormat="1" s="83"/>
    <row r="328" customFormat="1" s="83"/>
    <row r="329" customFormat="1" s="83"/>
    <row r="330" customFormat="1" s="83"/>
    <row r="331" customFormat="1" s="83"/>
    <row r="332" customFormat="1" s="83"/>
    <row r="333" customFormat="1" s="83"/>
    <row r="334" customFormat="1" s="83"/>
    <row r="335" customFormat="1" s="83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66"/>
  <sheetViews>
    <sheetView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W49" sqref="W49"/>
    </sheetView>
  </sheetViews>
  <sheetFormatPr baseColWidth="10" defaultColWidth="8.83203125" defaultRowHeight="15"/>
  <cols>
    <col width="10.6640625" bestFit="1" customWidth="1" style="83" min="1" max="1"/>
    <col width="13.6640625" customWidth="1" style="77" min="2" max="2"/>
    <col width="6.1640625" customWidth="1" style="77" min="3" max="22"/>
    <col width="5.6640625" customWidth="1" style="77" min="23" max="23"/>
    <col width="6.1640625" customWidth="1" style="77" min="24" max="27"/>
    <col width="9.1640625" customWidth="1" style="83" min="28" max="28"/>
    <col width="12.33203125" customWidth="1" style="83" min="29" max="29"/>
    <col width="9.1640625" customWidth="1" style="83" min="30" max="30"/>
    <col width="10.6640625" customWidth="1" style="83" min="31" max="31"/>
    <col width="10.6640625" bestFit="1" customWidth="1" style="83" min="32" max="32"/>
    <col width="9.1640625" customWidth="1" style="83" min="33" max="73"/>
  </cols>
  <sheetData>
    <row r="1" customFormat="1" s="83">
      <c r="C1" s="83" t="inlineStr">
        <is>
          <t>OECD</t>
        </is>
      </c>
      <c r="D1" s="83" t="inlineStr">
        <is>
          <t>USA</t>
        </is>
      </c>
      <c r="E1" s="83" t="inlineStr">
        <is>
          <t>CHN</t>
        </is>
      </c>
      <c r="F1" s="83" t="inlineStr">
        <is>
          <t>EA19</t>
        </is>
      </c>
      <c r="G1" s="83" t="inlineStr">
        <is>
          <t>JPN</t>
        </is>
      </c>
      <c r="H1" s="83" t="inlineStr">
        <is>
          <t>GBR</t>
        </is>
      </c>
      <c r="I1" s="83" t="inlineStr">
        <is>
          <t>CHE</t>
        </is>
      </c>
      <c r="J1" s="83" t="inlineStr">
        <is>
          <t>SWE</t>
        </is>
      </c>
      <c r="K1" s="83" t="inlineStr">
        <is>
          <t>NOR</t>
        </is>
      </c>
      <c r="L1" s="83" t="inlineStr">
        <is>
          <t>BRA</t>
        </is>
      </c>
      <c r="M1" s="83" t="inlineStr">
        <is>
          <t>MEX</t>
        </is>
      </c>
      <c r="N1" s="83" t="inlineStr">
        <is>
          <t>RUS</t>
        </is>
      </c>
      <c r="O1" s="83" t="inlineStr">
        <is>
          <t>IND</t>
        </is>
      </c>
      <c r="P1" s="83" t="inlineStr">
        <is>
          <t>CAN</t>
        </is>
      </c>
      <c r="Q1" s="83" t="inlineStr">
        <is>
          <t>AUS</t>
        </is>
      </c>
      <c r="R1" s="83" t="inlineStr">
        <is>
          <t>IDN</t>
        </is>
      </c>
      <c r="S1" s="83" t="inlineStr">
        <is>
          <t>KOR</t>
        </is>
      </c>
      <c r="T1" s="83" t="inlineStr">
        <is>
          <t>CHL</t>
        </is>
      </c>
      <c r="U1" s="83" t="inlineStr">
        <is>
          <t>DNK</t>
        </is>
      </c>
      <c r="V1" s="83" t="inlineStr">
        <is>
          <t>ISR</t>
        </is>
      </c>
      <c r="W1" s="83" t="inlineStr">
        <is>
          <t>TUR</t>
        </is>
      </c>
      <c r="X1" s="83" t="inlineStr">
        <is>
          <t>ZAF</t>
        </is>
      </c>
      <c r="Y1" s="83" t="inlineStr">
        <is>
          <t>NZL</t>
        </is>
      </c>
      <c r="Z1" s="83" t="inlineStr">
        <is>
          <t>CZE</t>
        </is>
      </c>
      <c r="AA1" s="83" t="inlineStr">
        <is>
          <t>POL</t>
        </is>
      </c>
      <c r="AI1" s="83" t="inlineStr">
        <is>
          <t>modify max/min/avg</t>
        </is>
      </c>
    </row>
    <row r="2" ht="90" customHeight="1" s="7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83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7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7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7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7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7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7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7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7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7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7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7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7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7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(((VLOOKUP(B20,Data!$E:$BM,MATCH(yoy!$C$1,Data!$E$1:$BM$1,),)-VLOOKUP(A20,Data!$E:$BM,MATCH(yoy!$C$1,Data!$E$1:$BM$1,),))/VLOOKUP(A20,Data!$E:$BM,MATCH(yoy!$C$1,Data!$E$1:$BM$1,),))+1)^12-1</f>
        <v/>
      </c>
      <c r="D20" s="14">
        <f>(((VLOOKUP(B20,Data!$E:$BM,MATCH(yoy!$D$1,Data!$E$1:$BM$1,),)-VLOOKUP(A20,Data!$E:$BM,MATCH(yoy!$D$1,Data!$E$1:$BM$1,),))/VLOOKUP(A20,Data!$E:$BM,MATCH(yoy!$D$1,Data!$E$1:$BM$1,),))+1)^12-1</f>
        <v/>
      </c>
      <c r="E20" s="14">
        <f>(((VLOOKUP(B20,Data!$E:$BM,MATCH(yoy!$E$1,Data!$E$1:$BM$1,),)-VLOOKUP(A20,Data!$E:$BM,MATCH(yoy!$E$1,Data!$E$1:$BM$1,),))/VLOOKUP(A20,Data!$E:$BM,MATCH(yoy!$E$1,Data!$E$1:$BM$1,),))+1)^12-1</f>
        <v/>
      </c>
      <c r="F20" s="14">
        <f>(((VLOOKUP(B20,Data!$E:$BM,MATCH(yoy!$F$1,Data!$E$1:$BM$1,),)-VLOOKUP(A20,Data!$E:$BM,MATCH(yoy!$F$1,Data!$E$1:$BM$1,),))/VLOOKUP(A20,Data!$E:$BM,MATCH(yoy!$F$1,Data!$E$1:$BM$1,),))+1)^12-1</f>
        <v/>
      </c>
      <c r="G20" s="14">
        <f>(((VLOOKUP(B20,Data!$E:$BM,MATCH(yoy!$G$1,Data!$E$1:$BM$1,),)-VLOOKUP(A20,Data!$E:$BM,MATCH(yoy!$G$1,Data!$E$1:$BM$1,),))/VLOOKUP(A20,Data!$E:$BM,MATCH(yoy!$G$1,Data!$E$1:$BM$1,),))+1)^12-1</f>
        <v/>
      </c>
      <c r="H20" s="14">
        <f>(((VLOOKUP(B20,Data!$E:$BM,MATCH(yoy!$H$1,Data!$E$1:$BM$1,),)-VLOOKUP(A20,Data!$E:$BM,MATCH(yoy!$H$1,Data!$E$1:$BM$1,),))/VLOOKUP(A20,Data!$E:$BM,MATCH(yoy!$H$1,Data!$E$1:$BM$1,),))+1)^12-1</f>
        <v/>
      </c>
      <c r="I20" s="14">
        <f>(((VLOOKUP(B20,Data!$E:$BM,MATCH(yoy!$I$1,Data!$E$1:$BM$1,),)-VLOOKUP(A20,Data!$E:$BM,MATCH(yoy!$I$1,Data!$E$1:$BM$1,),))/VLOOKUP(A20,Data!$E:$BM,MATCH(yoy!$I$1,Data!$E$1:$BM$1,),))+1)^12-1</f>
        <v/>
      </c>
      <c r="J20" s="14">
        <f>(((VLOOKUP(B20,Data!$E:$BM,MATCH(yoy!$J$1,Data!$E$1:$BM$1,),)-VLOOKUP(A20,Data!$E:$BM,MATCH(yoy!$J$1,Data!$E$1:$BM$1,),))/VLOOKUP(A20,Data!$E:$BM,MATCH(yoy!$J$1,Data!$E$1:$BM$1,),))+1)^12-1</f>
        <v/>
      </c>
      <c r="K20" s="14">
        <f>(((VLOOKUP(B20,Data!$E:$BM,MATCH(yoy!$K$1,Data!$E$1:$BM$1,),)-VLOOKUP(A20,Data!$E:$BM,MATCH(yoy!$K$1,Data!$E$1:$BM$1,),))/VLOOKUP(A20,Data!$E:$BM,MATCH(yoy!$K$1,Data!$E$1:$BM$1,),))+1)^12-1</f>
        <v/>
      </c>
      <c r="L20" s="14">
        <f>(((VLOOKUP(B20,Data!$E:$BM,MATCH(yoy!$L$1,Data!$E$1:$BM$1,),)-VLOOKUP(A20,Data!$E:$BM,MATCH(yoy!$L$1,Data!$E$1:$BM$1,),))/VLOOKUP(A20,Data!$E:$BM,MATCH(yoy!$L$1,Data!$E$1:$BM$1,),))+1)^12-1</f>
        <v/>
      </c>
      <c r="M20" s="14">
        <f>(((VLOOKUP(B20,Data!$E:$BM,MATCH(yoy!$M$1,Data!$E$1:$BM$1,),)-VLOOKUP(A20,Data!$E:$BM,MATCH(yoy!$M$1,Data!$E$1:$BM$1,),))/VLOOKUP(A20,Data!$E:$BM,MATCH(yoy!$M$1,Data!$E$1:$BM$1,),))+1)^12-1</f>
        <v/>
      </c>
      <c r="N20" s="14">
        <f>(((VLOOKUP(B20,Data!$E:$BM,MATCH(yoy!$N$1,Data!$E$1:$BM$1,),)-VLOOKUP(A20,Data!$E:$BM,MATCH(yoy!$N$1,Data!$E$1:$BM$1,),))/VLOOKUP(A20,Data!$E:$BM,MATCH(yoy!$N$1,Data!$E$1:$BM$1,),))+1)^12-1</f>
        <v/>
      </c>
      <c r="O20" s="14">
        <f>(((VLOOKUP(B20,Data!$E:$BM,MATCH(yoy!$O$1,Data!$E$1:$BM$1,),)-VLOOKUP(A20,Data!$E:$BM,MATCH(yoy!$O$1,Data!$E$1:$BM$1,),))/VLOOKUP(A20,Data!$E:$BM,MATCH(yoy!$O$1,Data!$E$1:$BM$1,),))+1)^12-1</f>
        <v/>
      </c>
      <c r="P20" s="14">
        <f>(((VLOOKUP(B20,Data!$E:$BM,MATCH(yoy!$P$1,Data!$E$1:$BM$1,),)-VLOOKUP(A20,Data!$E:$BM,MATCH(yoy!$P$1,Data!$E$1:$BM$1,),))/VLOOKUP(A20,Data!$E:$BM,MATCH(yoy!$P$1,Data!$E$1:$BM$1,),))+1)^12-1</f>
        <v/>
      </c>
      <c r="Q20" s="14">
        <f>(((VLOOKUP(B20,Data!$E:$BM,MATCH(yoy!$Q$1,Data!$E$1:$BM$1,),)-VLOOKUP(A20,Data!$E:$BM,MATCH(yoy!$Q$1,Data!$E$1:$BM$1,),))/VLOOKUP(A20,Data!$E:$BM,MATCH(yoy!$Q$1,Data!$E$1:$BM$1,),))+1)^12-1</f>
        <v/>
      </c>
      <c r="R20" s="14">
        <f>(((VLOOKUP(B20,Data!$E:$BM,MATCH(yoy!$R$1,Data!$E$1:$BM$1,),)-VLOOKUP(A20,Data!$E:$BM,MATCH(yoy!$R$1,Data!$E$1:$BM$1,),))/VLOOKUP(A20,Data!$E:$BM,MATCH(yoy!$R$1,Data!$E$1:$BM$1,),))+1)^12-1</f>
        <v/>
      </c>
      <c r="S20" s="14">
        <f>(((VLOOKUP(B20,Data!$E:$BM,MATCH(yoy!$S$1,Data!$E$1:$BM$1,),)-VLOOKUP(A20,Data!$E:$BM,MATCH(yoy!$S$1,Data!$E$1:$BM$1,),))/VLOOKUP(A20,Data!$E:$BM,MATCH(yoy!$S$1,Data!$E$1:$BM$1,),))+1)^12-1</f>
        <v/>
      </c>
      <c r="T20" s="14">
        <f>(((VLOOKUP(B20,Data!$E:$BM,MATCH(yoy!$T$1,Data!$E$1:$BM$1,),)-VLOOKUP(A20,Data!$E:$BM,MATCH(yoy!$T$1,Data!$E$1:$BM$1,),))/VLOOKUP(A20,Data!$E:$BM,MATCH(yoy!$T$1,Data!$E$1:$BM$1,),))+1)^12-1</f>
        <v/>
      </c>
      <c r="U20" s="14">
        <f>(((VLOOKUP(B20,Data!$E:$BM,MATCH(yoy!$U$1,Data!$E$1:$BM$1,),)-VLOOKUP(A20,Data!$E:$BM,MATCH(yoy!$U$1,Data!$E$1:$BM$1,),))/VLOOKUP(A20,Data!$E:$BM,MATCH(yoy!$U$1,Data!$E$1:$BM$1,),))+1)^12-1</f>
        <v/>
      </c>
      <c r="V20" s="14">
        <f>(((VLOOKUP(B20,Data!$E:$BM,MATCH(yoy!$V$1,Data!$E$1:$BM$1,),)-VLOOKUP(A20,Data!$E:$BM,MATCH(yoy!$V$1,Data!$E$1:$BM$1,),))/VLOOKUP(A20,Data!$E:$BM,MATCH(yoy!$V$1,Data!$E$1:$BM$1,),))+1)^12-1</f>
        <v/>
      </c>
      <c r="W20" s="14">
        <f>(((VLOOKUP(B20,Data!$E:$BM,MATCH(yoy!$W$1,Data!$E$1:$BM$1,),)-VLOOKUP(A20,Data!$E:$BM,MATCH(yoy!$W$1,Data!$E$1:$BM$1,),))/VLOOKUP(A20,Data!$E:$BM,MATCH(yoy!$W$1,Data!$E$1:$BM$1,),))+1)^12-1</f>
        <v/>
      </c>
      <c r="X20" s="14">
        <f>(((VLOOKUP(B20,Data!$E:$BM,MATCH(yoy!$X$1,Data!$E$1:$BM$1,),)-VLOOKUP(A20,Data!$E:$BM,MATCH(yoy!$X$1,Data!$E$1:$BM$1,),))/VLOOKUP(A20,Data!$E:$BM,MATCH(yoy!$X$1,Data!$E$1:$BM$1,),))+1)^12-1</f>
        <v/>
      </c>
      <c r="Y20" s="14">
        <f>(((VLOOKUP(B20,Data!$E:$BM,MATCH(yoy!$Y$1,Data!$E$1:$BM$1,),)-VLOOKUP(A20,Data!$E:$BM,MATCH(yoy!$Y$1,Data!$E$1:$BM$1,),))/VLOOKUP(A20,Data!$E:$BM,MATCH(yoy!$Y$1,Data!$E$1:$BM$1,),))+1)^12-1</f>
        <v/>
      </c>
      <c r="Z20" s="14">
        <f>(((VLOOKUP(B20,Data!$E:$BM,MATCH(yoy!$Z$1,Data!$E$1:$BM$1,),)-VLOOKUP(A20,Data!$E:$BM,MATCH(yoy!$Z$1,Data!$E$1:$BM$1,),))/VLOOKUP(A20,Data!$E:$BM,MATCH(yoy!$Z$1,Data!$E$1:$BM$1,),))+1)^12-1</f>
        <v/>
      </c>
      <c r="AA20" s="14">
        <f>(((VLOOKUP(B20,Data!$E:$BM,MATCH(yoy!$AA$1,Data!$E$1:$BM$1,),)-VLOOKUP(A20,Data!$E:$BM,MATCH(yoy!$AA$1,Data!$E$1:$BM$1,),))/VLOOKUP(A20,Data!$E:$BM,MATCH(yoy!$AA$1,Data!$E$1:$BM$1,),))+1)^12-1</f>
        <v/>
      </c>
    </row>
    <row r="21">
      <c r="A21" s="20">
        <f>DATE(YEAR(B21),MONTH(B21)-1,DAY(B21))</f>
        <v/>
      </c>
      <c r="B21" s="12" t="n">
        <v>42491</v>
      </c>
      <c r="C21" s="14">
        <f>(((VLOOKUP(B21,Data!$E:$BM,MATCH(yoy!$C$1,Data!$E$1:$BM$1,),)-VLOOKUP(A21,Data!$E:$BM,MATCH(yoy!$C$1,Data!$E$1:$BM$1,),))/VLOOKUP(A21,Data!$E:$BM,MATCH(yoy!$C$1,Data!$E$1:$BM$1,),))+1)^12-1</f>
        <v/>
      </c>
      <c r="D21" s="14">
        <f>(((VLOOKUP(B21,Data!$E:$BM,MATCH(yoy!$D$1,Data!$E$1:$BM$1,),)-VLOOKUP(A21,Data!$E:$BM,MATCH(yoy!$D$1,Data!$E$1:$BM$1,),))/VLOOKUP(A21,Data!$E:$BM,MATCH(yoy!$D$1,Data!$E$1:$BM$1,),))+1)^12-1</f>
        <v/>
      </c>
      <c r="E21" s="14">
        <f>(((VLOOKUP(B21,Data!$E:$BM,MATCH(yoy!$E$1,Data!$E$1:$BM$1,),)-VLOOKUP(A21,Data!$E:$BM,MATCH(yoy!$E$1,Data!$E$1:$BM$1,),))/VLOOKUP(A21,Data!$E:$BM,MATCH(yoy!$E$1,Data!$E$1:$BM$1,),))+1)^12-1</f>
        <v/>
      </c>
      <c r="F21" s="14">
        <f>(((VLOOKUP(B21,Data!$E:$BM,MATCH(yoy!$F$1,Data!$E$1:$BM$1,),)-VLOOKUP(A21,Data!$E:$BM,MATCH(yoy!$F$1,Data!$E$1:$BM$1,),))/VLOOKUP(A21,Data!$E:$BM,MATCH(yoy!$F$1,Data!$E$1:$BM$1,),))+1)^12-1</f>
        <v/>
      </c>
      <c r="G21" s="14">
        <f>(((VLOOKUP(B21,Data!$E:$BM,MATCH(yoy!$G$1,Data!$E$1:$BM$1,),)-VLOOKUP(A21,Data!$E:$BM,MATCH(yoy!$G$1,Data!$E$1:$BM$1,),))/VLOOKUP(A21,Data!$E:$BM,MATCH(yoy!$G$1,Data!$E$1:$BM$1,),))+1)^12-1</f>
        <v/>
      </c>
      <c r="H21" s="14">
        <f>(((VLOOKUP(B21,Data!$E:$BM,MATCH(yoy!$H$1,Data!$E$1:$BM$1,),)-VLOOKUP(A21,Data!$E:$BM,MATCH(yoy!$H$1,Data!$E$1:$BM$1,),))/VLOOKUP(A21,Data!$E:$BM,MATCH(yoy!$H$1,Data!$E$1:$BM$1,),))+1)^12-1</f>
        <v/>
      </c>
      <c r="I21" s="14">
        <f>(((VLOOKUP(B21,Data!$E:$BM,MATCH(yoy!$I$1,Data!$E$1:$BM$1,),)-VLOOKUP(A21,Data!$E:$BM,MATCH(yoy!$I$1,Data!$E$1:$BM$1,),))/VLOOKUP(A21,Data!$E:$BM,MATCH(yoy!$I$1,Data!$E$1:$BM$1,),))+1)^12-1</f>
        <v/>
      </c>
      <c r="J21" s="14">
        <f>(((VLOOKUP(B21,Data!$E:$BM,MATCH(yoy!$J$1,Data!$E$1:$BM$1,),)-VLOOKUP(A21,Data!$E:$BM,MATCH(yoy!$J$1,Data!$E$1:$BM$1,),))/VLOOKUP(A21,Data!$E:$BM,MATCH(yoy!$J$1,Data!$E$1:$BM$1,),))+1)^12-1</f>
        <v/>
      </c>
      <c r="K21" s="14">
        <f>(((VLOOKUP(B21,Data!$E:$BM,MATCH(yoy!$K$1,Data!$E$1:$BM$1,),)-VLOOKUP(A21,Data!$E:$BM,MATCH(yoy!$K$1,Data!$E$1:$BM$1,),))/VLOOKUP(A21,Data!$E:$BM,MATCH(yoy!$K$1,Data!$E$1:$BM$1,),))+1)^12-1</f>
        <v/>
      </c>
      <c r="L21" s="14">
        <f>(((VLOOKUP(B21,Data!$E:$BM,MATCH(yoy!$L$1,Data!$E$1:$BM$1,),)-VLOOKUP(A21,Data!$E:$BM,MATCH(yoy!$L$1,Data!$E$1:$BM$1,),))/VLOOKUP(A21,Data!$E:$BM,MATCH(yoy!$L$1,Data!$E$1:$BM$1,),))+1)^12-1</f>
        <v/>
      </c>
      <c r="M21" s="14">
        <f>(((VLOOKUP(B21,Data!$E:$BM,MATCH(yoy!$M$1,Data!$E$1:$BM$1,),)-VLOOKUP(A21,Data!$E:$BM,MATCH(yoy!$M$1,Data!$E$1:$BM$1,),))/VLOOKUP(A21,Data!$E:$BM,MATCH(yoy!$M$1,Data!$E$1:$BM$1,),))+1)^12-1</f>
        <v/>
      </c>
      <c r="N21" s="14">
        <f>(((VLOOKUP(B21,Data!$E:$BM,MATCH(yoy!$N$1,Data!$E$1:$BM$1,),)-VLOOKUP(A21,Data!$E:$BM,MATCH(yoy!$N$1,Data!$E$1:$BM$1,),))/VLOOKUP(A21,Data!$E:$BM,MATCH(yoy!$N$1,Data!$E$1:$BM$1,),))+1)^12-1</f>
        <v/>
      </c>
      <c r="O21" s="14">
        <f>(((VLOOKUP(B21,Data!$E:$BM,MATCH(yoy!$O$1,Data!$E$1:$BM$1,),)-VLOOKUP(A21,Data!$E:$BM,MATCH(yoy!$O$1,Data!$E$1:$BM$1,),))/VLOOKUP(A21,Data!$E:$BM,MATCH(yoy!$O$1,Data!$E$1:$BM$1,),))+1)^12-1</f>
        <v/>
      </c>
      <c r="P21" s="14">
        <f>(((VLOOKUP(B21,Data!$E:$BM,MATCH(yoy!$P$1,Data!$E$1:$BM$1,),)-VLOOKUP(A21,Data!$E:$BM,MATCH(yoy!$P$1,Data!$E$1:$BM$1,),))/VLOOKUP(A21,Data!$E:$BM,MATCH(yoy!$P$1,Data!$E$1:$BM$1,),))+1)^12-1</f>
        <v/>
      </c>
      <c r="Q21" s="14">
        <f>(((VLOOKUP(B21,Data!$E:$BM,MATCH(yoy!$Q$1,Data!$E$1:$BM$1,),)-VLOOKUP(A21,Data!$E:$BM,MATCH(yoy!$Q$1,Data!$E$1:$BM$1,),))/VLOOKUP(A21,Data!$E:$BM,MATCH(yoy!$Q$1,Data!$E$1:$BM$1,),))+1)^12-1</f>
        <v/>
      </c>
      <c r="R21" s="14">
        <f>(((VLOOKUP(B21,Data!$E:$BM,MATCH(yoy!$R$1,Data!$E$1:$BM$1,),)-VLOOKUP(A21,Data!$E:$BM,MATCH(yoy!$R$1,Data!$E$1:$BM$1,),))/VLOOKUP(A21,Data!$E:$BM,MATCH(yoy!$R$1,Data!$E$1:$BM$1,),))+1)^12-1</f>
        <v/>
      </c>
      <c r="S21" s="14">
        <f>(((VLOOKUP(B21,Data!$E:$BM,MATCH(yoy!$S$1,Data!$E$1:$BM$1,),)-VLOOKUP(A21,Data!$E:$BM,MATCH(yoy!$S$1,Data!$E$1:$BM$1,),))/VLOOKUP(A21,Data!$E:$BM,MATCH(yoy!$S$1,Data!$E$1:$BM$1,),))+1)^12-1</f>
        <v/>
      </c>
      <c r="T21" s="14">
        <f>(((VLOOKUP(B21,Data!$E:$BM,MATCH(yoy!$T$1,Data!$E$1:$BM$1,),)-VLOOKUP(A21,Data!$E:$BM,MATCH(yoy!$T$1,Data!$E$1:$BM$1,),))/VLOOKUP(A21,Data!$E:$BM,MATCH(yoy!$T$1,Data!$E$1:$BM$1,),))+1)^12-1</f>
        <v/>
      </c>
      <c r="U21" s="14">
        <f>(((VLOOKUP(B21,Data!$E:$BM,MATCH(yoy!$U$1,Data!$E$1:$BM$1,),)-VLOOKUP(A21,Data!$E:$BM,MATCH(yoy!$U$1,Data!$E$1:$BM$1,),))/VLOOKUP(A21,Data!$E:$BM,MATCH(yoy!$U$1,Data!$E$1:$BM$1,),))+1)^12-1</f>
        <v/>
      </c>
      <c r="V21" s="14">
        <f>(((VLOOKUP(B21,Data!$E:$BM,MATCH(yoy!$V$1,Data!$E$1:$BM$1,),)-VLOOKUP(A21,Data!$E:$BM,MATCH(yoy!$V$1,Data!$E$1:$BM$1,),))/VLOOKUP(A21,Data!$E:$BM,MATCH(yoy!$V$1,Data!$E$1:$BM$1,),))+1)^12-1</f>
        <v/>
      </c>
      <c r="W21" s="14">
        <f>(((VLOOKUP(B21,Data!$E:$BM,MATCH(yoy!$W$1,Data!$E$1:$BM$1,),)-VLOOKUP(A21,Data!$E:$BM,MATCH(yoy!$W$1,Data!$E$1:$BM$1,),))/VLOOKUP(A21,Data!$E:$BM,MATCH(yoy!$W$1,Data!$E$1:$BM$1,),))+1)^12-1</f>
        <v/>
      </c>
      <c r="X21" s="14">
        <f>(((VLOOKUP(B21,Data!$E:$BM,MATCH(yoy!$X$1,Data!$E$1:$BM$1,),)-VLOOKUP(A21,Data!$E:$BM,MATCH(yoy!$X$1,Data!$E$1:$BM$1,),))/VLOOKUP(A21,Data!$E:$BM,MATCH(yoy!$X$1,Data!$E$1:$BM$1,),))+1)^12-1</f>
        <v/>
      </c>
      <c r="Y21" s="14">
        <f>(((VLOOKUP(B21,Data!$E:$BM,MATCH(yoy!$Y$1,Data!$E$1:$BM$1,),)-VLOOKUP(A21,Data!$E:$BM,MATCH(yoy!$Y$1,Data!$E$1:$BM$1,),))/VLOOKUP(A21,Data!$E:$BM,MATCH(yoy!$Y$1,Data!$E$1:$BM$1,),))+1)^12-1</f>
        <v/>
      </c>
      <c r="Z21" s="14">
        <f>(((VLOOKUP(B21,Data!$E:$BM,MATCH(yoy!$Z$1,Data!$E$1:$BM$1,),)-VLOOKUP(A21,Data!$E:$BM,MATCH(yoy!$Z$1,Data!$E$1:$BM$1,),))/VLOOKUP(A21,Data!$E:$BM,MATCH(yoy!$Z$1,Data!$E$1:$BM$1,),))+1)^12-1</f>
        <v/>
      </c>
      <c r="AA21" s="14">
        <f>(((VLOOKUP(B21,Data!$E:$BM,MATCH(yoy!$AA$1,Data!$E$1:$BM$1,),)-VLOOKUP(A21,Data!$E:$BM,MATCH(yoy!$AA$1,Data!$E$1:$BM$1,),))/VLOOKUP(A21,Data!$E:$BM,MATCH(yoy!$AA$1,Data!$E$1:$BM$1,),))+1)^12-1</f>
        <v/>
      </c>
    </row>
    <row r="22">
      <c r="A22" s="20">
        <f>DATE(YEAR(B22),MONTH(B22)-1,DAY(B22))</f>
        <v/>
      </c>
      <c r="B22" s="12" t="n">
        <v>42522</v>
      </c>
      <c r="C22" s="14">
        <f>(((VLOOKUP(B22,Data!$E:$BM,MATCH(yoy!$C$1,Data!$E$1:$BM$1,),)-VLOOKUP(A22,Data!$E:$BM,MATCH(yoy!$C$1,Data!$E$1:$BM$1,),))/VLOOKUP(A22,Data!$E:$BM,MATCH(yoy!$C$1,Data!$E$1:$BM$1,),))+1)^12-1</f>
        <v/>
      </c>
      <c r="D22" s="14">
        <f>(((VLOOKUP(B22,Data!$E:$BM,MATCH(yoy!$D$1,Data!$E$1:$BM$1,),)-VLOOKUP(A22,Data!$E:$BM,MATCH(yoy!$D$1,Data!$E$1:$BM$1,),))/VLOOKUP(A22,Data!$E:$BM,MATCH(yoy!$D$1,Data!$E$1:$BM$1,),))+1)^12-1</f>
        <v/>
      </c>
      <c r="E22" s="14">
        <f>(((VLOOKUP(B22,Data!$E:$BM,MATCH(yoy!$E$1,Data!$E$1:$BM$1,),)-VLOOKUP(A22,Data!$E:$BM,MATCH(yoy!$E$1,Data!$E$1:$BM$1,),))/VLOOKUP(A22,Data!$E:$BM,MATCH(yoy!$E$1,Data!$E$1:$BM$1,),))+1)^12-1</f>
        <v/>
      </c>
      <c r="F22" s="14">
        <f>(((VLOOKUP(B22,Data!$E:$BM,MATCH(yoy!$F$1,Data!$E$1:$BM$1,),)-VLOOKUP(A22,Data!$E:$BM,MATCH(yoy!$F$1,Data!$E$1:$BM$1,),))/VLOOKUP(A22,Data!$E:$BM,MATCH(yoy!$F$1,Data!$E$1:$BM$1,),))+1)^12-1</f>
        <v/>
      </c>
      <c r="G22" s="14">
        <f>(((VLOOKUP(B22,Data!$E:$BM,MATCH(yoy!$G$1,Data!$E$1:$BM$1,),)-VLOOKUP(A22,Data!$E:$BM,MATCH(yoy!$G$1,Data!$E$1:$BM$1,),))/VLOOKUP(A22,Data!$E:$BM,MATCH(yoy!$G$1,Data!$E$1:$BM$1,),))+1)^12-1</f>
        <v/>
      </c>
      <c r="H22" s="14">
        <f>(((VLOOKUP(B22,Data!$E:$BM,MATCH(yoy!$H$1,Data!$E$1:$BM$1,),)-VLOOKUP(A22,Data!$E:$BM,MATCH(yoy!$H$1,Data!$E$1:$BM$1,),))/VLOOKUP(A22,Data!$E:$BM,MATCH(yoy!$H$1,Data!$E$1:$BM$1,),))+1)^12-1</f>
        <v/>
      </c>
      <c r="I22" s="14">
        <f>(((VLOOKUP(B22,Data!$E:$BM,MATCH(yoy!$I$1,Data!$E$1:$BM$1,),)-VLOOKUP(A22,Data!$E:$BM,MATCH(yoy!$I$1,Data!$E$1:$BM$1,),))/VLOOKUP(A22,Data!$E:$BM,MATCH(yoy!$I$1,Data!$E$1:$BM$1,),))+1)^12-1</f>
        <v/>
      </c>
      <c r="J22" s="14">
        <f>(((VLOOKUP(B22,Data!$E:$BM,MATCH(yoy!$J$1,Data!$E$1:$BM$1,),)-VLOOKUP(A22,Data!$E:$BM,MATCH(yoy!$J$1,Data!$E$1:$BM$1,),))/VLOOKUP(A22,Data!$E:$BM,MATCH(yoy!$J$1,Data!$E$1:$BM$1,),))+1)^12-1</f>
        <v/>
      </c>
      <c r="K22" s="14">
        <f>(((VLOOKUP(B22,Data!$E:$BM,MATCH(yoy!$K$1,Data!$E$1:$BM$1,),)-VLOOKUP(A22,Data!$E:$BM,MATCH(yoy!$K$1,Data!$E$1:$BM$1,),))/VLOOKUP(A22,Data!$E:$BM,MATCH(yoy!$K$1,Data!$E$1:$BM$1,),))+1)^12-1</f>
        <v/>
      </c>
      <c r="L22" s="14">
        <f>(((VLOOKUP(B22,Data!$E:$BM,MATCH(yoy!$L$1,Data!$E$1:$BM$1,),)-VLOOKUP(A22,Data!$E:$BM,MATCH(yoy!$L$1,Data!$E$1:$BM$1,),))/VLOOKUP(A22,Data!$E:$BM,MATCH(yoy!$L$1,Data!$E$1:$BM$1,),))+1)^12-1</f>
        <v/>
      </c>
      <c r="M22" s="14">
        <f>(((VLOOKUP(B22,Data!$E:$BM,MATCH(yoy!$M$1,Data!$E$1:$BM$1,),)-VLOOKUP(A22,Data!$E:$BM,MATCH(yoy!$M$1,Data!$E$1:$BM$1,),))/VLOOKUP(A22,Data!$E:$BM,MATCH(yoy!$M$1,Data!$E$1:$BM$1,),))+1)^12-1</f>
        <v/>
      </c>
      <c r="N22" s="14">
        <f>(((VLOOKUP(B22,Data!$E:$BM,MATCH(yoy!$N$1,Data!$E$1:$BM$1,),)-VLOOKUP(A22,Data!$E:$BM,MATCH(yoy!$N$1,Data!$E$1:$BM$1,),))/VLOOKUP(A22,Data!$E:$BM,MATCH(yoy!$N$1,Data!$E$1:$BM$1,),))+1)^12-1</f>
        <v/>
      </c>
      <c r="O22" s="14">
        <f>(((VLOOKUP(B22,Data!$E:$BM,MATCH(yoy!$O$1,Data!$E$1:$BM$1,),)-VLOOKUP(A22,Data!$E:$BM,MATCH(yoy!$O$1,Data!$E$1:$BM$1,),))/VLOOKUP(A22,Data!$E:$BM,MATCH(yoy!$O$1,Data!$E$1:$BM$1,),))+1)^12-1</f>
        <v/>
      </c>
      <c r="P22" s="14">
        <f>(((VLOOKUP(B22,Data!$E:$BM,MATCH(yoy!$P$1,Data!$E$1:$BM$1,),)-VLOOKUP(A22,Data!$E:$BM,MATCH(yoy!$P$1,Data!$E$1:$BM$1,),))/VLOOKUP(A22,Data!$E:$BM,MATCH(yoy!$P$1,Data!$E$1:$BM$1,),))+1)^12-1</f>
        <v/>
      </c>
      <c r="Q22" s="14">
        <f>(((VLOOKUP(B22,Data!$E:$BM,MATCH(yoy!$Q$1,Data!$E$1:$BM$1,),)-VLOOKUP(A22,Data!$E:$BM,MATCH(yoy!$Q$1,Data!$E$1:$BM$1,),))/VLOOKUP(A22,Data!$E:$BM,MATCH(yoy!$Q$1,Data!$E$1:$BM$1,),))+1)^12-1</f>
        <v/>
      </c>
      <c r="R22" s="14">
        <f>(((VLOOKUP(B22,Data!$E:$BM,MATCH(yoy!$R$1,Data!$E$1:$BM$1,),)-VLOOKUP(A22,Data!$E:$BM,MATCH(yoy!$R$1,Data!$E$1:$BM$1,),))/VLOOKUP(A22,Data!$E:$BM,MATCH(yoy!$R$1,Data!$E$1:$BM$1,),))+1)^12-1</f>
        <v/>
      </c>
      <c r="S22" s="14">
        <f>(((VLOOKUP(B22,Data!$E:$BM,MATCH(yoy!$S$1,Data!$E$1:$BM$1,),)-VLOOKUP(A22,Data!$E:$BM,MATCH(yoy!$S$1,Data!$E$1:$BM$1,),))/VLOOKUP(A22,Data!$E:$BM,MATCH(yoy!$S$1,Data!$E$1:$BM$1,),))+1)^12-1</f>
        <v/>
      </c>
      <c r="T22" s="14">
        <f>(((VLOOKUP(B22,Data!$E:$BM,MATCH(yoy!$T$1,Data!$E$1:$BM$1,),)-VLOOKUP(A22,Data!$E:$BM,MATCH(yoy!$T$1,Data!$E$1:$BM$1,),))/VLOOKUP(A22,Data!$E:$BM,MATCH(yoy!$T$1,Data!$E$1:$BM$1,),))+1)^12-1</f>
        <v/>
      </c>
      <c r="U22" s="14">
        <f>(((VLOOKUP(B22,Data!$E:$BM,MATCH(yoy!$U$1,Data!$E$1:$BM$1,),)-VLOOKUP(A22,Data!$E:$BM,MATCH(yoy!$U$1,Data!$E$1:$BM$1,),))/VLOOKUP(A22,Data!$E:$BM,MATCH(yoy!$U$1,Data!$E$1:$BM$1,),))+1)^12-1</f>
        <v/>
      </c>
      <c r="V22" s="14">
        <f>(((VLOOKUP(B22,Data!$E:$BM,MATCH(yoy!$V$1,Data!$E$1:$BM$1,),)-VLOOKUP(A22,Data!$E:$BM,MATCH(yoy!$V$1,Data!$E$1:$BM$1,),))/VLOOKUP(A22,Data!$E:$BM,MATCH(yoy!$V$1,Data!$E$1:$BM$1,),))+1)^12-1</f>
        <v/>
      </c>
      <c r="W22" s="14">
        <f>(((VLOOKUP(B22,Data!$E:$BM,MATCH(yoy!$W$1,Data!$E$1:$BM$1,),)-VLOOKUP(A22,Data!$E:$BM,MATCH(yoy!$W$1,Data!$E$1:$BM$1,),))/VLOOKUP(A22,Data!$E:$BM,MATCH(yoy!$W$1,Data!$E$1:$BM$1,),))+1)^12-1</f>
        <v/>
      </c>
      <c r="X22" s="14">
        <f>(((VLOOKUP(B22,Data!$E:$BM,MATCH(yoy!$X$1,Data!$E$1:$BM$1,),)-VLOOKUP(A22,Data!$E:$BM,MATCH(yoy!$X$1,Data!$E$1:$BM$1,),))/VLOOKUP(A22,Data!$E:$BM,MATCH(yoy!$X$1,Data!$E$1:$BM$1,),))+1)^12-1</f>
        <v/>
      </c>
      <c r="Y22" s="14">
        <f>(((VLOOKUP(B22,Data!$E:$BM,MATCH(yoy!$Y$1,Data!$E$1:$BM$1,),)-VLOOKUP(A22,Data!$E:$BM,MATCH(yoy!$Y$1,Data!$E$1:$BM$1,),))/VLOOKUP(A22,Data!$E:$BM,MATCH(yoy!$Y$1,Data!$E$1:$BM$1,),))+1)^12-1</f>
        <v/>
      </c>
      <c r="Z22" s="14">
        <f>(((VLOOKUP(B22,Data!$E:$BM,MATCH(yoy!$Z$1,Data!$E$1:$BM$1,),)-VLOOKUP(A22,Data!$E:$BM,MATCH(yoy!$Z$1,Data!$E$1:$BM$1,),))/VLOOKUP(A22,Data!$E:$BM,MATCH(yoy!$Z$1,Data!$E$1:$BM$1,),))+1)^12-1</f>
        <v/>
      </c>
      <c r="AA22" s="14">
        <f>(((VLOOKUP(B22,Data!$E:$BM,MATCH(yoy!$AA$1,Data!$E$1:$BM$1,),)-VLOOKUP(A22,Data!$E:$BM,MATCH(yoy!$AA$1,Data!$E$1:$BM$1,),))/VLOOKUP(A22,Data!$E:$BM,MATCH(yoy!$AA$1,Data!$E$1:$BM$1,),))+1)^12-1</f>
        <v/>
      </c>
    </row>
    <row r="23">
      <c r="A23" s="20">
        <f>DATE(YEAR(B23),MONTH(B23)-1,DAY(B23))</f>
        <v/>
      </c>
      <c r="B23" s="12" t="n">
        <v>42552</v>
      </c>
      <c r="C23" s="14">
        <f>(((VLOOKUP(B23,Data!$E:$BM,MATCH(yoy!$C$1,Data!$E$1:$BM$1,),)-VLOOKUP(A23,Data!$E:$BM,MATCH(yoy!$C$1,Data!$E$1:$BM$1,),))/VLOOKUP(A23,Data!$E:$BM,MATCH(yoy!$C$1,Data!$E$1:$BM$1,),))+1)^12-1</f>
        <v/>
      </c>
      <c r="D23" s="14">
        <f>(((VLOOKUP(B23,Data!$E:$BM,MATCH(yoy!$D$1,Data!$E$1:$BM$1,),)-VLOOKUP(A23,Data!$E:$BM,MATCH(yoy!$D$1,Data!$E$1:$BM$1,),))/VLOOKUP(A23,Data!$E:$BM,MATCH(yoy!$D$1,Data!$E$1:$BM$1,),))+1)^12-1</f>
        <v/>
      </c>
      <c r="E23" s="14">
        <f>(((VLOOKUP(B23,Data!$E:$BM,MATCH(yoy!$E$1,Data!$E$1:$BM$1,),)-VLOOKUP(A23,Data!$E:$BM,MATCH(yoy!$E$1,Data!$E$1:$BM$1,),))/VLOOKUP(A23,Data!$E:$BM,MATCH(yoy!$E$1,Data!$E$1:$BM$1,),))+1)^12-1</f>
        <v/>
      </c>
      <c r="F23" s="14">
        <f>(((VLOOKUP(B23,Data!$E:$BM,MATCH(yoy!$F$1,Data!$E$1:$BM$1,),)-VLOOKUP(A23,Data!$E:$BM,MATCH(yoy!$F$1,Data!$E$1:$BM$1,),))/VLOOKUP(A23,Data!$E:$BM,MATCH(yoy!$F$1,Data!$E$1:$BM$1,),))+1)^12-1</f>
        <v/>
      </c>
      <c r="G23" s="14">
        <f>(((VLOOKUP(B23,Data!$E:$BM,MATCH(yoy!$G$1,Data!$E$1:$BM$1,),)-VLOOKUP(A23,Data!$E:$BM,MATCH(yoy!$G$1,Data!$E$1:$BM$1,),))/VLOOKUP(A23,Data!$E:$BM,MATCH(yoy!$G$1,Data!$E$1:$BM$1,),))+1)^12-1</f>
        <v/>
      </c>
      <c r="H23" s="14">
        <f>(((VLOOKUP(B23,Data!$E:$BM,MATCH(yoy!$H$1,Data!$E$1:$BM$1,),)-VLOOKUP(A23,Data!$E:$BM,MATCH(yoy!$H$1,Data!$E$1:$BM$1,),))/VLOOKUP(A23,Data!$E:$BM,MATCH(yoy!$H$1,Data!$E$1:$BM$1,),))+1)^12-1</f>
        <v/>
      </c>
      <c r="I23" s="14">
        <f>(((VLOOKUP(B23,Data!$E:$BM,MATCH(yoy!$I$1,Data!$E$1:$BM$1,),)-VLOOKUP(A23,Data!$E:$BM,MATCH(yoy!$I$1,Data!$E$1:$BM$1,),))/VLOOKUP(A23,Data!$E:$BM,MATCH(yoy!$I$1,Data!$E$1:$BM$1,),))+1)^12-1</f>
        <v/>
      </c>
      <c r="J23" s="14">
        <f>(((VLOOKUP(B23,Data!$E:$BM,MATCH(yoy!$J$1,Data!$E$1:$BM$1,),)-VLOOKUP(A23,Data!$E:$BM,MATCH(yoy!$J$1,Data!$E$1:$BM$1,),))/VLOOKUP(A23,Data!$E:$BM,MATCH(yoy!$J$1,Data!$E$1:$BM$1,),))+1)^12-1</f>
        <v/>
      </c>
      <c r="K23" s="14">
        <f>(((VLOOKUP(B23,Data!$E:$BM,MATCH(yoy!$K$1,Data!$E$1:$BM$1,),)-VLOOKUP(A23,Data!$E:$BM,MATCH(yoy!$K$1,Data!$E$1:$BM$1,),))/VLOOKUP(A23,Data!$E:$BM,MATCH(yoy!$K$1,Data!$E$1:$BM$1,),))+1)^12-1</f>
        <v/>
      </c>
      <c r="L23" s="14">
        <f>(((VLOOKUP(B23,Data!$E:$BM,MATCH(yoy!$L$1,Data!$E$1:$BM$1,),)-VLOOKUP(A23,Data!$E:$BM,MATCH(yoy!$L$1,Data!$E$1:$BM$1,),))/VLOOKUP(A23,Data!$E:$BM,MATCH(yoy!$L$1,Data!$E$1:$BM$1,),))+1)^12-1</f>
        <v/>
      </c>
      <c r="M23" s="14">
        <f>(((VLOOKUP(B23,Data!$E:$BM,MATCH(yoy!$M$1,Data!$E$1:$BM$1,),)-VLOOKUP(A23,Data!$E:$BM,MATCH(yoy!$M$1,Data!$E$1:$BM$1,),))/VLOOKUP(A23,Data!$E:$BM,MATCH(yoy!$M$1,Data!$E$1:$BM$1,),))+1)^12-1</f>
        <v/>
      </c>
      <c r="N23" s="14">
        <f>(((VLOOKUP(B23,Data!$E:$BM,MATCH(yoy!$N$1,Data!$E$1:$BM$1,),)-VLOOKUP(A23,Data!$E:$BM,MATCH(yoy!$N$1,Data!$E$1:$BM$1,),))/VLOOKUP(A23,Data!$E:$BM,MATCH(yoy!$N$1,Data!$E$1:$BM$1,),))+1)^12-1</f>
        <v/>
      </c>
      <c r="O23" s="14">
        <f>(((VLOOKUP(B23,Data!$E:$BM,MATCH(yoy!$O$1,Data!$E$1:$BM$1,),)-VLOOKUP(A23,Data!$E:$BM,MATCH(yoy!$O$1,Data!$E$1:$BM$1,),))/VLOOKUP(A23,Data!$E:$BM,MATCH(yoy!$O$1,Data!$E$1:$BM$1,),))+1)^12-1</f>
        <v/>
      </c>
      <c r="P23" s="14">
        <f>(((VLOOKUP(B23,Data!$E:$BM,MATCH(yoy!$P$1,Data!$E$1:$BM$1,),)-VLOOKUP(A23,Data!$E:$BM,MATCH(yoy!$P$1,Data!$E$1:$BM$1,),))/VLOOKUP(A23,Data!$E:$BM,MATCH(yoy!$P$1,Data!$E$1:$BM$1,),))+1)^12-1</f>
        <v/>
      </c>
      <c r="Q23" s="14">
        <f>(((VLOOKUP(B23,Data!$E:$BM,MATCH(yoy!$Q$1,Data!$E$1:$BM$1,),)-VLOOKUP(A23,Data!$E:$BM,MATCH(yoy!$Q$1,Data!$E$1:$BM$1,),))/VLOOKUP(A23,Data!$E:$BM,MATCH(yoy!$Q$1,Data!$E$1:$BM$1,),))+1)^12-1</f>
        <v/>
      </c>
      <c r="R23" s="14">
        <f>(((VLOOKUP(B23,Data!$E:$BM,MATCH(yoy!$R$1,Data!$E$1:$BM$1,),)-VLOOKUP(A23,Data!$E:$BM,MATCH(yoy!$R$1,Data!$E$1:$BM$1,),))/VLOOKUP(A23,Data!$E:$BM,MATCH(yoy!$R$1,Data!$E$1:$BM$1,),))+1)^12-1</f>
        <v/>
      </c>
      <c r="S23" s="14">
        <f>(((VLOOKUP(B23,Data!$E:$BM,MATCH(yoy!$S$1,Data!$E$1:$BM$1,),)-VLOOKUP(A23,Data!$E:$BM,MATCH(yoy!$S$1,Data!$E$1:$BM$1,),))/VLOOKUP(A23,Data!$E:$BM,MATCH(yoy!$S$1,Data!$E$1:$BM$1,),))+1)^12-1</f>
        <v/>
      </c>
      <c r="T23" s="14">
        <f>(((VLOOKUP(B23,Data!$E:$BM,MATCH(yoy!$T$1,Data!$E$1:$BM$1,),)-VLOOKUP(A23,Data!$E:$BM,MATCH(yoy!$T$1,Data!$E$1:$BM$1,),))/VLOOKUP(A23,Data!$E:$BM,MATCH(yoy!$T$1,Data!$E$1:$BM$1,),))+1)^12-1</f>
        <v/>
      </c>
      <c r="U23" s="14">
        <f>(((VLOOKUP(B23,Data!$E:$BM,MATCH(yoy!$U$1,Data!$E$1:$BM$1,),)-VLOOKUP(A23,Data!$E:$BM,MATCH(yoy!$U$1,Data!$E$1:$BM$1,),))/VLOOKUP(A23,Data!$E:$BM,MATCH(yoy!$U$1,Data!$E$1:$BM$1,),))+1)^12-1</f>
        <v/>
      </c>
      <c r="V23" s="14">
        <f>(((VLOOKUP(B23,Data!$E:$BM,MATCH(yoy!$V$1,Data!$E$1:$BM$1,),)-VLOOKUP(A23,Data!$E:$BM,MATCH(yoy!$V$1,Data!$E$1:$BM$1,),))/VLOOKUP(A23,Data!$E:$BM,MATCH(yoy!$V$1,Data!$E$1:$BM$1,),))+1)^12-1</f>
        <v/>
      </c>
      <c r="W23" s="14">
        <f>(((VLOOKUP(B23,Data!$E:$BM,MATCH(yoy!$W$1,Data!$E$1:$BM$1,),)-VLOOKUP(A23,Data!$E:$BM,MATCH(yoy!$W$1,Data!$E$1:$BM$1,),))/VLOOKUP(A23,Data!$E:$BM,MATCH(yoy!$W$1,Data!$E$1:$BM$1,),))+1)^12-1</f>
        <v/>
      </c>
      <c r="X23" s="14">
        <f>(((VLOOKUP(B23,Data!$E:$BM,MATCH(yoy!$X$1,Data!$E$1:$BM$1,),)-VLOOKUP(A23,Data!$E:$BM,MATCH(yoy!$X$1,Data!$E$1:$BM$1,),))/VLOOKUP(A23,Data!$E:$BM,MATCH(yoy!$X$1,Data!$E$1:$BM$1,),))+1)^12-1</f>
        <v/>
      </c>
      <c r="Y23" s="14">
        <f>(((VLOOKUP(B23,Data!$E:$BM,MATCH(yoy!$Y$1,Data!$E$1:$BM$1,),)-VLOOKUP(A23,Data!$E:$BM,MATCH(yoy!$Y$1,Data!$E$1:$BM$1,),))/VLOOKUP(A23,Data!$E:$BM,MATCH(yoy!$Y$1,Data!$E$1:$BM$1,),))+1)^12-1</f>
        <v/>
      </c>
      <c r="Z23" s="14">
        <f>(((VLOOKUP(B23,Data!$E:$BM,MATCH(yoy!$Z$1,Data!$E$1:$BM$1,),)-VLOOKUP(A23,Data!$E:$BM,MATCH(yoy!$Z$1,Data!$E$1:$BM$1,),))/VLOOKUP(A23,Data!$E:$BM,MATCH(yoy!$Z$1,Data!$E$1:$BM$1,),))+1)^12-1</f>
        <v/>
      </c>
      <c r="AA23" s="14">
        <f>(((VLOOKUP(B23,Data!$E:$BM,MATCH(yoy!$AA$1,Data!$E$1:$BM$1,),)-VLOOKUP(A23,Data!$E:$BM,MATCH(yoy!$AA$1,Data!$E$1:$BM$1,),))/VLOOKUP(A23,Data!$E:$BM,MATCH(yoy!$AA$1,Data!$E$1:$BM$1,),))+1)^12-1</f>
        <v/>
      </c>
    </row>
    <row r="24">
      <c r="A24" s="20">
        <f>DATE(YEAR(B24),MONTH(B24)-1,DAY(B24))</f>
        <v/>
      </c>
      <c r="B24" s="12" t="n">
        <v>42583</v>
      </c>
      <c r="C24" s="14">
        <f>(((VLOOKUP(B24,Data!$E:$BM,MATCH(yoy!$C$1,Data!$E$1:$BM$1,),)-VLOOKUP(A24,Data!$E:$BM,MATCH(yoy!$C$1,Data!$E$1:$BM$1,),))/VLOOKUP(A24,Data!$E:$BM,MATCH(yoy!$C$1,Data!$E$1:$BM$1,),))+1)^12-1</f>
        <v/>
      </c>
      <c r="D24" s="14">
        <f>(((VLOOKUP(B24,Data!$E:$BM,MATCH(yoy!$D$1,Data!$E$1:$BM$1,),)-VLOOKUP(A24,Data!$E:$BM,MATCH(yoy!$D$1,Data!$E$1:$BM$1,),))/VLOOKUP(A24,Data!$E:$BM,MATCH(yoy!$D$1,Data!$E$1:$BM$1,),))+1)^12-1</f>
        <v/>
      </c>
      <c r="E24" s="14">
        <f>(((VLOOKUP(B24,Data!$E:$BM,MATCH(yoy!$E$1,Data!$E$1:$BM$1,),)-VLOOKUP(A24,Data!$E:$BM,MATCH(yoy!$E$1,Data!$E$1:$BM$1,),))/VLOOKUP(A24,Data!$E:$BM,MATCH(yoy!$E$1,Data!$E$1:$BM$1,),))+1)^12-1</f>
        <v/>
      </c>
      <c r="F24" s="14">
        <f>(((VLOOKUP(B24,Data!$E:$BM,MATCH(yoy!$F$1,Data!$E$1:$BM$1,),)-VLOOKUP(A24,Data!$E:$BM,MATCH(yoy!$F$1,Data!$E$1:$BM$1,),))/VLOOKUP(A24,Data!$E:$BM,MATCH(yoy!$F$1,Data!$E$1:$BM$1,),))+1)^12-1</f>
        <v/>
      </c>
      <c r="G24" s="14">
        <f>(((VLOOKUP(B24,Data!$E:$BM,MATCH(yoy!$G$1,Data!$E$1:$BM$1,),)-VLOOKUP(A24,Data!$E:$BM,MATCH(yoy!$G$1,Data!$E$1:$BM$1,),))/VLOOKUP(A24,Data!$E:$BM,MATCH(yoy!$G$1,Data!$E$1:$BM$1,),))+1)^12-1</f>
        <v/>
      </c>
      <c r="H24" s="14">
        <f>(((VLOOKUP(B24,Data!$E:$BM,MATCH(yoy!$H$1,Data!$E$1:$BM$1,),)-VLOOKUP(A24,Data!$E:$BM,MATCH(yoy!$H$1,Data!$E$1:$BM$1,),))/VLOOKUP(A24,Data!$E:$BM,MATCH(yoy!$H$1,Data!$E$1:$BM$1,),))+1)^12-1</f>
        <v/>
      </c>
      <c r="I24" s="14">
        <f>(((VLOOKUP(B24,Data!$E:$BM,MATCH(yoy!$I$1,Data!$E$1:$BM$1,),)-VLOOKUP(A24,Data!$E:$BM,MATCH(yoy!$I$1,Data!$E$1:$BM$1,),))/VLOOKUP(A24,Data!$E:$BM,MATCH(yoy!$I$1,Data!$E$1:$BM$1,),))+1)^12-1</f>
        <v/>
      </c>
      <c r="J24" s="14">
        <f>(((VLOOKUP(B24,Data!$E:$BM,MATCH(yoy!$J$1,Data!$E$1:$BM$1,),)-VLOOKUP(A24,Data!$E:$BM,MATCH(yoy!$J$1,Data!$E$1:$BM$1,),))/VLOOKUP(A24,Data!$E:$BM,MATCH(yoy!$J$1,Data!$E$1:$BM$1,),))+1)^12-1</f>
        <v/>
      </c>
      <c r="K24" s="14">
        <f>(((VLOOKUP(B24,Data!$E:$BM,MATCH(yoy!$K$1,Data!$E$1:$BM$1,),)-VLOOKUP(A24,Data!$E:$BM,MATCH(yoy!$K$1,Data!$E$1:$BM$1,),))/VLOOKUP(A24,Data!$E:$BM,MATCH(yoy!$K$1,Data!$E$1:$BM$1,),))+1)^12-1</f>
        <v/>
      </c>
      <c r="L24" s="14">
        <f>(((VLOOKUP(B24,Data!$E:$BM,MATCH(yoy!$L$1,Data!$E$1:$BM$1,),)-VLOOKUP(A24,Data!$E:$BM,MATCH(yoy!$L$1,Data!$E$1:$BM$1,),))/VLOOKUP(A24,Data!$E:$BM,MATCH(yoy!$L$1,Data!$E$1:$BM$1,),))+1)^12-1</f>
        <v/>
      </c>
      <c r="M24" s="14">
        <f>(((VLOOKUP(B24,Data!$E:$BM,MATCH(yoy!$M$1,Data!$E$1:$BM$1,),)-VLOOKUP(A24,Data!$E:$BM,MATCH(yoy!$M$1,Data!$E$1:$BM$1,),))/VLOOKUP(A24,Data!$E:$BM,MATCH(yoy!$M$1,Data!$E$1:$BM$1,),))+1)^12-1</f>
        <v/>
      </c>
      <c r="N24" s="14">
        <f>(((VLOOKUP(B24,Data!$E:$BM,MATCH(yoy!$N$1,Data!$E$1:$BM$1,),)-VLOOKUP(A24,Data!$E:$BM,MATCH(yoy!$N$1,Data!$E$1:$BM$1,),))/VLOOKUP(A24,Data!$E:$BM,MATCH(yoy!$N$1,Data!$E$1:$BM$1,),))+1)^12-1</f>
        <v/>
      </c>
      <c r="O24" s="14">
        <f>(((VLOOKUP(B24,Data!$E:$BM,MATCH(yoy!$O$1,Data!$E$1:$BM$1,),)-VLOOKUP(A24,Data!$E:$BM,MATCH(yoy!$O$1,Data!$E$1:$BM$1,),))/VLOOKUP(A24,Data!$E:$BM,MATCH(yoy!$O$1,Data!$E$1:$BM$1,),))+1)^12-1</f>
        <v/>
      </c>
      <c r="P24" s="14">
        <f>(((VLOOKUP(B24,Data!$E:$BM,MATCH(yoy!$P$1,Data!$E$1:$BM$1,),)-VLOOKUP(A24,Data!$E:$BM,MATCH(yoy!$P$1,Data!$E$1:$BM$1,),))/VLOOKUP(A24,Data!$E:$BM,MATCH(yoy!$P$1,Data!$E$1:$BM$1,),))+1)^12-1</f>
        <v/>
      </c>
      <c r="Q24" s="14">
        <f>(((VLOOKUP(B24,Data!$E:$BM,MATCH(yoy!$Q$1,Data!$E$1:$BM$1,),)-VLOOKUP(A24,Data!$E:$BM,MATCH(yoy!$Q$1,Data!$E$1:$BM$1,),))/VLOOKUP(A24,Data!$E:$BM,MATCH(yoy!$Q$1,Data!$E$1:$BM$1,),))+1)^12-1</f>
        <v/>
      </c>
      <c r="R24" s="14">
        <f>(((VLOOKUP(B24,Data!$E:$BM,MATCH(yoy!$R$1,Data!$E$1:$BM$1,),)-VLOOKUP(A24,Data!$E:$BM,MATCH(yoy!$R$1,Data!$E$1:$BM$1,),))/VLOOKUP(A24,Data!$E:$BM,MATCH(yoy!$R$1,Data!$E$1:$BM$1,),))+1)^12-1</f>
        <v/>
      </c>
      <c r="S24" s="14">
        <f>(((VLOOKUP(B24,Data!$E:$BM,MATCH(yoy!$S$1,Data!$E$1:$BM$1,),)-VLOOKUP(A24,Data!$E:$BM,MATCH(yoy!$S$1,Data!$E$1:$BM$1,),))/VLOOKUP(A24,Data!$E:$BM,MATCH(yoy!$S$1,Data!$E$1:$BM$1,),))+1)^12-1</f>
        <v/>
      </c>
      <c r="T24" s="14">
        <f>(((VLOOKUP(B24,Data!$E:$BM,MATCH(yoy!$T$1,Data!$E$1:$BM$1,),)-VLOOKUP(A24,Data!$E:$BM,MATCH(yoy!$T$1,Data!$E$1:$BM$1,),))/VLOOKUP(A24,Data!$E:$BM,MATCH(yoy!$T$1,Data!$E$1:$BM$1,),))+1)^12-1</f>
        <v/>
      </c>
      <c r="U24" s="14">
        <f>(((VLOOKUP(B24,Data!$E:$BM,MATCH(yoy!$U$1,Data!$E$1:$BM$1,),)-VLOOKUP(A24,Data!$E:$BM,MATCH(yoy!$U$1,Data!$E$1:$BM$1,),))/VLOOKUP(A24,Data!$E:$BM,MATCH(yoy!$U$1,Data!$E$1:$BM$1,),))+1)^12-1</f>
        <v/>
      </c>
      <c r="V24" s="14">
        <f>(((VLOOKUP(B24,Data!$E:$BM,MATCH(yoy!$V$1,Data!$E$1:$BM$1,),)-VLOOKUP(A24,Data!$E:$BM,MATCH(yoy!$V$1,Data!$E$1:$BM$1,),))/VLOOKUP(A24,Data!$E:$BM,MATCH(yoy!$V$1,Data!$E$1:$BM$1,),))+1)^12-1</f>
        <v/>
      </c>
      <c r="W24" s="14">
        <f>(((VLOOKUP(B24,Data!$E:$BM,MATCH(yoy!$W$1,Data!$E$1:$BM$1,),)-VLOOKUP(A24,Data!$E:$BM,MATCH(yoy!$W$1,Data!$E$1:$BM$1,),))/VLOOKUP(A24,Data!$E:$BM,MATCH(yoy!$W$1,Data!$E$1:$BM$1,),))+1)^12-1</f>
        <v/>
      </c>
      <c r="X24" s="14">
        <f>(((VLOOKUP(B24,Data!$E:$BM,MATCH(yoy!$X$1,Data!$E$1:$BM$1,),)-VLOOKUP(A24,Data!$E:$BM,MATCH(yoy!$X$1,Data!$E$1:$BM$1,),))/VLOOKUP(A24,Data!$E:$BM,MATCH(yoy!$X$1,Data!$E$1:$BM$1,),))+1)^12-1</f>
        <v/>
      </c>
      <c r="Y24" s="14">
        <f>(((VLOOKUP(B24,Data!$E:$BM,MATCH(yoy!$Y$1,Data!$E$1:$BM$1,),)-VLOOKUP(A24,Data!$E:$BM,MATCH(yoy!$Y$1,Data!$E$1:$BM$1,),))/VLOOKUP(A24,Data!$E:$BM,MATCH(yoy!$Y$1,Data!$E$1:$BM$1,),))+1)^12-1</f>
        <v/>
      </c>
      <c r="Z24" s="14">
        <f>(((VLOOKUP(B24,Data!$E:$BM,MATCH(yoy!$Z$1,Data!$E$1:$BM$1,),)-VLOOKUP(A24,Data!$E:$BM,MATCH(yoy!$Z$1,Data!$E$1:$BM$1,),))/VLOOKUP(A24,Data!$E:$BM,MATCH(yoy!$Z$1,Data!$E$1:$BM$1,),))+1)^12-1</f>
        <v/>
      </c>
      <c r="AA24" s="14">
        <f>(((VLOOKUP(B24,Data!$E:$BM,MATCH(yoy!$AA$1,Data!$E$1:$BM$1,),)-VLOOKUP(A24,Data!$E:$BM,MATCH(yoy!$AA$1,Data!$E$1:$BM$1,),))/VLOOKUP(A24,Data!$E:$BM,MATCH(yoy!$AA$1,Data!$E$1:$BM$1,),))+1)^12-1</f>
        <v/>
      </c>
    </row>
    <row r="25">
      <c r="A25" s="20">
        <f>DATE(YEAR(B25),MONTH(B25)-1,DAY(B25))</f>
        <v/>
      </c>
      <c r="B25" s="12" t="n">
        <v>42614</v>
      </c>
      <c r="C25" s="14">
        <f>(((VLOOKUP(B25,Data!$E:$BM,MATCH(yoy!$C$1,Data!$E$1:$BM$1,),)-VLOOKUP(A25,Data!$E:$BM,MATCH(yoy!$C$1,Data!$E$1:$BM$1,),))/VLOOKUP(A25,Data!$E:$BM,MATCH(yoy!$C$1,Data!$E$1:$BM$1,),))+1)^12-1</f>
        <v/>
      </c>
      <c r="D25" s="14">
        <f>(((VLOOKUP(B25,Data!$E:$BM,MATCH(yoy!$D$1,Data!$E$1:$BM$1,),)-VLOOKUP(A25,Data!$E:$BM,MATCH(yoy!$D$1,Data!$E$1:$BM$1,),))/VLOOKUP(A25,Data!$E:$BM,MATCH(yoy!$D$1,Data!$E$1:$BM$1,),))+1)^12-1</f>
        <v/>
      </c>
      <c r="E25" s="14">
        <f>(((VLOOKUP(B25,Data!$E:$BM,MATCH(yoy!$E$1,Data!$E$1:$BM$1,),)-VLOOKUP(A25,Data!$E:$BM,MATCH(yoy!$E$1,Data!$E$1:$BM$1,),))/VLOOKUP(A25,Data!$E:$BM,MATCH(yoy!$E$1,Data!$E$1:$BM$1,),))+1)^12-1</f>
        <v/>
      </c>
      <c r="F25" s="14">
        <f>(((VLOOKUP(B25,Data!$E:$BM,MATCH(yoy!$F$1,Data!$E$1:$BM$1,),)-VLOOKUP(A25,Data!$E:$BM,MATCH(yoy!$F$1,Data!$E$1:$BM$1,),))/VLOOKUP(A25,Data!$E:$BM,MATCH(yoy!$F$1,Data!$E$1:$BM$1,),))+1)^12-1</f>
        <v/>
      </c>
      <c r="G25" s="14">
        <f>(((VLOOKUP(B25,Data!$E:$BM,MATCH(yoy!$G$1,Data!$E$1:$BM$1,),)-VLOOKUP(A25,Data!$E:$BM,MATCH(yoy!$G$1,Data!$E$1:$BM$1,),))/VLOOKUP(A25,Data!$E:$BM,MATCH(yoy!$G$1,Data!$E$1:$BM$1,),))+1)^12-1</f>
        <v/>
      </c>
      <c r="H25" s="14">
        <f>(((VLOOKUP(B25,Data!$E:$BM,MATCH(yoy!$H$1,Data!$E$1:$BM$1,),)-VLOOKUP(A25,Data!$E:$BM,MATCH(yoy!$H$1,Data!$E$1:$BM$1,),))/VLOOKUP(A25,Data!$E:$BM,MATCH(yoy!$H$1,Data!$E$1:$BM$1,),))+1)^12-1</f>
        <v/>
      </c>
      <c r="I25" s="14">
        <f>(((VLOOKUP(B25,Data!$E:$BM,MATCH(yoy!$I$1,Data!$E$1:$BM$1,),)-VLOOKUP(A25,Data!$E:$BM,MATCH(yoy!$I$1,Data!$E$1:$BM$1,),))/VLOOKUP(A25,Data!$E:$BM,MATCH(yoy!$I$1,Data!$E$1:$BM$1,),))+1)^12-1</f>
        <v/>
      </c>
      <c r="J25" s="14">
        <f>(((VLOOKUP(B25,Data!$E:$BM,MATCH(yoy!$J$1,Data!$E$1:$BM$1,),)-VLOOKUP(A25,Data!$E:$BM,MATCH(yoy!$J$1,Data!$E$1:$BM$1,),))/VLOOKUP(A25,Data!$E:$BM,MATCH(yoy!$J$1,Data!$E$1:$BM$1,),))+1)^12-1</f>
        <v/>
      </c>
      <c r="K25" s="14">
        <f>(((VLOOKUP(B25,Data!$E:$BM,MATCH(yoy!$K$1,Data!$E$1:$BM$1,),)-VLOOKUP(A25,Data!$E:$BM,MATCH(yoy!$K$1,Data!$E$1:$BM$1,),))/VLOOKUP(A25,Data!$E:$BM,MATCH(yoy!$K$1,Data!$E$1:$BM$1,),))+1)^12-1</f>
        <v/>
      </c>
      <c r="L25" s="14">
        <f>(((VLOOKUP(B25,Data!$E:$BM,MATCH(yoy!$L$1,Data!$E$1:$BM$1,),)-VLOOKUP(A25,Data!$E:$BM,MATCH(yoy!$L$1,Data!$E$1:$BM$1,),))/VLOOKUP(A25,Data!$E:$BM,MATCH(yoy!$L$1,Data!$E$1:$BM$1,),))+1)^12-1</f>
        <v/>
      </c>
      <c r="M25" s="14">
        <f>(((VLOOKUP(B25,Data!$E:$BM,MATCH(yoy!$M$1,Data!$E$1:$BM$1,),)-VLOOKUP(A25,Data!$E:$BM,MATCH(yoy!$M$1,Data!$E$1:$BM$1,),))/VLOOKUP(A25,Data!$E:$BM,MATCH(yoy!$M$1,Data!$E$1:$BM$1,),))+1)^12-1</f>
        <v/>
      </c>
      <c r="N25" s="14">
        <f>(((VLOOKUP(B25,Data!$E:$BM,MATCH(yoy!$N$1,Data!$E$1:$BM$1,),)-VLOOKUP(A25,Data!$E:$BM,MATCH(yoy!$N$1,Data!$E$1:$BM$1,),))/VLOOKUP(A25,Data!$E:$BM,MATCH(yoy!$N$1,Data!$E$1:$BM$1,),))+1)^12-1</f>
        <v/>
      </c>
      <c r="O25" s="14">
        <f>(((VLOOKUP(B25,Data!$E:$BM,MATCH(yoy!$O$1,Data!$E$1:$BM$1,),)-VLOOKUP(A25,Data!$E:$BM,MATCH(yoy!$O$1,Data!$E$1:$BM$1,),))/VLOOKUP(A25,Data!$E:$BM,MATCH(yoy!$O$1,Data!$E$1:$BM$1,),))+1)^12-1</f>
        <v/>
      </c>
      <c r="P25" s="14">
        <f>(((VLOOKUP(B25,Data!$E:$BM,MATCH(yoy!$P$1,Data!$E$1:$BM$1,),)-VLOOKUP(A25,Data!$E:$BM,MATCH(yoy!$P$1,Data!$E$1:$BM$1,),))/VLOOKUP(A25,Data!$E:$BM,MATCH(yoy!$P$1,Data!$E$1:$BM$1,),))+1)^12-1</f>
        <v/>
      </c>
      <c r="Q25" s="14">
        <f>(((VLOOKUP(B25,Data!$E:$BM,MATCH(yoy!$Q$1,Data!$E$1:$BM$1,),)-VLOOKUP(A25,Data!$E:$BM,MATCH(yoy!$Q$1,Data!$E$1:$BM$1,),))/VLOOKUP(A25,Data!$E:$BM,MATCH(yoy!$Q$1,Data!$E$1:$BM$1,),))+1)^12-1</f>
        <v/>
      </c>
      <c r="R25" s="14">
        <f>(((VLOOKUP(B25,Data!$E:$BM,MATCH(yoy!$R$1,Data!$E$1:$BM$1,),)-VLOOKUP(A25,Data!$E:$BM,MATCH(yoy!$R$1,Data!$E$1:$BM$1,),))/VLOOKUP(A25,Data!$E:$BM,MATCH(yoy!$R$1,Data!$E$1:$BM$1,),))+1)^12-1</f>
        <v/>
      </c>
      <c r="S25" s="14">
        <f>(((VLOOKUP(B25,Data!$E:$BM,MATCH(yoy!$S$1,Data!$E$1:$BM$1,),)-VLOOKUP(A25,Data!$E:$BM,MATCH(yoy!$S$1,Data!$E$1:$BM$1,),))/VLOOKUP(A25,Data!$E:$BM,MATCH(yoy!$S$1,Data!$E$1:$BM$1,),))+1)^12-1</f>
        <v/>
      </c>
      <c r="T25" s="14">
        <f>(((VLOOKUP(B25,Data!$E:$BM,MATCH(yoy!$T$1,Data!$E$1:$BM$1,),)-VLOOKUP(A25,Data!$E:$BM,MATCH(yoy!$T$1,Data!$E$1:$BM$1,),))/VLOOKUP(A25,Data!$E:$BM,MATCH(yoy!$T$1,Data!$E$1:$BM$1,),))+1)^12-1</f>
        <v/>
      </c>
      <c r="U25" s="14">
        <f>(((VLOOKUP(B25,Data!$E:$BM,MATCH(yoy!$U$1,Data!$E$1:$BM$1,),)-VLOOKUP(A25,Data!$E:$BM,MATCH(yoy!$U$1,Data!$E$1:$BM$1,),))/VLOOKUP(A25,Data!$E:$BM,MATCH(yoy!$U$1,Data!$E$1:$BM$1,),))+1)^12-1</f>
        <v/>
      </c>
      <c r="V25" s="14">
        <f>(((VLOOKUP(B25,Data!$E:$BM,MATCH(yoy!$V$1,Data!$E$1:$BM$1,),)-VLOOKUP(A25,Data!$E:$BM,MATCH(yoy!$V$1,Data!$E$1:$BM$1,),))/VLOOKUP(A25,Data!$E:$BM,MATCH(yoy!$V$1,Data!$E$1:$BM$1,),))+1)^12-1</f>
        <v/>
      </c>
      <c r="W25" s="14">
        <f>(((VLOOKUP(B25,Data!$E:$BM,MATCH(yoy!$W$1,Data!$E$1:$BM$1,),)-VLOOKUP(A25,Data!$E:$BM,MATCH(yoy!$W$1,Data!$E$1:$BM$1,),))/VLOOKUP(A25,Data!$E:$BM,MATCH(yoy!$W$1,Data!$E$1:$BM$1,),))+1)^12-1</f>
        <v/>
      </c>
      <c r="X25" s="14">
        <f>(((VLOOKUP(B25,Data!$E:$BM,MATCH(yoy!$X$1,Data!$E$1:$BM$1,),)-VLOOKUP(A25,Data!$E:$BM,MATCH(yoy!$X$1,Data!$E$1:$BM$1,),))/VLOOKUP(A25,Data!$E:$BM,MATCH(yoy!$X$1,Data!$E$1:$BM$1,),))+1)^12-1</f>
        <v/>
      </c>
      <c r="Y25" s="14">
        <f>(((VLOOKUP(B25,Data!$E:$BM,MATCH(yoy!$Y$1,Data!$E$1:$BM$1,),)-VLOOKUP(A25,Data!$E:$BM,MATCH(yoy!$Y$1,Data!$E$1:$BM$1,),))/VLOOKUP(A25,Data!$E:$BM,MATCH(yoy!$Y$1,Data!$E$1:$BM$1,),))+1)^12-1</f>
        <v/>
      </c>
      <c r="Z25" s="14">
        <f>(((VLOOKUP(B25,Data!$E:$BM,MATCH(yoy!$Z$1,Data!$E$1:$BM$1,),)-VLOOKUP(A25,Data!$E:$BM,MATCH(yoy!$Z$1,Data!$E$1:$BM$1,),))/VLOOKUP(A25,Data!$E:$BM,MATCH(yoy!$Z$1,Data!$E$1:$BM$1,),))+1)^12-1</f>
        <v/>
      </c>
      <c r="AA25" s="14">
        <f>(((VLOOKUP(B25,Data!$E:$BM,MATCH(yoy!$AA$1,Data!$E$1:$BM$1,),)-VLOOKUP(A25,Data!$E:$BM,MATCH(yoy!$AA$1,Data!$E$1:$BM$1,),))/VLOOKUP(A25,Data!$E:$BM,MATCH(yoy!$AA$1,Data!$E$1:$BM$1,),))+1)^12-1</f>
        <v/>
      </c>
    </row>
    <row r="26">
      <c r="A26" s="20">
        <f>DATE(YEAR(B26),MONTH(B26)-1,DAY(B26))</f>
        <v/>
      </c>
      <c r="B26" s="12" t="n">
        <v>42644</v>
      </c>
      <c r="C26" s="14">
        <f>(((VLOOKUP(B26,Data!$E:$BM,MATCH(yoy!$C$1,Data!$E$1:$BM$1,),)-VLOOKUP(A26,Data!$E:$BM,MATCH(yoy!$C$1,Data!$E$1:$BM$1,),))/VLOOKUP(A26,Data!$E:$BM,MATCH(yoy!$C$1,Data!$E$1:$BM$1,),))+1)^12-1</f>
        <v/>
      </c>
      <c r="D26" s="14">
        <f>(((VLOOKUP(B26,Data!$E:$BM,MATCH(yoy!$D$1,Data!$E$1:$BM$1,),)-VLOOKUP(A26,Data!$E:$BM,MATCH(yoy!$D$1,Data!$E$1:$BM$1,),))/VLOOKUP(A26,Data!$E:$BM,MATCH(yoy!$D$1,Data!$E$1:$BM$1,),))+1)^12-1</f>
        <v/>
      </c>
      <c r="E26" s="14">
        <f>(((VLOOKUP(B26,Data!$E:$BM,MATCH(yoy!$E$1,Data!$E$1:$BM$1,),)-VLOOKUP(A26,Data!$E:$BM,MATCH(yoy!$E$1,Data!$E$1:$BM$1,),))/VLOOKUP(A26,Data!$E:$BM,MATCH(yoy!$E$1,Data!$E$1:$BM$1,),))+1)^12-1</f>
        <v/>
      </c>
      <c r="F26" s="14">
        <f>(((VLOOKUP(B26,Data!$E:$BM,MATCH(yoy!$F$1,Data!$E$1:$BM$1,),)-VLOOKUP(A26,Data!$E:$BM,MATCH(yoy!$F$1,Data!$E$1:$BM$1,),))/VLOOKUP(A26,Data!$E:$BM,MATCH(yoy!$F$1,Data!$E$1:$BM$1,),))+1)^12-1</f>
        <v/>
      </c>
      <c r="G26" s="14">
        <f>(((VLOOKUP(B26,Data!$E:$BM,MATCH(yoy!$G$1,Data!$E$1:$BM$1,),)-VLOOKUP(A26,Data!$E:$BM,MATCH(yoy!$G$1,Data!$E$1:$BM$1,),))/VLOOKUP(A26,Data!$E:$BM,MATCH(yoy!$G$1,Data!$E$1:$BM$1,),))+1)^12-1</f>
        <v/>
      </c>
      <c r="H26" s="14">
        <f>(((VLOOKUP(B26,Data!$E:$BM,MATCH(yoy!$H$1,Data!$E$1:$BM$1,),)-VLOOKUP(A26,Data!$E:$BM,MATCH(yoy!$H$1,Data!$E$1:$BM$1,),))/VLOOKUP(A26,Data!$E:$BM,MATCH(yoy!$H$1,Data!$E$1:$BM$1,),))+1)^12-1</f>
        <v/>
      </c>
      <c r="I26" s="14">
        <f>(((VLOOKUP(B26,Data!$E:$BM,MATCH(yoy!$I$1,Data!$E$1:$BM$1,),)-VLOOKUP(A26,Data!$E:$BM,MATCH(yoy!$I$1,Data!$E$1:$BM$1,),))/VLOOKUP(A26,Data!$E:$BM,MATCH(yoy!$I$1,Data!$E$1:$BM$1,),))+1)^12-1</f>
        <v/>
      </c>
      <c r="J26" s="14">
        <f>(((VLOOKUP(B26,Data!$E:$BM,MATCH(yoy!$J$1,Data!$E$1:$BM$1,),)-VLOOKUP(A26,Data!$E:$BM,MATCH(yoy!$J$1,Data!$E$1:$BM$1,),))/VLOOKUP(A26,Data!$E:$BM,MATCH(yoy!$J$1,Data!$E$1:$BM$1,),))+1)^12-1</f>
        <v/>
      </c>
      <c r="K26" s="14">
        <f>(((VLOOKUP(B26,Data!$E:$BM,MATCH(yoy!$K$1,Data!$E$1:$BM$1,),)-VLOOKUP(A26,Data!$E:$BM,MATCH(yoy!$K$1,Data!$E$1:$BM$1,),))/VLOOKUP(A26,Data!$E:$BM,MATCH(yoy!$K$1,Data!$E$1:$BM$1,),))+1)^12-1</f>
        <v/>
      </c>
      <c r="L26" s="14">
        <f>(((VLOOKUP(B26,Data!$E:$BM,MATCH(yoy!$L$1,Data!$E$1:$BM$1,),)-VLOOKUP(A26,Data!$E:$BM,MATCH(yoy!$L$1,Data!$E$1:$BM$1,),))/VLOOKUP(A26,Data!$E:$BM,MATCH(yoy!$L$1,Data!$E$1:$BM$1,),))+1)^12-1</f>
        <v/>
      </c>
      <c r="M26" s="14">
        <f>(((VLOOKUP(B26,Data!$E:$BM,MATCH(yoy!$M$1,Data!$E$1:$BM$1,),)-VLOOKUP(A26,Data!$E:$BM,MATCH(yoy!$M$1,Data!$E$1:$BM$1,),))/VLOOKUP(A26,Data!$E:$BM,MATCH(yoy!$M$1,Data!$E$1:$BM$1,),))+1)^12-1</f>
        <v/>
      </c>
      <c r="N26" s="14">
        <f>(((VLOOKUP(B26,Data!$E:$BM,MATCH(yoy!$N$1,Data!$E$1:$BM$1,),)-VLOOKUP(A26,Data!$E:$BM,MATCH(yoy!$N$1,Data!$E$1:$BM$1,),))/VLOOKUP(A26,Data!$E:$BM,MATCH(yoy!$N$1,Data!$E$1:$BM$1,),))+1)^12-1</f>
        <v/>
      </c>
      <c r="O26" s="14">
        <f>(((VLOOKUP(B26,Data!$E:$BM,MATCH(yoy!$O$1,Data!$E$1:$BM$1,),)-VLOOKUP(A26,Data!$E:$BM,MATCH(yoy!$O$1,Data!$E$1:$BM$1,),))/VLOOKUP(A26,Data!$E:$BM,MATCH(yoy!$O$1,Data!$E$1:$BM$1,),))+1)^12-1</f>
        <v/>
      </c>
      <c r="P26" s="14">
        <f>(((VLOOKUP(B26,Data!$E:$BM,MATCH(yoy!$P$1,Data!$E$1:$BM$1,),)-VLOOKUP(A26,Data!$E:$BM,MATCH(yoy!$P$1,Data!$E$1:$BM$1,),))/VLOOKUP(A26,Data!$E:$BM,MATCH(yoy!$P$1,Data!$E$1:$BM$1,),))+1)^12-1</f>
        <v/>
      </c>
      <c r="Q26" s="14">
        <f>(((VLOOKUP(B26,Data!$E:$BM,MATCH(yoy!$Q$1,Data!$E$1:$BM$1,),)-VLOOKUP(A26,Data!$E:$BM,MATCH(yoy!$Q$1,Data!$E$1:$BM$1,),))/VLOOKUP(A26,Data!$E:$BM,MATCH(yoy!$Q$1,Data!$E$1:$BM$1,),))+1)^12-1</f>
        <v/>
      </c>
      <c r="R26" s="14">
        <f>(((VLOOKUP(B26,Data!$E:$BM,MATCH(yoy!$R$1,Data!$E$1:$BM$1,),)-VLOOKUP(A26,Data!$E:$BM,MATCH(yoy!$R$1,Data!$E$1:$BM$1,),))/VLOOKUP(A26,Data!$E:$BM,MATCH(yoy!$R$1,Data!$E$1:$BM$1,),))+1)^12-1</f>
        <v/>
      </c>
      <c r="S26" s="14">
        <f>(((VLOOKUP(B26,Data!$E:$BM,MATCH(yoy!$S$1,Data!$E$1:$BM$1,),)-VLOOKUP(A26,Data!$E:$BM,MATCH(yoy!$S$1,Data!$E$1:$BM$1,),))/VLOOKUP(A26,Data!$E:$BM,MATCH(yoy!$S$1,Data!$E$1:$BM$1,),))+1)^12-1</f>
        <v/>
      </c>
      <c r="T26" s="14">
        <f>(((VLOOKUP(B26,Data!$E:$BM,MATCH(yoy!$T$1,Data!$E$1:$BM$1,),)-VLOOKUP(A26,Data!$E:$BM,MATCH(yoy!$T$1,Data!$E$1:$BM$1,),))/VLOOKUP(A26,Data!$E:$BM,MATCH(yoy!$T$1,Data!$E$1:$BM$1,),))+1)^12-1</f>
        <v/>
      </c>
      <c r="U26" s="14">
        <f>(((VLOOKUP(B26,Data!$E:$BM,MATCH(yoy!$U$1,Data!$E$1:$BM$1,),)-VLOOKUP(A26,Data!$E:$BM,MATCH(yoy!$U$1,Data!$E$1:$BM$1,),))/VLOOKUP(A26,Data!$E:$BM,MATCH(yoy!$U$1,Data!$E$1:$BM$1,),))+1)^12-1</f>
        <v/>
      </c>
      <c r="V26" s="14">
        <f>(((VLOOKUP(B26,Data!$E:$BM,MATCH(yoy!$V$1,Data!$E$1:$BM$1,),)-VLOOKUP(A26,Data!$E:$BM,MATCH(yoy!$V$1,Data!$E$1:$BM$1,),))/VLOOKUP(A26,Data!$E:$BM,MATCH(yoy!$V$1,Data!$E$1:$BM$1,),))+1)^12-1</f>
        <v/>
      </c>
      <c r="W26" s="14">
        <f>(((VLOOKUP(B26,Data!$E:$BM,MATCH(yoy!$W$1,Data!$E$1:$BM$1,),)-VLOOKUP(A26,Data!$E:$BM,MATCH(yoy!$W$1,Data!$E$1:$BM$1,),))/VLOOKUP(A26,Data!$E:$BM,MATCH(yoy!$W$1,Data!$E$1:$BM$1,),))+1)^12-1</f>
        <v/>
      </c>
      <c r="X26" s="14">
        <f>(((VLOOKUP(B26,Data!$E:$BM,MATCH(yoy!$X$1,Data!$E$1:$BM$1,),)-VLOOKUP(A26,Data!$E:$BM,MATCH(yoy!$X$1,Data!$E$1:$BM$1,),))/VLOOKUP(A26,Data!$E:$BM,MATCH(yoy!$X$1,Data!$E$1:$BM$1,),))+1)^12-1</f>
        <v/>
      </c>
      <c r="Y26" s="14">
        <f>(((VLOOKUP(B26,Data!$E:$BM,MATCH(yoy!$Y$1,Data!$E$1:$BM$1,),)-VLOOKUP(A26,Data!$E:$BM,MATCH(yoy!$Y$1,Data!$E$1:$BM$1,),))/VLOOKUP(A26,Data!$E:$BM,MATCH(yoy!$Y$1,Data!$E$1:$BM$1,),))+1)^12-1</f>
        <v/>
      </c>
      <c r="Z26" s="14">
        <f>(((VLOOKUP(B26,Data!$E:$BM,MATCH(yoy!$Z$1,Data!$E$1:$BM$1,),)-VLOOKUP(A26,Data!$E:$BM,MATCH(yoy!$Z$1,Data!$E$1:$BM$1,),))/VLOOKUP(A26,Data!$E:$BM,MATCH(yoy!$Z$1,Data!$E$1:$BM$1,),))+1)^12-1</f>
        <v/>
      </c>
      <c r="AA26" s="14">
        <f>(((VLOOKUP(B26,Data!$E:$BM,MATCH(yoy!$AA$1,Data!$E$1:$BM$1,),)-VLOOKUP(A26,Data!$E:$BM,MATCH(yoy!$AA$1,Data!$E$1:$BM$1,),))/VLOOKUP(A26,Data!$E:$BM,MATCH(yoy!$AA$1,Data!$E$1:$BM$1,),))+1)^12-1</f>
        <v/>
      </c>
    </row>
    <row r="27">
      <c r="A27" s="20">
        <f>DATE(YEAR(B27),MONTH(B27)-1,DAY(B27))</f>
        <v/>
      </c>
      <c r="B27" s="12" t="n">
        <v>42675</v>
      </c>
      <c r="C27" s="14">
        <f>(((VLOOKUP(B27,Data!$E:$BM,MATCH(yoy!$C$1,Data!$E$1:$BM$1,),)-VLOOKUP(A27,Data!$E:$BM,MATCH(yoy!$C$1,Data!$E$1:$BM$1,),))/VLOOKUP(A27,Data!$E:$BM,MATCH(yoy!$C$1,Data!$E$1:$BM$1,),))+1)^12-1</f>
        <v/>
      </c>
      <c r="D27" s="14">
        <f>(((VLOOKUP(B27,Data!$E:$BM,MATCH(yoy!$D$1,Data!$E$1:$BM$1,),)-VLOOKUP(A27,Data!$E:$BM,MATCH(yoy!$D$1,Data!$E$1:$BM$1,),))/VLOOKUP(A27,Data!$E:$BM,MATCH(yoy!$D$1,Data!$E$1:$BM$1,),))+1)^12-1</f>
        <v/>
      </c>
      <c r="E27" s="14">
        <f>(((VLOOKUP(B27,Data!$E:$BM,MATCH(yoy!$E$1,Data!$E$1:$BM$1,),)-VLOOKUP(A27,Data!$E:$BM,MATCH(yoy!$E$1,Data!$E$1:$BM$1,),))/VLOOKUP(A27,Data!$E:$BM,MATCH(yoy!$E$1,Data!$E$1:$BM$1,),))+1)^12-1</f>
        <v/>
      </c>
      <c r="F27" s="14">
        <f>(((VLOOKUP(B27,Data!$E:$BM,MATCH(yoy!$F$1,Data!$E$1:$BM$1,),)-VLOOKUP(A27,Data!$E:$BM,MATCH(yoy!$F$1,Data!$E$1:$BM$1,),))/VLOOKUP(A27,Data!$E:$BM,MATCH(yoy!$F$1,Data!$E$1:$BM$1,),))+1)^12-1</f>
        <v/>
      </c>
      <c r="G27" s="14">
        <f>(((VLOOKUP(B27,Data!$E:$BM,MATCH(yoy!$G$1,Data!$E$1:$BM$1,),)-VLOOKUP(A27,Data!$E:$BM,MATCH(yoy!$G$1,Data!$E$1:$BM$1,),))/VLOOKUP(A27,Data!$E:$BM,MATCH(yoy!$G$1,Data!$E$1:$BM$1,),))+1)^12-1</f>
        <v/>
      </c>
      <c r="H27" s="14">
        <f>(((VLOOKUP(B27,Data!$E:$BM,MATCH(yoy!$H$1,Data!$E$1:$BM$1,),)-VLOOKUP(A27,Data!$E:$BM,MATCH(yoy!$H$1,Data!$E$1:$BM$1,),))/VLOOKUP(A27,Data!$E:$BM,MATCH(yoy!$H$1,Data!$E$1:$BM$1,),))+1)^12-1</f>
        <v/>
      </c>
      <c r="I27" s="14">
        <f>(((VLOOKUP(B27,Data!$E:$BM,MATCH(yoy!$I$1,Data!$E$1:$BM$1,),)-VLOOKUP(A27,Data!$E:$BM,MATCH(yoy!$I$1,Data!$E$1:$BM$1,),))/VLOOKUP(A27,Data!$E:$BM,MATCH(yoy!$I$1,Data!$E$1:$BM$1,),))+1)^12-1</f>
        <v/>
      </c>
      <c r="J27" s="14">
        <f>(((VLOOKUP(B27,Data!$E:$BM,MATCH(yoy!$J$1,Data!$E$1:$BM$1,),)-VLOOKUP(A27,Data!$E:$BM,MATCH(yoy!$J$1,Data!$E$1:$BM$1,),))/VLOOKUP(A27,Data!$E:$BM,MATCH(yoy!$J$1,Data!$E$1:$BM$1,),))+1)^12-1</f>
        <v/>
      </c>
      <c r="K27" s="14">
        <f>(((VLOOKUP(B27,Data!$E:$BM,MATCH(yoy!$K$1,Data!$E$1:$BM$1,),)-VLOOKUP(A27,Data!$E:$BM,MATCH(yoy!$K$1,Data!$E$1:$BM$1,),))/VLOOKUP(A27,Data!$E:$BM,MATCH(yoy!$K$1,Data!$E$1:$BM$1,),))+1)^12-1</f>
        <v/>
      </c>
      <c r="L27" s="14">
        <f>(((VLOOKUP(B27,Data!$E:$BM,MATCH(yoy!$L$1,Data!$E$1:$BM$1,),)-VLOOKUP(A27,Data!$E:$BM,MATCH(yoy!$L$1,Data!$E$1:$BM$1,),))/VLOOKUP(A27,Data!$E:$BM,MATCH(yoy!$L$1,Data!$E$1:$BM$1,),))+1)^12-1</f>
        <v/>
      </c>
      <c r="M27" s="14">
        <f>(((VLOOKUP(B27,Data!$E:$BM,MATCH(yoy!$M$1,Data!$E$1:$BM$1,),)-VLOOKUP(A27,Data!$E:$BM,MATCH(yoy!$M$1,Data!$E$1:$BM$1,),))/VLOOKUP(A27,Data!$E:$BM,MATCH(yoy!$M$1,Data!$E$1:$BM$1,),))+1)^12-1</f>
        <v/>
      </c>
      <c r="N27" s="14">
        <f>(((VLOOKUP(B27,Data!$E:$BM,MATCH(yoy!$N$1,Data!$E$1:$BM$1,),)-VLOOKUP(A27,Data!$E:$BM,MATCH(yoy!$N$1,Data!$E$1:$BM$1,),))/VLOOKUP(A27,Data!$E:$BM,MATCH(yoy!$N$1,Data!$E$1:$BM$1,),))+1)^12-1</f>
        <v/>
      </c>
      <c r="O27" s="14">
        <f>(((VLOOKUP(B27,Data!$E:$BM,MATCH(yoy!$O$1,Data!$E$1:$BM$1,),)-VLOOKUP(A27,Data!$E:$BM,MATCH(yoy!$O$1,Data!$E$1:$BM$1,),))/VLOOKUP(A27,Data!$E:$BM,MATCH(yoy!$O$1,Data!$E$1:$BM$1,),))+1)^12-1</f>
        <v/>
      </c>
      <c r="P27" s="14">
        <f>(((VLOOKUP(B27,Data!$E:$BM,MATCH(yoy!$P$1,Data!$E$1:$BM$1,),)-VLOOKUP(A27,Data!$E:$BM,MATCH(yoy!$P$1,Data!$E$1:$BM$1,),))/VLOOKUP(A27,Data!$E:$BM,MATCH(yoy!$P$1,Data!$E$1:$BM$1,),))+1)^12-1</f>
        <v/>
      </c>
      <c r="Q27" s="14">
        <f>(((VLOOKUP(B27,Data!$E:$BM,MATCH(yoy!$Q$1,Data!$E$1:$BM$1,),)-VLOOKUP(A27,Data!$E:$BM,MATCH(yoy!$Q$1,Data!$E$1:$BM$1,),))/VLOOKUP(A27,Data!$E:$BM,MATCH(yoy!$Q$1,Data!$E$1:$BM$1,),))+1)^12-1</f>
        <v/>
      </c>
      <c r="R27" s="14">
        <f>(((VLOOKUP(B27,Data!$E:$BM,MATCH(yoy!$R$1,Data!$E$1:$BM$1,),)-VLOOKUP(A27,Data!$E:$BM,MATCH(yoy!$R$1,Data!$E$1:$BM$1,),))/VLOOKUP(A27,Data!$E:$BM,MATCH(yoy!$R$1,Data!$E$1:$BM$1,),))+1)^12-1</f>
        <v/>
      </c>
      <c r="S27" s="14">
        <f>(((VLOOKUP(B27,Data!$E:$BM,MATCH(yoy!$S$1,Data!$E$1:$BM$1,),)-VLOOKUP(A27,Data!$E:$BM,MATCH(yoy!$S$1,Data!$E$1:$BM$1,),))/VLOOKUP(A27,Data!$E:$BM,MATCH(yoy!$S$1,Data!$E$1:$BM$1,),))+1)^12-1</f>
        <v/>
      </c>
      <c r="T27" s="14">
        <f>(((VLOOKUP(B27,Data!$E:$BM,MATCH(yoy!$T$1,Data!$E$1:$BM$1,),)-VLOOKUP(A27,Data!$E:$BM,MATCH(yoy!$T$1,Data!$E$1:$BM$1,),))/VLOOKUP(A27,Data!$E:$BM,MATCH(yoy!$T$1,Data!$E$1:$BM$1,),))+1)^12-1</f>
        <v/>
      </c>
      <c r="U27" s="14">
        <f>(((VLOOKUP(B27,Data!$E:$BM,MATCH(yoy!$U$1,Data!$E$1:$BM$1,),)-VLOOKUP(A27,Data!$E:$BM,MATCH(yoy!$U$1,Data!$E$1:$BM$1,),))/VLOOKUP(A27,Data!$E:$BM,MATCH(yoy!$U$1,Data!$E$1:$BM$1,),))+1)^12-1</f>
        <v/>
      </c>
      <c r="V27" s="14">
        <f>(((VLOOKUP(B27,Data!$E:$BM,MATCH(yoy!$V$1,Data!$E$1:$BM$1,),)-VLOOKUP(A27,Data!$E:$BM,MATCH(yoy!$V$1,Data!$E$1:$BM$1,),))/VLOOKUP(A27,Data!$E:$BM,MATCH(yoy!$V$1,Data!$E$1:$BM$1,),))+1)^12-1</f>
        <v/>
      </c>
      <c r="W27" s="14">
        <f>(((VLOOKUP(B27,Data!$E:$BM,MATCH(yoy!$W$1,Data!$E$1:$BM$1,),)-VLOOKUP(A27,Data!$E:$BM,MATCH(yoy!$W$1,Data!$E$1:$BM$1,),))/VLOOKUP(A27,Data!$E:$BM,MATCH(yoy!$W$1,Data!$E$1:$BM$1,),))+1)^12-1</f>
        <v/>
      </c>
      <c r="X27" s="14">
        <f>(((VLOOKUP(B27,Data!$E:$BM,MATCH(yoy!$X$1,Data!$E$1:$BM$1,),)-VLOOKUP(A27,Data!$E:$BM,MATCH(yoy!$X$1,Data!$E$1:$BM$1,),))/VLOOKUP(A27,Data!$E:$BM,MATCH(yoy!$X$1,Data!$E$1:$BM$1,),))+1)^12-1</f>
        <v/>
      </c>
      <c r="Y27" s="14">
        <f>(((VLOOKUP(B27,Data!$E:$BM,MATCH(yoy!$Y$1,Data!$E$1:$BM$1,),)-VLOOKUP(A27,Data!$E:$BM,MATCH(yoy!$Y$1,Data!$E$1:$BM$1,),))/VLOOKUP(A27,Data!$E:$BM,MATCH(yoy!$Y$1,Data!$E$1:$BM$1,),))+1)^12-1</f>
        <v/>
      </c>
      <c r="Z27" s="14">
        <f>(((VLOOKUP(B27,Data!$E:$BM,MATCH(yoy!$Z$1,Data!$E$1:$BM$1,),)-VLOOKUP(A27,Data!$E:$BM,MATCH(yoy!$Z$1,Data!$E$1:$BM$1,),))/VLOOKUP(A27,Data!$E:$BM,MATCH(yoy!$Z$1,Data!$E$1:$BM$1,),))+1)^12-1</f>
        <v/>
      </c>
      <c r="AA27" s="14">
        <f>(((VLOOKUP(B27,Data!$E:$BM,MATCH(yoy!$AA$1,Data!$E$1:$BM$1,),)-VLOOKUP(A27,Data!$E:$BM,MATCH(yoy!$AA$1,Data!$E$1:$BM$1,),))/VLOOKUP(A27,Data!$E:$BM,MATCH(yoy!$AA$1,Data!$E$1:$BM$1,),))+1)^12-1</f>
        <v/>
      </c>
    </row>
    <row r="28">
      <c r="A28" s="20">
        <f>DATE(YEAR(B28),MONTH(B28)-1,DAY(B28))</f>
        <v/>
      </c>
      <c r="B28" s="12" t="n">
        <v>42705</v>
      </c>
      <c r="C28" s="14">
        <f>(((VLOOKUP(B28,Data!$E:$BM,MATCH(yoy!$C$1,Data!$E$1:$BM$1,),)-VLOOKUP(A28,Data!$E:$BM,MATCH(yoy!$C$1,Data!$E$1:$BM$1,),))/VLOOKUP(A28,Data!$E:$BM,MATCH(yoy!$C$1,Data!$E$1:$BM$1,),))+1)^12-1</f>
        <v/>
      </c>
      <c r="D28" s="14">
        <f>(((VLOOKUP(B28,Data!$E:$BM,MATCH(yoy!$D$1,Data!$E$1:$BM$1,),)-VLOOKUP(A28,Data!$E:$BM,MATCH(yoy!$D$1,Data!$E$1:$BM$1,),))/VLOOKUP(A28,Data!$E:$BM,MATCH(yoy!$D$1,Data!$E$1:$BM$1,),))+1)^12-1</f>
        <v/>
      </c>
      <c r="E28" s="14">
        <f>(((VLOOKUP(B28,Data!$E:$BM,MATCH(yoy!$E$1,Data!$E$1:$BM$1,),)-VLOOKUP(A28,Data!$E:$BM,MATCH(yoy!$E$1,Data!$E$1:$BM$1,),))/VLOOKUP(A28,Data!$E:$BM,MATCH(yoy!$E$1,Data!$E$1:$BM$1,),))+1)^12-1</f>
        <v/>
      </c>
      <c r="F28" s="14">
        <f>(((VLOOKUP(B28,Data!$E:$BM,MATCH(yoy!$F$1,Data!$E$1:$BM$1,),)-VLOOKUP(A28,Data!$E:$BM,MATCH(yoy!$F$1,Data!$E$1:$BM$1,),))/VLOOKUP(A28,Data!$E:$BM,MATCH(yoy!$F$1,Data!$E$1:$BM$1,),))+1)^12-1</f>
        <v/>
      </c>
      <c r="G28" s="14">
        <f>(((VLOOKUP(B28,Data!$E:$BM,MATCH(yoy!$G$1,Data!$E$1:$BM$1,),)-VLOOKUP(A28,Data!$E:$BM,MATCH(yoy!$G$1,Data!$E$1:$BM$1,),))/VLOOKUP(A28,Data!$E:$BM,MATCH(yoy!$G$1,Data!$E$1:$BM$1,),))+1)^12-1</f>
        <v/>
      </c>
      <c r="H28" s="14">
        <f>(((VLOOKUP(B28,Data!$E:$BM,MATCH(yoy!$H$1,Data!$E$1:$BM$1,),)-VLOOKUP(A28,Data!$E:$BM,MATCH(yoy!$H$1,Data!$E$1:$BM$1,),))/VLOOKUP(A28,Data!$E:$BM,MATCH(yoy!$H$1,Data!$E$1:$BM$1,),))+1)^12-1</f>
        <v/>
      </c>
      <c r="I28" s="14">
        <f>(((VLOOKUP(B28,Data!$E:$BM,MATCH(yoy!$I$1,Data!$E$1:$BM$1,),)-VLOOKUP(A28,Data!$E:$BM,MATCH(yoy!$I$1,Data!$E$1:$BM$1,),))/VLOOKUP(A28,Data!$E:$BM,MATCH(yoy!$I$1,Data!$E$1:$BM$1,),))+1)^12-1</f>
        <v/>
      </c>
      <c r="J28" s="14">
        <f>(((VLOOKUP(B28,Data!$E:$BM,MATCH(yoy!$J$1,Data!$E$1:$BM$1,),)-VLOOKUP(A28,Data!$E:$BM,MATCH(yoy!$J$1,Data!$E$1:$BM$1,),))/VLOOKUP(A28,Data!$E:$BM,MATCH(yoy!$J$1,Data!$E$1:$BM$1,),))+1)^12-1</f>
        <v/>
      </c>
      <c r="K28" s="14">
        <f>(((VLOOKUP(B28,Data!$E:$BM,MATCH(yoy!$K$1,Data!$E$1:$BM$1,),)-VLOOKUP(A28,Data!$E:$BM,MATCH(yoy!$K$1,Data!$E$1:$BM$1,),))/VLOOKUP(A28,Data!$E:$BM,MATCH(yoy!$K$1,Data!$E$1:$BM$1,),))+1)^12-1</f>
        <v/>
      </c>
      <c r="L28" s="14">
        <f>(((VLOOKUP(B28,Data!$E:$BM,MATCH(yoy!$L$1,Data!$E$1:$BM$1,),)-VLOOKUP(A28,Data!$E:$BM,MATCH(yoy!$L$1,Data!$E$1:$BM$1,),))/VLOOKUP(A28,Data!$E:$BM,MATCH(yoy!$L$1,Data!$E$1:$BM$1,),))+1)^12-1</f>
        <v/>
      </c>
      <c r="M28" s="14">
        <f>(((VLOOKUP(B28,Data!$E:$BM,MATCH(yoy!$M$1,Data!$E$1:$BM$1,),)-VLOOKUP(A28,Data!$E:$BM,MATCH(yoy!$M$1,Data!$E$1:$BM$1,),))/VLOOKUP(A28,Data!$E:$BM,MATCH(yoy!$M$1,Data!$E$1:$BM$1,),))+1)^12-1</f>
        <v/>
      </c>
      <c r="N28" s="14">
        <f>(((VLOOKUP(B28,Data!$E:$BM,MATCH(yoy!$N$1,Data!$E$1:$BM$1,),)-VLOOKUP(A28,Data!$E:$BM,MATCH(yoy!$N$1,Data!$E$1:$BM$1,),))/VLOOKUP(A28,Data!$E:$BM,MATCH(yoy!$N$1,Data!$E$1:$BM$1,),))+1)^12-1</f>
        <v/>
      </c>
      <c r="O28" s="14">
        <f>(((VLOOKUP(B28,Data!$E:$BM,MATCH(yoy!$O$1,Data!$E$1:$BM$1,),)-VLOOKUP(A28,Data!$E:$BM,MATCH(yoy!$O$1,Data!$E$1:$BM$1,),))/VLOOKUP(A28,Data!$E:$BM,MATCH(yoy!$O$1,Data!$E$1:$BM$1,),))+1)^12-1</f>
        <v/>
      </c>
      <c r="P28" s="14">
        <f>(((VLOOKUP(B28,Data!$E:$BM,MATCH(yoy!$P$1,Data!$E$1:$BM$1,),)-VLOOKUP(A28,Data!$E:$BM,MATCH(yoy!$P$1,Data!$E$1:$BM$1,),))/VLOOKUP(A28,Data!$E:$BM,MATCH(yoy!$P$1,Data!$E$1:$BM$1,),))+1)^12-1</f>
        <v/>
      </c>
      <c r="Q28" s="14">
        <f>(((VLOOKUP(B28,Data!$E:$BM,MATCH(yoy!$Q$1,Data!$E$1:$BM$1,),)-VLOOKUP(A28,Data!$E:$BM,MATCH(yoy!$Q$1,Data!$E$1:$BM$1,),))/VLOOKUP(A28,Data!$E:$BM,MATCH(yoy!$Q$1,Data!$E$1:$BM$1,),))+1)^12-1</f>
        <v/>
      </c>
      <c r="R28" s="14">
        <f>(((VLOOKUP(B28,Data!$E:$BM,MATCH(yoy!$R$1,Data!$E$1:$BM$1,),)-VLOOKUP(A28,Data!$E:$BM,MATCH(yoy!$R$1,Data!$E$1:$BM$1,),))/VLOOKUP(A28,Data!$E:$BM,MATCH(yoy!$R$1,Data!$E$1:$BM$1,),))+1)^12-1</f>
        <v/>
      </c>
      <c r="S28" s="14">
        <f>(((VLOOKUP(B28,Data!$E:$BM,MATCH(yoy!$S$1,Data!$E$1:$BM$1,),)-VLOOKUP(A28,Data!$E:$BM,MATCH(yoy!$S$1,Data!$E$1:$BM$1,),))/VLOOKUP(A28,Data!$E:$BM,MATCH(yoy!$S$1,Data!$E$1:$BM$1,),))+1)^12-1</f>
        <v/>
      </c>
      <c r="T28" s="14">
        <f>(((VLOOKUP(B28,Data!$E:$BM,MATCH(yoy!$T$1,Data!$E$1:$BM$1,),)-VLOOKUP(A28,Data!$E:$BM,MATCH(yoy!$T$1,Data!$E$1:$BM$1,),))/VLOOKUP(A28,Data!$E:$BM,MATCH(yoy!$T$1,Data!$E$1:$BM$1,),))+1)^12-1</f>
        <v/>
      </c>
      <c r="U28" s="14">
        <f>(((VLOOKUP(B28,Data!$E:$BM,MATCH(yoy!$U$1,Data!$E$1:$BM$1,),)-VLOOKUP(A28,Data!$E:$BM,MATCH(yoy!$U$1,Data!$E$1:$BM$1,),))/VLOOKUP(A28,Data!$E:$BM,MATCH(yoy!$U$1,Data!$E$1:$BM$1,),))+1)^12-1</f>
        <v/>
      </c>
      <c r="V28" s="14">
        <f>(((VLOOKUP(B28,Data!$E:$BM,MATCH(yoy!$V$1,Data!$E$1:$BM$1,),)-VLOOKUP(A28,Data!$E:$BM,MATCH(yoy!$V$1,Data!$E$1:$BM$1,),))/VLOOKUP(A28,Data!$E:$BM,MATCH(yoy!$V$1,Data!$E$1:$BM$1,),))+1)^12-1</f>
        <v/>
      </c>
      <c r="W28" s="14">
        <f>(((VLOOKUP(B28,Data!$E:$BM,MATCH(yoy!$W$1,Data!$E$1:$BM$1,),)-VLOOKUP(A28,Data!$E:$BM,MATCH(yoy!$W$1,Data!$E$1:$BM$1,),))/VLOOKUP(A28,Data!$E:$BM,MATCH(yoy!$W$1,Data!$E$1:$BM$1,),))+1)^12-1</f>
        <v/>
      </c>
      <c r="X28" s="14">
        <f>(((VLOOKUP(B28,Data!$E:$BM,MATCH(yoy!$X$1,Data!$E$1:$BM$1,),)-VLOOKUP(A28,Data!$E:$BM,MATCH(yoy!$X$1,Data!$E$1:$BM$1,),))/VLOOKUP(A28,Data!$E:$BM,MATCH(yoy!$X$1,Data!$E$1:$BM$1,),))+1)^12-1</f>
        <v/>
      </c>
      <c r="Y28" s="14">
        <f>(((VLOOKUP(B28,Data!$E:$BM,MATCH(yoy!$Y$1,Data!$E$1:$BM$1,),)-VLOOKUP(A28,Data!$E:$BM,MATCH(yoy!$Y$1,Data!$E$1:$BM$1,),))/VLOOKUP(A28,Data!$E:$BM,MATCH(yoy!$Y$1,Data!$E$1:$BM$1,),))+1)^12-1</f>
        <v/>
      </c>
      <c r="Z28" s="14">
        <f>(((VLOOKUP(B28,Data!$E:$BM,MATCH(yoy!$Z$1,Data!$E$1:$BM$1,),)-VLOOKUP(A28,Data!$E:$BM,MATCH(yoy!$Z$1,Data!$E$1:$BM$1,),))/VLOOKUP(A28,Data!$E:$BM,MATCH(yoy!$Z$1,Data!$E$1:$BM$1,),))+1)^12-1</f>
        <v/>
      </c>
      <c r="AA28" s="14">
        <f>(((VLOOKUP(B28,Data!$E:$BM,MATCH(yoy!$AA$1,Data!$E$1:$BM$1,),)-VLOOKUP(A28,Data!$E:$BM,MATCH(yoy!$AA$1,Data!$E$1:$BM$1,),))/VLOOKUP(A28,Data!$E:$BM,MATCH(yoy!$AA$1,Data!$E$1:$BM$1,),))+1)^12-1</f>
        <v/>
      </c>
    </row>
    <row r="29">
      <c r="A29" s="20">
        <f>DATE(YEAR(B29),MONTH(B29)-1,DAY(B29))</f>
        <v/>
      </c>
      <c r="B29" s="12" t="n">
        <v>42736</v>
      </c>
      <c r="C29" s="14">
        <f>(((VLOOKUP(B29,Data!$E:$BM,MATCH(yoy!$C$1,Data!$E$1:$BM$1,),)-VLOOKUP(A29,Data!$E:$BM,MATCH(yoy!$C$1,Data!$E$1:$BM$1,),))/VLOOKUP(A29,Data!$E:$BM,MATCH(yoy!$C$1,Data!$E$1:$BM$1,),))+1)^12-1</f>
        <v/>
      </c>
      <c r="D29" s="14">
        <f>(((VLOOKUP(B29,Data!$E:$BM,MATCH(yoy!$D$1,Data!$E$1:$BM$1,),)-VLOOKUP(A29,Data!$E:$BM,MATCH(yoy!$D$1,Data!$E$1:$BM$1,),))/VLOOKUP(A29,Data!$E:$BM,MATCH(yoy!$D$1,Data!$E$1:$BM$1,),))+1)^12-1</f>
        <v/>
      </c>
      <c r="E29" s="14">
        <f>(((VLOOKUP(B29,Data!$E:$BM,MATCH(yoy!$E$1,Data!$E$1:$BM$1,),)-VLOOKUP(A29,Data!$E:$BM,MATCH(yoy!$E$1,Data!$E$1:$BM$1,),))/VLOOKUP(A29,Data!$E:$BM,MATCH(yoy!$E$1,Data!$E$1:$BM$1,),))+1)^12-1</f>
        <v/>
      </c>
      <c r="F29" s="14">
        <f>(((VLOOKUP(B29,Data!$E:$BM,MATCH(yoy!$F$1,Data!$E$1:$BM$1,),)-VLOOKUP(A29,Data!$E:$BM,MATCH(yoy!$F$1,Data!$E$1:$BM$1,),))/VLOOKUP(A29,Data!$E:$BM,MATCH(yoy!$F$1,Data!$E$1:$BM$1,),))+1)^12-1</f>
        <v/>
      </c>
      <c r="G29" s="14">
        <f>(((VLOOKUP(B29,Data!$E:$BM,MATCH(yoy!$G$1,Data!$E$1:$BM$1,),)-VLOOKUP(A29,Data!$E:$BM,MATCH(yoy!$G$1,Data!$E$1:$BM$1,),))/VLOOKUP(A29,Data!$E:$BM,MATCH(yoy!$G$1,Data!$E$1:$BM$1,),))+1)^12-1</f>
        <v/>
      </c>
      <c r="H29" s="14">
        <f>(((VLOOKUP(B29,Data!$E:$BM,MATCH(yoy!$H$1,Data!$E$1:$BM$1,),)-VLOOKUP(A29,Data!$E:$BM,MATCH(yoy!$H$1,Data!$E$1:$BM$1,),))/VLOOKUP(A29,Data!$E:$BM,MATCH(yoy!$H$1,Data!$E$1:$BM$1,),))+1)^12-1</f>
        <v/>
      </c>
      <c r="I29" s="14">
        <f>(((VLOOKUP(B29,Data!$E:$BM,MATCH(yoy!$I$1,Data!$E$1:$BM$1,),)-VLOOKUP(A29,Data!$E:$BM,MATCH(yoy!$I$1,Data!$E$1:$BM$1,),))/VLOOKUP(A29,Data!$E:$BM,MATCH(yoy!$I$1,Data!$E$1:$BM$1,),))+1)^12-1</f>
        <v/>
      </c>
      <c r="J29" s="14">
        <f>(((VLOOKUP(B29,Data!$E:$BM,MATCH(yoy!$J$1,Data!$E$1:$BM$1,),)-VLOOKUP(A29,Data!$E:$BM,MATCH(yoy!$J$1,Data!$E$1:$BM$1,),))/VLOOKUP(A29,Data!$E:$BM,MATCH(yoy!$J$1,Data!$E$1:$BM$1,),))+1)^12-1</f>
        <v/>
      </c>
      <c r="K29" s="14">
        <f>(((VLOOKUP(B29,Data!$E:$BM,MATCH(yoy!$K$1,Data!$E$1:$BM$1,),)-VLOOKUP(A29,Data!$E:$BM,MATCH(yoy!$K$1,Data!$E$1:$BM$1,),))/VLOOKUP(A29,Data!$E:$BM,MATCH(yoy!$K$1,Data!$E$1:$BM$1,),))+1)^12-1</f>
        <v/>
      </c>
      <c r="L29" s="14">
        <f>(((VLOOKUP(B29,Data!$E:$BM,MATCH(yoy!$L$1,Data!$E$1:$BM$1,),)-VLOOKUP(A29,Data!$E:$BM,MATCH(yoy!$L$1,Data!$E$1:$BM$1,),))/VLOOKUP(A29,Data!$E:$BM,MATCH(yoy!$L$1,Data!$E$1:$BM$1,),))+1)^12-1</f>
        <v/>
      </c>
      <c r="M29" s="14">
        <f>(((VLOOKUP(B29,Data!$E:$BM,MATCH(yoy!$M$1,Data!$E$1:$BM$1,),)-VLOOKUP(A29,Data!$E:$BM,MATCH(yoy!$M$1,Data!$E$1:$BM$1,),))/VLOOKUP(A29,Data!$E:$BM,MATCH(yoy!$M$1,Data!$E$1:$BM$1,),))+1)^12-1</f>
        <v/>
      </c>
      <c r="N29" s="14">
        <f>(((VLOOKUP(B29,Data!$E:$BM,MATCH(yoy!$N$1,Data!$E$1:$BM$1,),)-VLOOKUP(A29,Data!$E:$BM,MATCH(yoy!$N$1,Data!$E$1:$BM$1,),))/VLOOKUP(A29,Data!$E:$BM,MATCH(yoy!$N$1,Data!$E$1:$BM$1,),))+1)^12-1</f>
        <v/>
      </c>
      <c r="O29" s="14">
        <f>(((VLOOKUP(B29,Data!$E:$BM,MATCH(yoy!$O$1,Data!$E$1:$BM$1,),)-VLOOKUP(A29,Data!$E:$BM,MATCH(yoy!$O$1,Data!$E$1:$BM$1,),))/VLOOKUP(A29,Data!$E:$BM,MATCH(yoy!$O$1,Data!$E$1:$BM$1,),))+1)^12-1</f>
        <v/>
      </c>
      <c r="P29" s="14">
        <f>(((VLOOKUP(B29,Data!$E:$BM,MATCH(yoy!$P$1,Data!$E$1:$BM$1,),)-VLOOKUP(A29,Data!$E:$BM,MATCH(yoy!$P$1,Data!$E$1:$BM$1,),))/VLOOKUP(A29,Data!$E:$BM,MATCH(yoy!$P$1,Data!$E$1:$BM$1,),))+1)^12-1</f>
        <v/>
      </c>
      <c r="Q29" s="14">
        <f>(((VLOOKUP(B29,Data!$E:$BM,MATCH(yoy!$Q$1,Data!$E$1:$BM$1,),)-VLOOKUP(A29,Data!$E:$BM,MATCH(yoy!$Q$1,Data!$E$1:$BM$1,),))/VLOOKUP(A29,Data!$E:$BM,MATCH(yoy!$Q$1,Data!$E$1:$BM$1,),))+1)^12-1</f>
        <v/>
      </c>
      <c r="R29" s="14">
        <f>(((VLOOKUP(B29,Data!$E:$BM,MATCH(yoy!$R$1,Data!$E$1:$BM$1,),)-VLOOKUP(A29,Data!$E:$BM,MATCH(yoy!$R$1,Data!$E$1:$BM$1,),))/VLOOKUP(A29,Data!$E:$BM,MATCH(yoy!$R$1,Data!$E$1:$BM$1,),))+1)^12-1</f>
        <v/>
      </c>
      <c r="S29" s="14">
        <f>(((VLOOKUP(B29,Data!$E:$BM,MATCH(yoy!$S$1,Data!$E$1:$BM$1,),)-VLOOKUP(A29,Data!$E:$BM,MATCH(yoy!$S$1,Data!$E$1:$BM$1,),))/VLOOKUP(A29,Data!$E:$BM,MATCH(yoy!$S$1,Data!$E$1:$BM$1,),))+1)^12-1</f>
        <v/>
      </c>
      <c r="T29" s="14">
        <f>(((VLOOKUP(B29,Data!$E:$BM,MATCH(yoy!$T$1,Data!$E$1:$BM$1,),)-VLOOKUP(A29,Data!$E:$BM,MATCH(yoy!$T$1,Data!$E$1:$BM$1,),))/VLOOKUP(A29,Data!$E:$BM,MATCH(yoy!$T$1,Data!$E$1:$BM$1,),))+1)^12-1</f>
        <v/>
      </c>
      <c r="U29" s="14">
        <f>(((VLOOKUP(B29,Data!$E:$BM,MATCH(yoy!$U$1,Data!$E$1:$BM$1,),)-VLOOKUP(A29,Data!$E:$BM,MATCH(yoy!$U$1,Data!$E$1:$BM$1,),))/VLOOKUP(A29,Data!$E:$BM,MATCH(yoy!$U$1,Data!$E$1:$BM$1,),))+1)^12-1</f>
        <v/>
      </c>
      <c r="V29" s="14">
        <f>(((VLOOKUP(B29,Data!$E:$BM,MATCH(yoy!$V$1,Data!$E$1:$BM$1,),)-VLOOKUP(A29,Data!$E:$BM,MATCH(yoy!$V$1,Data!$E$1:$BM$1,),))/VLOOKUP(A29,Data!$E:$BM,MATCH(yoy!$V$1,Data!$E$1:$BM$1,),))+1)^12-1</f>
        <v/>
      </c>
      <c r="W29" s="14">
        <f>(((VLOOKUP(B29,Data!$E:$BM,MATCH(yoy!$W$1,Data!$E$1:$BM$1,),)-VLOOKUP(A29,Data!$E:$BM,MATCH(yoy!$W$1,Data!$E$1:$BM$1,),))/VLOOKUP(A29,Data!$E:$BM,MATCH(yoy!$W$1,Data!$E$1:$BM$1,),))+1)^12-1</f>
        <v/>
      </c>
      <c r="X29" s="14">
        <f>(((VLOOKUP(B29,Data!$E:$BM,MATCH(yoy!$X$1,Data!$E$1:$BM$1,),)-VLOOKUP(A29,Data!$E:$BM,MATCH(yoy!$X$1,Data!$E$1:$BM$1,),))/VLOOKUP(A29,Data!$E:$BM,MATCH(yoy!$X$1,Data!$E$1:$BM$1,),))+1)^12-1</f>
        <v/>
      </c>
      <c r="Y29" s="14">
        <f>(((VLOOKUP(B29,Data!$E:$BM,MATCH(yoy!$Y$1,Data!$E$1:$BM$1,),)-VLOOKUP(A29,Data!$E:$BM,MATCH(yoy!$Y$1,Data!$E$1:$BM$1,),))/VLOOKUP(A29,Data!$E:$BM,MATCH(yoy!$Y$1,Data!$E$1:$BM$1,),))+1)^12-1</f>
        <v/>
      </c>
      <c r="Z29" s="14">
        <f>(((VLOOKUP(B29,Data!$E:$BM,MATCH(yoy!$Z$1,Data!$E$1:$BM$1,),)-VLOOKUP(A29,Data!$E:$BM,MATCH(yoy!$Z$1,Data!$E$1:$BM$1,),))/VLOOKUP(A29,Data!$E:$BM,MATCH(yoy!$Z$1,Data!$E$1:$BM$1,),))+1)^12-1</f>
        <v/>
      </c>
      <c r="AA29" s="14">
        <f>(((VLOOKUP(B29,Data!$E:$BM,MATCH(yoy!$AA$1,Data!$E$1:$BM$1,),)-VLOOKUP(A29,Data!$E:$BM,MATCH(yoy!$AA$1,Data!$E$1:$BM$1,),))/VLOOKUP(A29,Data!$E:$BM,MATCH(yoy!$AA$1,Data!$E$1:$BM$1,),))+1)^12-1</f>
        <v/>
      </c>
    </row>
    <row r="30">
      <c r="A30" s="20">
        <f>DATE(YEAR(B30),MONTH(B30)-1,DAY(B30))</f>
        <v/>
      </c>
      <c r="B30" s="12" t="n">
        <v>42767</v>
      </c>
      <c r="C30" s="14">
        <f>(((VLOOKUP(B30,Data!$E:$BM,MATCH(yoy!$C$1,Data!$E$1:$BM$1,),)-VLOOKUP(A30,Data!$E:$BM,MATCH(yoy!$C$1,Data!$E$1:$BM$1,),))/VLOOKUP(A30,Data!$E:$BM,MATCH(yoy!$C$1,Data!$E$1:$BM$1,),))+1)^12-1</f>
        <v/>
      </c>
      <c r="D30" s="14">
        <f>(((VLOOKUP(B30,Data!$E:$BM,MATCH(yoy!$D$1,Data!$E$1:$BM$1,),)-VLOOKUP(A30,Data!$E:$BM,MATCH(yoy!$D$1,Data!$E$1:$BM$1,),))/VLOOKUP(A30,Data!$E:$BM,MATCH(yoy!$D$1,Data!$E$1:$BM$1,),))+1)^12-1</f>
        <v/>
      </c>
      <c r="E30" s="14">
        <f>(((VLOOKUP(B30,Data!$E:$BM,MATCH(yoy!$E$1,Data!$E$1:$BM$1,),)-VLOOKUP(A30,Data!$E:$BM,MATCH(yoy!$E$1,Data!$E$1:$BM$1,),))/VLOOKUP(A30,Data!$E:$BM,MATCH(yoy!$E$1,Data!$E$1:$BM$1,),))+1)^12-1</f>
        <v/>
      </c>
      <c r="F30" s="14">
        <f>(((VLOOKUP(B30,Data!$E:$BM,MATCH(yoy!$F$1,Data!$E$1:$BM$1,),)-VLOOKUP(A30,Data!$E:$BM,MATCH(yoy!$F$1,Data!$E$1:$BM$1,),))/VLOOKUP(A30,Data!$E:$BM,MATCH(yoy!$F$1,Data!$E$1:$BM$1,),))+1)^12-1</f>
        <v/>
      </c>
      <c r="G30" s="14">
        <f>(((VLOOKUP(B30,Data!$E:$BM,MATCH(yoy!$G$1,Data!$E$1:$BM$1,),)-VLOOKUP(A30,Data!$E:$BM,MATCH(yoy!$G$1,Data!$E$1:$BM$1,),))/VLOOKUP(A30,Data!$E:$BM,MATCH(yoy!$G$1,Data!$E$1:$BM$1,),))+1)^12-1</f>
        <v/>
      </c>
      <c r="H30" s="14">
        <f>(((VLOOKUP(B30,Data!$E:$BM,MATCH(yoy!$H$1,Data!$E$1:$BM$1,),)-VLOOKUP(A30,Data!$E:$BM,MATCH(yoy!$H$1,Data!$E$1:$BM$1,),))/VLOOKUP(A30,Data!$E:$BM,MATCH(yoy!$H$1,Data!$E$1:$BM$1,),))+1)^12-1</f>
        <v/>
      </c>
      <c r="I30" s="14">
        <f>(((VLOOKUP(B30,Data!$E:$BM,MATCH(yoy!$I$1,Data!$E$1:$BM$1,),)-VLOOKUP(A30,Data!$E:$BM,MATCH(yoy!$I$1,Data!$E$1:$BM$1,),))/VLOOKUP(A30,Data!$E:$BM,MATCH(yoy!$I$1,Data!$E$1:$BM$1,),))+1)^12-1</f>
        <v/>
      </c>
      <c r="J30" s="14">
        <f>(((VLOOKUP(B30,Data!$E:$BM,MATCH(yoy!$J$1,Data!$E$1:$BM$1,),)-VLOOKUP(A30,Data!$E:$BM,MATCH(yoy!$J$1,Data!$E$1:$BM$1,),))/VLOOKUP(A30,Data!$E:$BM,MATCH(yoy!$J$1,Data!$E$1:$BM$1,),))+1)^12-1</f>
        <v/>
      </c>
      <c r="K30" s="14">
        <f>(((VLOOKUP(B30,Data!$E:$BM,MATCH(yoy!$K$1,Data!$E$1:$BM$1,),)-VLOOKUP(A30,Data!$E:$BM,MATCH(yoy!$K$1,Data!$E$1:$BM$1,),))/VLOOKUP(A30,Data!$E:$BM,MATCH(yoy!$K$1,Data!$E$1:$BM$1,),))+1)^12-1</f>
        <v/>
      </c>
      <c r="L30" s="14">
        <f>(((VLOOKUP(B30,Data!$E:$BM,MATCH(yoy!$L$1,Data!$E$1:$BM$1,),)-VLOOKUP(A30,Data!$E:$BM,MATCH(yoy!$L$1,Data!$E$1:$BM$1,),))/VLOOKUP(A30,Data!$E:$BM,MATCH(yoy!$L$1,Data!$E$1:$BM$1,),))+1)^12-1</f>
        <v/>
      </c>
      <c r="M30" s="14">
        <f>(((VLOOKUP(B30,Data!$E:$BM,MATCH(yoy!$M$1,Data!$E$1:$BM$1,),)-VLOOKUP(A30,Data!$E:$BM,MATCH(yoy!$M$1,Data!$E$1:$BM$1,),))/VLOOKUP(A30,Data!$E:$BM,MATCH(yoy!$M$1,Data!$E$1:$BM$1,),))+1)^12-1</f>
        <v/>
      </c>
      <c r="N30" s="14">
        <f>(((VLOOKUP(B30,Data!$E:$BM,MATCH(yoy!$N$1,Data!$E$1:$BM$1,),)-VLOOKUP(A30,Data!$E:$BM,MATCH(yoy!$N$1,Data!$E$1:$BM$1,),))/VLOOKUP(A30,Data!$E:$BM,MATCH(yoy!$N$1,Data!$E$1:$BM$1,),))+1)^12-1</f>
        <v/>
      </c>
      <c r="O30" s="14">
        <f>(((VLOOKUP(B30,Data!$E:$BM,MATCH(yoy!$O$1,Data!$E$1:$BM$1,),)-VLOOKUP(A30,Data!$E:$BM,MATCH(yoy!$O$1,Data!$E$1:$BM$1,),))/VLOOKUP(A30,Data!$E:$BM,MATCH(yoy!$O$1,Data!$E$1:$BM$1,),))+1)^12-1</f>
        <v/>
      </c>
      <c r="P30" s="14">
        <f>(((VLOOKUP(B30,Data!$E:$BM,MATCH(yoy!$P$1,Data!$E$1:$BM$1,),)-VLOOKUP(A30,Data!$E:$BM,MATCH(yoy!$P$1,Data!$E$1:$BM$1,),))/VLOOKUP(A30,Data!$E:$BM,MATCH(yoy!$P$1,Data!$E$1:$BM$1,),))+1)^12-1</f>
        <v/>
      </c>
      <c r="Q30" s="14">
        <f>(((VLOOKUP(B30,Data!$E:$BM,MATCH(yoy!$Q$1,Data!$E$1:$BM$1,),)-VLOOKUP(A30,Data!$E:$BM,MATCH(yoy!$Q$1,Data!$E$1:$BM$1,),))/VLOOKUP(A30,Data!$E:$BM,MATCH(yoy!$Q$1,Data!$E$1:$BM$1,),))+1)^12-1</f>
        <v/>
      </c>
      <c r="R30" s="14">
        <f>(((VLOOKUP(B30,Data!$E:$BM,MATCH(yoy!$R$1,Data!$E$1:$BM$1,),)-VLOOKUP(A30,Data!$E:$BM,MATCH(yoy!$R$1,Data!$E$1:$BM$1,),))/VLOOKUP(A30,Data!$E:$BM,MATCH(yoy!$R$1,Data!$E$1:$BM$1,),))+1)^12-1</f>
        <v/>
      </c>
      <c r="S30" s="14">
        <f>(((VLOOKUP(B30,Data!$E:$BM,MATCH(yoy!$S$1,Data!$E$1:$BM$1,),)-VLOOKUP(A30,Data!$E:$BM,MATCH(yoy!$S$1,Data!$E$1:$BM$1,),))/VLOOKUP(A30,Data!$E:$BM,MATCH(yoy!$S$1,Data!$E$1:$BM$1,),))+1)^12-1</f>
        <v/>
      </c>
      <c r="T30" s="14">
        <f>(((VLOOKUP(B30,Data!$E:$BM,MATCH(yoy!$T$1,Data!$E$1:$BM$1,),)-VLOOKUP(A30,Data!$E:$BM,MATCH(yoy!$T$1,Data!$E$1:$BM$1,),))/VLOOKUP(A30,Data!$E:$BM,MATCH(yoy!$T$1,Data!$E$1:$BM$1,),))+1)^12-1</f>
        <v/>
      </c>
      <c r="U30" s="14">
        <f>(((VLOOKUP(B30,Data!$E:$BM,MATCH(yoy!$U$1,Data!$E$1:$BM$1,),)-VLOOKUP(A30,Data!$E:$BM,MATCH(yoy!$U$1,Data!$E$1:$BM$1,),))/VLOOKUP(A30,Data!$E:$BM,MATCH(yoy!$U$1,Data!$E$1:$BM$1,),))+1)^12-1</f>
        <v/>
      </c>
      <c r="V30" s="14">
        <f>(((VLOOKUP(B30,Data!$E:$BM,MATCH(yoy!$V$1,Data!$E$1:$BM$1,),)-VLOOKUP(A30,Data!$E:$BM,MATCH(yoy!$V$1,Data!$E$1:$BM$1,),))/VLOOKUP(A30,Data!$E:$BM,MATCH(yoy!$V$1,Data!$E$1:$BM$1,),))+1)^12-1</f>
        <v/>
      </c>
      <c r="W30" s="14">
        <f>(((VLOOKUP(B30,Data!$E:$BM,MATCH(yoy!$W$1,Data!$E$1:$BM$1,),)-VLOOKUP(A30,Data!$E:$BM,MATCH(yoy!$W$1,Data!$E$1:$BM$1,),))/VLOOKUP(A30,Data!$E:$BM,MATCH(yoy!$W$1,Data!$E$1:$BM$1,),))+1)^12-1</f>
        <v/>
      </c>
      <c r="X30" s="14">
        <f>(((VLOOKUP(B30,Data!$E:$BM,MATCH(yoy!$X$1,Data!$E$1:$BM$1,),)-VLOOKUP(A30,Data!$E:$BM,MATCH(yoy!$X$1,Data!$E$1:$BM$1,),))/VLOOKUP(A30,Data!$E:$BM,MATCH(yoy!$X$1,Data!$E$1:$BM$1,),))+1)^12-1</f>
        <v/>
      </c>
      <c r="Y30" s="14">
        <f>(((VLOOKUP(B30,Data!$E:$BM,MATCH(yoy!$Y$1,Data!$E$1:$BM$1,),)-VLOOKUP(A30,Data!$E:$BM,MATCH(yoy!$Y$1,Data!$E$1:$BM$1,),))/VLOOKUP(A30,Data!$E:$BM,MATCH(yoy!$Y$1,Data!$E$1:$BM$1,),))+1)^12-1</f>
        <v/>
      </c>
      <c r="Z30" s="14">
        <f>(((VLOOKUP(B30,Data!$E:$BM,MATCH(yoy!$Z$1,Data!$E$1:$BM$1,),)-VLOOKUP(A30,Data!$E:$BM,MATCH(yoy!$Z$1,Data!$E$1:$BM$1,),))/VLOOKUP(A30,Data!$E:$BM,MATCH(yoy!$Z$1,Data!$E$1:$BM$1,),))+1)^12-1</f>
        <v/>
      </c>
      <c r="AA30" s="14">
        <f>(((VLOOKUP(B30,Data!$E:$BM,MATCH(yoy!$AA$1,Data!$E$1:$BM$1,),)-VLOOKUP(A30,Data!$E:$BM,MATCH(yoy!$AA$1,Data!$E$1:$BM$1,),))/VLOOKUP(A30,Data!$E:$BM,MATCH(yoy!$AA$1,Data!$E$1:$BM$1,),))+1)^12-1</f>
        <v/>
      </c>
    </row>
    <row r="31">
      <c r="A31" s="20">
        <f>DATE(YEAR(B31),MONTH(B31)-1,DAY(B31))</f>
        <v/>
      </c>
      <c r="B31" s="12" t="n">
        <v>42795</v>
      </c>
      <c r="C31" s="14">
        <f>(((VLOOKUP(B31,Data!$E:$BM,MATCH(yoy!$C$1,Data!$E$1:$BM$1,),)-VLOOKUP(A31,Data!$E:$BM,MATCH(yoy!$C$1,Data!$E$1:$BM$1,),))/VLOOKUP(A31,Data!$E:$BM,MATCH(yoy!$C$1,Data!$E$1:$BM$1,),))+1)^12-1</f>
        <v/>
      </c>
      <c r="D31" s="14">
        <f>(((VLOOKUP(B31,Data!$E:$BM,MATCH(yoy!$D$1,Data!$E$1:$BM$1,),)-VLOOKUP(A31,Data!$E:$BM,MATCH(yoy!$D$1,Data!$E$1:$BM$1,),))/VLOOKUP(A31,Data!$E:$BM,MATCH(yoy!$D$1,Data!$E$1:$BM$1,),))+1)^12-1</f>
        <v/>
      </c>
      <c r="E31" s="14">
        <f>(((VLOOKUP(B31,Data!$E:$BM,MATCH(yoy!$E$1,Data!$E$1:$BM$1,),)-VLOOKUP(A31,Data!$E:$BM,MATCH(yoy!$E$1,Data!$E$1:$BM$1,),))/VLOOKUP(A31,Data!$E:$BM,MATCH(yoy!$E$1,Data!$E$1:$BM$1,),))+1)^12-1</f>
        <v/>
      </c>
      <c r="F31" s="14">
        <f>(((VLOOKUP(B31,Data!$E:$BM,MATCH(yoy!$F$1,Data!$E$1:$BM$1,),)-VLOOKUP(A31,Data!$E:$BM,MATCH(yoy!$F$1,Data!$E$1:$BM$1,),))/VLOOKUP(A31,Data!$E:$BM,MATCH(yoy!$F$1,Data!$E$1:$BM$1,),))+1)^12-1</f>
        <v/>
      </c>
      <c r="G31" s="14">
        <f>(((VLOOKUP(B31,Data!$E:$BM,MATCH(yoy!$G$1,Data!$E$1:$BM$1,),)-VLOOKUP(A31,Data!$E:$BM,MATCH(yoy!$G$1,Data!$E$1:$BM$1,),))/VLOOKUP(A31,Data!$E:$BM,MATCH(yoy!$G$1,Data!$E$1:$BM$1,),))+1)^12-1</f>
        <v/>
      </c>
      <c r="H31" s="14">
        <f>(((VLOOKUP(B31,Data!$E:$BM,MATCH(yoy!$H$1,Data!$E$1:$BM$1,),)-VLOOKUP(A31,Data!$E:$BM,MATCH(yoy!$H$1,Data!$E$1:$BM$1,),))/VLOOKUP(A31,Data!$E:$BM,MATCH(yoy!$H$1,Data!$E$1:$BM$1,),))+1)^12-1</f>
        <v/>
      </c>
      <c r="I31" s="14">
        <f>(((VLOOKUP(B31,Data!$E:$BM,MATCH(yoy!$I$1,Data!$E$1:$BM$1,),)-VLOOKUP(A31,Data!$E:$BM,MATCH(yoy!$I$1,Data!$E$1:$BM$1,),))/VLOOKUP(A31,Data!$E:$BM,MATCH(yoy!$I$1,Data!$E$1:$BM$1,),))+1)^12-1</f>
        <v/>
      </c>
      <c r="J31" s="14">
        <f>(((VLOOKUP(B31,Data!$E:$BM,MATCH(yoy!$J$1,Data!$E$1:$BM$1,),)-VLOOKUP(A31,Data!$E:$BM,MATCH(yoy!$J$1,Data!$E$1:$BM$1,),))/VLOOKUP(A31,Data!$E:$BM,MATCH(yoy!$J$1,Data!$E$1:$BM$1,),))+1)^12-1</f>
        <v/>
      </c>
      <c r="K31" s="14">
        <f>(((VLOOKUP(B31,Data!$E:$BM,MATCH(yoy!$K$1,Data!$E$1:$BM$1,),)-VLOOKUP(A31,Data!$E:$BM,MATCH(yoy!$K$1,Data!$E$1:$BM$1,),))/VLOOKUP(A31,Data!$E:$BM,MATCH(yoy!$K$1,Data!$E$1:$BM$1,),))+1)^12-1</f>
        <v/>
      </c>
      <c r="L31" s="14">
        <f>(((VLOOKUP(B31,Data!$E:$BM,MATCH(yoy!$L$1,Data!$E$1:$BM$1,),)-VLOOKUP(A31,Data!$E:$BM,MATCH(yoy!$L$1,Data!$E$1:$BM$1,),))/VLOOKUP(A31,Data!$E:$BM,MATCH(yoy!$L$1,Data!$E$1:$BM$1,),))+1)^12-1</f>
        <v/>
      </c>
      <c r="M31" s="14">
        <f>(((VLOOKUP(B31,Data!$E:$BM,MATCH(yoy!$M$1,Data!$E$1:$BM$1,),)-VLOOKUP(A31,Data!$E:$BM,MATCH(yoy!$M$1,Data!$E$1:$BM$1,),))/VLOOKUP(A31,Data!$E:$BM,MATCH(yoy!$M$1,Data!$E$1:$BM$1,),))+1)^12-1</f>
        <v/>
      </c>
      <c r="N31" s="14">
        <f>(((VLOOKUP(B31,Data!$E:$BM,MATCH(yoy!$N$1,Data!$E$1:$BM$1,),)-VLOOKUP(A31,Data!$E:$BM,MATCH(yoy!$N$1,Data!$E$1:$BM$1,),))/VLOOKUP(A31,Data!$E:$BM,MATCH(yoy!$N$1,Data!$E$1:$BM$1,),))+1)^12-1</f>
        <v/>
      </c>
      <c r="O31" s="14">
        <f>(((VLOOKUP(B31,Data!$E:$BM,MATCH(yoy!$O$1,Data!$E$1:$BM$1,),)-VLOOKUP(A31,Data!$E:$BM,MATCH(yoy!$O$1,Data!$E$1:$BM$1,),))/VLOOKUP(A31,Data!$E:$BM,MATCH(yoy!$O$1,Data!$E$1:$BM$1,),))+1)^12-1</f>
        <v/>
      </c>
      <c r="P31" s="14">
        <f>(((VLOOKUP(B31,Data!$E:$BM,MATCH(yoy!$P$1,Data!$E$1:$BM$1,),)-VLOOKUP(A31,Data!$E:$BM,MATCH(yoy!$P$1,Data!$E$1:$BM$1,),))/VLOOKUP(A31,Data!$E:$BM,MATCH(yoy!$P$1,Data!$E$1:$BM$1,),))+1)^12-1</f>
        <v/>
      </c>
      <c r="Q31" s="14">
        <f>(((VLOOKUP(B31,Data!$E:$BM,MATCH(yoy!$Q$1,Data!$E$1:$BM$1,),)-VLOOKUP(A31,Data!$E:$BM,MATCH(yoy!$Q$1,Data!$E$1:$BM$1,),))/VLOOKUP(A31,Data!$E:$BM,MATCH(yoy!$Q$1,Data!$E$1:$BM$1,),))+1)^12-1</f>
        <v/>
      </c>
      <c r="R31" s="14">
        <f>(((VLOOKUP(B31,Data!$E:$BM,MATCH(yoy!$R$1,Data!$E$1:$BM$1,),)-VLOOKUP(A31,Data!$E:$BM,MATCH(yoy!$R$1,Data!$E$1:$BM$1,),))/VLOOKUP(A31,Data!$E:$BM,MATCH(yoy!$R$1,Data!$E$1:$BM$1,),))+1)^12-1</f>
        <v/>
      </c>
      <c r="S31" s="14">
        <f>(((VLOOKUP(B31,Data!$E:$BM,MATCH(yoy!$S$1,Data!$E$1:$BM$1,),)-VLOOKUP(A31,Data!$E:$BM,MATCH(yoy!$S$1,Data!$E$1:$BM$1,),))/VLOOKUP(A31,Data!$E:$BM,MATCH(yoy!$S$1,Data!$E$1:$BM$1,),))+1)^12-1</f>
        <v/>
      </c>
      <c r="T31" s="14">
        <f>(((VLOOKUP(B31,Data!$E:$BM,MATCH(yoy!$T$1,Data!$E$1:$BM$1,),)-VLOOKUP(A31,Data!$E:$BM,MATCH(yoy!$T$1,Data!$E$1:$BM$1,),))/VLOOKUP(A31,Data!$E:$BM,MATCH(yoy!$T$1,Data!$E$1:$BM$1,),))+1)^12-1</f>
        <v/>
      </c>
      <c r="U31" s="14">
        <f>(((VLOOKUP(B31,Data!$E:$BM,MATCH(yoy!$U$1,Data!$E$1:$BM$1,),)-VLOOKUP(A31,Data!$E:$BM,MATCH(yoy!$U$1,Data!$E$1:$BM$1,),))/VLOOKUP(A31,Data!$E:$BM,MATCH(yoy!$U$1,Data!$E$1:$BM$1,),))+1)^12-1</f>
        <v/>
      </c>
      <c r="V31" s="14">
        <f>(((VLOOKUP(B31,Data!$E:$BM,MATCH(yoy!$V$1,Data!$E$1:$BM$1,),)-VLOOKUP(A31,Data!$E:$BM,MATCH(yoy!$V$1,Data!$E$1:$BM$1,),))/VLOOKUP(A31,Data!$E:$BM,MATCH(yoy!$V$1,Data!$E$1:$BM$1,),))+1)^12-1</f>
        <v/>
      </c>
      <c r="W31" s="14">
        <f>(((VLOOKUP(B31,Data!$E:$BM,MATCH(yoy!$W$1,Data!$E$1:$BM$1,),)-VLOOKUP(A31,Data!$E:$BM,MATCH(yoy!$W$1,Data!$E$1:$BM$1,),))/VLOOKUP(A31,Data!$E:$BM,MATCH(yoy!$W$1,Data!$E$1:$BM$1,),))+1)^12-1</f>
        <v/>
      </c>
      <c r="X31" s="14">
        <f>(((VLOOKUP(B31,Data!$E:$BM,MATCH(yoy!$X$1,Data!$E$1:$BM$1,),)-VLOOKUP(A31,Data!$E:$BM,MATCH(yoy!$X$1,Data!$E$1:$BM$1,),))/VLOOKUP(A31,Data!$E:$BM,MATCH(yoy!$X$1,Data!$E$1:$BM$1,),))+1)^12-1</f>
        <v/>
      </c>
      <c r="Y31" s="14">
        <f>(((VLOOKUP(B31,Data!$E:$BM,MATCH(yoy!$Y$1,Data!$E$1:$BM$1,),)-VLOOKUP(A31,Data!$E:$BM,MATCH(yoy!$Y$1,Data!$E$1:$BM$1,),))/VLOOKUP(A31,Data!$E:$BM,MATCH(yoy!$Y$1,Data!$E$1:$BM$1,),))+1)^12-1</f>
        <v/>
      </c>
      <c r="Z31" s="14">
        <f>(((VLOOKUP(B31,Data!$E:$BM,MATCH(yoy!$Z$1,Data!$E$1:$BM$1,),)-VLOOKUP(A31,Data!$E:$BM,MATCH(yoy!$Z$1,Data!$E$1:$BM$1,),))/VLOOKUP(A31,Data!$E:$BM,MATCH(yoy!$Z$1,Data!$E$1:$BM$1,),))+1)^12-1</f>
        <v/>
      </c>
      <c r="AA31" s="14">
        <f>(((VLOOKUP(B31,Data!$E:$BM,MATCH(yoy!$AA$1,Data!$E$1:$BM$1,),)-VLOOKUP(A31,Data!$E:$BM,MATCH(yoy!$AA$1,Data!$E$1:$BM$1,),))/VLOOKUP(A31,Data!$E:$BM,MATCH(yoy!$AA$1,Data!$E$1:$BM$1,),))+1)^12-1</f>
        <v/>
      </c>
    </row>
    <row r="32">
      <c r="A32" s="20">
        <f>DATE(YEAR(B32),MONTH(B32)-1,DAY(B32))</f>
        <v/>
      </c>
      <c r="B32" s="12" t="n">
        <v>42826</v>
      </c>
      <c r="C32" s="14">
        <f>(((VLOOKUP(B32,Data!$E:$BM,MATCH(yoy!$C$1,Data!$E$1:$BM$1,),)-VLOOKUP(A32,Data!$E:$BM,MATCH(yoy!$C$1,Data!$E$1:$BM$1,),))/VLOOKUP(A32,Data!$E:$BM,MATCH(yoy!$C$1,Data!$E$1:$BM$1,),))+1)^12-1</f>
        <v/>
      </c>
      <c r="D32" s="14">
        <f>(((VLOOKUP(B32,Data!$E:$BM,MATCH(yoy!$D$1,Data!$E$1:$BM$1,),)-VLOOKUP(A32,Data!$E:$BM,MATCH(yoy!$D$1,Data!$E$1:$BM$1,),))/VLOOKUP(A32,Data!$E:$BM,MATCH(yoy!$D$1,Data!$E$1:$BM$1,),))+1)^12-1</f>
        <v/>
      </c>
      <c r="E32" s="14">
        <f>(((VLOOKUP(B32,Data!$E:$BM,MATCH(yoy!$E$1,Data!$E$1:$BM$1,),)-VLOOKUP(A32,Data!$E:$BM,MATCH(yoy!$E$1,Data!$E$1:$BM$1,),))/VLOOKUP(A32,Data!$E:$BM,MATCH(yoy!$E$1,Data!$E$1:$BM$1,),))+1)^12-1</f>
        <v/>
      </c>
      <c r="F32" s="14">
        <f>(((VLOOKUP(B32,Data!$E:$BM,MATCH(yoy!$F$1,Data!$E$1:$BM$1,),)-VLOOKUP(A32,Data!$E:$BM,MATCH(yoy!$F$1,Data!$E$1:$BM$1,),))/VLOOKUP(A32,Data!$E:$BM,MATCH(yoy!$F$1,Data!$E$1:$BM$1,),))+1)^12-1</f>
        <v/>
      </c>
      <c r="G32" s="14">
        <f>(((VLOOKUP(B32,Data!$E:$BM,MATCH(yoy!$G$1,Data!$E$1:$BM$1,),)-VLOOKUP(A32,Data!$E:$BM,MATCH(yoy!$G$1,Data!$E$1:$BM$1,),))/VLOOKUP(A32,Data!$E:$BM,MATCH(yoy!$G$1,Data!$E$1:$BM$1,),))+1)^12-1</f>
        <v/>
      </c>
      <c r="H32" s="14">
        <f>(((VLOOKUP(B32,Data!$E:$BM,MATCH(yoy!$H$1,Data!$E$1:$BM$1,),)-VLOOKUP(A32,Data!$E:$BM,MATCH(yoy!$H$1,Data!$E$1:$BM$1,),))/VLOOKUP(A32,Data!$E:$BM,MATCH(yoy!$H$1,Data!$E$1:$BM$1,),))+1)^12-1</f>
        <v/>
      </c>
      <c r="I32" s="14">
        <f>(((VLOOKUP(B32,Data!$E:$BM,MATCH(yoy!$I$1,Data!$E$1:$BM$1,),)-VLOOKUP(A32,Data!$E:$BM,MATCH(yoy!$I$1,Data!$E$1:$BM$1,),))/VLOOKUP(A32,Data!$E:$BM,MATCH(yoy!$I$1,Data!$E$1:$BM$1,),))+1)^12-1</f>
        <v/>
      </c>
      <c r="J32" s="14">
        <f>(((VLOOKUP(B32,Data!$E:$BM,MATCH(yoy!$J$1,Data!$E$1:$BM$1,),)-VLOOKUP(A32,Data!$E:$BM,MATCH(yoy!$J$1,Data!$E$1:$BM$1,),))/VLOOKUP(A32,Data!$E:$BM,MATCH(yoy!$J$1,Data!$E$1:$BM$1,),))+1)^12-1</f>
        <v/>
      </c>
      <c r="K32" s="14">
        <f>(((VLOOKUP(B32,Data!$E:$BM,MATCH(yoy!$K$1,Data!$E$1:$BM$1,),)-VLOOKUP(A32,Data!$E:$BM,MATCH(yoy!$K$1,Data!$E$1:$BM$1,),))/VLOOKUP(A32,Data!$E:$BM,MATCH(yoy!$K$1,Data!$E$1:$BM$1,),))+1)^12-1</f>
        <v/>
      </c>
      <c r="L32" s="14">
        <f>(((VLOOKUP(B32,Data!$E:$BM,MATCH(yoy!$L$1,Data!$E$1:$BM$1,),)-VLOOKUP(A32,Data!$E:$BM,MATCH(yoy!$L$1,Data!$E$1:$BM$1,),))/VLOOKUP(A32,Data!$E:$BM,MATCH(yoy!$L$1,Data!$E$1:$BM$1,),))+1)^12-1</f>
        <v/>
      </c>
      <c r="M32" s="14">
        <f>(((VLOOKUP(B32,Data!$E:$BM,MATCH(yoy!$M$1,Data!$E$1:$BM$1,),)-VLOOKUP(A32,Data!$E:$BM,MATCH(yoy!$M$1,Data!$E$1:$BM$1,),))/VLOOKUP(A32,Data!$E:$BM,MATCH(yoy!$M$1,Data!$E$1:$BM$1,),))+1)^12-1</f>
        <v/>
      </c>
      <c r="N32" s="14">
        <f>(((VLOOKUP(B32,Data!$E:$BM,MATCH(yoy!$N$1,Data!$E$1:$BM$1,),)-VLOOKUP(A32,Data!$E:$BM,MATCH(yoy!$N$1,Data!$E$1:$BM$1,),))/VLOOKUP(A32,Data!$E:$BM,MATCH(yoy!$N$1,Data!$E$1:$BM$1,),))+1)^12-1</f>
        <v/>
      </c>
      <c r="O32" s="14">
        <f>(((VLOOKUP(B32,Data!$E:$BM,MATCH(yoy!$O$1,Data!$E$1:$BM$1,),)-VLOOKUP(A32,Data!$E:$BM,MATCH(yoy!$O$1,Data!$E$1:$BM$1,),))/VLOOKUP(A32,Data!$E:$BM,MATCH(yoy!$O$1,Data!$E$1:$BM$1,),))+1)^12-1</f>
        <v/>
      </c>
      <c r="P32" s="14">
        <f>(((VLOOKUP(B32,Data!$E:$BM,MATCH(yoy!$P$1,Data!$E$1:$BM$1,),)-VLOOKUP(A32,Data!$E:$BM,MATCH(yoy!$P$1,Data!$E$1:$BM$1,),))/VLOOKUP(A32,Data!$E:$BM,MATCH(yoy!$P$1,Data!$E$1:$BM$1,),))+1)^12-1</f>
        <v/>
      </c>
      <c r="Q32" s="14">
        <f>(((VLOOKUP(B32,Data!$E:$BM,MATCH(yoy!$Q$1,Data!$E$1:$BM$1,),)-VLOOKUP(A32,Data!$E:$BM,MATCH(yoy!$Q$1,Data!$E$1:$BM$1,),))/VLOOKUP(A32,Data!$E:$BM,MATCH(yoy!$Q$1,Data!$E$1:$BM$1,),))+1)^12-1</f>
        <v/>
      </c>
      <c r="R32" s="14">
        <f>(((VLOOKUP(B32,Data!$E:$BM,MATCH(yoy!$R$1,Data!$E$1:$BM$1,),)-VLOOKUP(A32,Data!$E:$BM,MATCH(yoy!$R$1,Data!$E$1:$BM$1,),))/VLOOKUP(A32,Data!$E:$BM,MATCH(yoy!$R$1,Data!$E$1:$BM$1,),))+1)^12-1</f>
        <v/>
      </c>
      <c r="S32" s="14">
        <f>(((VLOOKUP(B32,Data!$E:$BM,MATCH(yoy!$S$1,Data!$E$1:$BM$1,),)-VLOOKUP(A32,Data!$E:$BM,MATCH(yoy!$S$1,Data!$E$1:$BM$1,),))/VLOOKUP(A32,Data!$E:$BM,MATCH(yoy!$S$1,Data!$E$1:$BM$1,),))+1)^12-1</f>
        <v/>
      </c>
      <c r="T32" s="14">
        <f>(((VLOOKUP(B32,Data!$E:$BM,MATCH(yoy!$T$1,Data!$E$1:$BM$1,),)-VLOOKUP(A32,Data!$E:$BM,MATCH(yoy!$T$1,Data!$E$1:$BM$1,),))/VLOOKUP(A32,Data!$E:$BM,MATCH(yoy!$T$1,Data!$E$1:$BM$1,),))+1)^12-1</f>
        <v/>
      </c>
      <c r="U32" s="14">
        <f>(((VLOOKUP(B32,Data!$E:$BM,MATCH(yoy!$U$1,Data!$E$1:$BM$1,),)-VLOOKUP(A32,Data!$E:$BM,MATCH(yoy!$U$1,Data!$E$1:$BM$1,),))/VLOOKUP(A32,Data!$E:$BM,MATCH(yoy!$U$1,Data!$E$1:$BM$1,),))+1)^12-1</f>
        <v/>
      </c>
      <c r="V32" s="14">
        <f>(((VLOOKUP(B32,Data!$E:$BM,MATCH(yoy!$V$1,Data!$E$1:$BM$1,),)-VLOOKUP(A32,Data!$E:$BM,MATCH(yoy!$V$1,Data!$E$1:$BM$1,),))/VLOOKUP(A32,Data!$E:$BM,MATCH(yoy!$V$1,Data!$E$1:$BM$1,),))+1)^12-1</f>
        <v/>
      </c>
      <c r="W32" s="14">
        <f>(((VLOOKUP(B32,Data!$E:$BM,MATCH(yoy!$W$1,Data!$E$1:$BM$1,),)-VLOOKUP(A32,Data!$E:$BM,MATCH(yoy!$W$1,Data!$E$1:$BM$1,),))/VLOOKUP(A32,Data!$E:$BM,MATCH(yoy!$W$1,Data!$E$1:$BM$1,),))+1)^12-1</f>
        <v/>
      </c>
      <c r="X32" s="14">
        <f>(((VLOOKUP(B32,Data!$E:$BM,MATCH(yoy!$X$1,Data!$E$1:$BM$1,),)-VLOOKUP(A32,Data!$E:$BM,MATCH(yoy!$X$1,Data!$E$1:$BM$1,),))/VLOOKUP(A32,Data!$E:$BM,MATCH(yoy!$X$1,Data!$E$1:$BM$1,),))+1)^12-1</f>
        <v/>
      </c>
      <c r="Y32" s="14">
        <f>(((VLOOKUP(B32,Data!$E:$BM,MATCH(yoy!$Y$1,Data!$E$1:$BM$1,),)-VLOOKUP(A32,Data!$E:$BM,MATCH(yoy!$Y$1,Data!$E$1:$BM$1,),))/VLOOKUP(A32,Data!$E:$BM,MATCH(yoy!$Y$1,Data!$E$1:$BM$1,),))+1)^12-1</f>
        <v/>
      </c>
      <c r="Z32" s="14">
        <f>(((VLOOKUP(B32,Data!$E:$BM,MATCH(yoy!$Z$1,Data!$E$1:$BM$1,),)-VLOOKUP(A32,Data!$E:$BM,MATCH(yoy!$Z$1,Data!$E$1:$BM$1,),))/VLOOKUP(A32,Data!$E:$BM,MATCH(yoy!$Z$1,Data!$E$1:$BM$1,),))+1)^12-1</f>
        <v/>
      </c>
      <c r="AA32" s="14">
        <f>(((VLOOKUP(B32,Data!$E:$BM,MATCH(yoy!$AA$1,Data!$E$1:$BM$1,),)-VLOOKUP(A32,Data!$E:$BM,MATCH(yoy!$AA$1,Data!$E$1:$BM$1,),))/VLOOKUP(A32,Data!$E:$BM,MATCH(yoy!$AA$1,Data!$E$1:$BM$1,),))+1)^12-1</f>
        <v/>
      </c>
    </row>
    <row r="33">
      <c r="A33" s="20">
        <f>DATE(YEAR(B33),MONTH(B33)-1,DAY(B33))</f>
        <v/>
      </c>
      <c r="B33" s="12" t="n">
        <v>42856</v>
      </c>
      <c r="C33" s="14">
        <f>(((VLOOKUP(B33,Data!$E:$BM,MATCH(yoy!$C$1,Data!$E$1:$BM$1,),)-VLOOKUP(A33,Data!$E:$BM,MATCH(yoy!$C$1,Data!$E$1:$BM$1,),))/VLOOKUP(A33,Data!$E:$BM,MATCH(yoy!$C$1,Data!$E$1:$BM$1,),))+1)^12-1</f>
        <v/>
      </c>
      <c r="D33" s="14">
        <f>(((VLOOKUP(B33,Data!$E:$BM,MATCH(yoy!$D$1,Data!$E$1:$BM$1,),)-VLOOKUP(A33,Data!$E:$BM,MATCH(yoy!$D$1,Data!$E$1:$BM$1,),))/VLOOKUP(A33,Data!$E:$BM,MATCH(yoy!$D$1,Data!$E$1:$BM$1,),))+1)^12-1</f>
        <v/>
      </c>
      <c r="E33" s="14">
        <f>(((VLOOKUP(B33,Data!$E:$BM,MATCH(yoy!$E$1,Data!$E$1:$BM$1,),)-VLOOKUP(A33,Data!$E:$BM,MATCH(yoy!$E$1,Data!$E$1:$BM$1,),))/VLOOKUP(A33,Data!$E:$BM,MATCH(yoy!$E$1,Data!$E$1:$BM$1,),))+1)^12-1</f>
        <v/>
      </c>
      <c r="F33" s="14">
        <f>(((VLOOKUP(B33,Data!$E:$BM,MATCH(yoy!$F$1,Data!$E$1:$BM$1,),)-VLOOKUP(A33,Data!$E:$BM,MATCH(yoy!$F$1,Data!$E$1:$BM$1,),))/VLOOKUP(A33,Data!$E:$BM,MATCH(yoy!$F$1,Data!$E$1:$BM$1,),))+1)^12-1</f>
        <v/>
      </c>
      <c r="G33" s="14">
        <f>(((VLOOKUP(B33,Data!$E:$BM,MATCH(yoy!$G$1,Data!$E$1:$BM$1,),)-VLOOKUP(A33,Data!$E:$BM,MATCH(yoy!$G$1,Data!$E$1:$BM$1,),))/VLOOKUP(A33,Data!$E:$BM,MATCH(yoy!$G$1,Data!$E$1:$BM$1,),))+1)^12-1</f>
        <v/>
      </c>
      <c r="H33" s="14">
        <f>(((VLOOKUP(B33,Data!$E:$BM,MATCH(yoy!$H$1,Data!$E$1:$BM$1,),)-VLOOKUP(A33,Data!$E:$BM,MATCH(yoy!$H$1,Data!$E$1:$BM$1,),))/VLOOKUP(A33,Data!$E:$BM,MATCH(yoy!$H$1,Data!$E$1:$BM$1,),))+1)^12-1</f>
        <v/>
      </c>
      <c r="I33" s="14">
        <f>(((VLOOKUP(B33,Data!$E:$BM,MATCH(yoy!$I$1,Data!$E$1:$BM$1,),)-VLOOKUP(A33,Data!$E:$BM,MATCH(yoy!$I$1,Data!$E$1:$BM$1,),))/VLOOKUP(A33,Data!$E:$BM,MATCH(yoy!$I$1,Data!$E$1:$BM$1,),))+1)^12-1</f>
        <v/>
      </c>
      <c r="J33" s="14">
        <f>(((VLOOKUP(B33,Data!$E:$BM,MATCH(yoy!$J$1,Data!$E$1:$BM$1,),)-VLOOKUP(A33,Data!$E:$BM,MATCH(yoy!$J$1,Data!$E$1:$BM$1,),))/VLOOKUP(A33,Data!$E:$BM,MATCH(yoy!$J$1,Data!$E$1:$BM$1,),))+1)^12-1</f>
        <v/>
      </c>
      <c r="K33" s="14">
        <f>(((VLOOKUP(B33,Data!$E:$BM,MATCH(yoy!$K$1,Data!$E$1:$BM$1,),)-VLOOKUP(A33,Data!$E:$BM,MATCH(yoy!$K$1,Data!$E$1:$BM$1,),))/VLOOKUP(A33,Data!$E:$BM,MATCH(yoy!$K$1,Data!$E$1:$BM$1,),))+1)^12-1</f>
        <v/>
      </c>
      <c r="L33" s="14">
        <f>(((VLOOKUP(B33,Data!$E:$BM,MATCH(yoy!$L$1,Data!$E$1:$BM$1,),)-VLOOKUP(A33,Data!$E:$BM,MATCH(yoy!$L$1,Data!$E$1:$BM$1,),))/VLOOKUP(A33,Data!$E:$BM,MATCH(yoy!$L$1,Data!$E$1:$BM$1,),))+1)^12-1</f>
        <v/>
      </c>
      <c r="M33" s="14">
        <f>(((VLOOKUP(B33,Data!$E:$BM,MATCH(yoy!$M$1,Data!$E$1:$BM$1,),)-VLOOKUP(A33,Data!$E:$BM,MATCH(yoy!$M$1,Data!$E$1:$BM$1,),))/VLOOKUP(A33,Data!$E:$BM,MATCH(yoy!$M$1,Data!$E$1:$BM$1,),))+1)^12-1</f>
        <v/>
      </c>
      <c r="N33" s="14">
        <f>(((VLOOKUP(B33,Data!$E:$BM,MATCH(yoy!$N$1,Data!$E$1:$BM$1,),)-VLOOKUP(A33,Data!$E:$BM,MATCH(yoy!$N$1,Data!$E$1:$BM$1,),))/VLOOKUP(A33,Data!$E:$BM,MATCH(yoy!$N$1,Data!$E$1:$BM$1,),))+1)^12-1</f>
        <v/>
      </c>
      <c r="O33" s="14">
        <f>(((VLOOKUP(B33,Data!$E:$BM,MATCH(yoy!$O$1,Data!$E$1:$BM$1,),)-VLOOKUP(A33,Data!$E:$BM,MATCH(yoy!$O$1,Data!$E$1:$BM$1,),))/VLOOKUP(A33,Data!$E:$BM,MATCH(yoy!$O$1,Data!$E$1:$BM$1,),))+1)^12-1</f>
        <v/>
      </c>
      <c r="P33" s="14">
        <f>(((VLOOKUP(B33,Data!$E:$BM,MATCH(yoy!$P$1,Data!$E$1:$BM$1,),)-VLOOKUP(A33,Data!$E:$BM,MATCH(yoy!$P$1,Data!$E$1:$BM$1,),))/VLOOKUP(A33,Data!$E:$BM,MATCH(yoy!$P$1,Data!$E$1:$BM$1,),))+1)^12-1</f>
        <v/>
      </c>
      <c r="Q33" s="14">
        <f>(((VLOOKUP(B33,Data!$E:$BM,MATCH(yoy!$Q$1,Data!$E$1:$BM$1,),)-VLOOKUP(A33,Data!$E:$BM,MATCH(yoy!$Q$1,Data!$E$1:$BM$1,),))/VLOOKUP(A33,Data!$E:$BM,MATCH(yoy!$Q$1,Data!$E$1:$BM$1,),))+1)^12-1</f>
        <v/>
      </c>
      <c r="R33" s="14">
        <f>(((VLOOKUP(B33,Data!$E:$BM,MATCH(yoy!$R$1,Data!$E$1:$BM$1,),)-VLOOKUP(A33,Data!$E:$BM,MATCH(yoy!$R$1,Data!$E$1:$BM$1,),))/VLOOKUP(A33,Data!$E:$BM,MATCH(yoy!$R$1,Data!$E$1:$BM$1,),))+1)^12-1</f>
        <v/>
      </c>
      <c r="S33" s="14">
        <f>(((VLOOKUP(B33,Data!$E:$BM,MATCH(yoy!$S$1,Data!$E$1:$BM$1,),)-VLOOKUP(A33,Data!$E:$BM,MATCH(yoy!$S$1,Data!$E$1:$BM$1,),))/VLOOKUP(A33,Data!$E:$BM,MATCH(yoy!$S$1,Data!$E$1:$BM$1,),))+1)^12-1</f>
        <v/>
      </c>
      <c r="T33" s="14">
        <f>(((VLOOKUP(B33,Data!$E:$BM,MATCH(yoy!$T$1,Data!$E$1:$BM$1,),)-VLOOKUP(A33,Data!$E:$BM,MATCH(yoy!$T$1,Data!$E$1:$BM$1,),))/VLOOKUP(A33,Data!$E:$BM,MATCH(yoy!$T$1,Data!$E$1:$BM$1,),))+1)^12-1</f>
        <v/>
      </c>
      <c r="U33" s="14">
        <f>(((VLOOKUP(B33,Data!$E:$BM,MATCH(yoy!$U$1,Data!$E$1:$BM$1,),)-VLOOKUP(A33,Data!$E:$BM,MATCH(yoy!$U$1,Data!$E$1:$BM$1,),))/VLOOKUP(A33,Data!$E:$BM,MATCH(yoy!$U$1,Data!$E$1:$BM$1,),))+1)^12-1</f>
        <v/>
      </c>
      <c r="V33" s="14">
        <f>(((VLOOKUP(B33,Data!$E:$BM,MATCH(yoy!$V$1,Data!$E$1:$BM$1,),)-VLOOKUP(A33,Data!$E:$BM,MATCH(yoy!$V$1,Data!$E$1:$BM$1,),))/VLOOKUP(A33,Data!$E:$BM,MATCH(yoy!$V$1,Data!$E$1:$BM$1,),))+1)^12-1</f>
        <v/>
      </c>
      <c r="W33" s="14">
        <f>(((VLOOKUP(B33,Data!$E:$BM,MATCH(yoy!$W$1,Data!$E$1:$BM$1,),)-VLOOKUP(A33,Data!$E:$BM,MATCH(yoy!$W$1,Data!$E$1:$BM$1,),))/VLOOKUP(A33,Data!$E:$BM,MATCH(yoy!$W$1,Data!$E$1:$BM$1,),))+1)^12-1</f>
        <v/>
      </c>
      <c r="X33" s="14">
        <f>(((VLOOKUP(B33,Data!$E:$BM,MATCH(yoy!$X$1,Data!$E$1:$BM$1,),)-VLOOKUP(A33,Data!$E:$BM,MATCH(yoy!$X$1,Data!$E$1:$BM$1,),))/VLOOKUP(A33,Data!$E:$BM,MATCH(yoy!$X$1,Data!$E$1:$BM$1,),))+1)^12-1</f>
        <v/>
      </c>
      <c r="Y33" s="14">
        <f>(((VLOOKUP(B33,Data!$E:$BM,MATCH(yoy!$Y$1,Data!$E$1:$BM$1,),)-VLOOKUP(A33,Data!$E:$BM,MATCH(yoy!$Y$1,Data!$E$1:$BM$1,),))/VLOOKUP(A33,Data!$E:$BM,MATCH(yoy!$Y$1,Data!$E$1:$BM$1,),))+1)^12-1</f>
        <v/>
      </c>
      <c r="Z33" s="14">
        <f>(((VLOOKUP(B33,Data!$E:$BM,MATCH(yoy!$Z$1,Data!$E$1:$BM$1,),)-VLOOKUP(A33,Data!$E:$BM,MATCH(yoy!$Z$1,Data!$E$1:$BM$1,),))/VLOOKUP(A33,Data!$E:$BM,MATCH(yoy!$Z$1,Data!$E$1:$BM$1,),))+1)^12-1</f>
        <v/>
      </c>
      <c r="AA33" s="14">
        <f>(((VLOOKUP(B33,Data!$E:$BM,MATCH(yoy!$AA$1,Data!$E$1:$BM$1,),)-VLOOKUP(A33,Data!$E:$BM,MATCH(yoy!$AA$1,Data!$E$1:$BM$1,),))/VLOOKUP(A33,Data!$E:$BM,MATCH(yoy!$AA$1,Data!$E$1:$BM$1,),))+1)^12-1</f>
        <v/>
      </c>
    </row>
    <row r="34">
      <c r="A34" s="20">
        <f>DATE(YEAR(B34),MONTH(B34)-1,DAY(B34))</f>
        <v/>
      </c>
      <c r="B34" s="12" t="n">
        <v>42887</v>
      </c>
      <c r="C34" s="14">
        <f>(((VLOOKUP(B34,Data!$E:$BM,MATCH(yoy!$C$1,Data!$E$1:$BM$1,),)-VLOOKUP(A34,Data!$E:$BM,MATCH(yoy!$C$1,Data!$E$1:$BM$1,),))/VLOOKUP(A34,Data!$E:$BM,MATCH(yoy!$C$1,Data!$E$1:$BM$1,),))+1)^12-1</f>
        <v/>
      </c>
      <c r="D34" s="14">
        <f>(((VLOOKUP(B34,Data!$E:$BM,MATCH(yoy!$D$1,Data!$E$1:$BM$1,),)-VLOOKUP(A34,Data!$E:$BM,MATCH(yoy!$D$1,Data!$E$1:$BM$1,),))/VLOOKUP(A34,Data!$E:$BM,MATCH(yoy!$D$1,Data!$E$1:$BM$1,),))+1)^12-1</f>
        <v/>
      </c>
      <c r="E34" s="14">
        <f>(((VLOOKUP(B34,Data!$E:$BM,MATCH(yoy!$E$1,Data!$E$1:$BM$1,),)-VLOOKUP(A34,Data!$E:$BM,MATCH(yoy!$E$1,Data!$E$1:$BM$1,),))/VLOOKUP(A34,Data!$E:$BM,MATCH(yoy!$E$1,Data!$E$1:$BM$1,),))+1)^12-1</f>
        <v/>
      </c>
      <c r="F34" s="14">
        <f>(((VLOOKUP(B34,Data!$E:$BM,MATCH(yoy!$F$1,Data!$E$1:$BM$1,),)-VLOOKUP(A34,Data!$E:$BM,MATCH(yoy!$F$1,Data!$E$1:$BM$1,),))/VLOOKUP(A34,Data!$E:$BM,MATCH(yoy!$F$1,Data!$E$1:$BM$1,),))+1)^12-1</f>
        <v/>
      </c>
      <c r="G34" s="14">
        <f>(((VLOOKUP(B34,Data!$E:$BM,MATCH(yoy!$G$1,Data!$E$1:$BM$1,),)-VLOOKUP(A34,Data!$E:$BM,MATCH(yoy!$G$1,Data!$E$1:$BM$1,),))/VLOOKUP(A34,Data!$E:$BM,MATCH(yoy!$G$1,Data!$E$1:$BM$1,),))+1)^12-1</f>
        <v/>
      </c>
      <c r="H34" s="14">
        <f>(((VLOOKUP(B34,Data!$E:$BM,MATCH(yoy!$H$1,Data!$E$1:$BM$1,),)-VLOOKUP(A34,Data!$E:$BM,MATCH(yoy!$H$1,Data!$E$1:$BM$1,),))/VLOOKUP(A34,Data!$E:$BM,MATCH(yoy!$H$1,Data!$E$1:$BM$1,),))+1)^12-1</f>
        <v/>
      </c>
      <c r="I34" s="14">
        <f>(((VLOOKUP(B34,Data!$E:$BM,MATCH(yoy!$I$1,Data!$E$1:$BM$1,),)-VLOOKUP(A34,Data!$E:$BM,MATCH(yoy!$I$1,Data!$E$1:$BM$1,),))/VLOOKUP(A34,Data!$E:$BM,MATCH(yoy!$I$1,Data!$E$1:$BM$1,),))+1)^12-1</f>
        <v/>
      </c>
      <c r="J34" s="14">
        <f>(((VLOOKUP(B34,Data!$E:$BM,MATCH(yoy!$J$1,Data!$E$1:$BM$1,),)-VLOOKUP(A34,Data!$E:$BM,MATCH(yoy!$J$1,Data!$E$1:$BM$1,),))/VLOOKUP(A34,Data!$E:$BM,MATCH(yoy!$J$1,Data!$E$1:$BM$1,),))+1)^12-1</f>
        <v/>
      </c>
      <c r="K34" s="14">
        <f>(((VLOOKUP(B34,Data!$E:$BM,MATCH(yoy!$K$1,Data!$E$1:$BM$1,),)-VLOOKUP(A34,Data!$E:$BM,MATCH(yoy!$K$1,Data!$E$1:$BM$1,),))/VLOOKUP(A34,Data!$E:$BM,MATCH(yoy!$K$1,Data!$E$1:$BM$1,),))+1)^12-1</f>
        <v/>
      </c>
      <c r="L34" s="14">
        <f>(((VLOOKUP(B34,Data!$E:$BM,MATCH(yoy!$L$1,Data!$E$1:$BM$1,),)-VLOOKUP(A34,Data!$E:$BM,MATCH(yoy!$L$1,Data!$E$1:$BM$1,),))/VLOOKUP(A34,Data!$E:$BM,MATCH(yoy!$L$1,Data!$E$1:$BM$1,),))+1)^12-1</f>
        <v/>
      </c>
      <c r="M34" s="14">
        <f>(((VLOOKUP(B34,Data!$E:$BM,MATCH(yoy!$M$1,Data!$E$1:$BM$1,),)-VLOOKUP(A34,Data!$E:$BM,MATCH(yoy!$M$1,Data!$E$1:$BM$1,),))/VLOOKUP(A34,Data!$E:$BM,MATCH(yoy!$M$1,Data!$E$1:$BM$1,),))+1)^12-1</f>
        <v/>
      </c>
      <c r="N34" s="14">
        <f>(((VLOOKUP(B34,Data!$E:$BM,MATCH(yoy!$N$1,Data!$E$1:$BM$1,),)-VLOOKUP(A34,Data!$E:$BM,MATCH(yoy!$N$1,Data!$E$1:$BM$1,),))/VLOOKUP(A34,Data!$E:$BM,MATCH(yoy!$N$1,Data!$E$1:$BM$1,),))+1)^12-1</f>
        <v/>
      </c>
      <c r="O34" s="14">
        <f>(((VLOOKUP(B34,Data!$E:$BM,MATCH(yoy!$O$1,Data!$E$1:$BM$1,),)-VLOOKUP(A34,Data!$E:$BM,MATCH(yoy!$O$1,Data!$E$1:$BM$1,),))/VLOOKUP(A34,Data!$E:$BM,MATCH(yoy!$O$1,Data!$E$1:$BM$1,),))+1)^12-1</f>
        <v/>
      </c>
      <c r="P34" s="14">
        <f>(((VLOOKUP(B34,Data!$E:$BM,MATCH(yoy!$P$1,Data!$E$1:$BM$1,),)-VLOOKUP(A34,Data!$E:$BM,MATCH(yoy!$P$1,Data!$E$1:$BM$1,),))/VLOOKUP(A34,Data!$E:$BM,MATCH(yoy!$P$1,Data!$E$1:$BM$1,),))+1)^12-1</f>
        <v/>
      </c>
      <c r="Q34" s="14">
        <f>(((VLOOKUP(B34,Data!$E:$BM,MATCH(yoy!$Q$1,Data!$E$1:$BM$1,),)-VLOOKUP(A34,Data!$E:$BM,MATCH(yoy!$Q$1,Data!$E$1:$BM$1,),))/VLOOKUP(A34,Data!$E:$BM,MATCH(yoy!$Q$1,Data!$E$1:$BM$1,),))+1)^12-1</f>
        <v/>
      </c>
      <c r="R34" s="14">
        <f>(((VLOOKUP(B34,Data!$E:$BM,MATCH(yoy!$R$1,Data!$E$1:$BM$1,),)-VLOOKUP(A34,Data!$E:$BM,MATCH(yoy!$R$1,Data!$E$1:$BM$1,),))/VLOOKUP(A34,Data!$E:$BM,MATCH(yoy!$R$1,Data!$E$1:$BM$1,),))+1)^12-1</f>
        <v/>
      </c>
      <c r="S34" s="14">
        <f>(((VLOOKUP(B34,Data!$E:$BM,MATCH(yoy!$S$1,Data!$E$1:$BM$1,),)-VLOOKUP(A34,Data!$E:$BM,MATCH(yoy!$S$1,Data!$E$1:$BM$1,),))/VLOOKUP(A34,Data!$E:$BM,MATCH(yoy!$S$1,Data!$E$1:$BM$1,),))+1)^12-1</f>
        <v/>
      </c>
      <c r="T34" s="14">
        <f>(((VLOOKUP(B34,Data!$E:$BM,MATCH(yoy!$T$1,Data!$E$1:$BM$1,),)-VLOOKUP(A34,Data!$E:$BM,MATCH(yoy!$T$1,Data!$E$1:$BM$1,),))/VLOOKUP(A34,Data!$E:$BM,MATCH(yoy!$T$1,Data!$E$1:$BM$1,),))+1)^12-1</f>
        <v/>
      </c>
      <c r="U34" s="14">
        <f>(((VLOOKUP(B34,Data!$E:$BM,MATCH(yoy!$U$1,Data!$E$1:$BM$1,),)-VLOOKUP(A34,Data!$E:$BM,MATCH(yoy!$U$1,Data!$E$1:$BM$1,),))/VLOOKUP(A34,Data!$E:$BM,MATCH(yoy!$U$1,Data!$E$1:$BM$1,),))+1)^12-1</f>
        <v/>
      </c>
      <c r="V34" s="14">
        <f>(((VLOOKUP(B34,Data!$E:$BM,MATCH(yoy!$V$1,Data!$E$1:$BM$1,),)-VLOOKUP(A34,Data!$E:$BM,MATCH(yoy!$V$1,Data!$E$1:$BM$1,),))/VLOOKUP(A34,Data!$E:$BM,MATCH(yoy!$V$1,Data!$E$1:$BM$1,),))+1)^12-1</f>
        <v/>
      </c>
      <c r="W34" s="14">
        <f>(((VLOOKUP(B34,Data!$E:$BM,MATCH(yoy!$W$1,Data!$E$1:$BM$1,),)-VLOOKUP(A34,Data!$E:$BM,MATCH(yoy!$W$1,Data!$E$1:$BM$1,),))/VLOOKUP(A34,Data!$E:$BM,MATCH(yoy!$W$1,Data!$E$1:$BM$1,),))+1)^12-1</f>
        <v/>
      </c>
      <c r="X34" s="14">
        <f>(((VLOOKUP(B34,Data!$E:$BM,MATCH(yoy!$X$1,Data!$E$1:$BM$1,),)-VLOOKUP(A34,Data!$E:$BM,MATCH(yoy!$X$1,Data!$E$1:$BM$1,),))/VLOOKUP(A34,Data!$E:$BM,MATCH(yoy!$X$1,Data!$E$1:$BM$1,),))+1)^12-1</f>
        <v/>
      </c>
      <c r="Y34" s="14">
        <f>(((VLOOKUP(B34,Data!$E:$BM,MATCH(yoy!$Y$1,Data!$E$1:$BM$1,),)-VLOOKUP(A34,Data!$E:$BM,MATCH(yoy!$Y$1,Data!$E$1:$BM$1,),))/VLOOKUP(A34,Data!$E:$BM,MATCH(yoy!$Y$1,Data!$E$1:$BM$1,),))+1)^12-1</f>
        <v/>
      </c>
      <c r="Z34" s="14">
        <f>(((VLOOKUP(B34,Data!$E:$BM,MATCH(yoy!$Z$1,Data!$E$1:$BM$1,),)-VLOOKUP(A34,Data!$E:$BM,MATCH(yoy!$Z$1,Data!$E$1:$BM$1,),))/VLOOKUP(A34,Data!$E:$BM,MATCH(yoy!$Z$1,Data!$E$1:$BM$1,),))+1)^12-1</f>
        <v/>
      </c>
      <c r="AA34" s="14">
        <f>(((VLOOKUP(B34,Data!$E:$BM,MATCH(yoy!$AA$1,Data!$E$1:$BM$1,),)-VLOOKUP(A34,Data!$E:$BM,MATCH(yoy!$AA$1,Data!$E$1:$BM$1,),))/VLOOKUP(A34,Data!$E:$BM,MATCH(yoy!$AA$1,Data!$E$1:$BM$1,),))+1)^12-1</f>
        <v/>
      </c>
    </row>
    <row r="35">
      <c r="A35" s="20">
        <f>DATE(YEAR(B35),MONTH(B35)-1,DAY(B35))</f>
        <v/>
      </c>
      <c r="B35" s="12" t="n">
        <v>42917</v>
      </c>
      <c r="C35" s="14">
        <f>(((VLOOKUP(B35,Data!$E:$BM,MATCH(yoy!$C$1,Data!$E$1:$BM$1,),)-VLOOKUP(A35,Data!$E:$BM,MATCH(yoy!$C$1,Data!$E$1:$BM$1,),))/VLOOKUP(A35,Data!$E:$BM,MATCH(yoy!$C$1,Data!$E$1:$BM$1,),))+1)^12-1</f>
        <v/>
      </c>
      <c r="D35" s="14">
        <f>(((VLOOKUP(B35,Data!$E:$BM,MATCH(yoy!$D$1,Data!$E$1:$BM$1,),)-VLOOKUP(A35,Data!$E:$BM,MATCH(yoy!$D$1,Data!$E$1:$BM$1,),))/VLOOKUP(A35,Data!$E:$BM,MATCH(yoy!$D$1,Data!$E$1:$BM$1,),))+1)^12-1</f>
        <v/>
      </c>
      <c r="E35" s="14">
        <f>(((VLOOKUP(B35,Data!$E:$BM,MATCH(yoy!$E$1,Data!$E$1:$BM$1,),)-VLOOKUP(A35,Data!$E:$BM,MATCH(yoy!$E$1,Data!$E$1:$BM$1,),))/VLOOKUP(A35,Data!$E:$BM,MATCH(yoy!$E$1,Data!$E$1:$BM$1,),))+1)^12-1</f>
        <v/>
      </c>
      <c r="F35" s="14">
        <f>(((VLOOKUP(B35,Data!$E:$BM,MATCH(yoy!$F$1,Data!$E$1:$BM$1,),)-VLOOKUP(A35,Data!$E:$BM,MATCH(yoy!$F$1,Data!$E$1:$BM$1,),))/VLOOKUP(A35,Data!$E:$BM,MATCH(yoy!$F$1,Data!$E$1:$BM$1,),))+1)^12-1</f>
        <v/>
      </c>
      <c r="G35" s="14">
        <f>(((VLOOKUP(B35,Data!$E:$BM,MATCH(yoy!$G$1,Data!$E$1:$BM$1,),)-VLOOKUP(A35,Data!$E:$BM,MATCH(yoy!$G$1,Data!$E$1:$BM$1,),))/VLOOKUP(A35,Data!$E:$BM,MATCH(yoy!$G$1,Data!$E$1:$BM$1,),))+1)^12-1</f>
        <v/>
      </c>
      <c r="H35" s="14">
        <f>(((VLOOKUP(B35,Data!$E:$BM,MATCH(yoy!$H$1,Data!$E$1:$BM$1,),)-VLOOKUP(A35,Data!$E:$BM,MATCH(yoy!$H$1,Data!$E$1:$BM$1,),))/VLOOKUP(A35,Data!$E:$BM,MATCH(yoy!$H$1,Data!$E$1:$BM$1,),))+1)^12-1</f>
        <v/>
      </c>
      <c r="I35" s="14">
        <f>(((VLOOKUP(B35,Data!$E:$BM,MATCH(yoy!$I$1,Data!$E$1:$BM$1,),)-VLOOKUP(A35,Data!$E:$BM,MATCH(yoy!$I$1,Data!$E$1:$BM$1,),))/VLOOKUP(A35,Data!$E:$BM,MATCH(yoy!$I$1,Data!$E$1:$BM$1,),))+1)^12-1</f>
        <v/>
      </c>
      <c r="J35" s="14">
        <f>(((VLOOKUP(B35,Data!$E:$BM,MATCH(yoy!$J$1,Data!$E$1:$BM$1,),)-VLOOKUP(A35,Data!$E:$BM,MATCH(yoy!$J$1,Data!$E$1:$BM$1,),))/VLOOKUP(A35,Data!$E:$BM,MATCH(yoy!$J$1,Data!$E$1:$BM$1,),))+1)^12-1</f>
        <v/>
      </c>
      <c r="K35" s="14">
        <f>(((VLOOKUP(B35,Data!$E:$BM,MATCH(yoy!$K$1,Data!$E$1:$BM$1,),)-VLOOKUP(A35,Data!$E:$BM,MATCH(yoy!$K$1,Data!$E$1:$BM$1,),))/VLOOKUP(A35,Data!$E:$BM,MATCH(yoy!$K$1,Data!$E$1:$BM$1,),))+1)^12-1</f>
        <v/>
      </c>
      <c r="L35" s="14">
        <f>(((VLOOKUP(B35,Data!$E:$BM,MATCH(yoy!$L$1,Data!$E$1:$BM$1,),)-VLOOKUP(A35,Data!$E:$BM,MATCH(yoy!$L$1,Data!$E$1:$BM$1,),))/VLOOKUP(A35,Data!$E:$BM,MATCH(yoy!$L$1,Data!$E$1:$BM$1,),))+1)^12-1</f>
        <v/>
      </c>
      <c r="M35" s="14">
        <f>(((VLOOKUP(B35,Data!$E:$BM,MATCH(yoy!$M$1,Data!$E$1:$BM$1,),)-VLOOKUP(A35,Data!$E:$BM,MATCH(yoy!$M$1,Data!$E$1:$BM$1,),))/VLOOKUP(A35,Data!$E:$BM,MATCH(yoy!$M$1,Data!$E$1:$BM$1,),))+1)^12-1</f>
        <v/>
      </c>
      <c r="N35" s="14">
        <f>(((VLOOKUP(B35,Data!$E:$BM,MATCH(yoy!$N$1,Data!$E$1:$BM$1,),)-VLOOKUP(A35,Data!$E:$BM,MATCH(yoy!$N$1,Data!$E$1:$BM$1,),))/VLOOKUP(A35,Data!$E:$BM,MATCH(yoy!$N$1,Data!$E$1:$BM$1,),))+1)^12-1</f>
        <v/>
      </c>
      <c r="O35" s="14">
        <f>(((VLOOKUP(B35,Data!$E:$BM,MATCH(yoy!$O$1,Data!$E$1:$BM$1,),)-VLOOKUP(A35,Data!$E:$BM,MATCH(yoy!$O$1,Data!$E$1:$BM$1,),))/VLOOKUP(A35,Data!$E:$BM,MATCH(yoy!$O$1,Data!$E$1:$BM$1,),))+1)^12-1</f>
        <v/>
      </c>
      <c r="P35" s="14">
        <f>(((VLOOKUP(B35,Data!$E:$BM,MATCH(yoy!$P$1,Data!$E$1:$BM$1,),)-VLOOKUP(A35,Data!$E:$BM,MATCH(yoy!$P$1,Data!$E$1:$BM$1,),))/VLOOKUP(A35,Data!$E:$BM,MATCH(yoy!$P$1,Data!$E$1:$BM$1,),))+1)^12-1</f>
        <v/>
      </c>
      <c r="Q35" s="14">
        <f>(((VLOOKUP(B35,Data!$E:$BM,MATCH(yoy!$Q$1,Data!$E$1:$BM$1,),)-VLOOKUP(A35,Data!$E:$BM,MATCH(yoy!$Q$1,Data!$E$1:$BM$1,),))/VLOOKUP(A35,Data!$E:$BM,MATCH(yoy!$Q$1,Data!$E$1:$BM$1,),))+1)^12-1</f>
        <v/>
      </c>
      <c r="R35" s="14">
        <f>(((VLOOKUP(B35,Data!$E:$BM,MATCH(yoy!$R$1,Data!$E$1:$BM$1,),)-VLOOKUP(A35,Data!$E:$BM,MATCH(yoy!$R$1,Data!$E$1:$BM$1,),))/VLOOKUP(A35,Data!$E:$BM,MATCH(yoy!$R$1,Data!$E$1:$BM$1,),))+1)^12-1</f>
        <v/>
      </c>
      <c r="S35" s="14">
        <f>(((VLOOKUP(B35,Data!$E:$BM,MATCH(yoy!$S$1,Data!$E$1:$BM$1,),)-VLOOKUP(A35,Data!$E:$BM,MATCH(yoy!$S$1,Data!$E$1:$BM$1,),))/VLOOKUP(A35,Data!$E:$BM,MATCH(yoy!$S$1,Data!$E$1:$BM$1,),))+1)^12-1</f>
        <v/>
      </c>
      <c r="T35" s="14">
        <f>(((VLOOKUP(B35,Data!$E:$BM,MATCH(yoy!$T$1,Data!$E$1:$BM$1,),)-VLOOKUP(A35,Data!$E:$BM,MATCH(yoy!$T$1,Data!$E$1:$BM$1,),))/VLOOKUP(A35,Data!$E:$BM,MATCH(yoy!$T$1,Data!$E$1:$BM$1,),))+1)^12-1</f>
        <v/>
      </c>
      <c r="U35" s="14">
        <f>(((VLOOKUP(B35,Data!$E:$BM,MATCH(yoy!$U$1,Data!$E$1:$BM$1,),)-VLOOKUP(A35,Data!$E:$BM,MATCH(yoy!$U$1,Data!$E$1:$BM$1,),))/VLOOKUP(A35,Data!$E:$BM,MATCH(yoy!$U$1,Data!$E$1:$BM$1,),))+1)^12-1</f>
        <v/>
      </c>
      <c r="V35" s="14">
        <f>(((VLOOKUP(B35,Data!$E:$BM,MATCH(yoy!$V$1,Data!$E$1:$BM$1,),)-VLOOKUP(A35,Data!$E:$BM,MATCH(yoy!$V$1,Data!$E$1:$BM$1,),))/VLOOKUP(A35,Data!$E:$BM,MATCH(yoy!$V$1,Data!$E$1:$BM$1,),))+1)^12-1</f>
        <v/>
      </c>
      <c r="W35" s="14">
        <f>(((VLOOKUP(B35,Data!$E:$BM,MATCH(yoy!$W$1,Data!$E$1:$BM$1,),)-VLOOKUP(A35,Data!$E:$BM,MATCH(yoy!$W$1,Data!$E$1:$BM$1,),))/VLOOKUP(A35,Data!$E:$BM,MATCH(yoy!$W$1,Data!$E$1:$BM$1,),))+1)^12-1</f>
        <v/>
      </c>
      <c r="X35" s="14">
        <f>(((VLOOKUP(B35,Data!$E:$BM,MATCH(yoy!$X$1,Data!$E$1:$BM$1,),)-VLOOKUP(A35,Data!$E:$BM,MATCH(yoy!$X$1,Data!$E$1:$BM$1,),))/VLOOKUP(A35,Data!$E:$BM,MATCH(yoy!$X$1,Data!$E$1:$BM$1,),))+1)^12-1</f>
        <v/>
      </c>
      <c r="Y35" s="14">
        <f>(((VLOOKUP(B35,Data!$E:$BM,MATCH(yoy!$Y$1,Data!$E$1:$BM$1,),)-VLOOKUP(A35,Data!$E:$BM,MATCH(yoy!$Y$1,Data!$E$1:$BM$1,),))/VLOOKUP(A35,Data!$E:$BM,MATCH(yoy!$Y$1,Data!$E$1:$BM$1,),))+1)^12-1</f>
        <v/>
      </c>
      <c r="Z35" s="14">
        <f>(((VLOOKUP(B35,Data!$E:$BM,MATCH(yoy!$Z$1,Data!$E$1:$BM$1,),)-VLOOKUP(A35,Data!$E:$BM,MATCH(yoy!$Z$1,Data!$E$1:$BM$1,),))/VLOOKUP(A35,Data!$E:$BM,MATCH(yoy!$Z$1,Data!$E$1:$BM$1,),))+1)^12-1</f>
        <v/>
      </c>
      <c r="AA35" s="14">
        <f>(((VLOOKUP(B35,Data!$E:$BM,MATCH(yoy!$AA$1,Data!$E$1:$BM$1,),)-VLOOKUP(A35,Data!$E:$BM,MATCH(yoy!$AA$1,Data!$E$1:$BM$1,),))/VLOOKUP(A35,Data!$E:$BM,MATCH(yoy!$AA$1,Data!$E$1:$BM$1,),))+1)^12-1</f>
        <v/>
      </c>
    </row>
    <row r="36">
      <c r="A36" s="20">
        <f>DATE(YEAR(B36),MONTH(B36)-1,DAY(B36))</f>
        <v/>
      </c>
      <c r="B36" s="12" t="n">
        <v>42948</v>
      </c>
      <c r="C36" s="14">
        <f>(((VLOOKUP(B36,Data!$E:$BM,MATCH(yoy!$C$1,Data!$E$1:$BM$1,),)-VLOOKUP(A36,Data!$E:$BM,MATCH(yoy!$C$1,Data!$E$1:$BM$1,),))/VLOOKUP(A36,Data!$E:$BM,MATCH(yoy!$C$1,Data!$E$1:$BM$1,),))+1)^12-1</f>
        <v/>
      </c>
      <c r="D36" s="14">
        <f>(((VLOOKUP(B36,Data!$E:$BM,MATCH(yoy!$D$1,Data!$E$1:$BM$1,),)-VLOOKUP(A36,Data!$E:$BM,MATCH(yoy!$D$1,Data!$E$1:$BM$1,),))/VLOOKUP(A36,Data!$E:$BM,MATCH(yoy!$D$1,Data!$E$1:$BM$1,),))+1)^12-1</f>
        <v/>
      </c>
      <c r="E36" s="14">
        <f>(((VLOOKUP(B36,Data!$E:$BM,MATCH(yoy!$E$1,Data!$E$1:$BM$1,),)-VLOOKUP(A36,Data!$E:$BM,MATCH(yoy!$E$1,Data!$E$1:$BM$1,),))/VLOOKUP(A36,Data!$E:$BM,MATCH(yoy!$E$1,Data!$E$1:$BM$1,),))+1)^12-1</f>
        <v/>
      </c>
      <c r="F36" s="14">
        <f>(((VLOOKUP(B36,Data!$E:$BM,MATCH(yoy!$F$1,Data!$E$1:$BM$1,),)-VLOOKUP(A36,Data!$E:$BM,MATCH(yoy!$F$1,Data!$E$1:$BM$1,),))/VLOOKUP(A36,Data!$E:$BM,MATCH(yoy!$F$1,Data!$E$1:$BM$1,),))+1)^12-1</f>
        <v/>
      </c>
      <c r="G36" s="14">
        <f>(((VLOOKUP(B36,Data!$E:$BM,MATCH(yoy!$G$1,Data!$E$1:$BM$1,),)-VLOOKUP(A36,Data!$E:$BM,MATCH(yoy!$G$1,Data!$E$1:$BM$1,),))/VLOOKUP(A36,Data!$E:$BM,MATCH(yoy!$G$1,Data!$E$1:$BM$1,),))+1)^12-1</f>
        <v/>
      </c>
      <c r="H36" s="14">
        <f>(((VLOOKUP(B36,Data!$E:$BM,MATCH(yoy!$H$1,Data!$E$1:$BM$1,),)-VLOOKUP(A36,Data!$E:$BM,MATCH(yoy!$H$1,Data!$E$1:$BM$1,),))/VLOOKUP(A36,Data!$E:$BM,MATCH(yoy!$H$1,Data!$E$1:$BM$1,),))+1)^12-1</f>
        <v/>
      </c>
      <c r="I36" s="14">
        <f>(((VLOOKUP(B36,Data!$E:$BM,MATCH(yoy!$I$1,Data!$E$1:$BM$1,),)-VLOOKUP(A36,Data!$E:$BM,MATCH(yoy!$I$1,Data!$E$1:$BM$1,),))/VLOOKUP(A36,Data!$E:$BM,MATCH(yoy!$I$1,Data!$E$1:$BM$1,),))+1)^12-1</f>
        <v/>
      </c>
      <c r="J36" s="14">
        <f>(((VLOOKUP(B36,Data!$E:$BM,MATCH(yoy!$J$1,Data!$E$1:$BM$1,),)-VLOOKUP(A36,Data!$E:$BM,MATCH(yoy!$J$1,Data!$E$1:$BM$1,),))/VLOOKUP(A36,Data!$E:$BM,MATCH(yoy!$J$1,Data!$E$1:$BM$1,),))+1)^12-1</f>
        <v/>
      </c>
      <c r="K36" s="14">
        <f>(((VLOOKUP(B36,Data!$E:$BM,MATCH(yoy!$K$1,Data!$E$1:$BM$1,),)-VLOOKUP(A36,Data!$E:$BM,MATCH(yoy!$K$1,Data!$E$1:$BM$1,),))/VLOOKUP(A36,Data!$E:$BM,MATCH(yoy!$K$1,Data!$E$1:$BM$1,),))+1)^12-1</f>
        <v/>
      </c>
      <c r="L36" s="14">
        <f>(((VLOOKUP(B36,Data!$E:$BM,MATCH(yoy!$L$1,Data!$E$1:$BM$1,),)-VLOOKUP(A36,Data!$E:$BM,MATCH(yoy!$L$1,Data!$E$1:$BM$1,),))/VLOOKUP(A36,Data!$E:$BM,MATCH(yoy!$L$1,Data!$E$1:$BM$1,),))+1)^12-1</f>
        <v/>
      </c>
      <c r="M36" s="14">
        <f>(((VLOOKUP(B36,Data!$E:$BM,MATCH(yoy!$M$1,Data!$E$1:$BM$1,),)-VLOOKUP(A36,Data!$E:$BM,MATCH(yoy!$M$1,Data!$E$1:$BM$1,),))/VLOOKUP(A36,Data!$E:$BM,MATCH(yoy!$M$1,Data!$E$1:$BM$1,),))+1)^12-1</f>
        <v/>
      </c>
      <c r="N36" s="14">
        <f>(((VLOOKUP(B36,Data!$E:$BM,MATCH(yoy!$N$1,Data!$E$1:$BM$1,),)-VLOOKUP(A36,Data!$E:$BM,MATCH(yoy!$N$1,Data!$E$1:$BM$1,),))/VLOOKUP(A36,Data!$E:$BM,MATCH(yoy!$N$1,Data!$E$1:$BM$1,),))+1)^12-1</f>
        <v/>
      </c>
      <c r="O36" s="14">
        <f>(((VLOOKUP(B36,Data!$E:$BM,MATCH(yoy!$O$1,Data!$E$1:$BM$1,),)-VLOOKUP(A36,Data!$E:$BM,MATCH(yoy!$O$1,Data!$E$1:$BM$1,),))/VLOOKUP(A36,Data!$E:$BM,MATCH(yoy!$O$1,Data!$E$1:$BM$1,),))+1)^12-1</f>
        <v/>
      </c>
      <c r="P36" s="14">
        <f>(((VLOOKUP(B36,Data!$E:$BM,MATCH(yoy!$P$1,Data!$E$1:$BM$1,),)-VLOOKUP(A36,Data!$E:$BM,MATCH(yoy!$P$1,Data!$E$1:$BM$1,),))/VLOOKUP(A36,Data!$E:$BM,MATCH(yoy!$P$1,Data!$E$1:$BM$1,),))+1)^12-1</f>
        <v/>
      </c>
      <c r="Q36" s="14">
        <f>(((VLOOKUP(B36,Data!$E:$BM,MATCH(yoy!$Q$1,Data!$E$1:$BM$1,),)-VLOOKUP(A36,Data!$E:$BM,MATCH(yoy!$Q$1,Data!$E$1:$BM$1,),))/VLOOKUP(A36,Data!$E:$BM,MATCH(yoy!$Q$1,Data!$E$1:$BM$1,),))+1)^12-1</f>
        <v/>
      </c>
      <c r="R36" s="14">
        <f>(((VLOOKUP(B36,Data!$E:$BM,MATCH(yoy!$R$1,Data!$E$1:$BM$1,),)-VLOOKUP(A36,Data!$E:$BM,MATCH(yoy!$R$1,Data!$E$1:$BM$1,),))/VLOOKUP(A36,Data!$E:$BM,MATCH(yoy!$R$1,Data!$E$1:$BM$1,),))+1)^12-1</f>
        <v/>
      </c>
      <c r="S36" s="14">
        <f>(((VLOOKUP(B36,Data!$E:$BM,MATCH(yoy!$S$1,Data!$E$1:$BM$1,),)-VLOOKUP(A36,Data!$E:$BM,MATCH(yoy!$S$1,Data!$E$1:$BM$1,),))/VLOOKUP(A36,Data!$E:$BM,MATCH(yoy!$S$1,Data!$E$1:$BM$1,),))+1)^12-1</f>
        <v/>
      </c>
      <c r="T36" s="14">
        <f>(((VLOOKUP(B36,Data!$E:$BM,MATCH(yoy!$T$1,Data!$E$1:$BM$1,),)-VLOOKUP(A36,Data!$E:$BM,MATCH(yoy!$T$1,Data!$E$1:$BM$1,),))/VLOOKUP(A36,Data!$E:$BM,MATCH(yoy!$T$1,Data!$E$1:$BM$1,),))+1)^12-1</f>
        <v/>
      </c>
      <c r="U36" s="14">
        <f>(((VLOOKUP(B36,Data!$E:$BM,MATCH(yoy!$U$1,Data!$E$1:$BM$1,),)-VLOOKUP(A36,Data!$E:$BM,MATCH(yoy!$U$1,Data!$E$1:$BM$1,),))/VLOOKUP(A36,Data!$E:$BM,MATCH(yoy!$U$1,Data!$E$1:$BM$1,),))+1)^12-1</f>
        <v/>
      </c>
      <c r="V36" s="14">
        <f>(((VLOOKUP(B36,Data!$E:$BM,MATCH(yoy!$V$1,Data!$E$1:$BM$1,),)-VLOOKUP(A36,Data!$E:$BM,MATCH(yoy!$V$1,Data!$E$1:$BM$1,),))/VLOOKUP(A36,Data!$E:$BM,MATCH(yoy!$V$1,Data!$E$1:$BM$1,),))+1)^12-1</f>
        <v/>
      </c>
      <c r="W36" s="14">
        <f>(((VLOOKUP(B36,Data!$E:$BM,MATCH(yoy!$W$1,Data!$E$1:$BM$1,),)-VLOOKUP(A36,Data!$E:$BM,MATCH(yoy!$W$1,Data!$E$1:$BM$1,),))/VLOOKUP(A36,Data!$E:$BM,MATCH(yoy!$W$1,Data!$E$1:$BM$1,),))+1)^12-1</f>
        <v/>
      </c>
      <c r="X36" s="14">
        <f>(((VLOOKUP(B36,Data!$E:$BM,MATCH(yoy!$X$1,Data!$E$1:$BM$1,),)-VLOOKUP(A36,Data!$E:$BM,MATCH(yoy!$X$1,Data!$E$1:$BM$1,),))/VLOOKUP(A36,Data!$E:$BM,MATCH(yoy!$X$1,Data!$E$1:$BM$1,),))+1)^12-1</f>
        <v/>
      </c>
      <c r="Y36" s="14">
        <f>(((VLOOKUP(B36,Data!$E:$BM,MATCH(yoy!$Y$1,Data!$E$1:$BM$1,),)-VLOOKUP(A36,Data!$E:$BM,MATCH(yoy!$Y$1,Data!$E$1:$BM$1,),))/VLOOKUP(A36,Data!$E:$BM,MATCH(yoy!$Y$1,Data!$E$1:$BM$1,),))+1)^12-1</f>
        <v/>
      </c>
      <c r="Z36" s="14">
        <f>(((VLOOKUP(B36,Data!$E:$BM,MATCH(yoy!$Z$1,Data!$E$1:$BM$1,),)-VLOOKUP(A36,Data!$E:$BM,MATCH(yoy!$Z$1,Data!$E$1:$BM$1,),))/VLOOKUP(A36,Data!$E:$BM,MATCH(yoy!$Z$1,Data!$E$1:$BM$1,),))+1)^12-1</f>
        <v/>
      </c>
      <c r="AA36" s="14">
        <f>(((VLOOKUP(B36,Data!$E:$BM,MATCH(yoy!$AA$1,Data!$E$1:$BM$1,),)-VLOOKUP(A36,Data!$E:$BM,MATCH(yoy!$AA$1,Data!$E$1:$BM$1,),))/VLOOKUP(A36,Data!$E:$BM,MATCH(yoy!$AA$1,Data!$E$1:$BM$1,),))+1)^12-1</f>
        <v/>
      </c>
    </row>
    <row r="37">
      <c r="A37" s="20">
        <f>DATE(YEAR(B37),MONTH(B37)-1,DAY(B37))</f>
        <v/>
      </c>
      <c r="B37" s="12" t="n">
        <v>42979</v>
      </c>
      <c r="C37" s="14">
        <f>(((VLOOKUP(B37,Data!$E:$BM,MATCH(yoy!$C$1,Data!$E$1:$BM$1,),)-VLOOKUP(A37,Data!$E:$BM,MATCH(yoy!$C$1,Data!$E$1:$BM$1,),))/VLOOKUP(A37,Data!$E:$BM,MATCH(yoy!$C$1,Data!$E$1:$BM$1,),))+1)^12-1</f>
        <v/>
      </c>
      <c r="D37" s="14">
        <f>(((VLOOKUP(B37,Data!$E:$BM,MATCH(yoy!$D$1,Data!$E$1:$BM$1,),)-VLOOKUP(A37,Data!$E:$BM,MATCH(yoy!$D$1,Data!$E$1:$BM$1,),))/VLOOKUP(A37,Data!$E:$BM,MATCH(yoy!$D$1,Data!$E$1:$BM$1,),))+1)^12-1</f>
        <v/>
      </c>
      <c r="E37" s="14">
        <f>(((VLOOKUP(B37,Data!$E:$BM,MATCH(yoy!$E$1,Data!$E$1:$BM$1,),)-VLOOKUP(A37,Data!$E:$BM,MATCH(yoy!$E$1,Data!$E$1:$BM$1,),))/VLOOKUP(A37,Data!$E:$BM,MATCH(yoy!$E$1,Data!$E$1:$BM$1,),))+1)^12-1</f>
        <v/>
      </c>
      <c r="F37" s="14">
        <f>(((VLOOKUP(B37,Data!$E:$BM,MATCH(yoy!$F$1,Data!$E$1:$BM$1,),)-VLOOKUP(A37,Data!$E:$BM,MATCH(yoy!$F$1,Data!$E$1:$BM$1,),))/VLOOKUP(A37,Data!$E:$BM,MATCH(yoy!$F$1,Data!$E$1:$BM$1,),))+1)^12-1</f>
        <v/>
      </c>
      <c r="G37" s="14">
        <f>(((VLOOKUP(B37,Data!$E:$BM,MATCH(yoy!$G$1,Data!$E$1:$BM$1,),)-VLOOKUP(A37,Data!$E:$BM,MATCH(yoy!$G$1,Data!$E$1:$BM$1,),))/VLOOKUP(A37,Data!$E:$BM,MATCH(yoy!$G$1,Data!$E$1:$BM$1,),))+1)^12-1</f>
        <v/>
      </c>
      <c r="H37" s="14">
        <f>(((VLOOKUP(B37,Data!$E:$BM,MATCH(yoy!$H$1,Data!$E$1:$BM$1,),)-VLOOKUP(A37,Data!$E:$BM,MATCH(yoy!$H$1,Data!$E$1:$BM$1,),))/VLOOKUP(A37,Data!$E:$BM,MATCH(yoy!$H$1,Data!$E$1:$BM$1,),))+1)^12-1</f>
        <v/>
      </c>
      <c r="I37" s="14">
        <f>(((VLOOKUP(B37,Data!$E:$BM,MATCH(yoy!$I$1,Data!$E$1:$BM$1,),)-VLOOKUP(A37,Data!$E:$BM,MATCH(yoy!$I$1,Data!$E$1:$BM$1,),))/VLOOKUP(A37,Data!$E:$BM,MATCH(yoy!$I$1,Data!$E$1:$BM$1,),))+1)^12-1</f>
        <v/>
      </c>
      <c r="J37" s="14">
        <f>(((VLOOKUP(B37,Data!$E:$BM,MATCH(yoy!$J$1,Data!$E$1:$BM$1,),)-VLOOKUP(A37,Data!$E:$BM,MATCH(yoy!$J$1,Data!$E$1:$BM$1,),))/VLOOKUP(A37,Data!$E:$BM,MATCH(yoy!$J$1,Data!$E$1:$BM$1,),))+1)^12-1</f>
        <v/>
      </c>
      <c r="K37" s="14">
        <f>(((VLOOKUP(B37,Data!$E:$BM,MATCH(yoy!$K$1,Data!$E$1:$BM$1,),)-VLOOKUP(A37,Data!$E:$BM,MATCH(yoy!$K$1,Data!$E$1:$BM$1,),))/VLOOKUP(A37,Data!$E:$BM,MATCH(yoy!$K$1,Data!$E$1:$BM$1,),))+1)^12-1</f>
        <v/>
      </c>
      <c r="L37" s="14">
        <f>(((VLOOKUP(B37,Data!$E:$BM,MATCH(yoy!$L$1,Data!$E$1:$BM$1,),)-VLOOKUP(A37,Data!$E:$BM,MATCH(yoy!$L$1,Data!$E$1:$BM$1,),))/VLOOKUP(A37,Data!$E:$BM,MATCH(yoy!$L$1,Data!$E$1:$BM$1,),))+1)^12-1</f>
        <v/>
      </c>
      <c r="M37" s="14">
        <f>(((VLOOKUP(B37,Data!$E:$BM,MATCH(yoy!$M$1,Data!$E$1:$BM$1,),)-VLOOKUP(A37,Data!$E:$BM,MATCH(yoy!$M$1,Data!$E$1:$BM$1,),))/VLOOKUP(A37,Data!$E:$BM,MATCH(yoy!$M$1,Data!$E$1:$BM$1,),))+1)^12-1</f>
        <v/>
      </c>
      <c r="N37" s="14">
        <f>(((VLOOKUP(B37,Data!$E:$BM,MATCH(yoy!$N$1,Data!$E$1:$BM$1,),)-VLOOKUP(A37,Data!$E:$BM,MATCH(yoy!$N$1,Data!$E$1:$BM$1,),))/VLOOKUP(A37,Data!$E:$BM,MATCH(yoy!$N$1,Data!$E$1:$BM$1,),))+1)^12-1</f>
        <v/>
      </c>
      <c r="O37" s="14">
        <f>(((VLOOKUP(B37,Data!$E:$BM,MATCH(yoy!$O$1,Data!$E$1:$BM$1,),)-VLOOKUP(A37,Data!$E:$BM,MATCH(yoy!$O$1,Data!$E$1:$BM$1,),))/VLOOKUP(A37,Data!$E:$BM,MATCH(yoy!$O$1,Data!$E$1:$BM$1,),))+1)^12-1</f>
        <v/>
      </c>
      <c r="P37" s="14">
        <f>(((VLOOKUP(B37,Data!$E:$BM,MATCH(yoy!$P$1,Data!$E$1:$BM$1,),)-VLOOKUP(A37,Data!$E:$BM,MATCH(yoy!$P$1,Data!$E$1:$BM$1,),))/VLOOKUP(A37,Data!$E:$BM,MATCH(yoy!$P$1,Data!$E$1:$BM$1,),))+1)^12-1</f>
        <v/>
      </c>
      <c r="Q37" s="14">
        <f>(((VLOOKUP(B37,Data!$E:$BM,MATCH(yoy!$Q$1,Data!$E$1:$BM$1,),)-VLOOKUP(A37,Data!$E:$BM,MATCH(yoy!$Q$1,Data!$E$1:$BM$1,),))/VLOOKUP(A37,Data!$E:$BM,MATCH(yoy!$Q$1,Data!$E$1:$BM$1,),))+1)^12-1</f>
        <v/>
      </c>
      <c r="R37" s="14">
        <f>(((VLOOKUP(B37,Data!$E:$BM,MATCH(yoy!$R$1,Data!$E$1:$BM$1,),)-VLOOKUP(A37,Data!$E:$BM,MATCH(yoy!$R$1,Data!$E$1:$BM$1,),))/VLOOKUP(A37,Data!$E:$BM,MATCH(yoy!$R$1,Data!$E$1:$BM$1,),))+1)^12-1</f>
        <v/>
      </c>
      <c r="S37" s="14">
        <f>(((VLOOKUP(B37,Data!$E:$BM,MATCH(yoy!$S$1,Data!$E$1:$BM$1,),)-VLOOKUP(A37,Data!$E:$BM,MATCH(yoy!$S$1,Data!$E$1:$BM$1,),))/VLOOKUP(A37,Data!$E:$BM,MATCH(yoy!$S$1,Data!$E$1:$BM$1,),))+1)^12-1</f>
        <v/>
      </c>
      <c r="T37" s="14">
        <f>(((VLOOKUP(B37,Data!$E:$BM,MATCH(yoy!$T$1,Data!$E$1:$BM$1,),)-VLOOKUP(A37,Data!$E:$BM,MATCH(yoy!$T$1,Data!$E$1:$BM$1,),))/VLOOKUP(A37,Data!$E:$BM,MATCH(yoy!$T$1,Data!$E$1:$BM$1,),))+1)^12-1</f>
        <v/>
      </c>
      <c r="U37" s="14">
        <f>(((VLOOKUP(B37,Data!$E:$BM,MATCH(yoy!$U$1,Data!$E$1:$BM$1,),)-VLOOKUP(A37,Data!$E:$BM,MATCH(yoy!$U$1,Data!$E$1:$BM$1,),))/VLOOKUP(A37,Data!$E:$BM,MATCH(yoy!$U$1,Data!$E$1:$BM$1,),))+1)^12-1</f>
        <v/>
      </c>
      <c r="V37" s="14">
        <f>(((VLOOKUP(B37,Data!$E:$BM,MATCH(yoy!$V$1,Data!$E$1:$BM$1,),)-VLOOKUP(A37,Data!$E:$BM,MATCH(yoy!$V$1,Data!$E$1:$BM$1,),))/VLOOKUP(A37,Data!$E:$BM,MATCH(yoy!$V$1,Data!$E$1:$BM$1,),))+1)^12-1</f>
        <v/>
      </c>
      <c r="W37" s="14">
        <f>(((VLOOKUP(B37,Data!$E:$BM,MATCH(yoy!$W$1,Data!$E$1:$BM$1,),)-VLOOKUP(A37,Data!$E:$BM,MATCH(yoy!$W$1,Data!$E$1:$BM$1,),))/VLOOKUP(A37,Data!$E:$BM,MATCH(yoy!$W$1,Data!$E$1:$BM$1,),))+1)^12-1</f>
        <v/>
      </c>
      <c r="X37" s="14">
        <f>(((VLOOKUP(B37,Data!$E:$BM,MATCH(yoy!$X$1,Data!$E$1:$BM$1,),)-VLOOKUP(A37,Data!$E:$BM,MATCH(yoy!$X$1,Data!$E$1:$BM$1,),))/VLOOKUP(A37,Data!$E:$BM,MATCH(yoy!$X$1,Data!$E$1:$BM$1,),))+1)^12-1</f>
        <v/>
      </c>
      <c r="Y37" s="14">
        <f>(((VLOOKUP(B37,Data!$E:$BM,MATCH(yoy!$Y$1,Data!$E$1:$BM$1,),)-VLOOKUP(A37,Data!$E:$BM,MATCH(yoy!$Y$1,Data!$E$1:$BM$1,),))/VLOOKUP(A37,Data!$E:$BM,MATCH(yoy!$Y$1,Data!$E$1:$BM$1,),))+1)^12-1</f>
        <v/>
      </c>
      <c r="Z37" s="14">
        <f>(((VLOOKUP(B37,Data!$E:$BM,MATCH(yoy!$Z$1,Data!$E$1:$BM$1,),)-VLOOKUP(A37,Data!$E:$BM,MATCH(yoy!$Z$1,Data!$E$1:$BM$1,),))/VLOOKUP(A37,Data!$E:$BM,MATCH(yoy!$Z$1,Data!$E$1:$BM$1,),))+1)^12-1</f>
        <v/>
      </c>
      <c r="AA37" s="14">
        <f>(((VLOOKUP(B37,Data!$E:$BM,MATCH(yoy!$AA$1,Data!$E$1:$BM$1,),)-VLOOKUP(A37,Data!$E:$BM,MATCH(yoy!$AA$1,Data!$E$1:$BM$1,),))/VLOOKUP(A37,Data!$E:$BM,MATCH(yoy!$AA$1,Data!$E$1:$BM$1,),))+1)^12-1</f>
        <v/>
      </c>
    </row>
    <row r="38">
      <c r="A38" s="20">
        <f>DATE(YEAR(B38),MONTH(B38)-1,DAY(B38))</f>
        <v/>
      </c>
      <c r="B38" s="12" t="n">
        <v>43009</v>
      </c>
      <c r="C38" s="14">
        <f>(((VLOOKUP(B38,Data!$E:$BM,MATCH(yoy!$C$1,Data!$E$1:$BM$1,),)-VLOOKUP(A38,Data!$E:$BM,MATCH(yoy!$C$1,Data!$E$1:$BM$1,),))/VLOOKUP(A38,Data!$E:$BM,MATCH(yoy!$C$1,Data!$E$1:$BM$1,),))+1)^12-1</f>
        <v/>
      </c>
      <c r="D38" s="14">
        <f>(((VLOOKUP(B38,Data!$E:$BM,MATCH(yoy!$D$1,Data!$E$1:$BM$1,),)-VLOOKUP(A38,Data!$E:$BM,MATCH(yoy!$D$1,Data!$E$1:$BM$1,),))/VLOOKUP(A38,Data!$E:$BM,MATCH(yoy!$D$1,Data!$E$1:$BM$1,),))+1)^12-1</f>
        <v/>
      </c>
      <c r="E38" s="14">
        <f>(((VLOOKUP(B38,Data!$E:$BM,MATCH(yoy!$E$1,Data!$E$1:$BM$1,),)-VLOOKUP(A38,Data!$E:$BM,MATCH(yoy!$E$1,Data!$E$1:$BM$1,),))/VLOOKUP(A38,Data!$E:$BM,MATCH(yoy!$E$1,Data!$E$1:$BM$1,),))+1)^12-1</f>
        <v/>
      </c>
      <c r="F38" s="14">
        <f>(((VLOOKUP(B38,Data!$E:$BM,MATCH(yoy!$F$1,Data!$E$1:$BM$1,),)-VLOOKUP(A38,Data!$E:$BM,MATCH(yoy!$F$1,Data!$E$1:$BM$1,),))/VLOOKUP(A38,Data!$E:$BM,MATCH(yoy!$F$1,Data!$E$1:$BM$1,),))+1)^12-1</f>
        <v/>
      </c>
      <c r="G38" s="14">
        <f>(((VLOOKUP(B38,Data!$E:$BM,MATCH(yoy!$G$1,Data!$E$1:$BM$1,),)-VLOOKUP(A38,Data!$E:$BM,MATCH(yoy!$G$1,Data!$E$1:$BM$1,),))/VLOOKUP(A38,Data!$E:$BM,MATCH(yoy!$G$1,Data!$E$1:$BM$1,),))+1)^12-1</f>
        <v/>
      </c>
      <c r="H38" s="14">
        <f>(((VLOOKUP(B38,Data!$E:$BM,MATCH(yoy!$H$1,Data!$E$1:$BM$1,),)-VLOOKUP(A38,Data!$E:$BM,MATCH(yoy!$H$1,Data!$E$1:$BM$1,),))/VLOOKUP(A38,Data!$E:$BM,MATCH(yoy!$H$1,Data!$E$1:$BM$1,),))+1)^12-1</f>
        <v/>
      </c>
      <c r="I38" s="14">
        <f>(((VLOOKUP(B38,Data!$E:$BM,MATCH(yoy!$I$1,Data!$E$1:$BM$1,),)-VLOOKUP(A38,Data!$E:$BM,MATCH(yoy!$I$1,Data!$E$1:$BM$1,),))/VLOOKUP(A38,Data!$E:$BM,MATCH(yoy!$I$1,Data!$E$1:$BM$1,),))+1)^12-1</f>
        <v/>
      </c>
      <c r="J38" s="14">
        <f>(((VLOOKUP(B38,Data!$E:$BM,MATCH(yoy!$J$1,Data!$E$1:$BM$1,),)-VLOOKUP(A38,Data!$E:$BM,MATCH(yoy!$J$1,Data!$E$1:$BM$1,),))/VLOOKUP(A38,Data!$E:$BM,MATCH(yoy!$J$1,Data!$E$1:$BM$1,),))+1)^12-1</f>
        <v/>
      </c>
      <c r="K38" s="14">
        <f>(((VLOOKUP(B38,Data!$E:$BM,MATCH(yoy!$K$1,Data!$E$1:$BM$1,),)-VLOOKUP(A38,Data!$E:$BM,MATCH(yoy!$K$1,Data!$E$1:$BM$1,),))/VLOOKUP(A38,Data!$E:$BM,MATCH(yoy!$K$1,Data!$E$1:$BM$1,),))+1)^12-1</f>
        <v/>
      </c>
      <c r="L38" s="14">
        <f>(((VLOOKUP(B38,Data!$E:$BM,MATCH(yoy!$L$1,Data!$E$1:$BM$1,),)-VLOOKUP(A38,Data!$E:$BM,MATCH(yoy!$L$1,Data!$E$1:$BM$1,),))/VLOOKUP(A38,Data!$E:$BM,MATCH(yoy!$L$1,Data!$E$1:$BM$1,),))+1)^12-1</f>
        <v/>
      </c>
      <c r="M38" s="14">
        <f>(((VLOOKUP(B38,Data!$E:$BM,MATCH(yoy!$M$1,Data!$E$1:$BM$1,),)-VLOOKUP(A38,Data!$E:$BM,MATCH(yoy!$M$1,Data!$E$1:$BM$1,),))/VLOOKUP(A38,Data!$E:$BM,MATCH(yoy!$M$1,Data!$E$1:$BM$1,),))+1)^12-1</f>
        <v/>
      </c>
      <c r="N38" s="14">
        <f>(((VLOOKUP(B38,Data!$E:$BM,MATCH(yoy!$N$1,Data!$E$1:$BM$1,),)-VLOOKUP(A38,Data!$E:$BM,MATCH(yoy!$N$1,Data!$E$1:$BM$1,),))/VLOOKUP(A38,Data!$E:$BM,MATCH(yoy!$N$1,Data!$E$1:$BM$1,),))+1)^12-1</f>
        <v/>
      </c>
      <c r="O38" s="14">
        <f>(((VLOOKUP(B38,Data!$E:$BM,MATCH(yoy!$O$1,Data!$E$1:$BM$1,),)-VLOOKUP(A38,Data!$E:$BM,MATCH(yoy!$O$1,Data!$E$1:$BM$1,),))/VLOOKUP(A38,Data!$E:$BM,MATCH(yoy!$O$1,Data!$E$1:$BM$1,),))+1)^12-1</f>
        <v/>
      </c>
      <c r="P38" s="14">
        <f>(((VLOOKUP(B38,Data!$E:$BM,MATCH(yoy!$P$1,Data!$E$1:$BM$1,),)-VLOOKUP(A38,Data!$E:$BM,MATCH(yoy!$P$1,Data!$E$1:$BM$1,),))/VLOOKUP(A38,Data!$E:$BM,MATCH(yoy!$P$1,Data!$E$1:$BM$1,),))+1)^12-1</f>
        <v/>
      </c>
      <c r="Q38" s="14">
        <f>(((VLOOKUP(B38,Data!$E:$BM,MATCH(yoy!$Q$1,Data!$E$1:$BM$1,),)-VLOOKUP(A38,Data!$E:$BM,MATCH(yoy!$Q$1,Data!$E$1:$BM$1,),))/VLOOKUP(A38,Data!$E:$BM,MATCH(yoy!$Q$1,Data!$E$1:$BM$1,),))+1)^12-1</f>
        <v/>
      </c>
      <c r="R38" s="14">
        <f>(((VLOOKUP(B38,Data!$E:$BM,MATCH(yoy!$R$1,Data!$E$1:$BM$1,),)-VLOOKUP(A38,Data!$E:$BM,MATCH(yoy!$R$1,Data!$E$1:$BM$1,),))/VLOOKUP(A38,Data!$E:$BM,MATCH(yoy!$R$1,Data!$E$1:$BM$1,),))+1)^12-1</f>
        <v/>
      </c>
      <c r="S38" s="14">
        <f>(((VLOOKUP(B38,Data!$E:$BM,MATCH(yoy!$S$1,Data!$E$1:$BM$1,),)-VLOOKUP(A38,Data!$E:$BM,MATCH(yoy!$S$1,Data!$E$1:$BM$1,),))/VLOOKUP(A38,Data!$E:$BM,MATCH(yoy!$S$1,Data!$E$1:$BM$1,),))+1)^12-1</f>
        <v/>
      </c>
      <c r="T38" s="14">
        <f>(((VLOOKUP(B38,Data!$E:$BM,MATCH(yoy!$T$1,Data!$E$1:$BM$1,),)-VLOOKUP(A38,Data!$E:$BM,MATCH(yoy!$T$1,Data!$E$1:$BM$1,),))/VLOOKUP(A38,Data!$E:$BM,MATCH(yoy!$T$1,Data!$E$1:$BM$1,),))+1)^12-1</f>
        <v/>
      </c>
      <c r="U38" s="14">
        <f>(((VLOOKUP(B38,Data!$E:$BM,MATCH(yoy!$U$1,Data!$E$1:$BM$1,),)-VLOOKUP(A38,Data!$E:$BM,MATCH(yoy!$U$1,Data!$E$1:$BM$1,),))/VLOOKUP(A38,Data!$E:$BM,MATCH(yoy!$U$1,Data!$E$1:$BM$1,),))+1)^12-1</f>
        <v/>
      </c>
      <c r="V38" s="14">
        <f>(((VLOOKUP(B38,Data!$E:$BM,MATCH(yoy!$V$1,Data!$E$1:$BM$1,),)-VLOOKUP(A38,Data!$E:$BM,MATCH(yoy!$V$1,Data!$E$1:$BM$1,),))/VLOOKUP(A38,Data!$E:$BM,MATCH(yoy!$V$1,Data!$E$1:$BM$1,),))+1)^12-1</f>
        <v/>
      </c>
      <c r="W38" s="14">
        <f>(((VLOOKUP(B38,Data!$E:$BM,MATCH(yoy!$W$1,Data!$E$1:$BM$1,),)-VLOOKUP(A38,Data!$E:$BM,MATCH(yoy!$W$1,Data!$E$1:$BM$1,),))/VLOOKUP(A38,Data!$E:$BM,MATCH(yoy!$W$1,Data!$E$1:$BM$1,),))+1)^12-1</f>
        <v/>
      </c>
      <c r="X38" s="14">
        <f>(((VLOOKUP(B38,Data!$E:$BM,MATCH(yoy!$X$1,Data!$E$1:$BM$1,),)-VLOOKUP(A38,Data!$E:$BM,MATCH(yoy!$X$1,Data!$E$1:$BM$1,),))/VLOOKUP(A38,Data!$E:$BM,MATCH(yoy!$X$1,Data!$E$1:$BM$1,),))+1)^12-1</f>
        <v/>
      </c>
      <c r="Y38" s="14">
        <f>(((VLOOKUP(B38,Data!$E:$BM,MATCH(yoy!$Y$1,Data!$E$1:$BM$1,),)-VLOOKUP(A38,Data!$E:$BM,MATCH(yoy!$Y$1,Data!$E$1:$BM$1,),))/VLOOKUP(A38,Data!$E:$BM,MATCH(yoy!$Y$1,Data!$E$1:$BM$1,),))+1)^12-1</f>
        <v/>
      </c>
      <c r="Z38" s="14">
        <f>(((VLOOKUP(B38,Data!$E:$BM,MATCH(yoy!$Z$1,Data!$E$1:$BM$1,),)-VLOOKUP(A38,Data!$E:$BM,MATCH(yoy!$Z$1,Data!$E$1:$BM$1,),))/VLOOKUP(A38,Data!$E:$BM,MATCH(yoy!$Z$1,Data!$E$1:$BM$1,),))+1)^12-1</f>
        <v/>
      </c>
      <c r="AA38" s="14">
        <f>(((VLOOKUP(B38,Data!$E:$BM,MATCH(yoy!$AA$1,Data!$E$1:$BM$1,),)-VLOOKUP(A38,Data!$E:$BM,MATCH(yoy!$AA$1,Data!$E$1:$BM$1,),))/VLOOKUP(A38,Data!$E:$BM,MATCH(yoy!$AA$1,Data!$E$1:$BM$1,),))+1)^12-1</f>
        <v/>
      </c>
    </row>
    <row r="39">
      <c r="A39" s="20">
        <f>DATE(YEAR(B39),MONTH(B39)-1,DAY(B39))</f>
        <v/>
      </c>
      <c r="B39" s="12" t="n">
        <v>43040</v>
      </c>
      <c r="C39" s="14">
        <f>(((VLOOKUP(B39,Data!$E:$BM,MATCH(yoy!$C$1,Data!$E$1:$BM$1,),)-VLOOKUP(A39,Data!$E:$BM,MATCH(yoy!$C$1,Data!$E$1:$BM$1,),))/VLOOKUP(A39,Data!$E:$BM,MATCH(yoy!$C$1,Data!$E$1:$BM$1,),))+1)^12-1</f>
        <v/>
      </c>
      <c r="D39" s="14">
        <f>(((VLOOKUP(B39,Data!$E:$BM,MATCH(yoy!$D$1,Data!$E$1:$BM$1,),)-VLOOKUP(A39,Data!$E:$BM,MATCH(yoy!$D$1,Data!$E$1:$BM$1,),))/VLOOKUP(A39,Data!$E:$BM,MATCH(yoy!$D$1,Data!$E$1:$BM$1,),))+1)^12-1</f>
        <v/>
      </c>
      <c r="E39" s="14">
        <f>(((VLOOKUP(B39,Data!$E:$BM,MATCH(yoy!$E$1,Data!$E$1:$BM$1,),)-VLOOKUP(A39,Data!$E:$BM,MATCH(yoy!$E$1,Data!$E$1:$BM$1,),))/VLOOKUP(A39,Data!$E:$BM,MATCH(yoy!$E$1,Data!$E$1:$BM$1,),))+1)^12-1</f>
        <v/>
      </c>
      <c r="F39" s="14">
        <f>(((VLOOKUP(B39,Data!$E:$BM,MATCH(yoy!$F$1,Data!$E$1:$BM$1,),)-VLOOKUP(A39,Data!$E:$BM,MATCH(yoy!$F$1,Data!$E$1:$BM$1,),))/VLOOKUP(A39,Data!$E:$BM,MATCH(yoy!$F$1,Data!$E$1:$BM$1,),))+1)^12-1</f>
        <v/>
      </c>
      <c r="G39" s="14">
        <f>(((VLOOKUP(B39,Data!$E:$BM,MATCH(yoy!$G$1,Data!$E$1:$BM$1,),)-VLOOKUP(A39,Data!$E:$BM,MATCH(yoy!$G$1,Data!$E$1:$BM$1,),))/VLOOKUP(A39,Data!$E:$BM,MATCH(yoy!$G$1,Data!$E$1:$BM$1,),))+1)^12-1</f>
        <v/>
      </c>
      <c r="H39" s="14">
        <f>(((VLOOKUP(B39,Data!$E:$BM,MATCH(yoy!$H$1,Data!$E$1:$BM$1,),)-VLOOKUP(A39,Data!$E:$BM,MATCH(yoy!$H$1,Data!$E$1:$BM$1,),))/VLOOKUP(A39,Data!$E:$BM,MATCH(yoy!$H$1,Data!$E$1:$BM$1,),))+1)^12-1</f>
        <v/>
      </c>
      <c r="I39" s="14">
        <f>(((VLOOKUP(B39,Data!$E:$BM,MATCH(yoy!$I$1,Data!$E$1:$BM$1,),)-VLOOKUP(A39,Data!$E:$BM,MATCH(yoy!$I$1,Data!$E$1:$BM$1,),))/VLOOKUP(A39,Data!$E:$BM,MATCH(yoy!$I$1,Data!$E$1:$BM$1,),))+1)^12-1</f>
        <v/>
      </c>
      <c r="J39" s="14">
        <f>(((VLOOKUP(B39,Data!$E:$BM,MATCH(yoy!$J$1,Data!$E$1:$BM$1,),)-VLOOKUP(A39,Data!$E:$BM,MATCH(yoy!$J$1,Data!$E$1:$BM$1,),))/VLOOKUP(A39,Data!$E:$BM,MATCH(yoy!$J$1,Data!$E$1:$BM$1,),))+1)^12-1</f>
        <v/>
      </c>
      <c r="K39" s="14">
        <f>(((VLOOKUP(B39,Data!$E:$BM,MATCH(yoy!$K$1,Data!$E$1:$BM$1,),)-VLOOKUP(A39,Data!$E:$BM,MATCH(yoy!$K$1,Data!$E$1:$BM$1,),))/VLOOKUP(A39,Data!$E:$BM,MATCH(yoy!$K$1,Data!$E$1:$BM$1,),))+1)^12-1</f>
        <v/>
      </c>
      <c r="L39" s="14">
        <f>(((VLOOKUP(B39,Data!$E:$BM,MATCH(yoy!$L$1,Data!$E$1:$BM$1,),)-VLOOKUP(A39,Data!$E:$BM,MATCH(yoy!$L$1,Data!$E$1:$BM$1,),))/VLOOKUP(A39,Data!$E:$BM,MATCH(yoy!$L$1,Data!$E$1:$BM$1,),))+1)^12-1</f>
        <v/>
      </c>
      <c r="M39" s="14">
        <f>(((VLOOKUP(B39,Data!$E:$BM,MATCH(yoy!$M$1,Data!$E$1:$BM$1,),)-VLOOKUP(A39,Data!$E:$BM,MATCH(yoy!$M$1,Data!$E$1:$BM$1,),))/VLOOKUP(A39,Data!$E:$BM,MATCH(yoy!$M$1,Data!$E$1:$BM$1,),))+1)^12-1</f>
        <v/>
      </c>
      <c r="N39" s="14">
        <f>(((VLOOKUP(B39,Data!$E:$BM,MATCH(yoy!$N$1,Data!$E$1:$BM$1,),)-VLOOKUP(A39,Data!$E:$BM,MATCH(yoy!$N$1,Data!$E$1:$BM$1,),))/VLOOKUP(A39,Data!$E:$BM,MATCH(yoy!$N$1,Data!$E$1:$BM$1,),))+1)^12-1</f>
        <v/>
      </c>
      <c r="O39" s="14">
        <f>(((VLOOKUP(B39,Data!$E:$BM,MATCH(yoy!$O$1,Data!$E$1:$BM$1,),)-VLOOKUP(A39,Data!$E:$BM,MATCH(yoy!$O$1,Data!$E$1:$BM$1,),))/VLOOKUP(A39,Data!$E:$BM,MATCH(yoy!$O$1,Data!$E$1:$BM$1,),))+1)^12-1</f>
        <v/>
      </c>
      <c r="P39" s="14">
        <f>(((VLOOKUP(B39,Data!$E:$BM,MATCH(yoy!$P$1,Data!$E$1:$BM$1,),)-VLOOKUP(A39,Data!$E:$BM,MATCH(yoy!$P$1,Data!$E$1:$BM$1,),))/VLOOKUP(A39,Data!$E:$BM,MATCH(yoy!$P$1,Data!$E$1:$BM$1,),))+1)^12-1</f>
        <v/>
      </c>
      <c r="Q39" s="14">
        <f>(((VLOOKUP(B39,Data!$E:$BM,MATCH(yoy!$Q$1,Data!$E$1:$BM$1,),)-VLOOKUP(A39,Data!$E:$BM,MATCH(yoy!$Q$1,Data!$E$1:$BM$1,),))/VLOOKUP(A39,Data!$E:$BM,MATCH(yoy!$Q$1,Data!$E$1:$BM$1,),))+1)^12-1</f>
        <v/>
      </c>
      <c r="R39" s="14">
        <f>(((VLOOKUP(B39,Data!$E:$BM,MATCH(yoy!$R$1,Data!$E$1:$BM$1,),)-VLOOKUP(A39,Data!$E:$BM,MATCH(yoy!$R$1,Data!$E$1:$BM$1,),))/VLOOKUP(A39,Data!$E:$BM,MATCH(yoy!$R$1,Data!$E$1:$BM$1,),))+1)^12-1</f>
        <v/>
      </c>
      <c r="S39" s="14">
        <f>(((VLOOKUP(B39,Data!$E:$BM,MATCH(yoy!$S$1,Data!$E$1:$BM$1,),)-VLOOKUP(A39,Data!$E:$BM,MATCH(yoy!$S$1,Data!$E$1:$BM$1,),))/VLOOKUP(A39,Data!$E:$BM,MATCH(yoy!$S$1,Data!$E$1:$BM$1,),))+1)^12-1</f>
        <v/>
      </c>
      <c r="T39" s="14">
        <f>(((VLOOKUP(B39,Data!$E:$BM,MATCH(yoy!$T$1,Data!$E$1:$BM$1,),)-VLOOKUP(A39,Data!$E:$BM,MATCH(yoy!$T$1,Data!$E$1:$BM$1,),))/VLOOKUP(A39,Data!$E:$BM,MATCH(yoy!$T$1,Data!$E$1:$BM$1,),))+1)^12-1</f>
        <v/>
      </c>
      <c r="U39" s="14">
        <f>(((VLOOKUP(B39,Data!$E:$BM,MATCH(yoy!$U$1,Data!$E$1:$BM$1,),)-VLOOKUP(A39,Data!$E:$BM,MATCH(yoy!$U$1,Data!$E$1:$BM$1,),))/VLOOKUP(A39,Data!$E:$BM,MATCH(yoy!$U$1,Data!$E$1:$BM$1,),))+1)^12-1</f>
        <v/>
      </c>
      <c r="V39" s="14">
        <f>(((VLOOKUP(B39,Data!$E:$BM,MATCH(yoy!$V$1,Data!$E$1:$BM$1,),)-VLOOKUP(A39,Data!$E:$BM,MATCH(yoy!$V$1,Data!$E$1:$BM$1,),))/VLOOKUP(A39,Data!$E:$BM,MATCH(yoy!$V$1,Data!$E$1:$BM$1,),))+1)^12-1</f>
        <v/>
      </c>
      <c r="W39" s="14">
        <f>(((VLOOKUP(B39,Data!$E:$BM,MATCH(yoy!$W$1,Data!$E$1:$BM$1,),)-VLOOKUP(A39,Data!$E:$BM,MATCH(yoy!$W$1,Data!$E$1:$BM$1,),))/VLOOKUP(A39,Data!$E:$BM,MATCH(yoy!$W$1,Data!$E$1:$BM$1,),))+1)^12-1</f>
        <v/>
      </c>
      <c r="X39" s="14">
        <f>(((VLOOKUP(B39,Data!$E:$BM,MATCH(yoy!$X$1,Data!$E$1:$BM$1,),)-VLOOKUP(A39,Data!$E:$BM,MATCH(yoy!$X$1,Data!$E$1:$BM$1,),))/VLOOKUP(A39,Data!$E:$BM,MATCH(yoy!$X$1,Data!$E$1:$BM$1,),))+1)^12-1</f>
        <v/>
      </c>
      <c r="Y39" s="14">
        <f>(((VLOOKUP(B39,Data!$E:$BM,MATCH(yoy!$Y$1,Data!$E$1:$BM$1,),)-VLOOKUP(A39,Data!$E:$BM,MATCH(yoy!$Y$1,Data!$E$1:$BM$1,),))/VLOOKUP(A39,Data!$E:$BM,MATCH(yoy!$Y$1,Data!$E$1:$BM$1,),))+1)^12-1</f>
        <v/>
      </c>
      <c r="Z39" s="14">
        <f>(((VLOOKUP(B39,Data!$E:$BM,MATCH(yoy!$Z$1,Data!$E$1:$BM$1,),)-VLOOKUP(A39,Data!$E:$BM,MATCH(yoy!$Z$1,Data!$E$1:$BM$1,),))/VLOOKUP(A39,Data!$E:$BM,MATCH(yoy!$Z$1,Data!$E$1:$BM$1,),))+1)^12-1</f>
        <v/>
      </c>
      <c r="AA39" s="14">
        <f>(((VLOOKUP(B39,Data!$E:$BM,MATCH(yoy!$AA$1,Data!$E$1:$BM$1,),)-VLOOKUP(A39,Data!$E:$BM,MATCH(yoy!$AA$1,Data!$E$1:$BM$1,),))/VLOOKUP(A39,Data!$E:$BM,MATCH(yoy!$AA$1,Data!$E$1:$BM$1,),))+1)^12-1</f>
        <v/>
      </c>
    </row>
    <row r="40">
      <c r="A40" s="20">
        <f>DATE(YEAR(B40),MONTH(B40)-1,DAY(B40))</f>
        <v/>
      </c>
      <c r="B40" s="12" t="n">
        <v>43070</v>
      </c>
      <c r="C40" s="14">
        <f>(((VLOOKUP(B40,Data!$E:$BM,MATCH(yoy!$C$1,Data!$E$1:$BM$1,),)-VLOOKUP(A40,Data!$E:$BM,MATCH(yoy!$C$1,Data!$E$1:$BM$1,),))/VLOOKUP(A40,Data!$E:$BM,MATCH(yoy!$C$1,Data!$E$1:$BM$1,),))+1)^12-1</f>
        <v/>
      </c>
      <c r="D40" s="14">
        <f>(((VLOOKUP(B40,Data!$E:$BM,MATCH(yoy!$D$1,Data!$E$1:$BM$1,),)-VLOOKUP(A40,Data!$E:$BM,MATCH(yoy!$D$1,Data!$E$1:$BM$1,),))/VLOOKUP(A40,Data!$E:$BM,MATCH(yoy!$D$1,Data!$E$1:$BM$1,),))+1)^12-1</f>
        <v/>
      </c>
      <c r="E40" s="14">
        <f>(((VLOOKUP(B40,Data!$E:$BM,MATCH(yoy!$E$1,Data!$E$1:$BM$1,),)-VLOOKUP(A40,Data!$E:$BM,MATCH(yoy!$E$1,Data!$E$1:$BM$1,),))/VLOOKUP(A40,Data!$E:$BM,MATCH(yoy!$E$1,Data!$E$1:$BM$1,),))+1)^12-1</f>
        <v/>
      </c>
      <c r="F40" s="14">
        <f>(((VLOOKUP(B40,Data!$E:$BM,MATCH(yoy!$F$1,Data!$E$1:$BM$1,),)-VLOOKUP(A40,Data!$E:$BM,MATCH(yoy!$F$1,Data!$E$1:$BM$1,),))/VLOOKUP(A40,Data!$E:$BM,MATCH(yoy!$F$1,Data!$E$1:$BM$1,),))+1)^12-1</f>
        <v/>
      </c>
      <c r="G40" s="14">
        <f>(((VLOOKUP(B40,Data!$E:$BM,MATCH(yoy!$G$1,Data!$E$1:$BM$1,),)-VLOOKUP(A40,Data!$E:$BM,MATCH(yoy!$G$1,Data!$E$1:$BM$1,),))/VLOOKUP(A40,Data!$E:$BM,MATCH(yoy!$G$1,Data!$E$1:$BM$1,),))+1)^12-1</f>
        <v/>
      </c>
      <c r="H40" s="14">
        <f>(((VLOOKUP(B40,Data!$E:$BM,MATCH(yoy!$H$1,Data!$E$1:$BM$1,),)-VLOOKUP(A40,Data!$E:$BM,MATCH(yoy!$H$1,Data!$E$1:$BM$1,),))/VLOOKUP(A40,Data!$E:$BM,MATCH(yoy!$H$1,Data!$E$1:$BM$1,),))+1)^12-1</f>
        <v/>
      </c>
      <c r="I40" s="14">
        <f>(((VLOOKUP(B40,Data!$E:$BM,MATCH(yoy!$I$1,Data!$E$1:$BM$1,),)-VLOOKUP(A40,Data!$E:$BM,MATCH(yoy!$I$1,Data!$E$1:$BM$1,),))/VLOOKUP(A40,Data!$E:$BM,MATCH(yoy!$I$1,Data!$E$1:$BM$1,),))+1)^12-1</f>
        <v/>
      </c>
      <c r="J40" s="14">
        <f>(((VLOOKUP(B40,Data!$E:$BM,MATCH(yoy!$J$1,Data!$E$1:$BM$1,),)-VLOOKUP(A40,Data!$E:$BM,MATCH(yoy!$J$1,Data!$E$1:$BM$1,),))/VLOOKUP(A40,Data!$E:$BM,MATCH(yoy!$J$1,Data!$E$1:$BM$1,),))+1)^12-1</f>
        <v/>
      </c>
      <c r="K40" s="14">
        <f>(((VLOOKUP(B40,Data!$E:$BM,MATCH(yoy!$K$1,Data!$E$1:$BM$1,),)-VLOOKUP(A40,Data!$E:$BM,MATCH(yoy!$K$1,Data!$E$1:$BM$1,),))/VLOOKUP(A40,Data!$E:$BM,MATCH(yoy!$K$1,Data!$E$1:$BM$1,),))+1)^12-1</f>
        <v/>
      </c>
      <c r="L40" s="14">
        <f>(((VLOOKUP(B40,Data!$E:$BM,MATCH(yoy!$L$1,Data!$E$1:$BM$1,),)-VLOOKUP(A40,Data!$E:$BM,MATCH(yoy!$L$1,Data!$E$1:$BM$1,),))/VLOOKUP(A40,Data!$E:$BM,MATCH(yoy!$L$1,Data!$E$1:$BM$1,),))+1)^12-1</f>
        <v/>
      </c>
      <c r="M40" s="14">
        <f>(((VLOOKUP(B40,Data!$E:$BM,MATCH(yoy!$M$1,Data!$E$1:$BM$1,),)-VLOOKUP(A40,Data!$E:$BM,MATCH(yoy!$M$1,Data!$E$1:$BM$1,),))/VLOOKUP(A40,Data!$E:$BM,MATCH(yoy!$M$1,Data!$E$1:$BM$1,),))+1)^12-1</f>
        <v/>
      </c>
      <c r="N40" s="14">
        <f>(((VLOOKUP(B40,Data!$E:$BM,MATCH(yoy!$N$1,Data!$E$1:$BM$1,),)-VLOOKUP(A40,Data!$E:$BM,MATCH(yoy!$N$1,Data!$E$1:$BM$1,),))/VLOOKUP(A40,Data!$E:$BM,MATCH(yoy!$N$1,Data!$E$1:$BM$1,),))+1)^12-1</f>
        <v/>
      </c>
      <c r="O40" s="14">
        <f>(((VLOOKUP(B40,Data!$E:$BM,MATCH(yoy!$O$1,Data!$E$1:$BM$1,),)-VLOOKUP(A40,Data!$E:$BM,MATCH(yoy!$O$1,Data!$E$1:$BM$1,),))/VLOOKUP(A40,Data!$E:$BM,MATCH(yoy!$O$1,Data!$E$1:$BM$1,),))+1)^12-1</f>
        <v/>
      </c>
      <c r="P40" s="14">
        <f>(((VLOOKUP(B40,Data!$E:$BM,MATCH(yoy!$P$1,Data!$E$1:$BM$1,),)-VLOOKUP(A40,Data!$E:$BM,MATCH(yoy!$P$1,Data!$E$1:$BM$1,),))/VLOOKUP(A40,Data!$E:$BM,MATCH(yoy!$P$1,Data!$E$1:$BM$1,),))+1)^12-1</f>
        <v/>
      </c>
      <c r="Q40" s="14">
        <f>(((VLOOKUP(B40,Data!$E:$BM,MATCH(yoy!$Q$1,Data!$E$1:$BM$1,),)-VLOOKUP(A40,Data!$E:$BM,MATCH(yoy!$Q$1,Data!$E$1:$BM$1,),))/VLOOKUP(A40,Data!$E:$BM,MATCH(yoy!$Q$1,Data!$E$1:$BM$1,),))+1)^12-1</f>
        <v/>
      </c>
      <c r="R40" s="14">
        <f>(((VLOOKUP(B40,Data!$E:$BM,MATCH(yoy!$R$1,Data!$E$1:$BM$1,),)-VLOOKUP(A40,Data!$E:$BM,MATCH(yoy!$R$1,Data!$E$1:$BM$1,),))/VLOOKUP(A40,Data!$E:$BM,MATCH(yoy!$R$1,Data!$E$1:$BM$1,),))+1)^12-1</f>
        <v/>
      </c>
      <c r="S40" s="14">
        <f>(((VLOOKUP(B40,Data!$E:$BM,MATCH(yoy!$S$1,Data!$E$1:$BM$1,),)-VLOOKUP(A40,Data!$E:$BM,MATCH(yoy!$S$1,Data!$E$1:$BM$1,),))/VLOOKUP(A40,Data!$E:$BM,MATCH(yoy!$S$1,Data!$E$1:$BM$1,),))+1)^12-1</f>
        <v/>
      </c>
      <c r="T40" s="14">
        <f>(((VLOOKUP(B40,Data!$E:$BM,MATCH(yoy!$T$1,Data!$E$1:$BM$1,),)-VLOOKUP(A40,Data!$E:$BM,MATCH(yoy!$T$1,Data!$E$1:$BM$1,),))/VLOOKUP(A40,Data!$E:$BM,MATCH(yoy!$T$1,Data!$E$1:$BM$1,),))+1)^12-1</f>
        <v/>
      </c>
      <c r="U40" s="14">
        <f>(((VLOOKUP(B40,Data!$E:$BM,MATCH(yoy!$U$1,Data!$E$1:$BM$1,),)-VLOOKUP(A40,Data!$E:$BM,MATCH(yoy!$U$1,Data!$E$1:$BM$1,),))/VLOOKUP(A40,Data!$E:$BM,MATCH(yoy!$U$1,Data!$E$1:$BM$1,),))+1)^12-1</f>
        <v/>
      </c>
      <c r="V40" s="14">
        <f>(((VLOOKUP(B40,Data!$E:$BM,MATCH(yoy!$V$1,Data!$E$1:$BM$1,),)-VLOOKUP(A40,Data!$E:$BM,MATCH(yoy!$V$1,Data!$E$1:$BM$1,),))/VLOOKUP(A40,Data!$E:$BM,MATCH(yoy!$V$1,Data!$E$1:$BM$1,),))+1)^12-1</f>
        <v/>
      </c>
      <c r="W40" s="14">
        <f>(((VLOOKUP(B40,Data!$E:$BM,MATCH(yoy!$W$1,Data!$E$1:$BM$1,),)-VLOOKUP(A40,Data!$E:$BM,MATCH(yoy!$W$1,Data!$E$1:$BM$1,),))/VLOOKUP(A40,Data!$E:$BM,MATCH(yoy!$W$1,Data!$E$1:$BM$1,),))+1)^12-1</f>
        <v/>
      </c>
      <c r="X40" s="14">
        <f>(((VLOOKUP(B40,Data!$E:$BM,MATCH(yoy!$X$1,Data!$E$1:$BM$1,),)-VLOOKUP(A40,Data!$E:$BM,MATCH(yoy!$X$1,Data!$E$1:$BM$1,),))/VLOOKUP(A40,Data!$E:$BM,MATCH(yoy!$X$1,Data!$E$1:$BM$1,),))+1)^12-1</f>
        <v/>
      </c>
      <c r="Y40" s="14">
        <f>(((VLOOKUP(B40,Data!$E:$BM,MATCH(yoy!$Y$1,Data!$E$1:$BM$1,),)-VLOOKUP(A40,Data!$E:$BM,MATCH(yoy!$Y$1,Data!$E$1:$BM$1,),))/VLOOKUP(A40,Data!$E:$BM,MATCH(yoy!$Y$1,Data!$E$1:$BM$1,),))+1)^12-1</f>
        <v/>
      </c>
      <c r="Z40" s="14">
        <f>(((VLOOKUP(B40,Data!$E:$BM,MATCH(yoy!$Z$1,Data!$E$1:$BM$1,),)-VLOOKUP(A40,Data!$E:$BM,MATCH(yoy!$Z$1,Data!$E$1:$BM$1,),))/VLOOKUP(A40,Data!$E:$BM,MATCH(yoy!$Z$1,Data!$E$1:$BM$1,),))+1)^12-1</f>
        <v/>
      </c>
      <c r="AA40" s="14">
        <f>(((VLOOKUP(B40,Data!$E:$BM,MATCH(yoy!$AA$1,Data!$E$1:$BM$1,),)-VLOOKUP(A40,Data!$E:$BM,MATCH(yoy!$AA$1,Data!$E$1:$BM$1,),))/VLOOKUP(A40,Data!$E:$BM,MATCH(yoy!$AA$1,Data!$E$1:$BM$1,),))+1)^12-1</f>
        <v/>
      </c>
    </row>
    <row r="41">
      <c r="A41" s="20">
        <f>DATE(YEAR(B41),MONTH(B41)-1,DAY(B41))</f>
        <v/>
      </c>
      <c r="B41" s="12" t="n">
        <v>43101</v>
      </c>
      <c r="C41" s="14">
        <f>(((VLOOKUP(B41,Data!$E:$BM,MATCH(yoy!$C$1,Data!$E$1:$BM$1,),)-VLOOKUP(A41,Data!$E:$BM,MATCH(yoy!$C$1,Data!$E$1:$BM$1,),))/VLOOKUP(A41,Data!$E:$BM,MATCH(yoy!$C$1,Data!$E$1:$BM$1,),))+1)^12-1</f>
        <v/>
      </c>
      <c r="D41" s="14">
        <f>(((VLOOKUP(B41,Data!$E:$BM,MATCH(yoy!$D$1,Data!$E$1:$BM$1,),)-VLOOKUP(A41,Data!$E:$BM,MATCH(yoy!$D$1,Data!$E$1:$BM$1,),))/VLOOKUP(A41,Data!$E:$BM,MATCH(yoy!$D$1,Data!$E$1:$BM$1,),))+1)^12-1</f>
        <v/>
      </c>
      <c r="E41" s="14">
        <f>(((VLOOKUP(B41,Data!$E:$BM,MATCH(yoy!$E$1,Data!$E$1:$BM$1,),)-VLOOKUP(A41,Data!$E:$BM,MATCH(yoy!$E$1,Data!$E$1:$BM$1,),))/VLOOKUP(A41,Data!$E:$BM,MATCH(yoy!$E$1,Data!$E$1:$BM$1,),))+1)^12-1</f>
        <v/>
      </c>
      <c r="F41" s="14">
        <f>(((VLOOKUP(B41,Data!$E:$BM,MATCH(yoy!$F$1,Data!$E$1:$BM$1,),)-VLOOKUP(A41,Data!$E:$BM,MATCH(yoy!$F$1,Data!$E$1:$BM$1,),))/VLOOKUP(A41,Data!$E:$BM,MATCH(yoy!$F$1,Data!$E$1:$BM$1,),))+1)^12-1</f>
        <v/>
      </c>
      <c r="G41" s="14">
        <f>(((VLOOKUP(B41,Data!$E:$BM,MATCH(yoy!$G$1,Data!$E$1:$BM$1,),)-VLOOKUP(A41,Data!$E:$BM,MATCH(yoy!$G$1,Data!$E$1:$BM$1,),))/VLOOKUP(A41,Data!$E:$BM,MATCH(yoy!$G$1,Data!$E$1:$BM$1,),))+1)^12-1</f>
        <v/>
      </c>
      <c r="H41" s="14">
        <f>(((VLOOKUP(B41,Data!$E:$BM,MATCH(yoy!$H$1,Data!$E$1:$BM$1,),)-VLOOKUP(A41,Data!$E:$BM,MATCH(yoy!$H$1,Data!$E$1:$BM$1,),))/VLOOKUP(A41,Data!$E:$BM,MATCH(yoy!$H$1,Data!$E$1:$BM$1,),))+1)^12-1</f>
        <v/>
      </c>
      <c r="I41" s="14">
        <f>(((VLOOKUP(B41,Data!$E:$BM,MATCH(yoy!$I$1,Data!$E$1:$BM$1,),)-VLOOKUP(A41,Data!$E:$BM,MATCH(yoy!$I$1,Data!$E$1:$BM$1,),))/VLOOKUP(A41,Data!$E:$BM,MATCH(yoy!$I$1,Data!$E$1:$BM$1,),))+1)^12-1</f>
        <v/>
      </c>
      <c r="J41" s="14">
        <f>(((VLOOKUP(B41,Data!$E:$BM,MATCH(yoy!$J$1,Data!$E$1:$BM$1,),)-VLOOKUP(A41,Data!$E:$BM,MATCH(yoy!$J$1,Data!$E$1:$BM$1,),))/VLOOKUP(A41,Data!$E:$BM,MATCH(yoy!$J$1,Data!$E$1:$BM$1,),))+1)^12-1</f>
        <v/>
      </c>
      <c r="K41" s="14">
        <f>(((VLOOKUP(B41,Data!$E:$BM,MATCH(yoy!$K$1,Data!$E$1:$BM$1,),)-VLOOKUP(A41,Data!$E:$BM,MATCH(yoy!$K$1,Data!$E$1:$BM$1,),))/VLOOKUP(A41,Data!$E:$BM,MATCH(yoy!$K$1,Data!$E$1:$BM$1,),))+1)^12-1</f>
        <v/>
      </c>
      <c r="L41" s="14">
        <f>(((VLOOKUP(B41,Data!$E:$BM,MATCH(yoy!$L$1,Data!$E$1:$BM$1,),)-VLOOKUP(A41,Data!$E:$BM,MATCH(yoy!$L$1,Data!$E$1:$BM$1,),))/VLOOKUP(A41,Data!$E:$BM,MATCH(yoy!$L$1,Data!$E$1:$BM$1,),))+1)^12-1</f>
        <v/>
      </c>
      <c r="M41" s="14">
        <f>(((VLOOKUP(B41,Data!$E:$BM,MATCH(yoy!$M$1,Data!$E$1:$BM$1,),)-VLOOKUP(A41,Data!$E:$BM,MATCH(yoy!$M$1,Data!$E$1:$BM$1,),))/VLOOKUP(A41,Data!$E:$BM,MATCH(yoy!$M$1,Data!$E$1:$BM$1,),))+1)^12-1</f>
        <v/>
      </c>
      <c r="N41" s="14">
        <f>(((VLOOKUP(B41,Data!$E:$BM,MATCH(yoy!$N$1,Data!$E$1:$BM$1,),)-VLOOKUP(A41,Data!$E:$BM,MATCH(yoy!$N$1,Data!$E$1:$BM$1,),))/VLOOKUP(A41,Data!$E:$BM,MATCH(yoy!$N$1,Data!$E$1:$BM$1,),))+1)^12-1</f>
        <v/>
      </c>
      <c r="O41" s="14">
        <f>(((VLOOKUP(B41,Data!$E:$BM,MATCH(yoy!$O$1,Data!$E$1:$BM$1,),)-VLOOKUP(A41,Data!$E:$BM,MATCH(yoy!$O$1,Data!$E$1:$BM$1,),))/VLOOKUP(A41,Data!$E:$BM,MATCH(yoy!$O$1,Data!$E$1:$BM$1,),))+1)^12-1</f>
        <v/>
      </c>
      <c r="P41" s="14">
        <f>(((VLOOKUP(B41,Data!$E:$BM,MATCH(yoy!$P$1,Data!$E$1:$BM$1,),)-VLOOKUP(A41,Data!$E:$BM,MATCH(yoy!$P$1,Data!$E$1:$BM$1,),))/VLOOKUP(A41,Data!$E:$BM,MATCH(yoy!$P$1,Data!$E$1:$BM$1,),))+1)^12-1</f>
        <v/>
      </c>
      <c r="Q41" s="14">
        <f>(((VLOOKUP(B41,Data!$E:$BM,MATCH(yoy!$Q$1,Data!$E$1:$BM$1,),)-VLOOKUP(A41,Data!$E:$BM,MATCH(yoy!$Q$1,Data!$E$1:$BM$1,),))/VLOOKUP(A41,Data!$E:$BM,MATCH(yoy!$Q$1,Data!$E$1:$BM$1,),))+1)^12-1</f>
        <v/>
      </c>
      <c r="R41" s="14">
        <f>(((VLOOKUP(B41,Data!$E:$BM,MATCH(yoy!$R$1,Data!$E$1:$BM$1,),)-VLOOKUP(A41,Data!$E:$BM,MATCH(yoy!$R$1,Data!$E$1:$BM$1,),))/VLOOKUP(A41,Data!$E:$BM,MATCH(yoy!$R$1,Data!$E$1:$BM$1,),))+1)^12-1</f>
        <v/>
      </c>
      <c r="S41" s="14">
        <f>(((VLOOKUP(B41,Data!$E:$BM,MATCH(yoy!$S$1,Data!$E$1:$BM$1,),)-VLOOKUP(A41,Data!$E:$BM,MATCH(yoy!$S$1,Data!$E$1:$BM$1,),))/VLOOKUP(A41,Data!$E:$BM,MATCH(yoy!$S$1,Data!$E$1:$BM$1,),))+1)^12-1</f>
        <v/>
      </c>
      <c r="T41" s="14">
        <f>(((VLOOKUP(B41,Data!$E:$BM,MATCH(yoy!$T$1,Data!$E$1:$BM$1,),)-VLOOKUP(A41,Data!$E:$BM,MATCH(yoy!$T$1,Data!$E$1:$BM$1,),))/VLOOKUP(A41,Data!$E:$BM,MATCH(yoy!$T$1,Data!$E$1:$BM$1,),))+1)^12-1</f>
        <v/>
      </c>
      <c r="U41" s="14">
        <f>(((VLOOKUP(B41,Data!$E:$BM,MATCH(yoy!$U$1,Data!$E$1:$BM$1,),)-VLOOKUP(A41,Data!$E:$BM,MATCH(yoy!$U$1,Data!$E$1:$BM$1,),))/VLOOKUP(A41,Data!$E:$BM,MATCH(yoy!$U$1,Data!$E$1:$BM$1,),))+1)^12-1</f>
        <v/>
      </c>
      <c r="V41" s="14">
        <f>(((VLOOKUP(B41,Data!$E:$BM,MATCH(yoy!$V$1,Data!$E$1:$BM$1,),)-VLOOKUP(A41,Data!$E:$BM,MATCH(yoy!$V$1,Data!$E$1:$BM$1,),))/VLOOKUP(A41,Data!$E:$BM,MATCH(yoy!$V$1,Data!$E$1:$BM$1,),))+1)^12-1</f>
        <v/>
      </c>
      <c r="W41" s="14">
        <f>(((VLOOKUP(B41,Data!$E:$BM,MATCH(yoy!$W$1,Data!$E$1:$BM$1,),)-VLOOKUP(A41,Data!$E:$BM,MATCH(yoy!$W$1,Data!$E$1:$BM$1,),))/VLOOKUP(A41,Data!$E:$BM,MATCH(yoy!$W$1,Data!$E$1:$BM$1,),))+1)^12-1</f>
        <v/>
      </c>
      <c r="X41" s="14">
        <f>(((VLOOKUP(B41,Data!$E:$BM,MATCH(yoy!$X$1,Data!$E$1:$BM$1,),)-VLOOKUP(A41,Data!$E:$BM,MATCH(yoy!$X$1,Data!$E$1:$BM$1,),))/VLOOKUP(A41,Data!$E:$BM,MATCH(yoy!$X$1,Data!$E$1:$BM$1,),))+1)^12-1</f>
        <v/>
      </c>
      <c r="Y41" s="14">
        <f>(((VLOOKUP(B41,Data!$E:$BM,MATCH(yoy!$Y$1,Data!$E$1:$BM$1,),)-VLOOKUP(A41,Data!$E:$BM,MATCH(yoy!$Y$1,Data!$E$1:$BM$1,),))/VLOOKUP(A41,Data!$E:$BM,MATCH(yoy!$Y$1,Data!$E$1:$BM$1,),))+1)^12-1</f>
        <v/>
      </c>
      <c r="Z41" s="14">
        <f>(((VLOOKUP(B41,Data!$E:$BM,MATCH(yoy!$Z$1,Data!$E$1:$BM$1,),)-VLOOKUP(A41,Data!$E:$BM,MATCH(yoy!$Z$1,Data!$E$1:$BM$1,),))/VLOOKUP(A41,Data!$E:$BM,MATCH(yoy!$Z$1,Data!$E$1:$BM$1,),))+1)^12-1</f>
        <v/>
      </c>
      <c r="AA41" s="14">
        <f>(((VLOOKUP(B41,Data!$E:$BM,MATCH(yoy!$AA$1,Data!$E$1:$BM$1,),)-VLOOKUP(A41,Data!$E:$BM,MATCH(yoy!$AA$1,Data!$E$1:$BM$1,),))/VLOOKUP(A41,Data!$E:$BM,MATCH(yoy!$AA$1,Data!$E$1:$BM$1,),))+1)^12-1</f>
        <v/>
      </c>
    </row>
    <row r="42">
      <c r="A42" s="20">
        <f>DATE(YEAR(B42),MONTH(B42)-1,DAY(B42))</f>
        <v/>
      </c>
      <c r="B42" s="12" t="n">
        <v>43132</v>
      </c>
      <c r="C42" s="14">
        <f>(((VLOOKUP(B42,Data!$E:$BM,MATCH(yoy!$C$1,Data!$E$1:$BM$1,),)-VLOOKUP(A42,Data!$E:$BM,MATCH(yoy!$C$1,Data!$E$1:$BM$1,),))/VLOOKUP(A42,Data!$E:$BM,MATCH(yoy!$C$1,Data!$E$1:$BM$1,),))+1)^12-1</f>
        <v/>
      </c>
      <c r="D42" s="14">
        <f>(((VLOOKUP(B42,Data!$E:$BM,MATCH(yoy!$D$1,Data!$E$1:$BM$1,),)-VLOOKUP(A42,Data!$E:$BM,MATCH(yoy!$D$1,Data!$E$1:$BM$1,),))/VLOOKUP(A42,Data!$E:$BM,MATCH(yoy!$D$1,Data!$E$1:$BM$1,),))+1)^12-1</f>
        <v/>
      </c>
      <c r="E42" s="14">
        <f>(((VLOOKUP(B42,Data!$E:$BM,MATCH(yoy!$E$1,Data!$E$1:$BM$1,),)-VLOOKUP(A42,Data!$E:$BM,MATCH(yoy!$E$1,Data!$E$1:$BM$1,),))/VLOOKUP(A42,Data!$E:$BM,MATCH(yoy!$E$1,Data!$E$1:$BM$1,),))+1)^12-1</f>
        <v/>
      </c>
      <c r="F42" s="14">
        <f>(((VLOOKUP(B42,Data!$E:$BM,MATCH(yoy!$F$1,Data!$E$1:$BM$1,),)-VLOOKUP(A42,Data!$E:$BM,MATCH(yoy!$F$1,Data!$E$1:$BM$1,),))/VLOOKUP(A42,Data!$E:$BM,MATCH(yoy!$F$1,Data!$E$1:$BM$1,),))+1)^12-1</f>
        <v/>
      </c>
      <c r="G42" s="14">
        <f>(((VLOOKUP(B42,Data!$E:$BM,MATCH(yoy!$G$1,Data!$E$1:$BM$1,),)-VLOOKUP(A42,Data!$E:$BM,MATCH(yoy!$G$1,Data!$E$1:$BM$1,),))/VLOOKUP(A42,Data!$E:$BM,MATCH(yoy!$G$1,Data!$E$1:$BM$1,),))+1)^12-1</f>
        <v/>
      </c>
      <c r="H42" s="14">
        <f>(((VLOOKUP(B42,Data!$E:$BM,MATCH(yoy!$H$1,Data!$E$1:$BM$1,),)-VLOOKUP(A42,Data!$E:$BM,MATCH(yoy!$H$1,Data!$E$1:$BM$1,),))/VLOOKUP(A42,Data!$E:$BM,MATCH(yoy!$H$1,Data!$E$1:$BM$1,),))+1)^12-1</f>
        <v/>
      </c>
      <c r="I42" s="14">
        <f>(((VLOOKUP(B42,Data!$E:$BM,MATCH(yoy!$I$1,Data!$E$1:$BM$1,),)-VLOOKUP(A42,Data!$E:$BM,MATCH(yoy!$I$1,Data!$E$1:$BM$1,),))/VLOOKUP(A42,Data!$E:$BM,MATCH(yoy!$I$1,Data!$E$1:$BM$1,),))+1)^12-1</f>
        <v/>
      </c>
      <c r="J42" s="14">
        <f>(((VLOOKUP(B42,Data!$E:$BM,MATCH(yoy!$J$1,Data!$E$1:$BM$1,),)-VLOOKUP(A42,Data!$E:$BM,MATCH(yoy!$J$1,Data!$E$1:$BM$1,),))/VLOOKUP(A42,Data!$E:$BM,MATCH(yoy!$J$1,Data!$E$1:$BM$1,),))+1)^12-1</f>
        <v/>
      </c>
      <c r="K42" s="14">
        <f>(((VLOOKUP(B42,Data!$E:$BM,MATCH(yoy!$K$1,Data!$E$1:$BM$1,),)-VLOOKUP(A42,Data!$E:$BM,MATCH(yoy!$K$1,Data!$E$1:$BM$1,),))/VLOOKUP(A42,Data!$E:$BM,MATCH(yoy!$K$1,Data!$E$1:$BM$1,),))+1)^12-1</f>
        <v/>
      </c>
      <c r="L42" s="14">
        <f>(((VLOOKUP(B42,Data!$E:$BM,MATCH(yoy!$L$1,Data!$E$1:$BM$1,),)-VLOOKUP(A42,Data!$E:$BM,MATCH(yoy!$L$1,Data!$E$1:$BM$1,),))/VLOOKUP(A42,Data!$E:$BM,MATCH(yoy!$L$1,Data!$E$1:$BM$1,),))+1)^12-1</f>
        <v/>
      </c>
      <c r="M42" s="14">
        <f>(((VLOOKUP(B42,Data!$E:$BM,MATCH(yoy!$M$1,Data!$E$1:$BM$1,),)-VLOOKUP(A42,Data!$E:$BM,MATCH(yoy!$M$1,Data!$E$1:$BM$1,),))/VLOOKUP(A42,Data!$E:$BM,MATCH(yoy!$M$1,Data!$E$1:$BM$1,),))+1)^12-1</f>
        <v/>
      </c>
      <c r="N42" s="14">
        <f>(((VLOOKUP(B42,Data!$E:$BM,MATCH(yoy!$N$1,Data!$E$1:$BM$1,),)-VLOOKUP(A42,Data!$E:$BM,MATCH(yoy!$N$1,Data!$E$1:$BM$1,),))/VLOOKUP(A42,Data!$E:$BM,MATCH(yoy!$N$1,Data!$E$1:$BM$1,),))+1)^12-1</f>
        <v/>
      </c>
      <c r="O42" s="14">
        <f>(((VLOOKUP(B42,Data!$E:$BM,MATCH(yoy!$O$1,Data!$E$1:$BM$1,),)-VLOOKUP(A42,Data!$E:$BM,MATCH(yoy!$O$1,Data!$E$1:$BM$1,),))/VLOOKUP(A42,Data!$E:$BM,MATCH(yoy!$O$1,Data!$E$1:$BM$1,),))+1)^12-1</f>
        <v/>
      </c>
      <c r="P42" s="14">
        <f>(((VLOOKUP(B42,Data!$E:$BM,MATCH(yoy!$P$1,Data!$E$1:$BM$1,),)-VLOOKUP(A42,Data!$E:$BM,MATCH(yoy!$P$1,Data!$E$1:$BM$1,),))/VLOOKUP(A42,Data!$E:$BM,MATCH(yoy!$P$1,Data!$E$1:$BM$1,),))+1)^12-1</f>
        <v/>
      </c>
      <c r="Q42" s="14">
        <f>(((VLOOKUP(B42,Data!$E:$BM,MATCH(yoy!$Q$1,Data!$E$1:$BM$1,),)-VLOOKUP(A42,Data!$E:$BM,MATCH(yoy!$Q$1,Data!$E$1:$BM$1,),))/VLOOKUP(A42,Data!$E:$BM,MATCH(yoy!$Q$1,Data!$E$1:$BM$1,),))+1)^12-1</f>
        <v/>
      </c>
      <c r="R42" s="14">
        <f>(((VLOOKUP(B42,Data!$E:$BM,MATCH(yoy!$R$1,Data!$E$1:$BM$1,),)-VLOOKUP(A42,Data!$E:$BM,MATCH(yoy!$R$1,Data!$E$1:$BM$1,),))/VLOOKUP(A42,Data!$E:$BM,MATCH(yoy!$R$1,Data!$E$1:$BM$1,),))+1)^12-1</f>
        <v/>
      </c>
      <c r="S42" s="14">
        <f>(((VLOOKUP(B42,Data!$E:$BM,MATCH(yoy!$S$1,Data!$E$1:$BM$1,),)-VLOOKUP(A42,Data!$E:$BM,MATCH(yoy!$S$1,Data!$E$1:$BM$1,),))/VLOOKUP(A42,Data!$E:$BM,MATCH(yoy!$S$1,Data!$E$1:$BM$1,),))+1)^12-1</f>
        <v/>
      </c>
      <c r="T42" s="14">
        <f>(((VLOOKUP(B42,Data!$E:$BM,MATCH(yoy!$T$1,Data!$E$1:$BM$1,),)-VLOOKUP(A42,Data!$E:$BM,MATCH(yoy!$T$1,Data!$E$1:$BM$1,),))/VLOOKUP(A42,Data!$E:$BM,MATCH(yoy!$T$1,Data!$E$1:$BM$1,),))+1)^12-1</f>
        <v/>
      </c>
      <c r="U42" s="14">
        <f>(((VLOOKUP(B42,Data!$E:$BM,MATCH(yoy!$U$1,Data!$E$1:$BM$1,),)-VLOOKUP(A42,Data!$E:$BM,MATCH(yoy!$U$1,Data!$E$1:$BM$1,),))/VLOOKUP(A42,Data!$E:$BM,MATCH(yoy!$U$1,Data!$E$1:$BM$1,),))+1)^12-1</f>
        <v/>
      </c>
      <c r="V42" s="14">
        <f>(((VLOOKUP(B42,Data!$E:$BM,MATCH(yoy!$V$1,Data!$E$1:$BM$1,),)-VLOOKUP(A42,Data!$E:$BM,MATCH(yoy!$V$1,Data!$E$1:$BM$1,),))/VLOOKUP(A42,Data!$E:$BM,MATCH(yoy!$V$1,Data!$E$1:$BM$1,),))+1)^12-1</f>
        <v/>
      </c>
      <c r="W42" s="14">
        <f>(((VLOOKUP(B42,Data!$E:$BM,MATCH(yoy!$W$1,Data!$E$1:$BM$1,),)-VLOOKUP(A42,Data!$E:$BM,MATCH(yoy!$W$1,Data!$E$1:$BM$1,),))/VLOOKUP(A42,Data!$E:$BM,MATCH(yoy!$W$1,Data!$E$1:$BM$1,),))+1)^12-1</f>
        <v/>
      </c>
      <c r="X42" s="14">
        <f>(((VLOOKUP(B42,Data!$E:$BM,MATCH(yoy!$X$1,Data!$E$1:$BM$1,),)-VLOOKUP(A42,Data!$E:$BM,MATCH(yoy!$X$1,Data!$E$1:$BM$1,),))/VLOOKUP(A42,Data!$E:$BM,MATCH(yoy!$X$1,Data!$E$1:$BM$1,),))+1)^12-1</f>
        <v/>
      </c>
      <c r="Y42" s="14">
        <f>(((VLOOKUP(B42,Data!$E:$BM,MATCH(yoy!$Y$1,Data!$E$1:$BM$1,),)-VLOOKUP(A42,Data!$E:$BM,MATCH(yoy!$Y$1,Data!$E$1:$BM$1,),))/VLOOKUP(A42,Data!$E:$BM,MATCH(yoy!$Y$1,Data!$E$1:$BM$1,),))+1)^12-1</f>
        <v/>
      </c>
      <c r="Z42" s="14">
        <f>(((VLOOKUP(B42,Data!$E:$BM,MATCH(yoy!$Z$1,Data!$E$1:$BM$1,),)-VLOOKUP(A42,Data!$E:$BM,MATCH(yoy!$Z$1,Data!$E$1:$BM$1,),))/VLOOKUP(A42,Data!$E:$BM,MATCH(yoy!$Z$1,Data!$E$1:$BM$1,),))+1)^12-1</f>
        <v/>
      </c>
      <c r="AA42" s="14">
        <f>(((VLOOKUP(B42,Data!$E:$BM,MATCH(yoy!$AA$1,Data!$E$1:$BM$1,),)-VLOOKUP(A42,Data!$E:$BM,MATCH(yoy!$AA$1,Data!$E$1:$BM$1,),))/VLOOKUP(A42,Data!$E:$BM,MATCH(yoy!$AA$1,Data!$E$1:$BM$1,),))+1)^12-1</f>
        <v/>
      </c>
    </row>
    <row r="43">
      <c r="A43" s="20">
        <f>DATE(YEAR(B43),MONTH(B43)-1,DAY(B43))</f>
        <v/>
      </c>
      <c r="B43" s="12" t="n">
        <v>43160</v>
      </c>
      <c r="C43" s="14">
        <f>(((VLOOKUP(B43,Data!$E:$BM,MATCH(yoy!$C$1,Data!$E$1:$BM$1,),)-VLOOKUP(A43,Data!$E:$BM,MATCH(yoy!$C$1,Data!$E$1:$BM$1,),))/VLOOKUP(A43,Data!$E:$BM,MATCH(yoy!$C$1,Data!$E$1:$BM$1,),))+1)^12-1</f>
        <v/>
      </c>
      <c r="D43" s="14">
        <f>(((VLOOKUP(B43,Data!$E:$BM,MATCH(yoy!$D$1,Data!$E$1:$BM$1,),)-VLOOKUP(A43,Data!$E:$BM,MATCH(yoy!$D$1,Data!$E$1:$BM$1,),))/VLOOKUP(A43,Data!$E:$BM,MATCH(yoy!$D$1,Data!$E$1:$BM$1,),))+1)^12-1</f>
        <v/>
      </c>
      <c r="E43" s="14">
        <f>(((VLOOKUP(B43,Data!$E:$BM,MATCH(yoy!$E$1,Data!$E$1:$BM$1,),)-VLOOKUP(A43,Data!$E:$BM,MATCH(yoy!$E$1,Data!$E$1:$BM$1,),))/VLOOKUP(A43,Data!$E:$BM,MATCH(yoy!$E$1,Data!$E$1:$BM$1,),))+1)^12-1</f>
        <v/>
      </c>
      <c r="F43" s="14">
        <f>(((VLOOKUP(B43,Data!$E:$BM,MATCH(yoy!$F$1,Data!$E$1:$BM$1,),)-VLOOKUP(A43,Data!$E:$BM,MATCH(yoy!$F$1,Data!$E$1:$BM$1,),))/VLOOKUP(A43,Data!$E:$BM,MATCH(yoy!$F$1,Data!$E$1:$BM$1,),))+1)^12-1</f>
        <v/>
      </c>
      <c r="G43" s="14">
        <f>(((VLOOKUP(B43,Data!$E:$BM,MATCH(yoy!$G$1,Data!$E$1:$BM$1,),)-VLOOKUP(A43,Data!$E:$BM,MATCH(yoy!$G$1,Data!$E$1:$BM$1,),))/VLOOKUP(A43,Data!$E:$BM,MATCH(yoy!$G$1,Data!$E$1:$BM$1,),))+1)^12-1</f>
        <v/>
      </c>
      <c r="H43" s="14">
        <f>(((VLOOKUP(B43,Data!$E:$BM,MATCH(yoy!$H$1,Data!$E$1:$BM$1,),)-VLOOKUP(A43,Data!$E:$BM,MATCH(yoy!$H$1,Data!$E$1:$BM$1,),))/VLOOKUP(A43,Data!$E:$BM,MATCH(yoy!$H$1,Data!$E$1:$BM$1,),))+1)^12-1</f>
        <v/>
      </c>
      <c r="I43" s="14">
        <f>(((VLOOKUP(B43,Data!$E:$BM,MATCH(yoy!$I$1,Data!$E$1:$BM$1,),)-VLOOKUP(A43,Data!$E:$BM,MATCH(yoy!$I$1,Data!$E$1:$BM$1,),))/VLOOKUP(A43,Data!$E:$BM,MATCH(yoy!$I$1,Data!$E$1:$BM$1,),))+1)^12-1</f>
        <v/>
      </c>
      <c r="J43" s="14">
        <f>(((VLOOKUP(B43,Data!$E:$BM,MATCH(yoy!$J$1,Data!$E$1:$BM$1,),)-VLOOKUP(A43,Data!$E:$BM,MATCH(yoy!$J$1,Data!$E$1:$BM$1,),))/VLOOKUP(A43,Data!$E:$BM,MATCH(yoy!$J$1,Data!$E$1:$BM$1,),))+1)^12-1</f>
        <v/>
      </c>
      <c r="K43" s="14">
        <f>(((VLOOKUP(B43,Data!$E:$BM,MATCH(yoy!$K$1,Data!$E$1:$BM$1,),)-VLOOKUP(A43,Data!$E:$BM,MATCH(yoy!$K$1,Data!$E$1:$BM$1,),))/VLOOKUP(A43,Data!$E:$BM,MATCH(yoy!$K$1,Data!$E$1:$BM$1,),))+1)^12-1</f>
        <v/>
      </c>
      <c r="L43" s="14">
        <f>(((VLOOKUP(B43,Data!$E:$BM,MATCH(yoy!$L$1,Data!$E$1:$BM$1,),)-VLOOKUP(A43,Data!$E:$BM,MATCH(yoy!$L$1,Data!$E$1:$BM$1,),))/VLOOKUP(A43,Data!$E:$BM,MATCH(yoy!$L$1,Data!$E$1:$BM$1,),))+1)^12-1</f>
        <v/>
      </c>
      <c r="M43" s="14">
        <f>(((VLOOKUP(B43,Data!$E:$BM,MATCH(yoy!$M$1,Data!$E$1:$BM$1,),)-VLOOKUP(A43,Data!$E:$BM,MATCH(yoy!$M$1,Data!$E$1:$BM$1,),))/VLOOKUP(A43,Data!$E:$BM,MATCH(yoy!$M$1,Data!$E$1:$BM$1,),))+1)^12-1</f>
        <v/>
      </c>
      <c r="N43" s="14">
        <f>(((VLOOKUP(B43,Data!$E:$BM,MATCH(yoy!$N$1,Data!$E$1:$BM$1,),)-VLOOKUP(A43,Data!$E:$BM,MATCH(yoy!$N$1,Data!$E$1:$BM$1,),))/VLOOKUP(A43,Data!$E:$BM,MATCH(yoy!$N$1,Data!$E$1:$BM$1,),))+1)^12-1</f>
        <v/>
      </c>
      <c r="O43" s="14">
        <f>(((VLOOKUP(B43,Data!$E:$BM,MATCH(yoy!$O$1,Data!$E$1:$BM$1,),)-VLOOKUP(A43,Data!$E:$BM,MATCH(yoy!$O$1,Data!$E$1:$BM$1,),))/VLOOKUP(A43,Data!$E:$BM,MATCH(yoy!$O$1,Data!$E$1:$BM$1,),))+1)^12-1</f>
        <v/>
      </c>
      <c r="P43" s="14">
        <f>(((VLOOKUP(B43,Data!$E:$BM,MATCH(yoy!$P$1,Data!$E$1:$BM$1,),)-VLOOKUP(A43,Data!$E:$BM,MATCH(yoy!$P$1,Data!$E$1:$BM$1,),))/VLOOKUP(A43,Data!$E:$BM,MATCH(yoy!$P$1,Data!$E$1:$BM$1,),))+1)^12-1</f>
        <v/>
      </c>
      <c r="Q43" s="14">
        <f>(((VLOOKUP(B43,Data!$E:$BM,MATCH(yoy!$Q$1,Data!$E$1:$BM$1,),)-VLOOKUP(A43,Data!$E:$BM,MATCH(yoy!$Q$1,Data!$E$1:$BM$1,),))/VLOOKUP(A43,Data!$E:$BM,MATCH(yoy!$Q$1,Data!$E$1:$BM$1,),))+1)^12-1</f>
        <v/>
      </c>
      <c r="R43" s="14">
        <f>(((VLOOKUP(B43,Data!$E:$BM,MATCH(yoy!$R$1,Data!$E$1:$BM$1,),)-VLOOKUP(A43,Data!$E:$BM,MATCH(yoy!$R$1,Data!$E$1:$BM$1,),))/VLOOKUP(A43,Data!$E:$BM,MATCH(yoy!$R$1,Data!$E$1:$BM$1,),))+1)^12-1</f>
        <v/>
      </c>
      <c r="S43" s="14">
        <f>(((VLOOKUP(B43,Data!$E:$BM,MATCH(yoy!$S$1,Data!$E$1:$BM$1,),)-VLOOKUP(A43,Data!$E:$BM,MATCH(yoy!$S$1,Data!$E$1:$BM$1,),))/VLOOKUP(A43,Data!$E:$BM,MATCH(yoy!$S$1,Data!$E$1:$BM$1,),))+1)^12-1</f>
        <v/>
      </c>
      <c r="T43" s="14">
        <f>(((VLOOKUP(B43,Data!$E:$BM,MATCH(yoy!$T$1,Data!$E$1:$BM$1,),)-VLOOKUP(A43,Data!$E:$BM,MATCH(yoy!$T$1,Data!$E$1:$BM$1,),))/VLOOKUP(A43,Data!$E:$BM,MATCH(yoy!$T$1,Data!$E$1:$BM$1,),))+1)^12-1</f>
        <v/>
      </c>
      <c r="U43" s="14">
        <f>(((VLOOKUP(B43,Data!$E:$BM,MATCH(yoy!$U$1,Data!$E$1:$BM$1,),)-VLOOKUP(A43,Data!$E:$BM,MATCH(yoy!$U$1,Data!$E$1:$BM$1,),))/VLOOKUP(A43,Data!$E:$BM,MATCH(yoy!$U$1,Data!$E$1:$BM$1,),))+1)^12-1</f>
        <v/>
      </c>
      <c r="V43" s="14">
        <f>(((VLOOKUP(B43,Data!$E:$BM,MATCH(yoy!$V$1,Data!$E$1:$BM$1,),)-VLOOKUP(A43,Data!$E:$BM,MATCH(yoy!$V$1,Data!$E$1:$BM$1,),))/VLOOKUP(A43,Data!$E:$BM,MATCH(yoy!$V$1,Data!$E$1:$BM$1,),))+1)^12-1</f>
        <v/>
      </c>
      <c r="W43" s="14">
        <f>(((VLOOKUP(B43,Data!$E:$BM,MATCH(yoy!$W$1,Data!$E$1:$BM$1,),)-VLOOKUP(A43,Data!$E:$BM,MATCH(yoy!$W$1,Data!$E$1:$BM$1,),))/VLOOKUP(A43,Data!$E:$BM,MATCH(yoy!$W$1,Data!$E$1:$BM$1,),))+1)^12-1</f>
        <v/>
      </c>
      <c r="X43" s="14">
        <f>(((VLOOKUP(B43,Data!$E:$BM,MATCH(yoy!$X$1,Data!$E$1:$BM$1,),)-VLOOKUP(A43,Data!$E:$BM,MATCH(yoy!$X$1,Data!$E$1:$BM$1,),))/VLOOKUP(A43,Data!$E:$BM,MATCH(yoy!$X$1,Data!$E$1:$BM$1,),))+1)^12-1</f>
        <v/>
      </c>
      <c r="Y43" s="14">
        <f>(((VLOOKUP(B43,Data!$E:$BM,MATCH(yoy!$Y$1,Data!$E$1:$BM$1,),)-VLOOKUP(A43,Data!$E:$BM,MATCH(yoy!$Y$1,Data!$E$1:$BM$1,),))/VLOOKUP(A43,Data!$E:$BM,MATCH(yoy!$Y$1,Data!$E$1:$BM$1,),))+1)^12-1</f>
        <v/>
      </c>
      <c r="Z43" s="14">
        <f>(((VLOOKUP(B43,Data!$E:$BM,MATCH(yoy!$Z$1,Data!$E$1:$BM$1,),)-VLOOKUP(A43,Data!$E:$BM,MATCH(yoy!$Z$1,Data!$E$1:$BM$1,),))/VLOOKUP(A43,Data!$E:$BM,MATCH(yoy!$Z$1,Data!$E$1:$BM$1,),))+1)^12-1</f>
        <v/>
      </c>
      <c r="AA43" s="14">
        <f>(((VLOOKUP(B43,Data!$E:$BM,MATCH(yoy!$AA$1,Data!$E$1:$BM$1,),)-VLOOKUP(A43,Data!$E:$BM,MATCH(yoy!$AA$1,Data!$E$1:$BM$1,),))/VLOOKUP(A43,Data!$E:$BM,MATCH(yoy!$AA$1,Data!$E$1:$BM$1,),))+1)^12-1</f>
        <v/>
      </c>
    </row>
    <row r="44">
      <c r="A44" s="20">
        <f>DATE(YEAR(B44),MONTH(B44)-1,DAY(B44))</f>
        <v/>
      </c>
      <c r="B44" s="12" t="n">
        <v>43191</v>
      </c>
      <c r="C44" s="14">
        <f>(((VLOOKUP(B44,Data!$E:$BM,MATCH(yoy!$C$1,Data!$E$1:$BM$1,),)-VLOOKUP(A44,Data!$E:$BM,MATCH(yoy!$C$1,Data!$E$1:$BM$1,),))/VLOOKUP(A44,Data!$E:$BM,MATCH(yoy!$C$1,Data!$E$1:$BM$1,),))+1)^12-1</f>
        <v/>
      </c>
      <c r="D44" s="14">
        <f>(((VLOOKUP(B44,Data!$E:$BM,MATCH(yoy!$D$1,Data!$E$1:$BM$1,),)-VLOOKUP(A44,Data!$E:$BM,MATCH(yoy!$D$1,Data!$E$1:$BM$1,),))/VLOOKUP(A44,Data!$E:$BM,MATCH(yoy!$D$1,Data!$E$1:$BM$1,),))+1)^12-1</f>
        <v/>
      </c>
      <c r="E44" s="14">
        <f>(((VLOOKUP(B44,Data!$E:$BM,MATCH(yoy!$E$1,Data!$E$1:$BM$1,),)-VLOOKUP(A44,Data!$E:$BM,MATCH(yoy!$E$1,Data!$E$1:$BM$1,),))/VLOOKUP(A44,Data!$E:$BM,MATCH(yoy!$E$1,Data!$E$1:$BM$1,),))+1)^12-1</f>
        <v/>
      </c>
      <c r="F44" s="14">
        <f>(((VLOOKUP(B44,Data!$E:$BM,MATCH(yoy!$F$1,Data!$E$1:$BM$1,),)-VLOOKUP(A44,Data!$E:$BM,MATCH(yoy!$F$1,Data!$E$1:$BM$1,),))/VLOOKUP(A44,Data!$E:$BM,MATCH(yoy!$F$1,Data!$E$1:$BM$1,),))+1)^12-1</f>
        <v/>
      </c>
      <c r="G44" s="14">
        <f>(((VLOOKUP(B44,Data!$E:$BM,MATCH(yoy!$G$1,Data!$E$1:$BM$1,),)-VLOOKUP(A44,Data!$E:$BM,MATCH(yoy!$G$1,Data!$E$1:$BM$1,),))/VLOOKUP(A44,Data!$E:$BM,MATCH(yoy!$G$1,Data!$E$1:$BM$1,),))+1)^12-1</f>
        <v/>
      </c>
      <c r="H44" s="14">
        <f>(((VLOOKUP(B44,Data!$E:$BM,MATCH(yoy!$H$1,Data!$E$1:$BM$1,),)-VLOOKUP(A44,Data!$E:$BM,MATCH(yoy!$H$1,Data!$E$1:$BM$1,),))/VLOOKUP(A44,Data!$E:$BM,MATCH(yoy!$H$1,Data!$E$1:$BM$1,),))+1)^12-1</f>
        <v/>
      </c>
      <c r="I44" s="14">
        <f>(((VLOOKUP(B44,Data!$E:$BM,MATCH(yoy!$I$1,Data!$E$1:$BM$1,),)-VLOOKUP(A44,Data!$E:$BM,MATCH(yoy!$I$1,Data!$E$1:$BM$1,),))/VLOOKUP(A44,Data!$E:$BM,MATCH(yoy!$I$1,Data!$E$1:$BM$1,),))+1)^12-1</f>
        <v/>
      </c>
      <c r="J44" s="14">
        <f>(((VLOOKUP(B44,Data!$E:$BM,MATCH(yoy!$J$1,Data!$E$1:$BM$1,),)-VLOOKUP(A44,Data!$E:$BM,MATCH(yoy!$J$1,Data!$E$1:$BM$1,),))/VLOOKUP(A44,Data!$E:$BM,MATCH(yoy!$J$1,Data!$E$1:$BM$1,),))+1)^12-1</f>
        <v/>
      </c>
      <c r="K44" s="14">
        <f>(((VLOOKUP(B44,Data!$E:$BM,MATCH(yoy!$K$1,Data!$E$1:$BM$1,),)-VLOOKUP(A44,Data!$E:$BM,MATCH(yoy!$K$1,Data!$E$1:$BM$1,),))/VLOOKUP(A44,Data!$E:$BM,MATCH(yoy!$K$1,Data!$E$1:$BM$1,),))+1)^12-1</f>
        <v/>
      </c>
      <c r="L44" s="14">
        <f>(((VLOOKUP(B44,Data!$E:$BM,MATCH(yoy!$L$1,Data!$E$1:$BM$1,),)-VLOOKUP(A44,Data!$E:$BM,MATCH(yoy!$L$1,Data!$E$1:$BM$1,),))/VLOOKUP(A44,Data!$E:$BM,MATCH(yoy!$L$1,Data!$E$1:$BM$1,),))+1)^12-1</f>
        <v/>
      </c>
      <c r="M44" s="14">
        <f>(((VLOOKUP(B44,Data!$E:$BM,MATCH(yoy!$M$1,Data!$E$1:$BM$1,),)-VLOOKUP(A44,Data!$E:$BM,MATCH(yoy!$M$1,Data!$E$1:$BM$1,),))/VLOOKUP(A44,Data!$E:$BM,MATCH(yoy!$M$1,Data!$E$1:$BM$1,),))+1)^12-1</f>
        <v/>
      </c>
      <c r="N44" s="14">
        <f>(((VLOOKUP(B44,Data!$E:$BM,MATCH(yoy!$N$1,Data!$E$1:$BM$1,),)-VLOOKUP(A44,Data!$E:$BM,MATCH(yoy!$N$1,Data!$E$1:$BM$1,),))/VLOOKUP(A44,Data!$E:$BM,MATCH(yoy!$N$1,Data!$E$1:$BM$1,),))+1)^12-1</f>
        <v/>
      </c>
      <c r="O44" s="14">
        <f>(((VLOOKUP(B44,Data!$E:$BM,MATCH(yoy!$O$1,Data!$E$1:$BM$1,),)-VLOOKUP(A44,Data!$E:$BM,MATCH(yoy!$O$1,Data!$E$1:$BM$1,),))/VLOOKUP(A44,Data!$E:$BM,MATCH(yoy!$O$1,Data!$E$1:$BM$1,),))+1)^12-1</f>
        <v/>
      </c>
      <c r="P44" s="14">
        <f>(((VLOOKUP(B44,Data!$E:$BM,MATCH(yoy!$P$1,Data!$E$1:$BM$1,),)-VLOOKUP(A44,Data!$E:$BM,MATCH(yoy!$P$1,Data!$E$1:$BM$1,),))/VLOOKUP(A44,Data!$E:$BM,MATCH(yoy!$P$1,Data!$E$1:$BM$1,),))+1)^12-1</f>
        <v/>
      </c>
      <c r="Q44" s="14">
        <f>(((VLOOKUP(B44,Data!$E:$BM,MATCH(yoy!$Q$1,Data!$E$1:$BM$1,),)-VLOOKUP(A44,Data!$E:$BM,MATCH(yoy!$Q$1,Data!$E$1:$BM$1,),))/VLOOKUP(A44,Data!$E:$BM,MATCH(yoy!$Q$1,Data!$E$1:$BM$1,),))+1)^12-1</f>
        <v/>
      </c>
      <c r="R44" s="14">
        <f>(((VLOOKUP(B44,Data!$E:$BM,MATCH(yoy!$R$1,Data!$E$1:$BM$1,),)-VLOOKUP(A44,Data!$E:$BM,MATCH(yoy!$R$1,Data!$E$1:$BM$1,),))/VLOOKUP(A44,Data!$E:$BM,MATCH(yoy!$R$1,Data!$E$1:$BM$1,),))+1)^12-1</f>
        <v/>
      </c>
      <c r="S44" s="14">
        <f>(((VLOOKUP(B44,Data!$E:$BM,MATCH(yoy!$S$1,Data!$E$1:$BM$1,),)-VLOOKUP(A44,Data!$E:$BM,MATCH(yoy!$S$1,Data!$E$1:$BM$1,),))/VLOOKUP(A44,Data!$E:$BM,MATCH(yoy!$S$1,Data!$E$1:$BM$1,),))+1)^12-1</f>
        <v/>
      </c>
      <c r="T44" s="14">
        <f>(((VLOOKUP(B44,Data!$E:$BM,MATCH(yoy!$T$1,Data!$E$1:$BM$1,),)-VLOOKUP(A44,Data!$E:$BM,MATCH(yoy!$T$1,Data!$E$1:$BM$1,),))/VLOOKUP(A44,Data!$E:$BM,MATCH(yoy!$T$1,Data!$E$1:$BM$1,),))+1)^12-1</f>
        <v/>
      </c>
      <c r="U44" s="14">
        <f>(((VLOOKUP(B44,Data!$E:$BM,MATCH(yoy!$U$1,Data!$E$1:$BM$1,),)-VLOOKUP(A44,Data!$E:$BM,MATCH(yoy!$U$1,Data!$E$1:$BM$1,),))/VLOOKUP(A44,Data!$E:$BM,MATCH(yoy!$U$1,Data!$E$1:$BM$1,),))+1)^12-1</f>
        <v/>
      </c>
      <c r="V44" s="14">
        <f>(((VLOOKUP(B44,Data!$E:$BM,MATCH(yoy!$V$1,Data!$E$1:$BM$1,),)-VLOOKUP(A44,Data!$E:$BM,MATCH(yoy!$V$1,Data!$E$1:$BM$1,),))/VLOOKUP(A44,Data!$E:$BM,MATCH(yoy!$V$1,Data!$E$1:$BM$1,),))+1)^12-1</f>
        <v/>
      </c>
      <c r="W44" s="14">
        <f>(((VLOOKUP(B44,Data!$E:$BM,MATCH(yoy!$W$1,Data!$E$1:$BM$1,),)-VLOOKUP(A44,Data!$E:$BM,MATCH(yoy!$W$1,Data!$E$1:$BM$1,),))/VLOOKUP(A44,Data!$E:$BM,MATCH(yoy!$W$1,Data!$E$1:$BM$1,),))+1)^12-1</f>
        <v/>
      </c>
      <c r="X44" s="14">
        <f>(((VLOOKUP(B44,Data!$E:$BM,MATCH(yoy!$X$1,Data!$E$1:$BM$1,),)-VLOOKUP(A44,Data!$E:$BM,MATCH(yoy!$X$1,Data!$E$1:$BM$1,),))/VLOOKUP(A44,Data!$E:$BM,MATCH(yoy!$X$1,Data!$E$1:$BM$1,),))+1)^12-1</f>
        <v/>
      </c>
      <c r="Y44" s="14">
        <f>(((VLOOKUP(B44,Data!$E:$BM,MATCH(yoy!$Y$1,Data!$E$1:$BM$1,),)-VLOOKUP(A44,Data!$E:$BM,MATCH(yoy!$Y$1,Data!$E$1:$BM$1,),))/VLOOKUP(A44,Data!$E:$BM,MATCH(yoy!$Y$1,Data!$E$1:$BM$1,),))+1)^12-1</f>
        <v/>
      </c>
      <c r="Z44" s="14">
        <f>(((VLOOKUP(B44,Data!$E:$BM,MATCH(yoy!$Z$1,Data!$E$1:$BM$1,),)-VLOOKUP(A44,Data!$E:$BM,MATCH(yoy!$Z$1,Data!$E$1:$BM$1,),))/VLOOKUP(A44,Data!$E:$BM,MATCH(yoy!$Z$1,Data!$E$1:$BM$1,),))+1)^12-1</f>
        <v/>
      </c>
      <c r="AA44" s="14">
        <f>(((VLOOKUP(B44,Data!$E:$BM,MATCH(yoy!$AA$1,Data!$E$1:$BM$1,),)-VLOOKUP(A44,Data!$E:$BM,MATCH(yoy!$AA$1,Data!$E$1:$BM$1,),))/VLOOKUP(A44,Data!$E:$BM,MATCH(yoy!$AA$1,Data!$E$1:$BM$1,),))+1)^12-1</f>
        <v/>
      </c>
    </row>
    <row r="45" customFormat="1" s="83">
      <c r="A45" s="20">
        <f>DATE(YEAR(B45),MONTH(B45)-1,DAY(B45))</f>
        <v/>
      </c>
      <c r="B45" s="12" t="n">
        <v>43221</v>
      </c>
      <c r="C45" s="14">
        <f>(((VLOOKUP(B45,Data!$E:$BM,MATCH(yoy!$C$1,Data!$E$1:$BM$1,),)-VLOOKUP(A45,Data!$E:$BM,MATCH(yoy!$C$1,Data!$E$1:$BM$1,),))/VLOOKUP(A45,Data!$E:$BM,MATCH(yoy!$C$1,Data!$E$1:$BM$1,),))+1)^12-1</f>
        <v/>
      </c>
      <c r="D45" s="14">
        <f>(((VLOOKUP(B45,Data!$E:$BM,MATCH(yoy!$D$1,Data!$E$1:$BM$1,),)-VLOOKUP(A45,Data!$E:$BM,MATCH(yoy!$D$1,Data!$E$1:$BM$1,),))/VLOOKUP(A45,Data!$E:$BM,MATCH(yoy!$D$1,Data!$E$1:$BM$1,),))+1)^12-1</f>
        <v/>
      </c>
      <c r="E45" s="14">
        <f>(((VLOOKUP(B45,Data!$E:$BM,MATCH(yoy!$E$1,Data!$E$1:$BM$1,),)-VLOOKUP(A45,Data!$E:$BM,MATCH(yoy!$E$1,Data!$E$1:$BM$1,),))/VLOOKUP(A45,Data!$E:$BM,MATCH(yoy!$E$1,Data!$E$1:$BM$1,),))+1)^12-1</f>
        <v/>
      </c>
      <c r="F45" s="14">
        <f>(((VLOOKUP(B45,Data!$E:$BM,MATCH(yoy!$F$1,Data!$E$1:$BM$1,),)-VLOOKUP(A45,Data!$E:$BM,MATCH(yoy!$F$1,Data!$E$1:$BM$1,),))/VLOOKUP(A45,Data!$E:$BM,MATCH(yoy!$F$1,Data!$E$1:$BM$1,),))+1)^12-1</f>
        <v/>
      </c>
      <c r="G45" s="14">
        <f>(((VLOOKUP(B45,Data!$E:$BM,MATCH(yoy!$G$1,Data!$E$1:$BM$1,),)-VLOOKUP(A45,Data!$E:$BM,MATCH(yoy!$G$1,Data!$E$1:$BM$1,),))/VLOOKUP(A45,Data!$E:$BM,MATCH(yoy!$G$1,Data!$E$1:$BM$1,),))+1)^12-1</f>
        <v/>
      </c>
      <c r="H45" s="14">
        <f>(((VLOOKUP(B45,Data!$E:$BM,MATCH(yoy!$H$1,Data!$E$1:$BM$1,),)-VLOOKUP(A45,Data!$E:$BM,MATCH(yoy!$H$1,Data!$E$1:$BM$1,),))/VLOOKUP(A45,Data!$E:$BM,MATCH(yoy!$H$1,Data!$E$1:$BM$1,),))+1)^12-1</f>
        <v/>
      </c>
      <c r="I45" s="14">
        <f>(((VLOOKUP(B45,Data!$E:$BM,MATCH(yoy!$I$1,Data!$E$1:$BM$1,),)-VLOOKUP(A45,Data!$E:$BM,MATCH(yoy!$I$1,Data!$E$1:$BM$1,),))/VLOOKUP(A45,Data!$E:$BM,MATCH(yoy!$I$1,Data!$E$1:$BM$1,),))+1)^12-1</f>
        <v/>
      </c>
      <c r="J45" s="14">
        <f>(((VLOOKUP(B45,Data!$E:$BM,MATCH(yoy!$J$1,Data!$E$1:$BM$1,),)-VLOOKUP(A45,Data!$E:$BM,MATCH(yoy!$J$1,Data!$E$1:$BM$1,),))/VLOOKUP(A45,Data!$E:$BM,MATCH(yoy!$J$1,Data!$E$1:$BM$1,),))+1)^12-1</f>
        <v/>
      </c>
      <c r="K45" s="14">
        <f>(((VLOOKUP(B45,Data!$E:$BM,MATCH(yoy!$K$1,Data!$E$1:$BM$1,),)-VLOOKUP(A45,Data!$E:$BM,MATCH(yoy!$K$1,Data!$E$1:$BM$1,),))/VLOOKUP(A45,Data!$E:$BM,MATCH(yoy!$K$1,Data!$E$1:$BM$1,),))+1)^12-1</f>
        <v/>
      </c>
      <c r="L45" s="14">
        <f>(((VLOOKUP(B45,Data!$E:$BM,MATCH(yoy!$L$1,Data!$E$1:$BM$1,),)-VLOOKUP(A45,Data!$E:$BM,MATCH(yoy!$L$1,Data!$E$1:$BM$1,),))/VLOOKUP(A45,Data!$E:$BM,MATCH(yoy!$L$1,Data!$E$1:$BM$1,),))+1)^12-1</f>
        <v/>
      </c>
      <c r="M45" s="14">
        <f>(((VLOOKUP(B45,Data!$E:$BM,MATCH(yoy!$M$1,Data!$E$1:$BM$1,),)-VLOOKUP(A45,Data!$E:$BM,MATCH(yoy!$M$1,Data!$E$1:$BM$1,),))/VLOOKUP(A45,Data!$E:$BM,MATCH(yoy!$M$1,Data!$E$1:$BM$1,),))+1)^12-1</f>
        <v/>
      </c>
      <c r="N45" s="14">
        <f>(((VLOOKUP(B45,Data!$E:$BM,MATCH(yoy!$N$1,Data!$E$1:$BM$1,),)-VLOOKUP(A45,Data!$E:$BM,MATCH(yoy!$N$1,Data!$E$1:$BM$1,),))/VLOOKUP(A45,Data!$E:$BM,MATCH(yoy!$N$1,Data!$E$1:$BM$1,),))+1)^12-1</f>
        <v/>
      </c>
      <c r="O45" s="14">
        <f>(((VLOOKUP(B45,Data!$E:$BM,MATCH(yoy!$O$1,Data!$E$1:$BM$1,),)-VLOOKUP(A45,Data!$E:$BM,MATCH(yoy!$O$1,Data!$E$1:$BM$1,),))/VLOOKUP(A45,Data!$E:$BM,MATCH(yoy!$O$1,Data!$E$1:$BM$1,),))+1)^12-1</f>
        <v/>
      </c>
      <c r="P45" s="14">
        <f>(((VLOOKUP(B45,Data!$E:$BM,MATCH(yoy!$P$1,Data!$E$1:$BM$1,),)-VLOOKUP(A45,Data!$E:$BM,MATCH(yoy!$P$1,Data!$E$1:$BM$1,),))/VLOOKUP(A45,Data!$E:$BM,MATCH(yoy!$P$1,Data!$E$1:$BM$1,),))+1)^12-1</f>
        <v/>
      </c>
      <c r="Q45" s="14">
        <f>(((VLOOKUP(B45,Data!$E:$BM,MATCH(yoy!$Q$1,Data!$E$1:$BM$1,),)-VLOOKUP(A45,Data!$E:$BM,MATCH(yoy!$Q$1,Data!$E$1:$BM$1,),))/VLOOKUP(A45,Data!$E:$BM,MATCH(yoy!$Q$1,Data!$E$1:$BM$1,),))+1)^12-1</f>
        <v/>
      </c>
      <c r="R45" s="14">
        <f>(((VLOOKUP(B45,Data!$E:$BM,MATCH(yoy!$R$1,Data!$E$1:$BM$1,),)-VLOOKUP(A45,Data!$E:$BM,MATCH(yoy!$R$1,Data!$E$1:$BM$1,),))/VLOOKUP(A45,Data!$E:$BM,MATCH(yoy!$R$1,Data!$E$1:$BM$1,),))+1)^12-1</f>
        <v/>
      </c>
      <c r="S45" s="14">
        <f>(((VLOOKUP(B45,Data!$E:$BM,MATCH(yoy!$S$1,Data!$E$1:$BM$1,),)-VLOOKUP(A45,Data!$E:$BM,MATCH(yoy!$S$1,Data!$E$1:$BM$1,),))/VLOOKUP(A45,Data!$E:$BM,MATCH(yoy!$S$1,Data!$E$1:$BM$1,),))+1)^12-1</f>
        <v/>
      </c>
      <c r="T45" s="14">
        <f>(((VLOOKUP(B45,Data!$E:$BM,MATCH(yoy!$T$1,Data!$E$1:$BM$1,),)-VLOOKUP(A45,Data!$E:$BM,MATCH(yoy!$T$1,Data!$E$1:$BM$1,),))/VLOOKUP(A45,Data!$E:$BM,MATCH(yoy!$T$1,Data!$E$1:$BM$1,),))+1)^12-1</f>
        <v/>
      </c>
      <c r="U45" s="14">
        <f>(((VLOOKUP(B45,Data!$E:$BM,MATCH(yoy!$U$1,Data!$E$1:$BM$1,),)-VLOOKUP(A45,Data!$E:$BM,MATCH(yoy!$U$1,Data!$E$1:$BM$1,),))/VLOOKUP(A45,Data!$E:$BM,MATCH(yoy!$U$1,Data!$E$1:$BM$1,),))+1)^12-1</f>
        <v/>
      </c>
      <c r="V45" s="14">
        <f>(((VLOOKUP(B45,Data!$E:$BM,MATCH(yoy!$V$1,Data!$E$1:$BM$1,),)-VLOOKUP(A45,Data!$E:$BM,MATCH(yoy!$V$1,Data!$E$1:$BM$1,),))/VLOOKUP(A45,Data!$E:$BM,MATCH(yoy!$V$1,Data!$E$1:$BM$1,),))+1)^12-1</f>
        <v/>
      </c>
      <c r="W45" s="14">
        <f>(((VLOOKUP(B45,Data!$E:$BM,MATCH(yoy!$W$1,Data!$E$1:$BM$1,),)-VLOOKUP(A45,Data!$E:$BM,MATCH(yoy!$W$1,Data!$E$1:$BM$1,),))/VLOOKUP(A45,Data!$E:$BM,MATCH(yoy!$W$1,Data!$E$1:$BM$1,),))+1)^12-1</f>
        <v/>
      </c>
      <c r="X45" s="14">
        <f>(((VLOOKUP(B45,Data!$E:$BM,MATCH(yoy!$X$1,Data!$E$1:$BM$1,),)-VLOOKUP(A45,Data!$E:$BM,MATCH(yoy!$X$1,Data!$E$1:$BM$1,),))/VLOOKUP(A45,Data!$E:$BM,MATCH(yoy!$X$1,Data!$E$1:$BM$1,),))+1)^12-1</f>
        <v/>
      </c>
      <c r="Y45" s="14">
        <f>(((VLOOKUP(B45,Data!$E:$BM,MATCH(yoy!$Y$1,Data!$E$1:$BM$1,),)-VLOOKUP(A45,Data!$E:$BM,MATCH(yoy!$Y$1,Data!$E$1:$BM$1,),))/VLOOKUP(A45,Data!$E:$BM,MATCH(yoy!$Y$1,Data!$E$1:$BM$1,),))+1)^12-1</f>
        <v/>
      </c>
      <c r="Z45" s="14">
        <f>(((VLOOKUP(B45,Data!$E:$BM,MATCH(yoy!$Z$1,Data!$E$1:$BM$1,),)-VLOOKUP(A45,Data!$E:$BM,MATCH(yoy!$Z$1,Data!$E$1:$BM$1,),))/VLOOKUP(A45,Data!$E:$BM,MATCH(yoy!$Z$1,Data!$E$1:$BM$1,),))+1)^12-1</f>
        <v/>
      </c>
      <c r="AA45" s="14">
        <f>(((VLOOKUP(B45,Data!$E:$BM,MATCH(yoy!$AA$1,Data!$E$1:$BM$1,),)-VLOOKUP(A45,Data!$E:$BM,MATCH(yoy!$AA$1,Data!$E$1:$BM$1,),))/VLOOKUP(A45,Data!$E:$BM,MATCH(yoy!$AA$1,Data!$E$1:$BM$1,),))+1)^12-1</f>
        <v/>
      </c>
    </row>
    <row r="46" customFormat="1" s="83">
      <c r="A46" s="20">
        <f>DATE(YEAR(B46),MONTH(B46)-1,DAY(B46))</f>
        <v/>
      </c>
      <c r="B46" s="12" t="n">
        <v>43252</v>
      </c>
      <c r="C46" s="14">
        <f>(((VLOOKUP(B46,Data!$E:$BM,MATCH(yoy!$C$1,Data!$E$1:$BM$1,),)-VLOOKUP(A46,Data!$E:$BM,MATCH(yoy!$C$1,Data!$E$1:$BM$1,),))/VLOOKUP(A46,Data!$E:$BM,MATCH(yoy!$C$1,Data!$E$1:$BM$1,),))+1)^12-1</f>
        <v/>
      </c>
      <c r="D46" s="14">
        <f>(((VLOOKUP(B46,Data!$E:$BM,MATCH(yoy!$D$1,Data!$E$1:$BM$1,),)-VLOOKUP(A46,Data!$E:$BM,MATCH(yoy!$D$1,Data!$E$1:$BM$1,),))/VLOOKUP(A46,Data!$E:$BM,MATCH(yoy!$D$1,Data!$E$1:$BM$1,),))+1)^12-1</f>
        <v/>
      </c>
      <c r="E46" s="14">
        <f>(((VLOOKUP(B46,Data!$E:$BM,MATCH(yoy!$E$1,Data!$E$1:$BM$1,),)-VLOOKUP(A46,Data!$E:$BM,MATCH(yoy!$E$1,Data!$E$1:$BM$1,),))/VLOOKUP(A46,Data!$E:$BM,MATCH(yoy!$E$1,Data!$E$1:$BM$1,),))+1)^12-1</f>
        <v/>
      </c>
      <c r="F46" s="14">
        <f>(((VLOOKUP(B46,Data!$E:$BM,MATCH(yoy!$F$1,Data!$E$1:$BM$1,),)-VLOOKUP(A46,Data!$E:$BM,MATCH(yoy!$F$1,Data!$E$1:$BM$1,),))/VLOOKUP(A46,Data!$E:$BM,MATCH(yoy!$F$1,Data!$E$1:$BM$1,),))+1)^12-1</f>
        <v/>
      </c>
      <c r="G46" s="14">
        <f>(((VLOOKUP(B46,Data!$E:$BM,MATCH(yoy!$G$1,Data!$E$1:$BM$1,),)-VLOOKUP(A46,Data!$E:$BM,MATCH(yoy!$G$1,Data!$E$1:$BM$1,),))/VLOOKUP(A46,Data!$E:$BM,MATCH(yoy!$G$1,Data!$E$1:$BM$1,),))+1)^12-1</f>
        <v/>
      </c>
      <c r="H46" s="14">
        <f>(((VLOOKUP(B46,Data!$E:$BM,MATCH(yoy!$H$1,Data!$E$1:$BM$1,),)-VLOOKUP(A46,Data!$E:$BM,MATCH(yoy!$H$1,Data!$E$1:$BM$1,),))/VLOOKUP(A46,Data!$E:$BM,MATCH(yoy!$H$1,Data!$E$1:$BM$1,),))+1)^12-1</f>
        <v/>
      </c>
      <c r="I46" s="14">
        <f>(((VLOOKUP(B46,Data!$E:$BM,MATCH(yoy!$I$1,Data!$E$1:$BM$1,),)-VLOOKUP(A46,Data!$E:$BM,MATCH(yoy!$I$1,Data!$E$1:$BM$1,),))/VLOOKUP(A46,Data!$E:$BM,MATCH(yoy!$I$1,Data!$E$1:$BM$1,),))+1)^12-1</f>
        <v/>
      </c>
      <c r="J46" s="14">
        <f>(((VLOOKUP(B46,Data!$E:$BM,MATCH(yoy!$J$1,Data!$E$1:$BM$1,),)-VLOOKUP(A46,Data!$E:$BM,MATCH(yoy!$J$1,Data!$E$1:$BM$1,),))/VLOOKUP(A46,Data!$E:$BM,MATCH(yoy!$J$1,Data!$E$1:$BM$1,),))+1)^12-1</f>
        <v/>
      </c>
      <c r="K46" s="14">
        <f>(((VLOOKUP(B46,Data!$E:$BM,MATCH(yoy!$K$1,Data!$E$1:$BM$1,),)-VLOOKUP(A46,Data!$E:$BM,MATCH(yoy!$K$1,Data!$E$1:$BM$1,),))/VLOOKUP(A46,Data!$E:$BM,MATCH(yoy!$K$1,Data!$E$1:$BM$1,),))+1)^12-1</f>
        <v/>
      </c>
      <c r="L46" s="14">
        <f>(((VLOOKUP(B46,Data!$E:$BM,MATCH(yoy!$L$1,Data!$E$1:$BM$1,),)-VLOOKUP(A46,Data!$E:$BM,MATCH(yoy!$L$1,Data!$E$1:$BM$1,),))/VLOOKUP(A46,Data!$E:$BM,MATCH(yoy!$L$1,Data!$E$1:$BM$1,),))+1)^12-1</f>
        <v/>
      </c>
      <c r="M46" s="14">
        <f>(((VLOOKUP(B46,Data!$E:$BM,MATCH(yoy!$M$1,Data!$E$1:$BM$1,),)-VLOOKUP(A46,Data!$E:$BM,MATCH(yoy!$M$1,Data!$E$1:$BM$1,),))/VLOOKUP(A46,Data!$E:$BM,MATCH(yoy!$M$1,Data!$E$1:$BM$1,),))+1)^12-1</f>
        <v/>
      </c>
      <c r="N46" s="14">
        <f>(((VLOOKUP(B46,Data!$E:$BM,MATCH(yoy!$N$1,Data!$E$1:$BM$1,),)-VLOOKUP(A46,Data!$E:$BM,MATCH(yoy!$N$1,Data!$E$1:$BM$1,),))/VLOOKUP(A46,Data!$E:$BM,MATCH(yoy!$N$1,Data!$E$1:$BM$1,),))+1)^12-1</f>
        <v/>
      </c>
      <c r="O46" s="14">
        <f>(((VLOOKUP(B46,Data!$E:$BM,MATCH(yoy!$O$1,Data!$E$1:$BM$1,),)-VLOOKUP(A46,Data!$E:$BM,MATCH(yoy!$O$1,Data!$E$1:$BM$1,),))/VLOOKUP(A46,Data!$E:$BM,MATCH(yoy!$O$1,Data!$E$1:$BM$1,),))+1)^12-1</f>
        <v/>
      </c>
      <c r="P46" s="14">
        <f>(((VLOOKUP(B46,Data!$E:$BM,MATCH(yoy!$P$1,Data!$E$1:$BM$1,),)-VLOOKUP(A46,Data!$E:$BM,MATCH(yoy!$P$1,Data!$E$1:$BM$1,),))/VLOOKUP(A46,Data!$E:$BM,MATCH(yoy!$P$1,Data!$E$1:$BM$1,),))+1)^12-1</f>
        <v/>
      </c>
      <c r="Q46" s="14">
        <f>(((VLOOKUP(B46,Data!$E:$BM,MATCH(yoy!$Q$1,Data!$E$1:$BM$1,),)-VLOOKUP(A46,Data!$E:$BM,MATCH(yoy!$Q$1,Data!$E$1:$BM$1,),))/VLOOKUP(A46,Data!$E:$BM,MATCH(yoy!$Q$1,Data!$E$1:$BM$1,),))+1)^12-1</f>
        <v/>
      </c>
      <c r="R46" s="14">
        <f>(((VLOOKUP(B46,Data!$E:$BM,MATCH(yoy!$R$1,Data!$E$1:$BM$1,),)-VLOOKUP(A46,Data!$E:$BM,MATCH(yoy!$R$1,Data!$E$1:$BM$1,),))/VLOOKUP(A46,Data!$E:$BM,MATCH(yoy!$R$1,Data!$E$1:$BM$1,),))+1)^12-1</f>
        <v/>
      </c>
      <c r="S46" s="14">
        <f>(((VLOOKUP(B46,Data!$E:$BM,MATCH(yoy!$S$1,Data!$E$1:$BM$1,),)-VLOOKUP(A46,Data!$E:$BM,MATCH(yoy!$S$1,Data!$E$1:$BM$1,),))/VLOOKUP(A46,Data!$E:$BM,MATCH(yoy!$S$1,Data!$E$1:$BM$1,),))+1)^12-1</f>
        <v/>
      </c>
      <c r="T46" s="14">
        <f>(((VLOOKUP(B46,Data!$E:$BM,MATCH(yoy!$T$1,Data!$E$1:$BM$1,),)-VLOOKUP(A46,Data!$E:$BM,MATCH(yoy!$T$1,Data!$E$1:$BM$1,),))/VLOOKUP(A46,Data!$E:$BM,MATCH(yoy!$T$1,Data!$E$1:$BM$1,),))+1)^12-1</f>
        <v/>
      </c>
      <c r="U46" s="14">
        <f>(((VLOOKUP(B46,Data!$E:$BM,MATCH(yoy!$U$1,Data!$E$1:$BM$1,),)-VLOOKUP(A46,Data!$E:$BM,MATCH(yoy!$U$1,Data!$E$1:$BM$1,),))/VLOOKUP(A46,Data!$E:$BM,MATCH(yoy!$U$1,Data!$E$1:$BM$1,),))+1)^12-1</f>
        <v/>
      </c>
      <c r="V46" s="14">
        <f>(((VLOOKUP(B46,Data!$E:$BM,MATCH(yoy!$V$1,Data!$E$1:$BM$1,),)-VLOOKUP(A46,Data!$E:$BM,MATCH(yoy!$V$1,Data!$E$1:$BM$1,),))/VLOOKUP(A46,Data!$E:$BM,MATCH(yoy!$V$1,Data!$E$1:$BM$1,),))+1)^12-1</f>
        <v/>
      </c>
      <c r="W46" s="14">
        <f>(((VLOOKUP(B46,Data!$E:$BM,MATCH(yoy!$W$1,Data!$E$1:$BM$1,),)-VLOOKUP(A46,Data!$E:$BM,MATCH(yoy!$W$1,Data!$E$1:$BM$1,),))/VLOOKUP(A46,Data!$E:$BM,MATCH(yoy!$W$1,Data!$E$1:$BM$1,),))+1)^12-1</f>
        <v/>
      </c>
      <c r="X46" s="14">
        <f>(((VLOOKUP(B46,Data!$E:$BM,MATCH(yoy!$X$1,Data!$E$1:$BM$1,),)-VLOOKUP(A46,Data!$E:$BM,MATCH(yoy!$X$1,Data!$E$1:$BM$1,),))/VLOOKUP(A46,Data!$E:$BM,MATCH(yoy!$X$1,Data!$E$1:$BM$1,),))+1)^12-1</f>
        <v/>
      </c>
      <c r="Y46" s="14">
        <f>(((VLOOKUP(B46,Data!$E:$BM,MATCH(yoy!$Y$1,Data!$E$1:$BM$1,),)-VLOOKUP(A46,Data!$E:$BM,MATCH(yoy!$Y$1,Data!$E$1:$BM$1,),))/VLOOKUP(A46,Data!$E:$BM,MATCH(yoy!$Y$1,Data!$E$1:$BM$1,),))+1)^12-1</f>
        <v/>
      </c>
      <c r="Z46" s="14">
        <f>(((VLOOKUP(B46,Data!$E:$BM,MATCH(yoy!$Z$1,Data!$E$1:$BM$1,),)-VLOOKUP(A46,Data!$E:$BM,MATCH(yoy!$Z$1,Data!$E$1:$BM$1,),))/VLOOKUP(A46,Data!$E:$BM,MATCH(yoy!$Z$1,Data!$E$1:$BM$1,),))+1)^12-1</f>
        <v/>
      </c>
      <c r="AA46" s="14">
        <f>(((VLOOKUP(B46,Data!$E:$BM,MATCH(yoy!$AA$1,Data!$E$1:$BM$1,),)-VLOOKUP(A46,Data!$E:$BM,MATCH(yoy!$AA$1,Data!$E$1:$BM$1,),))/VLOOKUP(A46,Data!$E:$BM,MATCH(yoy!$AA$1,Data!$E$1:$BM$1,),))+1)^12-1</f>
        <v/>
      </c>
    </row>
    <row r="47" customFormat="1" s="83">
      <c r="A47" s="20">
        <f>DATE(YEAR(B47),MONTH(B47)-1,DAY(B47))</f>
        <v/>
      </c>
      <c r="B47" s="12" t="n">
        <v>43282</v>
      </c>
      <c r="C47" s="14">
        <f>(((VLOOKUP(B47,Data!$E:$BM,MATCH(yoy!$C$1,Data!$E$1:$BM$1,),)-VLOOKUP(A47,Data!$E:$BM,MATCH(yoy!$C$1,Data!$E$1:$BM$1,),))/VLOOKUP(A47,Data!$E:$BM,MATCH(yoy!$C$1,Data!$E$1:$BM$1,),))+1)^12-1</f>
        <v/>
      </c>
      <c r="D47" s="14">
        <f>(((VLOOKUP(B47,Data!$E:$BM,MATCH(yoy!$D$1,Data!$E$1:$BM$1,),)-VLOOKUP(A47,Data!$E:$BM,MATCH(yoy!$D$1,Data!$E$1:$BM$1,),))/VLOOKUP(A47,Data!$E:$BM,MATCH(yoy!$D$1,Data!$E$1:$BM$1,),))+1)^12-1</f>
        <v/>
      </c>
      <c r="E47" s="14">
        <f>(((VLOOKUP(B47,Data!$E:$BM,MATCH(yoy!$E$1,Data!$E$1:$BM$1,),)-VLOOKUP(A47,Data!$E:$BM,MATCH(yoy!$E$1,Data!$E$1:$BM$1,),))/VLOOKUP(A47,Data!$E:$BM,MATCH(yoy!$E$1,Data!$E$1:$BM$1,),))+1)^12-1</f>
        <v/>
      </c>
      <c r="F47" s="14">
        <f>(((VLOOKUP(B47,Data!$E:$BM,MATCH(yoy!$F$1,Data!$E$1:$BM$1,),)-VLOOKUP(A47,Data!$E:$BM,MATCH(yoy!$F$1,Data!$E$1:$BM$1,),))/VLOOKUP(A47,Data!$E:$BM,MATCH(yoy!$F$1,Data!$E$1:$BM$1,),))+1)^12-1</f>
        <v/>
      </c>
      <c r="G47" s="14">
        <f>(((VLOOKUP(B47,Data!$E:$BM,MATCH(yoy!$G$1,Data!$E$1:$BM$1,),)-VLOOKUP(A47,Data!$E:$BM,MATCH(yoy!$G$1,Data!$E$1:$BM$1,),))/VLOOKUP(A47,Data!$E:$BM,MATCH(yoy!$G$1,Data!$E$1:$BM$1,),))+1)^12-1</f>
        <v/>
      </c>
      <c r="H47" s="14">
        <f>(((VLOOKUP(B47,Data!$E:$BM,MATCH(yoy!$H$1,Data!$E$1:$BM$1,),)-VLOOKUP(A47,Data!$E:$BM,MATCH(yoy!$H$1,Data!$E$1:$BM$1,),))/VLOOKUP(A47,Data!$E:$BM,MATCH(yoy!$H$1,Data!$E$1:$BM$1,),))+1)^12-1</f>
        <v/>
      </c>
      <c r="I47" s="14">
        <f>(((VLOOKUP(B47,Data!$E:$BM,MATCH(yoy!$I$1,Data!$E$1:$BM$1,),)-VLOOKUP(A47,Data!$E:$BM,MATCH(yoy!$I$1,Data!$E$1:$BM$1,),))/VLOOKUP(A47,Data!$E:$BM,MATCH(yoy!$I$1,Data!$E$1:$BM$1,),))+1)^12-1</f>
        <v/>
      </c>
      <c r="J47" s="14">
        <f>(((VLOOKUP(B47,Data!$E:$BM,MATCH(yoy!$J$1,Data!$E$1:$BM$1,),)-VLOOKUP(A47,Data!$E:$BM,MATCH(yoy!$J$1,Data!$E$1:$BM$1,),))/VLOOKUP(A47,Data!$E:$BM,MATCH(yoy!$J$1,Data!$E$1:$BM$1,),))+1)^12-1</f>
        <v/>
      </c>
      <c r="K47" s="14">
        <f>(((VLOOKUP(B47,Data!$E:$BM,MATCH(yoy!$K$1,Data!$E$1:$BM$1,),)-VLOOKUP(A47,Data!$E:$BM,MATCH(yoy!$K$1,Data!$E$1:$BM$1,),))/VLOOKUP(A47,Data!$E:$BM,MATCH(yoy!$K$1,Data!$E$1:$BM$1,),))+1)^12-1</f>
        <v/>
      </c>
      <c r="L47" s="14">
        <f>(((VLOOKUP(B47,Data!$E:$BM,MATCH(yoy!$L$1,Data!$E$1:$BM$1,),)-VLOOKUP(A47,Data!$E:$BM,MATCH(yoy!$L$1,Data!$E$1:$BM$1,),))/VLOOKUP(A47,Data!$E:$BM,MATCH(yoy!$L$1,Data!$E$1:$BM$1,),))+1)^12-1</f>
        <v/>
      </c>
      <c r="M47" s="14">
        <f>(((VLOOKUP(B47,Data!$E:$BM,MATCH(yoy!$M$1,Data!$E$1:$BM$1,),)-VLOOKUP(A47,Data!$E:$BM,MATCH(yoy!$M$1,Data!$E$1:$BM$1,),))/VLOOKUP(A47,Data!$E:$BM,MATCH(yoy!$M$1,Data!$E$1:$BM$1,),))+1)^12-1</f>
        <v/>
      </c>
      <c r="N47" s="14">
        <f>(((VLOOKUP(B47,Data!$E:$BM,MATCH(yoy!$N$1,Data!$E$1:$BM$1,),)-VLOOKUP(A47,Data!$E:$BM,MATCH(yoy!$N$1,Data!$E$1:$BM$1,),))/VLOOKUP(A47,Data!$E:$BM,MATCH(yoy!$N$1,Data!$E$1:$BM$1,),))+1)^12-1</f>
        <v/>
      </c>
      <c r="O47" s="14">
        <f>(((VLOOKUP(B47,Data!$E:$BM,MATCH(yoy!$O$1,Data!$E$1:$BM$1,),)-VLOOKUP(A47,Data!$E:$BM,MATCH(yoy!$O$1,Data!$E$1:$BM$1,),))/VLOOKUP(A47,Data!$E:$BM,MATCH(yoy!$O$1,Data!$E$1:$BM$1,),))+1)^12-1</f>
        <v/>
      </c>
      <c r="P47" s="14">
        <f>(((VLOOKUP(B47,Data!$E:$BM,MATCH(yoy!$P$1,Data!$E$1:$BM$1,),)-VLOOKUP(A47,Data!$E:$BM,MATCH(yoy!$P$1,Data!$E$1:$BM$1,),))/VLOOKUP(A47,Data!$E:$BM,MATCH(yoy!$P$1,Data!$E$1:$BM$1,),))+1)^12-1</f>
        <v/>
      </c>
      <c r="Q47" s="14">
        <f>(((VLOOKUP(B47,Data!$E:$BM,MATCH(yoy!$Q$1,Data!$E$1:$BM$1,),)-VLOOKUP(A47,Data!$E:$BM,MATCH(yoy!$Q$1,Data!$E$1:$BM$1,),))/VLOOKUP(A47,Data!$E:$BM,MATCH(yoy!$Q$1,Data!$E$1:$BM$1,),))+1)^12-1</f>
        <v/>
      </c>
      <c r="R47" s="14">
        <f>(((VLOOKUP(B47,Data!$E:$BM,MATCH(yoy!$R$1,Data!$E$1:$BM$1,),)-VLOOKUP(A47,Data!$E:$BM,MATCH(yoy!$R$1,Data!$E$1:$BM$1,),))/VLOOKUP(A47,Data!$E:$BM,MATCH(yoy!$R$1,Data!$E$1:$BM$1,),))+1)^12-1</f>
        <v/>
      </c>
      <c r="S47" s="14">
        <f>(((VLOOKUP(B47,Data!$E:$BM,MATCH(yoy!$S$1,Data!$E$1:$BM$1,),)-VLOOKUP(A47,Data!$E:$BM,MATCH(yoy!$S$1,Data!$E$1:$BM$1,),))/VLOOKUP(A47,Data!$E:$BM,MATCH(yoy!$S$1,Data!$E$1:$BM$1,),))+1)^12-1</f>
        <v/>
      </c>
      <c r="T47" s="14">
        <f>(((VLOOKUP(B47,Data!$E:$BM,MATCH(yoy!$T$1,Data!$E$1:$BM$1,),)-VLOOKUP(A47,Data!$E:$BM,MATCH(yoy!$T$1,Data!$E$1:$BM$1,),))/VLOOKUP(A47,Data!$E:$BM,MATCH(yoy!$T$1,Data!$E$1:$BM$1,),))+1)^12-1</f>
        <v/>
      </c>
      <c r="U47" s="14">
        <f>(((VLOOKUP(B47,Data!$E:$BM,MATCH(yoy!$U$1,Data!$E$1:$BM$1,),)-VLOOKUP(A47,Data!$E:$BM,MATCH(yoy!$U$1,Data!$E$1:$BM$1,),))/VLOOKUP(A47,Data!$E:$BM,MATCH(yoy!$U$1,Data!$E$1:$BM$1,),))+1)^12-1</f>
        <v/>
      </c>
      <c r="V47" s="14">
        <f>(((VLOOKUP(B47,Data!$E:$BM,MATCH(yoy!$V$1,Data!$E$1:$BM$1,),)-VLOOKUP(A47,Data!$E:$BM,MATCH(yoy!$V$1,Data!$E$1:$BM$1,),))/VLOOKUP(A47,Data!$E:$BM,MATCH(yoy!$V$1,Data!$E$1:$BM$1,),))+1)^12-1</f>
        <v/>
      </c>
      <c r="W47" s="14">
        <f>(((VLOOKUP(B47,Data!$E:$BM,MATCH(yoy!$W$1,Data!$E$1:$BM$1,),)-VLOOKUP(A47,Data!$E:$BM,MATCH(yoy!$W$1,Data!$E$1:$BM$1,),))/VLOOKUP(A47,Data!$E:$BM,MATCH(yoy!$W$1,Data!$E$1:$BM$1,),))+1)^12-1</f>
        <v/>
      </c>
      <c r="X47" s="14">
        <f>(((VLOOKUP(B47,Data!$E:$BM,MATCH(yoy!$X$1,Data!$E$1:$BM$1,),)-VLOOKUP(A47,Data!$E:$BM,MATCH(yoy!$X$1,Data!$E$1:$BM$1,),))/VLOOKUP(A47,Data!$E:$BM,MATCH(yoy!$X$1,Data!$E$1:$BM$1,),))+1)^12-1</f>
        <v/>
      </c>
      <c r="Y47" s="14">
        <f>(((VLOOKUP(B47,Data!$E:$BM,MATCH(yoy!$Y$1,Data!$E$1:$BM$1,),)-VLOOKUP(A47,Data!$E:$BM,MATCH(yoy!$Y$1,Data!$E$1:$BM$1,),))/VLOOKUP(A47,Data!$E:$BM,MATCH(yoy!$Y$1,Data!$E$1:$BM$1,),))+1)^12-1</f>
        <v/>
      </c>
      <c r="Z47" s="14">
        <f>(((VLOOKUP(B47,Data!$E:$BM,MATCH(yoy!$Z$1,Data!$E$1:$BM$1,),)-VLOOKUP(A47,Data!$E:$BM,MATCH(yoy!$Z$1,Data!$E$1:$BM$1,),))/VLOOKUP(A47,Data!$E:$BM,MATCH(yoy!$Z$1,Data!$E$1:$BM$1,),))+1)^12-1</f>
        <v/>
      </c>
      <c r="AA47" s="14">
        <f>(((VLOOKUP(B47,Data!$E:$BM,MATCH(yoy!$AA$1,Data!$E$1:$BM$1,),)-VLOOKUP(A47,Data!$E:$BM,MATCH(yoy!$AA$1,Data!$E$1:$BM$1,),))/VLOOKUP(A47,Data!$E:$BM,MATCH(yoy!$AA$1,Data!$E$1:$BM$1,),))+1)^12-1</f>
        <v/>
      </c>
    </row>
    <row r="48" customFormat="1" s="83">
      <c r="A48" s="20">
        <f>DATE(YEAR(B48),MONTH(B48)-1,DAY(B48))</f>
        <v/>
      </c>
      <c r="B48" s="12" t="n">
        <v>43313</v>
      </c>
      <c r="C48" s="14">
        <f>(((VLOOKUP(B48,Data!$E:$BM,MATCH(yoy!$C$1,Data!$E$1:$BM$1,),)-VLOOKUP(A48,Data!$E:$BM,MATCH(yoy!$C$1,Data!$E$1:$BM$1,),))/VLOOKUP(A48,Data!$E:$BM,MATCH(yoy!$C$1,Data!$E$1:$BM$1,),))+1)^12-1</f>
        <v/>
      </c>
      <c r="D48" s="14">
        <f>(((VLOOKUP(B48,Data!$E:$BM,MATCH(yoy!$D$1,Data!$E$1:$BM$1,),)-VLOOKUP(A48,Data!$E:$BM,MATCH(yoy!$D$1,Data!$E$1:$BM$1,),))/VLOOKUP(A48,Data!$E:$BM,MATCH(yoy!$D$1,Data!$E$1:$BM$1,),))+1)^12-1</f>
        <v/>
      </c>
      <c r="E48" s="14">
        <f>(((VLOOKUP(B48,Data!$E:$BM,MATCH(yoy!$E$1,Data!$E$1:$BM$1,),)-VLOOKUP(A48,Data!$E:$BM,MATCH(yoy!$E$1,Data!$E$1:$BM$1,),))/VLOOKUP(A48,Data!$E:$BM,MATCH(yoy!$E$1,Data!$E$1:$BM$1,),))+1)^12-1</f>
        <v/>
      </c>
      <c r="F48" s="14">
        <f>(((VLOOKUP(B48,Data!$E:$BM,MATCH(yoy!$F$1,Data!$E$1:$BM$1,),)-VLOOKUP(A48,Data!$E:$BM,MATCH(yoy!$F$1,Data!$E$1:$BM$1,),))/VLOOKUP(A48,Data!$E:$BM,MATCH(yoy!$F$1,Data!$E$1:$BM$1,),))+1)^12-1</f>
        <v/>
      </c>
      <c r="G48" s="14">
        <f>(((VLOOKUP(B48,Data!$E:$BM,MATCH(yoy!$G$1,Data!$E$1:$BM$1,),)-VLOOKUP(A48,Data!$E:$BM,MATCH(yoy!$G$1,Data!$E$1:$BM$1,),))/VLOOKUP(A48,Data!$E:$BM,MATCH(yoy!$G$1,Data!$E$1:$BM$1,),))+1)^12-1</f>
        <v/>
      </c>
      <c r="H48" s="14">
        <f>(((VLOOKUP(B48,Data!$E:$BM,MATCH(yoy!$H$1,Data!$E$1:$BM$1,),)-VLOOKUP(A48,Data!$E:$BM,MATCH(yoy!$H$1,Data!$E$1:$BM$1,),))/VLOOKUP(A48,Data!$E:$BM,MATCH(yoy!$H$1,Data!$E$1:$BM$1,),))+1)^12-1</f>
        <v/>
      </c>
      <c r="I48" s="14">
        <f>(((VLOOKUP(B48,Data!$E:$BM,MATCH(yoy!$I$1,Data!$E$1:$BM$1,),)-VLOOKUP(A48,Data!$E:$BM,MATCH(yoy!$I$1,Data!$E$1:$BM$1,),))/VLOOKUP(A48,Data!$E:$BM,MATCH(yoy!$I$1,Data!$E$1:$BM$1,),))+1)^12-1</f>
        <v/>
      </c>
      <c r="J48" s="14">
        <f>(((VLOOKUP(B48,Data!$E:$BM,MATCH(yoy!$J$1,Data!$E$1:$BM$1,),)-VLOOKUP(A48,Data!$E:$BM,MATCH(yoy!$J$1,Data!$E$1:$BM$1,),))/VLOOKUP(A48,Data!$E:$BM,MATCH(yoy!$J$1,Data!$E$1:$BM$1,),))+1)^12-1</f>
        <v/>
      </c>
      <c r="K48" s="14">
        <f>(((VLOOKUP(B48,Data!$E:$BM,MATCH(yoy!$K$1,Data!$E$1:$BM$1,),)-VLOOKUP(A48,Data!$E:$BM,MATCH(yoy!$K$1,Data!$E$1:$BM$1,),))/VLOOKUP(A48,Data!$E:$BM,MATCH(yoy!$K$1,Data!$E$1:$BM$1,),))+1)^12-1</f>
        <v/>
      </c>
      <c r="L48" s="14">
        <f>(((VLOOKUP(B48,Data!$E:$BM,MATCH(yoy!$L$1,Data!$E$1:$BM$1,),)-VLOOKUP(A48,Data!$E:$BM,MATCH(yoy!$L$1,Data!$E$1:$BM$1,),))/VLOOKUP(A48,Data!$E:$BM,MATCH(yoy!$L$1,Data!$E$1:$BM$1,),))+1)^12-1</f>
        <v/>
      </c>
      <c r="M48" s="14">
        <f>(((VLOOKUP(B48,Data!$E:$BM,MATCH(yoy!$M$1,Data!$E$1:$BM$1,),)-VLOOKUP(A48,Data!$E:$BM,MATCH(yoy!$M$1,Data!$E$1:$BM$1,),))/VLOOKUP(A48,Data!$E:$BM,MATCH(yoy!$M$1,Data!$E$1:$BM$1,),))+1)^12-1</f>
        <v/>
      </c>
      <c r="N48" s="14">
        <f>(((VLOOKUP(B48,Data!$E:$BM,MATCH(yoy!$N$1,Data!$E$1:$BM$1,),)-VLOOKUP(A48,Data!$E:$BM,MATCH(yoy!$N$1,Data!$E$1:$BM$1,),))/VLOOKUP(A48,Data!$E:$BM,MATCH(yoy!$N$1,Data!$E$1:$BM$1,),))+1)^12-1</f>
        <v/>
      </c>
      <c r="O48" s="14">
        <f>(((VLOOKUP(B48,Data!$E:$BM,MATCH(yoy!$O$1,Data!$E$1:$BM$1,),)-VLOOKUP(A48,Data!$E:$BM,MATCH(yoy!$O$1,Data!$E$1:$BM$1,),))/VLOOKUP(A48,Data!$E:$BM,MATCH(yoy!$O$1,Data!$E$1:$BM$1,),))+1)^12-1</f>
        <v/>
      </c>
      <c r="P48" s="14">
        <f>(((VLOOKUP(B48,Data!$E:$BM,MATCH(yoy!$P$1,Data!$E$1:$BM$1,),)-VLOOKUP(A48,Data!$E:$BM,MATCH(yoy!$P$1,Data!$E$1:$BM$1,),))/VLOOKUP(A48,Data!$E:$BM,MATCH(yoy!$P$1,Data!$E$1:$BM$1,),))+1)^12-1</f>
        <v/>
      </c>
      <c r="Q48" s="14">
        <f>(((VLOOKUP(B48,Data!$E:$BM,MATCH(yoy!$Q$1,Data!$E$1:$BM$1,),)-VLOOKUP(A48,Data!$E:$BM,MATCH(yoy!$Q$1,Data!$E$1:$BM$1,),))/VLOOKUP(A48,Data!$E:$BM,MATCH(yoy!$Q$1,Data!$E$1:$BM$1,),))+1)^12-1</f>
        <v/>
      </c>
      <c r="R48" s="14">
        <f>(((VLOOKUP(B48,Data!$E:$BM,MATCH(yoy!$R$1,Data!$E$1:$BM$1,),)-VLOOKUP(A48,Data!$E:$BM,MATCH(yoy!$R$1,Data!$E$1:$BM$1,),))/VLOOKUP(A48,Data!$E:$BM,MATCH(yoy!$R$1,Data!$E$1:$BM$1,),))+1)^12-1</f>
        <v/>
      </c>
      <c r="S48" s="14">
        <f>(((VLOOKUP(B48,Data!$E:$BM,MATCH(yoy!$S$1,Data!$E$1:$BM$1,),)-VLOOKUP(A48,Data!$E:$BM,MATCH(yoy!$S$1,Data!$E$1:$BM$1,),))/VLOOKUP(A48,Data!$E:$BM,MATCH(yoy!$S$1,Data!$E$1:$BM$1,),))+1)^12-1</f>
        <v/>
      </c>
      <c r="T48" s="14">
        <f>(((VLOOKUP(B48,Data!$E:$BM,MATCH(yoy!$T$1,Data!$E$1:$BM$1,),)-VLOOKUP(A48,Data!$E:$BM,MATCH(yoy!$T$1,Data!$E$1:$BM$1,),))/VLOOKUP(A48,Data!$E:$BM,MATCH(yoy!$T$1,Data!$E$1:$BM$1,),))+1)^12-1</f>
        <v/>
      </c>
      <c r="U48" s="14">
        <f>(((VLOOKUP(B48,Data!$E:$BM,MATCH(yoy!$U$1,Data!$E$1:$BM$1,),)-VLOOKUP(A48,Data!$E:$BM,MATCH(yoy!$U$1,Data!$E$1:$BM$1,),))/VLOOKUP(A48,Data!$E:$BM,MATCH(yoy!$U$1,Data!$E$1:$BM$1,),))+1)^12-1</f>
        <v/>
      </c>
      <c r="V48" s="14">
        <f>(((VLOOKUP(B48,Data!$E:$BM,MATCH(yoy!$V$1,Data!$E$1:$BM$1,),)-VLOOKUP(A48,Data!$E:$BM,MATCH(yoy!$V$1,Data!$E$1:$BM$1,),))/VLOOKUP(A48,Data!$E:$BM,MATCH(yoy!$V$1,Data!$E$1:$BM$1,),))+1)^12-1</f>
        <v/>
      </c>
      <c r="W48" s="14">
        <f>(((VLOOKUP(B48,Data!$E:$BM,MATCH(yoy!$W$1,Data!$E$1:$BM$1,),)-VLOOKUP(A48,Data!$E:$BM,MATCH(yoy!$W$1,Data!$E$1:$BM$1,),))/VLOOKUP(A48,Data!$E:$BM,MATCH(yoy!$W$1,Data!$E$1:$BM$1,),))+1)^12-1</f>
        <v/>
      </c>
      <c r="X48" s="14">
        <f>(((VLOOKUP(B48,Data!$E:$BM,MATCH(yoy!$X$1,Data!$E$1:$BM$1,),)-VLOOKUP(A48,Data!$E:$BM,MATCH(yoy!$X$1,Data!$E$1:$BM$1,),))/VLOOKUP(A48,Data!$E:$BM,MATCH(yoy!$X$1,Data!$E$1:$BM$1,),))+1)^12-1</f>
        <v/>
      </c>
      <c r="Y48" s="14">
        <f>(((VLOOKUP(B48,Data!$E:$BM,MATCH(yoy!$Y$1,Data!$E$1:$BM$1,),)-VLOOKUP(A48,Data!$E:$BM,MATCH(yoy!$Y$1,Data!$E$1:$BM$1,),))/VLOOKUP(A48,Data!$E:$BM,MATCH(yoy!$Y$1,Data!$E$1:$BM$1,),))+1)^12-1</f>
        <v/>
      </c>
      <c r="Z48" s="14">
        <f>(((VLOOKUP(B48,Data!$E:$BM,MATCH(yoy!$Z$1,Data!$E$1:$BM$1,),)-VLOOKUP(A48,Data!$E:$BM,MATCH(yoy!$Z$1,Data!$E$1:$BM$1,),))/VLOOKUP(A48,Data!$E:$BM,MATCH(yoy!$Z$1,Data!$E$1:$BM$1,),))+1)^12-1</f>
        <v/>
      </c>
      <c r="AA48" s="14">
        <f>(((VLOOKUP(B48,Data!$E:$BM,MATCH(yoy!$AA$1,Data!$E$1:$BM$1,),)-VLOOKUP(A48,Data!$E:$BM,MATCH(yoy!$AA$1,Data!$E$1:$BM$1,),))/VLOOKUP(A48,Data!$E:$BM,MATCH(yoy!$AA$1,Data!$E$1:$BM$1,),))+1)^12-1</f>
        <v/>
      </c>
    </row>
    <row r="49" customFormat="1" s="83">
      <c r="A49" s="20">
        <f>DATE(YEAR(B49),MONTH(B49)-1,DAY(B49))</f>
        <v/>
      </c>
      <c r="B49" s="12" t="n">
        <v>43344</v>
      </c>
      <c r="C49" s="14">
        <f>(((VLOOKUP(B49,Data!$E:$BM,MATCH(yoy!$C$1,Data!$E$1:$BM$1,),)-VLOOKUP(A49,Data!$E:$BM,MATCH(yoy!$C$1,Data!$E$1:$BM$1,),))/VLOOKUP(A49,Data!$E:$BM,MATCH(yoy!$C$1,Data!$E$1:$BM$1,),))+1)^12-1</f>
        <v/>
      </c>
      <c r="D49" s="14">
        <f>(((VLOOKUP(B49,Data!$E:$BM,MATCH(yoy!$D$1,Data!$E$1:$BM$1,),)-VLOOKUP(A49,Data!$E:$BM,MATCH(yoy!$D$1,Data!$E$1:$BM$1,),))/VLOOKUP(A49,Data!$E:$BM,MATCH(yoy!$D$1,Data!$E$1:$BM$1,),))+1)^12-1</f>
        <v/>
      </c>
      <c r="E49" s="14">
        <f>(((VLOOKUP(B49,Data!$E:$BM,MATCH(yoy!$E$1,Data!$E$1:$BM$1,),)-VLOOKUP(A49,Data!$E:$BM,MATCH(yoy!$E$1,Data!$E$1:$BM$1,),))/VLOOKUP(A49,Data!$E:$BM,MATCH(yoy!$E$1,Data!$E$1:$BM$1,),))+1)^12-1</f>
        <v/>
      </c>
      <c r="F49" s="14">
        <f>(((VLOOKUP(B49,Data!$E:$BM,MATCH(yoy!$F$1,Data!$E$1:$BM$1,),)-VLOOKUP(A49,Data!$E:$BM,MATCH(yoy!$F$1,Data!$E$1:$BM$1,),))/VLOOKUP(A49,Data!$E:$BM,MATCH(yoy!$F$1,Data!$E$1:$BM$1,),))+1)^12-1</f>
        <v/>
      </c>
      <c r="G49" s="14">
        <f>(((VLOOKUP(B49,Data!$E:$BM,MATCH(yoy!$G$1,Data!$E$1:$BM$1,),)-VLOOKUP(A49,Data!$E:$BM,MATCH(yoy!$G$1,Data!$E$1:$BM$1,),))/VLOOKUP(A49,Data!$E:$BM,MATCH(yoy!$G$1,Data!$E$1:$BM$1,),))+1)^12-1</f>
        <v/>
      </c>
      <c r="H49" s="14">
        <f>(((VLOOKUP(B49,Data!$E:$BM,MATCH(yoy!$H$1,Data!$E$1:$BM$1,),)-VLOOKUP(A49,Data!$E:$BM,MATCH(yoy!$H$1,Data!$E$1:$BM$1,),))/VLOOKUP(A49,Data!$E:$BM,MATCH(yoy!$H$1,Data!$E$1:$BM$1,),))+1)^12-1</f>
        <v/>
      </c>
      <c r="I49" s="14">
        <f>(((VLOOKUP(B49,Data!$E:$BM,MATCH(yoy!$I$1,Data!$E$1:$BM$1,),)-VLOOKUP(A49,Data!$E:$BM,MATCH(yoy!$I$1,Data!$E$1:$BM$1,),))/VLOOKUP(A49,Data!$E:$BM,MATCH(yoy!$I$1,Data!$E$1:$BM$1,),))+1)^12-1</f>
        <v/>
      </c>
      <c r="J49" s="14">
        <f>(((VLOOKUP(B49,Data!$E:$BM,MATCH(yoy!$J$1,Data!$E$1:$BM$1,),)-VLOOKUP(A49,Data!$E:$BM,MATCH(yoy!$J$1,Data!$E$1:$BM$1,),))/VLOOKUP(A49,Data!$E:$BM,MATCH(yoy!$J$1,Data!$E$1:$BM$1,),))+1)^12-1</f>
        <v/>
      </c>
      <c r="K49" s="14">
        <f>(((VLOOKUP(B49,Data!$E:$BM,MATCH(yoy!$K$1,Data!$E$1:$BM$1,),)-VLOOKUP(A49,Data!$E:$BM,MATCH(yoy!$K$1,Data!$E$1:$BM$1,),))/VLOOKUP(A49,Data!$E:$BM,MATCH(yoy!$K$1,Data!$E$1:$BM$1,),))+1)^12-1</f>
        <v/>
      </c>
      <c r="L49" s="14">
        <f>(((VLOOKUP(B49,Data!$E:$BM,MATCH(yoy!$L$1,Data!$E$1:$BM$1,),)-VLOOKUP(A49,Data!$E:$BM,MATCH(yoy!$L$1,Data!$E$1:$BM$1,),))/VLOOKUP(A49,Data!$E:$BM,MATCH(yoy!$L$1,Data!$E$1:$BM$1,),))+1)^12-1</f>
        <v/>
      </c>
      <c r="M49" s="14">
        <f>(((VLOOKUP(B49,Data!$E:$BM,MATCH(yoy!$M$1,Data!$E$1:$BM$1,),)-VLOOKUP(A49,Data!$E:$BM,MATCH(yoy!$M$1,Data!$E$1:$BM$1,),))/VLOOKUP(A49,Data!$E:$BM,MATCH(yoy!$M$1,Data!$E$1:$BM$1,),))+1)^12-1</f>
        <v/>
      </c>
      <c r="N49" s="14">
        <f>(((VLOOKUP(B49,Data!$E:$BM,MATCH(yoy!$N$1,Data!$E$1:$BM$1,),)-VLOOKUP(A49,Data!$E:$BM,MATCH(yoy!$N$1,Data!$E$1:$BM$1,),))/VLOOKUP(A49,Data!$E:$BM,MATCH(yoy!$N$1,Data!$E$1:$BM$1,),))+1)^12-1</f>
        <v/>
      </c>
      <c r="O49" s="14">
        <f>(((VLOOKUP(B49,Data!$E:$BM,MATCH(yoy!$O$1,Data!$E$1:$BM$1,),)-VLOOKUP(A49,Data!$E:$BM,MATCH(yoy!$O$1,Data!$E$1:$BM$1,),))/VLOOKUP(A49,Data!$E:$BM,MATCH(yoy!$O$1,Data!$E$1:$BM$1,),))+1)^12-1</f>
        <v/>
      </c>
      <c r="P49" s="14">
        <f>(((VLOOKUP(B49,Data!$E:$BM,MATCH(yoy!$P$1,Data!$E$1:$BM$1,),)-VLOOKUP(A49,Data!$E:$BM,MATCH(yoy!$P$1,Data!$E$1:$BM$1,),))/VLOOKUP(A49,Data!$E:$BM,MATCH(yoy!$P$1,Data!$E$1:$BM$1,),))+1)^12-1</f>
        <v/>
      </c>
      <c r="Q49" s="14">
        <f>(((VLOOKUP(B49,Data!$E:$BM,MATCH(yoy!$Q$1,Data!$E$1:$BM$1,),)-VLOOKUP(A49,Data!$E:$BM,MATCH(yoy!$Q$1,Data!$E$1:$BM$1,),))/VLOOKUP(A49,Data!$E:$BM,MATCH(yoy!$Q$1,Data!$E$1:$BM$1,),))+1)^12-1</f>
        <v/>
      </c>
      <c r="R49" s="14">
        <f>(((VLOOKUP(B49,Data!$E:$BM,MATCH(yoy!$R$1,Data!$E$1:$BM$1,),)-VLOOKUP(A49,Data!$E:$BM,MATCH(yoy!$R$1,Data!$E$1:$BM$1,),))/VLOOKUP(A49,Data!$E:$BM,MATCH(yoy!$R$1,Data!$E$1:$BM$1,),))+1)^12-1</f>
        <v/>
      </c>
      <c r="S49" s="14">
        <f>(((VLOOKUP(B49,Data!$E:$BM,MATCH(yoy!$S$1,Data!$E$1:$BM$1,),)-VLOOKUP(A49,Data!$E:$BM,MATCH(yoy!$S$1,Data!$E$1:$BM$1,),))/VLOOKUP(A49,Data!$E:$BM,MATCH(yoy!$S$1,Data!$E$1:$BM$1,),))+1)^12-1</f>
        <v/>
      </c>
      <c r="T49" s="14">
        <f>(((VLOOKUP(B49,Data!$E:$BM,MATCH(yoy!$T$1,Data!$E$1:$BM$1,),)-VLOOKUP(A49,Data!$E:$BM,MATCH(yoy!$T$1,Data!$E$1:$BM$1,),))/VLOOKUP(A49,Data!$E:$BM,MATCH(yoy!$T$1,Data!$E$1:$BM$1,),))+1)^12-1</f>
        <v/>
      </c>
      <c r="U49" s="14">
        <f>(((VLOOKUP(B49,Data!$E:$BM,MATCH(yoy!$U$1,Data!$E$1:$BM$1,),)-VLOOKUP(A49,Data!$E:$BM,MATCH(yoy!$U$1,Data!$E$1:$BM$1,),))/VLOOKUP(A49,Data!$E:$BM,MATCH(yoy!$U$1,Data!$E$1:$BM$1,),))+1)^12-1</f>
        <v/>
      </c>
      <c r="V49" s="14">
        <f>(((VLOOKUP(B49,Data!$E:$BM,MATCH(yoy!$V$1,Data!$E$1:$BM$1,),)-VLOOKUP(A49,Data!$E:$BM,MATCH(yoy!$V$1,Data!$E$1:$BM$1,),))/VLOOKUP(A49,Data!$E:$BM,MATCH(yoy!$V$1,Data!$E$1:$BM$1,),))+1)^12-1</f>
        <v/>
      </c>
      <c r="W49" s="14">
        <f>(((VLOOKUP(B49,Data!$E:$BM,MATCH(yoy!$W$1,Data!$E$1:$BM$1,),)-VLOOKUP(A49,Data!$E:$BM,MATCH(yoy!$W$1,Data!$E$1:$BM$1,),))/VLOOKUP(A49,Data!$E:$BM,MATCH(yoy!$W$1,Data!$E$1:$BM$1,),))+1)^12-1</f>
        <v/>
      </c>
      <c r="X49" s="14">
        <f>(((VLOOKUP(B49,Data!$E:$BM,MATCH(yoy!$X$1,Data!$E$1:$BM$1,),)-VLOOKUP(A49,Data!$E:$BM,MATCH(yoy!$X$1,Data!$E$1:$BM$1,),))/VLOOKUP(A49,Data!$E:$BM,MATCH(yoy!$X$1,Data!$E$1:$BM$1,),))+1)^12-1</f>
        <v/>
      </c>
      <c r="Y49" s="14">
        <f>(((VLOOKUP(B49,Data!$E:$BM,MATCH(yoy!$Y$1,Data!$E$1:$BM$1,),)-VLOOKUP(A49,Data!$E:$BM,MATCH(yoy!$Y$1,Data!$E$1:$BM$1,),))/VLOOKUP(A49,Data!$E:$BM,MATCH(yoy!$Y$1,Data!$E$1:$BM$1,),))+1)^12-1</f>
        <v/>
      </c>
      <c r="Z49" s="14">
        <f>(((VLOOKUP(B49,Data!$E:$BM,MATCH(yoy!$Z$1,Data!$E$1:$BM$1,),)-VLOOKUP(A49,Data!$E:$BM,MATCH(yoy!$Z$1,Data!$E$1:$BM$1,),))/VLOOKUP(A49,Data!$E:$BM,MATCH(yoy!$Z$1,Data!$E$1:$BM$1,),))+1)^12-1</f>
        <v/>
      </c>
      <c r="AA49" s="14">
        <f>(((VLOOKUP(B49,Data!$E:$BM,MATCH(yoy!$AA$1,Data!$E$1:$BM$1,),)-VLOOKUP(A49,Data!$E:$BM,MATCH(yoy!$AA$1,Data!$E$1:$BM$1,),))/VLOOKUP(A49,Data!$E:$BM,MATCH(yoy!$AA$1,Data!$E$1:$BM$1,),))+1)^12-1</f>
        <v/>
      </c>
    </row>
    <row r="50" customFormat="1" s="83">
      <c r="A50" s="20">
        <f>DATE(YEAR(B50),MONTH(B50)-1,DAY(B50))</f>
        <v/>
      </c>
      <c r="B50" s="12" t="n">
        <v>43374</v>
      </c>
      <c r="C50" s="14">
        <f>(((VLOOKUP(B50,Data!$E:$BM,MATCH(yoy!$C$1,Data!$E$1:$BM$1,),)-VLOOKUP(A50,Data!$E:$BM,MATCH(yoy!$C$1,Data!$E$1:$BM$1,),))/VLOOKUP(A50,Data!$E:$BM,MATCH(yoy!$C$1,Data!$E$1:$BM$1,),))+1)^12-1</f>
        <v/>
      </c>
      <c r="D50" s="14">
        <f>(((VLOOKUP(B50,Data!$E:$BM,MATCH(yoy!$D$1,Data!$E$1:$BM$1,),)-VLOOKUP(A50,Data!$E:$BM,MATCH(yoy!$D$1,Data!$E$1:$BM$1,),))/VLOOKUP(A50,Data!$E:$BM,MATCH(yoy!$D$1,Data!$E$1:$BM$1,),))+1)^12-1</f>
        <v/>
      </c>
      <c r="E50" s="14">
        <f>(((VLOOKUP(B50,Data!$E:$BM,MATCH(yoy!$E$1,Data!$E$1:$BM$1,),)-VLOOKUP(A50,Data!$E:$BM,MATCH(yoy!$E$1,Data!$E$1:$BM$1,),))/VLOOKUP(A50,Data!$E:$BM,MATCH(yoy!$E$1,Data!$E$1:$BM$1,),))+1)^12-1</f>
        <v/>
      </c>
      <c r="F50" s="14">
        <f>(((VLOOKUP(B50,Data!$E:$BM,MATCH(yoy!$F$1,Data!$E$1:$BM$1,),)-VLOOKUP(A50,Data!$E:$BM,MATCH(yoy!$F$1,Data!$E$1:$BM$1,),))/VLOOKUP(A50,Data!$E:$BM,MATCH(yoy!$F$1,Data!$E$1:$BM$1,),))+1)^12-1</f>
        <v/>
      </c>
      <c r="G50" s="14">
        <f>(((VLOOKUP(B50,Data!$E:$BM,MATCH(yoy!$G$1,Data!$E$1:$BM$1,),)-VLOOKUP(A50,Data!$E:$BM,MATCH(yoy!$G$1,Data!$E$1:$BM$1,),))/VLOOKUP(A50,Data!$E:$BM,MATCH(yoy!$G$1,Data!$E$1:$BM$1,),))+1)^12-1</f>
        <v/>
      </c>
      <c r="H50" s="14">
        <f>(((VLOOKUP(B50,Data!$E:$BM,MATCH(yoy!$H$1,Data!$E$1:$BM$1,),)-VLOOKUP(A50,Data!$E:$BM,MATCH(yoy!$H$1,Data!$E$1:$BM$1,),))/VLOOKUP(A50,Data!$E:$BM,MATCH(yoy!$H$1,Data!$E$1:$BM$1,),))+1)^12-1</f>
        <v/>
      </c>
      <c r="I50" s="14">
        <f>(((VLOOKUP(B50,Data!$E:$BM,MATCH(yoy!$I$1,Data!$E$1:$BM$1,),)-VLOOKUP(A50,Data!$E:$BM,MATCH(yoy!$I$1,Data!$E$1:$BM$1,),))/VLOOKUP(A50,Data!$E:$BM,MATCH(yoy!$I$1,Data!$E$1:$BM$1,),))+1)^12-1</f>
        <v/>
      </c>
      <c r="J50" s="14">
        <f>(((VLOOKUP(B50,Data!$E:$BM,MATCH(yoy!$J$1,Data!$E$1:$BM$1,),)-VLOOKUP(A50,Data!$E:$BM,MATCH(yoy!$J$1,Data!$E$1:$BM$1,),))/VLOOKUP(A50,Data!$E:$BM,MATCH(yoy!$J$1,Data!$E$1:$BM$1,),))+1)^12-1</f>
        <v/>
      </c>
      <c r="K50" s="14">
        <f>(((VLOOKUP(B50,Data!$E:$BM,MATCH(yoy!$K$1,Data!$E$1:$BM$1,),)-VLOOKUP(A50,Data!$E:$BM,MATCH(yoy!$K$1,Data!$E$1:$BM$1,),))/VLOOKUP(A50,Data!$E:$BM,MATCH(yoy!$K$1,Data!$E$1:$BM$1,),))+1)^12-1</f>
        <v/>
      </c>
      <c r="L50" s="14">
        <f>(((VLOOKUP(B50,Data!$E:$BM,MATCH(yoy!$L$1,Data!$E$1:$BM$1,),)-VLOOKUP(A50,Data!$E:$BM,MATCH(yoy!$L$1,Data!$E$1:$BM$1,),))/VLOOKUP(A50,Data!$E:$BM,MATCH(yoy!$L$1,Data!$E$1:$BM$1,),))+1)^12-1</f>
        <v/>
      </c>
      <c r="M50" s="14">
        <f>(((VLOOKUP(B50,Data!$E:$BM,MATCH(yoy!$M$1,Data!$E$1:$BM$1,),)-VLOOKUP(A50,Data!$E:$BM,MATCH(yoy!$M$1,Data!$E$1:$BM$1,),))/VLOOKUP(A50,Data!$E:$BM,MATCH(yoy!$M$1,Data!$E$1:$BM$1,),))+1)^12-1</f>
        <v/>
      </c>
      <c r="N50" s="14">
        <f>(((VLOOKUP(B50,Data!$E:$BM,MATCH(yoy!$N$1,Data!$E$1:$BM$1,),)-VLOOKUP(A50,Data!$E:$BM,MATCH(yoy!$N$1,Data!$E$1:$BM$1,),))/VLOOKUP(A50,Data!$E:$BM,MATCH(yoy!$N$1,Data!$E$1:$BM$1,),))+1)^12-1</f>
        <v/>
      </c>
      <c r="O50" s="14">
        <f>(((VLOOKUP(B50,Data!$E:$BM,MATCH(yoy!$O$1,Data!$E$1:$BM$1,),)-VLOOKUP(A50,Data!$E:$BM,MATCH(yoy!$O$1,Data!$E$1:$BM$1,),))/VLOOKUP(A50,Data!$E:$BM,MATCH(yoy!$O$1,Data!$E$1:$BM$1,),))+1)^12-1</f>
        <v/>
      </c>
      <c r="P50" s="14">
        <f>(((VLOOKUP(B50,Data!$E:$BM,MATCH(yoy!$P$1,Data!$E$1:$BM$1,),)-VLOOKUP(A50,Data!$E:$BM,MATCH(yoy!$P$1,Data!$E$1:$BM$1,),))/VLOOKUP(A50,Data!$E:$BM,MATCH(yoy!$P$1,Data!$E$1:$BM$1,),))+1)^12-1</f>
        <v/>
      </c>
      <c r="Q50" s="14">
        <f>(((VLOOKUP(B50,Data!$E:$BM,MATCH(yoy!$Q$1,Data!$E$1:$BM$1,),)-VLOOKUP(A50,Data!$E:$BM,MATCH(yoy!$Q$1,Data!$E$1:$BM$1,),))/VLOOKUP(A50,Data!$E:$BM,MATCH(yoy!$Q$1,Data!$E$1:$BM$1,),))+1)^12-1</f>
        <v/>
      </c>
      <c r="R50" s="14">
        <f>(((VLOOKUP(B50,Data!$E:$BM,MATCH(yoy!$R$1,Data!$E$1:$BM$1,),)-VLOOKUP(A50,Data!$E:$BM,MATCH(yoy!$R$1,Data!$E$1:$BM$1,),))/VLOOKUP(A50,Data!$E:$BM,MATCH(yoy!$R$1,Data!$E$1:$BM$1,),))+1)^12-1</f>
        <v/>
      </c>
      <c r="S50" s="14">
        <f>(((VLOOKUP(B50,Data!$E:$BM,MATCH(yoy!$S$1,Data!$E$1:$BM$1,),)-VLOOKUP(A50,Data!$E:$BM,MATCH(yoy!$S$1,Data!$E$1:$BM$1,),))/VLOOKUP(A50,Data!$E:$BM,MATCH(yoy!$S$1,Data!$E$1:$BM$1,),))+1)^12-1</f>
        <v/>
      </c>
      <c r="T50" s="14">
        <f>(((VLOOKUP(B50,Data!$E:$BM,MATCH(yoy!$T$1,Data!$E$1:$BM$1,),)-VLOOKUP(A50,Data!$E:$BM,MATCH(yoy!$T$1,Data!$E$1:$BM$1,),))/VLOOKUP(A50,Data!$E:$BM,MATCH(yoy!$T$1,Data!$E$1:$BM$1,),))+1)^12-1</f>
        <v/>
      </c>
      <c r="U50" s="14">
        <f>(((VLOOKUP(B50,Data!$E:$BM,MATCH(yoy!$U$1,Data!$E$1:$BM$1,),)-VLOOKUP(A50,Data!$E:$BM,MATCH(yoy!$U$1,Data!$E$1:$BM$1,),))/VLOOKUP(A50,Data!$E:$BM,MATCH(yoy!$U$1,Data!$E$1:$BM$1,),))+1)^12-1</f>
        <v/>
      </c>
      <c r="V50" s="14">
        <f>(((VLOOKUP(B50,Data!$E:$BM,MATCH(yoy!$V$1,Data!$E$1:$BM$1,),)-VLOOKUP(A50,Data!$E:$BM,MATCH(yoy!$V$1,Data!$E$1:$BM$1,),))/VLOOKUP(A50,Data!$E:$BM,MATCH(yoy!$V$1,Data!$E$1:$BM$1,),))+1)^12-1</f>
        <v/>
      </c>
      <c r="W50" s="14">
        <f>(((VLOOKUP(B50,Data!$E:$BM,MATCH(yoy!$W$1,Data!$E$1:$BM$1,),)-VLOOKUP(A50,Data!$E:$BM,MATCH(yoy!$W$1,Data!$E$1:$BM$1,),))/VLOOKUP(A50,Data!$E:$BM,MATCH(yoy!$W$1,Data!$E$1:$BM$1,),))+1)^12-1</f>
        <v/>
      </c>
      <c r="X50" s="14">
        <f>(((VLOOKUP(B50,Data!$E:$BM,MATCH(yoy!$X$1,Data!$E$1:$BM$1,),)-VLOOKUP(A50,Data!$E:$BM,MATCH(yoy!$X$1,Data!$E$1:$BM$1,),))/VLOOKUP(A50,Data!$E:$BM,MATCH(yoy!$X$1,Data!$E$1:$BM$1,),))+1)^12-1</f>
        <v/>
      </c>
      <c r="Y50" s="14">
        <f>(((VLOOKUP(B50,Data!$E:$BM,MATCH(yoy!$Y$1,Data!$E$1:$BM$1,),)-VLOOKUP(A50,Data!$E:$BM,MATCH(yoy!$Y$1,Data!$E$1:$BM$1,),))/VLOOKUP(A50,Data!$E:$BM,MATCH(yoy!$Y$1,Data!$E$1:$BM$1,),))+1)^12-1</f>
        <v/>
      </c>
      <c r="Z50" s="14">
        <f>(((VLOOKUP(B50,Data!$E:$BM,MATCH(yoy!$Z$1,Data!$E$1:$BM$1,),)-VLOOKUP(A50,Data!$E:$BM,MATCH(yoy!$Z$1,Data!$E$1:$BM$1,),))/VLOOKUP(A50,Data!$E:$BM,MATCH(yoy!$Z$1,Data!$E$1:$BM$1,),))+1)^12-1</f>
        <v/>
      </c>
      <c r="AA50" s="14">
        <f>(((VLOOKUP(B50,Data!$E:$BM,MATCH(yoy!$AA$1,Data!$E$1:$BM$1,),)-VLOOKUP(A50,Data!$E:$BM,MATCH(yoy!$AA$1,Data!$E$1:$BM$1,),))/VLOOKUP(A50,Data!$E:$BM,MATCH(yoy!$AA$1,Data!$E$1:$BM$1,),))+1)^12-1</f>
        <v/>
      </c>
    </row>
    <row r="51" customFormat="1" s="83">
      <c r="A51" s="20">
        <f>DATE(YEAR(B51),MONTH(B51)-1,DAY(B51))</f>
        <v/>
      </c>
      <c r="B51" s="12" t="n">
        <v>43405</v>
      </c>
      <c r="C51" s="14">
        <f>(((VLOOKUP(B51,Data!$E:$BM,MATCH(yoy!$C$1,Data!$E$1:$BM$1,),)-VLOOKUP(A51,Data!$E:$BM,MATCH(yoy!$C$1,Data!$E$1:$BM$1,),))/VLOOKUP(A51,Data!$E:$BM,MATCH(yoy!$C$1,Data!$E$1:$BM$1,),))+1)^12-1</f>
        <v/>
      </c>
      <c r="D51" s="14">
        <f>(((VLOOKUP(B51,Data!$E:$BM,MATCH(yoy!$D$1,Data!$E$1:$BM$1,),)-VLOOKUP(A51,Data!$E:$BM,MATCH(yoy!$D$1,Data!$E$1:$BM$1,),))/VLOOKUP(A51,Data!$E:$BM,MATCH(yoy!$D$1,Data!$E$1:$BM$1,),))+1)^12-1</f>
        <v/>
      </c>
      <c r="E51" s="14">
        <f>(((VLOOKUP(B51,Data!$E:$BM,MATCH(yoy!$E$1,Data!$E$1:$BM$1,),)-VLOOKUP(A51,Data!$E:$BM,MATCH(yoy!$E$1,Data!$E$1:$BM$1,),))/VLOOKUP(A51,Data!$E:$BM,MATCH(yoy!$E$1,Data!$E$1:$BM$1,),))+1)^12-1</f>
        <v/>
      </c>
      <c r="F51" s="14">
        <f>(((VLOOKUP(B51,Data!$E:$BM,MATCH(yoy!$F$1,Data!$E$1:$BM$1,),)-VLOOKUP(A51,Data!$E:$BM,MATCH(yoy!$F$1,Data!$E$1:$BM$1,),))/VLOOKUP(A51,Data!$E:$BM,MATCH(yoy!$F$1,Data!$E$1:$BM$1,),))+1)^12-1</f>
        <v/>
      </c>
      <c r="G51" s="14">
        <f>(((VLOOKUP(B51,Data!$E:$BM,MATCH(yoy!$G$1,Data!$E$1:$BM$1,),)-VLOOKUP(A51,Data!$E:$BM,MATCH(yoy!$G$1,Data!$E$1:$BM$1,),))/VLOOKUP(A51,Data!$E:$BM,MATCH(yoy!$G$1,Data!$E$1:$BM$1,),))+1)^12-1</f>
        <v/>
      </c>
      <c r="H51" s="14">
        <f>(((VLOOKUP(B51,Data!$E:$BM,MATCH(yoy!$H$1,Data!$E$1:$BM$1,),)-VLOOKUP(A51,Data!$E:$BM,MATCH(yoy!$H$1,Data!$E$1:$BM$1,),))/VLOOKUP(A51,Data!$E:$BM,MATCH(yoy!$H$1,Data!$E$1:$BM$1,),))+1)^12-1</f>
        <v/>
      </c>
      <c r="I51" s="14">
        <f>(((VLOOKUP(B51,Data!$E:$BM,MATCH(yoy!$I$1,Data!$E$1:$BM$1,),)-VLOOKUP(A51,Data!$E:$BM,MATCH(yoy!$I$1,Data!$E$1:$BM$1,),))/VLOOKUP(A51,Data!$E:$BM,MATCH(yoy!$I$1,Data!$E$1:$BM$1,),))+1)^12-1</f>
        <v/>
      </c>
      <c r="J51" s="14">
        <f>(((VLOOKUP(B51,Data!$E:$BM,MATCH(yoy!$J$1,Data!$E$1:$BM$1,),)-VLOOKUP(A51,Data!$E:$BM,MATCH(yoy!$J$1,Data!$E$1:$BM$1,),))/VLOOKUP(A51,Data!$E:$BM,MATCH(yoy!$J$1,Data!$E$1:$BM$1,),))+1)^12-1</f>
        <v/>
      </c>
      <c r="K51" s="14">
        <f>(((VLOOKUP(B51,Data!$E:$BM,MATCH(yoy!$K$1,Data!$E$1:$BM$1,),)-VLOOKUP(A51,Data!$E:$BM,MATCH(yoy!$K$1,Data!$E$1:$BM$1,),))/VLOOKUP(A51,Data!$E:$BM,MATCH(yoy!$K$1,Data!$E$1:$BM$1,),))+1)^12-1</f>
        <v/>
      </c>
      <c r="L51" s="14">
        <f>(((VLOOKUP(B51,Data!$E:$BM,MATCH(yoy!$L$1,Data!$E$1:$BM$1,),)-VLOOKUP(A51,Data!$E:$BM,MATCH(yoy!$L$1,Data!$E$1:$BM$1,),))/VLOOKUP(A51,Data!$E:$BM,MATCH(yoy!$L$1,Data!$E$1:$BM$1,),))+1)^12-1</f>
        <v/>
      </c>
      <c r="M51" s="14">
        <f>(((VLOOKUP(B51,Data!$E:$BM,MATCH(yoy!$M$1,Data!$E$1:$BM$1,),)-VLOOKUP(A51,Data!$E:$BM,MATCH(yoy!$M$1,Data!$E$1:$BM$1,),))/VLOOKUP(A51,Data!$E:$BM,MATCH(yoy!$M$1,Data!$E$1:$BM$1,),))+1)^12-1</f>
        <v/>
      </c>
      <c r="N51" s="14">
        <f>(((VLOOKUP(B51,Data!$E:$BM,MATCH(yoy!$N$1,Data!$E$1:$BM$1,),)-VLOOKUP(A51,Data!$E:$BM,MATCH(yoy!$N$1,Data!$E$1:$BM$1,),))/VLOOKUP(A51,Data!$E:$BM,MATCH(yoy!$N$1,Data!$E$1:$BM$1,),))+1)^12-1</f>
        <v/>
      </c>
      <c r="O51" s="14">
        <f>(((VLOOKUP(B51,Data!$E:$BM,MATCH(yoy!$O$1,Data!$E$1:$BM$1,),)-VLOOKUP(A51,Data!$E:$BM,MATCH(yoy!$O$1,Data!$E$1:$BM$1,),))/VLOOKUP(A51,Data!$E:$BM,MATCH(yoy!$O$1,Data!$E$1:$BM$1,),))+1)^12-1</f>
        <v/>
      </c>
      <c r="P51" s="14">
        <f>(((VLOOKUP(B51,Data!$E:$BM,MATCH(yoy!$P$1,Data!$E$1:$BM$1,),)-VLOOKUP(A51,Data!$E:$BM,MATCH(yoy!$P$1,Data!$E$1:$BM$1,),))/VLOOKUP(A51,Data!$E:$BM,MATCH(yoy!$P$1,Data!$E$1:$BM$1,),))+1)^12-1</f>
        <v/>
      </c>
      <c r="Q51" s="14">
        <f>(((VLOOKUP(B51,Data!$E:$BM,MATCH(yoy!$Q$1,Data!$E$1:$BM$1,),)-VLOOKUP(A51,Data!$E:$BM,MATCH(yoy!$Q$1,Data!$E$1:$BM$1,),))/VLOOKUP(A51,Data!$E:$BM,MATCH(yoy!$Q$1,Data!$E$1:$BM$1,),))+1)^12-1</f>
        <v/>
      </c>
      <c r="R51" s="14">
        <f>(((VLOOKUP(B51,Data!$E:$BM,MATCH(yoy!$R$1,Data!$E$1:$BM$1,),)-VLOOKUP(A51,Data!$E:$BM,MATCH(yoy!$R$1,Data!$E$1:$BM$1,),))/VLOOKUP(A51,Data!$E:$BM,MATCH(yoy!$R$1,Data!$E$1:$BM$1,),))+1)^12-1</f>
        <v/>
      </c>
      <c r="S51" s="14">
        <f>(((VLOOKUP(B51,Data!$E:$BM,MATCH(yoy!$S$1,Data!$E$1:$BM$1,),)-VLOOKUP(A51,Data!$E:$BM,MATCH(yoy!$S$1,Data!$E$1:$BM$1,),))/VLOOKUP(A51,Data!$E:$BM,MATCH(yoy!$S$1,Data!$E$1:$BM$1,),))+1)^12-1</f>
        <v/>
      </c>
      <c r="T51" s="14">
        <f>(((VLOOKUP(B51,Data!$E:$BM,MATCH(yoy!$T$1,Data!$E$1:$BM$1,),)-VLOOKUP(A51,Data!$E:$BM,MATCH(yoy!$T$1,Data!$E$1:$BM$1,),))/VLOOKUP(A51,Data!$E:$BM,MATCH(yoy!$T$1,Data!$E$1:$BM$1,),))+1)^12-1</f>
        <v/>
      </c>
      <c r="U51" s="14">
        <f>(((VLOOKUP(B51,Data!$E:$BM,MATCH(yoy!$U$1,Data!$E$1:$BM$1,),)-VLOOKUP(A51,Data!$E:$BM,MATCH(yoy!$U$1,Data!$E$1:$BM$1,),))/VLOOKUP(A51,Data!$E:$BM,MATCH(yoy!$U$1,Data!$E$1:$BM$1,),))+1)^12-1</f>
        <v/>
      </c>
      <c r="V51" s="14">
        <f>(((VLOOKUP(B51,Data!$E:$BM,MATCH(yoy!$V$1,Data!$E$1:$BM$1,),)-VLOOKUP(A51,Data!$E:$BM,MATCH(yoy!$V$1,Data!$E$1:$BM$1,),))/VLOOKUP(A51,Data!$E:$BM,MATCH(yoy!$V$1,Data!$E$1:$BM$1,),))+1)^12-1</f>
        <v/>
      </c>
      <c r="W51" s="14">
        <f>(((VLOOKUP(B51,Data!$E:$BM,MATCH(yoy!$W$1,Data!$E$1:$BM$1,),)-VLOOKUP(A51,Data!$E:$BM,MATCH(yoy!$W$1,Data!$E$1:$BM$1,),))/VLOOKUP(A51,Data!$E:$BM,MATCH(yoy!$W$1,Data!$E$1:$BM$1,),))+1)^12-1</f>
        <v/>
      </c>
      <c r="X51" s="14">
        <f>(((VLOOKUP(B51,Data!$E:$BM,MATCH(yoy!$X$1,Data!$E$1:$BM$1,),)-VLOOKUP(A51,Data!$E:$BM,MATCH(yoy!$X$1,Data!$E$1:$BM$1,),))/VLOOKUP(A51,Data!$E:$BM,MATCH(yoy!$X$1,Data!$E$1:$BM$1,),))+1)^12-1</f>
        <v/>
      </c>
      <c r="Y51" s="14">
        <f>(((VLOOKUP(B51,Data!$E:$BM,MATCH(yoy!$Y$1,Data!$E$1:$BM$1,),)-VLOOKUP(A51,Data!$E:$BM,MATCH(yoy!$Y$1,Data!$E$1:$BM$1,),))/VLOOKUP(A51,Data!$E:$BM,MATCH(yoy!$Y$1,Data!$E$1:$BM$1,),))+1)^12-1</f>
        <v/>
      </c>
      <c r="Z51" s="14">
        <f>(((VLOOKUP(B51,Data!$E:$BM,MATCH(yoy!$Z$1,Data!$E$1:$BM$1,),)-VLOOKUP(A51,Data!$E:$BM,MATCH(yoy!$Z$1,Data!$E$1:$BM$1,),))/VLOOKUP(A51,Data!$E:$BM,MATCH(yoy!$Z$1,Data!$E$1:$BM$1,),))+1)^12-1</f>
        <v/>
      </c>
      <c r="AA51" s="14">
        <f>(((VLOOKUP(B51,Data!$E:$BM,MATCH(yoy!$AA$1,Data!$E$1:$BM$1,),)-VLOOKUP(A51,Data!$E:$BM,MATCH(yoy!$AA$1,Data!$E$1:$BM$1,),))/VLOOKUP(A51,Data!$E:$BM,MATCH(yoy!$AA$1,Data!$E$1:$BM$1,),))+1)^12-1</f>
        <v/>
      </c>
    </row>
    <row r="52" customFormat="1" s="83">
      <c r="A52" s="20">
        <f>DATE(YEAR(B52),MONTH(B52)-1,DAY(B52))</f>
        <v/>
      </c>
      <c r="B52" s="12" t="n">
        <v>43435</v>
      </c>
      <c r="C52" s="14">
        <f>(((VLOOKUP(B52,Data!$E:$BM,MATCH(yoy!$C$1,Data!$E$1:$BM$1,),)-VLOOKUP(A52,Data!$E:$BM,MATCH(yoy!$C$1,Data!$E$1:$BM$1,),))/VLOOKUP(A52,Data!$E:$BM,MATCH(yoy!$C$1,Data!$E$1:$BM$1,),))+1)^12-1</f>
        <v/>
      </c>
      <c r="D52" s="14">
        <f>(((VLOOKUP(B52,Data!$E:$BM,MATCH(yoy!$D$1,Data!$E$1:$BM$1,),)-VLOOKUP(A52,Data!$E:$BM,MATCH(yoy!$D$1,Data!$E$1:$BM$1,),))/VLOOKUP(A52,Data!$E:$BM,MATCH(yoy!$D$1,Data!$E$1:$BM$1,),))+1)^12-1</f>
        <v/>
      </c>
      <c r="E52" s="14">
        <f>(((VLOOKUP(B52,Data!$E:$BM,MATCH(yoy!$E$1,Data!$E$1:$BM$1,),)-VLOOKUP(A52,Data!$E:$BM,MATCH(yoy!$E$1,Data!$E$1:$BM$1,),))/VLOOKUP(A52,Data!$E:$BM,MATCH(yoy!$E$1,Data!$E$1:$BM$1,),))+1)^12-1</f>
        <v/>
      </c>
      <c r="F52" s="14">
        <f>(((VLOOKUP(B52,Data!$E:$BM,MATCH(yoy!$F$1,Data!$E$1:$BM$1,),)-VLOOKUP(A52,Data!$E:$BM,MATCH(yoy!$F$1,Data!$E$1:$BM$1,),))/VLOOKUP(A52,Data!$E:$BM,MATCH(yoy!$F$1,Data!$E$1:$BM$1,),))+1)^12-1</f>
        <v/>
      </c>
      <c r="G52" s="14">
        <f>(((VLOOKUP(B52,Data!$E:$BM,MATCH(yoy!$G$1,Data!$E$1:$BM$1,),)-VLOOKUP(A52,Data!$E:$BM,MATCH(yoy!$G$1,Data!$E$1:$BM$1,),))/VLOOKUP(A52,Data!$E:$BM,MATCH(yoy!$G$1,Data!$E$1:$BM$1,),))+1)^12-1</f>
        <v/>
      </c>
      <c r="H52" s="14">
        <f>(((VLOOKUP(B52,Data!$E:$BM,MATCH(yoy!$H$1,Data!$E$1:$BM$1,),)-VLOOKUP(A52,Data!$E:$BM,MATCH(yoy!$H$1,Data!$E$1:$BM$1,),))/VLOOKUP(A52,Data!$E:$BM,MATCH(yoy!$H$1,Data!$E$1:$BM$1,),))+1)^12-1</f>
        <v/>
      </c>
      <c r="I52" s="14">
        <f>(((VLOOKUP(B52,Data!$E:$BM,MATCH(yoy!$I$1,Data!$E$1:$BM$1,),)-VLOOKUP(A52,Data!$E:$BM,MATCH(yoy!$I$1,Data!$E$1:$BM$1,),))/VLOOKUP(A52,Data!$E:$BM,MATCH(yoy!$I$1,Data!$E$1:$BM$1,),))+1)^12-1</f>
        <v/>
      </c>
      <c r="J52" s="14">
        <f>(((VLOOKUP(B52,Data!$E:$BM,MATCH(yoy!$J$1,Data!$E$1:$BM$1,),)-VLOOKUP(A52,Data!$E:$BM,MATCH(yoy!$J$1,Data!$E$1:$BM$1,),))/VLOOKUP(A52,Data!$E:$BM,MATCH(yoy!$J$1,Data!$E$1:$BM$1,),))+1)^12-1</f>
        <v/>
      </c>
      <c r="K52" s="14">
        <f>(((VLOOKUP(B52,Data!$E:$BM,MATCH(yoy!$K$1,Data!$E$1:$BM$1,),)-VLOOKUP(A52,Data!$E:$BM,MATCH(yoy!$K$1,Data!$E$1:$BM$1,),))/VLOOKUP(A52,Data!$E:$BM,MATCH(yoy!$K$1,Data!$E$1:$BM$1,),))+1)^12-1</f>
        <v/>
      </c>
      <c r="L52" s="14">
        <f>(((VLOOKUP(B52,Data!$E:$BM,MATCH(yoy!$L$1,Data!$E$1:$BM$1,),)-VLOOKUP(A52,Data!$E:$BM,MATCH(yoy!$L$1,Data!$E$1:$BM$1,),))/VLOOKUP(A52,Data!$E:$BM,MATCH(yoy!$L$1,Data!$E$1:$BM$1,),))+1)^12-1</f>
        <v/>
      </c>
      <c r="M52" s="14">
        <f>(((VLOOKUP(B52,Data!$E:$BM,MATCH(yoy!$M$1,Data!$E$1:$BM$1,),)-VLOOKUP(A52,Data!$E:$BM,MATCH(yoy!$M$1,Data!$E$1:$BM$1,),))/VLOOKUP(A52,Data!$E:$BM,MATCH(yoy!$M$1,Data!$E$1:$BM$1,),))+1)^12-1</f>
        <v/>
      </c>
      <c r="N52" s="14">
        <f>(((VLOOKUP(B52,Data!$E:$BM,MATCH(yoy!$N$1,Data!$E$1:$BM$1,),)-VLOOKUP(A52,Data!$E:$BM,MATCH(yoy!$N$1,Data!$E$1:$BM$1,),))/VLOOKUP(A52,Data!$E:$BM,MATCH(yoy!$N$1,Data!$E$1:$BM$1,),))+1)^12-1</f>
        <v/>
      </c>
      <c r="O52" s="14">
        <f>(((VLOOKUP(B52,Data!$E:$BM,MATCH(yoy!$O$1,Data!$E$1:$BM$1,),)-VLOOKUP(A52,Data!$E:$BM,MATCH(yoy!$O$1,Data!$E$1:$BM$1,),))/VLOOKUP(A52,Data!$E:$BM,MATCH(yoy!$O$1,Data!$E$1:$BM$1,),))+1)^12-1</f>
        <v/>
      </c>
      <c r="P52" s="14">
        <f>(((VLOOKUP(B52,Data!$E:$BM,MATCH(yoy!$P$1,Data!$E$1:$BM$1,),)-VLOOKUP(A52,Data!$E:$BM,MATCH(yoy!$P$1,Data!$E$1:$BM$1,),))/VLOOKUP(A52,Data!$E:$BM,MATCH(yoy!$P$1,Data!$E$1:$BM$1,),))+1)^12-1</f>
        <v/>
      </c>
      <c r="Q52" s="14">
        <f>(((VLOOKUP(B52,Data!$E:$BM,MATCH(yoy!$Q$1,Data!$E$1:$BM$1,),)-VLOOKUP(A52,Data!$E:$BM,MATCH(yoy!$Q$1,Data!$E$1:$BM$1,),))/VLOOKUP(A52,Data!$E:$BM,MATCH(yoy!$Q$1,Data!$E$1:$BM$1,),))+1)^12-1</f>
        <v/>
      </c>
      <c r="R52" s="14">
        <f>(((VLOOKUP(B52,Data!$E:$BM,MATCH(yoy!$R$1,Data!$E$1:$BM$1,),)-VLOOKUP(A52,Data!$E:$BM,MATCH(yoy!$R$1,Data!$E$1:$BM$1,),))/VLOOKUP(A52,Data!$E:$BM,MATCH(yoy!$R$1,Data!$E$1:$BM$1,),))+1)^12-1</f>
        <v/>
      </c>
      <c r="S52" s="14">
        <f>(((VLOOKUP(B52,Data!$E:$BM,MATCH(yoy!$S$1,Data!$E$1:$BM$1,),)-VLOOKUP(A52,Data!$E:$BM,MATCH(yoy!$S$1,Data!$E$1:$BM$1,),))/VLOOKUP(A52,Data!$E:$BM,MATCH(yoy!$S$1,Data!$E$1:$BM$1,),))+1)^12-1</f>
        <v/>
      </c>
      <c r="T52" s="14">
        <f>(((VLOOKUP(B52,Data!$E:$BM,MATCH(yoy!$T$1,Data!$E$1:$BM$1,),)-VLOOKUP(A52,Data!$E:$BM,MATCH(yoy!$T$1,Data!$E$1:$BM$1,),))/VLOOKUP(A52,Data!$E:$BM,MATCH(yoy!$T$1,Data!$E$1:$BM$1,),))+1)^12-1</f>
        <v/>
      </c>
      <c r="U52" s="14">
        <f>(((VLOOKUP(B52,Data!$E:$BM,MATCH(yoy!$U$1,Data!$E$1:$BM$1,),)-VLOOKUP(A52,Data!$E:$BM,MATCH(yoy!$U$1,Data!$E$1:$BM$1,),))/VLOOKUP(A52,Data!$E:$BM,MATCH(yoy!$U$1,Data!$E$1:$BM$1,),))+1)^12-1</f>
        <v/>
      </c>
      <c r="V52" s="14">
        <f>(((VLOOKUP(B52,Data!$E:$BM,MATCH(yoy!$V$1,Data!$E$1:$BM$1,),)-VLOOKUP(A52,Data!$E:$BM,MATCH(yoy!$V$1,Data!$E$1:$BM$1,),))/VLOOKUP(A52,Data!$E:$BM,MATCH(yoy!$V$1,Data!$E$1:$BM$1,),))+1)^12-1</f>
        <v/>
      </c>
      <c r="W52" s="14">
        <f>(((VLOOKUP(B52,Data!$E:$BM,MATCH(yoy!$W$1,Data!$E$1:$BM$1,),)-VLOOKUP(A52,Data!$E:$BM,MATCH(yoy!$W$1,Data!$E$1:$BM$1,),))/VLOOKUP(A52,Data!$E:$BM,MATCH(yoy!$W$1,Data!$E$1:$BM$1,),))+1)^12-1</f>
        <v/>
      </c>
      <c r="X52" s="14">
        <f>(((VLOOKUP(B52,Data!$E:$BM,MATCH(yoy!$X$1,Data!$E$1:$BM$1,),)-VLOOKUP(A52,Data!$E:$BM,MATCH(yoy!$X$1,Data!$E$1:$BM$1,),))/VLOOKUP(A52,Data!$E:$BM,MATCH(yoy!$X$1,Data!$E$1:$BM$1,),))+1)^12-1</f>
        <v/>
      </c>
      <c r="Y52" s="14">
        <f>(((VLOOKUP(B52,Data!$E:$BM,MATCH(yoy!$Y$1,Data!$E$1:$BM$1,),)-VLOOKUP(A52,Data!$E:$BM,MATCH(yoy!$Y$1,Data!$E$1:$BM$1,),))/VLOOKUP(A52,Data!$E:$BM,MATCH(yoy!$Y$1,Data!$E$1:$BM$1,),))+1)^12-1</f>
        <v/>
      </c>
      <c r="Z52" s="14">
        <f>(((VLOOKUP(B52,Data!$E:$BM,MATCH(yoy!$Z$1,Data!$E$1:$BM$1,),)-VLOOKUP(A52,Data!$E:$BM,MATCH(yoy!$Z$1,Data!$E$1:$BM$1,),))/VLOOKUP(A52,Data!$E:$BM,MATCH(yoy!$Z$1,Data!$E$1:$BM$1,),))+1)^12-1</f>
        <v/>
      </c>
      <c r="AA52" s="14">
        <f>(((VLOOKUP(B52,Data!$E:$BM,MATCH(yoy!$AA$1,Data!$E$1:$BM$1,),)-VLOOKUP(A52,Data!$E:$BM,MATCH(yoy!$AA$1,Data!$E$1:$BM$1,),))/VLOOKUP(A52,Data!$E:$BM,MATCH(yoy!$AA$1,Data!$E$1:$BM$1,),))+1)^12-1</f>
        <v/>
      </c>
    </row>
    <row r="53" customFormat="1" s="83">
      <c r="A53" s="20">
        <f>DATE(YEAR(B53),MONTH(B53)-1,DAY(B53))</f>
        <v/>
      </c>
      <c r="B53" s="12" t="n">
        <v>43466</v>
      </c>
      <c r="C53" s="14">
        <f>(((VLOOKUP(B53,Data!$E:$BM,MATCH(yoy!$C$1,Data!$E$1:$BM$1,),)-VLOOKUP(A53,Data!$E:$BM,MATCH(yoy!$C$1,Data!$E$1:$BM$1,),))/VLOOKUP(A53,Data!$E:$BM,MATCH(yoy!$C$1,Data!$E$1:$BM$1,),))+1)^12-1</f>
        <v/>
      </c>
      <c r="D53" s="14">
        <f>(((VLOOKUP(B53,Data!$E:$BM,MATCH(yoy!$D$1,Data!$E$1:$BM$1,),)-VLOOKUP(A53,Data!$E:$BM,MATCH(yoy!$D$1,Data!$E$1:$BM$1,),))/VLOOKUP(A53,Data!$E:$BM,MATCH(yoy!$D$1,Data!$E$1:$BM$1,),))+1)^12-1</f>
        <v/>
      </c>
      <c r="E53" s="14" t="n"/>
      <c r="F53" s="14">
        <f>(((VLOOKUP(B53,Data!$E:$BM,MATCH(yoy!$F$1,Data!$E$1:$BM$1,),)-VLOOKUP(A53,Data!$E:$BM,MATCH(yoy!$F$1,Data!$E$1:$BM$1,),))/VLOOKUP(A53,Data!$E:$BM,MATCH(yoy!$F$1,Data!$E$1:$BM$1,),))+1)^12-1</f>
        <v/>
      </c>
      <c r="G53" s="14">
        <f>(((VLOOKUP(B53,Data!$E:$BM,MATCH(yoy!$G$1,Data!$E$1:$BM$1,),)-VLOOKUP(A53,Data!$E:$BM,MATCH(yoy!$G$1,Data!$E$1:$BM$1,),))/VLOOKUP(A53,Data!$E:$BM,MATCH(yoy!$G$1,Data!$E$1:$BM$1,),))+1)^12-1</f>
        <v/>
      </c>
      <c r="H53" s="14">
        <f>(((VLOOKUP(B53,Data!$E:$BM,MATCH(yoy!$H$1,Data!$E$1:$BM$1,),)-VLOOKUP(A53,Data!$E:$BM,MATCH(yoy!$H$1,Data!$E$1:$BM$1,),))/VLOOKUP(A53,Data!$E:$BM,MATCH(yoy!$H$1,Data!$E$1:$BM$1,),))+1)^12-1</f>
        <v/>
      </c>
      <c r="I53" s="14" t="n"/>
      <c r="J53" s="14" t="n"/>
      <c r="K53" s="14">
        <f>(((VLOOKUP(B53,Data!$E:$BM,MATCH(yoy!$K$1,Data!$E$1:$BM$1,),)-VLOOKUP(A53,Data!$E:$BM,MATCH(yoy!$K$1,Data!$E$1:$BM$1,),))/VLOOKUP(A53,Data!$E:$BM,MATCH(yoy!$K$1,Data!$E$1:$BM$1,),))+1)^12-1</f>
        <v/>
      </c>
      <c r="L53" s="14" t="n"/>
      <c r="M53" s="14" t="n"/>
      <c r="N53" s="14" t="n"/>
      <c r="O53" s="14" t="n"/>
      <c r="P53" s="14">
        <f>(((VLOOKUP(B53,Data!$E:$BM,MATCH(yoy!$P$1,Data!$E$1:$BM$1,),)-VLOOKUP(A53,Data!$E:$BM,MATCH(yoy!$P$1,Data!$E$1:$BM$1,),))/VLOOKUP(A53,Data!$E:$BM,MATCH(yoy!$P$1,Data!$E$1:$BM$1,),))+1)^12-1</f>
        <v/>
      </c>
      <c r="Q53" s="14">
        <f>(((VLOOKUP(B53,Data!$E:$BM,MATCH(yoy!$Q$1,Data!$E$1:$BM$1,),)-VLOOKUP(A53,Data!$E:$BM,MATCH(yoy!$Q$1,Data!$E$1:$BM$1,),))/VLOOKUP(A53,Data!$E:$BM,MATCH(yoy!$Q$1,Data!$E$1:$BM$1,),))+1)^12-1</f>
        <v/>
      </c>
      <c r="R53" s="14" t="n"/>
      <c r="S53" s="14">
        <f>(((VLOOKUP(B53,Data!$E:$BM,MATCH(yoy!$S$1,Data!$E$1:$BM$1,),)-VLOOKUP(A53,Data!$E:$BM,MATCH(yoy!$S$1,Data!$E$1:$BM$1,),))/VLOOKUP(A53,Data!$E:$BM,MATCH(yoy!$S$1,Data!$E$1:$BM$1,),))+1)^12-1</f>
        <v/>
      </c>
      <c r="T53" s="14" t="n"/>
      <c r="U53" s="14" t="n"/>
      <c r="V53" s="14">
        <f>(((VLOOKUP(B53,Data!$E:$BM,MATCH(yoy!$V$1,Data!$E$1:$BM$1,),)-VLOOKUP(A53,Data!$E:$BM,MATCH(yoy!$V$1,Data!$E$1:$BM$1,),))/VLOOKUP(A53,Data!$E:$BM,MATCH(yoy!$V$1,Data!$E$1:$BM$1,),))+1)^12-1</f>
        <v/>
      </c>
      <c r="W53" s="14" t="n"/>
      <c r="X53" s="14">
        <f>(((VLOOKUP(B53,Data!$E:$BM,MATCH(yoy!$X$1,Data!$E$1:$BM$1,),)-VLOOKUP(A53,Data!$E:$BM,MATCH(yoy!$X$1,Data!$E$1:$BM$1,),))/VLOOKUP(A53,Data!$E:$BM,MATCH(yoy!$X$1,Data!$E$1:$BM$1,),))+1)^12-1</f>
        <v/>
      </c>
      <c r="Y53" s="14" t="n"/>
      <c r="Z53" s="14">
        <f>(((VLOOKUP(B53,Data!$E:$BM,MATCH(yoy!$Z$1,Data!$E$1:$BM$1,),)-VLOOKUP(A53,Data!$E:$BM,MATCH(yoy!$Z$1,Data!$E$1:$BM$1,),))/VLOOKUP(A53,Data!$E:$BM,MATCH(yoy!$Z$1,Data!$E$1:$BM$1,),))+1)^12-1</f>
        <v/>
      </c>
      <c r="AA53" s="14" t="n"/>
    </row>
    <row r="54" customFormat="1" s="83">
      <c r="A54" s="20">
        <f>DATE(YEAR(B54),MONTH(B54)-1,DAY(B54))</f>
        <v/>
      </c>
      <c r="B54" s="12" t="n">
        <v>43497</v>
      </c>
      <c r="C54" s="14">
        <f>(((VLOOKUP(B54,Data!$E:$BM,MATCH(yoy!$C$1,Data!$E$1:$BM$1,),)-VLOOKUP(A54,Data!$E:$BM,MATCH(yoy!$C$1,Data!$E$1:$BM$1,),))/VLOOKUP(A54,Data!$E:$BM,MATCH(yoy!$C$1,Data!$E$1:$BM$1,),))+1)^12-1</f>
        <v/>
      </c>
      <c r="D54" s="14">
        <f>(((VLOOKUP(B54,Data!$E:$BM,MATCH(yoy!$D$1,Data!$E$1:$BM$1,),)-VLOOKUP(A54,Data!$E:$BM,MATCH(yoy!$D$1,Data!$E$1:$BM$1,),))/VLOOKUP(A54,Data!$E:$BM,MATCH(yoy!$D$1,Data!$E$1:$BM$1,),))+1)^12-1</f>
        <v/>
      </c>
      <c r="E54" s="14" t="n"/>
      <c r="F54" s="14">
        <f>(((VLOOKUP(B54,Data!$E:$BM,MATCH(yoy!$F$1,Data!$E$1:$BM$1,),)-VLOOKUP(A54,Data!$E:$BM,MATCH(yoy!$F$1,Data!$E$1:$BM$1,),))/VLOOKUP(A54,Data!$E:$BM,MATCH(yoy!$F$1,Data!$E$1:$BM$1,),))+1)^12-1</f>
        <v/>
      </c>
      <c r="G54" s="14">
        <f>(((VLOOKUP(B54,Data!$E:$BM,MATCH(yoy!$G$1,Data!$E$1:$BM$1,),)-VLOOKUP(A54,Data!$E:$BM,MATCH(yoy!$G$1,Data!$E$1:$BM$1,),))/VLOOKUP(A54,Data!$E:$BM,MATCH(yoy!$G$1,Data!$E$1:$BM$1,),))+1)^12-1</f>
        <v/>
      </c>
      <c r="H54" s="14">
        <f>(((VLOOKUP(B54,Data!$E:$BM,MATCH(yoy!$H$1,Data!$E$1:$BM$1,),)-VLOOKUP(A54,Data!$E:$BM,MATCH(yoy!$H$1,Data!$E$1:$BM$1,),))/VLOOKUP(A54,Data!$E:$BM,MATCH(yoy!$H$1,Data!$E$1:$BM$1,),))+1)^12-1</f>
        <v/>
      </c>
      <c r="I54" s="14" t="n"/>
      <c r="J54" s="14" t="n"/>
      <c r="K54" s="14">
        <f>(((VLOOKUP(B54,Data!$E:$BM,MATCH(yoy!$K$1,Data!$E$1:$BM$1,),)-VLOOKUP(A54,Data!$E:$BM,MATCH(yoy!$K$1,Data!$E$1:$BM$1,),))/VLOOKUP(A54,Data!$E:$BM,MATCH(yoy!$K$1,Data!$E$1:$BM$1,),))+1)^12-1</f>
        <v/>
      </c>
      <c r="L54" s="14" t="n"/>
      <c r="M54" s="14" t="n"/>
      <c r="N54" s="14" t="n"/>
      <c r="O54" s="14" t="n"/>
      <c r="P54" s="14">
        <f>(((VLOOKUP(B54,Data!$E:$BM,MATCH(yoy!$P$1,Data!$E$1:$BM$1,),)-VLOOKUP(A54,Data!$E:$BM,MATCH(yoy!$P$1,Data!$E$1:$BM$1,),))/VLOOKUP(A54,Data!$E:$BM,MATCH(yoy!$P$1,Data!$E$1:$BM$1,),))+1)^12-1</f>
        <v/>
      </c>
      <c r="Q54" s="14">
        <f>(((VLOOKUP(B54,Data!$E:$BM,MATCH(yoy!$Q$1,Data!$E$1:$BM$1,),)-VLOOKUP(A54,Data!$E:$BM,MATCH(yoy!$Q$1,Data!$E$1:$BM$1,),))/VLOOKUP(A54,Data!$E:$BM,MATCH(yoy!$Q$1,Data!$E$1:$BM$1,),))+1)^12-1</f>
        <v/>
      </c>
      <c r="R54" s="14" t="n"/>
      <c r="S54" s="14">
        <f>(((VLOOKUP(B54,Data!$E:$BM,MATCH(yoy!$S$1,Data!$E$1:$BM$1,),)-VLOOKUP(A54,Data!$E:$BM,MATCH(yoy!$S$1,Data!$E$1:$BM$1,),))/VLOOKUP(A54,Data!$E:$BM,MATCH(yoy!$S$1,Data!$E$1:$BM$1,),))+1)^12-1</f>
        <v/>
      </c>
      <c r="T54" s="14" t="n"/>
      <c r="U54" s="14" t="n"/>
      <c r="V54" s="14">
        <f>(((VLOOKUP(B54,Data!$E:$BM,MATCH(yoy!$V$1,Data!$E$1:$BM$1,),)-VLOOKUP(A54,Data!$E:$BM,MATCH(yoy!$V$1,Data!$E$1:$BM$1,),))/VLOOKUP(A54,Data!$E:$BM,MATCH(yoy!$V$1,Data!$E$1:$BM$1,),))+1)^12-1</f>
        <v/>
      </c>
      <c r="W54" s="14" t="n"/>
      <c r="X54" s="14">
        <f>(((VLOOKUP(B54,Data!$E:$BM,MATCH(yoy!$X$1,Data!$E$1:$BM$1,),)-VLOOKUP(A54,Data!$E:$BM,MATCH(yoy!$X$1,Data!$E$1:$BM$1,),))/VLOOKUP(A54,Data!$E:$BM,MATCH(yoy!$X$1,Data!$E$1:$BM$1,),))+1)^12-1</f>
        <v/>
      </c>
      <c r="Y54" s="14" t="n"/>
      <c r="Z54" s="14">
        <f>(((VLOOKUP(B54,Data!$E:$BM,MATCH(yoy!$Z$1,Data!$E$1:$BM$1,),)-VLOOKUP(A54,Data!$E:$BM,MATCH(yoy!$Z$1,Data!$E$1:$BM$1,),))/VLOOKUP(A54,Data!$E:$BM,MATCH(yoy!$Z$1,Data!$E$1:$BM$1,),))+1)^12-1</f>
        <v/>
      </c>
      <c r="AA54" s="14" t="n"/>
    </row>
    <row r="55" customFormat="1" s="83">
      <c r="A55" s="20">
        <f>DATE(YEAR(B55),MONTH(B55)-1,DAY(B55))</f>
        <v/>
      </c>
      <c r="B55" s="12" t="n">
        <v>43525</v>
      </c>
      <c r="C55" s="14">
        <f>(((VLOOKUP(B55,Data!$E:$BM,MATCH(yoy!$C$1,Data!$E$1:$BM$1,),)-VLOOKUP(A55,Data!$E:$BM,MATCH(yoy!$C$1,Data!$E$1:$BM$1,),))/VLOOKUP(A55,Data!$E:$BM,MATCH(yoy!$C$1,Data!$E$1:$BM$1,),))+1)^12-1</f>
        <v/>
      </c>
      <c r="D55" s="14">
        <f>(((VLOOKUP(B55,Data!$E:$BM,MATCH(yoy!$D$1,Data!$E$1:$BM$1,),)-VLOOKUP(A55,Data!$E:$BM,MATCH(yoy!$D$1,Data!$E$1:$BM$1,),))/VLOOKUP(A55,Data!$E:$BM,MATCH(yoy!$D$1,Data!$E$1:$BM$1,),))+1)^12-1</f>
        <v/>
      </c>
      <c r="E55" s="14" t="n"/>
      <c r="F55" s="14">
        <f>(((VLOOKUP(B55,Data!$E:$BM,MATCH(yoy!$F$1,Data!$E$1:$BM$1,),)-VLOOKUP(A55,Data!$E:$BM,MATCH(yoy!$F$1,Data!$E$1:$BM$1,),))/VLOOKUP(A55,Data!$E:$BM,MATCH(yoy!$F$1,Data!$E$1:$BM$1,),))+1)^12-1</f>
        <v/>
      </c>
      <c r="G55" s="14">
        <f>(((VLOOKUP(B55,Data!$E:$BM,MATCH(yoy!$G$1,Data!$E$1:$BM$1,),)-VLOOKUP(A55,Data!$E:$BM,MATCH(yoy!$G$1,Data!$E$1:$BM$1,),))/VLOOKUP(A55,Data!$E:$BM,MATCH(yoy!$G$1,Data!$E$1:$BM$1,),))+1)^12-1</f>
        <v/>
      </c>
      <c r="H55" s="14">
        <f>(((VLOOKUP(B55,Data!$E:$BM,MATCH(yoy!$H$1,Data!$E$1:$BM$1,),)-VLOOKUP(A55,Data!$E:$BM,MATCH(yoy!$H$1,Data!$E$1:$BM$1,),))/VLOOKUP(A55,Data!$E:$BM,MATCH(yoy!$H$1,Data!$E$1:$BM$1,),))+1)^12-1</f>
        <v/>
      </c>
      <c r="I55" s="14" t="n"/>
      <c r="J55" s="14" t="n"/>
      <c r="K55" s="14">
        <f>(((VLOOKUP(B55,Data!$E:$BM,MATCH(yoy!$K$1,Data!$E$1:$BM$1,),)-VLOOKUP(A55,Data!$E:$BM,MATCH(yoy!$K$1,Data!$E$1:$BM$1,),))/VLOOKUP(A55,Data!$E:$BM,MATCH(yoy!$K$1,Data!$E$1:$BM$1,),))+1)^12-1</f>
        <v/>
      </c>
      <c r="L55" s="14" t="n"/>
      <c r="M55" s="14" t="n"/>
      <c r="N55" s="14" t="n"/>
      <c r="O55" s="14" t="n"/>
      <c r="P55" s="14">
        <f>(((VLOOKUP(B55,Data!$E:$BM,MATCH(yoy!$P$1,Data!$E$1:$BM$1,),)-VLOOKUP(A55,Data!$E:$BM,MATCH(yoy!$P$1,Data!$E$1:$BM$1,),))/VLOOKUP(A55,Data!$E:$BM,MATCH(yoy!$P$1,Data!$E$1:$BM$1,),))+1)^12-1</f>
        <v/>
      </c>
      <c r="Q55" s="14">
        <f>(((VLOOKUP(B55,Data!$E:$BM,MATCH(yoy!$Q$1,Data!$E$1:$BM$1,),)-VLOOKUP(A55,Data!$E:$BM,MATCH(yoy!$Q$1,Data!$E$1:$BM$1,),))/VLOOKUP(A55,Data!$E:$BM,MATCH(yoy!$Q$1,Data!$E$1:$BM$1,),))+1)^12-1</f>
        <v/>
      </c>
      <c r="R55" s="14" t="n"/>
      <c r="S55" s="14">
        <f>(((VLOOKUP(B55,Data!$E:$BM,MATCH(yoy!$S$1,Data!$E$1:$BM$1,),)-VLOOKUP(A55,Data!$E:$BM,MATCH(yoy!$S$1,Data!$E$1:$BM$1,),))/VLOOKUP(A55,Data!$E:$BM,MATCH(yoy!$S$1,Data!$E$1:$BM$1,),))+1)^12-1</f>
        <v/>
      </c>
      <c r="T55" s="14" t="n"/>
      <c r="U55" s="14" t="n"/>
      <c r="V55" s="14">
        <f>(((VLOOKUP(B55,Data!$E:$BM,MATCH(yoy!$V$1,Data!$E$1:$BM$1,),)-VLOOKUP(A55,Data!$E:$BM,MATCH(yoy!$V$1,Data!$E$1:$BM$1,),))/VLOOKUP(A55,Data!$E:$BM,MATCH(yoy!$V$1,Data!$E$1:$BM$1,),))+1)^12-1</f>
        <v/>
      </c>
      <c r="W55" s="14" t="n"/>
      <c r="X55" s="14">
        <f>(((VLOOKUP(B55,Data!$E:$BM,MATCH(yoy!$X$1,Data!$E$1:$BM$1,),)-VLOOKUP(A55,Data!$E:$BM,MATCH(yoy!$X$1,Data!$E$1:$BM$1,),))/VLOOKUP(A55,Data!$E:$BM,MATCH(yoy!$X$1,Data!$E$1:$BM$1,),))+1)^12-1</f>
        <v/>
      </c>
      <c r="Y55" s="14" t="n"/>
      <c r="Z55" s="14">
        <f>(((VLOOKUP(B55,Data!$E:$BM,MATCH(yoy!$Z$1,Data!$E$1:$BM$1,),)-VLOOKUP(A55,Data!$E:$BM,MATCH(yoy!$Z$1,Data!$E$1:$BM$1,),))/VLOOKUP(A55,Data!$E:$BM,MATCH(yoy!$Z$1,Data!$E$1:$BM$1,),))+1)^12-1</f>
        <v/>
      </c>
      <c r="AA55" s="14" t="n"/>
    </row>
    <row r="56" customFormat="1" s="83">
      <c r="A56" s="20">
        <f>DATE(YEAR(B56),MONTH(B56)-1,DAY(B56))</f>
        <v/>
      </c>
      <c r="B56" s="12" t="n">
        <v>43556</v>
      </c>
      <c r="C56" s="14">
        <f>(((VLOOKUP(B56,Data!$E:$BM,MATCH(yoy!$C$1,Data!$E$1:$BM$1,),)-VLOOKUP(A56,Data!$E:$BM,MATCH(yoy!$C$1,Data!$E$1:$BM$1,),))/VLOOKUP(A56,Data!$E:$BM,MATCH(yoy!$C$1,Data!$E$1:$BM$1,),))+1)^12-1</f>
        <v/>
      </c>
      <c r="D56" s="14">
        <f>(((VLOOKUP(B56,Data!$E:$BM,MATCH(yoy!$D$1,Data!$E$1:$BM$1,),)-VLOOKUP(A56,Data!$E:$BM,MATCH(yoy!$D$1,Data!$E$1:$BM$1,),))/VLOOKUP(A56,Data!$E:$BM,MATCH(yoy!$D$1,Data!$E$1:$BM$1,),))+1)^12-1</f>
        <v/>
      </c>
      <c r="E56" s="14" t="n"/>
      <c r="F56" s="14">
        <f>(((VLOOKUP(B56,Data!$E:$BM,MATCH(yoy!$F$1,Data!$E$1:$BM$1,),)-VLOOKUP(A56,Data!$E:$BM,MATCH(yoy!$F$1,Data!$E$1:$BM$1,),))/VLOOKUP(A56,Data!$E:$BM,MATCH(yoy!$F$1,Data!$E$1:$BM$1,),))+1)^12-1</f>
        <v/>
      </c>
      <c r="G56" s="14">
        <f>(((VLOOKUP(B56,Data!$E:$BM,MATCH(yoy!$G$1,Data!$E$1:$BM$1,),)-VLOOKUP(A56,Data!$E:$BM,MATCH(yoy!$G$1,Data!$E$1:$BM$1,),))/VLOOKUP(A56,Data!$E:$BM,MATCH(yoy!$G$1,Data!$E$1:$BM$1,),))+1)^12-1</f>
        <v/>
      </c>
      <c r="H56" s="14">
        <f>(((VLOOKUP(B56,Data!$E:$BM,MATCH(yoy!$H$1,Data!$E$1:$BM$1,),)-VLOOKUP(A56,Data!$E:$BM,MATCH(yoy!$H$1,Data!$E$1:$BM$1,),))/VLOOKUP(A56,Data!$E:$BM,MATCH(yoy!$H$1,Data!$E$1:$BM$1,),))+1)^12-1</f>
        <v/>
      </c>
      <c r="I56" s="14" t="n"/>
      <c r="J56" s="14" t="n"/>
      <c r="K56" s="14">
        <f>(((VLOOKUP(B56,Data!$E:$BM,MATCH(yoy!$K$1,Data!$E$1:$BM$1,),)-VLOOKUP(A56,Data!$E:$BM,MATCH(yoy!$K$1,Data!$E$1:$BM$1,),))/VLOOKUP(A56,Data!$E:$BM,MATCH(yoy!$K$1,Data!$E$1:$BM$1,),))+1)^12-1</f>
        <v/>
      </c>
      <c r="L56" s="14" t="n"/>
      <c r="M56" s="14" t="n"/>
      <c r="N56" s="14" t="n"/>
      <c r="O56" s="14" t="n"/>
      <c r="P56" s="14">
        <f>(((VLOOKUP(B56,Data!$E:$BM,MATCH(yoy!$P$1,Data!$E$1:$BM$1,),)-VLOOKUP(A56,Data!$E:$BM,MATCH(yoy!$P$1,Data!$E$1:$BM$1,),))/VLOOKUP(A56,Data!$E:$BM,MATCH(yoy!$P$1,Data!$E$1:$BM$1,),))+1)^12-1</f>
        <v/>
      </c>
      <c r="Q56" s="14">
        <f>(((VLOOKUP(B56,Data!$E:$BM,MATCH(yoy!$Q$1,Data!$E$1:$BM$1,),)-VLOOKUP(A56,Data!$E:$BM,MATCH(yoy!$Q$1,Data!$E$1:$BM$1,),))/VLOOKUP(A56,Data!$E:$BM,MATCH(yoy!$Q$1,Data!$E$1:$BM$1,),))+1)^12-1</f>
        <v/>
      </c>
      <c r="R56" s="14" t="n"/>
      <c r="S56" s="14">
        <f>(((VLOOKUP(B56,Data!$E:$BM,MATCH(yoy!$S$1,Data!$E$1:$BM$1,),)-VLOOKUP(A56,Data!$E:$BM,MATCH(yoy!$S$1,Data!$E$1:$BM$1,),))/VLOOKUP(A56,Data!$E:$BM,MATCH(yoy!$S$1,Data!$E$1:$BM$1,),))+1)^12-1</f>
        <v/>
      </c>
      <c r="T56" s="14" t="n"/>
      <c r="U56" s="14" t="n"/>
      <c r="V56" s="14">
        <f>(((VLOOKUP(B56,Data!$E:$BM,MATCH(yoy!$V$1,Data!$E$1:$BM$1,),)-VLOOKUP(A56,Data!$E:$BM,MATCH(yoy!$V$1,Data!$E$1:$BM$1,),))/VLOOKUP(A56,Data!$E:$BM,MATCH(yoy!$V$1,Data!$E$1:$BM$1,),))+1)^12-1</f>
        <v/>
      </c>
      <c r="W56" s="14" t="n"/>
      <c r="X56" s="14">
        <f>(((VLOOKUP(B56,Data!$E:$BM,MATCH(yoy!$X$1,Data!$E$1:$BM$1,),)-VLOOKUP(A56,Data!$E:$BM,MATCH(yoy!$X$1,Data!$E$1:$BM$1,),))/VLOOKUP(A56,Data!$E:$BM,MATCH(yoy!$X$1,Data!$E$1:$BM$1,),))+1)^12-1</f>
        <v/>
      </c>
      <c r="Y56" s="14" t="n"/>
      <c r="Z56" s="14">
        <f>(((VLOOKUP(B56,Data!$E:$BM,MATCH(yoy!$Z$1,Data!$E$1:$BM$1,),)-VLOOKUP(A56,Data!$E:$BM,MATCH(yoy!$Z$1,Data!$E$1:$BM$1,),))/VLOOKUP(A56,Data!$E:$BM,MATCH(yoy!$Z$1,Data!$E$1:$BM$1,),))+1)^12-1</f>
        <v/>
      </c>
      <c r="AA56" s="14" t="n"/>
    </row>
    <row r="57" customFormat="1" s="83">
      <c r="A57" s="20">
        <f>DATE(YEAR(B57),MONTH(B57)-1,DAY(B57))</f>
        <v/>
      </c>
      <c r="B57" s="12" t="n">
        <v>43586</v>
      </c>
      <c r="C57" s="14">
        <f>(((VLOOKUP(B57,Data!$E:$BM,MATCH(yoy!$C$1,Data!$E$1:$BM$1,),)-VLOOKUP(A57,Data!$E:$BM,MATCH(yoy!$C$1,Data!$E$1:$BM$1,),))/VLOOKUP(A57,Data!$E:$BM,MATCH(yoy!$C$1,Data!$E$1:$BM$1,),))+1)^12-1</f>
        <v/>
      </c>
      <c r="D57" s="14">
        <f>(((VLOOKUP(B57,Data!$E:$BM,MATCH(yoy!$D$1,Data!$E$1:$BM$1,),)-VLOOKUP(A57,Data!$E:$BM,MATCH(yoy!$D$1,Data!$E$1:$BM$1,),))/VLOOKUP(A57,Data!$E:$BM,MATCH(yoy!$D$1,Data!$E$1:$BM$1,),))+1)^12-1</f>
        <v/>
      </c>
      <c r="E57" s="14" t="n"/>
      <c r="F57" s="14">
        <f>(((VLOOKUP(B57,Data!$E:$BM,MATCH(yoy!$F$1,Data!$E$1:$BM$1,),)-VLOOKUP(A57,Data!$E:$BM,MATCH(yoy!$F$1,Data!$E$1:$BM$1,),))/VLOOKUP(A57,Data!$E:$BM,MATCH(yoy!$F$1,Data!$E$1:$BM$1,),))+1)^12-1</f>
        <v/>
      </c>
      <c r="G57" s="14">
        <f>(((VLOOKUP(B57,Data!$E:$BM,MATCH(yoy!$G$1,Data!$E$1:$BM$1,),)-VLOOKUP(A57,Data!$E:$BM,MATCH(yoy!$G$1,Data!$E$1:$BM$1,),))/VLOOKUP(A57,Data!$E:$BM,MATCH(yoy!$G$1,Data!$E$1:$BM$1,),))+1)^12-1</f>
        <v/>
      </c>
      <c r="H57" s="14">
        <f>(((VLOOKUP(B57,Data!$E:$BM,MATCH(yoy!$H$1,Data!$E$1:$BM$1,),)-VLOOKUP(A57,Data!$E:$BM,MATCH(yoy!$H$1,Data!$E$1:$BM$1,),))/VLOOKUP(A57,Data!$E:$BM,MATCH(yoy!$H$1,Data!$E$1:$BM$1,),))+1)^12-1</f>
        <v/>
      </c>
      <c r="I57" s="14" t="n"/>
      <c r="J57" s="14" t="n"/>
      <c r="K57" s="14">
        <f>(((VLOOKUP(B57,Data!$E:$BM,MATCH(yoy!$K$1,Data!$E$1:$BM$1,),)-VLOOKUP(A57,Data!$E:$BM,MATCH(yoy!$K$1,Data!$E$1:$BM$1,),))/VLOOKUP(A57,Data!$E:$BM,MATCH(yoy!$K$1,Data!$E$1:$BM$1,),))+1)^12-1</f>
        <v/>
      </c>
      <c r="L57" s="14" t="n"/>
      <c r="M57" s="14" t="n"/>
      <c r="N57" s="14" t="n"/>
      <c r="O57" s="14" t="n"/>
      <c r="P57" s="14">
        <f>(((VLOOKUP(B57,Data!$E:$BM,MATCH(yoy!$P$1,Data!$E$1:$BM$1,),)-VLOOKUP(A57,Data!$E:$BM,MATCH(yoy!$P$1,Data!$E$1:$BM$1,),))/VLOOKUP(A57,Data!$E:$BM,MATCH(yoy!$P$1,Data!$E$1:$BM$1,),))+1)^12-1</f>
        <v/>
      </c>
      <c r="Q57" s="14">
        <f>(((VLOOKUP(B57,Data!$E:$BM,MATCH(yoy!$Q$1,Data!$E$1:$BM$1,),)-VLOOKUP(A57,Data!$E:$BM,MATCH(yoy!$Q$1,Data!$E$1:$BM$1,),))/VLOOKUP(A57,Data!$E:$BM,MATCH(yoy!$Q$1,Data!$E$1:$BM$1,),))+1)^12-1</f>
        <v/>
      </c>
      <c r="R57" s="14" t="n"/>
      <c r="S57" s="14">
        <f>(((VLOOKUP(B57,Data!$E:$BM,MATCH(yoy!$S$1,Data!$E$1:$BM$1,),)-VLOOKUP(A57,Data!$E:$BM,MATCH(yoy!$S$1,Data!$E$1:$BM$1,),))/VLOOKUP(A57,Data!$E:$BM,MATCH(yoy!$S$1,Data!$E$1:$BM$1,),))+1)^12-1</f>
        <v/>
      </c>
      <c r="T57" s="14" t="n"/>
      <c r="U57" s="14" t="n"/>
      <c r="V57" s="14">
        <f>(((VLOOKUP(B57,Data!$E:$BM,MATCH(yoy!$V$1,Data!$E$1:$BM$1,),)-VLOOKUP(A57,Data!$E:$BM,MATCH(yoy!$V$1,Data!$E$1:$BM$1,),))/VLOOKUP(A57,Data!$E:$BM,MATCH(yoy!$V$1,Data!$E$1:$BM$1,),))+1)^12-1</f>
        <v/>
      </c>
      <c r="W57" s="14" t="n"/>
      <c r="X57" s="14">
        <f>(((VLOOKUP(B57,Data!$E:$BM,MATCH(yoy!$X$1,Data!$E$1:$BM$1,),)-VLOOKUP(A57,Data!$E:$BM,MATCH(yoy!$X$1,Data!$E$1:$BM$1,),))/VLOOKUP(A57,Data!$E:$BM,MATCH(yoy!$X$1,Data!$E$1:$BM$1,),))+1)^12-1</f>
        <v/>
      </c>
      <c r="Y57" s="14" t="n"/>
      <c r="Z57" s="14">
        <f>(((VLOOKUP(B57,Data!$E:$BM,MATCH(yoy!$Z$1,Data!$E$1:$BM$1,),)-VLOOKUP(A57,Data!$E:$BM,MATCH(yoy!$Z$1,Data!$E$1:$BM$1,),))/VLOOKUP(A57,Data!$E:$BM,MATCH(yoy!$Z$1,Data!$E$1:$BM$1,),))+1)^12-1</f>
        <v/>
      </c>
      <c r="AA57" s="14" t="n"/>
    </row>
    <row r="58" customFormat="1" s="83">
      <c r="A58" s="20">
        <f>DATE(YEAR(B58),MONTH(B58)-1,DAY(B58))</f>
        <v/>
      </c>
      <c r="B58" s="12" t="n">
        <v>43617</v>
      </c>
      <c r="C58" s="14">
        <f>(((VLOOKUP(B58,Data!$E:$BM,MATCH(yoy!$C$1,Data!$E$1:$BM$1,),)-VLOOKUP(A58,Data!$E:$BM,MATCH(yoy!$C$1,Data!$E$1:$BM$1,),))/VLOOKUP(A58,Data!$E:$BM,MATCH(yoy!$C$1,Data!$E$1:$BM$1,),))+1)^12-1</f>
        <v/>
      </c>
      <c r="D58" s="14">
        <f>(((VLOOKUP(B58,Data!$E:$BM,MATCH(yoy!$D$1,Data!$E$1:$BM$1,),)-VLOOKUP(A58,Data!$E:$BM,MATCH(yoy!$D$1,Data!$E$1:$BM$1,),))/VLOOKUP(A58,Data!$E:$BM,MATCH(yoy!$D$1,Data!$E$1:$BM$1,),))+1)^12-1</f>
        <v/>
      </c>
      <c r="E58" s="14" t="n"/>
      <c r="F58" s="14">
        <f>(((VLOOKUP(B58,Data!$E:$BM,MATCH(yoy!$F$1,Data!$E$1:$BM$1,),)-VLOOKUP(A58,Data!$E:$BM,MATCH(yoy!$F$1,Data!$E$1:$BM$1,),))/VLOOKUP(A58,Data!$E:$BM,MATCH(yoy!$F$1,Data!$E$1:$BM$1,),))+1)^12-1</f>
        <v/>
      </c>
      <c r="G58" s="14">
        <f>(((VLOOKUP(B58,Data!$E:$BM,MATCH(yoy!$G$1,Data!$E$1:$BM$1,),)-VLOOKUP(A58,Data!$E:$BM,MATCH(yoy!$G$1,Data!$E$1:$BM$1,),))/VLOOKUP(A58,Data!$E:$BM,MATCH(yoy!$G$1,Data!$E$1:$BM$1,),))+1)^12-1</f>
        <v/>
      </c>
      <c r="H58" s="14">
        <f>(((VLOOKUP(B58,Data!$E:$BM,MATCH(yoy!$H$1,Data!$E$1:$BM$1,),)-VLOOKUP(A58,Data!$E:$BM,MATCH(yoy!$H$1,Data!$E$1:$BM$1,),))/VLOOKUP(A58,Data!$E:$BM,MATCH(yoy!$H$1,Data!$E$1:$BM$1,),))+1)^12-1</f>
        <v/>
      </c>
      <c r="I58" s="14" t="n"/>
      <c r="J58" s="14" t="n"/>
      <c r="K58" s="14">
        <f>(((VLOOKUP(B58,Data!$E:$BM,MATCH(yoy!$K$1,Data!$E$1:$BM$1,),)-VLOOKUP(A58,Data!$E:$BM,MATCH(yoy!$K$1,Data!$E$1:$BM$1,),))/VLOOKUP(A58,Data!$E:$BM,MATCH(yoy!$K$1,Data!$E$1:$BM$1,),))+1)^12-1</f>
        <v/>
      </c>
      <c r="L58" s="14" t="n"/>
      <c r="M58" s="14" t="n"/>
      <c r="N58" s="14" t="n"/>
      <c r="O58" s="14" t="n"/>
      <c r="P58" s="14">
        <f>(((VLOOKUP(B58,Data!$E:$BM,MATCH(yoy!$P$1,Data!$E$1:$BM$1,),)-VLOOKUP(A58,Data!$E:$BM,MATCH(yoy!$P$1,Data!$E$1:$BM$1,),))/VLOOKUP(A58,Data!$E:$BM,MATCH(yoy!$P$1,Data!$E$1:$BM$1,),))+1)^12-1</f>
        <v/>
      </c>
      <c r="Q58" s="14">
        <f>(((VLOOKUP(B58,Data!$E:$BM,MATCH(yoy!$Q$1,Data!$E$1:$BM$1,),)-VLOOKUP(A58,Data!$E:$BM,MATCH(yoy!$Q$1,Data!$E$1:$BM$1,),))/VLOOKUP(A58,Data!$E:$BM,MATCH(yoy!$Q$1,Data!$E$1:$BM$1,),))+1)^12-1</f>
        <v/>
      </c>
      <c r="R58" s="14" t="n"/>
      <c r="S58" s="14">
        <f>(((VLOOKUP(B58,Data!$E:$BM,MATCH(yoy!$S$1,Data!$E$1:$BM$1,),)-VLOOKUP(A58,Data!$E:$BM,MATCH(yoy!$S$1,Data!$E$1:$BM$1,),))/VLOOKUP(A58,Data!$E:$BM,MATCH(yoy!$S$1,Data!$E$1:$BM$1,),))+1)^12-1</f>
        <v/>
      </c>
      <c r="T58" s="14" t="n"/>
      <c r="U58" s="14" t="n"/>
      <c r="V58" s="14">
        <f>(((VLOOKUP(B58,Data!$E:$BM,MATCH(yoy!$V$1,Data!$E$1:$BM$1,),)-VLOOKUP(A58,Data!$E:$BM,MATCH(yoy!$V$1,Data!$E$1:$BM$1,),))/VLOOKUP(A58,Data!$E:$BM,MATCH(yoy!$V$1,Data!$E$1:$BM$1,),))+1)^12-1</f>
        <v/>
      </c>
      <c r="W58" s="14" t="n"/>
      <c r="X58" s="14">
        <f>(((VLOOKUP(B58,Data!$E:$BM,MATCH(yoy!$X$1,Data!$E$1:$BM$1,),)-VLOOKUP(A58,Data!$E:$BM,MATCH(yoy!$X$1,Data!$E$1:$BM$1,),))/VLOOKUP(A58,Data!$E:$BM,MATCH(yoy!$X$1,Data!$E$1:$BM$1,),))+1)^12-1</f>
        <v/>
      </c>
      <c r="Y58" s="14" t="n"/>
      <c r="Z58" s="14">
        <f>(((VLOOKUP(B58,Data!$E:$BM,MATCH(yoy!$Z$1,Data!$E$1:$BM$1,),)-VLOOKUP(A58,Data!$E:$BM,MATCH(yoy!$Z$1,Data!$E$1:$BM$1,),))/VLOOKUP(A58,Data!$E:$BM,MATCH(yoy!$Z$1,Data!$E$1:$BM$1,),))+1)^12-1</f>
        <v/>
      </c>
      <c r="AA58" s="14" t="n"/>
    </row>
    <row r="59" customFormat="1" s="83">
      <c r="A59" s="20">
        <f>DATE(YEAR(B59),MONTH(B59)-1,DAY(B59))</f>
        <v/>
      </c>
      <c r="B59" s="12" t="n">
        <v>43647</v>
      </c>
      <c r="C59" s="14">
        <f>(((VLOOKUP(B59,Data!$E:$BM,MATCH(yoy!$C$1,Data!$E$1:$BM$1,),)-VLOOKUP(A59,Data!$E:$BM,MATCH(yoy!$C$1,Data!$E$1:$BM$1,),))/VLOOKUP(A59,Data!$E:$BM,MATCH(yoy!$C$1,Data!$E$1:$BM$1,),))+1)^12-1</f>
        <v/>
      </c>
      <c r="D59" s="14">
        <f>(((VLOOKUP(B59,Data!$E:$BM,MATCH(yoy!$D$1,Data!$E$1:$BM$1,),)-VLOOKUP(A59,Data!$E:$BM,MATCH(yoy!$D$1,Data!$E$1:$BM$1,),))/VLOOKUP(A59,Data!$E:$BM,MATCH(yoy!$D$1,Data!$E$1:$BM$1,),))+1)^12-1</f>
        <v/>
      </c>
      <c r="E59" s="14" t="n"/>
      <c r="F59" s="14">
        <f>(((VLOOKUP(B59,Data!$E:$BM,MATCH(yoy!$F$1,Data!$E$1:$BM$1,),)-VLOOKUP(A59,Data!$E:$BM,MATCH(yoy!$F$1,Data!$E$1:$BM$1,),))/VLOOKUP(A59,Data!$E:$BM,MATCH(yoy!$F$1,Data!$E$1:$BM$1,),))+1)^12-1</f>
        <v/>
      </c>
      <c r="G59" s="14">
        <f>(((VLOOKUP(B59,Data!$E:$BM,MATCH(yoy!$G$1,Data!$E$1:$BM$1,),)-VLOOKUP(A59,Data!$E:$BM,MATCH(yoy!$G$1,Data!$E$1:$BM$1,),))/VLOOKUP(A59,Data!$E:$BM,MATCH(yoy!$G$1,Data!$E$1:$BM$1,),))+1)^12-1</f>
        <v/>
      </c>
      <c r="H59" s="14">
        <f>(((VLOOKUP(B59,Data!$E:$BM,MATCH(yoy!$H$1,Data!$E$1:$BM$1,),)-VLOOKUP(A59,Data!$E:$BM,MATCH(yoy!$H$1,Data!$E$1:$BM$1,),))/VLOOKUP(A59,Data!$E:$BM,MATCH(yoy!$H$1,Data!$E$1:$BM$1,),))+1)^12-1</f>
        <v/>
      </c>
      <c r="I59" s="14" t="n"/>
      <c r="J59" s="14" t="n"/>
      <c r="K59" s="14">
        <f>(((VLOOKUP(B59,Data!$E:$BM,MATCH(yoy!$K$1,Data!$E$1:$BM$1,),)-VLOOKUP(A59,Data!$E:$BM,MATCH(yoy!$K$1,Data!$E$1:$BM$1,),))/VLOOKUP(A59,Data!$E:$BM,MATCH(yoy!$K$1,Data!$E$1:$BM$1,),))+1)^12-1</f>
        <v/>
      </c>
      <c r="L59" s="14" t="n"/>
      <c r="M59" s="14" t="n"/>
      <c r="N59" s="14" t="n"/>
      <c r="O59" s="14" t="n"/>
      <c r="P59" s="14">
        <f>(((VLOOKUP(B59,Data!$E:$BM,MATCH(yoy!$P$1,Data!$E$1:$BM$1,),)-VLOOKUP(A59,Data!$E:$BM,MATCH(yoy!$P$1,Data!$E$1:$BM$1,),))/VLOOKUP(A59,Data!$E:$BM,MATCH(yoy!$P$1,Data!$E$1:$BM$1,),))+1)^12-1</f>
        <v/>
      </c>
      <c r="Q59" s="14">
        <f>(((VLOOKUP(B59,Data!$E:$BM,MATCH(yoy!$Q$1,Data!$E$1:$BM$1,),)-VLOOKUP(A59,Data!$E:$BM,MATCH(yoy!$Q$1,Data!$E$1:$BM$1,),))/VLOOKUP(A59,Data!$E:$BM,MATCH(yoy!$Q$1,Data!$E$1:$BM$1,),))+1)^12-1</f>
        <v/>
      </c>
      <c r="R59" s="14" t="n"/>
      <c r="S59" s="14">
        <f>(((VLOOKUP(B59,Data!$E:$BM,MATCH(yoy!$S$1,Data!$E$1:$BM$1,),)-VLOOKUP(A59,Data!$E:$BM,MATCH(yoy!$S$1,Data!$E$1:$BM$1,),))/VLOOKUP(A59,Data!$E:$BM,MATCH(yoy!$S$1,Data!$E$1:$BM$1,),))+1)^12-1</f>
        <v/>
      </c>
      <c r="T59" s="14" t="n"/>
      <c r="U59" s="14" t="n"/>
      <c r="V59" s="14">
        <f>(((VLOOKUP(B59,Data!$E:$BM,MATCH(yoy!$V$1,Data!$E$1:$BM$1,),)-VLOOKUP(A59,Data!$E:$BM,MATCH(yoy!$V$1,Data!$E$1:$BM$1,),))/VLOOKUP(A59,Data!$E:$BM,MATCH(yoy!$V$1,Data!$E$1:$BM$1,),))+1)^12-1</f>
        <v/>
      </c>
      <c r="W59" s="14" t="n"/>
      <c r="X59" s="14">
        <f>(((VLOOKUP(B59,Data!$E:$BM,MATCH(yoy!$X$1,Data!$E$1:$BM$1,),)-VLOOKUP(A59,Data!$E:$BM,MATCH(yoy!$X$1,Data!$E$1:$BM$1,),))/VLOOKUP(A59,Data!$E:$BM,MATCH(yoy!$X$1,Data!$E$1:$BM$1,),))+1)^12-1</f>
        <v/>
      </c>
      <c r="Y59" s="14" t="n"/>
      <c r="Z59" s="14">
        <f>(((VLOOKUP(B59,Data!$E:$BM,MATCH(yoy!$Z$1,Data!$E$1:$BM$1,),)-VLOOKUP(A59,Data!$E:$BM,MATCH(yoy!$Z$1,Data!$E$1:$BM$1,),))/VLOOKUP(A59,Data!$E:$BM,MATCH(yoy!$Z$1,Data!$E$1:$BM$1,),))+1)^12-1</f>
        <v/>
      </c>
      <c r="AA59" s="14" t="n"/>
    </row>
    <row r="60" customFormat="1" s="83">
      <c r="A60" s="20">
        <f>DATE(YEAR(B60),MONTH(B60)-1,DAY(B60))</f>
        <v/>
      </c>
      <c r="B60" s="12" t="n">
        <v>43678</v>
      </c>
      <c r="C60" s="14">
        <f>(((VLOOKUP(B60,Data!$E:$BM,MATCH(yoy!$C$1,Data!$E$1:$BM$1,),)-VLOOKUP(A60,Data!$E:$BM,MATCH(yoy!$C$1,Data!$E$1:$BM$1,),))/VLOOKUP(A60,Data!$E:$BM,MATCH(yoy!$C$1,Data!$E$1:$BM$1,),))+1)^12-1</f>
        <v/>
      </c>
      <c r="D60" s="14">
        <f>(((VLOOKUP(B60,Data!$E:$BM,MATCH(yoy!$D$1,Data!$E$1:$BM$1,),)-VLOOKUP(A60,Data!$E:$BM,MATCH(yoy!$D$1,Data!$E$1:$BM$1,),))/VLOOKUP(A60,Data!$E:$BM,MATCH(yoy!$D$1,Data!$E$1:$BM$1,),))+1)^12-1</f>
        <v/>
      </c>
      <c r="E60" s="14" t="n"/>
      <c r="F60" s="14">
        <f>(((VLOOKUP(B60,Data!$E:$BM,MATCH(yoy!$F$1,Data!$E$1:$BM$1,),)-VLOOKUP(A60,Data!$E:$BM,MATCH(yoy!$F$1,Data!$E$1:$BM$1,),))/VLOOKUP(A60,Data!$E:$BM,MATCH(yoy!$F$1,Data!$E$1:$BM$1,),))+1)^12-1</f>
        <v/>
      </c>
      <c r="G60" s="14">
        <f>(((VLOOKUP(B60,Data!$E:$BM,MATCH(yoy!$G$1,Data!$E$1:$BM$1,),)-VLOOKUP(A60,Data!$E:$BM,MATCH(yoy!$G$1,Data!$E$1:$BM$1,),))/VLOOKUP(A60,Data!$E:$BM,MATCH(yoy!$G$1,Data!$E$1:$BM$1,),))+1)^12-1</f>
        <v/>
      </c>
      <c r="H60" s="14">
        <f>(((VLOOKUP(B60,Data!$E:$BM,MATCH(yoy!$H$1,Data!$E$1:$BM$1,),)-VLOOKUP(A60,Data!$E:$BM,MATCH(yoy!$H$1,Data!$E$1:$BM$1,),))/VLOOKUP(A60,Data!$E:$BM,MATCH(yoy!$H$1,Data!$E$1:$BM$1,),))+1)^12-1</f>
        <v/>
      </c>
      <c r="I60" s="14" t="n"/>
      <c r="J60" s="14" t="n"/>
      <c r="K60" s="14">
        <f>(((VLOOKUP(B60,Data!$E:$BM,MATCH(yoy!$K$1,Data!$E$1:$BM$1,),)-VLOOKUP(A60,Data!$E:$BM,MATCH(yoy!$K$1,Data!$E$1:$BM$1,),))/VLOOKUP(A60,Data!$E:$BM,MATCH(yoy!$K$1,Data!$E$1:$BM$1,),))+1)^12-1</f>
        <v/>
      </c>
      <c r="L60" s="14" t="n"/>
      <c r="M60" s="14" t="n"/>
      <c r="N60" s="14" t="n"/>
      <c r="O60" s="14" t="n"/>
      <c r="P60" s="14">
        <f>(((VLOOKUP(B60,Data!$E:$BM,MATCH(yoy!$P$1,Data!$E$1:$BM$1,),)-VLOOKUP(A60,Data!$E:$BM,MATCH(yoy!$P$1,Data!$E$1:$BM$1,),))/VLOOKUP(A60,Data!$E:$BM,MATCH(yoy!$P$1,Data!$E$1:$BM$1,),))+1)^12-1</f>
        <v/>
      </c>
      <c r="Q60" s="14">
        <f>(((VLOOKUP(B60,Data!$E:$BM,MATCH(yoy!$Q$1,Data!$E$1:$BM$1,),)-VLOOKUP(A60,Data!$E:$BM,MATCH(yoy!$Q$1,Data!$E$1:$BM$1,),))/VLOOKUP(A60,Data!$E:$BM,MATCH(yoy!$Q$1,Data!$E$1:$BM$1,),))+1)^12-1</f>
        <v/>
      </c>
      <c r="R60" s="14" t="n"/>
      <c r="S60" s="14">
        <f>(((VLOOKUP(B60,Data!$E:$BM,MATCH(yoy!$S$1,Data!$E$1:$BM$1,),)-VLOOKUP(A60,Data!$E:$BM,MATCH(yoy!$S$1,Data!$E$1:$BM$1,),))/VLOOKUP(A60,Data!$E:$BM,MATCH(yoy!$S$1,Data!$E$1:$BM$1,),))+1)^12-1</f>
        <v/>
      </c>
      <c r="T60" s="14" t="n"/>
      <c r="U60" s="14" t="n"/>
      <c r="V60" s="14">
        <f>(((VLOOKUP(B60,Data!$E:$BM,MATCH(yoy!$V$1,Data!$E$1:$BM$1,),)-VLOOKUP(A60,Data!$E:$BM,MATCH(yoy!$V$1,Data!$E$1:$BM$1,),))/VLOOKUP(A60,Data!$E:$BM,MATCH(yoy!$V$1,Data!$E$1:$BM$1,),))+1)^12-1</f>
        <v/>
      </c>
      <c r="W60" s="14" t="n"/>
      <c r="X60" s="14">
        <f>(((VLOOKUP(B60,Data!$E:$BM,MATCH(yoy!$X$1,Data!$E$1:$BM$1,),)-VLOOKUP(A60,Data!$E:$BM,MATCH(yoy!$X$1,Data!$E$1:$BM$1,),))/VLOOKUP(A60,Data!$E:$BM,MATCH(yoy!$X$1,Data!$E$1:$BM$1,),))+1)^12-1</f>
        <v/>
      </c>
      <c r="Y60" s="14" t="n"/>
      <c r="Z60" s="14">
        <f>(((VLOOKUP(B60,Data!$E:$BM,MATCH(yoy!$Z$1,Data!$E$1:$BM$1,),)-VLOOKUP(A60,Data!$E:$BM,MATCH(yoy!$Z$1,Data!$E$1:$BM$1,),))/VLOOKUP(A60,Data!$E:$BM,MATCH(yoy!$Z$1,Data!$E$1:$BM$1,),))+1)^12-1</f>
        <v/>
      </c>
      <c r="AA60" s="14" t="n"/>
    </row>
    <row r="61" customFormat="1" s="83">
      <c r="A61" s="20">
        <f>DATE(YEAR(B61),MONTH(B61)-1,DAY(B61))</f>
        <v/>
      </c>
      <c r="B61" s="12" t="n">
        <v>43709</v>
      </c>
      <c r="C61" s="14">
        <f>(((VLOOKUP(B61,Data!$E:$BM,MATCH(yoy!$C$1,Data!$E$1:$BM$1,),)-VLOOKUP(A61,Data!$E:$BM,MATCH(yoy!$C$1,Data!$E$1:$BM$1,),))/VLOOKUP(A61,Data!$E:$BM,MATCH(yoy!$C$1,Data!$E$1:$BM$1,),))+1)^12-1</f>
        <v/>
      </c>
      <c r="D61" s="14">
        <f>(((VLOOKUP(B61,Data!$E:$BM,MATCH(yoy!$D$1,Data!$E$1:$BM$1,),)-VLOOKUP(A61,Data!$E:$BM,MATCH(yoy!$D$1,Data!$E$1:$BM$1,),))/VLOOKUP(A61,Data!$E:$BM,MATCH(yoy!$D$1,Data!$E$1:$BM$1,),))+1)^12-1</f>
        <v/>
      </c>
      <c r="E61" s="14" t="n"/>
      <c r="F61" s="14">
        <f>(((VLOOKUP(B61,Data!$E:$BM,MATCH(yoy!$F$1,Data!$E$1:$BM$1,),)-VLOOKUP(A61,Data!$E:$BM,MATCH(yoy!$F$1,Data!$E$1:$BM$1,),))/VLOOKUP(A61,Data!$E:$BM,MATCH(yoy!$F$1,Data!$E$1:$BM$1,),))+1)^12-1</f>
        <v/>
      </c>
      <c r="G61" s="14">
        <f>(((VLOOKUP(B61,Data!$E:$BM,MATCH(yoy!$G$1,Data!$E$1:$BM$1,),)-VLOOKUP(A61,Data!$E:$BM,MATCH(yoy!$G$1,Data!$E$1:$BM$1,),))/VLOOKUP(A61,Data!$E:$BM,MATCH(yoy!$G$1,Data!$E$1:$BM$1,),))+1)^12-1</f>
        <v/>
      </c>
      <c r="H61" s="14">
        <f>(((VLOOKUP(B61,Data!$E:$BM,MATCH(yoy!$H$1,Data!$E$1:$BM$1,),)-VLOOKUP(A61,Data!$E:$BM,MATCH(yoy!$H$1,Data!$E$1:$BM$1,),))/VLOOKUP(A61,Data!$E:$BM,MATCH(yoy!$H$1,Data!$E$1:$BM$1,),))+1)^12-1</f>
        <v/>
      </c>
      <c r="I61" s="14" t="n"/>
      <c r="J61" s="14" t="n"/>
      <c r="K61" s="14">
        <f>(((VLOOKUP(B61,Data!$E:$BM,MATCH(yoy!$K$1,Data!$E$1:$BM$1,),)-VLOOKUP(A61,Data!$E:$BM,MATCH(yoy!$K$1,Data!$E$1:$BM$1,),))/VLOOKUP(A61,Data!$E:$BM,MATCH(yoy!$K$1,Data!$E$1:$BM$1,),))+1)^12-1</f>
        <v/>
      </c>
      <c r="L61" s="14" t="n"/>
      <c r="M61" s="14" t="n"/>
      <c r="N61" s="14" t="n"/>
      <c r="O61" s="14" t="n"/>
      <c r="P61" s="14">
        <f>(((VLOOKUP(B61,Data!$E:$BM,MATCH(yoy!$P$1,Data!$E$1:$BM$1,),)-VLOOKUP(A61,Data!$E:$BM,MATCH(yoy!$P$1,Data!$E$1:$BM$1,),))/VLOOKUP(A61,Data!$E:$BM,MATCH(yoy!$P$1,Data!$E$1:$BM$1,),))+1)^12-1</f>
        <v/>
      </c>
      <c r="Q61" s="14">
        <f>(((VLOOKUP(B61,Data!$E:$BM,MATCH(yoy!$Q$1,Data!$E$1:$BM$1,),)-VLOOKUP(A61,Data!$E:$BM,MATCH(yoy!$Q$1,Data!$E$1:$BM$1,),))/VLOOKUP(A61,Data!$E:$BM,MATCH(yoy!$Q$1,Data!$E$1:$BM$1,),))+1)^12-1</f>
        <v/>
      </c>
      <c r="R61" s="14" t="n"/>
      <c r="S61" s="14">
        <f>(((VLOOKUP(B61,Data!$E:$BM,MATCH(yoy!$S$1,Data!$E$1:$BM$1,),)-VLOOKUP(A61,Data!$E:$BM,MATCH(yoy!$S$1,Data!$E$1:$BM$1,),))/VLOOKUP(A61,Data!$E:$BM,MATCH(yoy!$S$1,Data!$E$1:$BM$1,),))+1)^12-1</f>
        <v/>
      </c>
      <c r="T61" s="14" t="n"/>
      <c r="U61" s="14" t="n"/>
      <c r="V61" s="14">
        <f>(((VLOOKUP(B61,Data!$E:$BM,MATCH(yoy!$V$1,Data!$E$1:$BM$1,),)-VLOOKUP(A61,Data!$E:$BM,MATCH(yoy!$V$1,Data!$E$1:$BM$1,),))/VLOOKUP(A61,Data!$E:$BM,MATCH(yoy!$V$1,Data!$E$1:$BM$1,),))+1)^12-1</f>
        <v/>
      </c>
      <c r="W61" s="14" t="n"/>
      <c r="X61" s="14">
        <f>(((VLOOKUP(B61,Data!$E:$BM,MATCH(yoy!$X$1,Data!$E$1:$BM$1,),)-VLOOKUP(A61,Data!$E:$BM,MATCH(yoy!$X$1,Data!$E$1:$BM$1,),))/VLOOKUP(A61,Data!$E:$BM,MATCH(yoy!$X$1,Data!$E$1:$BM$1,),))+1)^12-1</f>
        <v/>
      </c>
      <c r="Y61" s="14" t="n"/>
      <c r="Z61" s="14">
        <f>(((VLOOKUP(B61,Data!$E:$BM,MATCH(yoy!$Z$1,Data!$E$1:$BM$1,),)-VLOOKUP(A61,Data!$E:$BM,MATCH(yoy!$Z$1,Data!$E$1:$BM$1,),))/VLOOKUP(A61,Data!$E:$BM,MATCH(yoy!$Z$1,Data!$E$1:$BM$1,),))+1)^12-1</f>
        <v/>
      </c>
      <c r="AA61" s="14" t="n"/>
    </row>
    <row r="62" customFormat="1" s="83">
      <c r="A62" s="20">
        <f>DATE(YEAR(B62),MONTH(B62)-1,DAY(B62))</f>
        <v/>
      </c>
      <c r="B62" s="12" t="n">
        <v>43739</v>
      </c>
      <c r="C62" s="14">
        <f>(((VLOOKUP(B62,Data!$E:$BM,MATCH(yoy!$C$1,Data!$E$1:$BM$1,),)-VLOOKUP(A62,Data!$E:$BM,MATCH(yoy!$C$1,Data!$E$1:$BM$1,),))/VLOOKUP(A62,Data!$E:$BM,MATCH(yoy!$C$1,Data!$E$1:$BM$1,),))+1)^12-1</f>
        <v/>
      </c>
      <c r="D62" s="14">
        <f>(((VLOOKUP(B62,Data!$E:$BM,MATCH(yoy!$D$1,Data!$E$1:$BM$1,),)-VLOOKUP(A62,Data!$E:$BM,MATCH(yoy!$D$1,Data!$E$1:$BM$1,),))/VLOOKUP(A62,Data!$E:$BM,MATCH(yoy!$D$1,Data!$E$1:$BM$1,),))+1)^12-1</f>
        <v/>
      </c>
      <c r="E62" s="14" t="n"/>
      <c r="F62" s="14">
        <f>(((VLOOKUP(B62,Data!$E:$BM,MATCH(yoy!$F$1,Data!$E$1:$BM$1,),)-VLOOKUP(A62,Data!$E:$BM,MATCH(yoy!$F$1,Data!$E$1:$BM$1,),))/VLOOKUP(A62,Data!$E:$BM,MATCH(yoy!$F$1,Data!$E$1:$BM$1,),))+1)^12-1</f>
        <v/>
      </c>
      <c r="G62" s="14">
        <f>(((VLOOKUP(B62,Data!$E:$BM,MATCH(yoy!$G$1,Data!$E$1:$BM$1,),)-VLOOKUP(A62,Data!$E:$BM,MATCH(yoy!$G$1,Data!$E$1:$BM$1,),))/VLOOKUP(A62,Data!$E:$BM,MATCH(yoy!$G$1,Data!$E$1:$BM$1,),))+1)^12-1</f>
        <v/>
      </c>
      <c r="H62" s="14">
        <f>(((VLOOKUP(B62,Data!$E:$BM,MATCH(yoy!$H$1,Data!$E$1:$BM$1,),)-VLOOKUP(A62,Data!$E:$BM,MATCH(yoy!$H$1,Data!$E$1:$BM$1,),))/VLOOKUP(A62,Data!$E:$BM,MATCH(yoy!$H$1,Data!$E$1:$BM$1,),))+1)^12-1</f>
        <v/>
      </c>
      <c r="I62" s="14" t="n"/>
      <c r="J62" s="14" t="n"/>
      <c r="K62" s="14">
        <f>(((VLOOKUP(B62,Data!$E:$BM,MATCH(yoy!$K$1,Data!$E$1:$BM$1,),)-VLOOKUP(A62,Data!$E:$BM,MATCH(yoy!$K$1,Data!$E$1:$BM$1,),))/VLOOKUP(A62,Data!$E:$BM,MATCH(yoy!$K$1,Data!$E$1:$BM$1,),))+1)^12-1</f>
        <v/>
      </c>
      <c r="L62" s="14" t="n"/>
      <c r="M62" s="14" t="n"/>
      <c r="N62" s="14" t="n"/>
      <c r="O62" s="14" t="n"/>
      <c r="P62" s="14">
        <f>(((VLOOKUP(B62,Data!$E:$BM,MATCH(yoy!$P$1,Data!$E$1:$BM$1,),)-VLOOKUP(A62,Data!$E:$BM,MATCH(yoy!$P$1,Data!$E$1:$BM$1,),))/VLOOKUP(A62,Data!$E:$BM,MATCH(yoy!$P$1,Data!$E$1:$BM$1,),))+1)^12-1</f>
        <v/>
      </c>
      <c r="Q62" s="14">
        <f>(((VLOOKUP(B62,Data!$E:$BM,MATCH(yoy!$Q$1,Data!$E$1:$BM$1,),)-VLOOKUP(A62,Data!$E:$BM,MATCH(yoy!$Q$1,Data!$E$1:$BM$1,),))/VLOOKUP(A62,Data!$E:$BM,MATCH(yoy!$Q$1,Data!$E$1:$BM$1,),))+1)^12-1</f>
        <v/>
      </c>
      <c r="R62" s="14" t="n"/>
      <c r="S62" s="14">
        <f>(((VLOOKUP(B62,Data!$E:$BM,MATCH(yoy!$S$1,Data!$E$1:$BM$1,),)-VLOOKUP(A62,Data!$E:$BM,MATCH(yoy!$S$1,Data!$E$1:$BM$1,),))/VLOOKUP(A62,Data!$E:$BM,MATCH(yoy!$S$1,Data!$E$1:$BM$1,),))+1)^12-1</f>
        <v/>
      </c>
      <c r="T62" s="14" t="n"/>
      <c r="U62" s="14" t="n"/>
      <c r="V62" s="14">
        <f>(((VLOOKUP(B62,Data!$E:$BM,MATCH(yoy!$V$1,Data!$E$1:$BM$1,),)-VLOOKUP(A62,Data!$E:$BM,MATCH(yoy!$V$1,Data!$E$1:$BM$1,),))/VLOOKUP(A62,Data!$E:$BM,MATCH(yoy!$V$1,Data!$E$1:$BM$1,),))+1)^12-1</f>
        <v/>
      </c>
      <c r="W62" s="14" t="n"/>
      <c r="X62" s="14">
        <f>(((VLOOKUP(B62,Data!$E:$BM,MATCH(yoy!$X$1,Data!$E$1:$BM$1,),)-VLOOKUP(A62,Data!$E:$BM,MATCH(yoy!$X$1,Data!$E$1:$BM$1,),))/VLOOKUP(A62,Data!$E:$BM,MATCH(yoy!$X$1,Data!$E$1:$BM$1,),))+1)^12-1</f>
        <v/>
      </c>
      <c r="Y62" s="14" t="n"/>
      <c r="Z62" s="14">
        <f>(((VLOOKUP(B62,Data!$E:$BM,MATCH(yoy!$Z$1,Data!$E$1:$BM$1,),)-VLOOKUP(A62,Data!$E:$BM,MATCH(yoy!$Z$1,Data!$E$1:$BM$1,),))/VLOOKUP(A62,Data!$E:$BM,MATCH(yoy!$Z$1,Data!$E$1:$BM$1,),))+1)^12-1</f>
        <v/>
      </c>
      <c r="AA62" s="14" t="n"/>
    </row>
    <row r="63" customFormat="1" s="83">
      <c r="A63" s="20">
        <f>DATE(YEAR(B63),MONTH(B63)-1,DAY(B63))</f>
        <v/>
      </c>
      <c r="B63" s="12" t="n">
        <v>43770</v>
      </c>
      <c r="C63" s="14">
        <f>(((VLOOKUP(B63,Data!$E:$BM,MATCH(yoy!$C$1,Data!$E$1:$BM$1,),)-VLOOKUP(A63,Data!$E:$BM,MATCH(yoy!$C$1,Data!$E$1:$BM$1,),))/VLOOKUP(A63,Data!$E:$BM,MATCH(yoy!$C$1,Data!$E$1:$BM$1,),))+1)^12-1</f>
        <v/>
      </c>
      <c r="D63" s="14">
        <f>(((VLOOKUP(B63,Data!$E:$BM,MATCH(yoy!$D$1,Data!$E$1:$BM$1,),)-VLOOKUP(A63,Data!$E:$BM,MATCH(yoy!$D$1,Data!$E$1:$BM$1,),))/VLOOKUP(A63,Data!$E:$BM,MATCH(yoy!$D$1,Data!$E$1:$BM$1,),))+1)^12-1</f>
        <v/>
      </c>
      <c r="E63" s="14" t="n"/>
      <c r="F63" s="14">
        <f>(((VLOOKUP(B63,Data!$E:$BM,MATCH(yoy!$F$1,Data!$E$1:$BM$1,),)-VLOOKUP(A63,Data!$E:$BM,MATCH(yoy!$F$1,Data!$E$1:$BM$1,),))/VLOOKUP(A63,Data!$E:$BM,MATCH(yoy!$F$1,Data!$E$1:$BM$1,),))+1)^12-1</f>
        <v/>
      </c>
      <c r="G63" s="14">
        <f>(((VLOOKUP(B63,Data!$E:$BM,MATCH(yoy!$G$1,Data!$E$1:$BM$1,),)-VLOOKUP(A63,Data!$E:$BM,MATCH(yoy!$G$1,Data!$E$1:$BM$1,),))/VLOOKUP(A63,Data!$E:$BM,MATCH(yoy!$G$1,Data!$E$1:$BM$1,),))+1)^12-1</f>
        <v/>
      </c>
      <c r="H63" s="14">
        <f>(((VLOOKUP(B63,Data!$E:$BM,MATCH(yoy!$H$1,Data!$E$1:$BM$1,),)-VLOOKUP(A63,Data!$E:$BM,MATCH(yoy!$H$1,Data!$E$1:$BM$1,),))/VLOOKUP(A63,Data!$E:$BM,MATCH(yoy!$H$1,Data!$E$1:$BM$1,),))+1)^12-1</f>
        <v/>
      </c>
      <c r="I63" s="14" t="n"/>
      <c r="J63" s="14" t="n"/>
      <c r="K63" s="14">
        <f>(((VLOOKUP(B63,Data!$E:$BM,MATCH(yoy!$K$1,Data!$E$1:$BM$1,),)-VLOOKUP(A63,Data!$E:$BM,MATCH(yoy!$K$1,Data!$E$1:$BM$1,),))/VLOOKUP(A63,Data!$E:$BM,MATCH(yoy!$K$1,Data!$E$1:$BM$1,),))+1)^12-1</f>
        <v/>
      </c>
      <c r="L63" s="14" t="n"/>
      <c r="M63" s="14" t="n"/>
      <c r="N63" s="14" t="n"/>
      <c r="O63" s="14" t="n"/>
      <c r="P63" s="14">
        <f>(((VLOOKUP(B63,Data!$E:$BM,MATCH(yoy!$P$1,Data!$E$1:$BM$1,),)-VLOOKUP(A63,Data!$E:$BM,MATCH(yoy!$P$1,Data!$E$1:$BM$1,),))/VLOOKUP(A63,Data!$E:$BM,MATCH(yoy!$P$1,Data!$E$1:$BM$1,),))+1)^12-1</f>
        <v/>
      </c>
      <c r="Q63" s="14">
        <f>(((VLOOKUP(B63,Data!$E:$BM,MATCH(yoy!$Q$1,Data!$E$1:$BM$1,),)-VLOOKUP(A63,Data!$E:$BM,MATCH(yoy!$Q$1,Data!$E$1:$BM$1,),))/VLOOKUP(A63,Data!$E:$BM,MATCH(yoy!$Q$1,Data!$E$1:$BM$1,),))+1)^12-1</f>
        <v/>
      </c>
      <c r="R63" s="14" t="n"/>
      <c r="S63" s="14">
        <f>(((VLOOKUP(B63,Data!$E:$BM,MATCH(yoy!$S$1,Data!$E$1:$BM$1,),)-VLOOKUP(A63,Data!$E:$BM,MATCH(yoy!$S$1,Data!$E$1:$BM$1,),))/VLOOKUP(A63,Data!$E:$BM,MATCH(yoy!$S$1,Data!$E$1:$BM$1,),))+1)^12-1</f>
        <v/>
      </c>
      <c r="T63" s="14" t="n"/>
      <c r="U63" s="14" t="n"/>
      <c r="V63" s="14">
        <f>(((VLOOKUP(B63,Data!$E:$BM,MATCH(yoy!$V$1,Data!$E$1:$BM$1,),)-VLOOKUP(A63,Data!$E:$BM,MATCH(yoy!$V$1,Data!$E$1:$BM$1,),))/VLOOKUP(A63,Data!$E:$BM,MATCH(yoy!$V$1,Data!$E$1:$BM$1,),))+1)^12-1</f>
        <v/>
      </c>
      <c r="W63" s="14" t="n"/>
      <c r="X63" s="14">
        <f>(((VLOOKUP(B63,Data!$E:$BM,MATCH(yoy!$X$1,Data!$E$1:$BM$1,),)-VLOOKUP(A63,Data!$E:$BM,MATCH(yoy!$X$1,Data!$E$1:$BM$1,),))/VLOOKUP(A63,Data!$E:$BM,MATCH(yoy!$X$1,Data!$E$1:$BM$1,),))+1)^12-1</f>
        <v/>
      </c>
      <c r="Y63" s="14" t="n"/>
      <c r="Z63" s="14">
        <f>(((VLOOKUP(B63,Data!$E:$BM,MATCH(yoy!$Z$1,Data!$E$1:$BM$1,),)-VLOOKUP(A63,Data!$E:$BM,MATCH(yoy!$Z$1,Data!$E$1:$BM$1,),))/VLOOKUP(A63,Data!$E:$BM,MATCH(yoy!$Z$1,Data!$E$1:$BM$1,),))+1)^12-1</f>
        <v/>
      </c>
      <c r="AA63" s="14" t="n"/>
    </row>
    <row r="64" customFormat="1" s="83">
      <c r="A64" s="20">
        <f>DATE(YEAR(B64),MONTH(B64)-1,DAY(B64))</f>
        <v/>
      </c>
      <c r="B64" s="12" t="n">
        <v>43800</v>
      </c>
      <c r="C64" s="14">
        <f>(((VLOOKUP(B64,Data!$E:$BM,MATCH(yoy!$C$1,Data!$E$1:$BM$1,),)-VLOOKUP(A64,Data!$E:$BM,MATCH(yoy!$C$1,Data!$E$1:$BM$1,),))/VLOOKUP(A64,Data!$E:$BM,MATCH(yoy!$C$1,Data!$E$1:$BM$1,),))+1)^12-1</f>
        <v/>
      </c>
      <c r="D64" s="14">
        <f>(((VLOOKUP(B64,Data!$E:$BM,MATCH(yoy!$D$1,Data!$E$1:$BM$1,),)-VLOOKUP(A64,Data!$E:$BM,MATCH(yoy!$D$1,Data!$E$1:$BM$1,),))/VLOOKUP(A64,Data!$E:$BM,MATCH(yoy!$D$1,Data!$E$1:$BM$1,),))+1)^12-1</f>
        <v/>
      </c>
      <c r="E64" s="14" t="n"/>
      <c r="F64" s="14">
        <f>(((VLOOKUP(B64,Data!$E:$BM,MATCH(yoy!$F$1,Data!$E$1:$BM$1,),)-VLOOKUP(A64,Data!$E:$BM,MATCH(yoy!$F$1,Data!$E$1:$BM$1,),))/VLOOKUP(A64,Data!$E:$BM,MATCH(yoy!$F$1,Data!$E$1:$BM$1,),))+1)^12-1</f>
        <v/>
      </c>
      <c r="G64" s="14">
        <f>(((VLOOKUP(B64,Data!$E:$BM,MATCH(yoy!$G$1,Data!$E$1:$BM$1,),)-VLOOKUP(A64,Data!$E:$BM,MATCH(yoy!$G$1,Data!$E$1:$BM$1,),))/VLOOKUP(A64,Data!$E:$BM,MATCH(yoy!$G$1,Data!$E$1:$BM$1,),))+1)^12-1</f>
        <v/>
      </c>
      <c r="H64" s="14">
        <f>(((VLOOKUP(B64,Data!$E:$BM,MATCH(yoy!$H$1,Data!$E$1:$BM$1,),)-VLOOKUP(A64,Data!$E:$BM,MATCH(yoy!$H$1,Data!$E$1:$BM$1,),))/VLOOKUP(A64,Data!$E:$BM,MATCH(yoy!$H$1,Data!$E$1:$BM$1,),))+1)^12-1</f>
        <v/>
      </c>
      <c r="I64" s="14" t="n"/>
      <c r="J64" s="14" t="n"/>
      <c r="K64" s="14">
        <f>(((VLOOKUP(B64,Data!$E:$BM,MATCH(yoy!$K$1,Data!$E$1:$BM$1,),)-VLOOKUP(A64,Data!$E:$BM,MATCH(yoy!$K$1,Data!$E$1:$BM$1,),))/VLOOKUP(A64,Data!$E:$BM,MATCH(yoy!$K$1,Data!$E$1:$BM$1,),))+1)^12-1</f>
        <v/>
      </c>
      <c r="L64" s="14" t="n"/>
      <c r="M64" s="14" t="n"/>
      <c r="N64" s="14" t="n"/>
      <c r="O64" s="14" t="n"/>
      <c r="P64" s="14">
        <f>(((VLOOKUP(B64,Data!$E:$BM,MATCH(yoy!$P$1,Data!$E$1:$BM$1,),)-VLOOKUP(A64,Data!$E:$BM,MATCH(yoy!$P$1,Data!$E$1:$BM$1,),))/VLOOKUP(A64,Data!$E:$BM,MATCH(yoy!$P$1,Data!$E$1:$BM$1,),))+1)^12-1</f>
        <v/>
      </c>
      <c r="Q64" s="14">
        <f>(((VLOOKUP(B64,Data!$E:$BM,MATCH(yoy!$Q$1,Data!$E$1:$BM$1,),)-VLOOKUP(A64,Data!$E:$BM,MATCH(yoy!$Q$1,Data!$E$1:$BM$1,),))/VLOOKUP(A64,Data!$E:$BM,MATCH(yoy!$Q$1,Data!$E$1:$BM$1,),))+1)^12-1</f>
        <v/>
      </c>
      <c r="R64" s="14" t="n"/>
      <c r="S64" s="14">
        <f>(((VLOOKUP(B64,Data!$E:$BM,MATCH(yoy!$S$1,Data!$E$1:$BM$1,),)-VLOOKUP(A64,Data!$E:$BM,MATCH(yoy!$S$1,Data!$E$1:$BM$1,),))/VLOOKUP(A64,Data!$E:$BM,MATCH(yoy!$S$1,Data!$E$1:$BM$1,),))+1)^12-1</f>
        <v/>
      </c>
      <c r="T64" s="14" t="n"/>
      <c r="U64" s="14" t="n"/>
      <c r="V64" s="14">
        <f>(((VLOOKUP(B64,Data!$E:$BM,MATCH(yoy!$V$1,Data!$E$1:$BM$1,),)-VLOOKUP(A64,Data!$E:$BM,MATCH(yoy!$V$1,Data!$E$1:$BM$1,),))/VLOOKUP(A64,Data!$E:$BM,MATCH(yoy!$V$1,Data!$E$1:$BM$1,),))+1)^12-1</f>
        <v/>
      </c>
      <c r="W64" s="14" t="n"/>
      <c r="X64" s="14">
        <f>(((VLOOKUP(B64,Data!$E:$BM,MATCH(yoy!$X$1,Data!$E$1:$BM$1,),)-VLOOKUP(A64,Data!$E:$BM,MATCH(yoy!$X$1,Data!$E$1:$BM$1,),))/VLOOKUP(A64,Data!$E:$BM,MATCH(yoy!$X$1,Data!$E$1:$BM$1,),))+1)^12-1</f>
        <v/>
      </c>
      <c r="Y64" s="14" t="n"/>
      <c r="Z64" s="14">
        <f>(((VLOOKUP(B64,Data!$E:$BM,MATCH(yoy!$Z$1,Data!$E$1:$BM$1,),)-VLOOKUP(A64,Data!$E:$BM,MATCH(yoy!$Z$1,Data!$E$1:$BM$1,),))/VLOOKUP(A64,Data!$E:$BM,MATCH(yoy!$Z$1,Data!$E$1:$BM$1,),))+1)^12-1</f>
        <v/>
      </c>
      <c r="AA64" s="14" t="n"/>
    </row>
    <row r="65" customFormat="1" s="83">
      <c r="A65" s="20">
        <f>DATE(YEAR(B65),MONTH(B65)-1,DAY(B65))</f>
        <v/>
      </c>
      <c r="B65" s="12" t="n">
        <v>43831</v>
      </c>
      <c r="C65" s="14">
        <f>(((VLOOKUP(B65,Data!$E:$BM,MATCH(yoy!$C$1,Data!$E$1:$BM$1,),)-VLOOKUP(A65,Data!$E:$BM,MATCH(yoy!$C$1,Data!$E$1:$BM$1,),))/VLOOKUP(A65,Data!$E:$BM,MATCH(yoy!$C$1,Data!$E$1:$BM$1,),))+1)^12-1</f>
        <v/>
      </c>
      <c r="D65" s="14">
        <f>(((VLOOKUP(B65,Data!$E:$BM,MATCH(yoy!$D$1,Data!$E$1:$BM$1,),)-VLOOKUP(A65,Data!$E:$BM,MATCH(yoy!$D$1,Data!$E$1:$BM$1,),))/VLOOKUP(A65,Data!$E:$BM,MATCH(yoy!$D$1,Data!$E$1:$BM$1,),))+1)^12-1</f>
        <v/>
      </c>
      <c r="E65" s="14" t="n"/>
      <c r="F65" s="14">
        <f>(((VLOOKUP(B65,Data!$E:$BM,MATCH(yoy!$F$1,Data!$E$1:$BM$1,),)-VLOOKUP(A65,Data!$E:$BM,MATCH(yoy!$F$1,Data!$E$1:$BM$1,),))/VLOOKUP(A65,Data!$E:$BM,MATCH(yoy!$F$1,Data!$E$1:$BM$1,),))+1)^12-1</f>
        <v/>
      </c>
      <c r="G65" s="14">
        <f>(((VLOOKUP(B65,Data!$E:$BM,MATCH(yoy!$G$1,Data!$E$1:$BM$1,),)-VLOOKUP(A65,Data!$E:$BM,MATCH(yoy!$G$1,Data!$E$1:$BM$1,),))/VLOOKUP(A65,Data!$E:$BM,MATCH(yoy!$G$1,Data!$E$1:$BM$1,),))+1)^12-1</f>
        <v/>
      </c>
      <c r="H65" s="14">
        <f>(((VLOOKUP(B65,Data!$E:$BM,MATCH(yoy!$H$1,Data!$E$1:$BM$1,),)-VLOOKUP(A65,Data!$E:$BM,MATCH(yoy!$H$1,Data!$E$1:$BM$1,),))/VLOOKUP(A65,Data!$E:$BM,MATCH(yoy!$H$1,Data!$E$1:$BM$1,),))+1)^12-1</f>
        <v/>
      </c>
      <c r="I65" s="14" t="n"/>
      <c r="J65" s="14" t="n"/>
      <c r="K65" s="14">
        <f>(((VLOOKUP(B65,Data!$E:$BM,MATCH(yoy!$K$1,Data!$E$1:$BM$1,),)-VLOOKUP(A65,Data!$E:$BM,MATCH(yoy!$K$1,Data!$E$1:$BM$1,),))/VLOOKUP(A65,Data!$E:$BM,MATCH(yoy!$K$1,Data!$E$1:$BM$1,),))+1)^12-1</f>
        <v/>
      </c>
      <c r="L65" s="14" t="n"/>
      <c r="M65" s="14" t="n"/>
      <c r="N65" s="14" t="n"/>
      <c r="O65" s="14" t="n"/>
      <c r="P65" s="14">
        <f>(((VLOOKUP(B65,Data!$E:$BM,MATCH(yoy!$P$1,Data!$E$1:$BM$1,),)-VLOOKUP(A65,Data!$E:$BM,MATCH(yoy!$P$1,Data!$E$1:$BM$1,),))/VLOOKUP(A65,Data!$E:$BM,MATCH(yoy!$P$1,Data!$E$1:$BM$1,),))+1)^12-1</f>
        <v/>
      </c>
      <c r="Q65" s="14">
        <f>(((VLOOKUP(B65,Data!$E:$BM,MATCH(yoy!$Q$1,Data!$E$1:$BM$1,),)-VLOOKUP(A65,Data!$E:$BM,MATCH(yoy!$Q$1,Data!$E$1:$BM$1,),))/VLOOKUP(A65,Data!$E:$BM,MATCH(yoy!$Q$1,Data!$E$1:$BM$1,),))+1)^12-1</f>
        <v/>
      </c>
      <c r="R65" s="14" t="n"/>
      <c r="S65" s="14">
        <f>(((VLOOKUP(B65,Data!$E:$BM,MATCH(yoy!$S$1,Data!$E$1:$BM$1,),)-VLOOKUP(A65,Data!$E:$BM,MATCH(yoy!$S$1,Data!$E$1:$BM$1,),))/VLOOKUP(A65,Data!$E:$BM,MATCH(yoy!$S$1,Data!$E$1:$BM$1,),))+1)^12-1</f>
        <v/>
      </c>
      <c r="T65" s="14" t="n"/>
      <c r="U65" s="14" t="n"/>
      <c r="V65" s="14">
        <f>(((VLOOKUP(B65,Data!$E:$BM,MATCH(yoy!$V$1,Data!$E$1:$BM$1,),)-VLOOKUP(A65,Data!$E:$BM,MATCH(yoy!$V$1,Data!$E$1:$BM$1,),))/VLOOKUP(A65,Data!$E:$BM,MATCH(yoy!$V$1,Data!$E$1:$BM$1,),))+1)^12-1</f>
        <v/>
      </c>
      <c r="W65" s="14" t="n"/>
      <c r="X65" s="14">
        <f>(((VLOOKUP(B65,Data!$E:$BM,MATCH(yoy!$X$1,Data!$E$1:$BM$1,),)-VLOOKUP(A65,Data!$E:$BM,MATCH(yoy!$X$1,Data!$E$1:$BM$1,),))/VLOOKUP(A65,Data!$E:$BM,MATCH(yoy!$X$1,Data!$E$1:$BM$1,),))+1)^12-1</f>
        <v/>
      </c>
      <c r="Y65" s="14" t="n"/>
      <c r="Z65" s="14">
        <f>(((VLOOKUP(B65,Data!$E:$BM,MATCH(yoy!$Z$1,Data!$E$1:$BM$1,),)-VLOOKUP(A65,Data!$E:$BM,MATCH(yoy!$Z$1,Data!$E$1:$BM$1,),))/VLOOKUP(A65,Data!$E:$BM,MATCH(yoy!$Z$1,Data!$E$1:$BM$1,),))+1)^12-1</f>
        <v/>
      </c>
      <c r="AA65" s="14" t="n"/>
    </row>
    <row r="66" customFormat="1" s="83">
      <c r="A66" s="20">
        <f>DATE(YEAR(B66),MONTH(B66)-1,DAY(B66))</f>
        <v/>
      </c>
      <c r="B66" s="12" t="n">
        <v>43862</v>
      </c>
      <c r="C66" s="14">
        <f>(((VLOOKUP(B66,Data!$E:$BM,MATCH(yoy!$C$1,Data!$E$1:$BM$1,),)-VLOOKUP(A66,Data!$E:$BM,MATCH(yoy!$C$1,Data!$E$1:$BM$1,),))/VLOOKUP(A66,Data!$E:$BM,MATCH(yoy!$C$1,Data!$E$1:$BM$1,),))+1)^12-1</f>
        <v/>
      </c>
      <c r="D66" s="14">
        <f>(((VLOOKUP(B66,Data!$E:$BM,MATCH(yoy!$D$1,Data!$E$1:$BM$1,),)-VLOOKUP(A66,Data!$E:$BM,MATCH(yoy!$D$1,Data!$E$1:$BM$1,),))/VLOOKUP(A66,Data!$E:$BM,MATCH(yoy!$D$1,Data!$E$1:$BM$1,),))+1)^12-1</f>
        <v/>
      </c>
      <c r="E66" s="14" t="n"/>
      <c r="F66" s="14">
        <f>(((VLOOKUP(B66,Data!$E:$BM,MATCH(yoy!$F$1,Data!$E$1:$BM$1,),)-VLOOKUP(A66,Data!$E:$BM,MATCH(yoy!$F$1,Data!$E$1:$BM$1,),))/VLOOKUP(A66,Data!$E:$BM,MATCH(yoy!$F$1,Data!$E$1:$BM$1,),))+1)^12-1</f>
        <v/>
      </c>
      <c r="G66" s="14">
        <f>(((VLOOKUP(B66,Data!$E:$BM,MATCH(yoy!$G$1,Data!$E$1:$BM$1,),)-VLOOKUP(A66,Data!$E:$BM,MATCH(yoy!$G$1,Data!$E$1:$BM$1,),))/VLOOKUP(A66,Data!$E:$BM,MATCH(yoy!$G$1,Data!$E$1:$BM$1,),))+1)^12-1</f>
        <v/>
      </c>
      <c r="H66" s="14">
        <f>(((VLOOKUP(B66,Data!$E:$BM,MATCH(yoy!$H$1,Data!$E$1:$BM$1,),)-VLOOKUP(A66,Data!$E:$BM,MATCH(yoy!$H$1,Data!$E$1:$BM$1,),))/VLOOKUP(A66,Data!$E:$BM,MATCH(yoy!$H$1,Data!$E$1:$BM$1,),))+1)^12-1</f>
        <v/>
      </c>
      <c r="I66" s="14" t="n"/>
      <c r="J66" s="14" t="n"/>
      <c r="K66" s="14">
        <f>(((VLOOKUP(B66,Data!$E:$BM,MATCH(yoy!$K$1,Data!$E$1:$BM$1,),)-VLOOKUP(A66,Data!$E:$BM,MATCH(yoy!$K$1,Data!$E$1:$BM$1,),))/VLOOKUP(A66,Data!$E:$BM,MATCH(yoy!$K$1,Data!$E$1:$BM$1,),))+1)^12-1</f>
        <v/>
      </c>
      <c r="L66" s="14" t="n"/>
      <c r="M66" s="14" t="n"/>
      <c r="N66" s="14" t="n"/>
      <c r="O66" s="14" t="n"/>
      <c r="P66" s="14">
        <f>(((VLOOKUP(B66,Data!$E:$BM,MATCH(yoy!$P$1,Data!$E$1:$BM$1,),)-VLOOKUP(A66,Data!$E:$BM,MATCH(yoy!$P$1,Data!$E$1:$BM$1,),))/VLOOKUP(A66,Data!$E:$BM,MATCH(yoy!$P$1,Data!$E$1:$BM$1,),))+1)^12-1</f>
        <v/>
      </c>
      <c r="Q66" s="14">
        <f>(((VLOOKUP(B66,Data!$E:$BM,MATCH(yoy!$Q$1,Data!$E$1:$BM$1,),)-VLOOKUP(A66,Data!$E:$BM,MATCH(yoy!$Q$1,Data!$E$1:$BM$1,),))/VLOOKUP(A66,Data!$E:$BM,MATCH(yoy!$Q$1,Data!$E$1:$BM$1,),))+1)^12-1</f>
        <v/>
      </c>
      <c r="R66" s="14" t="n"/>
      <c r="S66" s="14">
        <f>(((VLOOKUP(B66,Data!$E:$BM,MATCH(yoy!$S$1,Data!$E$1:$BM$1,),)-VLOOKUP(A66,Data!$E:$BM,MATCH(yoy!$S$1,Data!$E$1:$BM$1,),))/VLOOKUP(A66,Data!$E:$BM,MATCH(yoy!$S$1,Data!$E$1:$BM$1,),))+1)^12-1</f>
        <v/>
      </c>
      <c r="T66" s="14" t="n"/>
      <c r="U66" s="14" t="n"/>
      <c r="V66" s="14">
        <f>(((VLOOKUP(B66,Data!$E:$BM,MATCH(yoy!$V$1,Data!$E$1:$BM$1,),)-VLOOKUP(A66,Data!$E:$BM,MATCH(yoy!$V$1,Data!$E$1:$BM$1,),))/VLOOKUP(A66,Data!$E:$BM,MATCH(yoy!$V$1,Data!$E$1:$BM$1,),))+1)^12-1</f>
        <v/>
      </c>
      <c r="W66" s="14" t="n"/>
      <c r="X66" s="14">
        <f>(((VLOOKUP(B66,Data!$E:$BM,MATCH(yoy!$X$1,Data!$E$1:$BM$1,),)-VLOOKUP(A66,Data!$E:$BM,MATCH(yoy!$X$1,Data!$E$1:$BM$1,),))/VLOOKUP(A66,Data!$E:$BM,MATCH(yoy!$X$1,Data!$E$1:$BM$1,),))+1)^12-1</f>
        <v/>
      </c>
      <c r="Y66" s="14" t="n"/>
      <c r="Z66" s="14">
        <f>(((VLOOKUP(B66,Data!$E:$BM,MATCH(yoy!$Z$1,Data!$E$1:$BM$1,),)-VLOOKUP(A66,Data!$E:$BM,MATCH(yoy!$Z$1,Data!$E$1:$BM$1,),))/VLOOKUP(A66,Data!$E:$BM,MATCH(yoy!$Z$1,Data!$E$1:$BM$1,),))+1)^12-1</f>
        <v/>
      </c>
      <c r="AA66" s="14" t="n"/>
    </row>
    <row r="67" customFormat="1" s="83"/>
    <row r="68" customFormat="1" s="83"/>
    <row r="69" customFormat="1" s="83"/>
    <row r="70" customFormat="1" s="83"/>
    <row r="71" customFormat="1" s="83"/>
    <row r="72" customFormat="1" s="83"/>
    <row r="73" customFormat="1" s="83"/>
    <row r="74" customFormat="1" s="83"/>
    <row r="75" customFormat="1" s="83"/>
    <row r="76" customFormat="1" s="83"/>
    <row r="77" customFormat="1" s="83"/>
    <row r="78" customFormat="1" s="83"/>
    <row r="79" customFormat="1" s="83"/>
    <row r="80" customFormat="1" s="83"/>
    <row r="81" customFormat="1" s="83"/>
    <row r="82" customFormat="1" s="83"/>
    <row r="83" customFormat="1" s="83"/>
    <row r="84" customFormat="1" s="83"/>
    <row r="85" customFormat="1" s="83"/>
    <row r="86" customFormat="1" s="83"/>
    <row r="87" customFormat="1" s="83"/>
    <row r="88" customFormat="1" s="83"/>
    <row r="89" customFormat="1" s="83"/>
    <row r="90" customFormat="1" s="83"/>
    <row r="91" customFormat="1" s="83"/>
    <row r="92" customFormat="1" s="83"/>
    <row r="93" customFormat="1" s="83"/>
    <row r="94" customFormat="1" s="83"/>
    <row r="95" customFormat="1" s="83"/>
    <row r="96" customFormat="1" s="83"/>
    <row r="97" customFormat="1" s="83"/>
    <row r="98" customFormat="1" s="83"/>
    <row r="99" customFormat="1" s="83"/>
    <row r="100" customFormat="1" s="83"/>
    <row r="101" customFormat="1" s="83"/>
    <row r="102" customFormat="1" s="83"/>
    <row r="103" customFormat="1" s="83"/>
    <row r="104" customFormat="1" s="83"/>
    <row r="105" customFormat="1" s="83"/>
    <row r="106" customFormat="1" s="83"/>
    <row r="107" customFormat="1" s="83"/>
    <row r="108" customFormat="1" s="83"/>
    <row r="109" customFormat="1" s="83"/>
    <row r="110" customFormat="1" s="83"/>
    <row r="111" customFormat="1" s="83"/>
    <row r="112" customFormat="1" s="83"/>
    <row r="113" customFormat="1" s="83"/>
    <row r="114" customFormat="1" s="83"/>
    <row r="115" customFormat="1" s="83"/>
    <row r="116" customFormat="1" s="83"/>
    <row r="117" customFormat="1" s="83"/>
    <row r="118" customFormat="1" s="83"/>
    <row r="119" customFormat="1" s="83"/>
    <row r="120" customFormat="1" s="83"/>
    <row r="121" customFormat="1" s="83"/>
    <row r="122" customFormat="1" s="83"/>
    <row r="123" customFormat="1" s="83"/>
    <row r="124" customFormat="1" s="83"/>
    <row r="125" customFormat="1" s="83"/>
    <row r="126" customFormat="1" s="83"/>
    <row r="127" customFormat="1" s="83"/>
    <row r="128" customFormat="1" s="83"/>
    <row r="129" customFormat="1" s="83"/>
    <row r="130" customFormat="1" s="83"/>
    <row r="131" customFormat="1" s="83"/>
    <row r="132" customFormat="1" s="83"/>
    <row r="133" customFormat="1" s="83"/>
    <row r="134" customFormat="1" s="83"/>
    <row r="135" customFormat="1" s="83"/>
    <row r="136" customFormat="1" s="83"/>
    <row r="137" customFormat="1" s="83"/>
    <row r="138" customFormat="1" s="83"/>
    <row r="139" customFormat="1" s="83"/>
    <row r="140" customFormat="1" s="83"/>
    <row r="141" customFormat="1" s="83"/>
    <row r="142" customFormat="1" s="83"/>
    <row r="143" customFormat="1" s="83"/>
    <row r="144" customFormat="1" s="83"/>
    <row r="145" customFormat="1" s="83"/>
    <row r="146" customFormat="1" s="83"/>
    <row r="147" customFormat="1" s="83"/>
    <row r="148" customFormat="1" s="83"/>
    <row r="149" customFormat="1" s="83"/>
    <row r="150" customFormat="1" s="83"/>
    <row r="151" customFormat="1" s="83"/>
    <row r="152" customFormat="1" s="83"/>
    <row r="153" customFormat="1" s="83"/>
    <row r="154" customFormat="1" s="83"/>
    <row r="155" customFormat="1" s="83"/>
    <row r="156" customFormat="1" s="83"/>
    <row r="157" customFormat="1" s="83"/>
    <row r="158" customFormat="1" s="83"/>
    <row r="159" customFormat="1" s="83"/>
    <row r="160" customFormat="1" s="83"/>
    <row r="161" customFormat="1" s="83"/>
    <row r="162" customFormat="1" s="83"/>
    <row r="163" customFormat="1" s="83"/>
    <row r="164" customFormat="1" s="83"/>
    <row r="165" customFormat="1" s="83"/>
    <row r="166" customFormat="1" s="83"/>
    <row r="167" customFormat="1" s="83"/>
    <row r="168" customFormat="1" s="83"/>
    <row r="169" customFormat="1" s="83"/>
    <row r="170" customFormat="1" s="83"/>
    <row r="171" customFormat="1" s="83"/>
    <row r="172" customFormat="1" s="83"/>
    <row r="173" customFormat="1" s="83"/>
    <row r="174" customFormat="1" s="83"/>
    <row r="175" customFormat="1" s="83"/>
    <row r="176" customFormat="1" s="83"/>
    <row r="177" customFormat="1" s="83"/>
    <row r="178" customFormat="1" s="83"/>
    <row r="179" customFormat="1" s="83"/>
    <row r="180" customFormat="1" s="83"/>
    <row r="181" customFormat="1" s="83"/>
    <row r="182" customFormat="1" s="83"/>
    <row r="183" customFormat="1" s="83"/>
    <row r="184" customFormat="1" s="83"/>
    <row r="185" customFormat="1" s="83"/>
    <row r="186" customFormat="1" s="83"/>
    <row r="187" customFormat="1" s="83"/>
    <row r="188" customFormat="1" s="83"/>
    <row r="189" customFormat="1" s="83"/>
    <row r="190" customFormat="1" s="83"/>
    <row r="191" customFormat="1" s="83"/>
    <row r="192" customFormat="1" s="83"/>
    <row r="193" customFormat="1" s="83"/>
    <row r="194" customFormat="1" s="83"/>
    <row r="195" customFormat="1" s="83"/>
    <row r="196" customFormat="1" s="83"/>
    <row r="197" customFormat="1" s="83"/>
    <row r="198" customFormat="1" s="83"/>
    <row r="199" customFormat="1" s="83"/>
    <row r="200" customFormat="1" s="83"/>
    <row r="201" customFormat="1" s="83"/>
    <row r="202" customFormat="1" s="83"/>
    <row r="203" customFormat="1" s="83"/>
    <row r="204" customFormat="1" s="83"/>
    <row r="205" customFormat="1" s="83"/>
    <row r="206" customFormat="1" s="83"/>
    <row r="207" customFormat="1" s="83"/>
    <row r="208" customFormat="1" s="83"/>
    <row r="209" customFormat="1" s="83"/>
    <row r="210" customFormat="1" s="83"/>
    <row r="211" customFormat="1" s="83"/>
    <row r="212" customFormat="1" s="83"/>
    <row r="213" customFormat="1" s="83"/>
    <row r="214" customFormat="1" s="83"/>
    <row r="215" customFormat="1" s="83"/>
    <row r="216" customFormat="1" s="83"/>
    <row r="217" customFormat="1" s="83"/>
    <row r="218" customFormat="1" s="83"/>
    <row r="219" customFormat="1" s="83"/>
    <row r="220" customFormat="1" s="83"/>
    <row r="221" customFormat="1" s="83"/>
    <row r="222" customFormat="1" s="83"/>
    <row r="223" customFormat="1" s="83"/>
    <row r="224" customFormat="1" s="83"/>
    <row r="225" customFormat="1" s="83"/>
    <row r="226" customFormat="1" s="83"/>
    <row r="227" customFormat="1" s="83"/>
    <row r="228" customFormat="1" s="83"/>
    <row r="229" customFormat="1" s="83"/>
    <row r="230" customFormat="1" s="83"/>
    <row r="231" customFormat="1" s="83"/>
    <row r="232" customFormat="1" s="83"/>
    <row r="233" customFormat="1" s="83"/>
    <row r="234" customFormat="1" s="83"/>
    <row r="235" customFormat="1" s="83"/>
    <row r="236" customFormat="1" s="83"/>
    <row r="237" customFormat="1" s="83"/>
    <row r="238" customFormat="1" s="83"/>
    <row r="239" customFormat="1" s="83"/>
    <row r="240" customFormat="1" s="83"/>
    <row r="241" customFormat="1" s="83"/>
    <row r="242" customFormat="1" s="83"/>
    <row r="243" customFormat="1" s="83"/>
    <row r="244" customFormat="1" s="83"/>
    <row r="245" customFormat="1" s="83"/>
    <row r="246" customFormat="1" s="83"/>
    <row r="247" customFormat="1" s="83"/>
    <row r="248" customFormat="1" s="83"/>
    <row r="249" customFormat="1" s="83"/>
    <row r="250" customFormat="1" s="83"/>
    <row r="251" customFormat="1" s="83"/>
    <row r="252" customFormat="1" s="83"/>
    <row r="253" customFormat="1" s="83"/>
    <row r="254" customFormat="1" s="83"/>
    <row r="255" customFormat="1" s="83"/>
    <row r="256" customFormat="1" s="83"/>
    <row r="257" customFormat="1" s="83"/>
    <row r="258" customFormat="1" s="83"/>
    <row r="259" customFormat="1" s="83"/>
    <row r="260" customFormat="1" s="83"/>
    <row r="261" customFormat="1" s="83"/>
    <row r="262" customFormat="1" s="83"/>
    <row r="263" customFormat="1" s="83"/>
    <row r="264" customFormat="1" s="83"/>
    <row r="265" customFormat="1" s="83"/>
    <row r="266" customFormat="1" s="83"/>
    <row r="267" customFormat="1" s="83"/>
    <row r="268" customFormat="1" s="83"/>
    <row r="269" customFormat="1" s="83"/>
    <row r="270" customFormat="1" s="83"/>
    <row r="271" customFormat="1" s="83"/>
    <row r="272" customFormat="1" s="83"/>
    <row r="273" customFormat="1" s="83"/>
    <row r="274" customFormat="1" s="83"/>
    <row r="275" customFormat="1" s="83"/>
    <row r="276" customFormat="1" s="83"/>
    <row r="277" customFormat="1" s="83"/>
    <row r="278" customFormat="1" s="83"/>
    <row r="279" customFormat="1" s="83"/>
    <row r="280" customFormat="1" s="83"/>
    <row r="281" customFormat="1" s="83"/>
    <row r="282" customFormat="1" s="83"/>
    <row r="283" customFormat="1" s="83"/>
    <row r="284" customFormat="1" s="83"/>
    <row r="285" customFormat="1" s="83"/>
    <row r="286" customFormat="1" s="83"/>
    <row r="287" customFormat="1" s="83"/>
    <row r="288" customFormat="1" s="83"/>
    <row r="289" customFormat="1" s="83"/>
    <row r="290" customFormat="1" s="83"/>
    <row r="291" customFormat="1" s="83"/>
    <row r="292" customFormat="1" s="83"/>
    <row r="293" customFormat="1" s="83"/>
    <row r="294" customFormat="1" s="83"/>
    <row r="295" customFormat="1" s="83"/>
    <row r="296" customFormat="1" s="83"/>
    <row r="297" customFormat="1" s="83"/>
    <row r="298" customFormat="1" s="83"/>
    <row r="299" customFormat="1" s="83"/>
    <row r="300" customFormat="1" s="83"/>
    <row r="301" customFormat="1" s="83"/>
    <row r="302" customFormat="1" s="83"/>
    <row r="303" customFormat="1" s="83"/>
    <row r="304" customFormat="1" s="83"/>
    <row r="305" customFormat="1" s="83"/>
    <row r="306" customFormat="1" s="83"/>
    <row r="307" customFormat="1" s="83"/>
    <row r="308" customFormat="1" s="83"/>
    <row r="309" customFormat="1" s="83"/>
    <row r="310" customFormat="1" s="83"/>
    <row r="311" customFormat="1" s="83"/>
    <row r="312" customFormat="1" s="83"/>
    <row r="313" customFormat="1" s="83"/>
    <row r="314" customFormat="1" s="83"/>
    <row r="315" customFormat="1" s="83"/>
    <row r="316" customFormat="1" s="83"/>
    <row r="317" customFormat="1" s="83"/>
    <row r="318" customFormat="1" s="83"/>
    <row r="319" customFormat="1" s="83"/>
    <row r="320" customFormat="1" s="83"/>
    <row r="321" customFormat="1" s="83"/>
    <row r="322" customFormat="1" s="83"/>
    <row r="323" customFormat="1" s="83"/>
    <row r="324" customFormat="1" s="83"/>
    <row r="325" customFormat="1" s="83"/>
    <row r="326" customFormat="1" s="83"/>
    <row r="327" customFormat="1" s="83"/>
    <row r="328" customFormat="1" s="83"/>
    <row r="329" customFormat="1" s="83"/>
    <row r="330" customFormat="1" s="83"/>
    <row r="331" customFormat="1" s="83"/>
    <row r="332" customFormat="1" s="83"/>
    <row r="333" customFormat="1" s="83"/>
    <row r="334" customFormat="1" s="83"/>
    <row r="335" customFormat="1" s="83"/>
    <row r="336" customFormat="1" s="83"/>
    <row r="337" customFormat="1" s="83"/>
    <row r="338" customFormat="1" s="83"/>
    <row r="339" customFormat="1" s="83"/>
    <row r="340" customFormat="1" s="83"/>
    <row r="341" customFormat="1" s="83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15"/>
  <sheetViews>
    <sheetView zoomScale="180" zoomScaleNormal="180" workbookViewId="0">
      <pane ySplit="5" topLeftCell="A674" activePane="bottomLeft" state="frozen"/>
      <selection pane="bottomLeft" activeCell="B714" sqref="B714"/>
    </sheetView>
  </sheetViews>
  <sheetFormatPr baseColWidth="10" defaultColWidth="9.1640625" defaultRowHeight="15"/>
  <cols>
    <col width="12" customWidth="1" style="83" min="1" max="1"/>
    <col width="14.33203125" customWidth="1" style="83" min="2" max="2"/>
    <col width="11.1640625" customWidth="1" style="16" min="3" max="4"/>
    <col width="9.1640625" customWidth="1" style="83" min="5" max="5"/>
    <col width="20.33203125" customWidth="1" style="83" min="6" max="6"/>
    <col width="14.6640625" customWidth="1" style="83" min="7" max="7"/>
    <col width="9.1640625" customWidth="1" style="83" min="8" max="11"/>
    <col width="9.1640625" customWidth="1" style="83" min="12" max="16384"/>
  </cols>
  <sheetData>
    <row r="1">
      <c r="A1" s="39" t="inlineStr">
        <is>
          <t>USA</t>
        </is>
      </c>
      <c r="C1" s="40" t="inlineStr">
        <is>
          <t>*Country to modify</t>
        </is>
      </c>
      <c r="F1" s="83">
        <f>"Money Supply M3 "&amp;A1</f>
        <v/>
      </c>
      <c r="G1" s="83">
        <f>F1&amp;" mom annualized"</f>
        <v/>
      </c>
    </row>
    <row r="2">
      <c r="F2" s="83" t="inlineStr">
        <is>
          <t>Average last 20 years</t>
        </is>
      </c>
      <c r="G2" s="38">
        <f>AVERAGE(D469:D708)</f>
        <v/>
      </c>
    </row>
    <row r="3">
      <c r="F3" s="83" t="inlineStr">
        <is>
          <t>Minimum last 20 years</t>
        </is>
      </c>
      <c r="G3" s="38">
        <f>MIN(D469:D716)</f>
        <v/>
      </c>
    </row>
    <row r="4" ht="16" customHeight="1" s="77" thickBot="1">
      <c r="F4" s="83" t="inlineStr">
        <is>
          <t>Maximum last 20 years</t>
        </is>
      </c>
      <c r="G4" s="38">
        <f>MAX(D469:D717)</f>
        <v/>
      </c>
    </row>
    <row r="5" ht="32" customHeight="1" s="77">
      <c r="A5" s="63" t="inlineStr">
        <is>
          <t>Date</t>
        </is>
      </c>
      <c r="B5" s="64" t="inlineStr">
        <is>
          <t>Country</t>
        </is>
      </c>
      <c r="C5" s="51" t="inlineStr">
        <is>
          <t>yoy</t>
        </is>
      </c>
      <c r="D5" s="52" t="inlineStr">
        <is>
          <t>mom annualized</t>
        </is>
      </c>
    </row>
    <row r="6">
      <c r="A6" s="36" t="n">
        <v>22282</v>
      </c>
      <c r="B6" s="37">
        <f>VLOOKUP(A6,Data!$E:$BG,MATCH(Country!$A$1,Data!$E$1:$BG$1,),)</f>
        <v/>
      </c>
      <c r="C6" s="24" t="n"/>
      <c r="D6" s="24" t="n"/>
    </row>
    <row r="7">
      <c r="A7" s="36" t="n">
        <v>22313</v>
      </c>
      <c r="B7" s="37">
        <f>VLOOKUP(A7,Data!$E:$BG,MATCH(Country!$A$1,Data!$E$1:$BG$1,),)</f>
        <v/>
      </c>
      <c r="C7" s="24" t="n"/>
      <c r="D7" s="65">
        <f>IF(Table2[[#This Row],[Country]]&gt;0,(((Table2[[#This Row],[Country]]-B6)/B6)+1)^12-1,"")</f>
        <v/>
      </c>
    </row>
    <row r="8">
      <c r="A8" s="36" t="n">
        <v>22341</v>
      </c>
      <c r="B8" s="37">
        <f>VLOOKUP(A8,Data!$E:$BG,MATCH(Country!$A$1,Data!$E$1:$BG$1,),)</f>
        <v/>
      </c>
      <c r="C8" s="24" t="n"/>
      <c r="D8" s="65">
        <f>IF(Table2[[#This Row],[Country]]&gt;0,(((Table2[[#This Row],[Country]]-B7)/B7)+1)^12-1,"")</f>
        <v/>
      </c>
    </row>
    <row r="9">
      <c r="A9" s="36" t="n">
        <v>22372</v>
      </c>
      <c r="B9" s="37">
        <f>VLOOKUP(A9,Data!$E:$BG,MATCH(Country!$A$1,Data!$E$1:$BG$1,),)</f>
        <v/>
      </c>
      <c r="C9" s="24" t="n"/>
      <c r="D9" s="65">
        <f>IF(Table2[[#This Row],[Country]]&gt;0,(((Table2[[#This Row],[Country]]-B8)/B8)+1)^12-1,"")</f>
        <v/>
      </c>
    </row>
    <row r="10">
      <c r="A10" s="36" t="n">
        <v>22402</v>
      </c>
      <c r="B10" s="37">
        <f>VLOOKUP(A10,Data!$E:$BG,MATCH(Country!$A$1,Data!$E$1:$BG$1,),)</f>
        <v/>
      </c>
      <c r="C10" s="24" t="n"/>
      <c r="D10" s="65">
        <f>IF(Table2[[#This Row],[Country]]&gt;0,(((Table2[[#This Row],[Country]]-B9)/B9)+1)^12-1,"")</f>
        <v/>
      </c>
    </row>
    <row r="11">
      <c r="A11" s="36" t="n">
        <v>22433</v>
      </c>
      <c r="B11" s="37">
        <f>VLOOKUP(A11,Data!$E:$BG,MATCH(Country!$A$1,Data!$E$1:$BG$1,),)</f>
        <v/>
      </c>
      <c r="C11" s="24" t="n"/>
      <c r="D11" s="65">
        <f>IF(Table2[[#This Row],[Country]]&gt;0,(((Table2[[#This Row],[Country]]-B10)/B10)+1)^12-1,"")</f>
        <v/>
      </c>
    </row>
    <row r="12">
      <c r="A12" s="36" t="n">
        <v>22463</v>
      </c>
      <c r="B12" s="37">
        <f>VLOOKUP(A12,Data!$E:$BG,MATCH(Country!$A$1,Data!$E$1:$BG$1,),)</f>
        <v/>
      </c>
      <c r="C12" s="24" t="n"/>
      <c r="D12" s="65">
        <f>IF(Table2[[#This Row],[Country]]&gt;0,(((Table2[[#This Row],[Country]]-B11)/B11)+1)^12-1,"")</f>
        <v/>
      </c>
    </row>
    <row r="13">
      <c r="A13" s="36" t="n">
        <v>22494</v>
      </c>
      <c r="B13" s="37">
        <f>VLOOKUP(A13,Data!$E:$BG,MATCH(Country!$A$1,Data!$E$1:$BG$1,),)</f>
        <v/>
      </c>
      <c r="C13" s="24" t="n"/>
      <c r="D13" s="65">
        <f>IF(Table2[[#This Row],[Country]]&gt;0,(((Table2[[#This Row],[Country]]-B12)/B12)+1)^12-1,"")</f>
        <v/>
      </c>
    </row>
    <row r="14">
      <c r="A14" s="36" t="n">
        <v>22525</v>
      </c>
      <c r="B14" s="37">
        <f>VLOOKUP(A14,Data!$E:$BG,MATCH(Country!$A$1,Data!$E$1:$BG$1,),)</f>
        <v/>
      </c>
      <c r="C14" s="24" t="n"/>
      <c r="D14" s="65">
        <f>IF(Table2[[#This Row],[Country]]&gt;0,(((Table2[[#This Row],[Country]]-B13)/B13)+1)^12-1,"")</f>
        <v/>
      </c>
    </row>
    <row r="15">
      <c r="A15" s="36" t="n">
        <v>22555</v>
      </c>
      <c r="B15" s="37">
        <f>VLOOKUP(A15,Data!$E:$BG,MATCH(Country!$A$1,Data!$E$1:$BG$1,),)</f>
        <v/>
      </c>
      <c r="C15" s="24" t="n"/>
      <c r="D15" s="65">
        <f>IF(Table2[[#This Row],[Country]]&gt;0,(((Table2[[#This Row],[Country]]-B14)/B14)+1)^12-1,"")</f>
        <v/>
      </c>
    </row>
    <row r="16">
      <c r="A16" s="36" t="n">
        <v>22586</v>
      </c>
      <c r="B16" s="37">
        <f>VLOOKUP(A16,Data!$E:$BG,MATCH(Country!$A$1,Data!$E$1:$BG$1,),)</f>
        <v/>
      </c>
      <c r="C16" s="24" t="n"/>
      <c r="D16" s="65">
        <f>IF(Table2[[#This Row],[Country]]&gt;0,(((Table2[[#This Row],[Country]]-B15)/B15)+1)^12-1,"")</f>
        <v/>
      </c>
    </row>
    <row r="17">
      <c r="A17" s="36" t="n">
        <v>22616</v>
      </c>
      <c r="B17" s="37">
        <f>VLOOKUP(A17,Data!$E:$BG,MATCH(Country!$A$1,Data!$E$1:$BG$1,),)</f>
        <v/>
      </c>
      <c r="C17" s="24" t="n"/>
      <c r="D17" s="65">
        <f>IF(Table2[[#This Row],[Country]]&gt;0,(((Table2[[#This Row],[Country]]-B16)/B16)+1)^12-1,"")</f>
        <v/>
      </c>
    </row>
    <row r="18">
      <c r="A18" s="36" t="n">
        <v>22647</v>
      </c>
      <c r="B18" s="37">
        <f>VLOOKUP(A18,Data!$E:$BG,MATCH(Country!$A$1,Data!$E$1:$BG$1,),)</f>
        <v/>
      </c>
      <c r="C18" s="65">
        <f>IF(B6&gt;0,(Table2[[#This Row],[Country]]-B6)/B6,0)</f>
        <v/>
      </c>
      <c r="D18" s="65">
        <f>IF(Table2[[#This Row],[Country]]&gt;0,(((Table2[[#This Row],[Country]]-B17)/B17)+1)^12-1,"")</f>
        <v/>
      </c>
    </row>
    <row r="19">
      <c r="A19" s="36" t="n">
        <v>22678</v>
      </c>
      <c r="B19" s="37">
        <f>VLOOKUP(A19,Data!$E:$BG,MATCH(Country!$A$1,Data!$E$1:$BG$1,),)</f>
        <v/>
      </c>
      <c r="C19" s="65">
        <f>IF(B7&gt;0,(Table2[[#This Row],[Country]]-B7)/B7,0)</f>
        <v/>
      </c>
      <c r="D19" s="65">
        <f>IF(Table2[[#This Row],[Country]]&gt;0,(((Table2[[#This Row],[Country]]-B18)/B18)+1)^12-1,"")</f>
        <v/>
      </c>
    </row>
    <row r="20">
      <c r="A20" s="36" t="n">
        <v>22706</v>
      </c>
      <c r="B20" s="37">
        <f>VLOOKUP(A20,Data!$E:$BG,MATCH(Country!$A$1,Data!$E$1:$BG$1,),)</f>
        <v/>
      </c>
      <c r="C20" s="65">
        <f>IF(B8&gt;0,(Table2[[#This Row],[Country]]-B8)/B8,0)</f>
        <v/>
      </c>
      <c r="D20" s="65">
        <f>IF(Table2[[#This Row],[Country]]&gt;0,(((Table2[[#This Row],[Country]]-B19)/B19)+1)^12-1,"")</f>
        <v/>
      </c>
    </row>
    <row r="21">
      <c r="A21" s="36" t="n">
        <v>22737</v>
      </c>
      <c r="B21" s="37">
        <f>VLOOKUP(A21,Data!$E:$BG,MATCH(Country!$A$1,Data!$E$1:$BG$1,),)</f>
        <v/>
      </c>
      <c r="C21" s="65">
        <f>IF(B9&gt;0,(Table2[[#This Row],[Country]]-B9)/B9,0)</f>
        <v/>
      </c>
      <c r="D21" s="65">
        <f>IF(Table2[[#This Row],[Country]]&gt;0,(((Table2[[#This Row],[Country]]-B20)/B20)+1)^12-1,"")</f>
        <v/>
      </c>
    </row>
    <row r="22">
      <c r="A22" s="36" t="n">
        <v>22767</v>
      </c>
      <c r="B22" s="37">
        <f>VLOOKUP(A22,Data!$E:$BG,MATCH(Country!$A$1,Data!$E$1:$BG$1,),)</f>
        <v/>
      </c>
      <c r="C22" s="65">
        <f>IF(B10&gt;0,(Table2[[#This Row],[Country]]-B10)/B10,0)</f>
        <v/>
      </c>
      <c r="D22" s="65">
        <f>IF(Table2[[#This Row],[Country]]&gt;0,(((Table2[[#This Row],[Country]]-B21)/B21)+1)^12-1,"")</f>
        <v/>
      </c>
    </row>
    <row r="23">
      <c r="A23" s="36" t="n">
        <v>22798</v>
      </c>
      <c r="B23" s="37">
        <f>VLOOKUP(A23,Data!$E:$BG,MATCH(Country!$A$1,Data!$E$1:$BG$1,),)</f>
        <v/>
      </c>
      <c r="C23" s="65">
        <f>IF(B11&gt;0,(Table2[[#This Row],[Country]]-B11)/B11,0)</f>
        <v/>
      </c>
      <c r="D23" s="65">
        <f>IF(Table2[[#This Row],[Country]]&gt;0,(((Table2[[#This Row],[Country]]-B22)/B22)+1)^12-1,"")</f>
        <v/>
      </c>
    </row>
    <row r="24">
      <c r="A24" s="36" t="n">
        <v>22828</v>
      </c>
      <c r="B24" s="37">
        <f>VLOOKUP(A24,Data!$E:$BG,MATCH(Country!$A$1,Data!$E$1:$BG$1,),)</f>
        <v/>
      </c>
      <c r="C24" s="65">
        <f>IF(B12&gt;0,(Table2[[#This Row],[Country]]-B12)/B12,0)</f>
        <v/>
      </c>
      <c r="D24" s="65">
        <f>IF(Table2[[#This Row],[Country]]&gt;0,(((Table2[[#This Row],[Country]]-B23)/B23)+1)^12-1,"")</f>
        <v/>
      </c>
    </row>
    <row r="25">
      <c r="A25" s="36" t="n">
        <v>22859</v>
      </c>
      <c r="B25" s="37">
        <f>VLOOKUP(A25,Data!$E:$BG,MATCH(Country!$A$1,Data!$E$1:$BG$1,),)</f>
        <v/>
      </c>
      <c r="C25" s="65">
        <f>IF(B13&gt;0,(Table2[[#This Row],[Country]]-B13)/B13,0)</f>
        <v/>
      </c>
      <c r="D25" s="65">
        <f>IF(Table2[[#This Row],[Country]]&gt;0,(((Table2[[#This Row],[Country]]-B24)/B24)+1)^12-1,"")</f>
        <v/>
      </c>
    </row>
    <row r="26">
      <c r="A26" s="36" t="n">
        <v>22890</v>
      </c>
      <c r="B26" s="37">
        <f>VLOOKUP(A26,Data!$E:$BG,MATCH(Country!$A$1,Data!$E$1:$BG$1,),)</f>
        <v/>
      </c>
      <c r="C26" s="65">
        <f>IF(B14&gt;0,(Table2[[#This Row],[Country]]-B14)/B14,0)</f>
        <v/>
      </c>
      <c r="D26" s="65">
        <f>IF(Table2[[#This Row],[Country]]&gt;0,(((Table2[[#This Row],[Country]]-B25)/B25)+1)^12-1,"")</f>
        <v/>
      </c>
    </row>
    <row r="27">
      <c r="A27" s="36" t="n">
        <v>22920</v>
      </c>
      <c r="B27" s="37">
        <f>VLOOKUP(A27,Data!$E:$BG,MATCH(Country!$A$1,Data!$E$1:$BG$1,),)</f>
        <v/>
      </c>
      <c r="C27" s="65">
        <f>IF(B15&gt;0,(Table2[[#This Row],[Country]]-B15)/B15,0)</f>
        <v/>
      </c>
      <c r="D27" s="65">
        <f>IF(Table2[[#This Row],[Country]]&gt;0,(((Table2[[#This Row],[Country]]-B26)/B26)+1)^12-1,"")</f>
        <v/>
      </c>
    </row>
    <row r="28">
      <c r="A28" s="36" t="n">
        <v>22951</v>
      </c>
      <c r="B28" s="37">
        <f>VLOOKUP(A28,Data!$E:$BG,MATCH(Country!$A$1,Data!$E$1:$BG$1,),)</f>
        <v/>
      </c>
      <c r="C28" s="65">
        <f>IF(B16&gt;0,(Table2[[#This Row],[Country]]-B16)/B16,0)</f>
        <v/>
      </c>
      <c r="D28" s="65">
        <f>IF(Table2[[#This Row],[Country]]&gt;0,(((Table2[[#This Row],[Country]]-B27)/B27)+1)^12-1,"")</f>
        <v/>
      </c>
    </row>
    <row r="29">
      <c r="A29" s="36" t="n">
        <v>22981</v>
      </c>
      <c r="B29" s="37">
        <f>VLOOKUP(A29,Data!$E:$BG,MATCH(Country!$A$1,Data!$E$1:$BG$1,),)</f>
        <v/>
      </c>
      <c r="C29" s="65">
        <f>IF(B17&gt;0,(Table2[[#This Row],[Country]]-B17)/B17,0)</f>
        <v/>
      </c>
      <c r="D29" s="65">
        <f>IF(Table2[[#This Row],[Country]]&gt;0,(((Table2[[#This Row],[Country]]-B28)/B28)+1)^12-1,"")</f>
        <v/>
      </c>
    </row>
    <row r="30">
      <c r="A30" s="36" t="n">
        <v>23012</v>
      </c>
      <c r="B30" s="37">
        <f>VLOOKUP(A30,Data!$E:$BG,MATCH(Country!$A$1,Data!$E$1:$BG$1,),)</f>
        <v/>
      </c>
      <c r="C30" s="65">
        <f>IF(B18&gt;0,(Table2[[#This Row],[Country]]-B18)/B18,0)</f>
        <v/>
      </c>
      <c r="D30" s="65">
        <f>IF(Table2[[#This Row],[Country]]&gt;0,(((Table2[[#This Row],[Country]]-B29)/B29)+1)^12-1,"")</f>
        <v/>
      </c>
    </row>
    <row r="31">
      <c r="A31" s="36" t="n">
        <v>23043</v>
      </c>
      <c r="B31" s="37">
        <f>VLOOKUP(A31,Data!$E:$BG,MATCH(Country!$A$1,Data!$E$1:$BG$1,),)</f>
        <v/>
      </c>
      <c r="C31" s="65">
        <f>IF(B19&gt;0,(Table2[[#This Row],[Country]]-B19)/B19,0)</f>
        <v/>
      </c>
      <c r="D31" s="65">
        <f>IF(Table2[[#This Row],[Country]]&gt;0,(((Table2[[#This Row],[Country]]-B30)/B30)+1)^12-1,"")</f>
        <v/>
      </c>
    </row>
    <row r="32">
      <c r="A32" s="36" t="n">
        <v>23071</v>
      </c>
      <c r="B32" s="37">
        <f>VLOOKUP(A32,Data!$E:$BG,MATCH(Country!$A$1,Data!$E$1:$BG$1,),)</f>
        <v/>
      </c>
      <c r="C32" s="65">
        <f>IF(B20&gt;0,(Table2[[#This Row],[Country]]-B20)/B20,0)</f>
        <v/>
      </c>
      <c r="D32" s="65">
        <f>IF(Table2[[#This Row],[Country]]&gt;0,(((Table2[[#This Row],[Country]]-B31)/B31)+1)^12-1,"")</f>
        <v/>
      </c>
    </row>
    <row r="33">
      <c r="A33" s="36" t="n">
        <v>23102</v>
      </c>
      <c r="B33" s="37">
        <f>VLOOKUP(A33,Data!$E:$BG,MATCH(Country!$A$1,Data!$E$1:$BG$1,),)</f>
        <v/>
      </c>
      <c r="C33" s="65">
        <f>IF(B21&gt;0,(Table2[[#This Row],[Country]]-B21)/B21,0)</f>
        <v/>
      </c>
      <c r="D33" s="65">
        <f>IF(Table2[[#This Row],[Country]]&gt;0,(((Table2[[#This Row],[Country]]-B32)/B32)+1)^12-1,"")</f>
        <v/>
      </c>
    </row>
    <row r="34">
      <c r="A34" s="36" t="n">
        <v>23132</v>
      </c>
      <c r="B34" s="37">
        <f>VLOOKUP(A34,Data!$E:$BG,MATCH(Country!$A$1,Data!$E$1:$BG$1,),)</f>
        <v/>
      </c>
      <c r="C34" s="65">
        <f>IF(B22&gt;0,(Table2[[#This Row],[Country]]-B22)/B22,0)</f>
        <v/>
      </c>
      <c r="D34" s="65">
        <f>IF(Table2[[#This Row],[Country]]&gt;0,(((Table2[[#This Row],[Country]]-B33)/B33)+1)^12-1,"")</f>
        <v/>
      </c>
    </row>
    <row r="35">
      <c r="A35" s="36" t="n">
        <v>23163</v>
      </c>
      <c r="B35" s="37">
        <f>VLOOKUP(A35,Data!$E:$BG,MATCH(Country!$A$1,Data!$E$1:$BG$1,),)</f>
        <v/>
      </c>
      <c r="C35" s="65">
        <f>IF(B23&gt;0,(Table2[[#This Row],[Country]]-B23)/B23,0)</f>
        <v/>
      </c>
      <c r="D35" s="65">
        <f>IF(Table2[[#This Row],[Country]]&gt;0,(((Table2[[#This Row],[Country]]-B34)/B34)+1)^12-1,"")</f>
        <v/>
      </c>
    </row>
    <row r="36">
      <c r="A36" s="36" t="n">
        <v>23193</v>
      </c>
      <c r="B36" s="37">
        <f>VLOOKUP(A36,Data!$E:$BG,MATCH(Country!$A$1,Data!$E$1:$BG$1,),)</f>
        <v/>
      </c>
      <c r="C36" s="65">
        <f>IF(B24&gt;0,(Table2[[#This Row],[Country]]-B24)/B24,0)</f>
        <v/>
      </c>
      <c r="D36" s="65">
        <f>IF(Table2[[#This Row],[Country]]&gt;0,(((Table2[[#This Row],[Country]]-B35)/B35)+1)^12-1,"")</f>
        <v/>
      </c>
    </row>
    <row r="37">
      <c r="A37" s="36" t="n">
        <v>23224</v>
      </c>
      <c r="B37" s="37">
        <f>VLOOKUP(A37,Data!$E:$BG,MATCH(Country!$A$1,Data!$E$1:$BG$1,),)</f>
        <v/>
      </c>
      <c r="C37" s="65">
        <f>IF(B25&gt;0,(Table2[[#This Row],[Country]]-B25)/B25,0)</f>
        <v/>
      </c>
      <c r="D37" s="65">
        <f>IF(Table2[[#This Row],[Country]]&gt;0,(((Table2[[#This Row],[Country]]-B36)/B36)+1)^12-1,"")</f>
        <v/>
      </c>
    </row>
    <row r="38">
      <c r="A38" s="36" t="n">
        <v>23255</v>
      </c>
      <c r="B38" s="37">
        <f>VLOOKUP(A38,Data!$E:$BG,MATCH(Country!$A$1,Data!$E$1:$BG$1,),)</f>
        <v/>
      </c>
      <c r="C38" s="65">
        <f>IF(B26&gt;0,(Table2[[#This Row],[Country]]-B26)/B26,0)</f>
        <v/>
      </c>
      <c r="D38" s="65">
        <f>IF(Table2[[#This Row],[Country]]&gt;0,(((Table2[[#This Row],[Country]]-B37)/B37)+1)^12-1,"")</f>
        <v/>
      </c>
    </row>
    <row r="39">
      <c r="A39" s="36" t="n">
        <v>23285</v>
      </c>
      <c r="B39" s="37">
        <f>VLOOKUP(A39,Data!$E:$BG,MATCH(Country!$A$1,Data!$E$1:$BG$1,),)</f>
        <v/>
      </c>
      <c r="C39" s="65">
        <f>IF(B27&gt;0,(Table2[[#This Row],[Country]]-B27)/B27,0)</f>
        <v/>
      </c>
      <c r="D39" s="65">
        <f>IF(Table2[[#This Row],[Country]]&gt;0,(((Table2[[#This Row],[Country]]-B38)/B38)+1)^12-1,"")</f>
        <v/>
      </c>
    </row>
    <row r="40">
      <c r="A40" s="36" t="n">
        <v>23316</v>
      </c>
      <c r="B40" s="37">
        <f>VLOOKUP(A40,Data!$E:$BG,MATCH(Country!$A$1,Data!$E$1:$BG$1,),)</f>
        <v/>
      </c>
      <c r="C40" s="65">
        <f>IF(B28&gt;0,(Table2[[#This Row],[Country]]-B28)/B28,0)</f>
        <v/>
      </c>
      <c r="D40" s="65">
        <f>IF(Table2[[#This Row],[Country]]&gt;0,(((Table2[[#This Row],[Country]]-B39)/B39)+1)^12-1,"")</f>
        <v/>
      </c>
    </row>
    <row r="41">
      <c r="A41" s="36" t="n">
        <v>23346</v>
      </c>
      <c r="B41" s="37">
        <f>VLOOKUP(A41,Data!$E:$BG,MATCH(Country!$A$1,Data!$E$1:$BG$1,),)</f>
        <v/>
      </c>
      <c r="C41" s="65">
        <f>IF(B29&gt;0,(Table2[[#This Row],[Country]]-B29)/B29,0)</f>
        <v/>
      </c>
      <c r="D41" s="65">
        <f>IF(Table2[[#This Row],[Country]]&gt;0,(((Table2[[#This Row],[Country]]-B40)/B40)+1)^12-1,"")</f>
        <v/>
      </c>
    </row>
    <row r="42">
      <c r="A42" s="36" t="n">
        <v>23377</v>
      </c>
      <c r="B42" s="37">
        <f>VLOOKUP(A42,Data!$E:$BG,MATCH(Country!$A$1,Data!$E$1:$BG$1,),)</f>
        <v/>
      </c>
      <c r="C42" s="65">
        <f>IF(B30&gt;0,(Table2[[#This Row],[Country]]-B30)/B30,0)</f>
        <v/>
      </c>
      <c r="D42" s="65">
        <f>IF(Table2[[#This Row],[Country]]&gt;0,(((Table2[[#This Row],[Country]]-B41)/B41)+1)^12-1,"")</f>
        <v/>
      </c>
    </row>
    <row r="43">
      <c r="A43" s="36" t="n">
        <v>23408</v>
      </c>
      <c r="B43" s="37">
        <f>VLOOKUP(A43,Data!$E:$BG,MATCH(Country!$A$1,Data!$E$1:$BG$1,),)</f>
        <v/>
      </c>
      <c r="C43" s="65">
        <f>IF(B31&gt;0,(Table2[[#This Row],[Country]]-B31)/B31,0)</f>
        <v/>
      </c>
      <c r="D43" s="65">
        <f>IF(Table2[[#This Row],[Country]]&gt;0,(((Table2[[#This Row],[Country]]-B42)/B42)+1)^12-1,"")</f>
        <v/>
      </c>
    </row>
    <row r="44">
      <c r="A44" s="36" t="n">
        <v>23437</v>
      </c>
      <c r="B44" s="37">
        <f>VLOOKUP(A44,Data!$E:$BG,MATCH(Country!$A$1,Data!$E$1:$BG$1,),)</f>
        <v/>
      </c>
      <c r="C44" s="65">
        <f>IF(B32&gt;0,(Table2[[#This Row],[Country]]-B32)/B32,0)</f>
        <v/>
      </c>
      <c r="D44" s="65">
        <f>IF(Table2[[#This Row],[Country]]&gt;0,(((Table2[[#This Row],[Country]]-B43)/B43)+1)^12-1,"")</f>
        <v/>
      </c>
    </row>
    <row r="45">
      <c r="A45" s="36" t="n">
        <v>23468</v>
      </c>
      <c r="B45" s="37">
        <f>VLOOKUP(A45,Data!$E:$BG,MATCH(Country!$A$1,Data!$E$1:$BG$1,),)</f>
        <v/>
      </c>
      <c r="C45" s="65">
        <f>IF(B33&gt;0,(Table2[[#This Row],[Country]]-B33)/B33,0)</f>
        <v/>
      </c>
      <c r="D45" s="65">
        <f>IF(Table2[[#This Row],[Country]]&gt;0,(((Table2[[#This Row],[Country]]-B44)/B44)+1)^12-1,"")</f>
        <v/>
      </c>
    </row>
    <row r="46">
      <c r="A46" s="36" t="n">
        <v>23498</v>
      </c>
      <c r="B46" s="37">
        <f>VLOOKUP(A46,Data!$E:$BG,MATCH(Country!$A$1,Data!$E$1:$BG$1,),)</f>
        <v/>
      </c>
      <c r="C46" s="65">
        <f>IF(B34&gt;0,(Table2[[#This Row],[Country]]-B34)/B34,0)</f>
        <v/>
      </c>
      <c r="D46" s="65">
        <f>IF(Table2[[#This Row],[Country]]&gt;0,(((Table2[[#This Row],[Country]]-B45)/B45)+1)^12-1,"")</f>
        <v/>
      </c>
    </row>
    <row r="47">
      <c r="A47" s="36" t="n">
        <v>23529</v>
      </c>
      <c r="B47" s="37">
        <f>VLOOKUP(A47,Data!$E:$BG,MATCH(Country!$A$1,Data!$E$1:$BG$1,),)</f>
        <v/>
      </c>
      <c r="C47" s="65">
        <f>IF(B35&gt;0,(Table2[[#This Row],[Country]]-B35)/B35,0)</f>
        <v/>
      </c>
      <c r="D47" s="65">
        <f>IF(Table2[[#This Row],[Country]]&gt;0,(((Table2[[#This Row],[Country]]-B46)/B46)+1)^12-1,"")</f>
        <v/>
      </c>
    </row>
    <row r="48">
      <c r="A48" s="36" t="n">
        <v>23559</v>
      </c>
      <c r="B48" s="37">
        <f>VLOOKUP(A48,Data!$E:$BG,MATCH(Country!$A$1,Data!$E$1:$BG$1,),)</f>
        <v/>
      </c>
      <c r="C48" s="65">
        <f>IF(B36&gt;0,(Table2[[#This Row],[Country]]-B36)/B36,0)</f>
        <v/>
      </c>
      <c r="D48" s="65">
        <f>IF(Table2[[#This Row],[Country]]&gt;0,(((Table2[[#This Row],[Country]]-B47)/B47)+1)^12-1,"")</f>
        <v/>
      </c>
    </row>
    <row r="49">
      <c r="A49" s="36" t="n">
        <v>23590</v>
      </c>
      <c r="B49" s="37">
        <f>VLOOKUP(A49,Data!$E:$BG,MATCH(Country!$A$1,Data!$E$1:$BG$1,),)</f>
        <v/>
      </c>
      <c r="C49" s="65">
        <f>IF(B37&gt;0,(Table2[[#This Row],[Country]]-B37)/B37,0)</f>
        <v/>
      </c>
      <c r="D49" s="65">
        <f>IF(Table2[[#This Row],[Country]]&gt;0,(((Table2[[#This Row],[Country]]-B48)/B48)+1)^12-1,"")</f>
        <v/>
      </c>
    </row>
    <row r="50">
      <c r="A50" s="36" t="n">
        <v>23621</v>
      </c>
      <c r="B50" s="37">
        <f>VLOOKUP(A50,Data!$E:$BG,MATCH(Country!$A$1,Data!$E$1:$BG$1,),)</f>
        <v/>
      </c>
      <c r="C50" s="65">
        <f>IF(B38&gt;0,(Table2[[#This Row],[Country]]-B38)/B38,0)</f>
        <v/>
      </c>
      <c r="D50" s="65">
        <f>IF(Table2[[#This Row],[Country]]&gt;0,(((Table2[[#This Row],[Country]]-B49)/B49)+1)^12-1,"")</f>
        <v/>
      </c>
    </row>
    <row r="51">
      <c r="A51" s="36" t="n">
        <v>23651</v>
      </c>
      <c r="B51" s="37">
        <f>VLOOKUP(A51,Data!$E:$BG,MATCH(Country!$A$1,Data!$E$1:$BG$1,),)</f>
        <v/>
      </c>
      <c r="C51" s="65">
        <f>IF(B39&gt;0,(Table2[[#This Row],[Country]]-B39)/B39,0)</f>
        <v/>
      </c>
      <c r="D51" s="65">
        <f>IF(Table2[[#This Row],[Country]]&gt;0,(((Table2[[#This Row],[Country]]-B50)/B50)+1)^12-1,"")</f>
        <v/>
      </c>
    </row>
    <row r="52">
      <c r="A52" s="36" t="n">
        <v>23682</v>
      </c>
      <c r="B52" s="37">
        <f>VLOOKUP(A52,Data!$E:$BG,MATCH(Country!$A$1,Data!$E$1:$BG$1,),)</f>
        <v/>
      </c>
      <c r="C52" s="65">
        <f>IF(B40&gt;0,(Table2[[#This Row],[Country]]-B40)/B40,0)</f>
        <v/>
      </c>
      <c r="D52" s="65">
        <f>IF(Table2[[#This Row],[Country]]&gt;0,(((Table2[[#This Row],[Country]]-B51)/B51)+1)^12-1,"")</f>
        <v/>
      </c>
    </row>
    <row r="53">
      <c r="A53" s="36" t="n">
        <v>23712</v>
      </c>
      <c r="B53" s="37">
        <f>VLOOKUP(A53,Data!$E:$BG,MATCH(Country!$A$1,Data!$E$1:$BG$1,),)</f>
        <v/>
      </c>
      <c r="C53" s="65">
        <f>IF(B41&gt;0,(Table2[[#This Row],[Country]]-B41)/B41,0)</f>
        <v/>
      </c>
      <c r="D53" s="65">
        <f>IF(Table2[[#This Row],[Country]]&gt;0,(((Table2[[#This Row],[Country]]-B52)/B52)+1)^12-1,"")</f>
        <v/>
      </c>
    </row>
    <row r="54">
      <c r="A54" s="36" t="n">
        <v>23743</v>
      </c>
      <c r="B54" s="37">
        <f>VLOOKUP(A54,Data!$E:$BG,MATCH(Country!$A$1,Data!$E$1:$BG$1,),)</f>
        <v/>
      </c>
      <c r="C54" s="65">
        <f>IF(B42&gt;0,(Table2[[#This Row],[Country]]-B42)/B42,0)</f>
        <v/>
      </c>
      <c r="D54" s="65">
        <f>IF(Table2[[#This Row],[Country]]&gt;0,(((Table2[[#This Row],[Country]]-B53)/B53)+1)^12-1,"")</f>
        <v/>
      </c>
    </row>
    <row r="55">
      <c r="A55" s="36" t="n">
        <v>23774</v>
      </c>
      <c r="B55" s="37">
        <f>VLOOKUP(A55,Data!$E:$BG,MATCH(Country!$A$1,Data!$E$1:$BG$1,),)</f>
        <v/>
      </c>
      <c r="C55" s="65">
        <f>IF(B43&gt;0,(Table2[[#This Row],[Country]]-B43)/B43,0)</f>
        <v/>
      </c>
      <c r="D55" s="65">
        <f>IF(Table2[[#This Row],[Country]]&gt;0,(((Table2[[#This Row],[Country]]-B54)/B54)+1)^12-1,"")</f>
        <v/>
      </c>
    </row>
    <row r="56">
      <c r="A56" s="36" t="n">
        <v>23802</v>
      </c>
      <c r="B56" s="37">
        <f>VLOOKUP(A56,Data!$E:$BG,MATCH(Country!$A$1,Data!$E$1:$BG$1,),)</f>
        <v/>
      </c>
      <c r="C56" s="65">
        <f>IF(B44&gt;0,(Table2[[#This Row],[Country]]-B44)/B44,0)</f>
        <v/>
      </c>
      <c r="D56" s="65">
        <f>IF(Table2[[#This Row],[Country]]&gt;0,(((Table2[[#This Row],[Country]]-B55)/B55)+1)^12-1,"")</f>
        <v/>
      </c>
    </row>
    <row r="57">
      <c r="A57" s="36" t="n">
        <v>23833</v>
      </c>
      <c r="B57" s="37">
        <f>VLOOKUP(A57,Data!$E:$BG,MATCH(Country!$A$1,Data!$E$1:$BG$1,),)</f>
        <v/>
      </c>
      <c r="C57" s="65">
        <f>IF(B45&gt;0,(Table2[[#This Row],[Country]]-B45)/B45,0)</f>
        <v/>
      </c>
      <c r="D57" s="65">
        <f>IF(Table2[[#This Row],[Country]]&gt;0,(((Table2[[#This Row],[Country]]-B56)/B56)+1)^12-1,"")</f>
        <v/>
      </c>
    </row>
    <row r="58">
      <c r="A58" s="36" t="n">
        <v>23863</v>
      </c>
      <c r="B58" s="37">
        <f>VLOOKUP(A58,Data!$E:$BG,MATCH(Country!$A$1,Data!$E$1:$BG$1,),)</f>
        <v/>
      </c>
      <c r="C58" s="65">
        <f>IF(B46&gt;0,(Table2[[#This Row],[Country]]-B46)/B46,0)</f>
        <v/>
      </c>
      <c r="D58" s="65">
        <f>IF(Table2[[#This Row],[Country]]&gt;0,(((Table2[[#This Row],[Country]]-B57)/B57)+1)^12-1,"")</f>
        <v/>
      </c>
    </row>
    <row r="59">
      <c r="A59" s="36" t="n">
        <v>23894</v>
      </c>
      <c r="B59" s="37">
        <f>VLOOKUP(A59,Data!$E:$BG,MATCH(Country!$A$1,Data!$E$1:$BG$1,),)</f>
        <v/>
      </c>
      <c r="C59" s="65">
        <f>IF(B47&gt;0,(Table2[[#This Row],[Country]]-B47)/B47,0)</f>
        <v/>
      </c>
      <c r="D59" s="65">
        <f>IF(Table2[[#This Row],[Country]]&gt;0,(((Table2[[#This Row],[Country]]-B58)/B58)+1)^12-1,"")</f>
        <v/>
      </c>
    </row>
    <row r="60">
      <c r="A60" s="36" t="n">
        <v>23924</v>
      </c>
      <c r="B60" s="37">
        <f>VLOOKUP(A60,Data!$E:$BG,MATCH(Country!$A$1,Data!$E$1:$BG$1,),)</f>
        <v/>
      </c>
      <c r="C60" s="65">
        <f>IF(B48&gt;0,(Table2[[#This Row],[Country]]-B48)/B48,0)</f>
        <v/>
      </c>
      <c r="D60" s="65">
        <f>IF(Table2[[#This Row],[Country]]&gt;0,(((Table2[[#This Row],[Country]]-B59)/B59)+1)^12-1,"")</f>
        <v/>
      </c>
    </row>
    <row r="61">
      <c r="A61" s="36" t="n">
        <v>23955</v>
      </c>
      <c r="B61" s="37">
        <f>VLOOKUP(A61,Data!$E:$BG,MATCH(Country!$A$1,Data!$E$1:$BG$1,),)</f>
        <v/>
      </c>
      <c r="C61" s="65">
        <f>IF(B49&gt;0,(Table2[[#This Row],[Country]]-B49)/B49,0)</f>
        <v/>
      </c>
      <c r="D61" s="65">
        <f>IF(Table2[[#This Row],[Country]]&gt;0,(((Table2[[#This Row],[Country]]-B60)/B60)+1)^12-1,"")</f>
        <v/>
      </c>
    </row>
    <row r="62">
      <c r="A62" s="36" t="n">
        <v>23986</v>
      </c>
      <c r="B62" s="37">
        <f>VLOOKUP(A62,Data!$E:$BG,MATCH(Country!$A$1,Data!$E$1:$BG$1,),)</f>
        <v/>
      </c>
      <c r="C62" s="65">
        <f>IF(B50&gt;0,(Table2[[#This Row],[Country]]-B50)/B50,0)</f>
        <v/>
      </c>
      <c r="D62" s="65">
        <f>IF(Table2[[#This Row],[Country]]&gt;0,(((Table2[[#This Row],[Country]]-B61)/B61)+1)^12-1,"")</f>
        <v/>
      </c>
    </row>
    <row r="63">
      <c r="A63" s="36" t="n">
        <v>24016</v>
      </c>
      <c r="B63" s="37">
        <f>VLOOKUP(A63,Data!$E:$BG,MATCH(Country!$A$1,Data!$E$1:$BG$1,),)</f>
        <v/>
      </c>
      <c r="C63" s="65">
        <f>IF(B51&gt;0,(Table2[[#This Row],[Country]]-B51)/B51,0)</f>
        <v/>
      </c>
      <c r="D63" s="65">
        <f>IF(Table2[[#This Row],[Country]]&gt;0,(((Table2[[#This Row],[Country]]-B62)/B62)+1)^12-1,"")</f>
        <v/>
      </c>
    </row>
    <row r="64">
      <c r="A64" s="36" t="n">
        <v>24047</v>
      </c>
      <c r="B64" s="37">
        <f>VLOOKUP(A64,Data!$E:$BG,MATCH(Country!$A$1,Data!$E$1:$BG$1,),)</f>
        <v/>
      </c>
      <c r="C64" s="65">
        <f>IF(B52&gt;0,(Table2[[#This Row],[Country]]-B52)/B52,0)</f>
        <v/>
      </c>
      <c r="D64" s="65">
        <f>IF(Table2[[#This Row],[Country]]&gt;0,(((Table2[[#This Row],[Country]]-B63)/B63)+1)^12-1,"")</f>
        <v/>
      </c>
    </row>
    <row r="65">
      <c r="A65" s="36" t="n">
        <v>24077</v>
      </c>
      <c r="B65" s="37">
        <f>VLOOKUP(A65,Data!$E:$BG,MATCH(Country!$A$1,Data!$E$1:$BG$1,),)</f>
        <v/>
      </c>
      <c r="C65" s="65">
        <f>IF(B53&gt;0,(Table2[[#This Row],[Country]]-B53)/B53,0)</f>
        <v/>
      </c>
      <c r="D65" s="65">
        <f>IF(Table2[[#This Row],[Country]]&gt;0,(((Table2[[#This Row],[Country]]-B64)/B64)+1)^12-1,"")</f>
        <v/>
      </c>
    </row>
    <row r="66">
      <c r="A66" s="36" t="n">
        <v>24108</v>
      </c>
      <c r="B66" s="37">
        <f>VLOOKUP(A66,Data!$E:$BG,MATCH(Country!$A$1,Data!$E$1:$BG$1,),)</f>
        <v/>
      </c>
      <c r="C66" s="65">
        <f>IF(B54&gt;0,(Table2[[#This Row],[Country]]-B54)/B54,0)</f>
        <v/>
      </c>
      <c r="D66" s="65">
        <f>IF(Table2[[#This Row],[Country]]&gt;0,(((Table2[[#This Row],[Country]]-B65)/B65)+1)^12-1,"")</f>
        <v/>
      </c>
    </row>
    <row r="67">
      <c r="A67" s="36" t="n">
        <v>24139</v>
      </c>
      <c r="B67" s="37">
        <f>VLOOKUP(A67,Data!$E:$BG,MATCH(Country!$A$1,Data!$E$1:$BG$1,),)</f>
        <v/>
      </c>
      <c r="C67" s="65">
        <f>IF(B55&gt;0,(Table2[[#This Row],[Country]]-B55)/B55,0)</f>
        <v/>
      </c>
      <c r="D67" s="65">
        <f>IF(Table2[[#This Row],[Country]]&gt;0,(((Table2[[#This Row],[Country]]-B66)/B66)+1)^12-1,"")</f>
        <v/>
      </c>
    </row>
    <row r="68">
      <c r="A68" s="36" t="n">
        <v>24167</v>
      </c>
      <c r="B68" s="37">
        <f>VLOOKUP(A68,Data!$E:$BG,MATCH(Country!$A$1,Data!$E$1:$BG$1,),)</f>
        <v/>
      </c>
      <c r="C68" s="65">
        <f>IF(B56&gt;0,(Table2[[#This Row],[Country]]-B56)/B56,0)</f>
        <v/>
      </c>
      <c r="D68" s="65">
        <f>IF(Table2[[#This Row],[Country]]&gt;0,(((Table2[[#This Row],[Country]]-B67)/B67)+1)^12-1,"")</f>
        <v/>
      </c>
    </row>
    <row r="69">
      <c r="A69" s="36" t="n">
        <v>24198</v>
      </c>
      <c r="B69" s="37">
        <f>VLOOKUP(A69,Data!$E:$BG,MATCH(Country!$A$1,Data!$E$1:$BG$1,),)</f>
        <v/>
      </c>
      <c r="C69" s="65">
        <f>IF(B57&gt;0,(Table2[[#This Row],[Country]]-B57)/B57,0)</f>
        <v/>
      </c>
      <c r="D69" s="65">
        <f>IF(Table2[[#This Row],[Country]]&gt;0,(((Table2[[#This Row],[Country]]-B68)/B68)+1)^12-1,"")</f>
        <v/>
      </c>
    </row>
    <row r="70">
      <c r="A70" s="36" t="n">
        <v>24228</v>
      </c>
      <c r="B70" s="37">
        <f>VLOOKUP(A70,Data!$E:$BG,MATCH(Country!$A$1,Data!$E$1:$BG$1,),)</f>
        <v/>
      </c>
      <c r="C70" s="65">
        <f>IF(B58&gt;0,(Table2[[#This Row],[Country]]-B58)/B58,0)</f>
        <v/>
      </c>
      <c r="D70" s="65">
        <f>IF(Table2[[#This Row],[Country]]&gt;0,(((Table2[[#This Row],[Country]]-B69)/B69)+1)^12-1,"")</f>
        <v/>
      </c>
    </row>
    <row r="71">
      <c r="A71" s="36" t="n">
        <v>24259</v>
      </c>
      <c r="B71" s="37">
        <f>VLOOKUP(A71,Data!$E:$BG,MATCH(Country!$A$1,Data!$E$1:$BG$1,),)</f>
        <v/>
      </c>
      <c r="C71" s="65">
        <f>IF(B59&gt;0,(Table2[[#This Row],[Country]]-B59)/B59,0)</f>
        <v/>
      </c>
      <c r="D71" s="65">
        <f>IF(Table2[[#This Row],[Country]]&gt;0,(((Table2[[#This Row],[Country]]-B70)/B70)+1)^12-1,"")</f>
        <v/>
      </c>
    </row>
    <row r="72">
      <c r="A72" s="36" t="n">
        <v>24289</v>
      </c>
      <c r="B72" s="37">
        <f>VLOOKUP(A72,Data!$E:$BG,MATCH(Country!$A$1,Data!$E$1:$BG$1,),)</f>
        <v/>
      </c>
      <c r="C72" s="65">
        <f>IF(B60&gt;0,(Table2[[#This Row],[Country]]-B60)/B60,0)</f>
        <v/>
      </c>
      <c r="D72" s="65">
        <f>IF(Table2[[#This Row],[Country]]&gt;0,(((Table2[[#This Row],[Country]]-B71)/B71)+1)^12-1,"")</f>
        <v/>
      </c>
    </row>
    <row r="73">
      <c r="A73" s="36" t="n">
        <v>24320</v>
      </c>
      <c r="B73" s="37">
        <f>VLOOKUP(A73,Data!$E:$BG,MATCH(Country!$A$1,Data!$E$1:$BG$1,),)</f>
        <v/>
      </c>
      <c r="C73" s="65">
        <f>IF(B61&gt;0,(Table2[[#This Row],[Country]]-B61)/B61,0)</f>
        <v/>
      </c>
      <c r="D73" s="65">
        <f>IF(Table2[[#This Row],[Country]]&gt;0,(((Table2[[#This Row],[Country]]-B72)/B72)+1)^12-1,"")</f>
        <v/>
      </c>
    </row>
    <row r="74">
      <c r="A74" s="36" t="n">
        <v>24351</v>
      </c>
      <c r="B74" s="37">
        <f>VLOOKUP(A74,Data!$E:$BG,MATCH(Country!$A$1,Data!$E$1:$BG$1,),)</f>
        <v/>
      </c>
      <c r="C74" s="65">
        <f>IF(B62&gt;0,(Table2[[#This Row],[Country]]-B62)/B62,0)</f>
        <v/>
      </c>
      <c r="D74" s="65">
        <f>IF(Table2[[#This Row],[Country]]&gt;0,(((Table2[[#This Row],[Country]]-B73)/B73)+1)^12-1,"")</f>
        <v/>
      </c>
    </row>
    <row r="75">
      <c r="A75" s="36" t="n">
        <v>24381</v>
      </c>
      <c r="B75" s="37">
        <f>VLOOKUP(A75,Data!$E:$BG,MATCH(Country!$A$1,Data!$E$1:$BG$1,),)</f>
        <v/>
      </c>
      <c r="C75" s="65">
        <f>IF(B63&gt;0,(Table2[[#This Row],[Country]]-B63)/B63,0)</f>
        <v/>
      </c>
      <c r="D75" s="65">
        <f>IF(Table2[[#This Row],[Country]]&gt;0,(((Table2[[#This Row],[Country]]-B74)/B74)+1)^12-1,"")</f>
        <v/>
      </c>
    </row>
    <row r="76">
      <c r="A76" s="36" t="n">
        <v>24412</v>
      </c>
      <c r="B76" s="37">
        <f>VLOOKUP(A76,Data!$E:$BG,MATCH(Country!$A$1,Data!$E$1:$BG$1,),)</f>
        <v/>
      </c>
      <c r="C76" s="65">
        <f>IF(B64&gt;0,(Table2[[#This Row],[Country]]-B64)/B64,0)</f>
        <v/>
      </c>
      <c r="D76" s="65">
        <f>IF(Table2[[#This Row],[Country]]&gt;0,(((Table2[[#This Row],[Country]]-B75)/B75)+1)^12-1,"")</f>
        <v/>
      </c>
    </row>
    <row r="77">
      <c r="A77" s="36" t="n">
        <v>24442</v>
      </c>
      <c r="B77" s="37">
        <f>VLOOKUP(A77,Data!$E:$BG,MATCH(Country!$A$1,Data!$E$1:$BG$1,),)</f>
        <v/>
      </c>
      <c r="C77" s="65">
        <f>IF(B65&gt;0,(Table2[[#This Row],[Country]]-B65)/B65,0)</f>
        <v/>
      </c>
      <c r="D77" s="65">
        <f>IF(Table2[[#This Row],[Country]]&gt;0,(((Table2[[#This Row],[Country]]-B76)/B76)+1)^12-1,"")</f>
        <v/>
      </c>
    </row>
    <row r="78">
      <c r="A78" s="36" t="n">
        <v>24473</v>
      </c>
      <c r="B78" s="37">
        <f>VLOOKUP(A78,Data!$E:$BG,MATCH(Country!$A$1,Data!$E$1:$BG$1,),)</f>
        <v/>
      </c>
      <c r="C78" s="65">
        <f>IF(B66&gt;0,(Table2[[#This Row],[Country]]-B66)/B66,0)</f>
        <v/>
      </c>
      <c r="D78" s="65">
        <f>IF(Table2[[#This Row],[Country]]&gt;0,(((Table2[[#This Row],[Country]]-B77)/B77)+1)^12-1,"")</f>
        <v/>
      </c>
    </row>
    <row r="79">
      <c r="A79" s="36" t="n">
        <v>24504</v>
      </c>
      <c r="B79" s="37">
        <f>VLOOKUP(A79,Data!$E:$BG,MATCH(Country!$A$1,Data!$E$1:$BG$1,),)</f>
        <v/>
      </c>
      <c r="C79" s="65">
        <f>IF(B67&gt;0,(Table2[[#This Row],[Country]]-B67)/B67,0)</f>
        <v/>
      </c>
      <c r="D79" s="65">
        <f>IF(Table2[[#This Row],[Country]]&gt;0,(((Table2[[#This Row],[Country]]-B78)/B78)+1)^12-1,"")</f>
        <v/>
      </c>
    </row>
    <row r="80">
      <c r="A80" s="36" t="n">
        <v>24532</v>
      </c>
      <c r="B80" s="37">
        <f>VLOOKUP(A80,Data!$E:$BG,MATCH(Country!$A$1,Data!$E$1:$BG$1,),)</f>
        <v/>
      </c>
      <c r="C80" s="65">
        <f>IF(B68&gt;0,(Table2[[#This Row],[Country]]-B68)/B68,0)</f>
        <v/>
      </c>
      <c r="D80" s="65">
        <f>IF(Table2[[#This Row],[Country]]&gt;0,(((Table2[[#This Row],[Country]]-B79)/B79)+1)^12-1,"")</f>
        <v/>
      </c>
    </row>
    <row r="81">
      <c r="A81" s="36" t="n">
        <v>24563</v>
      </c>
      <c r="B81" s="37">
        <f>VLOOKUP(A81,Data!$E:$BG,MATCH(Country!$A$1,Data!$E$1:$BG$1,),)</f>
        <v/>
      </c>
      <c r="C81" s="65">
        <f>IF(B69&gt;0,(Table2[[#This Row],[Country]]-B69)/B69,0)</f>
        <v/>
      </c>
      <c r="D81" s="65">
        <f>IF(Table2[[#This Row],[Country]]&gt;0,(((Table2[[#This Row],[Country]]-B80)/B80)+1)^12-1,"")</f>
        <v/>
      </c>
    </row>
    <row r="82">
      <c r="A82" s="36" t="n">
        <v>24593</v>
      </c>
      <c r="B82" s="37">
        <f>VLOOKUP(A82,Data!$E:$BG,MATCH(Country!$A$1,Data!$E$1:$BG$1,),)</f>
        <v/>
      </c>
      <c r="C82" s="65">
        <f>IF(B70&gt;0,(Table2[[#This Row],[Country]]-B70)/B70,0)</f>
        <v/>
      </c>
      <c r="D82" s="65">
        <f>IF(Table2[[#This Row],[Country]]&gt;0,(((Table2[[#This Row],[Country]]-B81)/B81)+1)^12-1,"")</f>
        <v/>
      </c>
    </row>
    <row r="83">
      <c r="A83" s="36" t="n">
        <v>24624</v>
      </c>
      <c r="B83" s="37">
        <f>VLOOKUP(A83,Data!$E:$BG,MATCH(Country!$A$1,Data!$E$1:$BG$1,),)</f>
        <v/>
      </c>
      <c r="C83" s="65">
        <f>IF(B71&gt;0,(Table2[[#This Row],[Country]]-B71)/B71,0)</f>
        <v/>
      </c>
      <c r="D83" s="65">
        <f>IF(Table2[[#This Row],[Country]]&gt;0,(((Table2[[#This Row],[Country]]-B82)/B82)+1)^12-1,"")</f>
        <v/>
      </c>
    </row>
    <row r="84">
      <c r="A84" s="36" t="n">
        <v>24654</v>
      </c>
      <c r="B84" s="37">
        <f>VLOOKUP(A84,Data!$E:$BG,MATCH(Country!$A$1,Data!$E$1:$BG$1,),)</f>
        <v/>
      </c>
      <c r="C84" s="65">
        <f>IF(B72&gt;0,(Table2[[#This Row],[Country]]-B72)/B72,0)</f>
        <v/>
      </c>
      <c r="D84" s="65">
        <f>IF(Table2[[#This Row],[Country]]&gt;0,(((Table2[[#This Row],[Country]]-B83)/B83)+1)^12-1,"")</f>
        <v/>
      </c>
    </row>
    <row r="85">
      <c r="A85" s="36" t="n">
        <v>24685</v>
      </c>
      <c r="B85" s="37">
        <f>VLOOKUP(A85,Data!$E:$BG,MATCH(Country!$A$1,Data!$E$1:$BG$1,),)</f>
        <v/>
      </c>
      <c r="C85" s="65">
        <f>IF(B73&gt;0,(Table2[[#This Row],[Country]]-B73)/B73,0)</f>
        <v/>
      </c>
      <c r="D85" s="65">
        <f>IF(Table2[[#This Row],[Country]]&gt;0,(((Table2[[#This Row],[Country]]-B84)/B84)+1)^12-1,"")</f>
        <v/>
      </c>
    </row>
    <row r="86">
      <c r="A86" s="36" t="n">
        <v>24716</v>
      </c>
      <c r="B86" s="37">
        <f>VLOOKUP(A86,Data!$E:$BG,MATCH(Country!$A$1,Data!$E$1:$BG$1,),)</f>
        <v/>
      </c>
      <c r="C86" s="65">
        <f>IF(B74&gt;0,(Table2[[#This Row],[Country]]-B74)/B74,0)</f>
        <v/>
      </c>
      <c r="D86" s="65">
        <f>IF(Table2[[#This Row],[Country]]&gt;0,(((Table2[[#This Row],[Country]]-B85)/B85)+1)^12-1,"")</f>
        <v/>
      </c>
    </row>
    <row r="87">
      <c r="A87" s="36" t="n">
        <v>24746</v>
      </c>
      <c r="B87" s="37">
        <f>VLOOKUP(A87,Data!$E:$BG,MATCH(Country!$A$1,Data!$E$1:$BG$1,),)</f>
        <v/>
      </c>
      <c r="C87" s="65">
        <f>IF(B75&gt;0,(Table2[[#This Row],[Country]]-B75)/B75,0)</f>
        <v/>
      </c>
      <c r="D87" s="65">
        <f>IF(Table2[[#This Row],[Country]]&gt;0,(((Table2[[#This Row],[Country]]-B86)/B86)+1)^12-1,"")</f>
        <v/>
      </c>
    </row>
    <row r="88">
      <c r="A88" s="36" t="n">
        <v>24777</v>
      </c>
      <c r="B88" s="37">
        <f>VLOOKUP(A88,Data!$E:$BG,MATCH(Country!$A$1,Data!$E$1:$BG$1,),)</f>
        <v/>
      </c>
      <c r="C88" s="65">
        <f>IF(B76&gt;0,(Table2[[#This Row],[Country]]-B76)/B76,0)</f>
        <v/>
      </c>
      <c r="D88" s="65">
        <f>IF(Table2[[#This Row],[Country]]&gt;0,(((Table2[[#This Row],[Country]]-B87)/B87)+1)^12-1,"")</f>
        <v/>
      </c>
    </row>
    <row r="89">
      <c r="A89" s="36" t="n">
        <v>24807</v>
      </c>
      <c r="B89" s="37">
        <f>VLOOKUP(A89,Data!$E:$BG,MATCH(Country!$A$1,Data!$E$1:$BG$1,),)</f>
        <v/>
      </c>
      <c r="C89" s="65">
        <f>IF(B77&gt;0,(Table2[[#This Row],[Country]]-B77)/B77,0)</f>
        <v/>
      </c>
      <c r="D89" s="65">
        <f>IF(Table2[[#This Row],[Country]]&gt;0,(((Table2[[#This Row],[Country]]-B88)/B88)+1)^12-1,"")</f>
        <v/>
      </c>
    </row>
    <row r="90">
      <c r="A90" s="36" t="n">
        <v>24838</v>
      </c>
      <c r="B90" s="37">
        <f>VLOOKUP(A90,Data!$E:$BG,MATCH(Country!$A$1,Data!$E$1:$BG$1,),)</f>
        <v/>
      </c>
      <c r="C90" s="65">
        <f>IF(B78&gt;0,(Table2[[#This Row],[Country]]-B78)/B78,0)</f>
        <v/>
      </c>
      <c r="D90" s="65">
        <f>IF(Table2[[#This Row],[Country]]&gt;0,(((Table2[[#This Row],[Country]]-B89)/B89)+1)^12-1,"")</f>
        <v/>
      </c>
    </row>
    <row r="91">
      <c r="A91" s="36" t="n">
        <v>24869</v>
      </c>
      <c r="B91" s="37">
        <f>VLOOKUP(A91,Data!$E:$BG,MATCH(Country!$A$1,Data!$E$1:$BG$1,),)</f>
        <v/>
      </c>
      <c r="C91" s="65">
        <f>IF(B79&gt;0,(Table2[[#This Row],[Country]]-B79)/B79,0)</f>
        <v/>
      </c>
      <c r="D91" s="65">
        <f>IF(Table2[[#This Row],[Country]]&gt;0,(((Table2[[#This Row],[Country]]-B90)/B90)+1)^12-1,"")</f>
        <v/>
      </c>
    </row>
    <row r="92">
      <c r="A92" s="36" t="n">
        <v>24898</v>
      </c>
      <c r="B92" s="37">
        <f>VLOOKUP(A92,Data!$E:$BG,MATCH(Country!$A$1,Data!$E$1:$BG$1,),)</f>
        <v/>
      </c>
      <c r="C92" s="65">
        <f>IF(B80&gt;0,(Table2[[#This Row],[Country]]-B80)/B80,0)</f>
        <v/>
      </c>
      <c r="D92" s="65">
        <f>IF(Table2[[#This Row],[Country]]&gt;0,(((Table2[[#This Row],[Country]]-B91)/B91)+1)^12-1,"")</f>
        <v/>
      </c>
    </row>
    <row r="93">
      <c r="A93" s="36" t="n">
        <v>24929</v>
      </c>
      <c r="B93" s="37">
        <f>VLOOKUP(A93,Data!$E:$BG,MATCH(Country!$A$1,Data!$E$1:$BG$1,),)</f>
        <v/>
      </c>
      <c r="C93" s="65">
        <f>IF(B81&gt;0,(Table2[[#This Row],[Country]]-B81)/B81,0)</f>
        <v/>
      </c>
      <c r="D93" s="65">
        <f>IF(Table2[[#This Row],[Country]]&gt;0,(((Table2[[#This Row],[Country]]-B92)/B92)+1)^12-1,"")</f>
        <v/>
      </c>
    </row>
    <row r="94">
      <c r="A94" s="36" t="n">
        <v>24959</v>
      </c>
      <c r="B94" s="37">
        <f>VLOOKUP(A94,Data!$E:$BG,MATCH(Country!$A$1,Data!$E$1:$BG$1,),)</f>
        <v/>
      </c>
      <c r="C94" s="65">
        <f>IF(B82&gt;0,(Table2[[#This Row],[Country]]-B82)/B82,0)</f>
        <v/>
      </c>
      <c r="D94" s="65">
        <f>IF(Table2[[#This Row],[Country]]&gt;0,(((Table2[[#This Row],[Country]]-B93)/B93)+1)^12-1,"")</f>
        <v/>
      </c>
    </row>
    <row r="95">
      <c r="A95" s="36" t="n">
        <v>24990</v>
      </c>
      <c r="B95" s="37">
        <f>VLOOKUP(A95,Data!$E:$BG,MATCH(Country!$A$1,Data!$E$1:$BG$1,),)</f>
        <v/>
      </c>
      <c r="C95" s="65">
        <f>IF(B83&gt;0,(Table2[[#This Row],[Country]]-B83)/B83,0)</f>
        <v/>
      </c>
      <c r="D95" s="65">
        <f>IF(Table2[[#This Row],[Country]]&gt;0,(((Table2[[#This Row],[Country]]-B94)/B94)+1)^12-1,"")</f>
        <v/>
      </c>
    </row>
    <row r="96">
      <c r="A96" s="36" t="n">
        <v>25020</v>
      </c>
      <c r="B96" s="37">
        <f>VLOOKUP(A96,Data!$E:$BG,MATCH(Country!$A$1,Data!$E$1:$BG$1,),)</f>
        <v/>
      </c>
      <c r="C96" s="65">
        <f>IF(B84&gt;0,(Table2[[#This Row],[Country]]-B84)/B84,0)</f>
        <v/>
      </c>
      <c r="D96" s="65">
        <f>IF(Table2[[#This Row],[Country]]&gt;0,(((Table2[[#This Row],[Country]]-B95)/B95)+1)^12-1,"")</f>
        <v/>
      </c>
    </row>
    <row r="97">
      <c r="A97" s="36" t="n">
        <v>25051</v>
      </c>
      <c r="B97" s="37">
        <f>VLOOKUP(A97,Data!$E:$BG,MATCH(Country!$A$1,Data!$E$1:$BG$1,),)</f>
        <v/>
      </c>
      <c r="C97" s="65">
        <f>IF(B85&gt;0,(Table2[[#This Row],[Country]]-B85)/B85,0)</f>
        <v/>
      </c>
      <c r="D97" s="65">
        <f>IF(Table2[[#This Row],[Country]]&gt;0,(((Table2[[#This Row],[Country]]-B96)/B96)+1)^12-1,"")</f>
        <v/>
      </c>
    </row>
    <row r="98">
      <c r="A98" s="36" t="n">
        <v>25082</v>
      </c>
      <c r="B98" s="37">
        <f>VLOOKUP(A98,Data!$E:$BG,MATCH(Country!$A$1,Data!$E$1:$BG$1,),)</f>
        <v/>
      </c>
      <c r="C98" s="65">
        <f>IF(B86&gt;0,(Table2[[#This Row],[Country]]-B86)/B86,0)</f>
        <v/>
      </c>
      <c r="D98" s="65">
        <f>IF(Table2[[#This Row],[Country]]&gt;0,(((Table2[[#This Row],[Country]]-B97)/B97)+1)^12-1,"")</f>
        <v/>
      </c>
    </row>
    <row r="99">
      <c r="A99" s="36" t="n">
        <v>25112</v>
      </c>
      <c r="B99" s="37">
        <f>VLOOKUP(A99,Data!$E:$BG,MATCH(Country!$A$1,Data!$E$1:$BG$1,),)</f>
        <v/>
      </c>
      <c r="C99" s="65">
        <f>IF(B87&gt;0,(Table2[[#This Row],[Country]]-B87)/B87,0)</f>
        <v/>
      </c>
      <c r="D99" s="65">
        <f>IF(Table2[[#This Row],[Country]]&gt;0,(((Table2[[#This Row],[Country]]-B98)/B98)+1)^12-1,"")</f>
        <v/>
      </c>
    </row>
    <row r="100">
      <c r="A100" s="36" t="n">
        <v>25143</v>
      </c>
      <c r="B100" s="37">
        <f>VLOOKUP(A100,Data!$E:$BG,MATCH(Country!$A$1,Data!$E$1:$BG$1,),)</f>
        <v/>
      </c>
      <c r="C100" s="65">
        <f>IF(B88&gt;0,(Table2[[#This Row],[Country]]-B88)/B88,0)</f>
        <v/>
      </c>
      <c r="D100" s="65">
        <f>IF(Table2[[#This Row],[Country]]&gt;0,(((Table2[[#This Row],[Country]]-B99)/B99)+1)^12-1,"")</f>
        <v/>
      </c>
    </row>
    <row r="101">
      <c r="A101" s="36" t="n">
        <v>25173</v>
      </c>
      <c r="B101" s="37">
        <f>VLOOKUP(A101,Data!$E:$BG,MATCH(Country!$A$1,Data!$E$1:$BG$1,),)</f>
        <v/>
      </c>
      <c r="C101" s="65">
        <f>IF(B89&gt;0,(Table2[[#This Row],[Country]]-B89)/B89,0)</f>
        <v/>
      </c>
      <c r="D101" s="65">
        <f>IF(Table2[[#This Row],[Country]]&gt;0,(((Table2[[#This Row],[Country]]-B100)/B100)+1)^12-1,"")</f>
        <v/>
      </c>
    </row>
    <row r="102">
      <c r="A102" s="36" t="n">
        <v>25204</v>
      </c>
      <c r="B102" s="37">
        <f>VLOOKUP(A102,Data!$E:$BG,MATCH(Country!$A$1,Data!$E$1:$BG$1,),)</f>
        <v/>
      </c>
      <c r="C102" s="65">
        <f>IF(B90&gt;0,(Table2[[#This Row],[Country]]-B90)/B90,0)</f>
        <v/>
      </c>
      <c r="D102" s="65">
        <f>IF(Table2[[#This Row],[Country]]&gt;0,(((Table2[[#This Row],[Country]]-B101)/B101)+1)^12-1,"")</f>
        <v/>
      </c>
    </row>
    <row r="103">
      <c r="A103" s="36" t="n">
        <v>25235</v>
      </c>
      <c r="B103" s="37">
        <f>VLOOKUP(A103,Data!$E:$BG,MATCH(Country!$A$1,Data!$E$1:$BG$1,),)</f>
        <v/>
      </c>
      <c r="C103" s="65">
        <f>IF(B91&gt;0,(Table2[[#This Row],[Country]]-B91)/B91,0)</f>
        <v/>
      </c>
      <c r="D103" s="65">
        <f>IF(Table2[[#This Row],[Country]]&gt;0,(((Table2[[#This Row],[Country]]-B102)/B102)+1)^12-1,"")</f>
        <v/>
      </c>
    </row>
    <row r="104">
      <c r="A104" s="36" t="n">
        <v>25263</v>
      </c>
      <c r="B104" s="37">
        <f>VLOOKUP(A104,Data!$E:$BG,MATCH(Country!$A$1,Data!$E$1:$BG$1,),)</f>
        <v/>
      </c>
      <c r="C104" s="65">
        <f>IF(B92&gt;0,(Table2[[#This Row],[Country]]-B92)/B92,0)</f>
        <v/>
      </c>
      <c r="D104" s="65">
        <f>IF(Table2[[#This Row],[Country]]&gt;0,(((Table2[[#This Row],[Country]]-B103)/B103)+1)^12-1,"")</f>
        <v/>
      </c>
    </row>
    <row r="105">
      <c r="A105" s="36" t="n">
        <v>25294</v>
      </c>
      <c r="B105" s="37">
        <f>VLOOKUP(A105,Data!$E:$BG,MATCH(Country!$A$1,Data!$E$1:$BG$1,),)</f>
        <v/>
      </c>
      <c r="C105" s="65">
        <f>IF(B93&gt;0,(Table2[[#This Row],[Country]]-B93)/B93,0)</f>
        <v/>
      </c>
      <c r="D105" s="65">
        <f>IF(Table2[[#This Row],[Country]]&gt;0,(((Table2[[#This Row],[Country]]-B104)/B104)+1)^12-1,"")</f>
        <v/>
      </c>
    </row>
    <row r="106">
      <c r="A106" s="36" t="n">
        <v>25324</v>
      </c>
      <c r="B106" s="37">
        <f>VLOOKUP(A106,Data!$E:$BG,MATCH(Country!$A$1,Data!$E$1:$BG$1,),)</f>
        <v/>
      </c>
      <c r="C106" s="65">
        <f>IF(B94&gt;0,(Table2[[#This Row],[Country]]-B94)/B94,0)</f>
        <v/>
      </c>
      <c r="D106" s="65">
        <f>IF(Table2[[#This Row],[Country]]&gt;0,(((Table2[[#This Row],[Country]]-B105)/B105)+1)^12-1,"")</f>
        <v/>
      </c>
    </row>
    <row r="107">
      <c r="A107" s="36" t="n">
        <v>25355</v>
      </c>
      <c r="B107" s="37">
        <f>VLOOKUP(A107,Data!$E:$BG,MATCH(Country!$A$1,Data!$E$1:$BG$1,),)</f>
        <v/>
      </c>
      <c r="C107" s="65">
        <f>IF(B95&gt;0,(Table2[[#This Row],[Country]]-B95)/B95,0)</f>
        <v/>
      </c>
      <c r="D107" s="65">
        <f>IF(Table2[[#This Row],[Country]]&gt;0,(((Table2[[#This Row],[Country]]-B106)/B106)+1)^12-1,"")</f>
        <v/>
      </c>
    </row>
    <row r="108">
      <c r="A108" s="36" t="n">
        <v>25385</v>
      </c>
      <c r="B108" s="37">
        <f>VLOOKUP(A108,Data!$E:$BG,MATCH(Country!$A$1,Data!$E$1:$BG$1,),)</f>
        <v/>
      </c>
      <c r="C108" s="65">
        <f>IF(B96&gt;0,(Table2[[#This Row],[Country]]-B96)/B96,0)</f>
        <v/>
      </c>
      <c r="D108" s="65">
        <f>IF(Table2[[#This Row],[Country]]&gt;0,(((Table2[[#This Row],[Country]]-B107)/B107)+1)^12-1,"")</f>
        <v/>
      </c>
    </row>
    <row r="109">
      <c r="A109" s="36" t="n">
        <v>25416</v>
      </c>
      <c r="B109" s="37">
        <f>VLOOKUP(A109,Data!$E:$BG,MATCH(Country!$A$1,Data!$E$1:$BG$1,),)</f>
        <v/>
      </c>
      <c r="C109" s="65">
        <f>IF(B97&gt;0,(Table2[[#This Row],[Country]]-B97)/B97,0)</f>
        <v/>
      </c>
      <c r="D109" s="65">
        <f>IF(Table2[[#This Row],[Country]]&gt;0,(((Table2[[#This Row],[Country]]-B108)/B108)+1)^12-1,"")</f>
        <v/>
      </c>
    </row>
    <row r="110">
      <c r="A110" s="36" t="n">
        <v>25447</v>
      </c>
      <c r="B110" s="37">
        <f>VLOOKUP(A110,Data!$E:$BG,MATCH(Country!$A$1,Data!$E$1:$BG$1,),)</f>
        <v/>
      </c>
      <c r="C110" s="65">
        <f>IF(B98&gt;0,(Table2[[#This Row],[Country]]-B98)/B98,0)</f>
        <v/>
      </c>
      <c r="D110" s="65">
        <f>IF(Table2[[#This Row],[Country]]&gt;0,(((Table2[[#This Row],[Country]]-B109)/B109)+1)^12-1,"")</f>
        <v/>
      </c>
    </row>
    <row r="111">
      <c r="A111" s="36" t="n">
        <v>25477</v>
      </c>
      <c r="B111" s="37">
        <f>VLOOKUP(A111,Data!$E:$BG,MATCH(Country!$A$1,Data!$E$1:$BG$1,),)</f>
        <v/>
      </c>
      <c r="C111" s="65">
        <f>IF(B99&gt;0,(Table2[[#This Row],[Country]]-B99)/B99,0)</f>
        <v/>
      </c>
      <c r="D111" s="65">
        <f>IF(Table2[[#This Row],[Country]]&gt;0,(((Table2[[#This Row],[Country]]-B110)/B110)+1)^12-1,"")</f>
        <v/>
      </c>
    </row>
    <row r="112">
      <c r="A112" s="36" t="n">
        <v>25508</v>
      </c>
      <c r="B112" s="37">
        <f>VLOOKUP(A112,Data!$E:$BG,MATCH(Country!$A$1,Data!$E$1:$BG$1,),)</f>
        <v/>
      </c>
      <c r="C112" s="65">
        <f>IF(B100&gt;0,(Table2[[#This Row],[Country]]-B100)/B100,0)</f>
        <v/>
      </c>
      <c r="D112" s="65">
        <f>IF(Table2[[#This Row],[Country]]&gt;0,(((Table2[[#This Row],[Country]]-B111)/B111)+1)^12-1,"")</f>
        <v/>
      </c>
    </row>
    <row r="113">
      <c r="A113" s="36" t="n">
        <v>25538</v>
      </c>
      <c r="B113" s="37">
        <f>VLOOKUP(A113,Data!$E:$BG,MATCH(Country!$A$1,Data!$E$1:$BG$1,),)</f>
        <v/>
      </c>
      <c r="C113" s="65">
        <f>IF(B101&gt;0,(Table2[[#This Row],[Country]]-B101)/B101,0)</f>
        <v/>
      </c>
      <c r="D113" s="65">
        <f>IF(Table2[[#This Row],[Country]]&gt;0,(((Table2[[#This Row],[Country]]-B112)/B112)+1)^12-1,"")</f>
        <v/>
      </c>
    </row>
    <row r="114">
      <c r="A114" s="36" t="n">
        <v>25569</v>
      </c>
      <c r="B114" s="37">
        <f>VLOOKUP(A114,Data!$E:$BG,MATCH(Country!$A$1,Data!$E$1:$BG$1,),)</f>
        <v/>
      </c>
      <c r="C114" s="65">
        <f>IF(B102&gt;0,(Table2[[#This Row],[Country]]-B102)/B102,0)</f>
        <v/>
      </c>
      <c r="D114" s="65">
        <f>IF(Table2[[#This Row],[Country]]&gt;0,(((Table2[[#This Row],[Country]]-B113)/B113)+1)^12-1,"")</f>
        <v/>
      </c>
    </row>
    <row r="115">
      <c r="A115" s="36" t="n">
        <v>25600</v>
      </c>
      <c r="B115" s="37">
        <f>VLOOKUP(A115,Data!$E:$BG,MATCH(Country!$A$1,Data!$E$1:$BG$1,),)</f>
        <v/>
      </c>
      <c r="C115" s="65">
        <f>IF(B103&gt;0,(Table2[[#This Row],[Country]]-B103)/B103,0)</f>
        <v/>
      </c>
      <c r="D115" s="65">
        <f>IF(Table2[[#This Row],[Country]]&gt;0,(((Table2[[#This Row],[Country]]-B114)/B114)+1)^12-1,"")</f>
        <v/>
      </c>
    </row>
    <row r="116">
      <c r="A116" s="36" t="n">
        <v>25628</v>
      </c>
      <c r="B116" s="37">
        <f>VLOOKUP(A116,Data!$E:$BG,MATCH(Country!$A$1,Data!$E$1:$BG$1,),)</f>
        <v/>
      </c>
      <c r="C116" s="65">
        <f>IF(B104&gt;0,(Table2[[#This Row],[Country]]-B104)/B104,0)</f>
        <v/>
      </c>
      <c r="D116" s="65">
        <f>IF(Table2[[#This Row],[Country]]&gt;0,(((Table2[[#This Row],[Country]]-B115)/B115)+1)^12-1,"")</f>
        <v/>
      </c>
    </row>
    <row r="117">
      <c r="A117" s="36" t="n">
        <v>25659</v>
      </c>
      <c r="B117" s="37">
        <f>VLOOKUP(A117,Data!$E:$BG,MATCH(Country!$A$1,Data!$E$1:$BG$1,),)</f>
        <v/>
      </c>
      <c r="C117" s="65">
        <f>IF(B105&gt;0,(Table2[[#This Row],[Country]]-B105)/B105,0)</f>
        <v/>
      </c>
      <c r="D117" s="65">
        <f>IF(Table2[[#This Row],[Country]]&gt;0,(((Table2[[#This Row],[Country]]-B116)/B116)+1)^12-1,"")</f>
        <v/>
      </c>
    </row>
    <row r="118">
      <c r="A118" s="36" t="n">
        <v>25689</v>
      </c>
      <c r="B118" s="37">
        <f>VLOOKUP(A118,Data!$E:$BG,MATCH(Country!$A$1,Data!$E$1:$BG$1,),)</f>
        <v/>
      </c>
      <c r="C118" s="65">
        <f>IF(B106&gt;0,(Table2[[#This Row],[Country]]-B106)/B106,0)</f>
        <v/>
      </c>
      <c r="D118" s="65">
        <f>IF(Table2[[#This Row],[Country]]&gt;0,(((Table2[[#This Row],[Country]]-B117)/B117)+1)^12-1,"")</f>
        <v/>
      </c>
    </row>
    <row r="119">
      <c r="A119" s="36" t="n">
        <v>25720</v>
      </c>
      <c r="B119" s="37">
        <f>VLOOKUP(A119,Data!$E:$BG,MATCH(Country!$A$1,Data!$E$1:$BG$1,),)</f>
        <v/>
      </c>
      <c r="C119" s="65">
        <f>IF(B107&gt;0,(Table2[[#This Row],[Country]]-B107)/B107,0)</f>
        <v/>
      </c>
      <c r="D119" s="65">
        <f>IF(Table2[[#This Row],[Country]]&gt;0,(((Table2[[#This Row],[Country]]-B118)/B118)+1)^12-1,"")</f>
        <v/>
      </c>
    </row>
    <row r="120">
      <c r="A120" s="36" t="n">
        <v>25750</v>
      </c>
      <c r="B120" s="37">
        <f>VLOOKUP(A120,Data!$E:$BG,MATCH(Country!$A$1,Data!$E$1:$BG$1,),)</f>
        <v/>
      </c>
      <c r="C120" s="65">
        <f>IF(B108&gt;0,(Table2[[#This Row],[Country]]-B108)/B108,0)</f>
        <v/>
      </c>
      <c r="D120" s="65">
        <f>IF(Table2[[#This Row],[Country]]&gt;0,(((Table2[[#This Row],[Country]]-B119)/B119)+1)^12-1,"")</f>
        <v/>
      </c>
    </row>
    <row r="121">
      <c r="A121" s="36" t="n">
        <v>25781</v>
      </c>
      <c r="B121" s="37">
        <f>VLOOKUP(A121,Data!$E:$BG,MATCH(Country!$A$1,Data!$E$1:$BG$1,),)</f>
        <v/>
      </c>
      <c r="C121" s="65">
        <f>IF(B109&gt;0,(Table2[[#This Row],[Country]]-B109)/B109,0)</f>
        <v/>
      </c>
      <c r="D121" s="65">
        <f>IF(Table2[[#This Row],[Country]]&gt;0,(((Table2[[#This Row],[Country]]-B120)/B120)+1)^12-1,"")</f>
        <v/>
      </c>
    </row>
    <row r="122">
      <c r="A122" s="36" t="n">
        <v>25812</v>
      </c>
      <c r="B122" s="37">
        <f>VLOOKUP(A122,Data!$E:$BG,MATCH(Country!$A$1,Data!$E$1:$BG$1,),)</f>
        <v/>
      </c>
      <c r="C122" s="65">
        <f>IF(B110&gt;0,(Table2[[#This Row],[Country]]-B110)/B110,0)</f>
        <v/>
      </c>
      <c r="D122" s="65">
        <f>IF(Table2[[#This Row],[Country]]&gt;0,(((Table2[[#This Row],[Country]]-B121)/B121)+1)^12-1,"")</f>
        <v/>
      </c>
    </row>
    <row r="123">
      <c r="A123" s="36" t="n">
        <v>25842</v>
      </c>
      <c r="B123" s="37">
        <f>VLOOKUP(A123,Data!$E:$BG,MATCH(Country!$A$1,Data!$E$1:$BG$1,),)</f>
        <v/>
      </c>
      <c r="C123" s="65">
        <f>IF(B111&gt;0,(Table2[[#This Row],[Country]]-B111)/B111,0)</f>
        <v/>
      </c>
      <c r="D123" s="65">
        <f>IF(Table2[[#This Row],[Country]]&gt;0,(((Table2[[#This Row],[Country]]-B122)/B122)+1)^12-1,"")</f>
        <v/>
      </c>
    </row>
    <row r="124">
      <c r="A124" s="36" t="n">
        <v>25873</v>
      </c>
      <c r="B124" s="37">
        <f>VLOOKUP(A124,Data!$E:$BG,MATCH(Country!$A$1,Data!$E$1:$BG$1,),)</f>
        <v/>
      </c>
      <c r="C124" s="65">
        <f>IF(B112&gt;0,(Table2[[#This Row],[Country]]-B112)/B112,0)</f>
        <v/>
      </c>
      <c r="D124" s="65">
        <f>IF(Table2[[#This Row],[Country]]&gt;0,(((Table2[[#This Row],[Country]]-B123)/B123)+1)^12-1,"")</f>
        <v/>
      </c>
    </row>
    <row r="125">
      <c r="A125" s="36" t="n">
        <v>25903</v>
      </c>
      <c r="B125" s="37">
        <f>VLOOKUP(A125,Data!$E:$BG,MATCH(Country!$A$1,Data!$E$1:$BG$1,),)</f>
        <v/>
      </c>
      <c r="C125" s="65">
        <f>IF(B113&gt;0,(Table2[[#This Row],[Country]]-B113)/B113,0)</f>
        <v/>
      </c>
      <c r="D125" s="65">
        <f>IF(Table2[[#This Row],[Country]]&gt;0,(((Table2[[#This Row],[Country]]-B124)/B124)+1)^12-1,"")</f>
        <v/>
      </c>
    </row>
    <row r="126">
      <c r="A126" s="36" t="n">
        <v>25934</v>
      </c>
      <c r="B126" s="37">
        <f>VLOOKUP(A126,Data!$E:$BG,MATCH(Country!$A$1,Data!$E$1:$BG$1,),)</f>
        <v/>
      </c>
      <c r="C126" s="65">
        <f>IF(B114&gt;0,(Table2[[#This Row],[Country]]-B114)/B114,0)</f>
        <v/>
      </c>
      <c r="D126" s="65">
        <f>IF(Table2[[#This Row],[Country]]&gt;0,(((Table2[[#This Row],[Country]]-B125)/B125)+1)^12-1,"")</f>
        <v/>
      </c>
    </row>
    <row r="127">
      <c r="A127" s="36" t="n">
        <v>25965</v>
      </c>
      <c r="B127" s="37">
        <f>VLOOKUP(A127,Data!$E:$BG,MATCH(Country!$A$1,Data!$E$1:$BG$1,),)</f>
        <v/>
      </c>
      <c r="C127" s="65">
        <f>IF(B115&gt;0,(Table2[[#This Row],[Country]]-B115)/B115,0)</f>
        <v/>
      </c>
      <c r="D127" s="65">
        <f>IF(Table2[[#This Row],[Country]]&gt;0,(((Table2[[#This Row],[Country]]-B126)/B126)+1)^12-1,"")</f>
        <v/>
      </c>
    </row>
    <row r="128">
      <c r="A128" s="36" t="n">
        <v>25993</v>
      </c>
      <c r="B128" s="37">
        <f>VLOOKUP(A128,Data!$E:$BG,MATCH(Country!$A$1,Data!$E$1:$BG$1,),)</f>
        <v/>
      </c>
      <c r="C128" s="65">
        <f>IF(B116&gt;0,(Table2[[#This Row],[Country]]-B116)/B116,0)</f>
        <v/>
      </c>
      <c r="D128" s="65">
        <f>IF(Table2[[#This Row],[Country]]&gt;0,(((Table2[[#This Row],[Country]]-B127)/B127)+1)^12-1,"")</f>
        <v/>
      </c>
    </row>
    <row r="129">
      <c r="A129" s="36" t="n">
        <v>26024</v>
      </c>
      <c r="B129" s="37">
        <f>VLOOKUP(A129,Data!$E:$BG,MATCH(Country!$A$1,Data!$E$1:$BG$1,),)</f>
        <v/>
      </c>
      <c r="C129" s="65">
        <f>IF(B117&gt;0,(Table2[[#This Row],[Country]]-B117)/B117,0)</f>
        <v/>
      </c>
      <c r="D129" s="65">
        <f>IF(Table2[[#This Row],[Country]]&gt;0,(((Table2[[#This Row],[Country]]-B128)/B128)+1)^12-1,"")</f>
        <v/>
      </c>
    </row>
    <row r="130">
      <c r="A130" s="36" t="n">
        <v>26054</v>
      </c>
      <c r="B130" s="37">
        <f>VLOOKUP(A130,Data!$E:$BG,MATCH(Country!$A$1,Data!$E$1:$BG$1,),)</f>
        <v/>
      </c>
      <c r="C130" s="65">
        <f>IF(B118&gt;0,(Table2[[#This Row],[Country]]-B118)/B118,0)</f>
        <v/>
      </c>
      <c r="D130" s="65">
        <f>IF(Table2[[#This Row],[Country]]&gt;0,(((Table2[[#This Row],[Country]]-B129)/B129)+1)^12-1,"")</f>
        <v/>
      </c>
    </row>
    <row r="131">
      <c r="A131" s="36" t="n">
        <v>26085</v>
      </c>
      <c r="B131" s="37">
        <f>VLOOKUP(A131,Data!$E:$BG,MATCH(Country!$A$1,Data!$E$1:$BG$1,),)</f>
        <v/>
      </c>
      <c r="C131" s="65">
        <f>IF(B119&gt;0,(Table2[[#This Row],[Country]]-B119)/B119,0)</f>
        <v/>
      </c>
      <c r="D131" s="65">
        <f>IF(Table2[[#This Row],[Country]]&gt;0,(((Table2[[#This Row],[Country]]-B130)/B130)+1)^12-1,"")</f>
        <v/>
      </c>
    </row>
    <row r="132">
      <c r="A132" s="36" t="n">
        <v>26115</v>
      </c>
      <c r="B132" s="37">
        <f>VLOOKUP(A132,Data!$E:$BG,MATCH(Country!$A$1,Data!$E$1:$BG$1,),)</f>
        <v/>
      </c>
      <c r="C132" s="65">
        <f>IF(B120&gt;0,(Table2[[#This Row],[Country]]-B120)/B120,0)</f>
        <v/>
      </c>
      <c r="D132" s="65">
        <f>IF(Table2[[#This Row],[Country]]&gt;0,(((Table2[[#This Row],[Country]]-B131)/B131)+1)^12-1,"")</f>
        <v/>
      </c>
    </row>
    <row r="133">
      <c r="A133" s="36" t="n">
        <v>26146</v>
      </c>
      <c r="B133" s="37">
        <f>VLOOKUP(A133,Data!$E:$BG,MATCH(Country!$A$1,Data!$E$1:$BG$1,),)</f>
        <v/>
      </c>
      <c r="C133" s="65">
        <f>IF(B121&gt;0,(Table2[[#This Row],[Country]]-B121)/B121,0)</f>
        <v/>
      </c>
      <c r="D133" s="65">
        <f>IF(Table2[[#This Row],[Country]]&gt;0,(((Table2[[#This Row],[Country]]-B132)/B132)+1)^12-1,"")</f>
        <v/>
      </c>
    </row>
    <row r="134">
      <c r="A134" s="36" t="n">
        <v>26177</v>
      </c>
      <c r="B134" s="37">
        <f>VLOOKUP(A134,Data!$E:$BG,MATCH(Country!$A$1,Data!$E$1:$BG$1,),)</f>
        <v/>
      </c>
      <c r="C134" s="65">
        <f>IF(B122&gt;0,(Table2[[#This Row],[Country]]-B122)/B122,0)</f>
        <v/>
      </c>
      <c r="D134" s="65">
        <f>IF(Table2[[#This Row],[Country]]&gt;0,(((Table2[[#This Row],[Country]]-B133)/B133)+1)^12-1,"")</f>
        <v/>
      </c>
    </row>
    <row r="135">
      <c r="A135" s="36" t="n">
        <v>26207</v>
      </c>
      <c r="B135" s="37">
        <f>VLOOKUP(A135,Data!$E:$BG,MATCH(Country!$A$1,Data!$E$1:$BG$1,),)</f>
        <v/>
      </c>
      <c r="C135" s="65">
        <f>IF(B123&gt;0,(Table2[[#This Row],[Country]]-B123)/B123,0)</f>
        <v/>
      </c>
      <c r="D135" s="65">
        <f>IF(Table2[[#This Row],[Country]]&gt;0,(((Table2[[#This Row],[Country]]-B134)/B134)+1)^12-1,"")</f>
        <v/>
      </c>
    </row>
    <row r="136">
      <c r="A136" s="36" t="n">
        <v>26238</v>
      </c>
      <c r="B136" s="37">
        <f>VLOOKUP(A136,Data!$E:$BG,MATCH(Country!$A$1,Data!$E$1:$BG$1,),)</f>
        <v/>
      </c>
      <c r="C136" s="65">
        <f>IF(B124&gt;0,(Table2[[#This Row],[Country]]-B124)/B124,0)</f>
        <v/>
      </c>
      <c r="D136" s="65">
        <f>IF(Table2[[#This Row],[Country]]&gt;0,(((Table2[[#This Row],[Country]]-B135)/B135)+1)^12-1,"")</f>
        <v/>
      </c>
    </row>
    <row r="137">
      <c r="A137" s="36" t="n">
        <v>26268</v>
      </c>
      <c r="B137" s="37">
        <f>VLOOKUP(A137,Data!$E:$BG,MATCH(Country!$A$1,Data!$E$1:$BG$1,),)</f>
        <v/>
      </c>
      <c r="C137" s="65">
        <f>IF(B125&gt;0,(Table2[[#This Row],[Country]]-B125)/B125,0)</f>
        <v/>
      </c>
      <c r="D137" s="65">
        <f>IF(Table2[[#This Row],[Country]]&gt;0,(((Table2[[#This Row],[Country]]-B136)/B136)+1)^12-1,"")</f>
        <v/>
      </c>
    </row>
    <row r="138">
      <c r="A138" s="36" t="n">
        <v>26299</v>
      </c>
      <c r="B138" s="37">
        <f>VLOOKUP(A138,Data!$E:$BG,MATCH(Country!$A$1,Data!$E$1:$BG$1,),)</f>
        <v/>
      </c>
      <c r="C138" s="65">
        <f>IF(B126&gt;0,(Table2[[#This Row],[Country]]-B126)/B126,0)</f>
        <v/>
      </c>
      <c r="D138" s="65">
        <f>IF(Table2[[#This Row],[Country]]&gt;0,(((Table2[[#This Row],[Country]]-B137)/B137)+1)^12-1,"")</f>
        <v/>
      </c>
    </row>
    <row r="139">
      <c r="A139" s="36" t="n">
        <v>26330</v>
      </c>
      <c r="B139" s="37">
        <f>VLOOKUP(A139,Data!$E:$BG,MATCH(Country!$A$1,Data!$E$1:$BG$1,),)</f>
        <v/>
      </c>
      <c r="C139" s="65">
        <f>IF(B127&gt;0,(Table2[[#This Row],[Country]]-B127)/B127,0)</f>
        <v/>
      </c>
      <c r="D139" s="65">
        <f>IF(Table2[[#This Row],[Country]]&gt;0,(((Table2[[#This Row],[Country]]-B138)/B138)+1)^12-1,"")</f>
        <v/>
      </c>
    </row>
    <row r="140">
      <c r="A140" s="36" t="n">
        <v>26359</v>
      </c>
      <c r="B140" s="37">
        <f>VLOOKUP(A140,Data!$E:$BG,MATCH(Country!$A$1,Data!$E$1:$BG$1,),)</f>
        <v/>
      </c>
      <c r="C140" s="65">
        <f>IF(B128&gt;0,(Table2[[#This Row],[Country]]-B128)/B128,0)</f>
        <v/>
      </c>
      <c r="D140" s="65">
        <f>IF(Table2[[#This Row],[Country]]&gt;0,(((Table2[[#This Row],[Country]]-B139)/B139)+1)^12-1,"")</f>
        <v/>
      </c>
    </row>
    <row r="141">
      <c r="A141" s="36" t="n">
        <v>26390</v>
      </c>
      <c r="B141" s="37">
        <f>VLOOKUP(A141,Data!$E:$BG,MATCH(Country!$A$1,Data!$E$1:$BG$1,),)</f>
        <v/>
      </c>
      <c r="C141" s="65">
        <f>IF(B129&gt;0,(Table2[[#This Row],[Country]]-B129)/B129,0)</f>
        <v/>
      </c>
      <c r="D141" s="65">
        <f>IF(Table2[[#This Row],[Country]]&gt;0,(((Table2[[#This Row],[Country]]-B140)/B140)+1)^12-1,"")</f>
        <v/>
      </c>
    </row>
    <row r="142">
      <c r="A142" s="36" t="n">
        <v>26420</v>
      </c>
      <c r="B142" s="37">
        <f>VLOOKUP(A142,Data!$E:$BG,MATCH(Country!$A$1,Data!$E$1:$BG$1,),)</f>
        <v/>
      </c>
      <c r="C142" s="65">
        <f>IF(B130&gt;0,(Table2[[#This Row],[Country]]-B130)/B130,0)</f>
        <v/>
      </c>
      <c r="D142" s="65">
        <f>IF(Table2[[#This Row],[Country]]&gt;0,(((Table2[[#This Row],[Country]]-B141)/B141)+1)^12-1,"")</f>
        <v/>
      </c>
    </row>
    <row r="143">
      <c r="A143" s="36" t="n">
        <v>26451</v>
      </c>
      <c r="B143" s="37">
        <f>VLOOKUP(A143,Data!$E:$BG,MATCH(Country!$A$1,Data!$E$1:$BG$1,),)</f>
        <v/>
      </c>
      <c r="C143" s="65">
        <f>IF(B131&gt;0,(Table2[[#This Row],[Country]]-B131)/B131,0)</f>
        <v/>
      </c>
      <c r="D143" s="65">
        <f>IF(Table2[[#This Row],[Country]]&gt;0,(((Table2[[#This Row],[Country]]-B142)/B142)+1)^12-1,"")</f>
        <v/>
      </c>
    </row>
    <row r="144">
      <c r="A144" s="36" t="n">
        <v>26481</v>
      </c>
      <c r="B144" s="37">
        <f>VLOOKUP(A144,Data!$E:$BG,MATCH(Country!$A$1,Data!$E$1:$BG$1,),)</f>
        <v/>
      </c>
      <c r="C144" s="65">
        <f>IF(B132&gt;0,(Table2[[#This Row],[Country]]-B132)/B132,0)</f>
        <v/>
      </c>
      <c r="D144" s="65">
        <f>IF(Table2[[#This Row],[Country]]&gt;0,(((Table2[[#This Row],[Country]]-B143)/B143)+1)^12-1,"")</f>
        <v/>
      </c>
    </row>
    <row r="145">
      <c r="A145" s="36" t="n">
        <v>26512</v>
      </c>
      <c r="B145" s="37">
        <f>VLOOKUP(A145,Data!$E:$BG,MATCH(Country!$A$1,Data!$E$1:$BG$1,),)</f>
        <v/>
      </c>
      <c r="C145" s="65">
        <f>IF(B133&gt;0,(Table2[[#This Row],[Country]]-B133)/B133,0)</f>
        <v/>
      </c>
      <c r="D145" s="65">
        <f>IF(Table2[[#This Row],[Country]]&gt;0,(((Table2[[#This Row],[Country]]-B144)/B144)+1)^12-1,"")</f>
        <v/>
      </c>
    </row>
    <row r="146">
      <c r="A146" s="36" t="n">
        <v>26543</v>
      </c>
      <c r="B146" s="37">
        <f>VLOOKUP(A146,Data!$E:$BG,MATCH(Country!$A$1,Data!$E$1:$BG$1,),)</f>
        <v/>
      </c>
      <c r="C146" s="65">
        <f>IF(B134&gt;0,(Table2[[#This Row],[Country]]-B134)/B134,0)</f>
        <v/>
      </c>
      <c r="D146" s="65">
        <f>IF(Table2[[#This Row],[Country]]&gt;0,(((Table2[[#This Row],[Country]]-B145)/B145)+1)^12-1,"")</f>
        <v/>
      </c>
    </row>
    <row r="147">
      <c r="A147" s="36" t="n">
        <v>26573</v>
      </c>
      <c r="B147" s="37">
        <f>VLOOKUP(A147,Data!$E:$BG,MATCH(Country!$A$1,Data!$E$1:$BG$1,),)</f>
        <v/>
      </c>
      <c r="C147" s="65">
        <f>IF(B135&gt;0,(Table2[[#This Row],[Country]]-B135)/B135,0)</f>
        <v/>
      </c>
      <c r="D147" s="65">
        <f>IF(Table2[[#This Row],[Country]]&gt;0,(((Table2[[#This Row],[Country]]-B146)/B146)+1)^12-1,"")</f>
        <v/>
      </c>
    </row>
    <row r="148">
      <c r="A148" s="36" t="n">
        <v>26604</v>
      </c>
      <c r="B148" s="37">
        <f>VLOOKUP(A148,Data!$E:$BG,MATCH(Country!$A$1,Data!$E$1:$BG$1,),)</f>
        <v/>
      </c>
      <c r="C148" s="65">
        <f>IF(B136&gt;0,(Table2[[#This Row],[Country]]-B136)/B136,0)</f>
        <v/>
      </c>
      <c r="D148" s="65">
        <f>IF(Table2[[#This Row],[Country]]&gt;0,(((Table2[[#This Row],[Country]]-B147)/B147)+1)^12-1,"")</f>
        <v/>
      </c>
    </row>
    <row r="149">
      <c r="A149" s="36" t="n">
        <v>26634</v>
      </c>
      <c r="B149" s="37">
        <f>VLOOKUP(A149,Data!$E:$BG,MATCH(Country!$A$1,Data!$E$1:$BG$1,),)</f>
        <v/>
      </c>
      <c r="C149" s="65">
        <f>IF(B137&gt;0,(Table2[[#This Row],[Country]]-B137)/B137,0)</f>
        <v/>
      </c>
      <c r="D149" s="65">
        <f>IF(Table2[[#This Row],[Country]]&gt;0,(((Table2[[#This Row],[Country]]-B148)/B148)+1)^12-1,"")</f>
        <v/>
      </c>
    </row>
    <row r="150">
      <c r="A150" s="36" t="n">
        <v>26665</v>
      </c>
      <c r="B150" s="37">
        <f>VLOOKUP(A150,Data!$E:$BG,MATCH(Country!$A$1,Data!$E$1:$BG$1,),)</f>
        <v/>
      </c>
      <c r="C150" s="65">
        <f>IF(B138&gt;0,(Table2[[#This Row],[Country]]-B138)/B138,0)</f>
        <v/>
      </c>
      <c r="D150" s="65">
        <f>IF(Table2[[#This Row],[Country]]&gt;0,(((Table2[[#This Row],[Country]]-B149)/B149)+1)^12-1,"")</f>
        <v/>
      </c>
    </row>
    <row r="151">
      <c r="A151" s="36" t="n">
        <v>26696</v>
      </c>
      <c r="B151" s="37">
        <f>VLOOKUP(A151,Data!$E:$BG,MATCH(Country!$A$1,Data!$E$1:$BG$1,),)</f>
        <v/>
      </c>
      <c r="C151" s="65">
        <f>IF(B139&gt;0,(Table2[[#This Row],[Country]]-B139)/B139,0)</f>
        <v/>
      </c>
      <c r="D151" s="65">
        <f>IF(Table2[[#This Row],[Country]]&gt;0,(((Table2[[#This Row],[Country]]-B150)/B150)+1)^12-1,"")</f>
        <v/>
      </c>
    </row>
    <row r="152">
      <c r="A152" s="36" t="n">
        <v>26724</v>
      </c>
      <c r="B152" s="37">
        <f>VLOOKUP(A152,Data!$E:$BG,MATCH(Country!$A$1,Data!$E$1:$BG$1,),)</f>
        <v/>
      </c>
      <c r="C152" s="65">
        <f>IF(B140&gt;0,(Table2[[#This Row],[Country]]-B140)/B140,0)</f>
        <v/>
      </c>
      <c r="D152" s="65">
        <f>IF(Table2[[#This Row],[Country]]&gt;0,(((Table2[[#This Row],[Country]]-B151)/B151)+1)^12-1,"")</f>
        <v/>
      </c>
    </row>
    <row r="153">
      <c r="A153" s="36" t="n">
        <v>26755</v>
      </c>
      <c r="B153" s="37">
        <f>VLOOKUP(A153,Data!$E:$BG,MATCH(Country!$A$1,Data!$E$1:$BG$1,),)</f>
        <v/>
      </c>
      <c r="C153" s="65">
        <f>IF(B141&gt;0,(Table2[[#This Row],[Country]]-B141)/B141,0)</f>
        <v/>
      </c>
      <c r="D153" s="65">
        <f>IF(Table2[[#This Row],[Country]]&gt;0,(((Table2[[#This Row],[Country]]-B152)/B152)+1)^12-1,"")</f>
        <v/>
      </c>
    </row>
    <row r="154">
      <c r="A154" s="36" t="n">
        <v>26785</v>
      </c>
      <c r="B154" s="37">
        <f>VLOOKUP(A154,Data!$E:$BG,MATCH(Country!$A$1,Data!$E$1:$BG$1,),)</f>
        <v/>
      </c>
      <c r="C154" s="65">
        <f>IF(B142&gt;0,(Table2[[#This Row],[Country]]-B142)/B142,0)</f>
        <v/>
      </c>
      <c r="D154" s="65">
        <f>IF(Table2[[#This Row],[Country]]&gt;0,(((Table2[[#This Row],[Country]]-B153)/B153)+1)^12-1,"")</f>
        <v/>
      </c>
    </row>
    <row r="155">
      <c r="A155" s="36" t="n">
        <v>26816</v>
      </c>
      <c r="B155" s="37">
        <f>VLOOKUP(A155,Data!$E:$BG,MATCH(Country!$A$1,Data!$E$1:$BG$1,),)</f>
        <v/>
      </c>
      <c r="C155" s="65">
        <f>IF(B143&gt;0,(Table2[[#This Row],[Country]]-B143)/B143,0)</f>
        <v/>
      </c>
      <c r="D155" s="65">
        <f>IF(Table2[[#This Row],[Country]]&gt;0,(((Table2[[#This Row],[Country]]-B154)/B154)+1)^12-1,"")</f>
        <v/>
      </c>
    </row>
    <row r="156">
      <c r="A156" s="36" t="n">
        <v>26846</v>
      </c>
      <c r="B156" s="37">
        <f>VLOOKUP(A156,Data!$E:$BG,MATCH(Country!$A$1,Data!$E$1:$BG$1,),)</f>
        <v/>
      </c>
      <c r="C156" s="65">
        <f>IF(B144&gt;0,(Table2[[#This Row],[Country]]-B144)/B144,0)</f>
        <v/>
      </c>
      <c r="D156" s="65">
        <f>IF(Table2[[#This Row],[Country]]&gt;0,(((Table2[[#This Row],[Country]]-B155)/B155)+1)^12-1,"")</f>
        <v/>
      </c>
    </row>
    <row r="157">
      <c r="A157" s="36" t="n">
        <v>26877</v>
      </c>
      <c r="B157" s="37">
        <f>VLOOKUP(A157,Data!$E:$BG,MATCH(Country!$A$1,Data!$E$1:$BG$1,),)</f>
        <v/>
      </c>
      <c r="C157" s="65">
        <f>IF(B145&gt;0,(Table2[[#This Row],[Country]]-B145)/B145,0)</f>
        <v/>
      </c>
      <c r="D157" s="65">
        <f>IF(Table2[[#This Row],[Country]]&gt;0,(((Table2[[#This Row],[Country]]-B156)/B156)+1)^12-1,"")</f>
        <v/>
      </c>
    </row>
    <row r="158">
      <c r="A158" s="36" t="n">
        <v>26908</v>
      </c>
      <c r="B158" s="37">
        <f>VLOOKUP(A158,Data!$E:$BG,MATCH(Country!$A$1,Data!$E$1:$BG$1,),)</f>
        <v/>
      </c>
      <c r="C158" s="65">
        <f>IF(B146&gt;0,(Table2[[#This Row],[Country]]-B146)/B146,0)</f>
        <v/>
      </c>
      <c r="D158" s="65">
        <f>IF(Table2[[#This Row],[Country]]&gt;0,(((Table2[[#This Row],[Country]]-B157)/B157)+1)^12-1,"")</f>
        <v/>
      </c>
    </row>
    <row r="159">
      <c r="A159" s="36" t="n">
        <v>26938</v>
      </c>
      <c r="B159" s="37">
        <f>VLOOKUP(A159,Data!$E:$BG,MATCH(Country!$A$1,Data!$E$1:$BG$1,),)</f>
        <v/>
      </c>
      <c r="C159" s="65">
        <f>IF(B147&gt;0,(Table2[[#This Row],[Country]]-B147)/B147,0)</f>
        <v/>
      </c>
      <c r="D159" s="65">
        <f>IF(Table2[[#This Row],[Country]]&gt;0,(((Table2[[#This Row],[Country]]-B158)/B158)+1)^12-1,"")</f>
        <v/>
      </c>
    </row>
    <row r="160">
      <c r="A160" s="36" t="n">
        <v>26969</v>
      </c>
      <c r="B160" s="37">
        <f>VLOOKUP(A160,Data!$E:$BG,MATCH(Country!$A$1,Data!$E$1:$BG$1,),)</f>
        <v/>
      </c>
      <c r="C160" s="65">
        <f>IF(B148&gt;0,(Table2[[#This Row],[Country]]-B148)/B148,0)</f>
        <v/>
      </c>
      <c r="D160" s="65">
        <f>IF(Table2[[#This Row],[Country]]&gt;0,(((Table2[[#This Row],[Country]]-B159)/B159)+1)^12-1,"")</f>
        <v/>
      </c>
    </row>
    <row r="161">
      <c r="A161" s="36" t="n">
        <v>26999</v>
      </c>
      <c r="B161" s="37">
        <f>VLOOKUP(A161,Data!$E:$BG,MATCH(Country!$A$1,Data!$E$1:$BG$1,),)</f>
        <v/>
      </c>
      <c r="C161" s="65">
        <f>IF(B149&gt;0,(Table2[[#This Row],[Country]]-B149)/B149,0)</f>
        <v/>
      </c>
      <c r="D161" s="65">
        <f>IF(Table2[[#This Row],[Country]]&gt;0,(((Table2[[#This Row],[Country]]-B160)/B160)+1)^12-1,"")</f>
        <v/>
      </c>
    </row>
    <row r="162">
      <c r="A162" s="36" t="n">
        <v>27030</v>
      </c>
      <c r="B162" s="37">
        <f>VLOOKUP(A162,Data!$E:$BG,MATCH(Country!$A$1,Data!$E$1:$BG$1,),)</f>
        <v/>
      </c>
      <c r="C162" s="65">
        <f>IF(B150&gt;0,(Table2[[#This Row],[Country]]-B150)/B150,0)</f>
        <v/>
      </c>
      <c r="D162" s="65">
        <f>IF(Table2[[#This Row],[Country]]&gt;0,(((Table2[[#This Row],[Country]]-B161)/B161)+1)^12-1,"")</f>
        <v/>
      </c>
    </row>
    <row r="163">
      <c r="A163" s="36" t="n">
        <v>27061</v>
      </c>
      <c r="B163" s="37">
        <f>VLOOKUP(A163,Data!$E:$BG,MATCH(Country!$A$1,Data!$E$1:$BG$1,),)</f>
        <v/>
      </c>
      <c r="C163" s="65">
        <f>IF(B151&gt;0,(Table2[[#This Row],[Country]]-B151)/B151,0)</f>
        <v/>
      </c>
      <c r="D163" s="65">
        <f>IF(Table2[[#This Row],[Country]]&gt;0,(((Table2[[#This Row],[Country]]-B162)/B162)+1)^12-1,"")</f>
        <v/>
      </c>
    </row>
    <row r="164">
      <c r="A164" s="36" t="n">
        <v>27089</v>
      </c>
      <c r="B164" s="37">
        <f>VLOOKUP(A164,Data!$E:$BG,MATCH(Country!$A$1,Data!$E$1:$BG$1,),)</f>
        <v/>
      </c>
      <c r="C164" s="65">
        <f>IF(B152&gt;0,(Table2[[#This Row],[Country]]-B152)/B152,0)</f>
        <v/>
      </c>
      <c r="D164" s="65">
        <f>IF(Table2[[#This Row],[Country]]&gt;0,(((Table2[[#This Row],[Country]]-B163)/B163)+1)^12-1,"")</f>
        <v/>
      </c>
    </row>
    <row r="165">
      <c r="A165" s="36" t="n">
        <v>27120</v>
      </c>
      <c r="B165" s="37">
        <f>VLOOKUP(A165,Data!$E:$BG,MATCH(Country!$A$1,Data!$E$1:$BG$1,),)</f>
        <v/>
      </c>
      <c r="C165" s="65">
        <f>IF(B153&gt;0,(Table2[[#This Row],[Country]]-B153)/B153,0)</f>
        <v/>
      </c>
      <c r="D165" s="65">
        <f>IF(Table2[[#This Row],[Country]]&gt;0,(((Table2[[#This Row],[Country]]-B164)/B164)+1)^12-1,"")</f>
        <v/>
      </c>
    </row>
    <row r="166">
      <c r="A166" s="36" t="n">
        <v>27150</v>
      </c>
      <c r="B166" s="37">
        <f>VLOOKUP(A166,Data!$E:$BG,MATCH(Country!$A$1,Data!$E$1:$BG$1,),)</f>
        <v/>
      </c>
      <c r="C166" s="65">
        <f>IF(B154&gt;0,(Table2[[#This Row],[Country]]-B154)/B154,0)</f>
        <v/>
      </c>
      <c r="D166" s="65">
        <f>IF(Table2[[#This Row],[Country]]&gt;0,(((Table2[[#This Row],[Country]]-B165)/B165)+1)^12-1,"")</f>
        <v/>
      </c>
    </row>
    <row r="167">
      <c r="A167" s="36" t="n">
        <v>27181</v>
      </c>
      <c r="B167" s="37">
        <f>VLOOKUP(A167,Data!$E:$BG,MATCH(Country!$A$1,Data!$E$1:$BG$1,),)</f>
        <v/>
      </c>
      <c r="C167" s="65">
        <f>IF(B155&gt;0,(Table2[[#This Row],[Country]]-B155)/B155,0)</f>
        <v/>
      </c>
      <c r="D167" s="65">
        <f>IF(Table2[[#This Row],[Country]]&gt;0,(((Table2[[#This Row],[Country]]-B166)/B166)+1)^12-1,"")</f>
        <v/>
      </c>
    </row>
    <row r="168">
      <c r="A168" s="36" t="n">
        <v>27211</v>
      </c>
      <c r="B168" s="37">
        <f>VLOOKUP(A168,Data!$E:$BG,MATCH(Country!$A$1,Data!$E$1:$BG$1,),)</f>
        <v/>
      </c>
      <c r="C168" s="65">
        <f>IF(B156&gt;0,(Table2[[#This Row],[Country]]-B156)/B156,0)</f>
        <v/>
      </c>
      <c r="D168" s="65">
        <f>IF(Table2[[#This Row],[Country]]&gt;0,(((Table2[[#This Row],[Country]]-B167)/B167)+1)^12-1,"")</f>
        <v/>
      </c>
    </row>
    <row r="169">
      <c r="A169" s="36" t="n">
        <v>27242</v>
      </c>
      <c r="B169" s="37">
        <f>VLOOKUP(A169,Data!$E:$BG,MATCH(Country!$A$1,Data!$E$1:$BG$1,),)</f>
        <v/>
      </c>
      <c r="C169" s="65">
        <f>IF(B157&gt;0,(Table2[[#This Row],[Country]]-B157)/B157,0)</f>
        <v/>
      </c>
      <c r="D169" s="65">
        <f>IF(Table2[[#This Row],[Country]]&gt;0,(((Table2[[#This Row],[Country]]-B168)/B168)+1)^12-1,"")</f>
        <v/>
      </c>
    </row>
    <row r="170">
      <c r="A170" s="36" t="n">
        <v>27273</v>
      </c>
      <c r="B170" s="37">
        <f>VLOOKUP(A170,Data!$E:$BG,MATCH(Country!$A$1,Data!$E$1:$BG$1,),)</f>
        <v/>
      </c>
      <c r="C170" s="65">
        <f>IF(B158&gt;0,(Table2[[#This Row],[Country]]-B158)/B158,0)</f>
        <v/>
      </c>
      <c r="D170" s="65">
        <f>IF(Table2[[#This Row],[Country]]&gt;0,(((Table2[[#This Row],[Country]]-B169)/B169)+1)^12-1,"")</f>
        <v/>
      </c>
    </row>
    <row r="171">
      <c r="A171" s="36" t="n">
        <v>27303</v>
      </c>
      <c r="B171" s="37">
        <f>VLOOKUP(A171,Data!$E:$BG,MATCH(Country!$A$1,Data!$E$1:$BG$1,),)</f>
        <v/>
      </c>
      <c r="C171" s="65">
        <f>IF(B159&gt;0,(Table2[[#This Row],[Country]]-B159)/B159,0)</f>
        <v/>
      </c>
      <c r="D171" s="65">
        <f>IF(Table2[[#This Row],[Country]]&gt;0,(((Table2[[#This Row],[Country]]-B170)/B170)+1)^12-1,"")</f>
        <v/>
      </c>
    </row>
    <row r="172">
      <c r="A172" s="36" t="n">
        <v>27334</v>
      </c>
      <c r="B172" s="37">
        <f>VLOOKUP(A172,Data!$E:$BG,MATCH(Country!$A$1,Data!$E$1:$BG$1,),)</f>
        <v/>
      </c>
      <c r="C172" s="65">
        <f>IF(B160&gt;0,(Table2[[#This Row],[Country]]-B160)/B160,0)</f>
        <v/>
      </c>
      <c r="D172" s="65">
        <f>IF(Table2[[#This Row],[Country]]&gt;0,(((Table2[[#This Row],[Country]]-B171)/B171)+1)^12-1,"")</f>
        <v/>
      </c>
    </row>
    <row r="173">
      <c r="A173" s="36" t="n">
        <v>27364</v>
      </c>
      <c r="B173" s="37">
        <f>VLOOKUP(A173,Data!$E:$BG,MATCH(Country!$A$1,Data!$E$1:$BG$1,),)</f>
        <v/>
      </c>
      <c r="C173" s="65">
        <f>IF(B161&gt;0,(Table2[[#This Row],[Country]]-B161)/B161,0)</f>
        <v/>
      </c>
      <c r="D173" s="65">
        <f>IF(Table2[[#This Row],[Country]]&gt;0,(((Table2[[#This Row],[Country]]-B172)/B172)+1)^12-1,"")</f>
        <v/>
      </c>
    </row>
    <row r="174">
      <c r="A174" s="36" t="n">
        <v>27395</v>
      </c>
      <c r="B174" s="37">
        <f>VLOOKUP(A174,Data!$E:$BG,MATCH(Country!$A$1,Data!$E$1:$BG$1,),)</f>
        <v/>
      </c>
      <c r="C174" s="65">
        <f>IF(B162&gt;0,(Table2[[#This Row],[Country]]-B162)/B162,0)</f>
        <v/>
      </c>
      <c r="D174" s="65">
        <f>IF(Table2[[#This Row],[Country]]&gt;0,(((Table2[[#This Row],[Country]]-B173)/B173)+1)^12-1,"")</f>
        <v/>
      </c>
    </row>
    <row r="175">
      <c r="A175" s="36" t="n">
        <v>27426</v>
      </c>
      <c r="B175" s="37">
        <f>VLOOKUP(A175,Data!$E:$BG,MATCH(Country!$A$1,Data!$E$1:$BG$1,),)</f>
        <v/>
      </c>
      <c r="C175" s="65">
        <f>IF(B163&gt;0,(Table2[[#This Row],[Country]]-B163)/B163,0)</f>
        <v/>
      </c>
      <c r="D175" s="65">
        <f>IF(Table2[[#This Row],[Country]]&gt;0,(((Table2[[#This Row],[Country]]-B174)/B174)+1)^12-1,"")</f>
        <v/>
      </c>
    </row>
    <row r="176">
      <c r="A176" s="36" t="n">
        <v>27454</v>
      </c>
      <c r="B176" s="37">
        <f>VLOOKUP(A176,Data!$E:$BG,MATCH(Country!$A$1,Data!$E$1:$BG$1,),)</f>
        <v/>
      </c>
      <c r="C176" s="65">
        <f>IF(B164&gt;0,(Table2[[#This Row],[Country]]-B164)/B164,0)</f>
        <v/>
      </c>
      <c r="D176" s="65">
        <f>IF(Table2[[#This Row],[Country]]&gt;0,(((Table2[[#This Row],[Country]]-B175)/B175)+1)^12-1,"")</f>
        <v/>
      </c>
    </row>
    <row r="177">
      <c r="A177" s="36" t="n">
        <v>27485</v>
      </c>
      <c r="B177" s="37">
        <f>VLOOKUP(A177,Data!$E:$BG,MATCH(Country!$A$1,Data!$E$1:$BG$1,),)</f>
        <v/>
      </c>
      <c r="C177" s="65">
        <f>IF(B165&gt;0,(Table2[[#This Row],[Country]]-B165)/B165,0)</f>
        <v/>
      </c>
      <c r="D177" s="65">
        <f>IF(Table2[[#This Row],[Country]]&gt;0,(((Table2[[#This Row],[Country]]-B176)/B176)+1)^12-1,"")</f>
        <v/>
      </c>
    </row>
    <row r="178">
      <c r="A178" s="36" t="n">
        <v>27515</v>
      </c>
      <c r="B178" s="37">
        <f>VLOOKUP(A178,Data!$E:$BG,MATCH(Country!$A$1,Data!$E$1:$BG$1,),)</f>
        <v/>
      </c>
      <c r="C178" s="65">
        <f>IF(B166&gt;0,(Table2[[#This Row],[Country]]-B166)/B166,0)</f>
        <v/>
      </c>
      <c r="D178" s="65">
        <f>IF(Table2[[#This Row],[Country]]&gt;0,(((Table2[[#This Row],[Country]]-B177)/B177)+1)^12-1,"")</f>
        <v/>
      </c>
    </row>
    <row r="179">
      <c r="A179" s="36" t="n">
        <v>27546</v>
      </c>
      <c r="B179" s="37">
        <f>VLOOKUP(A179,Data!$E:$BG,MATCH(Country!$A$1,Data!$E$1:$BG$1,),)</f>
        <v/>
      </c>
      <c r="C179" s="65">
        <f>IF(B167&gt;0,(Table2[[#This Row],[Country]]-B167)/B167,0)</f>
        <v/>
      </c>
      <c r="D179" s="65">
        <f>IF(Table2[[#This Row],[Country]]&gt;0,(((Table2[[#This Row],[Country]]-B178)/B178)+1)^12-1,"")</f>
        <v/>
      </c>
    </row>
    <row r="180">
      <c r="A180" s="36" t="n">
        <v>27576</v>
      </c>
      <c r="B180" s="37">
        <f>VLOOKUP(A180,Data!$E:$BG,MATCH(Country!$A$1,Data!$E$1:$BG$1,),)</f>
        <v/>
      </c>
      <c r="C180" s="65">
        <f>IF(B168&gt;0,(Table2[[#This Row],[Country]]-B168)/B168,0)</f>
        <v/>
      </c>
      <c r="D180" s="65">
        <f>IF(Table2[[#This Row],[Country]]&gt;0,(((Table2[[#This Row],[Country]]-B179)/B179)+1)^12-1,"")</f>
        <v/>
      </c>
    </row>
    <row r="181">
      <c r="A181" s="36" t="n">
        <v>27607</v>
      </c>
      <c r="B181" s="37">
        <f>VLOOKUP(A181,Data!$E:$BG,MATCH(Country!$A$1,Data!$E$1:$BG$1,),)</f>
        <v/>
      </c>
      <c r="C181" s="65">
        <f>IF(B169&gt;0,(Table2[[#This Row],[Country]]-B169)/B169,0)</f>
        <v/>
      </c>
      <c r="D181" s="65">
        <f>IF(Table2[[#This Row],[Country]]&gt;0,(((Table2[[#This Row],[Country]]-B180)/B180)+1)^12-1,"")</f>
        <v/>
      </c>
    </row>
    <row r="182">
      <c r="A182" s="36" t="n">
        <v>27638</v>
      </c>
      <c r="B182" s="37">
        <f>VLOOKUP(A182,Data!$E:$BG,MATCH(Country!$A$1,Data!$E$1:$BG$1,),)</f>
        <v/>
      </c>
      <c r="C182" s="65">
        <f>IF(B170&gt;0,(Table2[[#This Row],[Country]]-B170)/B170,0)</f>
        <v/>
      </c>
      <c r="D182" s="65">
        <f>IF(Table2[[#This Row],[Country]]&gt;0,(((Table2[[#This Row],[Country]]-B181)/B181)+1)^12-1,"")</f>
        <v/>
      </c>
    </row>
    <row r="183">
      <c r="A183" s="36" t="n">
        <v>27668</v>
      </c>
      <c r="B183" s="37">
        <f>VLOOKUP(A183,Data!$E:$BG,MATCH(Country!$A$1,Data!$E$1:$BG$1,),)</f>
        <v/>
      </c>
      <c r="C183" s="65">
        <f>IF(B171&gt;0,(Table2[[#This Row],[Country]]-B171)/B171,0)</f>
        <v/>
      </c>
      <c r="D183" s="65">
        <f>IF(Table2[[#This Row],[Country]]&gt;0,(((Table2[[#This Row],[Country]]-B182)/B182)+1)^12-1,"")</f>
        <v/>
      </c>
    </row>
    <row r="184">
      <c r="A184" s="36" t="n">
        <v>27699</v>
      </c>
      <c r="B184" s="37">
        <f>VLOOKUP(A184,Data!$E:$BG,MATCH(Country!$A$1,Data!$E$1:$BG$1,),)</f>
        <v/>
      </c>
      <c r="C184" s="65">
        <f>IF(B172&gt;0,(Table2[[#This Row],[Country]]-B172)/B172,0)</f>
        <v/>
      </c>
      <c r="D184" s="65">
        <f>IF(Table2[[#This Row],[Country]]&gt;0,(((Table2[[#This Row],[Country]]-B183)/B183)+1)^12-1,"")</f>
        <v/>
      </c>
    </row>
    <row r="185">
      <c r="A185" s="36" t="n">
        <v>27729</v>
      </c>
      <c r="B185" s="37">
        <f>VLOOKUP(A185,Data!$E:$BG,MATCH(Country!$A$1,Data!$E$1:$BG$1,),)</f>
        <v/>
      </c>
      <c r="C185" s="65">
        <f>IF(B173&gt;0,(Table2[[#This Row],[Country]]-B173)/B173,0)</f>
        <v/>
      </c>
      <c r="D185" s="65">
        <f>IF(Table2[[#This Row],[Country]]&gt;0,(((Table2[[#This Row],[Country]]-B184)/B184)+1)^12-1,"")</f>
        <v/>
      </c>
    </row>
    <row r="186">
      <c r="A186" s="36" t="n">
        <v>27760</v>
      </c>
      <c r="B186" s="37">
        <f>VLOOKUP(A186,Data!$E:$BG,MATCH(Country!$A$1,Data!$E$1:$BG$1,),)</f>
        <v/>
      </c>
      <c r="C186" s="65">
        <f>IF(B174&gt;0,(Table2[[#This Row],[Country]]-B174)/B174,0)</f>
        <v/>
      </c>
      <c r="D186" s="65">
        <f>IF(Table2[[#This Row],[Country]]&gt;0,(((Table2[[#This Row],[Country]]-B185)/B185)+1)^12-1,"")</f>
        <v/>
      </c>
    </row>
    <row r="187">
      <c r="A187" s="36" t="n">
        <v>27791</v>
      </c>
      <c r="B187" s="37">
        <f>VLOOKUP(A187,Data!$E:$BG,MATCH(Country!$A$1,Data!$E$1:$BG$1,),)</f>
        <v/>
      </c>
      <c r="C187" s="65">
        <f>IF(B175&gt;0,(Table2[[#This Row],[Country]]-B175)/B175,0)</f>
        <v/>
      </c>
      <c r="D187" s="65">
        <f>IF(Table2[[#This Row],[Country]]&gt;0,(((Table2[[#This Row],[Country]]-B186)/B186)+1)^12-1,"")</f>
        <v/>
      </c>
    </row>
    <row r="188">
      <c r="A188" s="36" t="n">
        <v>27820</v>
      </c>
      <c r="B188" s="37">
        <f>VLOOKUP(A188,Data!$E:$BG,MATCH(Country!$A$1,Data!$E$1:$BG$1,),)</f>
        <v/>
      </c>
      <c r="C188" s="65">
        <f>IF(B176&gt;0,(Table2[[#This Row],[Country]]-B176)/B176,0)</f>
        <v/>
      </c>
      <c r="D188" s="65">
        <f>IF(Table2[[#This Row],[Country]]&gt;0,(((Table2[[#This Row],[Country]]-B187)/B187)+1)^12-1,"")</f>
        <v/>
      </c>
    </row>
    <row r="189">
      <c r="A189" s="36" t="n">
        <v>27851</v>
      </c>
      <c r="B189" s="37">
        <f>VLOOKUP(A189,Data!$E:$BG,MATCH(Country!$A$1,Data!$E$1:$BG$1,),)</f>
        <v/>
      </c>
      <c r="C189" s="65">
        <f>IF(B177&gt;0,(Table2[[#This Row],[Country]]-B177)/B177,0)</f>
        <v/>
      </c>
      <c r="D189" s="65">
        <f>IF(Table2[[#This Row],[Country]]&gt;0,(((Table2[[#This Row],[Country]]-B188)/B188)+1)^12-1,"")</f>
        <v/>
      </c>
    </row>
    <row r="190">
      <c r="A190" s="36" t="n">
        <v>27881</v>
      </c>
      <c r="B190" s="37">
        <f>VLOOKUP(A190,Data!$E:$BG,MATCH(Country!$A$1,Data!$E$1:$BG$1,),)</f>
        <v/>
      </c>
      <c r="C190" s="65">
        <f>IF(B178&gt;0,(Table2[[#This Row],[Country]]-B178)/B178,0)</f>
        <v/>
      </c>
      <c r="D190" s="65">
        <f>IF(Table2[[#This Row],[Country]]&gt;0,(((Table2[[#This Row],[Country]]-B189)/B189)+1)^12-1,"")</f>
        <v/>
      </c>
    </row>
    <row r="191">
      <c r="A191" s="36" t="n">
        <v>27912</v>
      </c>
      <c r="B191" s="37">
        <f>VLOOKUP(A191,Data!$E:$BG,MATCH(Country!$A$1,Data!$E$1:$BG$1,),)</f>
        <v/>
      </c>
      <c r="C191" s="65">
        <f>IF(B179&gt;0,(Table2[[#This Row],[Country]]-B179)/B179,0)</f>
        <v/>
      </c>
      <c r="D191" s="65">
        <f>IF(Table2[[#This Row],[Country]]&gt;0,(((Table2[[#This Row],[Country]]-B190)/B190)+1)^12-1,"")</f>
        <v/>
      </c>
    </row>
    <row r="192">
      <c r="A192" s="36" t="n">
        <v>27942</v>
      </c>
      <c r="B192" s="37">
        <f>VLOOKUP(A192,Data!$E:$BG,MATCH(Country!$A$1,Data!$E$1:$BG$1,),)</f>
        <v/>
      </c>
      <c r="C192" s="65">
        <f>IF(B180&gt;0,(Table2[[#This Row],[Country]]-B180)/B180,0)</f>
        <v/>
      </c>
      <c r="D192" s="65">
        <f>IF(Table2[[#This Row],[Country]]&gt;0,(((Table2[[#This Row],[Country]]-B191)/B191)+1)^12-1,"")</f>
        <v/>
      </c>
    </row>
    <row r="193">
      <c r="A193" s="36" t="n">
        <v>27973</v>
      </c>
      <c r="B193" s="37">
        <f>VLOOKUP(A193,Data!$E:$BG,MATCH(Country!$A$1,Data!$E$1:$BG$1,),)</f>
        <v/>
      </c>
      <c r="C193" s="65">
        <f>IF(B181&gt;0,(Table2[[#This Row],[Country]]-B181)/B181,0)</f>
        <v/>
      </c>
      <c r="D193" s="65">
        <f>IF(Table2[[#This Row],[Country]]&gt;0,(((Table2[[#This Row],[Country]]-B192)/B192)+1)^12-1,"")</f>
        <v/>
      </c>
    </row>
    <row r="194">
      <c r="A194" s="36" t="n">
        <v>28004</v>
      </c>
      <c r="B194" s="37">
        <f>VLOOKUP(A194,Data!$E:$BG,MATCH(Country!$A$1,Data!$E$1:$BG$1,),)</f>
        <v/>
      </c>
      <c r="C194" s="65">
        <f>IF(B182&gt;0,(Table2[[#This Row],[Country]]-B182)/B182,0)</f>
        <v/>
      </c>
      <c r="D194" s="65">
        <f>IF(Table2[[#This Row],[Country]]&gt;0,(((Table2[[#This Row],[Country]]-B193)/B193)+1)^12-1,"")</f>
        <v/>
      </c>
    </row>
    <row r="195">
      <c r="A195" s="36" t="n">
        <v>28034</v>
      </c>
      <c r="B195" s="37">
        <f>VLOOKUP(A195,Data!$E:$BG,MATCH(Country!$A$1,Data!$E$1:$BG$1,),)</f>
        <v/>
      </c>
      <c r="C195" s="65">
        <f>IF(B183&gt;0,(Table2[[#This Row],[Country]]-B183)/B183,0)</f>
        <v/>
      </c>
      <c r="D195" s="65">
        <f>IF(Table2[[#This Row],[Country]]&gt;0,(((Table2[[#This Row],[Country]]-B194)/B194)+1)^12-1,"")</f>
        <v/>
      </c>
    </row>
    <row r="196">
      <c r="A196" s="36" t="n">
        <v>28065</v>
      </c>
      <c r="B196" s="37">
        <f>VLOOKUP(A196,Data!$E:$BG,MATCH(Country!$A$1,Data!$E$1:$BG$1,),)</f>
        <v/>
      </c>
      <c r="C196" s="65">
        <f>IF(B184&gt;0,(Table2[[#This Row],[Country]]-B184)/B184,0)</f>
        <v/>
      </c>
      <c r="D196" s="65">
        <f>IF(Table2[[#This Row],[Country]]&gt;0,(((Table2[[#This Row],[Country]]-B195)/B195)+1)^12-1,"")</f>
        <v/>
      </c>
    </row>
    <row r="197">
      <c r="A197" s="36" t="n">
        <v>28095</v>
      </c>
      <c r="B197" s="37">
        <f>VLOOKUP(A197,Data!$E:$BG,MATCH(Country!$A$1,Data!$E$1:$BG$1,),)</f>
        <v/>
      </c>
      <c r="C197" s="65">
        <f>IF(B185&gt;0,(Table2[[#This Row],[Country]]-B185)/B185,0)</f>
        <v/>
      </c>
      <c r="D197" s="65">
        <f>IF(Table2[[#This Row],[Country]]&gt;0,(((Table2[[#This Row],[Country]]-B196)/B196)+1)^12-1,"")</f>
        <v/>
      </c>
    </row>
    <row r="198">
      <c r="A198" s="36" t="n">
        <v>28126</v>
      </c>
      <c r="B198" s="37">
        <f>VLOOKUP(A198,Data!$E:$BG,MATCH(Country!$A$1,Data!$E$1:$BG$1,),)</f>
        <v/>
      </c>
      <c r="C198" s="65">
        <f>IF(B186&gt;0,(Table2[[#This Row],[Country]]-B186)/B186,0)</f>
        <v/>
      </c>
      <c r="D198" s="65">
        <f>IF(Table2[[#This Row],[Country]]&gt;0,(((Table2[[#This Row],[Country]]-B197)/B197)+1)^12-1,"")</f>
        <v/>
      </c>
    </row>
    <row r="199">
      <c r="A199" s="36" t="n">
        <v>28157</v>
      </c>
      <c r="B199" s="37">
        <f>VLOOKUP(A199,Data!$E:$BG,MATCH(Country!$A$1,Data!$E$1:$BG$1,),)</f>
        <v/>
      </c>
      <c r="C199" s="65">
        <f>IF(B187&gt;0,(Table2[[#This Row],[Country]]-B187)/B187,0)</f>
        <v/>
      </c>
      <c r="D199" s="65">
        <f>IF(Table2[[#This Row],[Country]]&gt;0,(((Table2[[#This Row],[Country]]-B198)/B198)+1)^12-1,"")</f>
        <v/>
      </c>
    </row>
    <row r="200">
      <c r="A200" s="36" t="n">
        <v>28185</v>
      </c>
      <c r="B200" s="37">
        <f>VLOOKUP(A200,Data!$E:$BG,MATCH(Country!$A$1,Data!$E$1:$BG$1,),)</f>
        <v/>
      </c>
      <c r="C200" s="65">
        <f>IF(B188&gt;0,(Table2[[#This Row],[Country]]-B188)/B188,0)</f>
        <v/>
      </c>
      <c r="D200" s="65">
        <f>IF(Table2[[#This Row],[Country]]&gt;0,(((Table2[[#This Row],[Country]]-B199)/B199)+1)^12-1,"")</f>
        <v/>
      </c>
    </row>
    <row r="201">
      <c r="A201" s="36" t="n">
        <v>28216</v>
      </c>
      <c r="B201" s="37">
        <f>VLOOKUP(A201,Data!$E:$BG,MATCH(Country!$A$1,Data!$E$1:$BG$1,),)</f>
        <v/>
      </c>
      <c r="C201" s="65">
        <f>IF(B189&gt;0,(Table2[[#This Row],[Country]]-B189)/B189,0)</f>
        <v/>
      </c>
      <c r="D201" s="65">
        <f>IF(Table2[[#This Row],[Country]]&gt;0,(((Table2[[#This Row],[Country]]-B200)/B200)+1)^12-1,"")</f>
        <v/>
      </c>
    </row>
    <row r="202">
      <c r="A202" s="36" t="n">
        <v>28246</v>
      </c>
      <c r="B202" s="37">
        <f>VLOOKUP(A202,Data!$E:$BG,MATCH(Country!$A$1,Data!$E$1:$BG$1,),)</f>
        <v/>
      </c>
      <c r="C202" s="65">
        <f>IF(B190&gt;0,(Table2[[#This Row],[Country]]-B190)/B190,0)</f>
        <v/>
      </c>
      <c r="D202" s="65">
        <f>IF(Table2[[#This Row],[Country]]&gt;0,(((Table2[[#This Row],[Country]]-B201)/B201)+1)^12-1,"")</f>
        <v/>
      </c>
    </row>
    <row r="203">
      <c r="A203" s="36" t="n">
        <v>28277</v>
      </c>
      <c r="B203" s="37">
        <f>VLOOKUP(A203,Data!$E:$BG,MATCH(Country!$A$1,Data!$E$1:$BG$1,),)</f>
        <v/>
      </c>
      <c r="C203" s="65">
        <f>IF(B191&gt;0,(Table2[[#This Row],[Country]]-B191)/B191,0)</f>
        <v/>
      </c>
      <c r="D203" s="65">
        <f>IF(Table2[[#This Row],[Country]]&gt;0,(((Table2[[#This Row],[Country]]-B202)/B202)+1)^12-1,"")</f>
        <v/>
      </c>
    </row>
    <row r="204">
      <c r="A204" s="36" t="n">
        <v>28307</v>
      </c>
      <c r="B204" s="37">
        <f>VLOOKUP(A204,Data!$E:$BG,MATCH(Country!$A$1,Data!$E$1:$BG$1,),)</f>
        <v/>
      </c>
      <c r="C204" s="65">
        <f>IF(B192&gt;0,(Table2[[#This Row],[Country]]-B192)/B192,0)</f>
        <v/>
      </c>
      <c r="D204" s="65">
        <f>IF(Table2[[#This Row],[Country]]&gt;0,(((Table2[[#This Row],[Country]]-B203)/B203)+1)^12-1,"")</f>
        <v/>
      </c>
    </row>
    <row r="205">
      <c r="A205" s="36" t="n">
        <v>28338</v>
      </c>
      <c r="B205" s="37">
        <f>VLOOKUP(A205,Data!$E:$BG,MATCH(Country!$A$1,Data!$E$1:$BG$1,),)</f>
        <v/>
      </c>
      <c r="C205" s="65">
        <f>IF(B193&gt;0,(Table2[[#This Row],[Country]]-B193)/B193,0)</f>
        <v/>
      </c>
      <c r="D205" s="65">
        <f>IF(Table2[[#This Row],[Country]]&gt;0,(((Table2[[#This Row],[Country]]-B204)/B204)+1)^12-1,"")</f>
        <v/>
      </c>
    </row>
    <row r="206">
      <c r="A206" s="36" t="n">
        <v>28369</v>
      </c>
      <c r="B206" s="37">
        <f>VLOOKUP(A206,Data!$E:$BG,MATCH(Country!$A$1,Data!$E$1:$BG$1,),)</f>
        <v/>
      </c>
      <c r="C206" s="65">
        <f>IF(B194&gt;0,(Table2[[#This Row],[Country]]-B194)/B194,0)</f>
        <v/>
      </c>
      <c r="D206" s="65">
        <f>IF(Table2[[#This Row],[Country]]&gt;0,(((Table2[[#This Row],[Country]]-B205)/B205)+1)^12-1,"")</f>
        <v/>
      </c>
    </row>
    <row r="207">
      <c r="A207" s="36" t="n">
        <v>28399</v>
      </c>
      <c r="B207" s="37">
        <f>VLOOKUP(A207,Data!$E:$BG,MATCH(Country!$A$1,Data!$E$1:$BG$1,),)</f>
        <v/>
      </c>
      <c r="C207" s="65">
        <f>IF(B195&gt;0,(Table2[[#This Row],[Country]]-B195)/B195,0)</f>
        <v/>
      </c>
      <c r="D207" s="65">
        <f>IF(Table2[[#This Row],[Country]]&gt;0,(((Table2[[#This Row],[Country]]-B206)/B206)+1)^12-1,"")</f>
        <v/>
      </c>
    </row>
    <row r="208">
      <c r="A208" s="36" t="n">
        <v>28430</v>
      </c>
      <c r="B208" s="37">
        <f>VLOOKUP(A208,Data!$E:$BG,MATCH(Country!$A$1,Data!$E$1:$BG$1,),)</f>
        <v/>
      </c>
      <c r="C208" s="65">
        <f>IF(B196&gt;0,(Table2[[#This Row],[Country]]-B196)/B196,0)</f>
        <v/>
      </c>
      <c r="D208" s="65">
        <f>IF(Table2[[#This Row],[Country]]&gt;0,(((Table2[[#This Row],[Country]]-B207)/B207)+1)^12-1,"")</f>
        <v/>
      </c>
    </row>
    <row r="209">
      <c r="A209" s="36" t="n">
        <v>28460</v>
      </c>
      <c r="B209" s="37">
        <f>VLOOKUP(A209,Data!$E:$BG,MATCH(Country!$A$1,Data!$E$1:$BG$1,),)</f>
        <v/>
      </c>
      <c r="C209" s="65">
        <f>IF(B197&gt;0,(Table2[[#This Row],[Country]]-B197)/B197,0)</f>
        <v/>
      </c>
      <c r="D209" s="65">
        <f>IF(Table2[[#This Row],[Country]]&gt;0,(((Table2[[#This Row],[Country]]-B208)/B208)+1)^12-1,"")</f>
        <v/>
      </c>
    </row>
    <row r="210">
      <c r="A210" s="36" t="n">
        <v>28491</v>
      </c>
      <c r="B210" s="37">
        <f>VLOOKUP(A210,Data!$E:$BG,MATCH(Country!$A$1,Data!$E$1:$BG$1,),)</f>
        <v/>
      </c>
      <c r="C210" s="65">
        <f>IF(B198&gt;0,(Table2[[#This Row],[Country]]-B198)/B198,0)</f>
        <v/>
      </c>
      <c r="D210" s="65">
        <f>IF(Table2[[#This Row],[Country]]&gt;0,(((Table2[[#This Row],[Country]]-B209)/B209)+1)^12-1,"")</f>
        <v/>
      </c>
    </row>
    <row r="211">
      <c r="A211" s="36" t="n">
        <v>28522</v>
      </c>
      <c r="B211" s="37">
        <f>VLOOKUP(A211,Data!$E:$BG,MATCH(Country!$A$1,Data!$E$1:$BG$1,),)</f>
        <v/>
      </c>
      <c r="C211" s="65">
        <f>IF(B199&gt;0,(Table2[[#This Row],[Country]]-B199)/B199,0)</f>
        <v/>
      </c>
      <c r="D211" s="65">
        <f>IF(Table2[[#This Row],[Country]]&gt;0,(((Table2[[#This Row],[Country]]-B210)/B210)+1)^12-1,"")</f>
        <v/>
      </c>
    </row>
    <row r="212">
      <c r="A212" s="36" t="n">
        <v>28550</v>
      </c>
      <c r="B212" s="37">
        <f>VLOOKUP(A212,Data!$E:$BG,MATCH(Country!$A$1,Data!$E$1:$BG$1,),)</f>
        <v/>
      </c>
      <c r="C212" s="65">
        <f>IF(B200&gt;0,(Table2[[#This Row],[Country]]-B200)/B200,0)</f>
        <v/>
      </c>
      <c r="D212" s="65">
        <f>IF(Table2[[#This Row],[Country]]&gt;0,(((Table2[[#This Row],[Country]]-B211)/B211)+1)^12-1,"")</f>
        <v/>
      </c>
    </row>
    <row r="213">
      <c r="A213" s="36" t="n">
        <v>28581</v>
      </c>
      <c r="B213" s="37">
        <f>VLOOKUP(A213,Data!$E:$BG,MATCH(Country!$A$1,Data!$E$1:$BG$1,),)</f>
        <v/>
      </c>
      <c r="C213" s="65">
        <f>IF(B201&gt;0,(Table2[[#This Row],[Country]]-B201)/B201,0)</f>
        <v/>
      </c>
      <c r="D213" s="65">
        <f>IF(Table2[[#This Row],[Country]]&gt;0,(((Table2[[#This Row],[Country]]-B212)/B212)+1)^12-1,"")</f>
        <v/>
      </c>
    </row>
    <row r="214">
      <c r="A214" s="36" t="n">
        <v>28611</v>
      </c>
      <c r="B214" s="37">
        <f>VLOOKUP(A214,Data!$E:$BG,MATCH(Country!$A$1,Data!$E$1:$BG$1,),)</f>
        <v/>
      </c>
      <c r="C214" s="65">
        <f>IF(B202&gt;0,(Table2[[#This Row],[Country]]-B202)/B202,0)</f>
        <v/>
      </c>
      <c r="D214" s="65">
        <f>IF(Table2[[#This Row],[Country]]&gt;0,(((Table2[[#This Row],[Country]]-B213)/B213)+1)^12-1,"")</f>
        <v/>
      </c>
    </row>
    <row r="215">
      <c r="A215" s="36" t="n">
        <v>28642</v>
      </c>
      <c r="B215" s="37">
        <f>VLOOKUP(A215,Data!$E:$BG,MATCH(Country!$A$1,Data!$E$1:$BG$1,),)</f>
        <v/>
      </c>
      <c r="C215" s="65">
        <f>IF(B203&gt;0,(Table2[[#This Row],[Country]]-B203)/B203,0)</f>
        <v/>
      </c>
      <c r="D215" s="65">
        <f>IF(Table2[[#This Row],[Country]]&gt;0,(((Table2[[#This Row],[Country]]-B214)/B214)+1)^12-1,"")</f>
        <v/>
      </c>
    </row>
    <row r="216">
      <c r="A216" s="36" t="n">
        <v>28672</v>
      </c>
      <c r="B216" s="37">
        <f>VLOOKUP(A216,Data!$E:$BG,MATCH(Country!$A$1,Data!$E$1:$BG$1,),)</f>
        <v/>
      </c>
      <c r="C216" s="65">
        <f>IF(B204&gt;0,(Table2[[#This Row],[Country]]-B204)/B204,0)</f>
        <v/>
      </c>
      <c r="D216" s="65">
        <f>IF(Table2[[#This Row],[Country]]&gt;0,(((Table2[[#This Row],[Country]]-B215)/B215)+1)^12-1,"")</f>
        <v/>
      </c>
    </row>
    <row r="217">
      <c r="A217" s="36" t="n">
        <v>28703</v>
      </c>
      <c r="B217" s="37">
        <f>VLOOKUP(A217,Data!$E:$BG,MATCH(Country!$A$1,Data!$E$1:$BG$1,),)</f>
        <v/>
      </c>
      <c r="C217" s="65">
        <f>IF(B205&gt;0,(Table2[[#This Row],[Country]]-B205)/B205,0)</f>
        <v/>
      </c>
      <c r="D217" s="65">
        <f>IF(Table2[[#This Row],[Country]]&gt;0,(((Table2[[#This Row],[Country]]-B216)/B216)+1)^12-1,"")</f>
        <v/>
      </c>
    </row>
    <row r="218">
      <c r="A218" s="36" t="n">
        <v>28734</v>
      </c>
      <c r="B218" s="37">
        <f>VLOOKUP(A218,Data!$E:$BG,MATCH(Country!$A$1,Data!$E$1:$BG$1,),)</f>
        <v/>
      </c>
      <c r="C218" s="65">
        <f>IF(B206&gt;0,(Table2[[#This Row],[Country]]-B206)/B206,0)</f>
        <v/>
      </c>
      <c r="D218" s="65">
        <f>IF(Table2[[#This Row],[Country]]&gt;0,(((Table2[[#This Row],[Country]]-B217)/B217)+1)^12-1,"")</f>
        <v/>
      </c>
    </row>
    <row r="219">
      <c r="A219" s="36" t="n">
        <v>28764</v>
      </c>
      <c r="B219" s="37">
        <f>VLOOKUP(A219,Data!$E:$BG,MATCH(Country!$A$1,Data!$E$1:$BG$1,),)</f>
        <v/>
      </c>
      <c r="C219" s="65">
        <f>IF(B207&gt;0,(Table2[[#This Row],[Country]]-B207)/B207,0)</f>
        <v/>
      </c>
      <c r="D219" s="65">
        <f>IF(Table2[[#This Row],[Country]]&gt;0,(((Table2[[#This Row],[Country]]-B218)/B218)+1)^12-1,"")</f>
        <v/>
      </c>
    </row>
    <row r="220">
      <c r="A220" s="36" t="n">
        <v>28795</v>
      </c>
      <c r="B220" s="37">
        <f>VLOOKUP(A220,Data!$E:$BG,MATCH(Country!$A$1,Data!$E$1:$BG$1,),)</f>
        <v/>
      </c>
      <c r="C220" s="65">
        <f>IF(B208&gt;0,(Table2[[#This Row],[Country]]-B208)/B208,0)</f>
        <v/>
      </c>
      <c r="D220" s="65">
        <f>IF(Table2[[#This Row],[Country]]&gt;0,(((Table2[[#This Row],[Country]]-B219)/B219)+1)^12-1,"")</f>
        <v/>
      </c>
    </row>
    <row r="221">
      <c r="A221" s="36" t="n">
        <v>28825</v>
      </c>
      <c r="B221" s="37">
        <f>VLOOKUP(A221,Data!$E:$BG,MATCH(Country!$A$1,Data!$E$1:$BG$1,),)</f>
        <v/>
      </c>
      <c r="C221" s="65">
        <f>IF(B209&gt;0,(Table2[[#This Row],[Country]]-B209)/B209,0)</f>
        <v/>
      </c>
      <c r="D221" s="65">
        <f>IF(Table2[[#This Row],[Country]]&gt;0,(((Table2[[#This Row],[Country]]-B220)/B220)+1)^12-1,"")</f>
        <v/>
      </c>
    </row>
    <row r="222">
      <c r="A222" s="36" t="n">
        <v>28856</v>
      </c>
      <c r="B222" s="37">
        <f>VLOOKUP(A222,Data!$E:$BG,MATCH(Country!$A$1,Data!$E$1:$BG$1,),)</f>
        <v/>
      </c>
      <c r="C222" s="65">
        <f>IF(B210&gt;0,(Table2[[#This Row],[Country]]-B210)/B210,0)</f>
        <v/>
      </c>
      <c r="D222" s="65">
        <f>IF(Table2[[#This Row],[Country]]&gt;0,(((Table2[[#This Row],[Country]]-B221)/B221)+1)^12-1,"")</f>
        <v/>
      </c>
    </row>
    <row r="223">
      <c r="A223" s="36" t="n">
        <v>28887</v>
      </c>
      <c r="B223" s="37">
        <f>VLOOKUP(A223,Data!$E:$BG,MATCH(Country!$A$1,Data!$E$1:$BG$1,),)</f>
        <v/>
      </c>
      <c r="C223" s="65">
        <f>IF(B211&gt;0,(Table2[[#This Row],[Country]]-B211)/B211,0)</f>
        <v/>
      </c>
      <c r="D223" s="65">
        <f>IF(Table2[[#This Row],[Country]]&gt;0,(((Table2[[#This Row],[Country]]-B222)/B222)+1)^12-1,"")</f>
        <v/>
      </c>
    </row>
    <row r="224">
      <c r="A224" s="36" t="n">
        <v>28915</v>
      </c>
      <c r="B224" s="37">
        <f>VLOOKUP(A224,Data!$E:$BG,MATCH(Country!$A$1,Data!$E$1:$BG$1,),)</f>
        <v/>
      </c>
      <c r="C224" s="65">
        <f>IF(B212&gt;0,(Table2[[#This Row],[Country]]-B212)/B212,0)</f>
        <v/>
      </c>
      <c r="D224" s="65">
        <f>IF(Table2[[#This Row],[Country]]&gt;0,(((Table2[[#This Row],[Country]]-B223)/B223)+1)^12-1,"")</f>
        <v/>
      </c>
    </row>
    <row r="225">
      <c r="A225" s="36" t="n">
        <v>28946</v>
      </c>
      <c r="B225" s="37">
        <f>VLOOKUP(A225,Data!$E:$BG,MATCH(Country!$A$1,Data!$E$1:$BG$1,),)</f>
        <v/>
      </c>
      <c r="C225" s="65">
        <f>IF(B213&gt;0,(Table2[[#This Row],[Country]]-B213)/B213,0)</f>
        <v/>
      </c>
      <c r="D225" s="65">
        <f>IF(Table2[[#This Row],[Country]]&gt;0,(((Table2[[#This Row],[Country]]-B224)/B224)+1)^12-1,"")</f>
        <v/>
      </c>
    </row>
    <row r="226">
      <c r="A226" s="36" t="n">
        <v>28976</v>
      </c>
      <c r="B226" s="37">
        <f>VLOOKUP(A226,Data!$E:$BG,MATCH(Country!$A$1,Data!$E$1:$BG$1,),)</f>
        <v/>
      </c>
      <c r="C226" s="65">
        <f>IF(B214&gt;0,(Table2[[#This Row],[Country]]-B214)/B214,0)</f>
        <v/>
      </c>
      <c r="D226" s="65">
        <f>IF(Table2[[#This Row],[Country]]&gt;0,(((Table2[[#This Row],[Country]]-B225)/B225)+1)^12-1,"")</f>
        <v/>
      </c>
    </row>
    <row r="227">
      <c r="A227" s="36" t="n">
        <v>29007</v>
      </c>
      <c r="B227" s="37">
        <f>VLOOKUP(A227,Data!$E:$BG,MATCH(Country!$A$1,Data!$E$1:$BG$1,),)</f>
        <v/>
      </c>
      <c r="C227" s="65">
        <f>IF(B215&gt;0,(Table2[[#This Row],[Country]]-B215)/B215,0)</f>
        <v/>
      </c>
      <c r="D227" s="65">
        <f>IF(Table2[[#This Row],[Country]]&gt;0,(((Table2[[#This Row],[Country]]-B226)/B226)+1)^12-1,"")</f>
        <v/>
      </c>
    </row>
    <row r="228">
      <c r="A228" s="36" t="n">
        <v>29037</v>
      </c>
      <c r="B228" s="37">
        <f>VLOOKUP(A228,Data!$E:$BG,MATCH(Country!$A$1,Data!$E$1:$BG$1,),)</f>
        <v/>
      </c>
      <c r="C228" s="65">
        <f>IF(B216&gt;0,(Table2[[#This Row],[Country]]-B216)/B216,0)</f>
        <v/>
      </c>
      <c r="D228" s="65">
        <f>IF(Table2[[#This Row],[Country]]&gt;0,(((Table2[[#This Row],[Country]]-B227)/B227)+1)^12-1,"")</f>
        <v/>
      </c>
    </row>
    <row r="229">
      <c r="A229" s="36" t="n">
        <v>29068</v>
      </c>
      <c r="B229" s="37">
        <f>VLOOKUP(A229,Data!$E:$BG,MATCH(Country!$A$1,Data!$E$1:$BG$1,),)</f>
        <v/>
      </c>
      <c r="C229" s="65">
        <f>IF(B217&gt;0,(Table2[[#This Row],[Country]]-B217)/B217,0)</f>
        <v/>
      </c>
      <c r="D229" s="65">
        <f>IF(Table2[[#This Row],[Country]]&gt;0,(((Table2[[#This Row],[Country]]-B228)/B228)+1)^12-1,"")</f>
        <v/>
      </c>
    </row>
    <row r="230">
      <c r="A230" s="36" t="n">
        <v>29099</v>
      </c>
      <c r="B230" s="37">
        <f>VLOOKUP(A230,Data!$E:$BG,MATCH(Country!$A$1,Data!$E$1:$BG$1,),)</f>
        <v/>
      </c>
      <c r="C230" s="65">
        <f>IF(B218&gt;0,(Table2[[#This Row],[Country]]-B218)/B218,0)</f>
        <v/>
      </c>
      <c r="D230" s="65">
        <f>IF(Table2[[#This Row],[Country]]&gt;0,(((Table2[[#This Row],[Country]]-B229)/B229)+1)^12-1,"")</f>
        <v/>
      </c>
    </row>
    <row r="231">
      <c r="A231" s="36" t="n">
        <v>29129</v>
      </c>
      <c r="B231" s="37">
        <f>VLOOKUP(A231,Data!$E:$BG,MATCH(Country!$A$1,Data!$E$1:$BG$1,),)</f>
        <v/>
      </c>
      <c r="C231" s="65">
        <f>IF(B219&gt;0,(Table2[[#This Row],[Country]]-B219)/B219,0)</f>
        <v/>
      </c>
      <c r="D231" s="65">
        <f>IF(Table2[[#This Row],[Country]]&gt;0,(((Table2[[#This Row],[Country]]-B230)/B230)+1)^12-1,"")</f>
        <v/>
      </c>
    </row>
    <row r="232">
      <c r="A232" s="36" t="n">
        <v>29160</v>
      </c>
      <c r="B232" s="37">
        <f>VLOOKUP(A232,Data!$E:$BG,MATCH(Country!$A$1,Data!$E$1:$BG$1,),)</f>
        <v/>
      </c>
      <c r="C232" s="65">
        <f>IF(B220&gt;0,(Table2[[#This Row],[Country]]-B220)/B220,0)</f>
        <v/>
      </c>
      <c r="D232" s="65">
        <f>IF(Table2[[#This Row],[Country]]&gt;0,(((Table2[[#This Row],[Country]]-B231)/B231)+1)^12-1,"")</f>
        <v/>
      </c>
    </row>
    <row r="233">
      <c r="A233" s="36" t="n">
        <v>29190</v>
      </c>
      <c r="B233" s="37">
        <f>VLOOKUP(A233,Data!$E:$BG,MATCH(Country!$A$1,Data!$E$1:$BG$1,),)</f>
        <v/>
      </c>
      <c r="C233" s="65">
        <f>IF(B221&gt;0,(Table2[[#This Row],[Country]]-B221)/B221,0)</f>
        <v/>
      </c>
      <c r="D233" s="65">
        <f>IF(Table2[[#This Row],[Country]]&gt;0,(((Table2[[#This Row],[Country]]-B232)/B232)+1)^12-1,"")</f>
        <v/>
      </c>
    </row>
    <row r="234">
      <c r="A234" s="36" t="n">
        <v>29221</v>
      </c>
      <c r="B234" s="37">
        <f>VLOOKUP(A234,Data!$E:$BG,MATCH(Country!$A$1,Data!$E$1:$BG$1,),)</f>
        <v/>
      </c>
      <c r="C234" s="65">
        <f>IF(B222&gt;0,(Table2[[#This Row],[Country]]-B222)/B222,0)</f>
        <v/>
      </c>
      <c r="D234" s="65">
        <f>IF(Table2[[#This Row],[Country]]&gt;0,(((Table2[[#This Row],[Country]]-B233)/B233)+1)^12-1,"")</f>
        <v/>
      </c>
    </row>
    <row r="235">
      <c r="A235" s="36" t="n">
        <v>29252</v>
      </c>
      <c r="B235" s="37">
        <f>VLOOKUP(A235,Data!$E:$BG,MATCH(Country!$A$1,Data!$E$1:$BG$1,),)</f>
        <v/>
      </c>
      <c r="C235" s="65">
        <f>IF(B223&gt;0,(Table2[[#This Row],[Country]]-B223)/B223,0)</f>
        <v/>
      </c>
      <c r="D235" s="65">
        <f>IF(Table2[[#This Row],[Country]]&gt;0,(((Table2[[#This Row],[Country]]-B234)/B234)+1)^12-1,"")</f>
        <v/>
      </c>
    </row>
    <row r="236">
      <c r="A236" s="36" t="n">
        <v>29281</v>
      </c>
      <c r="B236" s="37">
        <f>VLOOKUP(A236,Data!$E:$BG,MATCH(Country!$A$1,Data!$E$1:$BG$1,),)</f>
        <v/>
      </c>
      <c r="C236" s="65">
        <f>IF(B224&gt;0,(Table2[[#This Row],[Country]]-B224)/B224,0)</f>
        <v/>
      </c>
      <c r="D236" s="65">
        <f>IF(Table2[[#This Row],[Country]]&gt;0,(((Table2[[#This Row],[Country]]-B235)/B235)+1)^12-1,"")</f>
        <v/>
      </c>
    </row>
    <row r="237">
      <c r="A237" s="36" t="n">
        <v>29312</v>
      </c>
      <c r="B237" s="37">
        <f>VLOOKUP(A237,Data!$E:$BG,MATCH(Country!$A$1,Data!$E$1:$BG$1,),)</f>
        <v/>
      </c>
      <c r="C237" s="65">
        <f>IF(B225&gt;0,(Table2[[#This Row],[Country]]-B225)/B225,0)</f>
        <v/>
      </c>
      <c r="D237" s="65">
        <f>IF(Table2[[#This Row],[Country]]&gt;0,(((Table2[[#This Row],[Country]]-B236)/B236)+1)^12-1,"")</f>
        <v/>
      </c>
    </row>
    <row r="238">
      <c r="A238" s="36" t="n">
        <v>29342</v>
      </c>
      <c r="B238" s="37">
        <f>VLOOKUP(A238,Data!$E:$BG,MATCH(Country!$A$1,Data!$E$1:$BG$1,),)</f>
        <v/>
      </c>
      <c r="C238" s="65">
        <f>IF(B226&gt;0,(Table2[[#This Row],[Country]]-B226)/B226,0)</f>
        <v/>
      </c>
      <c r="D238" s="65">
        <f>IF(Table2[[#This Row],[Country]]&gt;0,(((Table2[[#This Row],[Country]]-B237)/B237)+1)^12-1,"")</f>
        <v/>
      </c>
    </row>
    <row r="239">
      <c r="A239" s="36" t="n">
        <v>29373</v>
      </c>
      <c r="B239" s="37">
        <f>VLOOKUP(A239,Data!$E:$BG,MATCH(Country!$A$1,Data!$E$1:$BG$1,),)</f>
        <v/>
      </c>
      <c r="C239" s="65">
        <f>IF(B227&gt;0,(Table2[[#This Row],[Country]]-B227)/B227,0)</f>
        <v/>
      </c>
      <c r="D239" s="65">
        <f>IF(Table2[[#This Row],[Country]]&gt;0,(((Table2[[#This Row],[Country]]-B238)/B238)+1)^12-1,"")</f>
        <v/>
      </c>
    </row>
    <row r="240">
      <c r="A240" s="36" t="n">
        <v>29403</v>
      </c>
      <c r="B240" s="37">
        <f>VLOOKUP(A240,Data!$E:$BG,MATCH(Country!$A$1,Data!$E$1:$BG$1,),)</f>
        <v/>
      </c>
      <c r="C240" s="65">
        <f>IF(B228&gt;0,(Table2[[#This Row],[Country]]-B228)/B228,0)</f>
        <v/>
      </c>
      <c r="D240" s="65">
        <f>IF(Table2[[#This Row],[Country]]&gt;0,(((Table2[[#This Row],[Country]]-B239)/B239)+1)^12-1,"")</f>
        <v/>
      </c>
    </row>
    <row r="241">
      <c r="A241" s="36" t="n">
        <v>29434</v>
      </c>
      <c r="B241" s="37">
        <f>VLOOKUP(A241,Data!$E:$BG,MATCH(Country!$A$1,Data!$E$1:$BG$1,),)</f>
        <v/>
      </c>
      <c r="C241" s="65">
        <f>IF(B229&gt;0,(Table2[[#This Row],[Country]]-B229)/B229,0)</f>
        <v/>
      </c>
      <c r="D241" s="65">
        <f>IF(Table2[[#This Row],[Country]]&gt;0,(((Table2[[#This Row],[Country]]-B240)/B240)+1)^12-1,"")</f>
        <v/>
      </c>
    </row>
    <row r="242">
      <c r="A242" s="36" t="n">
        <v>29465</v>
      </c>
      <c r="B242" s="37">
        <f>VLOOKUP(A242,Data!$E:$BG,MATCH(Country!$A$1,Data!$E$1:$BG$1,),)</f>
        <v/>
      </c>
      <c r="C242" s="65">
        <f>IF(B230&gt;0,(Table2[[#This Row],[Country]]-B230)/B230,0)</f>
        <v/>
      </c>
      <c r="D242" s="65">
        <f>IF(Table2[[#This Row],[Country]]&gt;0,(((Table2[[#This Row],[Country]]-B241)/B241)+1)^12-1,"")</f>
        <v/>
      </c>
    </row>
    <row r="243">
      <c r="A243" s="36" t="n">
        <v>29495</v>
      </c>
      <c r="B243" s="37">
        <f>VLOOKUP(A243,Data!$E:$BG,MATCH(Country!$A$1,Data!$E$1:$BG$1,),)</f>
        <v/>
      </c>
      <c r="C243" s="65">
        <f>IF(B231&gt;0,(Table2[[#This Row],[Country]]-B231)/B231,0)</f>
        <v/>
      </c>
      <c r="D243" s="65">
        <f>IF(Table2[[#This Row],[Country]]&gt;0,(((Table2[[#This Row],[Country]]-B242)/B242)+1)^12-1,"")</f>
        <v/>
      </c>
    </row>
    <row r="244">
      <c r="A244" s="36" t="n">
        <v>29526</v>
      </c>
      <c r="B244" s="37">
        <f>VLOOKUP(A244,Data!$E:$BG,MATCH(Country!$A$1,Data!$E$1:$BG$1,),)</f>
        <v/>
      </c>
      <c r="C244" s="65">
        <f>IF(B232&gt;0,(Table2[[#This Row],[Country]]-B232)/B232,0)</f>
        <v/>
      </c>
      <c r="D244" s="65">
        <f>IF(Table2[[#This Row],[Country]]&gt;0,(((Table2[[#This Row],[Country]]-B243)/B243)+1)^12-1,"")</f>
        <v/>
      </c>
    </row>
    <row r="245">
      <c r="A245" s="36" t="n">
        <v>29556</v>
      </c>
      <c r="B245" s="37">
        <f>VLOOKUP(A245,Data!$E:$BG,MATCH(Country!$A$1,Data!$E$1:$BG$1,),)</f>
        <v/>
      </c>
      <c r="C245" s="65">
        <f>IF(B233&gt;0,(Table2[[#This Row],[Country]]-B233)/B233,0)</f>
        <v/>
      </c>
      <c r="D245" s="65">
        <f>IF(Table2[[#This Row],[Country]]&gt;0,(((Table2[[#This Row],[Country]]-B244)/B244)+1)^12-1,"")</f>
        <v/>
      </c>
    </row>
    <row r="246">
      <c r="A246" s="36" t="n">
        <v>29587</v>
      </c>
      <c r="B246" s="37">
        <f>VLOOKUP(A246,Data!$E:$BG,MATCH(Country!$A$1,Data!$E$1:$BG$1,),)</f>
        <v/>
      </c>
      <c r="C246" s="65">
        <f>IF(B234&gt;0,(Table2[[#This Row],[Country]]-B234)/B234,0)</f>
        <v/>
      </c>
      <c r="D246" s="65">
        <f>IF(Table2[[#This Row],[Country]]&gt;0,(((Table2[[#This Row],[Country]]-B245)/B245)+1)^12-1,"")</f>
        <v/>
      </c>
    </row>
    <row r="247">
      <c r="A247" s="36" t="n">
        <v>29618</v>
      </c>
      <c r="B247" s="37">
        <f>VLOOKUP(A247,Data!$E:$BG,MATCH(Country!$A$1,Data!$E$1:$BG$1,),)</f>
        <v/>
      </c>
      <c r="C247" s="65">
        <f>IF(B235&gt;0,(Table2[[#This Row],[Country]]-B235)/B235,0)</f>
        <v/>
      </c>
      <c r="D247" s="65">
        <f>IF(Table2[[#This Row],[Country]]&gt;0,(((Table2[[#This Row],[Country]]-B246)/B246)+1)^12-1,"")</f>
        <v/>
      </c>
    </row>
    <row r="248">
      <c r="A248" s="36" t="n">
        <v>29646</v>
      </c>
      <c r="B248" s="37">
        <f>VLOOKUP(A248,Data!$E:$BG,MATCH(Country!$A$1,Data!$E$1:$BG$1,),)</f>
        <v/>
      </c>
      <c r="C248" s="65">
        <f>IF(B236&gt;0,(Table2[[#This Row],[Country]]-B236)/B236,0)</f>
        <v/>
      </c>
      <c r="D248" s="65">
        <f>IF(Table2[[#This Row],[Country]]&gt;0,(((Table2[[#This Row],[Country]]-B247)/B247)+1)^12-1,"")</f>
        <v/>
      </c>
    </row>
    <row r="249">
      <c r="A249" s="36" t="n">
        <v>29677</v>
      </c>
      <c r="B249" s="37">
        <f>VLOOKUP(A249,Data!$E:$BG,MATCH(Country!$A$1,Data!$E$1:$BG$1,),)</f>
        <v/>
      </c>
      <c r="C249" s="65">
        <f>IF(B237&gt;0,(Table2[[#This Row],[Country]]-B237)/B237,0)</f>
        <v/>
      </c>
      <c r="D249" s="65">
        <f>IF(Table2[[#This Row],[Country]]&gt;0,(((Table2[[#This Row],[Country]]-B248)/B248)+1)^12-1,"")</f>
        <v/>
      </c>
    </row>
    <row r="250">
      <c r="A250" s="36" t="n">
        <v>29707</v>
      </c>
      <c r="B250" s="37">
        <f>VLOOKUP(A250,Data!$E:$BG,MATCH(Country!$A$1,Data!$E$1:$BG$1,),)</f>
        <v/>
      </c>
      <c r="C250" s="65">
        <f>IF(B238&gt;0,(Table2[[#This Row],[Country]]-B238)/B238,0)</f>
        <v/>
      </c>
      <c r="D250" s="65">
        <f>IF(Table2[[#This Row],[Country]]&gt;0,(((Table2[[#This Row],[Country]]-B249)/B249)+1)^12-1,"")</f>
        <v/>
      </c>
    </row>
    <row r="251">
      <c r="A251" s="36" t="n">
        <v>29738</v>
      </c>
      <c r="B251" s="37">
        <f>VLOOKUP(A251,Data!$E:$BG,MATCH(Country!$A$1,Data!$E$1:$BG$1,),)</f>
        <v/>
      </c>
      <c r="C251" s="65">
        <f>IF(B239&gt;0,(Table2[[#This Row],[Country]]-B239)/B239,0)</f>
        <v/>
      </c>
      <c r="D251" s="65">
        <f>IF(Table2[[#This Row],[Country]]&gt;0,(((Table2[[#This Row],[Country]]-B250)/B250)+1)^12-1,"")</f>
        <v/>
      </c>
    </row>
    <row r="252">
      <c r="A252" s="36" t="n">
        <v>29768</v>
      </c>
      <c r="B252" s="37">
        <f>VLOOKUP(A252,Data!$E:$BG,MATCH(Country!$A$1,Data!$E$1:$BG$1,),)</f>
        <v/>
      </c>
      <c r="C252" s="65">
        <f>IF(B240&gt;0,(Table2[[#This Row],[Country]]-B240)/B240,0)</f>
        <v/>
      </c>
      <c r="D252" s="65">
        <f>IF(Table2[[#This Row],[Country]]&gt;0,(((Table2[[#This Row],[Country]]-B251)/B251)+1)^12-1,"")</f>
        <v/>
      </c>
    </row>
    <row r="253">
      <c r="A253" s="36" t="n">
        <v>29799</v>
      </c>
      <c r="B253" s="37">
        <f>VLOOKUP(A253,Data!$E:$BG,MATCH(Country!$A$1,Data!$E$1:$BG$1,),)</f>
        <v/>
      </c>
      <c r="C253" s="65">
        <f>IF(B241&gt;0,(Table2[[#This Row],[Country]]-B241)/B241,0)</f>
        <v/>
      </c>
      <c r="D253" s="65">
        <f>IF(Table2[[#This Row],[Country]]&gt;0,(((Table2[[#This Row],[Country]]-B252)/B252)+1)^12-1,"")</f>
        <v/>
      </c>
    </row>
    <row r="254">
      <c r="A254" s="36" t="n">
        <v>29830</v>
      </c>
      <c r="B254" s="37">
        <f>VLOOKUP(A254,Data!$E:$BG,MATCH(Country!$A$1,Data!$E$1:$BG$1,),)</f>
        <v/>
      </c>
      <c r="C254" s="65">
        <f>IF(B242&gt;0,(Table2[[#This Row],[Country]]-B242)/B242,0)</f>
        <v/>
      </c>
      <c r="D254" s="65">
        <f>IF(Table2[[#This Row],[Country]]&gt;0,(((Table2[[#This Row],[Country]]-B253)/B253)+1)^12-1,"")</f>
        <v/>
      </c>
    </row>
    <row r="255">
      <c r="A255" s="36" t="n">
        <v>29860</v>
      </c>
      <c r="B255" s="37">
        <f>VLOOKUP(A255,Data!$E:$BG,MATCH(Country!$A$1,Data!$E$1:$BG$1,),)</f>
        <v/>
      </c>
      <c r="C255" s="65">
        <f>IF(B243&gt;0,(Table2[[#This Row],[Country]]-B243)/B243,0)</f>
        <v/>
      </c>
      <c r="D255" s="65">
        <f>IF(Table2[[#This Row],[Country]]&gt;0,(((Table2[[#This Row],[Country]]-B254)/B254)+1)^12-1,"")</f>
        <v/>
      </c>
    </row>
    <row r="256">
      <c r="A256" s="36" t="n">
        <v>29891</v>
      </c>
      <c r="B256" s="37">
        <f>VLOOKUP(A256,Data!$E:$BG,MATCH(Country!$A$1,Data!$E$1:$BG$1,),)</f>
        <v/>
      </c>
      <c r="C256" s="65">
        <f>IF(B244&gt;0,(Table2[[#This Row],[Country]]-B244)/B244,0)</f>
        <v/>
      </c>
      <c r="D256" s="65">
        <f>IF(Table2[[#This Row],[Country]]&gt;0,(((Table2[[#This Row],[Country]]-B255)/B255)+1)^12-1,"")</f>
        <v/>
      </c>
    </row>
    <row r="257">
      <c r="A257" s="36" t="n">
        <v>29921</v>
      </c>
      <c r="B257" s="37">
        <f>VLOOKUP(A257,Data!$E:$BG,MATCH(Country!$A$1,Data!$E$1:$BG$1,),)</f>
        <v/>
      </c>
      <c r="C257" s="65">
        <f>IF(B245&gt;0,(Table2[[#This Row],[Country]]-B245)/B245,0)</f>
        <v/>
      </c>
      <c r="D257" s="65">
        <f>IF(Table2[[#This Row],[Country]]&gt;0,(((Table2[[#This Row],[Country]]-B256)/B256)+1)^12-1,"")</f>
        <v/>
      </c>
    </row>
    <row r="258">
      <c r="A258" s="36" t="n">
        <v>29952</v>
      </c>
      <c r="B258" s="37">
        <f>VLOOKUP(A258,Data!$E:$BG,MATCH(Country!$A$1,Data!$E$1:$BG$1,),)</f>
        <v/>
      </c>
      <c r="C258" s="65">
        <f>IF(B246&gt;0,(Table2[[#This Row],[Country]]-B246)/B246,0)</f>
        <v/>
      </c>
      <c r="D258" s="65">
        <f>IF(Table2[[#This Row],[Country]]&gt;0,(((Table2[[#This Row],[Country]]-B257)/B257)+1)^12-1,"")</f>
        <v/>
      </c>
    </row>
    <row r="259">
      <c r="A259" s="36" t="n">
        <v>29983</v>
      </c>
      <c r="B259" s="37">
        <f>VLOOKUP(A259,Data!$E:$BG,MATCH(Country!$A$1,Data!$E$1:$BG$1,),)</f>
        <v/>
      </c>
      <c r="C259" s="65">
        <f>IF(B247&gt;0,(Table2[[#This Row],[Country]]-B247)/B247,0)</f>
        <v/>
      </c>
      <c r="D259" s="65">
        <f>IF(Table2[[#This Row],[Country]]&gt;0,(((Table2[[#This Row],[Country]]-B258)/B258)+1)^12-1,"")</f>
        <v/>
      </c>
    </row>
    <row r="260">
      <c r="A260" s="36" t="n">
        <v>30011</v>
      </c>
      <c r="B260" s="37">
        <f>VLOOKUP(A260,Data!$E:$BG,MATCH(Country!$A$1,Data!$E$1:$BG$1,),)</f>
        <v/>
      </c>
      <c r="C260" s="65">
        <f>IF(B248&gt;0,(Table2[[#This Row],[Country]]-B248)/B248,0)</f>
        <v/>
      </c>
      <c r="D260" s="65">
        <f>IF(Table2[[#This Row],[Country]]&gt;0,(((Table2[[#This Row],[Country]]-B259)/B259)+1)^12-1,"")</f>
        <v/>
      </c>
    </row>
    <row r="261">
      <c r="A261" s="36" t="n">
        <v>30042</v>
      </c>
      <c r="B261" s="37">
        <f>VLOOKUP(A261,Data!$E:$BG,MATCH(Country!$A$1,Data!$E$1:$BG$1,),)</f>
        <v/>
      </c>
      <c r="C261" s="65">
        <f>IF(B249&gt;0,(Table2[[#This Row],[Country]]-B249)/B249,0)</f>
        <v/>
      </c>
      <c r="D261" s="65">
        <f>IF(Table2[[#This Row],[Country]]&gt;0,(((Table2[[#This Row],[Country]]-B260)/B260)+1)^12-1,"")</f>
        <v/>
      </c>
    </row>
    <row r="262">
      <c r="A262" s="36" t="n">
        <v>30072</v>
      </c>
      <c r="B262" s="37">
        <f>VLOOKUP(A262,Data!$E:$BG,MATCH(Country!$A$1,Data!$E$1:$BG$1,),)</f>
        <v/>
      </c>
      <c r="C262" s="65">
        <f>IF(B250&gt;0,(Table2[[#This Row],[Country]]-B250)/B250,0)</f>
        <v/>
      </c>
      <c r="D262" s="65">
        <f>IF(Table2[[#This Row],[Country]]&gt;0,(((Table2[[#This Row],[Country]]-B261)/B261)+1)^12-1,"")</f>
        <v/>
      </c>
    </row>
    <row r="263">
      <c r="A263" s="36" t="n">
        <v>30103</v>
      </c>
      <c r="B263" s="37">
        <f>VLOOKUP(A263,Data!$E:$BG,MATCH(Country!$A$1,Data!$E$1:$BG$1,),)</f>
        <v/>
      </c>
      <c r="C263" s="65">
        <f>IF(B251&gt;0,(Table2[[#This Row],[Country]]-B251)/B251,0)</f>
        <v/>
      </c>
      <c r="D263" s="65">
        <f>IF(Table2[[#This Row],[Country]]&gt;0,(((Table2[[#This Row],[Country]]-B262)/B262)+1)^12-1,"")</f>
        <v/>
      </c>
    </row>
    <row r="264">
      <c r="A264" s="36" t="n">
        <v>30133</v>
      </c>
      <c r="B264" s="37">
        <f>VLOOKUP(A264,Data!$E:$BG,MATCH(Country!$A$1,Data!$E$1:$BG$1,),)</f>
        <v/>
      </c>
      <c r="C264" s="65">
        <f>IF(B252&gt;0,(Table2[[#This Row],[Country]]-B252)/B252,0)</f>
        <v/>
      </c>
      <c r="D264" s="65">
        <f>IF(Table2[[#This Row],[Country]]&gt;0,(((Table2[[#This Row],[Country]]-B263)/B263)+1)^12-1,"")</f>
        <v/>
      </c>
    </row>
    <row r="265">
      <c r="A265" s="36" t="n">
        <v>30164</v>
      </c>
      <c r="B265" s="37">
        <f>VLOOKUP(A265,Data!$E:$BG,MATCH(Country!$A$1,Data!$E$1:$BG$1,),)</f>
        <v/>
      </c>
      <c r="C265" s="65">
        <f>IF(B253&gt;0,(Table2[[#This Row],[Country]]-B253)/B253,0)</f>
        <v/>
      </c>
      <c r="D265" s="65">
        <f>IF(Table2[[#This Row],[Country]]&gt;0,(((Table2[[#This Row],[Country]]-B264)/B264)+1)^12-1,"")</f>
        <v/>
      </c>
    </row>
    <row r="266">
      <c r="A266" s="36" t="n">
        <v>30195</v>
      </c>
      <c r="B266" s="37">
        <f>VLOOKUP(A266,Data!$E:$BG,MATCH(Country!$A$1,Data!$E$1:$BG$1,),)</f>
        <v/>
      </c>
      <c r="C266" s="65">
        <f>IF(B254&gt;0,(Table2[[#This Row],[Country]]-B254)/B254,0)</f>
        <v/>
      </c>
      <c r="D266" s="65">
        <f>IF(Table2[[#This Row],[Country]]&gt;0,(((Table2[[#This Row],[Country]]-B265)/B265)+1)^12-1,"")</f>
        <v/>
      </c>
    </row>
    <row r="267">
      <c r="A267" s="36" t="n">
        <v>30225</v>
      </c>
      <c r="B267" s="37">
        <f>VLOOKUP(A267,Data!$E:$BG,MATCH(Country!$A$1,Data!$E$1:$BG$1,),)</f>
        <v/>
      </c>
      <c r="C267" s="65">
        <f>IF(B255&gt;0,(Table2[[#This Row],[Country]]-B255)/B255,0)</f>
        <v/>
      </c>
      <c r="D267" s="65">
        <f>IF(Table2[[#This Row],[Country]]&gt;0,(((Table2[[#This Row],[Country]]-B266)/B266)+1)^12-1,"")</f>
        <v/>
      </c>
    </row>
    <row r="268">
      <c r="A268" s="36" t="n">
        <v>30256</v>
      </c>
      <c r="B268" s="37">
        <f>VLOOKUP(A268,Data!$E:$BG,MATCH(Country!$A$1,Data!$E$1:$BG$1,),)</f>
        <v/>
      </c>
      <c r="C268" s="65">
        <f>IF(B256&gt;0,(Table2[[#This Row],[Country]]-B256)/B256,0)</f>
        <v/>
      </c>
      <c r="D268" s="65">
        <f>IF(Table2[[#This Row],[Country]]&gt;0,(((Table2[[#This Row],[Country]]-B267)/B267)+1)^12-1,"")</f>
        <v/>
      </c>
    </row>
    <row r="269">
      <c r="A269" s="36" t="n">
        <v>30286</v>
      </c>
      <c r="B269" s="37">
        <f>VLOOKUP(A269,Data!$E:$BG,MATCH(Country!$A$1,Data!$E$1:$BG$1,),)</f>
        <v/>
      </c>
      <c r="C269" s="65">
        <f>IF(B257&gt;0,(Table2[[#This Row],[Country]]-B257)/B257,0)</f>
        <v/>
      </c>
      <c r="D269" s="65">
        <f>IF(Table2[[#This Row],[Country]]&gt;0,(((Table2[[#This Row],[Country]]-B268)/B268)+1)^12-1,"")</f>
        <v/>
      </c>
    </row>
    <row r="270">
      <c r="A270" s="36" t="n">
        <v>30317</v>
      </c>
      <c r="B270" s="37">
        <f>VLOOKUP(A270,Data!$E:$BG,MATCH(Country!$A$1,Data!$E$1:$BG$1,),)</f>
        <v/>
      </c>
      <c r="C270" s="65">
        <f>IF(B258&gt;0,(Table2[[#This Row],[Country]]-B258)/B258,0)</f>
        <v/>
      </c>
      <c r="D270" s="65">
        <f>IF(Table2[[#This Row],[Country]]&gt;0,(((Table2[[#This Row],[Country]]-B269)/B269)+1)^12-1,"")</f>
        <v/>
      </c>
    </row>
    <row r="271">
      <c r="A271" s="36" t="n">
        <v>30348</v>
      </c>
      <c r="B271" s="37">
        <f>VLOOKUP(A271,Data!$E:$BG,MATCH(Country!$A$1,Data!$E$1:$BG$1,),)</f>
        <v/>
      </c>
      <c r="C271" s="65">
        <f>IF(B259&gt;0,(Table2[[#This Row],[Country]]-B259)/B259,0)</f>
        <v/>
      </c>
      <c r="D271" s="65">
        <f>IF(Table2[[#This Row],[Country]]&gt;0,(((Table2[[#This Row],[Country]]-B270)/B270)+1)^12-1,"")</f>
        <v/>
      </c>
    </row>
    <row r="272">
      <c r="A272" s="36" t="n">
        <v>30376</v>
      </c>
      <c r="B272" s="37">
        <f>VLOOKUP(A272,Data!$E:$BG,MATCH(Country!$A$1,Data!$E$1:$BG$1,),)</f>
        <v/>
      </c>
      <c r="C272" s="65">
        <f>IF(B260&gt;0,(Table2[[#This Row],[Country]]-B260)/B260,0)</f>
        <v/>
      </c>
      <c r="D272" s="65">
        <f>IF(Table2[[#This Row],[Country]]&gt;0,(((Table2[[#This Row],[Country]]-B271)/B271)+1)^12-1,"")</f>
        <v/>
      </c>
    </row>
    <row r="273">
      <c r="A273" s="36" t="n">
        <v>30407</v>
      </c>
      <c r="B273" s="37">
        <f>VLOOKUP(A273,Data!$E:$BG,MATCH(Country!$A$1,Data!$E$1:$BG$1,),)</f>
        <v/>
      </c>
      <c r="C273" s="65">
        <f>IF(B261&gt;0,(Table2[[#This Row],[Country]]-B261)/B261,0)</f>
        <v/>
      </c>
      <c r="D273" s="65">
        <f>IF(Table2[[#This Row],[Country]]&gt;0,(((Table2[[#This Row],[Country]]-B272)/B272)+1)^12-1,"")</f>
        <v/>
      </c>
    </row>
    <row r="274">
      <c r="A274" s="36" t="n">
        <v>30437</v>
      </c>
      <c r="B274" s="37">
        <f>VLOOKUP(A274,Data!$E:$BG,MATCH(Country!$A$1,Data!$E$1:$BG$1,),)</f>
        <v/>
      </c>
      <c r="C274" s="65">
        <f>IF(B262&gt;0,(Table2[[#This Row],[Country]]-B262)/B262,0)</f>
        <v/>
      </c>
      <c r="D274" s="65">
        <f>IF(Table2[[#This Row],[Country]]&gt;0,(((Table2[[#This Row],[Country]]-B273)/B273)+1)^12-1,"")</f>
        <v/>
      </c>
    </row>
    <row r="275">
      <c r="A275" s="36" t="n">
        <v>30468</v>
      </c>
      <c r="B275" s="37">
        <f>VLOOKUP(A275,Data!$E:$BG,MATCH(Country!$A$1,Data!$E$1:$BG$1,),)</f>
        <v/>
      </c>
      <c r="C275" s="65">
        <f>IF(B263&gt;0,(Table2[[#This Row],[Country]]-B263)/B263,0)</f>
        <v/>
      </c>
      <c r="D275" s="65">
        <f>IF(Table2[[#This Row],[Country]]&gt;0,(((Table2[[#This Row],[Country]]-B274)/B274)+1)^12-1,"")</f>
        <v/>
      </c>
    </row>
    <row r="276">
      <c r="A276" s="36" t="n">
        <v>30498</v>
      </c>
      <c r="B276" s="37">
        <f>VLOOKUP(A276,Data!$E:$BG,MATCH(Country!$A$1,Data!$E$1:$BG$1,),)</f>
        <v/>
      </c>
      <c r="C276" s="65">
        <f>IF(B264&gt;0,(Table2[[#This Row],[Country]]-B264)/B264,0)</f>
        <v/>
      </c>
      <c r="D276" s="65">
        <f>IF(Table2[[#This Row],[Country]]&gt;0,(((Table2[[#This Row],[Country]]-B275)/B275)+1)^12-1,"")</f>
        <v/>
      </c>
    </row>
    <row r="277">
      <c r="A277" s="36" t="n">
        <v>30529</v>
      </c>
      <c r="B277" s="37">
        <f>VLOOKUP(A277,Data!$E:$BG,MATCH(Country!$A$1,Data!$E$1:$BG$1,),)</f>
        <v/>
      </c>
      <c r="C277" s="65">
        <f>IF(B265&gt;0,(Table2[[#This Row],[Country]]-B265)/B265,0)</f>
        <v/>
      </c>
      <c r="D277" s="65">
        <f>IF(Table2[[#This Row],[Country]]&gt;0,(((Table2[[#This Row],[Country]]-B276)/B276)+1)^12-1,"")</f>
        <v/>
      </c>
    </row>
    <row r="278">
      <c r="A278" s="36" t="n">
        <v>30560</v>
      </c>
      <c r="B278" s="37">
        <f>VLOOKUP(A278,Data!$E:$BG,MATCH(Country!$A$1,Data!$E$1:$BG$1,),)</f>
        <v/>
      </c>
      <c r="C278" s="65">
        <f>IF(B266&gt;0,(Table2[[#This Row],[Country]]-B266)/B266,0)</f>
        <v/>
      </c>
      <c r="D278" s="65">
        <f>IF(Table2[[#This Row],[Country]]&gt;0,(((Table2[[#This Row],[Country]]-B277)/B277)+1)^12-1,"")</f>
        <v/>
      </c>
    </row>
    <row r="279">
      <c r="A279" s="36" t="n">
        <v>30590</v>
      </c>
      <c r="B279" s="37">
        <f>VLOOKUP(A279,Data!$E:$BG,MATCH(Country!$A$1,Data!$E$1:$BG$1,),)</f>
        <v/>
      </c>
      <c r="C279" s="65">
        <f>IF(B267&gt;0,(Table2[[#This Row],[Country]]-B267)/B267,0)</f>
        <v/>
      </c>
      <c r="D279" s="65">
        <f>IF(Table2[[#This Row],[Country]]&gt;0,(((Table2[[#This Row],[Country]]-B278)/B278)+1)^12-1,"")</f>
        <v/>
      </c>
    </row>
    <row r="280">
      <c r="A280" s="36" t="n">
        <v>30621</v>
      </c>
      <c r="B280" s="37">
        <f>VLOOKUP(A280,Data!$E:$BG,MATCH(Country!$A$1,Data!$E$1:$BG$1,),)</f>
        <v/>
      </c>
      <c r="C280" s="65">
        <f>IF(B268&gt;0,(Table2[[#This Row],[Country]]-B268)/B268,0)</f>
        <v/>
      </c>
      <c r="D280" s="65">
        <f>IF(Table2[[#This Row],[Country]]&gt;0,(((Table2[[#This Row],[Country]]-B279)/B279)+1)^12-1,"")</f>
        <v/>
      </c>
    </row>
    <row r="281">
      <c r="A281" s="36" t="n">
        <v>30651</v>
      </c>
      <c r="B281" s="37">
        <f>VLOOKUP(A281,Data!$E:$BG,MATCH(Country!$A$1,Data!$E$1:$BG$1,),)</f>
        <v/>
      </c>
      <c r="C281" s="65">
        <f>IF(B269&gt;0,(Table2[[#This Row],[Country]]-B269)/B269,0)</f>
        <v/>
      </c>
      <c r="D281" s="65">
        <f>IF(Table2[[#This Row],[Country]]&gt;0,(((Table2[[#This Row],[Country]]-B280)/B280)+1)^12-1,"")</f>
        <v/>
      </c>
    </row>
    <row r="282">
      <c r="A282" s="36" t="n">
        <v>30682</v>
      </c>
      <c r="B282" s="37">
        <f>VLOOKUP(A282,Data!$E:$BG,MATCH(Country!$A$1,Data!$E$1:$BG$1,),)</f>
        <v/>
      </c>
      <c r="C282" s="65">
        <f>IF(B270&gt;0,(Table2[[#This Row],[Country]]-B270)/B270,0)</f>
        <v/>
      </c>
      <c r="D282" s="65">
        <f>IF(Table2[[#This Row],[Country]]&gt;0,(((Table2[[#This Row],[Country]]-B281)/B281)+1)^12-1,"")</f>
        <v/>
      </c>
    </row>
    <row r="283">
      <c r="A283" s="36" t="n">
        <v>30713</v>
      </c>
      <c r="B283" s="37">
        <f>VLOOKUP(A283,Data!$E:$BG,MATCH(Country!$A$1,Data!$E$1:$BG$1,),)</f>
        <v/>
      </c>
      <c r="C283" s="65">
        <f>IF(B271&gt;0,(Table2[[#This Row],[Country]]-B271)/B271,0)</f>
        <v/>
      </c>
      <c r="D283" s="65">
        <f>IF(Table2[[#This Row],[Country]]&gt;0,(((Table2[[#This Row],[Country]]-B282)/B282)+1)^12-1,"")</f>
        <v/>
      </c>
    </row>
    <row r="284">
      <c r="A284" s="36" t="n">
        <v>30742</v>
      </c>
      <c r="B284" s="37">
        <f>VLOOKUP(A284,Data!$E:$BG,MATCH(Country!$A$1,Data!$E$1:$BG$1,),)</f>
        <v/>
      </c>
      <c r="C284" s="65">
        <f>IF(B272&gt;0,(Table2[[#This Row],[Country]]-B272)/B272,0)</f>
        <v/>
      </c>
      <c r="D284" s="65">
        <f>IF(Table2[[#This Row],[Country]]&gt;0,(((Table2[[#This Row],[Country]]-B283)/B283)+1)^12-1,"")</f>
        <v/>
      </c>
    </row>
    <row r="285">
      <c r="A285" s="36" t="n">
        <v>30773</v>
      </c>
      <c r="B285" s="37">
        <f>VLOOKUP(A285,Data!$E:$BG,MATCH(Country!$A$1,Data!$E$1:$BG$1,),)</f>
        <v/>
      </c>
      <c r="C285" s="65">
        <f>IF(B273&gt;0,(Table2[[#This Row],[Country]]-B273)/B273,0)</f>
        <v/>
      </c>
      <c r="D285" s="65">
        <f>IF(Table2[[#This Row],[Country]]&gt;0,(((Table2[[#This Row],[Country]]-B284)/B284)+1)^12-1,"")</f>
        <v/>
      </c>
    </row>
    <row r="286">
      <c r="A286" s="36" t="n">
        <v>30803</v>
      </c>
      <c r="B286" s="37">
        <f>VLOOKUP(A286,Data!$E:$BG,MATCH(Country!$A$1,Data!$E$1:$BG$1,),)</f>
        <v/>
      </c>
      <c r="C286" s="65">
        <f>IF(B274&gt;0,(Table2[[#This Row],[Country]]-B274)/B274,0)</f>
        <v/>
      </c>
      <c r="D286" s="65">
        <f>IF(Table2[[#This Row],[Country]]&gt;0,(((Table2[[#This Row],[Country]]-B285)/B285)+1)^12-1,"")</f>
        <v/>
      </c>
    </row>
    <row r="287">
      <c r="A287" s="36" t="n">
        <v>30834</v>
      </c>
      <c r="B287" s="37">
        <f>VLOOKUP(A287,Data!$E:$BG,MATCH(Country!$A$1,Data!$E$1:$BG$1,),)</f>
        <v/>
      </c>
      <c r="C287" s="65">
        <f>IF(B275&gt;0,(Table2[[#This Row],[Country]]-B275)/B275,0)</f>
        <v/>
      </c>
      <c r="D287" s="65">
        <f>IF(Table2[[#This Row],[Country]]&gt;0,(((Table2[[#This Row],[Country]]-B286)/B286)+1)^12-1,"")</f>
        <v/>
      </c>
    </row>
    <row r="288">
      <c r="A288" s="36" t="n">
        <v>30864</v>
      </c>
      <c r="B288" s="37">
        <f>VLOOKUP(A288,Data!$E:$BG,MATCH(Country!$A$1,Data!$E$1:$BG$1,),)</f>
        <v/>
      </c>
      <c r="C288" s="65">
        <f>IF(B276&gt;0,(Table2[[#This Row],[Country]]-B276)/B276,0)</f>
        <v/>
      </c>
      <c r="D288" s="65">
        <f>IF(Table2[[#This Row],[Country]]&gt;0,(((Table2[[#This Row],[Country]]-B287)/B287)+1)^12-1,"")</f>
        <v/>
      </c>
    </row>
    <row r="289">
      <c r="A289" s="36" t="n">
        <v>30895</v>
      </c>
      <c r="B289" s="37">
        <f>VLOOKUP(A289,Data!$E:$BG,MATCH(Country!$A$1,Data!$E$1:$BG$1,),)</f>
        <v/>
      </c>
      <c r="C289" s="65">
        <f>IF(B277&gt;0,(Table2[[#This Row],[Country]]-B277)/B277,0)</f>
        <v/>
      </c>
      <c r="D289" s="65">
        <f>IF(Table2[[#This Row],[Country]]&gt;0,(((Table2[[#This Row],[Country]]-B288)/B288)+1)^12-1,"")</f>
        <v/>
      </c>
    </row>
    <row r="290">
      <c r="A290" s="36" t="n">
        <v>30926</v>
      </c>
      <c r="B290" s="37">
        <f>VLOOKUP(A290,Data!$E:$BG,MATCH(Country!$A$1,Data!$E$1:$BG$1,),)</f>
        <v/>
      </c>
      <c r="C290" s="65">
        <f>IF(B278&gt;0,(Table2[[#This Row],[Country]]-B278)/B278,0)</f>
        <v/>
      </c>
      <c r="D290" s="65">
        <f>IF(Table2[[#This Row],[Country]]&gt;0,(((Table2[[#This Row],[Country]]-B289)/B289)+1)^12-1,"")</f>
        <v/>
      </c>
    </row>
    <row r="291">
      <c r="A291" s="36" t="n">
        <v>30956</v>
      </c>
      <c r="B291" s="37">
        <f>VLOOKUP(A291,Data!$E:$BG,MATCH(Country!$A$1,Data!$E$1:$BG$1,),)</f>
        <v/>
      </c>
      <c r="C291" s="65">
        <f>IF(B279&gt;0,(Table2[[#This Row],[Country]]-B279)/B279,0)</f>
        <v/>
      </c>
      <c r="D291" s="65">
        <f>IF(Table2[[#This Row],[Country]]&gt;0,(((Table2[[#This Row],[Country]]-B290)/B290)+1)^12-1,"")</f>
        <v/>
      </c>
    </row>
    <row r="292">
      <c r="A292" s="36" t="n">
        <v>30987</v>
      </c>
      <c r="B292" s="37">
        <f>VLOOKUP(A292,Data!$E:$BG,MATCH(Country!$A$1,Data!$E$1:$BG$1,),)</f>
        <v/>
      </c>
      <c r="C292" s="65">
        <f>IF(B280&gt;0,(Table2[[#This Row],[Country]]-B280)/B280,0)</f>
        <v/>
      </c>
      <c r="D292" s="65">
        <f>IF(Table2[[#This Row],[Country]]&gt;0,(((Table2[[#This Row],[Country]]-B291)/B291)+1)^12-1,"")</f>
        <v/>
      </c>
    </row>
    <row r="293">
      <c r="A293" s="36" t="n">
        <v>31017</v>
      </c>
      <c r="B293" s="37">
        <f>VLOOKUP(A293,Data!$E:$BG,MATCH(Country!$A$1,Data!$E$1:$BG$1,),)</f>
        <v/>
      </c>
      <c r="C293" s="65">
        <f>IF(B281&gt;0,(Table2[[#This Row],[Country]]-B281)/B281,0)</f>
        <v/>
      </c>
      <c r="D293" s="65">
        <f>IF(Table2[[#This Row],[Country]]&gt;0,(((Table2[[#This Row],[Country]]-B292)/B292)+1)^12-1,"")</f>
        <v/>
      </c>
    </row>
    <row r="294">
      <c r="A294" s="36" t="n">
        <v>31048</v>
      </c>
      <c r="B294" s="37">
        <f>VLOOKUP(A294,Data!$E:$BG,MATCH(Country!$A$1,Data!$E$1:$BG$1,),)</f>
        <v/>
      </c>
      <c r="C294" s="65">
        <f>IF(B282&gt;0,(Table2[[#This Row],[Country]]-B282)/B282,0)</f>
        <v/>
      </c>
      <c r="D294" s="65">
        <f>IF(Table2[[#This Row],[Country]]&gt;0,(((Table2[[#This Row],[Country]]-B293)/B293)+1)^12-1,"")</f>
        <v/>
      </c>
    </row>
    <row r="295">
      <c r="A295" s="36" t="n">
        <v>31079</v>
      </c>
      <c r="B295" s="37">
        <f>VLOOKUP(A295,Data!$E:$BG,MATCH(Country!$A$1,Data!$E$1:$BG$1,),)</f>
        <v/>
      </c>
      <c r="C295" s="65">
        <f>IF(B283&gt;0,(Table2[[#This Row],[Country]]-B283)/B283,0)</f>
        <v/>
      </c>
      <c r="D295" s="65">
        <f>IF(Table2[[#This Row],[Country]]&gt;0,(((Table2[[#This Row],[Country]]-B294)/B294)+1)^12-1,"")</f>
        <v/>
      </c>
    </row>
    <row r="296">
      <c r="A296" s="36" t="n">
        <v>31107</v>
      </c>
      <c r="B296" s="37">
        <f>VLOOKUP(A296,Data!$E:$BG,MATCH(Country!$A$1,Data!$E$1:$BG$1,),)</f>
        <v/>
      </c>
      <c r="C296" s="65">
        <f>IF(B284&gt;0,(Table2[[#This Row],[Country]]-B284)/B284,0)</f>
        <v/>
      </c>
      <c r="D296" s="65">
        <f>IF(Table2[[#This Row],[Country]]&gt;0,(((Table2[[#This Row],[Country]]-B295)/B295)+1)^12-1,"")</f>
        <v/>
      </c>
    </row>
    <row r="297">
      <c r="A297" s="36" t="n">
        <v>31138</v>
      </c>
      <c r="B297" s="37">
        <f>VLOOKUP(A297,Data!$E:$BG,MATCH(Country!$A$1,Data!$E$1:$BG$1,),)</f>
        <v/>
      </c>
      <c r="C297" s="65">
        <f>IF(B285&gt;0,(Table2[[#This Row],[Country]]-B285)/B285,0)</f>
        <v/>
      </c>
      <c r="D297" s="65">
        <f>IF(Table2[[#This Row],[Country]]&gt;0,(((Table2[[#This Row],[Country]]-B296)/B296)+1)^12-1,"")</f>
        <v/>
      </c>
    </row>
    <row r="298">
      <c r="A298" s="36" t="n">
        <v>31168</v>
      </c>
      <c r="B298" s="37">
        <f>VLOOKUP(A298,Data!$E:$BG,MATCH(Country!$A$1,Data!$E$1:$BG$1,),)</f>
        <v/>
      </c>
      <c r="C298" s="65">
        <f>IF(B286&gt;0,(Table2[[#This Row],[Country]]-B286)/B286,0)</f>
        <v/>
      </c>
      <c r="D298" s="65">
        <f>IF(Table2[[#This Row],[Country]]&gt;0,(((Table2[[#This Row],[Country]]-B297)/B297)+1)^12-1,"")</f>
        <v/>
      </c>
    </row>
    <row r="299">
      <c r="A299" s="36" t="n">
        <v>31199</v>
      </c>
      <c r="B299" s="37">
        <f>VLOOKUP(A299,Data!$E:$BG,MATCH(Country!$A$1,Data!$E$1:$BG$1,),)</f>
        <v/>
      </c>
      <c r="C299" s="65">
        <f>IF(B287&gt;0,(Table2[[#This Row],[Country]]-B287)/B287,0)</f>
        <v/>
      </c>
      <c r="D299" s="65">
        <f>IF(Table2[[#This Row],[Country]]&gt;0,(((Table2[[#This Row],[Country]]-B298)/B298)+1)^12-1,"")</f>
        <v/>
      </c>
    </row>
    <row r="300">
      <c r="A300" s="36" t="n">
        <v>31229</v>
      </c>
      <c r="B300" s="37">
        <f>VLOOKUP(A300,Data!$E:$BG,MATCH(Country!$A$1,Data!$E$1:$BG$1,),)</f>
        <v/>
      </c>
      <c r="C300" s="65">
        <f>IF(B288&gt;0,(Table2[[#This Row],[Country]]-B288)/B288,0)</f>
        <v/>
      </c>
      <c r="D300" s="65">
        <f>IF(Table2[[#This Row],[Country]]&gt;0,(((Table2[[#This Row],[Country]]-B299)/B299)+1)^12-1,"")</f>
        <v/>
      </c>
    </row>
    <row r="301">
      <c r="A301" s="36" t="n">
        <v>31260</v>
      </c>
      <c r="B301" s="37">
        <f>VLOOKUP(A301,Data!$E:$BG,MATCH(Country!$A$1,Data!$E$1:$BG$1,),)</f>
        <v/>
      </c>
      <c r="C301" s="65">
        <f>IF(B289&gt;0,(Table2[[#This Row],[Country]]-B289)/B289,0)</f>
        <v/>
      </c>
      <c r="D301" s="65">
        <f>IF(Table2[[#This Row],[Country]]&gt;0,(((Table2[[#This Row],[Country]]-B300)/B300)+1)^12-1,"")</f>
        <v/>
      </c>
    </row>
    <row r="302">
      <c r="A302" s="36" t="n">
        <v>31291</v>
      </c>
      <c r="B302" s="37">
        <f>VLOOKUP(A302,Data!$E:$BG,MATCH(Country!$A$1,Data!$E$1:$BG$1,),)</f>
        <v/>
      </c>
      <c r="C302" s="65">
        <f>IF(B290&gt;0,(Table2[[#This Row],[Country]]-B290)/B290,0)</f>
        <v/>
      </c>
      <c r="D302" s="65">
        <f>IF(Table2[[#This Row],[Country]]&gt;0,(((Table2[[#This Row],[Country]]-B301)/B301)+1)^12-1,"")</f>
        <v/>
      </c>
    </row>
    <row r="303">
      <c r="A303" s="36" t="n">
        <v>31321</v>
      </c>
      <c r="B303" s="37">
        <f>VLOOKUP(A303,Data!$E:$BG,MATCH(Country!$A$1,Data!$E$1:$BG$1,),)</f>
        <v/>
      </c>
      <c r="C303" s="65">
        <f>IF(B291&gt;0,(Table2[[#This Row],[Country]]-B291)/B291,0)</f>
        <v/>
      </c>
      <c r="D303" s="65">
        <f>IF(Table2[[#This Row],[Country]]&gt;0,(((Table2[[#This Row],[Country]]-B302)/B302)+1)^12-1,"")</f>
        <v/>
      </c>
    </row>
    <row r="304">
      <c r="A304" s="36" t="n">
        <v>31352</v>
      </c>
      <c r="B304" s="37">
        <f>VLOOKUP(A304,Data!$E:$BG,MATCH(Country!$A$1,Data!$E$1:$BG$1,),)</f>
        <v/>
      </c>
      <c r="C304" s="65">
        <f>IF(B292&gt;0,(Table2[[#This Row],[Country]]-B292)/B292,0)</f>
        <v/>
      </c>
      <c r="D304" s="65">
        <f>IF(Table2[[#This Row],[Country]]&gt;0,(((Table2[[#This Row],[Country]]-B303)/B303)+1)^12-1,"")</f>
        <v/>
      </c>
    </row>
    <row r="305">
      <c r="A305" s="36" t="n">
        <v>31382</v>
      </c>
      <c r="B305" s="37">
        <f>VLOOKUP(A305,Data!$E:$BG,MATCH(Country!$A$1,Data!$E$1:$BG$1,),)</f>
        <v/>
      </c>
      <c r="C305" s="65">
        <f>IF(B293&gt;0,(Table2[[#This Row],[Country]]-B293)/B293,0)</f>
        <v/>
      </c>
      <c r="D305" s="65">
        <f>IF(Table2[[#This Row],[Country]]&gt;0,(((Table2[[#This Row],[Country]]-B304)/B304)+1)^12-1,"")</f>
        <v/>
      </c>
    </row>
    <row r="306">
      <c r="A306" s="36" t="n">
        <v>31413</v>
      </c>
      <c r="B306" s="37">
        <f>VLOOKUP(A306,Data!$E:$BG,MATCH(Country!$A$1,Data!$E$1:$BG$1,),)</f>
        <v/>
      </c>
      <c r="C306" s="65">
        <f>IF(B294&gt;0,(Table2[[#This Row],[Country]]-B294)/B294,0)</f>
        <v/>
      </c>
      <c r="D306" s="65">
        <f>IF(Table2[[#This Row],[Country]]&gt;0,(((Table2[[#This Row],[Country]]-B305)/B305)+1)^12-1,"")</f>
        <v/>
      </c>
    </row>
    <row r="307">
      <c r="A307" s="36" t="n">
        <v>31444</v>
      </c>
      <c r="B307" s="37">
        <f>VLOOKUP(A307,Data!$E:$BG,MATCH(Country!$A$1,Data!$E$1:$BG$1,),)</f>
        <v/>
      </c>
      <c r="C307" s="65">
        <f>IF(B295&gt;0,(Table2[[#This Row],[Country]]-B295)/B295,0)</f>
        <v/>
      </c>
      <c r="D307" s="65">
        <f>IF(Table2[[#This Row],[Country]]&gt;0,(((Table2[[#This Row],[Country]]-B306)/B306)+1)^12-1,"")</f>
        <v/>
      </c>
    </row>
    <row r="308">
      <c r="A308" s="36" t="n">
        <v>31472</v>
      </c>
      <c r="B308" s="37">
        <f>VLOOKUP(A308,Data!$E:$BG,MATCH(Country!$A$1,Data!$E$1:$BG$1,),)</f>
        <v/>
      </c>
      <c r="C308" s="65">
        <f>IF(B296&gt;0,(Table2[[#This Row],[Country]]-B296)/B296,0)</f>
        <v/>
      </c>
      <c r="D308" s="65">
        <f>IF(Table2[[#This Row],[Country]]&gt;0,(((Table2[[#This Row],[Country]]-B307)/B307)+1)^12-1,"")</f>
        <v/>
      </c>
    </row>
    <row r="309">
      <c r="A309" s="36" t="n">
        <v>31503</v>
      </c>
      <c r="B309" s="37">
        <f>VLOOKUP(A309,Data!$E:$BG,MATCH(Country!$A$1,Data!$E$1:$BG$1,),)</f>
        <v/>
      </c>
      <c r="C309" s="65">
        <f>IF(B297&gt;0,(Table2[[#This Row],[Country]]-B297)/B297,0)</f>
        <v/>
      </c>
      <c r="D309" s="65">
        <f>IF(Table2[[#This Row],[Country]]&gt;0,(((Table2[[#This Row],[Country]]-B308)/B308)+1)^12-1,"")</f>
        <v/>
      </c>
    </row>
    <row r="310">
      <c r="A310" s="36" t="n">
        <v>31533</v>
      </c>
      <c r="B310" s="37">
        <f>VLOOKUP(A310,Data!$E:$BG,MATCH(Country!$A$1,Data!$E$1:$BG$1,),)</f>
        <v/>
      </c>
      <c r="C310" s="65">
        <f>IF(B298&gt;0,(Table2[[#This Row],[Country]]-B298)/B298,0)</f>
        <v/>
      </c>
      <c r="D310" s="65">
        <f>IF(Table2[[#This Row],[Country]]&gt;0,(((Table2[[#This Row],[Country]]-B309)/B309)+1)^12-1,"")</f>
        <v/>
      </c>
    </row>
    <row r="311">
      <c r="A311" s="36" t="n">
        <v>31564</v>
      </c>
      <c r="B311" s="37">
        <f>VLOOKUP(A311,Data!$E:$BG,MATCH(Country!$A$1,Data!$E$1:$BG$1,),)</f>
        <v/>
      </c>
      <c r="C311" s="65">
        <f>IF(B299&gt;0,(Table2[[#This Row],[Country]]-B299)/B299,0)</f>
        <v/>
      </c>
      <c r="D311" s="65">
        <f>IF(Table2[[#This Row],[Country]]&gt;0,(((Table2[[#This Row],[Country]]-B310)/B310)+1)^12-1,"")</f>
        <v/>
      </c>
    </row>
    <row r="312">
      <c r="A312" s="36" t="n">
        <v>31594</v>
      </c>
      <c r="B312" s="37">
        <f>VLOOKUP(A312,Data!$E:$BG,MATCH(Country!$A$1,Data!$E$1:$BG$1,),)</f>
        <v/>
      </c>
      <c r="C312" s="65">
        <f>IF(B300&gt;0,(Table2[[#This Row],[Country]]-B300)/B300,0)</f>
        <v/>
      </c>
      <c r="D312" s="65">
        <f>IF(Table2[[#This Row],[Country]]&gt;0,(((Table2[[#This Row],[Country]]-B311)/B311)+1)^12-1,"")</f>
        <v/>
      </c>
    </row>
    <row r="313">
      <c r="A313" s="36" t="n">
        <v>31625</v>
      </c>
      <c r="B313" s="37">
        <f>VLOOKUP(A313,Data!$E:$BG,MATCH(Country!$A$1,Data!$E$1:$BG$1,),)</f>
        <v/>
      </c>
      <c r="C313" s="65">
        <f>IF(B301&gt;0,(Table2[[#This Row],[Country]]-B301)/B301,0)</f>
        <v/>
      </c>
      <c r="D313" s="65">
        <f>IF(Table2[[#This Row],[Country]]&gt;0,(((Table2[[#This Row],[Country]]-B312)/B312)+1)^12-1,"")</f>
        <v/>
      </c>
    </row>
    <row r="314">
      <c r="A314" s="36" t="n">
        <v>31656</v>
      </c>
      <c r="B314" s="37">
        <f>VLOOKUP(A314,Data!$E:$BG,MATCH(Country!$A$1,Data!$E$1:$BG$1,),)</f>
        <v/>
      </c>
      <c r="C314" s="65">
        <f>IF(B302&gt;0,(Table2[[#This Row],[Country]]-B302)/B302,0)</f>
        <v/>
      </c>
      <c r="D314" s="65">
        <f>IF(Table2[[#This Row],[Country]]&gt;0,(((Table2[[#This Row],[Country]]-B313)/B313)+1)^12-1,"")</f>
        <v/>
      </c>
    </row>
    <row r="315">
      <c r="A315" s="36" t="n">
        <v>31686</v>
      </c>
      <c r="B315" s="37">
        <f>VLOOKUP(A315,Data!$E:$BG,MATCH(Country!$A$1,Data!$E$1:$BG$1,),)</f>
        <v/>
      </c>
      <c r="C315" s="65">
        <f>IF(B303&gt;0,(Table2[[#This Row],[Country]]-B303)/B303,0)</f>
        <v/>
      </c>
      <c r="D315" s="65">
        <f>IF(Table2[[#This Row],[Country]]&gt;0,(((Table2[[#This Row],[Country]]-B314)/B314)+1)^12-1,"")</f>
        <v/>
      </c>
    </row>
    <row r="316">
      <c r="A316" s="36" t="n">
        <v>31717</v>
      </c>
      <c r="B316" s="37">
        <f>VLOOKUP(A316,Data!$E:$BG,MATCH(Country!$A$1,Data!$E$1:$BG$1,),)</f>
        <v/>
      </c>
      <c r="C316" s="65">
        <f>IF(B304&gt;0,(Table2[[#This Row],[Country]]-B304)/B304,0)</f>
        <v/>
      </c>
      <c r="D316" s="65">
        <f>IF(Table2[[#This Row],[Country]]&gt;0,(((Table2[[#This Row],[Country]]-B315)/B315)+1)^12-1,"")</f>
        <v/>
      </c>
    </row>
    <row r="317">
      <c r="A317" s="36" t="n">
        <v>31747</v>
      </c>
      <c r="B317" s="37">
        <f>VLOOKUP(A317,Data!$E:$BG,MATCH(Country!$A$1,Data!$E$1:$BG$1,),)</f>
        <v/>
      </c>
      <c r="C317" s="65">
        <f>IF(B305&gt;0,(Table2[[#This Row],[Country]]-B305)/B305,0)</f>
        <v/>
      </c>
      <c r="D317" s="65">
        <f>IF(Table2[[#This Row],[Country]]&gt;0,(((Table2[[#This Row],[Country]]-B316)/B316)+1)^12-1,"")</f>
        <v/>
      </c>
    </row>
    <row r="318">
      <c r="A318" s="36" t="n">
        <v>31778</v>
      </c>
      <c r="B318" s="37">
        <f>VLOOKUP(A318,Data!$E:$BG,MATCH(Country!$A$1,Data!$E$1:$BG$1,),)</f>
        <v/>
      </c>
      <c r="C318" s="65">
        <f>IF(B306&gt;0,(Table2[[#This Row],[Country]]-B306)/B306,0)</f>
        <v/>
      </c>
      <c r="D318" s="65">
        <f>IF(Table2[[#This Row],[Country]]&gt;0,(((Table2[[#This Row],[Country]]-B317)/B317)+1)^12-1,"")</f>
        <v/>
      </c>
    </row>
    <row r="319">
      <c r="A319" s="36" t="n">
        <v>31809</v>
      </c>
      <c r="B319" s="37">
        <f>VLOOKUP(A319,Data!$E:$BG,MATCH(Country!$A$1,Data!$E$1:$BG$1,),)</f>
        <v/>
      </c>
      <c r="C319" s="65">
        <f>IF(B307&gt;0,(Table2[[#This Row],[Country]]-B307)/B307,0)</f>
        <v/>
      </c>
      <c r="D319" s="65">
        <f>IF(Table2[[#This Row],[Country]]&gt;0,(((Table2[[#This Row],[Country]]-B318)/B318)+1)^12-1,"")</f>
        <v/>
      </c>
      <c r="F319" s="21" t="n"/>
    </row>
    <row r="320">
      <c r="A320" s="36" t="n">
        <v>31837</v>
      </c>
      <c r="B320" s="37">
        <f>VLOOKUP(A320,Data!$E:$BG,MATCH(Country!$A$1,Data!$E$1:$BG$1,),)</f>
        <v/>
      </c>
      <c r="C320" s="65">
        <f>IF(B308&gt;0,(Table2[[#This Row],[Country]]-B308)/B308,0)</f>
        <v/>
      </c>
      <c r="D320" s="65">
        <f>IF(Table2[[#This Row],[Country]]&gt;0,(((Table2[[#This Row],[Country]]-B319)/B319)+1)^12-1,"")</f>
        <v/>
      </c>
    </row>
    <row r="321">
      <c r="A321" s="36" t="n">
        <v>31868</v>
      </c>
      <c r="B321" s="37">
        <f>VLOOKUP(A321,Data!$E:$BG,MATCH(Country!$A$1,Data!$E$1:$BG$1,),)</f>
        <v/>
      </c>
      <c r="C321" s="65">
        <f>IF(B309&gt;0,(Table2[[#This Row],[Country]]-B309)/B309,0)</f>
        <v/>
      </c>
      <c r="D321" s="65">
        <f>IF(Table2[[#This Row],[Country]]&gt;0,(((Table2[[#This Row],[Country]]-B320)/B320)+1)^12-1,"")</f>
        <v/>
      </c>
    </row>
    <row r="322">
      <c r="A322" s="36" t="n">
        <v>31898</v>
      </c>
      <c r="B322" s="37">
        <f>VLOOKUP(A322,Data!$E:$BG,MATCH(Country!$A$1,Data!$E$1:$BG$1,),)</f>
        <v/>
      </c>
      <c r="C322" s="65">
        <f>IF(B310&gt;0,(Table2[[#This Row],[Country]]-B310)/B310,0)</f>
        <v/>
      </c>
      <c r="D322" s="65">
        <f>IF(Table2[[#This Row],[Country]]&gt;0,(((Table2[[#This Row],[Country]]-B321)/B321)+1)^12-1,"")</f>
        <v/>
      </c>
    </row>
    <row r="323">
      <c r="A323" s="36" t="n">
        <v>31929</v>
      </c>
      <c r="B323" s="37">
        <f>VLOOKUP(A323,Data!$E:$BG,MATCH(Country!$A$1,Data!$E$1:$BG$1,),)</f>
        <v/>
      </c>
      <c r="C323" s="65">
        <f>IF(B311&gt;0,(Table2[[#This Row],[Country]]-B311)/B311,0)</f>
        <v/>
      </c>
      <c r="D323" s="65">
        <f>IF(Table2[[#This Row],[Country]]&gt;0,(((Table2[[#This Row],[Country]]-B322)/B322)+1)^12-1,"")</f>
        <v/>
      </c>
    </row>
    <row r="324">
      <c r="A324" s="36" t="n">
        <v>31959</v>
      </c>
      <c r="B324" s="37">
        <f>VLOOKUP(A324,Data!$E:$BG,MATCH(Country!$A$1,Data!$E$1:$BG$1,),)</f>
        <v/>
      </c>
      <c r="C324" s="65">
        <f>IF(B312&gt;0,(Table2[[#This Row],[Country]]-B312)/B312,0)</f>
        <v/>
      </c>
      <c r="D324" s="65">
        <f>IF(Table2[[#This Row],[Country]]&gt;0,(((Table2[[#This Row],[Country]]-B323)/B323)+1)^12-1,"")</f>
        <v/>
      </c>
    </row>
    <row r="325">
      <c r="A325" s="36" t="n">
        <v>31990</v>
      </c>
      <c r="B325" s="37">
        <f>VLOOKUP(A325,Data!$E:$BG,MATCH(Country!$A$1,Data!$E$1:$BG$1,),)</f>
        <v/>
      </c>
      <c r="C325" s="65">
        <f>IF(B313&gt;0,(Table2[[#This Row],[Country]]-B313)/B313,0)</f>
        <v/>
      </c>
      <c r="D325" s="65">
        <f>IF(Table2[[#This Row],[Country]]&gt;0,(((Table2[[#This Row],[Country]]-B324)/B324)+1)^12-1,"")</f>
        <v/>
      </c>
    </row>
    <row r="326">
      <c r="A326" s="36" t="n">
        <v>32021</v>
      </c>
      <c r="B326" s="37">
        <f>VLOOKUP(A326,Data!$E:$BG,MATCH(Country!$A$1,Data!$E$1:$BG$1,),)</f>
        <v/>
      </c>
      <c r="C326" s="65">
        <f>IF(B314&gt;0,(Table2[[#This Row],[Country]]-B314)/B314,0)</f>
        <v/>
      </c>
      <c r="D326" s="65">
        <f>IF(Table2[[#This Row],[Country]]&gt;0,(((Table2[[#This Row],[Country]]-B325)/B325)+1)^12-1,"")</f>
        <v/>
      </c>
    </row>
    <row r="327">
      <c r="A327" s="36" t="n">
        <v>32051</v>
      </c>
      <c r="B327" s="37">
        <f>VLOOKUP(A327,Data!$E:$BG,MATCH(Country!$A$1,Data!$E$1:$BG$1,),)</f>
        <v/>
      </c>
      <c r="C327" s="65">
        <f>IF(B315&gt;0,(Table2[[#This Row],[Country]]-B315)/B315,0)</f>
        <v/>
      </c>
      <c r="D327" s="65">
        <f>IF(Table2[[#This Row],[Country]]&gt;0,(((Table2[[#This Row],[Country]]-B326)/B326)+1)^12-1,"")</f>
        <v/>
      </c>
    </row>
    <row r="328">
      <c r="A328" s="36" t="n">
        <v>32082</v>
      </c>
      <c r="B328" s="37">
        <f>VLOOKUP(A328,Data!$E:$BG,MATCH(Country!$A$1,Data!$E$1:$BG$1,),)</f>
        <v/>
      </c>
      <c r="C328" s="65">
        <f>IF(B316&gt;0,(Table2[[#This Row],[Country]]-B316)/B316,0)</f>
        <v/>
      </c>
      <c r="D328" s="65">
        <f>IF(Table2[[#This Row],[Country]]&gt;0,(((Table2[[#This Row],[Country]]-B327)/B327)+1)^12-1,"")</f>
        <v/>
      </c>
    </row>
    <row r="329">
      <c r="A329" s="36" t="n">
        <v>32112</v>
      </c>
      <c r="B329" s="37">
        <f>VLOOKUP(A329,Data!$E:$BG,MATCH(Country!$A$1,Data!$E$1:$BG$1,),)</f>
        <v/>
      </c>
      <c r="C329" s="65">
        <f>IF(B317&gt;0,(Table2[[#This Row],[Country]]-B317)/B317,0)</f>
        <v/>
      </c>
      <c r="D329" s="65">
        <f>IF(Table2[[#This Row],[Country]]&gt;0,(((Table2[[#This Row],[Country]]-B328)/B328)+1)^12-1,"")</f>
        <v/>
      </c>
    </row>
    <row r="330">
      <c r="A330" s="36" t="n">
        <v>32143</v>
      </c>
      <c r="B330" s="37">
        <f>VLOOKUP(A330,Data!$E:$BG,MATCH(Country!$A$1,Data!$E$1:$BG$1,),)</f>
        <v/>
      </c>
      <c r="C330" s="65">
        <f>IF(B318&gt;0,(Table2[[#This Row],[Country]]-B318)/B318,0)</f>
        <v/>
      </c>
      <c r="D330" s="65">
        <f>IF(Table2[[#This Row],[Country]]&gt;0,(((Table2[[#This Row],[Country]]-B329)/B329)+1)^12-1,"")</f>
        <v/>
      </c>
    </row>
    <row r="331">
      <c r="A331" s="36" t="n">
        <v>32174</v>
      </c>
      <c r="B331" s="37">
        <f>VLOOKUP(A331,Data!$E:$BG,MATCH(Country!$A$1,Data!$E$1:$BG$1,),)</f>
        <v/>
      </c>
      <c r="C331" s="65">
        <f>IF(B319&gt;0,(Table2[[#This Row],[Country]]-B319)/B319,0)</f>
        <v/>
      </c>
      <c r="D331" s="65">
        <f>IF(Table2[[#This Row],[Country]]&gt;0,(((Table2[[#This Row],[Country]]-B330)/B330)+1)^12-1,"")</f>
        <v/>
      </c>
    </row>
    <row r="332">
      <c r="A332" s="36" t="n">
        <v>32203</v>
      </c>
      <c r="B332" s="37">
        <f>VLOOKUP(A332,Data!$E:$BG,MATCH(Country!$A$1,Data!$E$1:$BG$1,),)</f>
        <v/>
      </c>
      <c r="C332" s="65">
        <f>IF(B320&gt;0,(Table2[[#This Row],[Country]]-B320)/B320,0)</f>
        <v/>
      </c>
      <c r="D332" s="65">
        <f>IF(Table2[[#This Row],[Country]]&gt;0,(((Table2[[#This Row],[Country]]-B331)/B331)+1)^12-1,"")</f>
        <v/>
      </c>
    </row>
    <row r="333">
      <c r="A333" s="36" t="n">
        <v>32234</v>
      </c>
      <c r="B333" s="37">
        <f>VLOOKUP(A333,Data!$E:$BG,MATCH(Country!$A$1,Data!$E$1:$BG$1,),)</f>
        <v/>
      </c>
      <c r="C333" s="65">
        <f>IF(B321&gt;0,(Table2[[#This Row],[Country]]-B321)/B321,0)</f>
        <v/>
      </c>
      <c r="D333" s="65">
        <f>IF(Table2[[#This Row],[Country]]&gt;0,(((Table2[[#This Row],[Country]]-B332)/B332)+1)^12-1,"")</f>
        <v/>
      </c>
    </row>
    <row r="334">
      <c r="A334" s="36" t="n">
        <v>32264</v>
      </c>
      <c r="B334" s="37">
        <f>VLOOKUP(A334,Data!$E:$BG,MATCH(Country!$A$1,Data!$E$1:$BG$1,),)</f>
        <v/>
      </c>
      <c r="C334" s="65">
        <f>IF(B322&gt;0,(Table2[[#This Row],[Country]]-B322)/B322,0)</f>
        <v/>
      </c>
      <c r="D334" s="65">
        <f>IF(Table2[[#This Row],[Country]]&gt;0,(((Table2[[#This Row],[Country]]-B333)/B333)+1)^12-1,"")</f>
        <v/>
      </c>
    </row>
    <row r="335">
      <c r="A335" s="36" t="n">
        <v>32295</v>
      </c>
      <c r="B335" s="37">
        <f>VLOOKUP(A335,Data!$E:$BG,MATCH(Country!$A$1,Data!$E$1:$BG$1,),)</f>
        <v/>
      </c>
      <c r="C335" s="65">
        <f>IF(B323&gt;0,(Table2[[#This Row],[Country]]-B323)/B323,0)</f>
        <v/>
      </c>
      <c r="D335" s="65">
        <f>IF(Table2[[#This Row],[Country]]&gt;0,(((Table2[[#This Row],[Country]]-B334)/B334)+1)^12-1,"")</f>
        <v/>
      </c>
    </row>
    <row r="336">
      <c r="A336" s="36" t="n">
        <v>32325</v>
      </c>
      <c r="B336" s="37">
        <f>VLOOKUP(A336,Data!$E:$BG,MATCH(Country!$A$1,Data!$E$1:$BG$1,),)</f>
        <v/>
      </c>
      <c r="C336" s="65">
        <f>IF(B324&gt;0,(Table2[[#This Row],[Country]]-B324)/B324,0)</f>
        <v/>
      </c>
      <c r="D336" s="65">
        <f>IF(Table2[[#This Row],[Country]]&gt;0,(((Table2[[#This Row],[Country]]-B335)/B335)+1)^12-1,"")</f>
        <v/>
      </c>
    </row>
    <row r="337">
      <c r="A337" s="36" t="n">
        <v>32356</v>
      </c>
      <c r="B337" s="37">
        <f>VLOOKUP(A337,Data!$E:$BG,MATCH(Country!$A$1,Data!$E$1:$BG$1,),)</f>
        <v/>
      </c>
      <c r="C337" s="65">
        <f>IF(B325&gt;0,(Table2[[#This Row],[Country]]-B325)/B325,0)</f>
        <v/>
      </c>
      <c r="D337" s="65">
        <f>IF(Table2[[#This Row],[Country]]&gt;0,(((Table2[[#This Row],[Country]]-B336)/B336)+1)^12-1,"")</f>
        <v/>
      </c>
    </row>
    <row r="338">
      <c r="A338" s="36" t="n">
        <v>32387</v>
      </c>
      <c r="B338" s="37">
        <f>VLOOKUP(A338,Data!$E:$BG,MATCH(Country!$A$1,Data!$E$1:$BG$1,),)</f>
        <v/>
      </c>
      <c r="C338" s="65">
        <f>IF(B326&gt;0,(Table2[[#This Row],[Country]]-B326)/B326,0)</f>
        <v/>
      </c>
      <c r="D338" s="65">
        <f>IF(Table2[[#This Row],[Country]]&gt;0,(((Table2[[#This Row],[Country]]-B337)/B337)+1)^12-1,"")</f>
        <v/>
      </c>
    </row>
    <row r="339">
      <c r="A339" s="36" t="n">
        <v>32417</v>
      </c>
      <c r="B339" s="37">
        <f>VLOOKUP(A339,Data!$E:$BG,MATCH(Country!$A$1,Data!$E$1:$BG$1,),)</f>
        <v/>
      </c>
      <c r="C339" s="65">
        <f>IF(B327&gt;0,(Table2[[#This Row],[Country]]-B327)/B327,0)</f>
        <v/>
      </c>
      <c r="D339" s="65">
        <f>IF(Table2[[#This Row],[Country]]&gt;0,(((Table2[[#This Row],[Country]]-B338)/B338)+1)^12-1,"")</f>
        <v/>
      </c>
    </row>
    <row r="340">
      <c r="A340" s="36" t="n">
        <v>32448</v>
      </c>
      <c r="B340" s="37">
        <f>VLOOKUP(A340,Data!$E:$BG,MATCH(Country!$A$1,Data!$E$1:$BG$1,),)</f>
        <v/>
      </c>
      <c r="C340" s="65">
        <f>IF(B328&gt;0,(Table2[[#This Row],[Country]]-B328)/B328,0)</f>
        <v/>
      </c>
      <c r="D340" s="65">
        <f>IF(Table2[[#This Row],[Country]]&gt;0,(((Table2[[#This Row],[Country]]-B339)/B339)+1)^12-1,"")</f>
        <v/>
      </c>
    </row>
    <row r="341">
      <c r="A341" s="36" t="n">
        <v>32478</v>
      </c>
      <c r="B341" s="37">
        <f>VLOOKUP(A341,Data!$E:$BG,MATCH(Country!$A$1,Data!$E$1:$BG$1,),)</f>
        <v/>
      </c>
      <c r="C341" s="65">
        <f>IF(B329&gt;0,(Table2[[#This Row],[Country]]-B329)/B329,0)</f>
        <v/>
      </c>
      <c r="D341" s="65">
        <f>IF(Table2[[#This Row],[Country]]&gt;0,(((Table2[[#This Row],[Country]]-B340)/B340)+1)^12-1,"")</f>
        <v/>
      </c>
    </row>
    <row r="342">
      <c r="A342" s="36" t="n">
        <v>32509</v>
      </c>
      <c r="B342" s="37">
        <f>VLOOKUP(A342,Data!$E:$BG,MATCH(Country!$A$1,Data!$E$1:$BG$1,),)</f>
        <v/>
      </c>
      <c r="C342" s="65">
        <f>IF(B330&gt;0,(Table2[[#This Row],[Country]]-B330)/B330,0)</f>
        <v/>
      </c>
      <c r="D342" s="65">
        <f>IF(Table2[[#This Row],[Country]]&gt;0,(((Table2[[#This Row],[Country]]-B341)/B341)+1)^12-1,"")</f>
        <v/>
      </c>
    </row>
    <row r="343">
      <c r="A343" s="36" t="n">
        <v>32540</v>
      </c>
      <c r="B343" s="37">
        <f>VLOOKUP(A343,Data!$E:$BG,MATCH(Country!$A$1,Data!$E$1:$BG$1,),)</f>
        <v/>
      </c>
      <c r="C343" s="65">
        <f>IF(B331&gt;0,(Table2[[#This Row],[Country]]-B331)/B331,0)</f>
        <v/>
      </c>
      <c r="D343" s="65">
        <f>IF(Table2[[#This Row],[Country]]&gt;0,(((Table2[[#This Row],[Country]]-B342)/B342)+1)^12-1,"")</f>
        <v/>
      </c>
    </row>
    <row r="344">
      <c r="A344" s="36" t="n">
        <v>32568</v>
      </c>
      <c r="B344" s="37">
        <f>VLOOKUP(A344,Data!$E:$BG,MATCH(Country!$A$1,Data!$E$1:$BG$1,),)</f>
        <v/>
      </c>
      <c r="C344" s="65">
        <f>IF(B332&gt;0,(Table2[[#This Row],[Country]]-B332)/B332,0)</f>
        <v/>
      </c>
      <c r="D344" s="65">
        <f>IF(Table2[[#This Row],[Country]]&gt;0,(((Table2[[#This Row],[Country]]-B343)/B343)+1)^12-1,"")</f>
        <v/>
      </c>
    </row>
    <row r="345">
      <c r="A345" s="36" t="n">
        <v>32599</v>
      </c>
      <c r="B345" s="37">
        <f>VLOOKUP(A345,Data!$E:$BG,MATCH(Country!$A$1,Data!$E$1:$BG$1,),)</f>
        <v/>
      </c>
      <c r="C345" s="65">
        <f>IF(B333&gt;0,(Table2[[#This Row],[Country]]-B333)/B333,0)</f>
        <v/>
      </c>
      <c r="D345" s="65">
        <f>IF(Table2[[#This Row],[Country]]&gt;0,(((Table2[[#This Row],[Country]]-B344)/B344)+1)^12-1,"")</f>
        <v/>
      </c>
    </row>
    <row r="346">
      <c r="A346" s="36" t="n">
        <v>32629</v>
      </c>
      <c r="B346" s="37">
        <f>VLOOKUP(A346,Data!$E:$BG,MATCH(Country!$A$1,Data!$E$1:$BG$1,),)</f>
        <v/>
      </c>
      <c r="C346" s="65">
        <f>IF(B334&gt;0,(Table2[[#This Row],[Country]]-B334)/B334,0)</f>
        <v/>
      </c>
      <c r="D346" s="65">
        <f>IF(Table2[[#This Row],[Country]]&gt;0,(((Table2[[#This Row],[Country]]-B345)/B345)+1)^12-1,"")</f>
        <v/>
      </c>
    </row>
    <row r="347">
      <c r="A347" s="36" t="n">
        <v>32660</v>
      </c>
      <c r="B347" s="37">
        <f>VLOOKUP(A347,Data!$E:$BG,MATCH(Country!$A$1,Data!$E$1:$BG$1,),)</f>
        <v/>
      </c>
      <c r="C347" s="65">
        <f>IF(B335&gt;0,(Table2[[#This Row],[Country]]-B335)/B335,0)</f>
        <v/>
      </c>
      <c r="D347" s="65">
        <f>IF(Table2[[#This Row],[Country]]&gt;0,(((Table2[[#This Row],[Country]]-B346)/B346)+1)^12-1,"")</f>
        <v/>
      </c>
    </row>
    <row r="348">
      <c r="A348" s="36" t="n">
        <v>32690</v>
      </c>
      <c r="B348" s="37">
        <f>VLOOKUP(A348,Data!$E:$BG,MATCH(Country!$A$1,Data!$E$1:$BG$1,),)</f>
        <v/>
      </c>
      <c r="C348" s="65">
        <f>IF(B336&gt;0,(Table2[[#This Row],[Country]]-B336)/B336,0)</f>
        <v/>
      </c>
      <c r="D348" s="65">
        <f>IF(Table2[[#This Row],[Country]]&gt;0,(((Table2[[#This Row],[Country]]-B347)/B347)+1)^12-1,"")</f>
        <v/>
      </c>
    </row>
    <row r="349">
      <c r="A349" s="36" t="n">
        <v>32721</v>
      </c>
      <c r="B349" s="37">
        <f>VLOOKUP(A349,Data!$E:$BG,MATCH(Country!$A$1,Data!$E$1:$BG$1,),)</f>
        <v/>
      </c>
      <c r="C349" s="65">
        <f>IF(B337&gt;0,(Table2[[#This Row],[Country]]-B337)/B337,0)</f>
        <v/>
      </c>
      <c r="D349" s="65">
        <f>IF(Table2[[#This Row],[Country]]&gt;0,(((Table2[[#This Row],[Country]]-B348)/B348)+1)^12-1,"")</f>
        <v/>
      </c>
    </row>
    <row r="350">
      <c r="A350" s="36" t="n">
        <v>32752</v>
      </c>
      <c r="B350" s="37">
        <f>VLOOKUP(A350,Data!$E:$BG,MATCH(Country!$A$1,Data!$E$1:$BG$1,),)</f>
        <v/>
      </c>
      <c r="C350" s="65">
        <f>IF(B338&gt;0,(Table2[[#This Row],[Country]]-B338)/B338,0)</f>
        <v/>
      </c>
      <c r="D350" s="65">
        <f>IF(Table2[[#This Row],[Country]]&gt;0,(((Table2[[#This Row],[Country]]-B349)/B349)+1)^12-1,"")</f>
        <v/>
      </c>
    </row>
    <row r="351">
      <c r="A351" s="36" t="n">
        <v>32782</v>
      </c>
      <c r="B351" s="37">
        <f>VLOOKUP(A351,Data!$E:$BG,MATCH(Country!$A$1,Data!$E$1:$BG$1,),)</f>
        <v/>
      </c>
      <c r="C351" s="65">
        <f>IF(B339&gt;0,(Table2[[#This Row],[Country]]-B339)/B339,0)</f>
        <v/>
      </c>
      <c r="D351" s="65">
        <f>IF(Table2[[#This Row],[Country]]&gt;0,(((Table2[[#This Row],[Country]]-B350)/B350)+1)^12-1,"")</f>
        <v/>
      </c>
    </row>
    <row r="352">
      <c r="A352" s="36" t="n">
        <v>32813</v>
      </c>
      <c r="B352" s="37">
        <f>VLOOKUP(A352,Data!$E:$BG,MATCH(Country!$A$1,Data!$E$1:$BG$1,),)</f>
        <v/>
      </c>
      <c r="C352" s="65">
        <f>IF(B340&gt;0,(Table2[[#This Row],[Country]]-B340)/B340,0)</f>
        <v/>
      </c>
      <c r="D352" s="65">
        <f>IF(Table2[[#This Row],[Country]]&gt;0,(((Table2[[#This Row],[Country]]-B351)/B351)+1)^12-1,"")</f>
        <v/>
      </c>
    </row>
    <row r="353">
      <c r="A353" s="36" t="n">
        <v>32843</v>
      </c>
      <c r="B353" s="37">
        <f>VLOOKUP(A353,Data!$E:$BG,MATCH(Country!$A$1,Data!$E$1:$BG$1,),)</f>
        <v/>
      </c>
      <c r="C353" s="65">
        <f>IF(B341&gt;0,(Table2[[#This Row],[Country]]-B341)/B341,0)</f>
        <v/>
      </c>
      <c r="D353" s="65">
        <f>IF(Table2[[#This Row],[Country]]&gt;0,(((Table2[[#This Row],[Country]]-B352)/B352)+1)^12-1,"")</f>
        <v/>
      </c>
    </row>
    <row r="354">
      <c r="A354" s="36" t="n">
        <v>32874</v>
      </c>
      <c r="B354" s="37">
        <f>VLOOKUP(A354,Data!$E:$BG,MATCH(Country!$A$1,Data!$E$1:$BG$1,),)</f>
        <v/>
      </c>
      <c r="C354" s="65">
        <f>IF(B342&gt;0,(Table2[[#This Row],[Country]]-B342)/B342,0)</f>
        <v/>
      </c>
      <c r="D354" s="65">
        <f>IF(Table2[[#This Row],[Country]]&gt;0,(((Table2[[#This Row],[Country]]-B353)/B353)+1)^12-1,"")</f>
        <v/>
      </c>
    </row>
    <row r="355">
      <c r="A355" s="36" t="n">
        <v>32905</v>
      </c>
      <c r="B355" s="37">
        <f>VLOOKUP(A355,Data!$E:$BG,MATCH(Country!$A$1,Data!$E$1:$BG$1,),)</f>
        <v/>
      </c>
      <c r="C355" s="65">
        <f>IF(B343&gt;0,(Table2[[#This Row],[Country]]-B343)/B343,0)</f>
        <v/>
      </c>
      <c r="D355" s="65">
        <f>IF(Table2[[#This Row],[Country]]&gt;0,(((Table2[[#This Row],[Country]]-B354)/B354)+1)^12-1,"")</f>
        <v/>
      </c>
    </row>
    <row r="356">
      <c r="A356" s="36" t="n">
        <v>32933</v>
      </c>
      <c r="B356" s="37">
        <f>VLOOKUP(A356,Data!$E:$BG,MATCH(Country!$A$1,Data!$E$1:$BG$1,),)</f>
        <v/>
      </c>
      <c r="C356" s="65">
        <f>IF(B344&gt;0,(Table2[[#This Row],[Country]]-B344)/B344,0)</f>
        <v/>
      </c>
      <c r="D356" s="65">
        <f>IF(Table2[[#This Row],[Country]]&gt;0,(((Table2[[#This Row],[Country]]-B355)/B355)+1)^12-1,"")</f>
        <v/>
      </c>
    </row>
    <row r="357">
      <c r="A357" s="36" t="n">
        <v>32964</v>
      </c>
      <c r="B357" s="37">
        <f>VLOOKUP(A357,Data!$E:$BG,MATCH(Country!$A$1,Data!$E$1:$BG$1,),)</f>
        <v/>
      </c>
      <c r="C357" s="65">
        <f>IF(B345&gt;0,(Table2[[#This Row],[Country]]-B345)/B345,0)</f>
        <v/>
      </c>
      <c r="D357" s="65">
        <f>IF(Table2[[#This Row],[Country]]&gt;0,(((Table2[[#This Row],[Country]]-B356)/B356)+1)^12-1,"")</f>
        <v/>
      </c>
    </row>
    <row r="358">
      <c r="A358" s="36" t="n">
        <v>32994</v>
      </c>
      <c r="B358" s="37">
        <f>VLOOKUP(A358,Data!$E:$BG,MATCH(Country!$A$1,Data!$E$1:$BG$1,),)</f>
        <v/>
      </c>
      <c r="C358" s="65">
        <f>IF(B346&gt;0,(Table2[[#This Row],[Country]]-B346)/B346,0)</f>
        <v/>
      </c>
      <c r="D358" s="65">
        <f>IF(Table2[[#This Row],[Country]]&gt;0,(((Table2[[#This Row],[Country]]-B357)/B357)+1)^12-1,"")</f>
        <v/>
      </c>
    </row>
    <row r="359">
      <c r="A359" s="36" t="n">
        <v>33025</v>
      </c>
      <c r="B359" s="37">
        <f>VLOOKUP(A359,Data!$E:$BG,MATCH(Country!$A$1,Data!$E$1:$BG$1,),)</f>
        <v/>
      </c>
      <c r="C359" s="65">
        <f>IF(B347&gt;0,(Table2[[#This Row],[Country]]-B347)/B347,0)</f>
        <v/>
      </c>
      <c r="D359" s="65">
        <f>IF(Table2[[#This Row],[Country]]&gt;0,(((Table2[[#This Row],[Country]]-B358)/B358)+1)^12-1,"")</f>
        <v/>
      </c>
    </row>
    <row r="360">
      <c r="A360" s="36" t="n">
        <v>33055</v>
      </c>
      <c r="B360" s="37">
        <f>VLOOKUP(A360,Data!$E:$BG,MATCH(Country!$A$1,Data!$E$1:$BG$1,),)</f>
        <v/>
      </c>
      <c r="C360" s="65">
        <f>IF(B348&gt;0,(Table2[[#This Row],[Country]]-B348)/B348,0)</f>
        <v/>
      </c>
      <c r="D360" s="65">
        <f>IF(Table2[[#This Row],[Country]]&gt;0,(((Table2[[#This Row],[Country]]-B359)/B359)+1)^12-1,"")</f>
        <v/>
      </c>
    </row>
    <row r="361">
      <c r="A361" s="36" t="n">
        <v>33086</v>
      </c>
      <c r="B361" s="37">
        <f>VLOOKUP(A361,Data!$E:$BG,MATCH(Country!$A$1,Data!$E$1:$BG$1,),)</f>
        <v/>
      </c>
      <c r="C361" s="65">
        <f>IF(B349&gt;0,(Table2[[#This Row],[Country]]-B349)/B349,0)</f>
        <v/>
      </c>
      <c r="D361" s="65">
        <f>IF(Table2[[#This Row],[Country]]&gt;0,(((Table2[[#This Row],[Country]]-B360)/B360)+1)^12-1,"")</f>
        <v/>
      </c>
    </row>
    <row r="362">
      <c r="A362" s="36" t="n">
        <v>33117</v>
      </c>
      <c r="B362" s="37">
        <f>VLOOKUP(A362,Data!$E:$BG,MATCH(Country!$A$1,Data!$E$1:$BG$1,),)</f>
        <v/>
      </c>
      <c r="C362" s="65">
        <f>IF(B350&gt;0,(Table2[[#This Row],[Country]]-B350)/B350,0)</f>
        <v/>
      </c>
      <c r="D362" s="65">
        <f>IF(Table2[[#This Row],[Country]]&gt;0,(((Table2[[#This Row],[Country]]-B361)/B361)+1)^12-1,"")</f>
        <v/>
      </c>
    </row>
    <row r="363">
      <c r="A363" s="36" t="n">
        <v>33147</v>
      </c>
      <c r="B363" s="37">
        <f>VLOOKUP(A363,Data!$E:$BG,MATCH(Country!$A$1,Data!$E$1:$BG$1,),)</f>
        <v/>
      </c>
      <c r="C363" s="65">
        <f>IF(B351&gt;0,(Table2[[#This Row],[Country]]-B351)/B351,0)</f>
        <v/>
      </c>
      <c r="D363" s="65">
        <f>IF(Table2[[#This Row],[Country]]&gt;0,(((Table2[[#This Row],[Country]]-B362)/B362)+1)^12-1,"")</f>
        <v/>
      </c>
    </row>
    <row r="364">
      <c r="A364" s="36" t="n">
        <v>33178</v>
      </c>
      <c r="B364" s="37">
        <f>VLOOKUP(A364,Data!$E:$BG,MATCH(Country!$A$1,Data!$E$1:$BG$1,),)</f>
        <v/>
      </c>
      <c r="C364" s="65">
        <f>IF(B352&gt;0,(Table2[[#This Row],[Country]]-B352)/B352,0)</f>
        <v/>
      </c>
      <c r="D364" s="65">
        <f>IF(Table2[[#This Row],[Country]]&gt;0,(((Table2[[#This Row],[Country]]-B363)/B363)+1)^12-1,"")</f>
        <v/>
      </c>
    </row>
    <row r="365">
      <c r="A365" s="36" t="n">
        <v>33208</v>
      </c>
      <c r="B365" s="37">
        <f>VLOOKUP(A365,Data!$E:$BG,MATCH(Country!$A$1,Data!$E$1:$BG$1,),)</f>
        <v/>
      </c>
      <c r="C365" s="65">
        <f>IF(B353&gt;0,(Table2[[#This Row],[Country]]-B353)/B353,0)</f>
        <v/>
      </c>
      <c r="D365" s="65">
        <f>IF(Table2[[#This Row],[Country]]&gt;0,(((Table2[[#This Row],[Country]]-B364)/B364)+1)^12-1,"")</f>
        <v/>
      </c>
    </row>
    <row r="366">
      <c r="A366" s="36" t="n">
        <v>33239</v>
      </c>
      <c r="B366" s="37">
        <f>VLOOKUP(A366,Data!$E:$BG,MATCH(Country!$A$1,Data!$E$1:$BG$1,),)</f>
        <v/>
      </c>
      <c r="C366" s="65">
        <f>IF(B354&gt;0,(Table2[[#This Row],[Country]]-B354)/B354,0)</f>
        <v/>
      </c>
      <c r="D366" s="65">
        <f>IF(Table2[[#This Row],[Country]]&gt;0,(((Table2[[#This Row],[Country]]-B365)/B365)+1)^12-1,"")</f>
        <v/>
      </c>
    </row>
    <row r="367">
      <c r="A367" s="36" t="n">
        <v>33270</v>
      </c>
      <c r="B367" s="37">
        <f>VLOOKUP(A367,Data!$E:$BG,MATCH(Country!$A$1,Data!$E$1:$BG$1,),)</f>
        <v/>
      </c>
      <c r="C367" s="65">
        <f>IF(B355&gt;0,(Table2[[#This Row],[Country]]-B355)/B355,0)</f>
        <v/>
      </c>
      <c r="D367" s="65">
        <f>IF(Table2[[#This Row],[Country]]&gt;0,(((Table2[[#This Row],[Country]]-B366)/B366)+1)^12-1,"")</f>
        <v/>
      </c>
    </row>
    <row r="368">
      <c r="A368" s="36" t="n">
        <v>33298</v>
      </c>
      <c r="B368" s="37">
        <f>VLOOKUP(A368,Data!$E:$BG,MATCH(Country!$A$1,Data!$E$1:$BG$1,),)</f>
        <v/>
      </c>
      <c r="C368" s="65">
        <f>IF(B356&gt;0,(Table2[[#This Row],[Country]]-B356)/B356,0)</f>
        <v/>
      </c>
      <c r="D368" s="65">
        <f>IF(Table2[[#This Row],[Country]]&gt;0,(((Table2[[#This Row],[Country]]-B367)/B367)+1)^12-1,"")</f>
        <v/>
      </c>
    </row>
    <row r="369">
      <c r="A369" s="36" t="n">
        <v>33329</v>
      </c>
      <c r="B369" s="37">
        <f>VLOOKUP(A369,Data!$E:$BG,MATCH(Country!$A$1,Data!$E$1:$BG$1,),)</f>
        <v/>
      </c>
      <c r="C369" s="65">
        <f>IF(B357&gt;0,(Table2[[#This Row],[Country]]-B357)/B357,0)</f>
        <v/>
      </c>
      <c r="D369" s="65">
        <f>IF(Table2[[#This Row],[Country]]&gt;0,(((Table2[[#This Row],[Country]]-B368)/B368)+1)^12-1,"")</f>
        <v/>
      </c>
    </row>
    <row r="370">
      <c r="A370" s="36" t="n">
        <v>33359</v>
      </c>
      <c r="B370" s="37">
        <f>VLOOKUP(A370,Data!$E:$BG,MATCH(Country!$A$1,Data!$E$1:$BG$1,),)</f>
        <v/>
      </c>
      <c r="C370" s="65">
        <f>IF(B358&gt;0,(Table2[[#This Row],[Country]]-B358)/B358,0)</f>
        <v/>
      </c>
      <c r="D370" s="65">
        <f>IF(Table2[[#This Row],[Country]]&gt;0,(((Table2[[#This Row],[Country]]-B369)/B369)+1)^12-1,"")</f>
        <v/>
      </c>
    </row>
    <row r="371">
      <c r="A371" s="36" t="n">
        <v>33390</v>
      </c>
      <c r="B371" s="37">
        <f>VLOOKUP(A371,Data!$E:$BG,MATCH(Country!$A$1,Data!$E$1:$BG$1,),)</f>
        <v/>
      </c>
      <c r="C371" s="65">
        <f>IF(B359&gt;0,(Table2[[#This Row],[Country]]-B359)/B359,0)</f>
        <v/>
      </c>
      <c r="D371" s="65">
        <f>IF(Table2[[#This Row],[Country]]&gt;0,(((Table2[[#This Row],[Country]]-B370)/B370)+1)^12-1,"")</f>
        <v/>
      </c>
    </row>
    <row r="372">
      <c r="A372" s="36" t="n">
        <v>33420</v>
      </c>
      <c r="B372" s="37">
        <f>VLOOKUP(A372,Data!$E:$BG,MATCH(Country!$A$1,Data!$E$1:$BG$1,),)</f>
        <v/>
      </c>
      <c r="C372" s="65">
        <f>IF(B360&gt;0,(Table2[[#This Row],[Country]]-B360)/B360,0)</f>
        <v/>
      </c>
      <c r="D372" s="65">
        <f>IF(Table2[[#This Row],[Country]]&gt;0,(((Table2[[#This Row],[Country]]-B371)/B371)+1)^12-1,"")</f>
        <v/>
      </c>
    </row>
    <row r="373">
      <c r="A373" s="36" t="n">
        <v>33451</v>
      </c>
      <c r="B373" s="37">
        <f>VLOOKUP(A373,Data!$E:$BG,MATCH(Country!$A$1,Data!$E$1:$BG$1,),)</f>
        <v/>
      </c>
      <c r="C373" s="65">
        <f>IF(B361&gt;0,(Table2[[#This Row],[Country]]-B361)/B361,0)</f>
        <v/>
      </c>
      <c r="D373" s="65">
        <f>IF(Table2[[#This Row],[Country]]&gt;0,(((Table2[[#This Row],[Country]]-B372)/B372)+1)^12-1,"")</f>
        <v/>
      </c>
    </row>
    <row r="374">
      <c r="A374" s="36" t="n">
        <v>33482</v>
      </c>
      <c r="B374" s="37">
        <f>VLOOKUP(A374,Data!$E:$BG,MATCH(Country!$A$1,Data!$E$1:$BG$1,),)</f>
        <v/>
      </c>
      <c r="C374" s="65">
        <f>IF(B362&gt;0,(Table2[[#This Row],[Country]]-B362)/B362,0)</f>
        <v/>
      </c>
      <c r="D374" s="65">
        <f>IF(Table2[[#This Row],[Country]]&gt;0,(((Table2[[#This Row],[Country]]-B373)/B373)+1)^12-1,"")</f>
        <v/>
      </c>
    </row>
    <row r="375">
      <c r="A375" s="36" t="n">
        <v>33512</v>
      </c>
      <c r="B375" s="37">
        <f>VLOOKUP(A375,Data!$E:$BG,MATCH(Country!$A$1,Data!$E$1:$BG$1,),)</f>
        <v/>
      </c>
      <c r="C375" s="65">
        <f>IF(B363&gt;0,(Table2[[#This Row],[Country]]-B363)/B363,0)</f>
        <v/>
      </c>
      <c r="D375" s="65">
        <f>IF(Table2[[#This Row],[Country]]&gt;0,(((Table2[[#This Row],[Country]]-B374)/B374)+1)^12-1,"")</f>
        <v/>
      </c>
    </row>
    <row r="376">
      <c r="A376" s="36" t="n">
        <v>33543</v>
      </c>
      <c r="B376" s="37">
        <f>VLOOKUP(A376,Data!$E:$BG,MATCH(Country!$A$1,Data!$E$1:$BG$1,),)</f>
        <v/>
      </c>
      <c r="C376" s="65">
        <f>IF(B364&gt;0,(Table2[[#This Row],[Country]]-B364)/B364,0)</f>
        <v/>
      </c>
      <c r="D376" s="65">
        <f>IF(Table2[[#This Row],[Country]]&gt;0,(((Table2[[#This Row],[Country]]-B375)/B375)+1)^12-1,"")</f>
        <v/>
      </c>
    </row>
    <row r="377">
      <c r="A377" s="36" t="n">
        <v>33573</v>
      </c>
      <c r="B377" s="37">
        <f>VLOOKUP(A377,Data!$E:$BG,MATCH(Country!$A$1,Data!$E$1:$BG$1,),)</f>
        <v/>
      </c>
      <c r="C377" s="65">
        <f>IF(B365&gt;0,(Table2[[#This Row],[Country]]-B365)/B365,0)</f>
        <v/>
      </c>
      <c r="D377" s="65">
        <f>IF(Table2[[#This Row],[Country]]&gt;0,(((Table2[[#This Row],[Country]]-B376)/B376)+1)^12-1,"")</f>
        <v/>
      </c>
    </row>
    <row r="378">
      <c r="A378" s="36" t="n">
        <v>33604</v>
      </c>
      <c r="B378" s="37">
        <f>VLOOKUP(A378,Data!$E:$BG,MATCH(Country!$A$1,Data!$E$1:$BG$1,),)</f>
        <v/>
      </c>
      <c r="C378" s="65">
        <f>IF(B366&gt;0,(Table2[[#This Row],[Country]]-B366)/B366,0)</f>
        <v/>
      </c>
      <c r="D378" s="65">
        <f>IF(Table2[[#This Row],[Country]]&gt;0,(((Table2[[#This Row],[Country]]-B377)/B377)+1)^12-1,"")</f>
        <v/>
      </c>
    </row>
    <row r="379">
      <c r="A379" s="36" t="n">
        <v>33635</v>
      </c>
      <c r="B379" s="37">
        <f>VLOOKUP(A379,Data!$E:$BG,MATCH(Country!$A$1,Data!$E$1:$BG$1,),)</f>
        <v/>
      </c>
      <c r="C379" s="65">
        <f>IF(B367&gt;0,(Table2[[#This Row],[Country]]-B367)/B367,0)</f>
        <v/>
      </c>
      <c r="D379" s="65">
        <f>IF(Table2[[#This Row],[Country]]&gt;0,(((Table2[[#This Row],[Country]]-B378)/B378)+1)^12-1,"")</f>
        <v/>
      </c>
    </row>
    <row r="380">
      <c r="A380" s="36" t="n">
        <v>33664</v>
      </c>
      <c r="B380" s="37">
        <f>VLOOKUP(A380,Data!$E:$BG,MATCH(Country!$A$1,Data!$E$1:$BG$1,),)</f>
        <v/>
      </c>
      <c r="C380" s="65">
        <f>IF(B368&gt;0,(Table2[[#This Row],[Country]]-B368)/B368,0)</f>
        <v/>
      </c>
      <c r="D380" s="65">
        <f>IF(Table2[[#This Row],[Country]]&gt;0,(((Table2[[#This Row],[Country]]-B379)/B379)+1)^12-1,"")</f>
        <v/>
      </c>
    </row>
    <row r="381">
      <c r="A381" s="36" t="n">
        <v>33695</v>
      </c>
      <c r="B381" s="37">
        <f>VLOOKUP(A381,Data!$E:$BG,MATCH(Country!$A$1,Data!$E$1:$BG$1,),)</f>
        <v/>
      </c>
      <c r="C381" s="65">
        <f>IF(B369&gt;0,(Table2[[#This Row],[Country]]-B369)/B369,0)</f>
        <v/>
      </c>
      <c r="D381" s="65">
        <f>IF(Table2[[#This Row],[Country]]&gt;0,(((Table2[[#This Row],[Country]]-B380)/B380)+1)^12-1,"")</f>
        <v/>
      </c>
    </row>
    <row r="382">
      <c r="A382" s="36" t="n">
        <v>33725</v>
      </c>
      <c r="B382" s="37">
        <f>VLOOKUP(A382,Data!$E:$BG,MATCH(Country!$A$1,Data!$E$1:$BG$1,),)</f>
        <v/>
      </c>
      <c r="C382" s="65">
        <f>IF(B370&gt;0,(Table2[[#This Row],[Country]]-B370)/B370,0)</f>
        <v/>
      </c>
      <c r="D382" s="65">
        <f>IF(Table2[[#This Row],[Country]]&gt;0,(((Table2[[#This Row],[Country]]-B381)/B381)+1)^12-1,"")</f>
        <v/>
      </c>
    </row>
    <row r="383">
      <c r="A383" s="36" t="n">
        <v>33756</v>
      </c>
      <c r="B383" s="37">
        <f>VLOOKUP(A383,Data!$E:$BG,MATCH(Country!$A$1,Data!$E$1:$BG$1,),)</f>
        <v/>
      </c>
      <c r="C383" s="65">
        <f>IF(B371&gt;0,(Table2[[#This Row],[Country]]-B371)/B371,0)</f>
        <v/>
      </c>
      <c r="D383" s="65">
        <f>IF(Table2[[#This Row],[Country]]&gt;0,(((Table2[[#This Row],[Country]]-B382)/B382)+1)^12-1,"")</f>
        <v/>
      </c>
    </row>
    <row r="384">
      <c r="A384" s="36" t="n">
        <v>33786</v>
      </c>
      <c r="B384" s="37">
        <f>VLOOKUP(A384,Data!$E:$BG,MATCH(Country!$A$1,Data!$E$1:$BG$1,),)</f>
        <v/>
      </c>
      <c r="C384" s="65">
        <f>IF(B372&gt;0,(Table2[[#This Row],[Country]]-B372)/B372,0)</f>
        <v/>
      </c>
      <c r="D384" s="65">
        <f>IF(Table2[[#This Row],[Country]]&gt;0,(((Table2[[#This Row],[Country]]-B383)/B383)+1)^12-1,"")</f>
        <v/>
      </c>
    </row>
    <row r="385">
      <c r="A385" s="36" t="n">
        <v>33817</v>
      </c>
      <c r="B385" s="37">
        <f>VLOOKUP(A385,Data!$E:$BG,MATCH(Country!$A$1,Data!$E$1:$BG$1,),)</f>
        <v/>
      </c>
      <c r="C385" s="65">
        <f>IF(B373&gt;0,(Table2[[#This Row],[Country]]-B373)/B373,0)</f>
        <v/>
      </c>
      <c r="D385" s="65">
        <f>IF(Table2[[#This Row],[Country]]&gt;0,(((Table2[[#This Row],[Country]]-B384)/B384)+1)^12-1,"")</f>
        <v/>
      </c>
    </row>
    <row r="386">
      <c r="A386" s="36" t="n">
        <v>33848</v>
      </c>
      <c r="B386" s="37">
        <f>VLOOKUP(A386,Data!$E:$BG,MATCH(Country!$A$1,Data!$E$1:$BG$1,),)</f>
        <v/>
      </c>
      <c r="C386" s="65">
        <f>IF(B374&gt;0,(Table2[[#This Row],[Country]]-B374)/B374,0)</f>
        <v/>
      </c>
      <c r="D386" s="65">
        <f>IF(Table2[[#This Row],[Country]]&gt;0,(((Table2[[#This Row],[Country]]-B385)/B385)+1)^12-1,"")</f>
        <v/>
      </c>
    </row>
    <row r="387">
      <c r="A387" s="36" t="n">
        <v>33878</v>
      </c>
      <c r="B387" s="37">
        <f>VLOOKUP(A387,Data!$E:$BG,MATCH(Country!$A$1,Data!$E$1:$BG$1,),)</f>
        <v/>
      </c>
      <c r="C387" s="65">
        <f>IF(B375&gt;0,(Table2[[#This Row],[Country]]-B375)/B375,0)</f>
        <v/>
      </c>
      <c r="D387" s="65">
        <f>IF(Table2[[#This Row],[Country]]&gt;0,(((Table2[[#This Row],[Country]]-B386)/B386)+1)^12-1,"")</f>
        <v/>
      </c>
    </row>
    <row r="388">
      <c r="A388" s="36" t="n">
        <v>33909</v>
      </c>
      <c r="B388" s="37">
        <f>VLOOKUP(A388,Data!$E:$BG,MATCH(Country!$A$1,Data!$E$1:$BG$1,),)</f>
        <v/>
      </c>
      <c r="C388" s="65">
        <f>IF(B376&gt;0,(Table2[[#This Row],[Country]]-B376)/B376,0)</f>
        <v/>
      </c>
      <c r="D388" s="65">
        <f>IF(Table2[[#This Row],[Country]]&gt;0,(((Table2[[#This Row],[Country]]-B387)/B387)+1)^12-1,"")</f>
        <v/>
      </c>
    </row>
    <row r="389">
      <c r="A389" s="36" t="n">
        <v>33939</v>
      </c>
      <c r="B389" s="37">
        <f>VLOOKUP(A389,Data!$E:$BG,MATCH(Country!$A$1,Data!$E$1:$BG$1,),)</f>
        <v/>
      </c>
      <c r="C389" s="65">
        <f>IF(B377&gt;0,(Table2[[#This Row],[Country]]-B377)/B377,0)</f>
        <v/>
      </c>
      <c r="D389" s="65">
        <f>IF(Table2[[#This Row],[Country]]&gt;0,(((Table2[[#This Row],[Country]]-B388)/B388)+1)^12-1,"")</f>
        <v/>
      </c>
    </row>
    <row r="390">
      <c r="A390" s="36" t="n">
        <v>33970</v>
      </c>
      <c r="B390" s="37">
        <f>VLOOKUP(A390,Data!$E:$BG,MATCH(Country!$A$1,Data!$E$1:$BG$1,),)</f>
        <v/>
      </c>
      <c r="C390" s="65">
        <f>IF(B378&gt;0,(Table2[[#This Row],[Country]]-B378)/B378,0)</f>
        <v/>
      </c>
      <c r="D390" s="65">
        <f>IF(Table2[[#This Row],[Country]]&gt;0,(((Table2[[#This Row],[Country]]-B389)/B389)+1)^12-1,"")</f>
        <v/>
      </c>
    </row>
    <row r="391">
      <c r="A391" s="36" t="n">
        <v>34001</v>
      </c>
      <c r="B391" s="37">
        <f>VLOOKUP(A391,Data!$E:$BG,MATCH(Country!$A$1,Data!$E$1:$BG$1,),)</f>
        <v/>
      </c>
      <c r="C391" s="65">
        <f>IF(B379&gt;0,(Table2[[#This Row],[Country]]-B379)/B379,0)</f>
        <v/>
      </c>
      <c r="D391" s="65">
        <f>IF(Table2[[#This Row],[Country]]&gt;0,(((Table2[[#This Row],[Country]]-B390)/B390)+1)^12-1,"")</f>
        <v/>
      </c>
    </row>
    <row r="392">
      <c r="A392" s="36" t="n">
        <v>34029</v>
      </c>
      <c r="B392" s="37">
        <f>VLOOKUP(A392,Data!$E:$BG,MATCH(Country!$A$1,Data!$E$1:$BG$1,),)</f>
        <v/>
      </c>
      <c r="C392" s="65">
        <f>IF(B380&gt;0,(Table2[[#This Row],[Country]]-B380)/B380,0)</f>
        <v/>
      </c>
      <c r="D392" s="65">
        <f>IF(Table2[[#This Row],[Country]]&gt;0,(((Table2[[#This Row],[Country]]-B391)/B391)+1)^12-1,"")</f>
        <v/>
      </c>
    </row>
    <row r="393">
      <c r="A393" s="36" t="n">
        <v>34060</v>
      </c>
      <c r="B393" s="37">
        <f>VLOOKUP(A393,Data!$E:$BG,MATCH(Country!$A$1,Data!$E$1:$BG$1,),)</f>
        <v/>
      </c>
      <c r="C393" s="65">
        <f>IF(B381&gt;0,(Table2[[#This Row],[Country]]-B381)/B381,0)</f>
        <v/>
      </c>
      <c r="D393" s="65">
        <f>IF(Table2[[#This Row],[Country]]&gt;0,(((Table2[[#This Row],[Country]]-B392)/B392)+1)^12-1,"")</f>
        <v/>
      </c>
    </row>
    <row r="394">
      <c r="A394" s="36" t="n">
        <v>34090</v>
      </c>
      <c r="B394" s="37">
        <f>VLOOKUP(A394,Data!$E:$BG,MATCH(Country!$A$1,Data!$E$1:$BG$1,),)</f>
        <v/>
      </c>
      <c r="C394" s="65">
        <f>IF(B382&gt;0,(Table2[[#This Row],[Country]]-B382)/B382,0)</f>
        <v/>
      </c>
      <c r="D394" s="65">
        <f>IF(Table2[[#This Row],[Country]]&gt;0,(((Table2[[#This Row],[Country]]-B393)/B393)+1)^12-1,"")</f>
        <v/>
      </c>
    </row>
    <row r="395">
      <c r="A395" s="36" t="n">
        <v>34121</v>
      </c>
      <c r="B395" s="37">
        <f>VLOOKUP(A395,Data!$E:$BG,MATCH(Country!$A$1,Data!$E$1:$BG$1,),)</f>
        <v/>
      </c>
      <c r="C395" s="65">
        <f>IF(B383&gt;0,(Table2[[#This Row],[Country]]-B383)/B383,0)</f>
        <v/>
      </c>
      <c r="D395" s="65">
        <f>IF(Table2[[#This Row],[Country]]&gt;0,(((Table2[[#This Row],[Country]]-B394)/B394)+1)^12-1,"")</f>
        <v/>
      </c>
    </row>
    <row r="396">
      <c r="A396" s="36" t="n">
        <v>34151</v>
      </c>
      <c r="B396" s="37">
        <f>VLOOKUP(A396,Data!$E:$BG,MATCH(Country!$A$1,Data!$E$1:$BG$1,),)</f>
        <v/>
      </c>
      <c r="C396" s="65">
        <f>IF(B384&gt;0,(Table2[[#This Row],[Country]]-B384)/B384,0)</f>
        <v/>
      </c>
      <c r="D396" s="65">
        <f>IF(Table2[[#This Row],[Country]]&gt;0,(((Table2[[#This Row],[Country]]-B395)/B395)+1)^12-1,"")</f>
        <v/>
      </c>
    </row>
    <row r="397">
      <c r="A397" s="36" t="n">
        <v>34182</v>
      </c>
      <c r="B397" s="37">
        <f>VLOOKUP(A397,Data!$E:$BG,MATCH(Country!$A$1,Data!$E$1:$BG$1,),)</f>
        <v/>
      </c>
      <c r="C397" s="65">
        <f>IF(B385&gt;0,(Table2[[#This Row],[Country]]-B385)/B385,0)</f>
        <v/>
      </c>
      <c r="D397" s="65">
        <f>IF(Table2[[#This Row],[Country]]&gt;0,(((Table2[[#This Row],[Country]]-B396)/B396)+1)^12-1,"")</f>
        <v/>
      </c>
    </row>
    <row r="398">
      <c r="A398" s="36" t="n">
        <v>34213</v>
      </c>
      <c r="B398" s="37">
        <f>VLOOKUP(A398,Data!$E:$BG,MATCH(Country!$A$1,Data!$E$1:$BG$1,),)</f>
        <v/>
      </c>
      <c r="C398" s="65">
        <f>IF(B386&gt;0,(Table2[[#This Row],[Country]]-B386)/B386,0)</f>
        <v/>
      </c>
      <c r="D398" s="65">
        <f>IF(Table2[[#This Row],[Country]]&gt;0,(((Table2[[#This Row],[Country]]-B397)/B397)+1)^12-1,"")</f>
        <v/>
      </c>
    </row>
    <row r="399">
      <c r="A399" s="36" t="n">
        <v>34243</v>
      </c>
      <c r="B399" s="37">
        <f>VLOOKUP(A399,Data!$E:$BG,MATCH(Country!$A$1,Data!$E$1:$BG$1,),)</f>
        <v/>
      </c>
      <c r="C399" s="65">
        <f>IF(B387&gt;0,(Table2[[#This Row],[Country]]-B387)/B387,0)</f>
        <v/>
      </c>
      <c r="D399" s="65">
        <f>IF(Table2[[#This Row],[Country]]&gt;0,(((Table2[[#This Row],[Country]]-B398)/B398)+1)^12-1,"")</f>
        <v/>
      </c>
    </row>
    <row r="400">
      <c r="A400" s="36" t="n">
        <v>34274</v>
      </c>
      <c r="B400" s="37">
        <f>VLOOKUP(A400,Data!$E:$BG,MATCH(Country!$A$1,Data!$E$1:$BG$1,),)</f>
        <v/>
      </c>
      <c r="C400" s="65">
        <f>IF(B388&gt;0,(Table2[[#This Row],[Country]]-B388)/B388,0)</f>
        <v/>
      </c>
      <c r="D400" s="65">
        <f>IF(Table2[[#This Row],[Country]]&gt;0,(((Table2[[#This Row],[Country]]-B399)/B399)+1)^12-1,"")</f>
        <v/>
      </c>
    </row>
    <row r="401">
      <c r="A401" s="36" t="n">
        <v>34304</v>
      </c>
      <c r="B401" s="37">
        <f>VLOOKUP(A401,Data!$E:$BG,MATCH(Country!$A$1,Data!$E$1:$BG$1,),)</f>
        <v/>
      </c>
      <c r="C401" s="65">
        <f>IF(B389&gt;0,(Table2[[#This Row],[Country]]-B389)/B389,0)</f>
        <v/>
      </c>
      <c r="D401" s="65">
        <f>IF(Table2[[#This Row],[Country]]&gt;0,(((Table2[[#This Row],[Country]]-B400)/B400)+1)^12-1,"")</f>
        <v/>
      </c>
    </row>
    <row r="402">
      <c r="A402" s="36" t="n">
        <v>34335</v>
      </c>
      <c r="B402" s="37">
        <f>VLOOKUP(A402,Data!$E:$BG,MATCH(Country!$A$1,Data!$E$1:$BG$1,),)</f>
        <v/>
      </c>
      <c r="C402" s="65">
        <f>IF(B390&gt;0,(Table2[[#This Row],[Country]]-B390)/B390,0)</f>
        <v/>
      </c>
      <c r="D402" s="65">
        <f>IF(Table2[[#This Row],[Country]]&gt;0,(((Table2[[#This Row],[Country]]-B401)/B401)+1)^12-1,"")</f>
        <v/>
      </c>
    </row>
    <row r="403">
      <c r="A403" s="36" t="n">
        <v>34366</v>
      </c>
      <c r="B403" s="37">
        <f>VLOOKUP(A403,Data!$E:$BG,MATCH(Country!$A$1,Data!$E$1:$BG$1,),)</f>
        <v/>
      </c>
      <c r="C403" s="65">
        <f>IF(B391&gt;0,(Table2[[#This Row],[Country]]-B391)/B391,0)</f>
        <v/>
      </c>
      <c r="D403" s="65">
        <f>IF(Table2[[#This Row],[Country]]&gt;0,(((Table2[[#This Row],[Country]]-B402)/B402)+1)^12-1,"")</f>
        <v/>
      </c>
    </row>
    <row r="404">
      <c r="A404" s="36" t="n">
        <v>34394</v>
      </c>
      <c r="B404" s="37">
        <f>VLOOKUP(A404,Data!$E:$BG,MATCH(Country!$A$1,Data!$E$1:$BG$1,),)</f>
        <v/>
      </c>
      <c r="C404" s="65">
        <f>IF(B392&gt;0,(Table2[[#This Row],[Country]]-B392)/B392,0)</f>
        <v/>
      </c>
      <c r="D404" s="65">
        <f>IF(Table2[[#This Row],[Country]]&gt;0,(((Table2[[#This Row],[Country]]-B403)/B403)+1)^12-1,"")</f>
        <v/>
      </c>
    </row>
    <row r="405">
      <c r="A405" s="36" t="n">
        <v>34425</v>
      </c>
      <c r="B405" s="37">
        <f>VLOOKUP(A405,Data!$E:$BG,MATCH(Country!$A$1,Data!$E$1:$BG$1,),)</f>
        <v/>
      </c>
      <c r="C405" s="65">
        <f>IF(B393&gt;0,(Table2[[#This Row],[Country]]-B393)/B393,0)</f>
        <v/>
      </c>
      <c r="D405" s="65">
        <f>IF(Table2[[#This Row],[Country]]&gt;0,(((Table2[[#This Row],[Country]]-B404)/B404)+1)^12-1,"")</f>
        <v/>
      </c>
    </row>
    <row r="406">
      <c r="A406" s="36" t="n">
        <v>34455</v>
      </c>
      <c r="B406" s="37">
        <f>VLOOKUP(A406,Data!$E:$BG,MATCH(Country!$A$1,Data!$E$1:$BG$1,),)</f>
        <v/>
      </c>
      <c r="C406" s="65">
        <f>IF(B394&gt;0,(Table2[[#This Row],[Country]]-B394)/B394,0)</f>
        <v/>
      </c>
      <c r="D406" s="65">
        <f>IF(Table2[[#This Row],[Country]]&gt;0,(((Table2[[#This Row],[Country]]-B405)/B405)+1)^12-1,"")</f>
        <v/>
      </c>
    </row>
    <row r="407">
      <c r="A407" s="36" t="n">
        <v>34486</v>
      </c>
      <c r="B407" s="37">
        <f>VLOOKUP(A407,Data!$E:$BG,MATCH(Country!$A$1,Data!$E$1:$BG$1,),)</f>
        <v/>
      </c>
      <c r="C407" s="65">
        <f>IF(B395&gt;0,(Table2[[#This Row],[Country]]-B395)/B395,0)</f>
        <v/>
      </c>
      <c r="D407" s="65">
        <f>IF(Table2[[#This Row],[Country]]&gt;0,(((Table2[[#This Row],[Country]]-B406)/B406)+1)^12-1,"")</f>
        <v/>
      </c>
    </row>
    <row r="408">
      <c r="A408" s="36" t="n">
        <v>34516</v>
      </c>
      <c r="B408" s="37">
        <f>VLOOKUP(A408,Data!$E:$BG,MATCH(Country!$A$1,Data!$E$1:$BG$1,),)</f>
        <v/>
      </c>
      <c r="C408" s="65">
        <f>IF(B396&gt;0,(Table2[[#This Row],[Country]]-B396)/B396,0)</f>
        <v/>
      </c>
      <c r="D408" s="65">
        <f>IF(Table2[[#This Row],[Country]]&gt;0,(((Table2[[#This Row],[Country]]-B407)/B407)+1)^12-1,"")</f>
        <v/>
      </c>
    </row>
    <row r="409">
      <c r="A409" s="36" t="n">
        <v>34547</v>
      </c>
      <c r="B409" s="37">
        <f>VLOOKUP(A409,Data!$E:$BG,MATCH(Country!$A$1,Data!$E$1:$BG$1,),)</f>
        <v/>
      </c>
      <c r="C409" s="65">
        <f>IF(B397&gt;0,(Table2[[#This Row],[Country]]-B397)/B397,0)</f>
        <v/>
      </c>
      <c r="D409" s="65">
        <f>IF(Table2[[#This Row],[Country]]&gt;0,(((Table2[[#This Row],[Country]]-B408)/B408)+1)^12-1,"")</f>
        <v/>
      </c>
    </row>
    <row r="410">
      <c r="A410" s="36" t="n">
        <v>34578</v>
      </c>
      <c r="B410" s="37">
        <f>VLOOKUP(A410,Data!$E:$BG,MATCH(Country!$A$1,Data!$E$1:$BG$1,),)</f>
        <v/>
      </c>
      <c r="C410" s="65">
        <f>IF(B398&gt;0,(Table2[[#This Row],[Country]]-B398)/B398,0)</f>
        <v/>
      </c>
      <c r="D410" s="65">
        <f>IF(Table2[[#This Row],[Country]]&gt;0,(((Table2[[#This Row],[Country]]-B409)/B409)+1)^12-1,"")</f>
        <v/>
      </c>
    </row>
    <row r="411">
      <c r="A411" s="36" t="n">
        <v>34608</v>
      </c>
      <c r="B411" s="37">
        <f>VLOOKUP(A411,Data!$E:$BG,MATCH(Country!$A$1,Data!$E$1:$BG$1,),)</f>
        <v/>
      </c>
      <c r="C411" s="65">
        <f>IF(B399&gt;0,(Table2[[#This Row],[Country]]-B399)/B399,0)</f>
        <v/>
      </c>
      <c r="D411" s="65">
        <f>IF(Table2[[#This Row],[Country]]&gt;0,(((Table2[[#This Row],[Country]]-B410)/B410)+1)^12-1,"")</f>
        <v/>
      </c>
    </row>
    <row r="412">
      <c r="A412" s="36" t="n">
        <v>34639</v>
      </c>
      <c r="B412" s="37">
        <f>VLOOKUP(A412,Data!$E:$BG,MATCH(Country!$A$1,Data!$E$1:$BG$1,),)</f>
        <v/>
      </c>
      <c r="C412" s="65">
        <f>IF(B400&gt;0,(Table2[[#This Row],[Country]]-B400)/B400,0)</f>
        <v/>
      </c>
      <c r="D412" s="65">
        <f>IF(Table2[[#This Row],[Country]]&gt;0,(((Table2[[#This Row],[Country]]-B411)/B411)+1)^12-1,"")</f>
        <v/>
      </c>
    </row>
    <row r="413">
      <c r="A413" s="36" t="n">
        <v>34669</v>
      </c>
      <c r="B413" s="37">
        <f>VLOOKUP(A413,Data!$E:$BG,MATCH(Country!$A$1,Data!$E$1:$BG$1,),)</f>
        <v/>
      </c>
      <c r="C413" s="65">
        <f>IF(B401&gt;0,(Table2[[#This Row],[Country]]-B401)/B401,0)</f>
        <v/>
      </c>
      <c r="D413" s="65">
        <f>IF(Table2[[#This Row],[Country]]&gt;0,(((Table2[[#This Row],[Country]]-B412)/B412)+1)^12-1,"")</f>
        <v/>
      </c>
    </row>
    <row r="414">
      <c r="A414" s="36" t="n">
        <v>34700</v>
      </c>
      <c r="B414" s="37">
        <f>VLOOKUP(A414,Data!$E:$BG,MATCH(Country!$A$1,Data!$E$1:$BG$1,),)</f>
        <v/>
      </c>
      <c r="C414" s="65">
        <f>IF(B402&gt;0,(Table2[[#This Row],[Country]]-B402)/B402,0)</f>
        <v/>
      </c>
      <c r="D414" s="65">
        <f>IF(Table2[[#This Row],[Country]]&gt;0,(((Table2[[#This Row],[Country]]-B413)/B413)+1)^12-1,"")</f>
        <v/>
      </c>
    </row>
    <row r="415">
      <c r="A415" s="36" t="n">
        <v>34731</v>
      </c>
      <c r="B415" s="37">
        <f>VLOOKUP(A415,Data!$E:$BG,MATCH(Country!$A$1,Data!$E$1:$BG$1,),)</f>
        <v/>
      </c>
      <c r="C415" s="65">
        <f>IF(B403&gt;0,(Table2[[#This Row],[Country]]-B403)/B403,0)</f>
        <v/>
      </c>
      <c r="D415" s="65">
        <f>IF(Table2[[#This Row],[Country]]&gt;0,(((Table2[[#This Row],[Country]]-B414)/B414)+1)^12-1,"")</f>
        <v/>
      </c>
    </row>
    <row r="416">
      <c r="A416" s="36" t="n">
        <v>34759</v>
      </c>
      <c r="B416" s="37">
        <f>VLOOKUP(A416,Data!$E:$BG,MATCH(Country!$A$1,Data!$E$1:$BG$1,),)</f>
        <v/>
      </c>
      <c r="C416" s="65">
        <f>IF(B404&gt;0,(Table2[[#This Row],[Country]]-B404)/B404,0)</f>
        <v/>
      </c>
      <c r="D416" s="65">
        <f>IF(Table2[[#This Row],[Country]]&gt;0,(((Table2[[#This Row],[Country]]-B415)/B415)+1)^12-1,"")</f>
        <v/>
      </c>
    </row>
    <row r="417">
      <c r="A417" s="36" t="n">
        <v>34790</v>
      </c>
      <c r="B417" s="37">
        <f>VLOOKUP(A417,Data!$E:$BG,MATCH(Country!$A$1,Data!$E$1:$BG$1,),)</f>
        <v/>
      </c>
      <c r="C417" s="65">
        <f>IF(B405&gt;0,(Table2[[#This Row],[Country]]-B405)/B405,0)</f>
        <v/>
      </c>
      <c r="D417" s="65">
        <f>IF(Table2[[#This Row],[Country]]&gt;0,(((Table2[[#This Row],[Country]]-B416)/B416)+1)^12-1,"")</f>
        <v/>
      </c>
    </row>
    <row r="418">
      <c r="A418" s="36" t="n">
        <v>34820</v>
      </c>
      <c r="B418" s="37">
        <f>VLOOKUP(A418,Data!$E:$BG,MATCH(Country!$A$1,Data!$E$1:$BG$1,),)</f>
        <v/>
      </c>
      <c r="C418" s="65">
        <f>IF(B406&gt;0,(Table2[[#This Row],[Country]]-B406)/B406,0)</f>
        <v/>
      </c>
      <c r="D418" s="65">
        <f>IF(Table2[[#This Row],[Country]]&gt;0,(((Table2[[#This Row],[Country]]-B417)/B417)+1)^12-1,"")</f>
        <v/>
      </c>
    </row>
    <row r="419">
      <c r="A419" s="36" t="n">
        <v>34851</v>
      </c>
      <c r="B419" s="37">
        <f>VLOOKUP(A419,Data!$E:$BG,MATCH(Country!$A$1,Data!$E$1:$BG$1,),)</f>
        <v/>
      </c>
      <c r="C419" s="65">
        <f>IF(B407&gt;0,(Table2[[#This Row],[Country]]-B407)/B407,0)</f>
        <v/>
      </c>
      <c r="D419" s="65">
        <f>IF(Table2[[#This Row],[Country]]&gt;0,(((Table2[[#This Row],[Country]]-B418)/B418)+1)^12-1,"")</f>
        <v/>
      </c>
    </row>
    <row r="420">
      <c r="A420" s="36" t="n">
        <v>34881</v>
      </c>
      <c r="B420" s="37">
        <f>VLOOKUP(A420,Data!$E:$BG,MATCH(Country!$A$1,Data!$E$1:$BG$1,),)</f>
        <v/>
      </c>
      <c r="C420" s="65">
        <f>IF(B408&gt;0,(Table2[[#This Row],[Country]]-B408)/B408,0)</f>
        <v/>
      </c>
      <c r="D420" s="65">
        <f>IF(Table2[[#This Row],[Country]]&gt;0,(((Table2[[#This Row],[Country]]-B419)/B419)+1)^12-1,"")</f>
        <v/>
      </c>
    </row>
    <row r="421">
      <c r="A421" s="36" t="n">
        <v>34912</v>
      </c>
      <c r="B421" s="37">
        <f>VLOOKUP(A421,Data!$E:$BG,MATCH(Country!$A$1,Data!$E$1:$BG$1,),)</f>
        <v/>
      </c>
      <c r="C421" s="65">
        <f>IF(B409&gt;0,(Table2[[#This Row],[Country]]-B409)/B409,0)</f>
        <v/>
      </c>
      <c r="D421" s="65">
        <f>IF(Table2[[#This Row],[Country]]&gt;0,(((Table2[[#This Row],[Country]]-B420)/B420)+1)^12-1,"")</f>
        <v/>
      </c>
    </row>
    <row r="422">
      <c r="A422" s="36" t="n">
        <v>34943</v>
      </c>
      <c r="B422" s="37">
        <f>VLOOKUP(A422,Data!$E:$BG,MATCH(Country!$A$1,Data!$E$1:$BG$1,),)</f>
        <v/>
      </c>
      <c r="C422" s="65">
        <f>IF(B410&gt;0,(Table2[[#This Row],[Country]]-B410)/B410,0)</f>
        <v/>
      </c>
      <c r="D422" s="65">
        <f>IF(Table2[[#This Row],[Country]]&gt;0,(((Table2[[#This Row],[Country]]-B421)/B421)+1)^12-1,"")</f>
        <v/>
      </c>
    </row>
    <row r="423">
      <c r="A423" s="36" t="n">
        <v>34973</v>
      </c>
      <c r="B423" s="37">
        <f>VLOOKUP(A423,Data!$E:$BG,MATCH(Country!$A$1,Data!$E$1:$BG$1,),)</f>
        <v/>
      </c>
      <c r="C423" s="65">
        <f>IF(B411&gt;0,(Table2[[#This Row],[Country]]-B411)/B411,0)</f>
        <v/>
      </c>
      <c r="D423" s="65">
        <f>IF(Table2[[#This Row],[Country]]&gt;0,(((Table2[[#This Row],[Country]]-B422)/B422)+1)^12-1,"")</f>
        <v/>
      </c>
    </row>
    <row r="424">
      <c r="A424" s="36" t="n">
        <v>35004</v>
      </c>
      <c r="B424" s="37">
        <f>VLOOKUP(A424,Data!$E:$BG,MATCH(Country!$A$1,Data!$E$1:$BG$1,),)</f>
        <v/>
      </c>
      <c r="C424" s="65">
        <f>IF(B412&gt;0,(Table2[[#This Row],[Country]]-B412)/B412,0)</f>
        <v/>
      </c>
      <c r="D424" s="65">
        <f>IF(Table2[[#This Row],[Country]]&gt;0,(((Table2[[#This Row],[Country]]-B423)/B423)+1)^12-1,"")</f>
        <v/>
      </c>
    </row>
    <row r="425">
      <c r="A425" s="36" t="n">
        <v>35034</v>
      </c>
      <c r="B425" s="37">
        <f>VLOOKUP(A425,Data!$E:$BG,MATCH(Country!$A$1,Data!$E$1:$BG$1,),)</f>
        <v/>
      </c>
      <c r="C425" s="65">
        <f>IF(B413&gt;0,(Table2[[#This Row],[Country]]-B413)/B413,0)</f>
        <v/>
      </c>
      <c r="D425" s="65">
        <f>IF(Table2[[#This Row],[Country]]&gt;0,(((Table2[[#This Row],[Country]]-B424)/B424)+1)^12-1,"")</f>
        <v/>
      </c>
    </row>
    <row r="426">
      <c r="A426" s="36" t="n">
        <v>35065</v>
      </c>
      <c r="B426" s="37">
        <f>VLOOKUP(A426,Data!$E:$BG,MATCH(Country!$A$1,Data!$E$1:$BG$1,),)</f>
        <v/>
      </c>
      <c r="C426" s="65">
        <f>IF(B414&gt;0,(Table2[[#This Row],[Country]]-B414)/B414,0)</f>
        <v/>
      </c>
      <c r="D426" s="65">
        <f>IF(Table2[[#This Row],[Country]]&gt;0,(((Table2[[#This Row],[Country]]-B425)/B425)+1)^12-1,"")</f>
        <v/>
      </c>
    </row>
    <row r="427">
      <c r="A427" s="36" t="n">
        <v>35096</v>
      </c>
      <c r="B427" s="37">
        <f>VLOOKUP(A427,Data!$E:$BG,MATCH(Country!$A$1,Data!$E$1:$BG$1,),)</f>
        <v/>
      </c>
      <c r="C427" s="65">
        <f>IF(B415&gt;0,(Table2[[#This Row],[Country]]-B415)/B415,0)</f>
        <v/>
      </c>
      <c r="D427" s="65">
        <f>IF(Table2[[#This Row],[Country]]&gt;0,(((Table2[[#This Row],[Country]]-B426)/B426)+1)^12-1,"")</f>
        <v/>
      </c>
    </row>
    <row r="428">
      <c r="A428" s="36" t="n">
        <v>35125</v>
      </c>
      <c r="B428" s="37">
        <f>VLOOKUP(A428,Data!$E:$BG,MATCH(Country!$A$1,Data!$E$1:$BG$1,),)</f>
        <v/>
      </c>
      <c r="C428" s="65">
        <f>IF(B416&gt;0,(Table2[[#This Row],[Country]]-B416)/B416,0)</f>
        <v/>
      </c>
      <c r="D428" s="65">
        <f>IF(Table2[[#This Row],[Country]]&gt;0,(((Table2[[#This Row],[Country]]-B427)/B427)+1)^12-1,"")</f>
        <v/>
      </c>
    </row>
    <row r="429">
      <c r="A429" s="36" t="n">
        <v>35156</v>
      </c>
      <c r="B429" s="37">
        <f>VLOOKUP(A429,Data!$E:$BG,MATCH(Country!$A$1,Data!$E$1:$BG$1,),)</f>
        <v/>
      </c>
      <c r="C429" s="65">
        <f>IF(B417&gt;0,(Table2[[#This Row],[Country]]-B417)/B417,0)</f>
        <v/>
      </c>
      <c r="D429" s="65">
        <f>IF(Table2[[#This Row],[Country]]&gt;0,(((Table2[[#This Row],[Country]]-B428)/B428)+1)^12-1,"")</f>
        <v/>
      </c>
    </row>
    <row r="430">
      <c r="A430" s="36" t="n">
        <v>35186</v>
      </c>
      <c r="B430" s="37">
        <f>VLOOKUP(A430,Data!$E:$BG,MATCH(Country!$A$1,Data!$E$1:$BG$1,),)</f>
        <v/>
      </c>
      <c r="C430" s="65">
        <f>IF(B418&gt;0,(Table2[[#This Row],[Country]]-B418)/B418,0)</f>
        <v/>
      </c>
      <c r="D430" s="65">
        <f>IF(Table2[[#This Row],[Country]]&gt;0,(((Table2[[#This Row],[Country]]-B429)/B429)+1)^12-1,"")</f>
        <v/>
      </c>
    </row>
    <row r="431">
      <c r="A431" s="36" t="n">
        <v>35217</v>
      </c>
      <c r="B431" s="37">
        <f>VLOOKUP(A431,Data!$E:$BG,MATCH(Country!$A$1,Data!$E$1:$BG$1,),)</f>
        <v/>
      </c>
      <c r="C431" s="65">
        <f>IF(B419&gt;0,(Table2[[#This Row],[Country]]-B419)/B419,0)</f>
        <v/>
      </c>
      <c r="D431" s="65">
        <f>IF(Table2[[#This Row],[Country]]&gt;0,(((Table2[[#This Row],[Country]]-B430)/B430)+1)^12-1,"")</f>
        <v/>
      </c>
    </row>
    <row r="432">
      <c r="A432" s="36" t="n">
        <v>35247</v>
      </c>
      <c r="B432" s="37">
        <f>VLOOKUP(A432,Data!$E:$BG,MATCH(Country!$A$1,Data!$E$1:$BG$1,),)</f>
        <v/>
      </c>
      <c r="C432" s="65">
        <f>IF(B420&gt;0,(Table2[[#This Row],[Country]]-B420)/B420,0)</f>
        <v/>
      </c>
      <c r="D432" s="65">
        <f>IF(Table2[[#This Row],[Country]]&gt;0,(((Table2[[#This Row],[Country]]-B431)/B431)+1)^12-1,"")</f>
        <v/>
      </c>
    </row>
    <row r="433">
      <c r="A433" s="36" t="n">
        <v>35278</v>
      </c>
      <c r="B433" s="37">
        <f>VLOOKUP(A433,Data!$E:$BG,MATCH(Country!$A$1,Data!$E$1:$BG$1,),)</f>
        <v/>
      </c>
      <c r="C433" s="65">
        <f>IF(B421&gt;0,(Table2[[#This Row],[Country]]-B421)/B421,0)</f>
        <v/>
      </c>
      <c r="D433" s="65">
        <f>IF(Table2[[#This Row],[Country]]&gt;0,(((Table2[[#This Row],[Country]]-B432)/B432)+1)^12-1,"")</f>
        <v/>
      </c>
    </row>
    <row r="434">
      <c r="A434" s="36" t="n">
        <v>35309</v>
      </c>
      <c r="B434" s="37">
        <f>VLOOKUP(A434,Data!$E:$BG,MATCH(Country!$A$1,Data!$E$1:$BG$1,),)</f>
        <v/>
      </c>
      <c r="C434" s="65">
        <f>IF(B422&gt;0,(Table2[[#This Row],[Country]]-B422)/B422,0)</f>
        <v/>
      </c>
      <c r="D434" s="65">
        <f>IF(Table2[[#This Row],[Country]]&gt;0,(((Table2[[#This Row],[Country]]-B433)/B433)+1)^12-1,"")</f>
        <v/>
      </c>
    </row>
    <row r="435">
      <c r="A435" s="36" t="n">
        <v>35339</v>
      </c>
      <c r="B435" s="37">
        <f>VLOOKUP(A435,Data!$E:$BG,MATCH(Country!$A$1,Data!$E$1:$BG$1,),)</f>
        <v/>
      </c>
      <c r="C435" s="65">
        <f>IF(B423&gt;0,(Table2[[#This Row],[Country]]-B423)/B423,0)</f>
        <v/>
      </c>
      <c r="D435" s="65">
        <f>IF(Table2[[#This Row],[Country]]&gt;0,(((Table2[[#This Row],[Country]]-B434)/B434)+1)^12-1,"")</f>
        <v/>
      </c>
    </row>
    <row r="436">
      <c r="A436" s="36" t="n">
        <v>35370</v>
      </c>
      <c r="B436" s="37">
        <f>VLOOKUP(A436,Data!$E:$BG,MATCH(Country!$A$1,Data!$E$1:$BG$1,),)</f>
        <v/>
      </c>
      <c r="C436" s="65">
        <f>IF(B424&gt;0,(Table2[[#This Row],[Country]]-B424)/B424,0)</f>
        <v/>
      </c>
      <c r="D436" s="65">
        <f>IF(Table2[[#This Row],[Country]]&gt;0,(((Table2[[#This Row],[Country]]-B435)/B435)+1)^12-1,"")</f>
        <v/>
      </c>
    </row>
    <row r="437">
      <c r="A437" s="36" t="n">
        <v>35400</v>
      </c>
      <c r="B437" s="37">
        <f>VLOOKUP(A437,Data!$E:$BG,MATCH(Country!$A$1,Data!$E$1:$BG$1,),)</f>
        <v/>
      </c>
      <c r="C437" s="65">
        <f>IF(B425&gt;0,(Table2[[#This Row],[Country]]-B425)/B425,0)</f>
        <v/>
      </c>
      <c r="D437" s="65">
        <f>IF(Table2[[#This Row],[Country]]&gt;0,(((Table2[[#This Row],[Country]]-B436)/B436)+1)^12-1,"")</f>
        <v/>
      </c>
    </row>
    <row r="438">
      <c r="A438" s="36" t="n">
        <v>35431</v>
      </c>
      <c r="B438" s="37">
        <f>VLOOKUP(A438,Data!$E:$BG,MATCH(Country!$A$1,Data!$E$1:$BG$1,),)</f>
        <v/>
      </c>
      <c r="C438" s="65">
        <f>IF(B426&gt;0,(Table2[[#This Row],[Country]]-B426)/B426,0)</f>
        <v/>
      </c>
      <c r="D438" s="65">
        <f>IF(Table2[[#This Row],[Country]]&gt;0,(((Table2[[#This Row],[Country]]-B437)/B437)+1)^12-1,"")</f>
        <v/>
      </c>
    </row>
    <row r="439">
      <c r="A439" s="36" t="n">
        <v>35462</v>
      </c>
      <c r="B439" s="37">
        <f>VLOOKUP(A439,Data!$E:$BG,MATCH(Country!$A$1,Data!$E$1:$BG$1,),)</f>
        <v/>
      </c>
      <c r="C439" s="65">
        <f>IF(B427&gt;0,(Table2[[#This Row],[Country]]-B427)/B427,0)</f>
        <v/>
      </c>
      <c r="D439" s="65">
        <f>IF(Table2[[#This Row],[Country]]&gt;0,(((Table2[[#This Row],[Country]]-B438)/B438)+1)^12-1,"")</f>
        <v/>
      </c>
    </row>
    <row r="440">
      <c r="A440" s="36" t="n">
        <v>35490</v>
      </c>
      <c r="B440" s="37">
        <f>VLOOKUP(A440,Data!$E:$BG,MATCH(Country!$A$1,Data!$E$1:$BG$1,),)</f>
        <v/>
      </c>
      <c r="C440" s="65">
        <f>IF(B428&gt;0,(Table2[[#This Row],[Country]]-B428)/B428,0)</f>
        <v/>
      </c>
      <c r="D440" s="65">
        <f>IF(Table2[[#This Row],[Country]]&gt;0,(((Table2[[#This Row],[Country]]-B439)/B439)+1)^12-1,"")</f>
        <v/>
      </c>
    </row>
    <row r="441">
      <c r="A441" s="36" t="n">
        <v>35521</v>
      </c>
      <c r="B441" s="37">
        <f>VLOOKUP(A441,Data!$E:$BG,MATCH(Country!$A$1,Data!$E$1:$BG$1,),)</f>
        <v/>
      </c>
      <c r="C441" s="65">
        <f>IF(B429&gt;0,(Table2[[#This Row],[Country]]-B429)/B429,0)</f>
        <v/>
      </c>
      <c r="D441" s="65">
        <f>IF(Table2[[#This Row],[Country]]&gt;0,(((Table2[[#This Row],[Country]]-B440)/B440)+1)^12-1,"")</f>
        <v/>
      </c>
    </row>
    <row r="442">
      <c r="A442" s="36" t="n">
        <v>35551</v>
      </c>
      <c r="B442" s="37">
        <f>VLOOKUP(A442,Data!$E:$BG,MATCH(Country!$A$1,Data!$E$1:$BG$1,),)</f>
        <v/>
      </c>
      <c r="C442" s="65">
        <f>IF(B430&gt;0,(Table2[[#This Row],[Country]]-B430)/B430,0)</f>
        <v/>
      </c>
      <c r="D442" s="65">
        <f>IF(Table2[[#This Row],[Country]]&gt;0,(((Table2[[#This Row],[Country]]-B441)/B441)+1)^12-1,"")</f>
        <v/>
      </c>
    </row>
    <row r="443">
      <c r="A443" s="36" t="n">
        <v>35582</v>
      </c>
      <c r="B443" s="37">
        <f>VLOOKUP(A443,Data!$E:$BG,MATCH(Country!$A$1,Data!$E$1:$BG$1,),)</f>
        <v/>
      </c>
      <c r="C443" s="65">
        <f>IF(B431&gt;0,(Table2[[#This Row],[Country]]-B431)/B431,0)</f>
        <v/>
      </c>
      <c r="D443" s="65">
        <f>IF(Table2[[#This Row],[Country]]&gt;0,(((Table2[[#This Row],[Country]]-B442)/B442)+1)^12-1,"")</f>
        <v/>
      </c>
    </row>
    <row r="444">
      <c r="A444" s="36" t="n">
        <v>35612</v>
      </c>
      <c r="B444" s="37">
        <f>VLOOKUP(A444,Data!$E:$BG,MATCH(Country!$A$1,Data!$E$1:$BG$1,),)</f>
        <v/>
      </c>
      <c r="C444" s="65">
        <f>IF(B432&gt;0,(Table2[[#This Row],[Country]]-B432)/B432,0)</f>
        <v/>
      </c>
      <c r="D444" s="65">
        <f>IF(Table2[[#This Row],[Country]]&gt;0,(((Table2[[#This Row],[Country]]-B443)/B443)+1)^12-1,"")</f>
        <v/>
      </c>
    </row>
    <row r="445">
      <c r="A445" s="36" t="n">
        <v>35643</v>
      </c>
      <c r="B445" s="37">
        <f>VLOOKUP(A445,Data!$E:$BG,MATCH(Country!$A$1,Data!$E$1:$BG$1,),)</f>
        <v/>
      </c>
      <c r="C445" s="65">
        <f>IF(B433&gt;0,(Table2[[#This Row],[Country]]-B433)/B433,0)</f>
        <v/>
      </c>
      <c r="D445" s="65">
        <f>IF(Table2[[#This Row],[Country]]&gt;0,(((Table2[[#This Row],[Country]]-B444)/B444)+1)^12-1,"")</f>
        <v/>
      </c>
    </row>
    <row r="446">
      <c r="A446" s="36" t="n">
        <v>35674</v>
      </c>
      <c r="B446" s="37">
        <f>VLOOKUP(A446,Data!$E:$BG,MATCH(Country!$A$1,Data!$E$1:$BG$1,),)</f>
        <v/>
      </c>
      <c r="C446" s="65">
        <f>IF(B434&gt;0,(Table2[[#This Row],[Country]]-B434)/B434,0)</f>
        <v/>
      </c>
      <c r="D446" s="65">
        <f>IF(Table2[[#This Row],[Country]]&gt;0,(((Table2[[#This Row],[Country]]-B445)/B445)+1)^12-1,"")</f>
        <v/>
      </c>
    </row>
    <row r="447">
      <c r="A447" s="36" t="n">
        <v>35704</v>
      </c>
      <c r="B447" s="37">
        <f>VLOOKUP(A447,Data!$E:$BG,MATCH(Country!$A$1,Data!$E$1:$BG$1,),)</f>
        <v/>
      </c>
      <c r="C447" s="65">
        <f>IF(B435&gt;0,(Table2[[#This Row],[Country]]-B435)/B435,0)</f>
        <v/>
      </c>
      <c r="D447" s="65">
        <f>IF(Table2[[#This Row],[Country]]&gt;0,(((Table2[[#This Row],[Country]]-B446)/B446)+1)^12-1,"")</f>
        <v/>
      </c>
    </row>
    <row r="448">
      <c r="A448" s="36" t="n">
        <v>35735</v>
      </c>
      <c r="B448" s="37">
        <f>VLOOKUP(A448,Data!$E:$BG,MATCH(Country!$A$1,Data!$E$1:$BG$1,),)</f>
        <v/>
      </c>
      <c r="C448" s="65">
        <f>IF(B436&gt;0,(Table2[[#This Row],[Country]]-B436)/B436,0)</f>
        <v/>
      </c>
      <c r="D448" s="65">
        <f>IF(Table2[[#This Row],[Country]]&gt;0,(((Table2[[#This Row],[Country]]-B447)/B447)+1)^12-1,"")</f>
        <v/>
      </c>
    </row>
    <row r="449">
      <c r="A449" s="36" t="n">
        <v>35765</v>
      </c>
      <c r="B449" s="37">
        <f>VLOOKUP(A449,Data!$E:$BG,MATCH(Country!$A$1,Data!$E$1:$BG$1,),)</f>
        <v/>
      </c>
      <c r="C449" s="65">
        <f>IF(B437&gt;0,(Table2[[#This Row],[Country]]-B437)/B437,0)</f>
        <v/>
      </c>
      <c r="D449" s="65">
        <f>IF(Table2[[#This Row],[Country]]&gt;0,(((Table2[[#This Row],[Country]]-B448)/B448)+1)^12-1,"")</f>
        <v/>
      </c>
    </row>
    <row r="450">
      <c r="A450" s="36" t="n">
        <v>35796</v>
      </c>
      <c r="B450" s="37">
        <f>VLOOKUP(A450,Data!$E:$BG,MATCH(Country!$A$1,Data!$E$1:$BG$1,),)</f>
        <v/>
      </c>
      <c r="C450" s="65">
        <f>IF(B438&gt;0,(Table2[[#This Row],[Country]]-B438)/B438,0)</f>
        <v/>
      </c>
      <c r="D450" s="65">
        <f>IF(Table2[[#This Row],[Country]]&gt;0,(((Table2[[#This Row],[Country]]-B449)/B449)+1)^12-1,"")</f>
        <v/>
      </c>
    </row>
    <row r="451">
      <c r="A451" s="36" t="n">
        <v>35827</v>
      </c>
      <c r="B451" s="37">
        <f>VLOOKUP(A451,Data!$E:$BG,MATCH(Country!$A$1,Data!$E$1:$BG$1,),)</f>
        <v/>
      </c>
      <c r="C451" s="65">
        <f>IF(B439&gt;0,(Table2[[#This Row],[Country]]-B439)/B439,0)</f>
        <v/>
      </c>
      <c r="D451" s="65">
        <f>IF(Table2[[#This Row],[Country]]&gt;0,(((Table2[[#This Row],[Country]]-B450)/B450)+1)^12-1,"")</f>
        <v/>
      </c>
    </row>
    <row r="452">
      <c r="A452" s="36" t="n">
        <v>35855</v>
      </c>
      <c r="B452" s="37">
        <f>VLOOKUP(A452,Data!$E:$BG,MATCH(Country!$A$1,Data!$E$1:$BG$1,),)</f>
        <v/>
      </c>
      <c r="C452" s="65">
        <f>IF(B440&gt;0,(Table2[[#This Row],[Country]]-B440)/B440,0)</f>
        <v/>
      </c>
      <c r="D452" s="65">
        <f>IF(Table2[[#This Row],[Country]]&gt;0,(((Table2[[#This Row],[Country]]-B451)/B451)+1)^12-1,"")</f>
        <v/>
      </c>
    </row>
    <row r="453">
      <c r="A453" s="36" t="n">
        <v>35886</v>
      </c>
      <c r="B453" s="37">
        <f>VLOOKUP(A453,Data!$E:$BG,MATCH(Country!$A$1,Data!$E$1:$BG$1,),)</f>
        <v/>
      </c>
      <c r="C453" s="65">
        <f>IF(B441&gt;0,(Table2[[#This Row],[Country]]-B441)/B441,0)</f>
        <v/>
      </c>
      <c r="D453" s="65">
        <f>IF(Table2[[#This Row],[Country]]&gt;0,(((Table2[[#This Row],[Country]]-B452)/B452)+1)^12-1,"")</f>
        <v/>
      </c>
    </row>
    <row r="454">
      <c r="A454" s="36" t="n">
        <v>35916</v>
      </c>
      <c r="B454" s="37">
        <f>VLOOKUP(A454,Data!$E:$BG,MATCH(Country!$A$1,Data!$E$1:$BG$1,),)</f>
        <v/>
      </c>
      <c r="C454" s="65">
        <f>IF(B442&gt;0,(Table2[[#This Row],[Country]]-B442)/B442,0)</f>
        <v/>
      </c>
      <c r="D454" s="65">
        <f>IF(Table2[[#This Row],[Country]]&gt;0,(((Table2[[#This Row],[Country]]-B453)/B453)+1)^12-1,"")</f>
        <v/>
      </c>
    </row>
    <row r="455">
      <c r="A455" s="36" t="n">
        <v>35947</v>
      </c>
      <c r="B455" s="37">
        <f>VLOOKUP(A455,Data!$E:$BG,MATCH(Country!$A$1,Data!$E$1:$BG$1,),)</f>
        <v/>
      </c>
      <c r="C455" s="65">
        <f>IF(B443&gt;0,(Table2[[#This Row],[Country]]-B443)/B443,0)</f>
        <v/>
      </c>
      <c r="D455" s="65">
        <f>IF(Table2[[#This Row],[Country]]&gt;0,(((Table2[[#This Row],[Country]]-B454)/B454)+1)^12-1,"")</f>
        <v/>
      </c>
    </row>
    <row r="456">
      <c r="A456" s="36" t="n">
        <v>35977</v>
      </c>
      <c r="B456" s="37">
        <f>VLOOKUP(A456,Data!$E:$BG,MATCH(Country!$A$1,Data!$E$1:$BG$1,),)</f>
        <v/>
      </c>
      <c r="C456" s="65">
        <f>IF(B444&gt;0,(Table2[[#This Row],[Country]]-B444)/B444,0)</f>
        <v/>
      </c>
      <c r="D456" s="65">
        <f>IF(Table2[[#This Row],[Country]]&gt;0,(((Table2[[#This Row],[Country]]-B455)/B455)+1)^12-1,"")</f>
        <v/>
      </c>
    </row>
    <row r="457">
      <c r="A457" s="36" t="n">
        <v>36008</v>
      </c>
      <c r="B457" s="37">
        <f>VLOOKUP(A457,Data!$E:$BG,MATCH(Country!$A$1,Data!$E$1:$BG$1,),)</f>
        <v/>
      </c>
      <c r="C457" s="65">
        <f>IF(B445&gt;0,(Table2[[#This Row],[Country]]-B445)/B445,0)</f>
        <v/>
      </c>
      <c r="D457" s="65">
        <f>IF(Table2[[#This Row],[Country]]&gt;0,(((Table2[[#This Row],[Country]]-B456)/B456)+1)^12-1,"")</f>
        <v/>
      </c>
    </row>
    <row r="458">
      <c r="A458" s="36" t="n">
        <v>36039</v>
      </c>
      <c r="B458" s="37">
        <f>VLOOKUP(A458,Data!$E:$BG,MATCH(Country!$A$1,Data!$E$1:$BG$1,),)</f>
        <v/>
      </c>
      <c r="C458" s="65">
        <f>IF(B446&gt;0,(Table2[[#This Row],[Country]]-B446)/B446,0)</f>
        <v/>
      </c>
      <c r="D458" s="65">
        <f>IF(Table2[[#This Row],[Country]]&gt;0,(((Table2[[#This Row],[Country]]-B457)/B457)+1)^12-1,"")</f>
        <v/>
      </c>
    </row>
    <row r="459">
      <c r="A459" s="36" t="n">
        <v>36069</v>
      </c>
      <c r="B459" s="37">
        <f>VLOOKUP(A459,Data!$E:$BG,MATCH(Country!$A$1,Data!$E$1:$BG$1,),)</f>
        <v/>
      </c>
      <c r="C459" s="65">
        <f>IF(B447&gt;0,(Table2[[#This Row],[Country]]-B447)/B447,0)</f>
        <v/>
      </c>
      <c r="D459" s="65">
        <f>IF(Table2[[#This Row],[Country]]&gt;0,(((Table2[[#This Row],[Country]]-B458)/B458)+1)^12-1,"")</f>
        <v/>
      </c>
    </row>
    <row r="460">
      <c r="A460" s="36" t="n">
        <v>36100</v>
      </c>
      <c r="B460" s="37">
        <f>VLOOKUP(A460,Data!$E:$BG,MATCH(Country!$A$1,Data!$E$1:$BG$1,),)</f>
        <v/>
      </c>
      <c r="C460" s="65">
        <f>IF(B448&gt;0,(Table2[[#This Row],[Country]]-B448)/B448,0)</f>
        <v/>
      </c>
      <c r="D460" s="65">
        <f>IF(Table2[[#This Row],[Country]]&gt;0,(((Table2[[#This Row],[Country]]-B459)/B459)+1)^12-1,"")</f>
        <v/>
      </c>
    </row>
    <row r="461">
      <c r="A461" s="36" t="n">
        <v>36130</v>
      </c>
      <c r="B461" s="37">
        <f>VLOOKUP(A461,Data!$E:$BG,MATCH(Country!$A$1,Data!$E$1:$BG$1,),)</f>
        <v/>
      </c>
      <c r="C461" s="65">
        <f>IF(B449&gt;0,(Table2[[#This Row],[Country]]-B449)/B449,0)</f>
        <v/>
      </c>
      <c r="D461" s="65">
        <f>IF(Table2[[#This Row],[Country]]&gt;0,(((Table2[[#This Row],[Country]]-B460)/B460)+1)^12-1,"")</f>
        <v/>
      </c>
    </row>
    <row r="462">
      <c r="A462" s="36" t="n">
        <v>36161</v>
      </c>
      <c r="B462" s="37">
        <f>VLOOKUP(A462,Data!$E:$BG,MATCH(Country!$A$1,Data!$E$1:$BG$1,),)</f>
        <v/>
      </c>
      <c r="C462" s="65">
        <f>IF(B450&gt;0,(Table2[[#This Row],[Country]]-B450)/B450,0)</f>
        <v/>
      </c>
      <c r="D462" s="65">
        <f>IF(Table2[[#This Row],[Country]]&gt;0,(((Table2[[#This Row],[Country]]-B461)/B461)+1)^12-1,"")</f>
        <v/>
      </c>
    </row>
    <row r="463">
      <c r="A463" s="36" t="n">
        <v>36192</v>
      </c>
      <c r="B463" s="37">
        <f>VLOOKUP(A463,Data!$E:$BG,MATCH(Country!$A$1,Data!$E$1:$BG$1,),)</f>
        <v/>
      </c>
      <c r="C463" s="65">
        <f>IF(B451&gt;0,(Table2[[#This Row],[Country]]-B451)/B451,0)</f>
        <v/>
      </c>
      <c r="D463" s="65">
        <f>IF(Table2[[#This Row],[Country]]&gt;0,(((Table2[[#This Row],[Country]]-B462)/B462)+1)^12-1,"")</f>
        <v/>
      </c>
    </row>
    <row r="464">
      <c r="A464" s="36" t="n">
        <v>36220</v>
      </c>
      <c r="B464" s="37">
        <f>VLOOKUP(A464,Data!$E:$BG,MATCH(Country!$A$1,Data!$E$1:$BG$1,),)</f>
        <v/>
      </c>
      <c r="C464" s="65">
        <f>IF(B452&gt;0,(Table2[[#This Row],[Country]]-B452)/B452,0)</f>
        <v/>
      </c>
      <c r="D464" s="65">
        <f>IF(Table2[[#This Row],[Country]]&gt;0,(((Table2[[#This Row],[Country]]-B463)/B463)+1)^12-1,"")</f>
        <v/>
      </c>
    </row>
    <row r="465">
      <c r="A465" s="36" t="n">
        <v>36251</v>
      </c>
      <c r="B465" s="37">
        <f>VLOOKUP(A465,Data!$E:$BG,MATCH(Country!$A$1,Data!$E$1:$BG$1,),)</f>
        <v/>
      </c>
      <c r="C465" s="65">
        <f>IF(B453&gt;0,(Table2[[#This Row],[Country]]-B453)/B453,0)</f>
        <v/>
      </c>
      <c r="D465" s="65">
        <f>IF(Table2[[#This Row],[Country]]&gt;0,(((Table2[[#This Row],[Country]]-B464)/B464)+1)^12-1,"")</f>
        <v/>
      </c>
    </row>
    <row r="466">
      <c r="A466" s="36" t="n">
        <v>36281</v>
      </c>
      <c r="B466" s="37">
        <f>VLOOKUP(A466,Data!$E:$BG,MATCH(Country!$A$1,Data!$E$1:$BG$1,),)</f>
        <v/>
      </c>
      <c r="C466" s="65">
        <f>IF(B454&gt;0,(Table2[[#This Row],[Country]]-B454)/B454,0)</f>
        <v/>
      </c>
      <c r="D466" s="65">
        <f>IF(Table2[[#This Row],[Country]]&gt;0,(((Table2[[#This Row],[Country]]-B465)/B465)+1)^12-1,"")</f>
        <v/>
      </c>
    </row>
    <row r="467">
      <c r="A467" s="36" t="n">
        <v>36312</v>
      </c>
      <c r="B467" s="37">
        <f>VLOOKUP(A467,Data!$E:$BG,MATCH(Country!$A$1,Data!$E$1:$BG$1,),)</f>
        <v/>
      </c>
      <c r="C467" s="65">
        <f>IF(B455&gt;0,(Table2[[#This Row],[Country]]-B455)/B455,0)</f>
        <v/>
      </c>
      <c r="D467" s="65">
        <f>IF(Table2[[#This Row],[Country]]&gt;0,(((Table2[[#This Row],[Country]]-B466)/B466)+1)^12-1,"")</f>
        <v/>
      </c>
    </row>
    <row r="468">
      <c r="A468" s="36" t="n">
        <v>36342</v>
      </c>
      <c r="B468" s="37">
        <f>VLOOKUP(A468,Data!$E:$BG,MATCH(Country!$A$1,Data!$E$1:$BG$1,),)</f>
        <v/>
      </c>
      <c r="C468" s="65">
        <f>IF(B456&gt;0,(Table2[[#This Row],[Country]]-B456)/B456,0)</f>
        <v/>
      </c>
      <c r="D468" s="65">
        <f>IF(Table2[[#This Row],[Country]]&gt;0,(((Table2[[#This Row],[Country]]-B467)/B467)+1)^12-1,"")</f>
        <v/>
      </c>
    </row>
    <row r="469">
      <c r="A469" s="36" t="n">
        <v>36373</v>
      </c>
      <c r="B469" s="37">
        <f>VLOOKUP(A469,Data!$E:$BG,MATCH(Country!$A$1,Data!$E$1:$BG$1,),)</f>
        <v/>
      </c>
      <c r="C469" s="65">
        <f>IF(B457&gt;0,(Table2[[#This Row],[Country]]-B457)/B457,0)</f>
        <v/>
      </c>
      <c r="D469" s="65">
        <f>IF(Table2[[#This Row],[Country]]&gt;0,(((Table2[[#This Row],[Country]]-B468)/B468)+1)^12-1,"")</f>
        <v/>
      </c>
    </row>
    <row r="470">
      <c r="A470" s="36" t="n">
        <v>36404</v>
      </c>
      <c r="B470" s="37">
        <f>VLOOKUP(A470,Data!$E:$BG,MATCH(Country!$A$1,Data!$E$1:$BG$1,),)</f>
        <v/>
      </c>
      <c r="C470" s="65">
        <f>IF(B458&gt;0,(Table2[[#This Row],[Country]]-B458)/B458,0)</f>
        <v/>
      </c>
      <c r="D470" s="65">
        <f>IF(Table2[[#This Row],[Country]]&gt;0,(((Table2[[#This Row],[Country]]-B469)/B469)+1)^12-1,"")</f>
        <v/>
      </c>
    </row>
    <row r="471">
      <c r="A471" s="36" t="n">
        <v>36434</v>
      </c>
      <c r="B471" s="37">
        <f>VLOOKUP(A471,Data!$E:$BG,MATCH(Country!$A$1,Data!$E$1:$BG$1,),)</f>
        <v/>
      </c>
      <c r="C471" s="65">
        <f>IF(B459&gt;0,(Table2[[#This Row],[Country]]-B459)/B459,0)</f>
        <v/>
      </c>
      <c r="D471" s="65">
        <f>IF(Table2[[#This Row],[Country]]&gt;0,(((Table2[[#This Row],[Country]]-B470)/B470)+1)^12-1,"")</f>
        <v/>
      </c>
    </row>
    <row r="472">
      <c r="A472" s="36" t="n">
        <v>36465</v>
      </c>
      <c r="B472" s="37">
        <f>VLOOKUP(A472,Data!$E:$BG,MATCH(Country!$A$1,Data!$E$1:$BG$1,),)</f>
        <v/>
      </c>
      <c r="C472" s="65">
        <f>IF(B460&gt;0,(Table2[[#This Row],[Country]]-B460)/B460,0)</f>
        <v/>
      </c>
      <c r="D472" s="65">
        <f>IF(Table2[[#This Row],[Country]]&gt;0,(((Table2[[#This Row],[Country]]-B471)/B471)+1)^12-1,"")</f>
        <v/>
      </c>
    </row>
    <row r="473">
      <c r="A473" s="36" t="n">
        <v>36495</v>
      </c>
      <c r="B473" s="37">
        <f>VLOOKUP(A473,Data!$E:$BG,MATCH(Country!$A$1,Data!$E$1:$BG$1,),)</f>
        <v/>
      </c>
      <c r="C473" s="65">
        <f>IF(B461&gt;0,(Table2[[#This Row],[Country]]-B461)/B461,0)</f>
        <v/>
      </c>
      <c r="D473" s="65">
        <f>IF(Table2[[#This Row],[Country]]&gt;0,(((Table2[[#This Row],[Country]]-B472)/B472)+1)^12-1,"")</f>
        <v/>
      </c>
    </row>
    <row r="474">
      <c r="A474" s="36" t="n">
        <v>36526</v>
      </c>
      <c r="B474" s="37">
        <f>VLOOKUP(A474,Data!$E:$BG,MATCH(Country!$A$1,Data!$E$1:$BG$1,),)</f>
        <v/>
      </c>
      <c r="C474" s="65">
        <f>IF(B462&gt;0,(Table2[[#This Row],[Country]]-B462)/B462,0)</f>
        <v/>
      </c>
      <c r="D474" s="65">
        <f>IF(Table2[[#This Row],[Country]]&gt;0,(((Table2[[#This Row],[Country]]-B473)/B473)+1)^12-1,"")</f>
        <v/>
      </c>
    </row>
    <row r="475">
      <c r="A475" s="36" t="n">
        <v>36557</v>
      </c>
      <c r="B475" s="37">
        <f>VLOOKUP(A475,Data!$E:$BG,MATCH(Country!$A$1,Data!$E$1:$BG$1,),)</f>
        <v/>
      </c>
      <c r="C475" s="65">
        <f>IF(B463&gt;0,(Table2[[#This Row],[Country]]-B463)/B463,0)</f>
        <v/>
      </c>
      <c r="D475" s="65">
        <f>IF(Table2[[#This Row],[Country]]&gt;0,(((Table2[[#This Row],[Country]]-B474)/B474)+1)^12-1,"")</f>
        <v/>
      </c>
    </row>
    <row r="476">
      <c r="A476" s="36" t="n">
        <v>36586</v>
      </c>
      <c r="B476" s="37">
        <f>VLOOKUP(A476,Data!$E:$BG,MATCH(Country!$A$1,Data!$E$1:$BG$1,),)</f>
        <v/>
      </c>
      <c r="C476" s="65">
        <f>IF(B464&gt;0,(Table2[[#This Row],[Country]]-B464)/B464,0)</f>
        <v/>
      </c>
      <c r="D476" s="65">
        <f>IF(Table2[[#This Row],[Country]]&gt;0,(((Table2[[#This Row],[Country]]-B475)/B475)+1)^12-1,"")</f>
        <v/>
      </c>
    </row>
    <row r="477">
      <c r="A477" s="36" t="n">
        <v>36617</v>
      </c>
      <c r="B477" s="37">
        <f>VLOOKUP(A477,Data!$E:$BG,MATCH(Country!$A$1,Data!$E$1:$BG$1,),)</f>
        <v/>
      </c>
      <c r="C477" s="65">
        <f>IF(B465&gt;0,(Table2[[#This Row],[Country]]-B465)/B465,0)</f>
        <v/>
      </c>
      <c r="D477" s="65">
        <f>IF(Table2[[#This Row],[Country]]&gt;0,(((Table2[[#This Row],[Country]]-B476)/B476)+1)^12-1,"")</f>
        <v/>
      </c>
    </row>
    <row r="478">
      <c r="A478" s="36" t="n">
        <v>36647</v>
      </c>
      <c r="B478" s="37">
        <f>VLOOKUP(A478,Data!$E:$BG,MATCH(Country!$A$1,Data!$E$1:$BG$1,),)</f>
        <v/>
      </c>
      <c r="C478" s="65">
        <f>IF(B466&gt;0,(Table2[[#This Row],[Country]]-B466)/B466,0)</f>
        <v/>
      </c>
      <c r="D478" s="65">
        <f>IF(Table2[[#This Row],[Country]]&gt;0,(((Table2[[#This Row],[Country]]-B477)/B477)+1)^12-1,"")</f>
        <v/>
      </c>
    </row>
    <row r="479">
      <c r="A479" s="36" t="n">
        <v>36678</v>
      </c>
      <c r="B479" s="37">
        <f>VLOOKUP(A479,Data!$E:$BG,MATCH(Country!$A$1,Data!$E$1:$BG$1,),)</f>
        <v/>
      </c>
      <c r="C479" s="65">
        <f>IF(B467&gt;0,(Table2[[#This Row],[Country]]-B467)/B467,0)</f>
        <v/>
      </c>
      <c r="D479" s="65">
        <f>IF(Table2[[#This Row],[Country]]&gt;0,(((Table2[[#This Row],[Country]]-B478)/B478)+1)^12-1,"")</f>
        <v/>
      </c>
    </row>
    <row r="480">
      <c r="A480" s="36" t="n">
        <v>36708</v>
      </c>
      <c r="B480" s="37">
        <f>VLOOKUP(A480,Data!$E:$BG,MATCH(Country!$A$1,Data!$E$1:$BG$1,),)</f>
        <v/>
      </c>
      <c r="C480" s="65">
        <f>IF(B468&gt;0,(Table2[[#This Row],[Country]]-B468)/B468,0)</f>
        <v/>
      </c>
      <c r="D480" s="65">
        <f>IF(Table2[[#This Row],[Country]]&gt;0,(((Table2[[#This Row],[Country]]-B479)/B479)+1)^12-1,"")</f>
        <v/>
      </c>
    </row>
    <row r="481">
      <c r="A481" s="36" t="n">
        <v>36739</v>
      </c>
      <c r="B481" s="37">
        <f>VLOOKUP(A481,Data!$E:$BG,MATCH(Country!$A$1,Data!$E$1:$BG$1,),)</f>
        <v/>
      </c>
      <c r="C481" s="65">
        <f>IF(B469&gt;0,(Table2[[#This Row],[Country]]-B469)/B469,0)</f>
        <v/>
      </c>
      <c r="D481" s="65">
        <f>IF(Table2[[#This Row],[Country]]&gt;0,(((Table2[[#This Row],[Country]]-B480)/B480)+1)^12-1,"")</f>
        <v/>
      </c>
    </row>
    <row r="482">
      <c r="A482" s="36" t="n">
        <v>36770</v>
      </c>
      <c r="B482" s="37">
        <f>VLOOKUP(A482,Data!$E:$BG,MATCH(Country!$A$1,Data!$E$1:$BG$1,),)</f>
        <v/>
      </c>
      <c r="C482" s="65">
        <f>IF(B470&gt;0,(Table2[[#This Row],[Country]]-B470)/B470,0)</f>
        <v/>
      </c>
      <c r="D482" s="65">
        <f>IF(Table2[[#This Row],[Country]]&gt;0,(((Table2[[#This Row],[Country]]-B481)/B481)+1)^12-1,"")</f>
        <v/>
      </c>
    </row>
    <row r="483">
      <c r="A483" s="36" t="n">
        <v>36800</v>
      </c>
      <c r="B483" s="37">
        <f>VLOOKUP(A483,Data!$E:$BG,MATCH(Country!$A$1,Data!$E$1:$BG$1,),)</f>
        <v/>
      </c>
      <c r="C483" s="65">
        <f>IF(B471&gt;0,(Table2[[#This Row],[Country]]-B471)/B471,0)</f>
        <v/>
      </c>
      <c r="D483" s="65">
        <f>IF(Table2[[#This Row],[Country]]&gt;0,(((Table2[[#This Row],[Country]]-B482)/B482)+1)^12-1,"")</f>
        <v/>
      </c>
    </row>
    <row r="484">
      <c r="A484" s="36" t="n">
        <v>36831</v>
      </c>
      <c r="B484" s="37">
        <f>VLOOKUP(A484,Data!$E:$BG,MATCH(Country!$A$1,Data!$E$1:$BG$1,),)</f>
        <v/>
      </c>
      <c r="C484" s="65">
        <f>IF(B472&gt;0,(Table2[[#This Row],[Country]]-B472)/B472,0)</f>
        <v/>
      </c>
      <c r="D484" s="65">
        <f>IF(Table2[[#This Row],[Country]]&gt;0,(((Table2[[#This Row],[Country]]-B483)/B483)+1)^12-1,"")</f>
        <v/>
      </c>
    </row>
    <row r="485">
      <c r="A485" s="36" t="n">
        <v>36861</v>
      </c>
      <c r="B485" s="37">
        <f>VLOOKUP(A485,Data!$E:$BG,MATCH(Country!$A$1,Data!$E$1:$BG$1,),)</f>
        <v/>
      </c>
      <c r="C485" s="65">
        <f>IF(B473&gt;0,(Table2[[#This Row],[Country]]-B473)/B473,0)</f>
        <v/>
      </c>
      <c r="D485" s="65">
        <f>IF(Table2[[#This Row],[Country]]&gt;0,(((Table2[[#This Row],[Country]]-B484)/B484)+1)^12-1,"")</f>
        <v/>
      </c>
    </row>
    <row r="486">
      <c r="A486" s="36" t="n">
        <v>36892</v>
      </c>
      <c r="B486" s="37">
        <f>VLOOKUP(A486,Data!$E:$BG,MATCH(Country!$A$1,Data!$E$1:$BG$1,),)</f>
        <v/>
      </c>
      <c r="C486" s="65">
        <f>IF(B474&gt;0,(Table2[[#This Row],[Country]]-B474)/B474,0)</f>
        <v/>
      </c>
      <c r="D486" s="65">
        <f>IF(Table2[[#This Row],[Country]]&gt;0,(((Table2[[#This Row],[Country]]-B485)/B485)+1)^12-1,"")</f>
        <v/>
      </c>
    </row>
    <row r="487">
      <c r="A487" s="36" t="n">
        <v>36923</v>
      </c>
      <c r="B487" s="37">
        <f>VLOOKUP(A487,Data!$E:$BG,MATCH(Country!$A$1,Data!$E$1:$BG$1,),)</f>
        <v/>
      </c>
      <c r="C487" s="65">
        <f>IF(B475&gt;0,(Table2[[#This Row],[Country]]-B475)/B475,0)</f>
        <v/>
      </c>
      <c r="D487" s="65">
        <f>IF(Table2[[#This Row],[Country]]&gt;0,(((Table2[[#This Row],[Country]]-B486)/B486)+1)^12-1,"")</f>
        <v/>
      </c>
    </row>
    <row r="488">
      <c r="A488" s="36" t="n">
        <v>36951</v>
      </c>
      <c r="B488" s="37">
        <f>VLOOKUP(A488,Data!$E:$BG,MATCH(Country!$A$1,Data!$E$1:$BG$1,),)</f>
        <v/>
      </c>
      <c r="C488" s="65">
        <f>IF(B476&gt;0,(Table2[[#This Row],[Country]]-B476)/B476,0)</f>
        <v/>
      </c>
      <c r="D488" s="65">
        <f>IF(Table2[[#This Row],[Country]]&gt;0,(((Table2[[#This Row],[Country]]-B487)/B487)+1)^12-1,"")</f>
        <v/>
      </c>
    </row>
    <row r="489">
      <c r="A489" s="36" t="n">
        <v>36982</v>
      </c>
      <c r="B489" s="37">
        <f>VLOOKUP(A489,Data!$E:$BG,MATCH(Country!$A$1,Data!$E$1:$BG$1,),)</f>
        <v/>
      </c>
      <c r="C489" s="65">
        <f>IF(B477&gt;0,(Table2[[#This Row],[Country]]-B477)/B477,0)</f>
        <v/>
      </c>
      <c r="D489" s="65">
        <f>IF(Table2[[#This Row],[Country]]&gt;0,(((Table2[[#This Row],[Country]]-B488)/B488)+1)^12-1,"")</f>
        <v/>
      </c>
    </row>
    <row r="490">
      <c r="A490" s="36" t="n">
        <v>37012</v>
      </c>
      <c r="B490" s="37">
        <f>VLOOKUP(A490,Data!$E:$BG,MATCH(Country!$A$1,Data!$E$1:$BG$1,),)</f>
        <v/>
      </c>
      <c r="C490" s="65">
        <f>IF(B478&gt;0,(Table2[[#This Row],[Country]]-B478)/B478,0)</f>
        <v/>
      </c>
      <c r="D490" s="65">
        <f>IF(Table2[[#This Row],[Country]]&gt;0,(((Table2[[#This Row],[Country]]-B489)/B489)+1)^12-1,"")</f>
        <v/>
      </c>
    </row>
    <row r="491">
      <c r="A491" s="36" t="n">
        <v>37043</v>
      </c>
      <c r="B491" s="37">
        <f>VLOOKUP(A491,Data!$E:$BG,MATCH(Country!$A$1,Data!$E$1:$BG$1,),)</f>
        <v/>
      </c>
      <c r="C491" s="65">
        <f>IF(B479&gt;0,(Table2[[#This Row],[Country]]-B479)/B479,0)</f>
        <v/>
      </c>
      <c r="D491" s="65">
        <f>IF(Table2[[#This Row],[Country]]&gt;0,(((Table2[[#This Row],[Country]]-B490)/B490)+1)^12-1,"")</f>
        <v/>
      </c>
    </row>
    <row r="492">
      <c r="A492" s="36" t="n">
        <v>37073</v>
      </c>
      <c r="B492" s="37">
        <f>VLOOKUP(A492,Data!$E:$BG,MATCH(Country!$A$1,Data!$E$1:$BG$1,),)</f>
        <v/>
      </c>
      <c r="C492" s="65">
        <f>IF(B480&gt;0,(Table2[[#This Row],[Country]]-B480)/B480,0)</f>
        <v/>
      </c>
      <c r="D492" s="65">
        <f>IF(Table2[[#This Row],[Country]]&gt;0,(((Table2[[#This Row],[Country]]-B491)/B491)+1)^12-1,"")</f>
        <v/>
      </c>
    </row>
    <row r="493">
      <c r="A493" s="36" t="n">
        <v>37104</v>
      </c>
      <c r="B493" s="37">
        <f>VLOOKUP(A493,Data!$E:$BG,MATCH(Country!$A$1,Data!$E$1:$BG$1,),)</f>
        <v/>
      </c>
      <c r="C493" s="65">
        <f>IF(B481&gt;0,(Table2[[#This Row],[Country]]-B481)/B481,0)</f>
        <v/>
      </c>
      <c r="D493" s="65">
        <f>IF(Table2[[#This Row],[Country]]&gt;0,(((Table2[[#This Row],[Country]]-B492)/B492)+1)^12-1,"")</f>
        <v/>
      </c>
    </row>
    <row r="494">
      <c r="A494" s="36" t="n">
        <v>37135</v>
      </c>
      <c r="B494" s="37">
        <f>VLOOKUP(A494,Data!$E:$BG,MATCH(Country!$A$1,Data!$E$1:$BG$1,),)</f>
        <v/>
      </c>
      <c r="C494" s="65">
        <f>IF(B482&gt;0,(Table2[[#This Row],[Country]]-B482)/B482,0)</f>
        <v/>
      </c>
      <c r="D494" s="65">
        <f>IF(Table2[[#This Row],[Country]]&gt;0,(((Table2[[#This Row],[Country]]-B493)/B493)+1)^12-1,"")</f>
        <v/>
      </c>
    </row>
    <row r="495">
      <c r="A495" s="36" t="n">
        <v>37165</v>
      </c>
      <c r="B495" s="37">
        <f>VLOOKUP(A495,Data!$E:$BG,MATCH(Country!$A$1,Data!$E$1:$BG$1,),)</f>
        <v/>
      </c>
      <c r="C495" s="65">
        <f>IF(B483&gt;0,(Table2[[#This Row],[Country]]-B483)/B483,0)</f>
        <v/>
      </c>
      <c r="D495" s="65">
        <f>IF(Table2[[#This Row],[Country]]&gt;0,(((Table2[[#This Row],[Country]]-B494)/B494)+1)^12-1,"")</f>
        <v/>
      </c>
    </row>
    <row r="496">
      <c r="A496" s="36" t="n">
        <v>37196</v>
      </c>
      <c r="B496" s="37">
        <f>VLOOKUP(A496,Data!$E:$BG,MATCH(Country!$A$1,Data!$E$1:$BG$1,),)</f>
        <v/>
      </c>
      <c r="C496" s="65">
        <f>IF(B484&gt;0,(Table2[[#This Row],[Country]]-B484)/B484,0)</f>
        <v/>
      </c>
      <c r="D496" s="65">
        <f>IF(Table2[[#This Row],[Country]]&gt;0,(((Table2[[#This Row],[Country]]-B495)/B495)+1)^12-1,"")</f>
        <v/>
      </c>
    </row>
    <row r="497">
      <c r="A497" s="36" t="n">
        <v>37226</v>
      </c>
      <c r="B497" s="37">
        <f>VLOOKUP(A497,Data!$E:$BG,MATCH(Country!$A$1,Data!$E$1:$BG$1,),)</f>
        <v/>
      </c>
      <c r="C497" s="65">
        <f>IF(B485&gt;0,(Table2[[#This Row],[Country]]-B485)/B485,0)</f>
        <v/>
      </c>
      <c r="D497" s="65">
        <f>IF(Table2[[#This Row],[Country]]&gt;0,(((Table2[[#This Row],[Country]]-B496)/B496)+1)^12-1,"")</f>
        <v/>
      </c>
    </row>
    <row r="498">
      <c r="A498" s="36" t="n">
        <v>37257</v>
      </c>
      <c r="B498" s="37">
        <f>VLOOKUP(A498,Data!$E:$BG,MATCH(Country!$A$1,Data!$E$1:$BG$1,),)</f>
        <v/>
      </c>
      <c r="C498" s="65">
        <f>IF(B486&gt;0,(Table2[[#This Row],[Country]]-B486)/B486,0)</f>
        <v/>
      </c>
      <c r="D498" s="65">
        <f>IF(Table2[[#This Row],[Country]]&gt;0,(((Table2[[#This Row],[Country]]-B497)/B497)+1)^12-1,"")</f>
        <v/>
      </c>
    </row>
    <row r="499">
      <c r="A499" s="36" t="n">
        <v>37288</v>
      </c>
      <c r="B499" s="37">
        <f>VLOOKUP(A499,Data!$E:$BG,MATCH(Country!$A$1,Data!$E$1:$BG$1,),)</f>
        <v/>
      </c>
      <c r="C499" s="65">
        <f>IF(B487&gt;0,(Table2[[#This Row],[Country]]-B487)/B487,0)</f>
        <v/>
      </c>
      <c r="D499" s="65">
        <f>IF(Table2[[#This Row],[Country]]&gt;0,(((Table2[[#This Row],[Country]]-B498)/B498)+1)^12-1,"")</f>
        <v/>
      </c>
    </row>
    <row r="500">
      <c r="A500" s="36" t="n">
        <v>37316</v>
      </c>
      <c r="B500" s="37">
        <f>VLOOKUP(A500,Data!$E:$BG,MATCH(Country!$A$1,Data!$E$1:$BG$1,),)</f>
        <v/>
      </c>
      <c r="C500" s="65">
        <f>IF(B488&gt;0,(Table2[[#This Row],[Country]]-B488)/B488,0)</f>
        <v/>
      </c>
      <c r="D500" s="65">
        <f>IF(Table2[[#This Row],[Country]]&gt;0,(((Table2[[#This Row],[Country]]-B499)/B499)+1)^12-1,"")</f>
        <v/>
      </c>
    </row>
    <row r="501">
      <c r="A501" s="36" t="n">
        <v>37347</v>
      </c>
      <c r="B501" s="37">
        <f>VLOOKUP(A501,Data!$E:$BG,MATCH(Country!$A$1,Data!$E$1:$BG$1,),)</f>
        <v/>
      </c>
      <c r="C501" s="65">
        <f>IF(B489&gt;0,(Table2[[#This Row],[Country]]-B489)/B489,0)</f>
        <v/>
      </c>
      <c r="D501" s="65">
        <f>IF(Table2[[#This Row],[Country]]&gt;0,(((Table2[[#This Row],[Country]]-B500)/B500)+1)^12-1,"")</f>
        <v/>
      </c>
    </row>
    <row r="502">
      <c r="A502" s="36" t="n">
        <v>37377</v>
      </c>
      <c r="B502" s="37">
        <f>VLOOKUP(A502,Data!$E:$BG,MATCH(Country!$A$1,Data!$E$1:$BG$1,),)</f>
        <v/>
      </c>
      <c r="C502" s="65">
        <f>IF(B490&gt;0,(Table2[[#This Row],[Country]]-B490)/B490,0)</f>
        <v/>
      </c>
      <c r="D502" s="65">
        <f>IF(Table2[[#This Row],[Country]]&gt;0,(((Table2[[#This Row],[Country]]-B501)/B501)+1)^12-1,"")</f>
        <v/>
      </c>
    </row>
    <row r="503">
      <c r="A503" s="36" t="n">
        <v>37408</v>
      </c>
      <c r="B503" s="37">
        <f>VLOOKUP(A503,Data!$E:$BG,MATCH(Country!$A$1,Data!$E$1:$BG$1,),)</f>
        <v/>
      </c>
      <c r="C503" s="65">
        <f>IF(B491&gt;0,(Table2[[#This Row],[Country]]-B491)/B491,0)</f>
        <v/>
      </c>
      <c r="D503" s="65">
        <f>IF(Table2[[#This Row],[Country]]&gt;0,(((Table2[[#This Row],[Country]]-B502)/B502)+1)^12-1,"")</f>
        <v/>
      </c>
    </row>
    <row r="504">
      <c r="A504" s="36" t="n">
        <v>37438</v>
      </c>
      <c r="B504" s="37">
        <f>VLOOKUP(A504,Data!$E:$BG,MATCH(Country!$A$1,Data!$E$1:$BG$1,),)</f>
        <v/>
      </c>
      <c r="C504" s="65">
        <f>IF(B492&gt;0,(Table2[[#This Row],[Country]]-B492)/B492,0)</f>
        <v/>
      </c>
      <c r="D504" s="65">
        <f>IF(Table2[[#This Row],[Country]]&gt;0,(((Table2[[#This Row],[Country]]-B503)/B503)+1)^12-1,"")</f>
        <v/>
      </c>
    </row>
    <row r="505">
      <c r="A505" s="36" t="n">
        <v>37469</v>
      </c>
      <c r="B505" s="37">
        <f>VLOOKUP(A505,Data!$E:$BG,MATCH(Country!$A$1,Data!$E$1:$BG$1,),)</f>
        <v/>
      </c>
      <c r="C505" s="65">
        <f>IF(B493&gt;0,(Table2[[#This Row],[Country]]-B493)/B493,0)</f>
        <v/>
      </c>
      <c r="D505" s="65">
        <f>IF(Table2[[#This Row],[Country]]&gt;0,(((Table2[[#This Row],[Country]]-B504)/B504)+1)^12-1,"")</f>
        <v/>
      </c>
    </row>
    <row r="506">
      <c r="A506" s="36" t="n">
        <v>37500</v>
      </c>
      <c r="B506" s="37">
        <f>VLOOKUP(A506,Data!$E:$BG,MATCH(Country!$A$1,Data!$E$1:$BG$1,),)</f>
        <v/>
      </c>
      <c r="C506" s="65">
        <f>IF(B494&gt;0,(Table2[[#This Row],[Country]]-B494)/B494,0)</f>
        <v/>
      </c>
      <c r="D506" s="65">
        <f>IF(Table2[[#This Row],[Country]]&gt;0,(((Table2[[#This Row],[Country]]-B505)/B505)+1)^12-1,"")</f>
        <v/>
      </c>
    </row>
    <row r="507">
      <c r="A507" s="36" t="n">
        <v>37530</v>
      </c>
      <c r="B507" s="37">
        <f>VLOOKUP(A507,Data!$E:$BG,MATCH(Country!$A$1,Data!$E$1:$BG$1,),)</f>
        <v/>
      </c>
      <c r="C507" s="65">
        <f>IF(B495&gt;0,(Table2[[#This Row],[Country]]-B495)/B495,0)</f>
        <v/>
      </c>
      <c r="D507" s="65">
        <f>IF(Table2[[#This Row],[Country]]&gt;0,(((Table2[[#This Row],[Country]]-B506)/B506)+1)^12-1,"")</f>
        <v/>
      </c>
    </row>
    <row r="508">
      <c r="A508" s="36" t="n">
        <v>37561</v>
      </c>
      <c r="B508" s="37">
        <f>VLOOKUP(A508,Data!$E:$BG,MATCH(Country!$A$1,Data!$E$1:$BG$1,),)</f>
        <v/>
      </c>
      <c r="C508" s="65">
        <f>IF(B496&gt;0,(Table2[[#This Row],[Country]]-B496)/B496,0)</f>
        <v/>
      </c>
      <c r="D508" s="65">
        <f>IF(Table2[[#This Row],[Country]]&gt;0,(((Table2[[#This Row],[Country]]-B507)/B507)+1)^12-1,"")</f>
        <v/>
      </c>
    </row>
    <row r="509">
      <c r="A509" s="36" t="n">
        <v>37591</v>
      </c>
      <c r="B509" s="37">
        <f>VLOOKUP(A509,Data!$E:$BG,MATCH(Country!$A$1,Data!$E$1:$BG$1,),)</f>
        <v/>
      </c>
      <c r="C509" s="65">
        <f>IF(B497&gt;0,(Table2[[#This Row],[Country]]-B497)/B497,0)</f>
        <v/>
      </c>
      <c r="D509" s="65">
        <f>IF(Table2[[#This Row],[Country]]&gt;0,(((Table2[[#This Row],[Country]]-B508)/B508)+1)^12-1,"")</f>
        <v/>
      </c>
    </row>
    <row r="510">
      <c r="A510" s="36" t="n">
        <v>37622</v>
      </c>
      <c r="B510" s="37">
        <f>VLOOKUP(A510,Data!$E:$BG,MATCH(Country!$A$1,Data!$E$1:$BG$1,),)</f>
        <v/>
      </c>
      <c r="C510" s="65">
        <f>IF(B498&gt;0,(Table2[[#This Row],[Country]]-B498)/B498,0)</f>
        <v/>
      </c>
      <c r="D510" s="65">
        <f>IF(Table2[[#This Row],[Country]]&gt;0,(((Table2[[#This Row],[Country]]-B509)/B509)+1)^12-1,"")</f>
        <v/>
      </c>
    </row>
    <row r="511">
      <c r="A511" s="36" t="n">
        <v>37653</v>
      </c>
      <c r="B511" s="37">
        <f>VLOOKUP(A511,Data!$E:$BG,MATCH(Country!$A$1,Data!$E$1:$BG$1,),)</f>
        <v/>
      </c>
      <c r="C511" s="65">
        <f>IF(B499&gt;0,(Table2[[#This Row],[Country]]-B499)/B499,0)</f>
        <v/>
      </c>
      <c r="D511" s="65">
        <f>IF(Table2[[#This Row],[Country]]&gt;0,(((Table2[[#This Row],[Country]]-B510)/B510)+1)^12-1,"")</f>
        <v/>
      </c>
    </row>
    <row r="512">
      <c r="A512" s="36" t="n">
        <v>37681</v>
      </c>
      <c r="B512" s="37">
        <f>VLOOKUP(A512,Data!$E:$BG,MATCH(Country!$A$1,Data!$E$1:$BG$1,),)</f>
        <v/>
      </c>
      <c r="C512" s="65">
        <f>IF(B500&gt;0,(Table2[[#This Row],[Country]]-B500)/B500,0)</f>
        <v/>
      </c>
      <c r="D512" s="65">
        <f>IF(Table2[[#This Row],[Country]]&gt;0,(((Table2[[#This Row],[Country]]-B511)/B511)+1)^12-1,"")</f>
        <v/>
      </c>
    </row>
    <row r="513">
      <c r="A513" s="36" t="n">
        <v>37712</v>
      </c>
      <c r="B513" s="37">
        <f>VLOOKUP(A513,Data!$E:$BG,MATCH(Country!$A$1,Data!$E$1:$BG$1,),)</f>
        <v/>
      </c>
      <c r="C513" s="65">
        <f>IF(B501&gt;0,(Table2[[#This Row],[Country]]-B501)/B501,0)</f>
        <v/>
      </c>
      <c r="D513" s="65">
        <f>IF(Table2[[#This Row],[Country]]&gt;0,(((Table2[[#This Row],[Country]]-B512)/B512)+1)^12-1,"")</f>
        <v/>
      </c>
    </row>
    <row r="514">
      <c r="A514" s="36" t="n">
        <v>37742</v>
      </c>
      <c r="B514" s="37">
        <f>VLOOKUP(A514,Data!$E:$BG,MATCH(Country!$A$1,Data!$E$1:$BG$1,),)</f>
        <v/>
      </c>
      <c r="C514" s="65">
        <f>IF(B502&gt;0,(Table2[[#This Row],[Country]]-B502)/B502,0)</f>
        <v/>
      </c>
      <c r="D514" s="65">
        <f>IF(Table2[[#This Row],[Country]]&gt;0,(((Table2[[#This Row],[Country]]-B513)/B513)+1)^12-1,"")</f>
        <v/>
      </c>
    </row>
    <row r="515">
      <c r="A515" s="36" t="n">
        <v>37773</v>
      </c>
      <c r="B515" s="37">
        <f>VLOOKUP(A515,Data!$E:$BG,MATCH(Country!$A$1,Data!$E$1:$BG$1,),)</f>
        <v/>
      </c>
      <c r="C515" s="65">
        <f>IF(B503&gt;0,(Table2[[#This Row],[Country]]-B503)/B503,0)</f>
        <v/>
      </c>
      <c r="D515" s="65">
        <f>IF(Table2[[#This Row],[Country]]&gt;0,(((Table2[[#This Row],[Country]]-B514)/B514)+1)^12-1,"")</f>
        <v/>
      </c>
    </row>
    <row r="516">
      <c r="A516" s="36" t="n">
        <v>37803</v>
      </c>
      <c r="B516" s="37">
        <f>VLOOKUP(A516,Data!$E:$BG,MATCH(Country!$A$1,Data!$E$1:$BG$1,),)</f>
        <v/>
      </c>
      <c r="C516" s="65">
        <f>IF(B504&gt;0,(Table2[[#This Row],[Country]]-B504)/B504,0)</f>
        <v/>
      </c>
      <c r="D516" s="65">
        <f>IF(Table2[[#This Row],[Country]]&gt;0,(((Table2[[#This Row],[Country]]-B515)/B515)+1)^12-1,"")</f>
        <v/>
      </c>
    </row>
    <row r="517">
      <c r="A517" s="36" t="n">
        <v>37834</v>
      </c>
      <c r="B517" s="37">
        <f>VLOOKUP(A517,Data!$E:$BG,MATCH(Country!$A$1,Data!$E$1:$BG$1,),)</f>
        <v/>
      </c>
      <c r="C517" s="65">
        <f>IF(B505&gt;0,(Table2[[#This Row],[Country]]-B505)/B505,0)</f>
        <v/>
      </c>
      <c r="D517" s="65">
        <f>IF(Table2[[#This Row],[Country]]&gt;0,(((Table2[[#This Row],[Country]]-B516)/B516)+1)^12-1,"")</f>
        <v/>
      </c>
    </row>
    <row r="518">
      <c r="A518" s="36" t="n">
        <v>37865</v>
      </c>
      <c r="B518" s="37">
        <f>VLOOKUP(A518,Data!$E:$BG,MATCH(Country!$A$1,Data!$E$1:$BG$1,),)</f>
        <v/>
      </c>
      <c r="C518" s="65">
        <f>IF(B506&gt;0,(Table2[[#This Row],[Country]]-B506)/B506,0)</f>
        <v/>
      </c>
      <c r="D518" s="65">
        <f>IF(Table2[[#This Row],[Country]]&gt;0,(((Table2[[#This Row],[Country]]-B517)/B517)+1)^12-1,"")</f>
        <v/>
      </c>
    </row>
    <row r="519">
      <c r="A519" s="36" t="n">
        <v>37895</v>
      </c>
      <c r="B519" s="37">
        <f>VLOOKUP(A519,Data!$E:$BG,MATCH(Country!$A$1,Data!$E$1:$BG$1,),)</f>
        <v/>
      </c>
      <c r="C519" s="65">
        <f>IF(B507&gt;0,(Table2[[#This Row],[Country]]-B507)/B507,0)</f>
        <v/>
      </c>
      <c r="D519" s="65">
        <f>IF(Table2[[#This Row],[Country]]&gt;0,(((Table2[[#This Row],[Country]]-B518)/B518)+1)^12-1,"")</f>
        <v/>
      </c>
    </row>
    <row r="520">
      <c r="A520" s="36" t="n">
        <v>37926</v>
      </c>
      <c r="B520" s="37">
        <f>VLOOKUP(A520,Data!$E:$BG,MATCH(Country!$A$1,Data!$E$1:$BG$1,),)</f>
        <v/>
      </c>
      <c r="C520" s="65">
        <f>IF(B508&gt;0,(Table2[[#This Row],[Country]]-B508)/B508,0)</f>
        <v/>
      </c>
      <c r="D520" s="65">
        <f>IF(Table2[[#This Row],[Country]]&gt;0,(((Table2[[#This Row],[Country]]-B519)/B519)+1)^12-1,"")</f>
        <v/>
      </c>
    </row>
    <row r="521">
      <c r="A521" s="36" t="n">
        <v>37956</v>
      </c>
      <c r="B521" s="37">
        <f>VLOOKUP(A521,Data!$E:$BG,MATCH(Country!$A$1,Data!$E$1:$BG$1,),)</f>
        <v/>
      </c>
      <c r="C521" s="65">
        <f>IF(B509&gt;0,(Table2[[#This Row],[Country]]-B509)/B509,0)</f>
        <v/>
      </c>
      <c r="D521" s="65">
        <f>IF(Table2[[#This Row],[Country]]&gt;0,(((Table2[[#This Row],[Country]]-B520)/B520)+1)^12-1,"")</f>
        <v/>
      </c>
    </row>
    <row r="522">
      <c r="A522" s="36" t="n">
        <v>37987</v>
      </c>
      <c r="B522" s="37">
        <f>VLOOKUP(A522,Data!$E:$BG,MATCH(Country!$A$1,Data!$E$1:$BG$1,),)</f>
        <v/>
      </c>
      <c r="C522" s="65">
        <f>IF(B510&gt;0,(Table2[[#This Row],[Country]]-B510)/B510,0)</f>
        <v/>
      </c>
      <c r="D522" s="65">
        <f>IF(Table2[[#This Row],[Country]]&gt;0,(((Table2[[#This Row],[Country]]-B521)/B521)+1)^12-1,"")</f>
        <v/>
      </c>
    </row>
    <row r="523">
      <c r="A523" s="36" t="n">
        <v>38018</v>
      </c>
      <c r="B523" s="37">
        <f>VLOOKUP(A523,Data!$E:$BG,MATCH(Country!$A$1,Data!$E$1:$BG$1,),)</f>
        <v/>
      </c>
      <c r="C523" s="65">
        <f>IF(B511&gt;0,(Table2[[#This Row],[Country]]-B511)/B511,0)</f>
        <v/>
      </c>
      <c r="D523" s="65">
        <f>IF(Table2[[#This Row],[Country]]&gt;0,(((Table2[[#This Row],[Country]]-B522)/B522)+1)^12-1,"")</f>
        <v/>
      </c>
    </row>
    <row r="524">
      <c r="A524" s="36" t="n">
        <v>38047</v>
      </c>
      <c r="B524" s="37">
        <f>VLOOKUP(A524,Data!$E:$BG,MATCH(Country!$A$1,Data!$E$1:$BG$1,),)</f>
        <v/>
      </c>
      <c r="C524" s="65">
        <f>IF(B512&gt;0,(Table2[[#This Row],[Country]]-B512)/B512,0)</f>
        <v/>
      </c>
      <c r="D524" s="65">
        <f>IF(Table2[[#This Row],[Country]]&gt;0,(((Table2[[#This Row],[Country]]-B523)/B523)+1)^12-1,"")</f>
        <v/>
      </c>
    </row>
    <row r="525">
      <c r="A525" s="36" t="n">
        <v>38078</v>
      </c>
      <c r="B525" s="37">
        <f>VLOOKUP(A525,Data!$E:$BG,MATCH(Country!$A$1,Data!$E$1:$BG$1,),)</f>
        <v/>
      </c>
      <c r="C525" s="65">
        <f>IF(B513&gt;0,(Table2[[#This Row],[Country]]-B513)/B513,0)</f>
        <v/>
      </c>
      <c r="D525" s="65">
        <f>IF(Table2[[#This Row],[Country]]&gt;0,(((Table2[[#This Row],[Country]]-B524)/B524)+1)^12-1,"")</f>
        <v/>
      </c>
    </row>
    <row r="526">
      <c r="A526" s="36" t="n">
        <v>38108</v>
      </c>
      <c r="B526" s="37">
        <f>VLOOKUP(A526,Data!$E:$BG,MATCH(Country!$A$1,Data!$E$1:$BG$1,),)</f>
        <v/>
      </c>
      <c r="C526" s="65">
        <f>IF(B514&gt;0,(Table2[[#This Row],[Country]]-B514)/B514,0)</f>
        <v/>
      </c>
      <c r="D526" s="65">
        <f>IF(Table2[[#This Row],[Country]]&gt;0,(((Table2[[#This Row],[Country]]-B525)/B525)+1)^12-1,"")</f>
        <v/>
      </c>
    </row>
    <row r="527">
      <c r="A527" s="36" t="n">
        <v>38139</v>
      </c>
      <c r="B527" s="37">
        <f>VLOOKUP(A527,Data!$E:$BG,MATCH(Country!$A$1,Data!$E$1:$BG$1,),)</f>
        <v/>
      </c>
      <c r="C527" s="65">
        <f>IF(B515&gt;0,(Table2[[#This Row],[Country]]-B515)/B515,0)</f>
        <v/>
      </c>
      <c r="D527" s="65">
        <f>IF(Table2[[#This Row],[Country]]&gt;0,(((Table2[[#This Row],[Country]]-B526)/B526)+1)^12-1,"")</f>
        <v/>
      </c>
    </row>
    <row r="528">
      <c r="A528" s="36" t="n">
        <v>38169</v>
      </c>
      <c r="B528" s="37">
        <f>VLOOKUP(A528,Data!$E:$BG,MATCH(Country!$A$1,Data!$E$1:$BG$1,),)</f>
        <v/>
      </c>
      <c r="C528" s="65">
        <f>IF(B516&gt;0,(Table2[[#This Row],[Country]]-B516)/B516,0)</f>
        <v/>
      </c>
      <c r="D528" s="65">
        <f>IF(Table2[[#This Row],[Country]]&gt;0,(((Table2[[#This Row],[Country]]-B527)/B527)+1)^12-1,"")</f>
        <v/>
      </c>
    </row>
    <row r="529">
      <c r="A529" s="36" t="n">
        <v>38200</v>
      </c>
      <c r="B529" s="37">
        <f>VLOOKUP(A529,Data!$E:$BG,MATCH(Country!$A$1,Data!$E$1:$BG$1,),)</f>
        <v/>
      </c>
      <c r="C529" s="65">
        <f>IF(B517&gt;0,(Table2[[#This Row],[Country]]-B517)/B517,0)</f>
        <v/>
      </c>
      <c r="D529" s="65">
        <f>IF(Table2[[#This Row],[Country]]&gt;0,(((Table2[[#This Row],[Country]]-B528)/B528)+1)^12-1,"")</f>
        <v/>
      </c>
    </row>
    <row r="530">
      <c r="A530" s="36" t="n">
        <v>38231</v>
      </c>
      <c r="B530" s="37">
        <f>VLOOKUP(A530,Data!$E:$BG,MATCH(Country!$A$1,Data!$E$1:$BG$1,),)</f>
        <v/>
      </c>
      <c r="C530" s="65">
        <f>IF(B518&gt;0,(Table2[[#This Row],[Country]]-B518)/B518,0)</f>
        <v/>
      </c>
      <c r="D530" s="65">
        <f>IF(Table2[[#This Row],[Country]]&gt;0,(((Table2[[#This Row],[Country]]-B529)/B529)+1)^12-1,"")</f>
        <v/>
      </c>
    </row>
    <row r="531">
      <c r="A531" s="36" t="n">
        <v>38261</v>
      </c>
      <c r="B531" s="37">
        <f>VLOOKUP(A531,Data!$E:$BG,MATCH(Country!$A$1,Data!$E$1:$BG$1,),)</f>
        <v/>
      </c>
      <c r="C531" s="65">
        <f>IF(B519&gt;0,(Table2[[#This Row],[Country]]-B519)/B519,0)</f>
        <v/>
      </c>
      <c r="D531" s="65">
        <f>IF(Table2[[#This Row],[Country]]&gt;0,(((Table2[[#This Row],[Country]]-B530)/B530)+1)^12-1,"")</f>
        <v/>
      </c>
    </row>
    <row r="532">
      <c r="A532" s="36" t="n">
        <v>38292</v>
      </c>
      <c r="B532" s="37">
        <f>VLOOKUP(A532,Data!$E:$BG,MATCH(Country!$A$1,Data!$E$1:$BG$1,),)</f>
        <v/>
      </c>
      <c r="C532" s="65">
        <f>IF(B520&gt;0,(Table2[[#This Row],[Country]]-B520)/B520,0)</f>
        <v/>
      </c>
      <c r="D532" s="65">
        <f>IF(Table2[[#This Row],[Country]]&gt;0,(((Table2[[#This Row],[Country]]-B531)/B531)+1)^12-1,"")</f>
        <v/>
      </c>
    </row>
    <row r="533">
      <c r="A533" s="36" t="n">
        <v>38322</v>
      </c>
      <c r="B533" s="37">
        <f>VLOOKUP(A533,Data!$E:$BG,MATCH(Country!$A$1,Data!$E$1:$BG$1,),)</f>
        <v/>
      </c>
      <c r="C533" s="65">
        <f>IF(B521&gt;0,(Table2[[#This Row],[Country]]-B521)/B521,0)</f>
        <v/>
      </c>
      <c r="D533" s="65">
        <f>IF(Table2[[#This Row],[Country]]&gt;0,(((Table2[[#This Row],[Country]]-B532)/B532)+1)^12-1,"")</f>
        <v/>
      </c>
    </row>
    <row r="534">
      <c r="A534" s="36" t="n">
        <v>38353</v>
      </c>
      <c r="B534" s="37">
        <f>VLOOKUP(A534,Data!$E:$BG,MATCH(Country!$A$1,Data!$E$1:$BG$1,),)</f>
        <v/>
      </c>
      <c r="C534" s="65">
        <f>IF(B522&gt;0,(Table2[[#This Row],[Country]]-B522)/B522,0)</f>
        <v/>
      </c>
      <c r="D534" s="65">
        <f>IF(Table2[[#This Row],[Country]]&gt;0,(((Table2[[#This Row],[Country]]-B533)/B533)+1)^12-1,"")</f>
        <v/>
      </c>
    </row>
    <row r="535">
      <c r="A535" s="36" t="n">
        <v>38384</v>
      </c>
      <c r="B535" s="37">
        <f>VLOOKUP(A535,Data!$E:$BG,MATCH(Country!$A$1,Data!$E$1:$BG$1,),)</f>
        <v/>
      </c>
      <c r="C535" s="65">
        <f>IF(B523&gt;0,(Table2[[#This Row],[Country]]-B523)/B523,0)</f>
        <v/>
      </c>
      <c r="D535" s="65">
        <f>IF(Table2[[#This Row],[Country]]&gt;0,(((Table2[[#This Row],[Country]]-B534)/B534)+1)^12-1,"")</f>
        <v/>
      </c>
    </row>
    <row r="536">
      <c r="A536" s="36" t="n">
        <v>38412</v>
      </c>
      <c r="B536" s="37">
        <f>VLOOKUP(A536,Data!$E:$BG,MATCH(Country!$A$1,Data!$E$1:$BG$1,),)</f>
        <v/>
      </c>
      <c r="C536" s="65">
        <f>IF(B524&gt;0,(Table2[[#This Row],[Country]]-B524)/B524,0)</f>
        <v/>
      </c>
      <c r="D536" s="65">
        <f>IF(Table2[[#This Row],[Country]]&gt;0,(((Table2[[#This Row],[Country]]-B535)/B535)+1)^12-1,"")</f>
        <v/>
      </c>
    </row>
    <row r="537">
      <c r="A537" s="36" t="n">
        <v>38443</v>
      </c>
      <c r="B537" s="37">
        <f>VLOOKUP(A537,Data!$E:$BG,MATCH(Country!$A$1,Data!$E$1:$BG$1,),)</f>
        <v/>
      </c>
      <c r="C537" s="65">
        <f>IF(B525&gt;0,(Table2[[#This Row],[Country]]-B525)/B525,0)</f>
        <v/>
      </c>
      <c r="D537" s="65">
        <f>IF(Table2[[#This Row],[Country]]&gt;0,(((Table2[[#This Row],[Country]]-B536)/B536)+1)^12-1,"")</f>
        <v/>
      </c>
    </row>
    <row r="538">
      <c r="A538" s="36" t="n">
        <v>38473</v>
      </c>
      <c r="B538" s="37">
        <f>VLOOKUP(A538,Data!$E:$BG,MATCH(Country!$A$1,Data!$E$1:$BG$1,),)</f>
        <v/>
      </c>
      <c r="C538" s="65">
        <f>IF(B526&gt;0,(Table2[[#This Row],[Country]]-B526)/B526,0)</f>
        <v/>
      </c>
      <c r="D538" s="65">
        <f>IF(Table2[[#This Row],[Country]]&gt;0,(((Table2[[#This Row],[Country]]-B537)/B537)+1)^12-1,"")</f>
        <v/>
      </c>
    </row>
    <row r="539">
      <c r="A539" s="36" t="n">
        <v>38504</v>
      </c>
      <c r="B539" s="37">
        <f>VLOOKUP(A539,Data!$E:$BG,MATCH(Country!$A$1,Data!$E$1:$BG$1,),)</f>
        <v/>
      </c>
      <c r="C539" s="65">
        <f>IF(B527&gt;0,(Table2[[#This Row],[Country]]-B527)/B527,0)</f>
        <v/>
      </c>
      <c r="D539" s="65">
        <f>IF(Table2[[#This Row],[Country]]&gt;0,(((Table2[[#This Row],[Country]]-B538)/B538)+1)^12-1,"")</f>
        <v/>
      </c>
    </row>
    <row r="540">
      <c r="A540" s="36" t="n">
        <v>38534</v>
      </c>
      <c r="B540" s="37">
        <f>VLOOKUP(A540,Data!$E:$BG,MATCH(Country!$A$1,Data!$E$1:$BG$1,),)</f>
        <v/>
      </c>
      <c r="C540" s="65">
        <f>IF(B528&gt;0,(Table2[[#This Row],[Country]]-B528)/B528,0)</f>
        <v/>
      </c>
      <c r="D540" s="65">
        <f>IF(Table2[[#This Row],[Country]]&gt;0,(((Table2[[#This Row],[Country]]-B539)/B539)+1)^12-1,"")</f>
        <v/>
      </c>
    </row>
    <row r="541">
      <c r="A541" s="36" t="n">
        <v>38565</v>
      </c>
      <c r="B541" s="37">
        <f>VLOOKUP(A541,Data!$E:$BG,MATCH(Country!$A$1,Data!$E$1:$BG$1,),)</f>
        <v/>
      </c>
      <c r="C541" s="65">
        <f>IF(B529&gt;0,(Table2[[#This Row],[Country]]-B529)/B529,0)</f>
        <v/>
      </c>
      <c r="D541" s="65">
        <f>IF(Table2[[#This Row],[Country]]&gt;0,(((Table2[[#This Row],[Country]]-B540)/B540)+1)^12-1,"")</f>
        <v/>
      </c>
    </row>
    <row r="542">
      <c r="A542" s="36" t="n">
        <v>38596</v>
      </c>
      <c r="B542" s="37">
        <f>VLOOKUP(A542,Data!$E:$BG,MATCH(Country!$A$1,Data!$E$1:$BG$1,),)</f>
        <v/>
      </c>
      <c r="C542" s="65">
        <f>IF(B530&gt;0,(Table2[[#This Row],[Country]]-B530)/B530,0)</f>
        <v/>
      </c>
      <c r="D542" s="65">
        <f>IF(Table2[[#This Row],[Country]]&gt;0,(((Table2[[#This Row],[Country]]-B541)/B541)+1)^12-1,"")</f>
        <v/>
      </c>
    </row>
    <row r="543">
      <c r="A543" s="36" t="n">
        <v>38626</v>
      </c>
      <c r="B543" s="37">
        <f>VLOOKUP(A543,Data!$E:$BG,MATCH(Country!$A$1,Data!$E$1:$BG$1,),)</f>
        <v/>
      </c>
      <c r="C543" s="65">
        <f>IF(B531&gt;0,(Table2[[#This Row],[Country]]-B531)/B531,0)</f>
        <v/>
      </c>
      <c r="D543" s="65">
        <f>IF(Table2[[#This Row],[Country]]&gt;0,(((Table2[[#This Row],[Country]]-B542)/B542)+1)^12-1,"")</f>
        <v/>
      </c>
    </row>
    <row r="544">
      <c r="A544" s="36" t="n">
        <v>38657</v>
      </c>
      <c r="B544" s="37">
        <f>VLOOKUP(A544,Data!$E:$BG,MATCH(Country!$A$1,Data!$E$1:$BG$1,),)</f>
        <v/>
      </c>
      <c r="C544" s="65">
        <f>IF(B532&gt;0,(Table2[[#This Row],[Country]]-B532)/B532,0)</f>
        <v/>
      </c>
      <c r="D544" s="65">
        <f>IF(Table2[[#This Row],[Country]]&gt;0,(((Table2[[#This Row],[Country]]-B543)/B543)+1)^12-1,"")</f>
        <v/>
      </c>
    </row>
    <row r="545">
      <c r="A545" s="36" t="n">
        <v>38687</v>
      </c>
      <c r="B545" s="37">
        <f>VLOOKUP(A545,Data!$E:$BG,MATCH(Country!$A$1,Data!$E$1:$BG$1,),)</f>
        <v/>
      </c>
      <c r="C545" s="65">
        <f>IF(B533&gt;0,(Table2[[#This Row],[Country]]-B533)/B533,0)</f>
        <v/>
      </c>
      <c r="D545" s="65">
        <f>IF(Table2[[#This Row],[Country]]&gt;0,(((Table2[[#This Row],[Country]]-B544)/B544)+1)^12-1,"")</f>
        <v/>
      </c>
    </row>
    <row r="546">
      <c r="A546" s="36" t="n">
        <v>38718</v>
      </c>
      <c r="B546" s="37">
        <f>VLOOKUP(A546,Data!$E:$BG,MATCH(Country!$A$1,Data!$E$1:$BG$1,),)</f>
        <v/>
      </c>
      <c r="C546" s="65">
        <f>IF(B534&gt;0,(Table2[[#This Row],[Country]]-B534)/B534,0)</f>
        <v/>
      </c>
      <c r="D546" s="65">
        <f>IF(Table2[[#This Row],[Country]]&gt;0,(((Table2[[#This Row],[Country]]-B545)/B545)+1)^12-1,"")</f>
        <v/>
      </c>
    </row>
    <row r="547">
      <c r="A547" s="36" t="n">
        <v>38749</v>
      </c>
      <c r="B547" s="37">
        <f>VLOOKUP(A547,Data!$E:$BG,MATCH(Country!$A$1,Data!$E$1:$BG$1,),)</f>
        <v/>
      </c>
      <c r="C547" s="65">
        <f>IF(B535&gt;0,(Table2[[#This Row],[Country]]-B535)/B535,0)</f>
        <v/>
      </c>
      <c r="D547" s="65">
        <f>IF(Table2[[#This Row],[Country]]&gt;0,(((Table2[[#This Row],[Country]]-B546)/B546)+1)^12-1,"")</f>
        <v/>
      </c>
    </row>
    <row r="548">
      <c r="A548" s="36" t="n">
        <v>38777</v>
      </c>
      <c r="B548" s="37">
        <f>VLOOKUP(A548,Data!$E:$BG,MATCH(Country!$A$1,Data!$E$1:$BG$1,),)</f>
        <v/>
      </c>
      <c r="C548" s="65">
        <f>IF(B536&gt;0,(Table2[[#This Row],[Country]]-B536)/B536,0)</f>
        <v/>
      </c>
      <c r="D548" s="65">
        <f>IF(Table2[[#This Row],[Country]]&gt;0,(((Table2[[#This Row],[Country]]-B547)/B547)+1)^12-1,"")</f>
        <v/>
      </c>
    </row>
    <row r="549">
      <c r="A549" s="36" t="n">
        <v>38808</v>
      </c>
      <c r="B549" s="37">
        <f>VLOOKUP(A549,Data!$E:$BG,MATCH(Country!$A$1,Data!$E$1:$BG$1,),)</f>
        <v/>
      </c>
      <c r="C549" s="65">
        <f>IF(B537&gt;0,(Table2[[#This Row],[Country]]-B537)/B537,0)</f>
        <v/>
      </c>
      <c r="D549" s="65">
        <f>IF(Table2[[#This Row],[Country]]&gt;0,(((Table2[[#This Row],[Country]]-B548)/B548)+1)^12-1,"")</f>
        <v/>
      </c>
    </row>
    <row r="550">
      <c r="A550" s="36" t="n">
        <v>38838</v>
      </c>
      <c r="B550" s="37">
        <f>VLOOKUP(A550,Data!$E:$BG,MATCH(Country!$A$1,Data!$E$1:$BG$1,),)</f>
        <v/>
      </c>
      <c r="C550" s="65">
        <f>IF(B538&gt;0,(Table2[[#This Row],[Country]]-B538)/B538,0)</f>
        <v/>
      </c>
      <c r="D550" s="65">
        <f>IF(Table2[[#This Row],[Country]]&gt;0,(((Table2[[#This Row],[Country]]-B549)/B549)+1)^12-1,"")</f>
        <v/>
      </c>
    </row>
    <row r="551">
      <c r="A551" s="36" t="n">
        <v>38869</v>
      </c>
      <c r="B551" s="37">
        <f>VLOOKUP(A551,Data!$E:$BG,MATCH(Country!$A$1,Data!$E$1:$BG$1,),)</f>
        <v/>
      </c>
      <c r="C551" s="65">
        <f>IF(B539&gt;0,(Table2[[#This Row],[Country]]-B539)/B539,0)</f>
        <v/>
      </c>
      <c r="D551" s="65">
        <f>IF(Table2[[#This Row],[Country]]&gt;0,(((Table2[[#This Row],[Country]]-B550)/B550)+1)^12-1,"")</f>
        <v/>
      </c>
    </row>
    <row r="552">
      <c r="A552" s="36" t="n">
        <v>38899</v>
      </c>
      <c r="B552" s="37">
        <f>VLOOKUP(A552,Data!$E:$BG,MATCH(Country!$A$1,Data!$E$1:$BG$1,),)</f>
        <v/>
      </c>
      <c r="C552" s="65">
        <f>IF(B540&gt;0,(Table2[[#This Row],[Country]]-B540)/B540,0)</f>
        <v/>
      </c>
      <c r="D552" s="65">
        <f>IF(Table2[[#This Row],[Country]]&gt;0,(((Table2[[#This Row],[Country]]-B551)/B551)+1)^12-1,"")</f>
        <v/>
      </c>
    </row>
    <row r="553">
      <c r="A553" s="36" t="n">
        <v>38930</v>
      </c>
      <c r="B553" s="37">
        <f>VLOOKUP(A553,Data!$E:$BG,MATCH(Country!$A$1,Data!$E$1:$BG$1,),)</f>
        <v/>
      </c>
      <c r="C553" s="65">
        <f>IF(B541&gt;0,(Table2[[#This Row],[Country]]-B541)/B541,0)</f>
        <v/>
      </c>
      <c r="D553" s="65">
        <f>IF(Table2[[#This Row],[Country]]&gt;0,(((Table2[[#This Row],[Country]]-B552)/B552)+1)^12-1,"")</f>
        <v/>
      </c>
    </row>
    <row r="554">
      <c r="A554" s="36" t="n">
        <v>38961</v>
      </c>
      <c r="B554" s="37">
        <f>VLOOKUP(A554,Data!$E:$BG,MATCH(Country!$A$1,Data!$E$1:$BG$1,),)</f>
        <v/>
      </c>
      <c r="C554" s="65">
        <f>IF(B542&gt;0,(Table2[[#This Row],[Country]]-B542)/B542,0)</f>
        <v/>
      </c>
      <c r="D554" s="65">
        <f>IF(Table2[[#This Row],[Country]]&gt;0,(((Table2[[#This Row],[Country]]-B553)/B553)+1)^12-1,"")</f>
        <v/>
      </c>
    </row>
    <row r="555">
      <c r="A555" s="36" t="n">
        <v>38991</v>
      </c>
      <c r="B555" s="37">
        <f>VLOOKUP(A555,Data!$E:$BG,MATCH(Country!$A$1,Data!$E$1:$BG$1,),)</f>
        <v/>
      </c>
      <c r="C555" s="65">
        <f>IF(B543&gt;0,(Table2[[#This Row],[Country]]-B543)/B543,0)</f>
        <v/>
      </c>
      <c r="D555" s="65">
        <f>IF(Table2[[#This Row],[Country]]&gt;0,(((Table2[[#This Row],[Country]]-B554)/B554)+1)^12-1,"")</f>
        <v/>
      </c>
    </row>
    <row r="556">
      <c r="A556" s="36" t="n">
        <v>39022</v>
      </c>
      <c r="B556" s="37">
        <f>VLOOKUP(A556,Data!$E:$BG,MATCH(Country!$A$1,Data!$E$1:$BG$1,),)</f>
        <v/>
      </c>
      <c r="C556" s="65">
        <f>IF(B544&gt;0,(Table2[[#This Row],[Country]]-B544)/B544,0)</f>
        <v/>
      </c>
      <c r="D556" s="65">
        <f>IF(Table2[[#This Row],[Country]]&gt;0,(((Table2[[#This Row],[Country]]-B555)/B555)+1)^12-1,"")</f>
        <v/>
      </c>
    </row>
    <row r="557">
      <c r="A557" s="36" t="n">
        <v>39052</v>
      </c>
      <c r="B557" s="37">
        <f>VLOOKUP(A557,Data!$E:$BG,MATCH(Country!$A$1,Data!$E$1:$BG$1,),)</f>
        <v/>
      </c>
      <c r="C557" s="65">
        <f>IF(B545&gt;0,(Table2[[#This Row],[Country]]-B545)/B545,0)</f>
        <v/>
      </c>
      <c r="D557" s="65">
        <f>IF(Table2[[#This Row],[Country]]&gt;0,(((Table2[[#This Row],[Country]]-B556)/B556)+1)^12-1,"")</f>
        <v/>
      </c>
    </row>
    <row r="558">
      <c r="A558" s="36" t="n">
        <v>39083</v>
      </c>
      <c r="B558" s="37">
        <f>VLOOKUP(A558,Data!$E:$BG,MATCH(Country!$A$1,Data!$E$1:$BG$1,),)</f>
        <v/>
      </c>
      <c r="C558" s="65">
        <f>IF(B546&gt;0,(Table2[[#This Row],[Country]]-B546)/B546,0)</f>
        <v/>
      </c>
      <c r="D558" s="65">
        <f>IF(Table2[[#This Row],[Country]]&gt;0,(((Table2[[#This Row],[Country]]-B557)/B557)+1)^12-1,"")</f>
        <v/>
      </c>
    </row>
    <row r="559">
      <c r="A559" s="36" t="n">
        <v>39114</v>
      </c>
      <c r="B559" s="37">
        <f>VLOOKUP(A559,Data!$E:$BG,MATCH(Country!$A$1,Data!$E$1:$BG$1,),)</f>
        <v/>
      </c>
      <c r="C559" s="65">
        <f>IF(B547&gt;0,(Table2[[#This Row],[Country]]-B547)/B547,0)</f>
        <v/>
      </c>
      <c r="D559" s="65">
        <f>IF(Table2[[#This Row],[Country]]&gt;0,(((Table2[[#This Row],[Country]]-B558)/B558)+1)^12-1,"")</f>
        <v/>
      </c>
    </row>
    <row r="560">
      <c r="A560" s="36" t="n">
        <v>39142</v>
      </c>
      <c r="B560" s="37">
        <f>VLOOKUP(A560,Data!$E:$BG,MATCH(Country!$A$1,Data!$E$1:$BG$1,),)</f>
        <v/>
      </c>
      <c r="C560" s="65">
        <f>IF(B548&gt;0,(Table2[[#This Row],[Country]]-B548)/B548,0)</f>
        <v/>
      </c>
      <c r="D560" s="65">
        <f>IF(Table2[[#This Row],[Country]]&gt;0,(((Table2[[#This Row],[Country]]-B559)/B559)+1)^12-1,"")</f>
        <v/>
      </c>
    </row>
    <row r="561">
      <c r="A561" s="36" t="n">
        <v>39173</v>
      </c>
      <c r="B561" s="37">
        <f>VLOOKUP(A561,Data!$E:$BG,MATCH(Country!$A$1,Data!$E$1:$BG$1,),)</f>
        <v/>
      </c>
      <c r="C561" s="65">
        <f>IF(B549&gt;0,(Table2[[#This Row],[Country]]-B549)/B549,0)</f>
        <v/>
      </c>
      <c r="D561" s="65">
        <f>IF(Table2[[#This Row],[Country]]&gt;0,(((Table2[[#This Row],[Country]]-B560)/B560)+1)^12-1,"")</f>
        <v/>
      </c>
    </row>
    <row r="562">
      <c r="A562" s="36" t="n">
        <v>39203</v>
      </c>
      <c r="B562" s="37">
        <f>VLOOKUP(A562,Data!$E:$BG,MATCH(Country!$A$1,Data!$E$1:$BG$1,),)</f>
        <v/>
      </c>
      <c r="C562" s="65">
        <f>IF(B550&gt;0,(Table2[[#This Row],[Country]]-B550)/B550,0)</f>
        <v/>
      </c>
      <c r="D562" s="65">
        <f>IF(Table2[[#This Row],[Country]]&gt;0,(((Table2[[#This Row],[Country]]-B561)/B561)+1)^12-1,"")</f>
        <v/>
      </c>
    </row>
    <row r="563">
      <c r="A563" s="36" t="n">
        <v>39234</v>
      </c>
      <c r="B563" s="37">
        <f>VLOOKUP(A563,Data!$E:$BG,MATCH(Country!$A$1,Data!$E$1:$BG$1,),)</f>
        <v/>
      </c>
      <c r="C563" s="65">
        <f>IF(B551&gt;0,(Table2[[#This Row],[Country]]-B551)/B551,0)</f>
        <v/>
      </c>
      <c r="D563" s="65">
        <f>IF(Table2[[#This Row],[Country]]&gt;0,(((Table2[[#This Row],[Country]]-B562)/B562)+1)^12-1,"")</f>
        <v/>
      </c>
    </row>
    <row r="564">
      <c r="A564" s="36" t="n">
        <v>39264</v>
      </c>
      <c r="B564" s="37">
        <f>VLOOKUP(A564,Data!$E:$BG,MATCH(Country!$A$1,Data!$E$1:$BG$1,),)</f>
        <v/>
      </c>
      <c r="C564" s="65">
        <f>IF(B552&gt;0,(Table2[[#This Row],[Country]]-B552)/B552,0)</f>
        <v/>
      </c>
      <c r="D564" s="65">
        <f>IF(Table2[[#This Row],[Country]]&gt;0,(((Table2[[#This Row],[Country]]-B563)/B563)+1)^12-1,"")</f>
        <v/>
      </c>
    </row>
    <row r="565">
      <c r="A565" s="36" t="n">
        <v>39295</v>
      </c>
      <c r="B565" s="37">
        <f>VLOOKUP(A565,Data!$E:$BG,MATCH(Country!$A$1,Data!$E$1:$BG$1,),)</f>
        <v/>
      </c>
      <c r="C565" s="65">
        <f>IF(B553&gt;0,(Table2[[#This Row],[Country]]-B553)/B553,0)</f>
        <v/>
      </c>
      <c r="D565" s="65">
        <f>IF(Table2[[#This Row],[Country]]&gt;0,(((Table2[[#This Row],[Country]]-B564)/B564)+1)^12-1,"")</f>
        <v/>
      </c>
    </row>
    <row r="566">
      <c r="A566" s="36" t="n">
        <v>39326</v>
      </c>
      <c r="B566" s="37">
        <f>VLOOKUP(A566,Data!$E:$BG,MATCH(Country!$A$1,Data!$E$1:$BG$1,),)</f>
        <v/>
      </c>
      <c r="C566" s="65">
        <f>IF(B554&gt;0,(Table2[[#This Row],[Country]]-B554)/B554,0)</f>
        <v/>
      </c>
      <c r="D566" s="65">
        <f>IF(Table2[[#This Row],[Country]]&gt;0,(((Table2[[#This Row],[Country]]-B565)/B565)+1)^12-1,"")</f>
        <v/>
      </c>
    </row>
    <row r="567">
      <c r="A567" s="36" t="n">
        <v>39356</v>
      </c>
      <c r="B567" s="37">
        <f>VLOOKUP(A567,Data!$E:$BG,MATCH(Country!$A$1,Data!$E$1:$BG$1,),)</f>
        <v/>
      </c>
      <c r="C567" s="65">
        <f>IF(B555&gt;0,(Table2[[#This Row],[Country]]-B555)/B555,0)</f>
        <v/>
      </c>
      <c r="D567" s="65">
        <f>IF(Table2[[#This Row],[Country]]&gt;0,(((Table2[[#This Row],[Country]]-B566)/B566)+1)^12-1,"")</f>
        <v/>
      </c>
    </row>
    <row r="568">
      <c r="A568" s="36" t="n">
        <v>39387</v>
      </c>
      <c r="B568" s="37">
        <f>VLOOKUP(A568,Data!$E:$BG,MATCH(Country!$A$1,Data!$E$1:$BG$1,),)</f>
        <v/>
      </c>
      <c r="C568" s="65">
        <f>IF(B556&gt;0,(Table2[[#This Row],[Country]]-B556)/B556,0)</f>
        <v/>
      </c>
      <c r="D568" s="65">
        <f>IF(Table2[[#This Row],[Country]]&gt;0,(((Table2[[#This Row],[Country]]-B567)/B567)+1)^12-1,"")</f>
        <v/>
      </c>
    </row>
    <row r="569">
      <c r="A569" s="36" t="n">
        <v>39417</v>
      </c>
      <c r="B569" s="37">
        <f>VLOOKUP(A569,Data!$E:$BG,MATCH(Country!$A$1,Data!$E$1:$BG$1,),)</f>
        <v/>
      </c>
      <c r="C569" s="65">
        <f>IF(B557&gt;0,(Table2[[#This Row],[Country]]-B557)/B557,0)</f>
        <v/>
      </c>
      <c r="D569" s="65">
        <f>IF(Table2[[#This Row],[Country]]&gt;0,(((Table2[[#This Row],[Country]]-B568)/B568)+1)^12-1,"")</f>
        <v/>
      </c>
    </row>
    <row r="570">
      <c r="A570" s="36" t="n">
        <v>39448</v>
      </c>
      <c r="B570" s="37">
        <f>VLOOKUP(A570,Data!$E:$BG,MATCH(Country!$A$1,Data!$E$1:$BG$1,),)</f>
        <v/>
      </c>
      <c r="C570" s="65">
        <f>IF(B558&gt;0,(Table2[[#This Row],[Country]]-B558)/B558,0)</f>
        <v/>
      </c>
      <c r="D570" s="65">
        <f>IF(Table2[[#This Row],[Country]]&gt;0,(((Table2[[#This Row],[Country]]-B569)/B569)+1)^12-1,"")</f>
        <v/>
      </c>
    </row>
    <row r="571">
      <c r="A571" s="36" t="n">
        <v>39479</v>
      </c>
      <c r="B571" s="37">
        <f>VLOOKUP(A571,Data!$E:$BG,MATCH(Country!$A$1,Data!$E$1:$BG$1,),)</f>
        <v/>
      </c>
      <c r="C571" s="65">
        <f>IF(B559&gt;0,(Table2[[#This Row],[Country]]-B559)/B559,0)</f>
        <v/>
      </c>
      <c r="D571" s="65">
        <f>IF(Table2[[#This Row],[Country]]&gt;0,(((Table2[[#This Row],[Country]]-B570)/B570)+1)^12-1,"")</f>
        <v/>
      </c>
    </row>
    <row r="572">
      <c r="A572" s="36" t="n">
        <v>39508</v>
      </c>
      <c r="B572" s="37">
        <f>VLOOKUP(A572,Data!$E:$BG,MATCH(Country!$A$1,Data!$E$1:$BG$1,),)</f>
        <v/>
      </c>
      <c r="C572" s="65">
        <f>IF(B560&gt;0,(Table2[[#This Row],[Country]]-B560)/B560,0)</f>
        <v/>
      </c>
      <c r="D572" s="65">
        <f>IF(Table2[[#This Row],[Country]]&gt;0,(((Table2[[#This Row],[Country]]-B571)/B571)+1)^12-1,"")</f>
        <v/>
      </c>
    </row>
    <row r="573">
      <c r="A573" s="36" t="n">
        <v>39539</v>
      </c>
      <c r="B573" s="37">
        <f>VLOOKUP(A573,Data!$E:$BG,MATCH(Country!$A$1,Data!$E$1:$BG$1,),)</f>
        <v/>
      </c>
      <c r="C573" s="65">
        <f>IF(B561&gt;0,(Table2[[#This Row],[Country]]-B561)/B561,0)</f>
        <v/>
      </c>
      <c r="D573" s="65">
        <f>IF(Table2[[#This Row],[Country]]&gt;0,(((Table2[[#This Row],[Country]]-B572)/B572)+1)^12-1,"")</f>
        <v/>
      </c>
    </row>
    <row r="574">
      <c r="A574" s="36" t="n">
        <v>39569</v>
      </c>
      <c r="B574" s="37">
        <f>VLOOKUP(A574,Data!$E:$BG,MATCH(Country!$A$1,Data!$E$1:$BG$1,),)</f>
        <v/>
      </c>
      <c r="C574" s="65">
        <f>IF(B562&gt;0,(Table2[[#This Row],[Country]]-B562)/B562,0)</f>
        <v/>
      </c>
      <c r="D574" s="65">
        <f>IF(Table2[[#This Row],[Country]]&gt;0,(((Table2[[#This Row],[Country]]-B573)/B573)+1)^12-1,"")</f>
        <v/>
      </c>
    </row>
    <row r="575">
      <c r="A575" s="36" t="n">
        <v>39600</v>
      </c>
      <c r="B575" s="37">
        <f>VLOOKUP(A575,Data!$E:$BG,MATCH(Country!$A$1,Data!$E$1:$BG$1,),)</f>
        <v/>
      </c>
      <c r="C575" s="65">
        <f>IF(B563&gt;0,(Table2[[#This Row],[Country]]-B563)/B563,0)</f>
        <v/>
      </c>
      <c r="D575" s="65">
        <f>IF(Table2[[#This Row],[Country]]&gt;0,(((Table2[[#This Row],[Country]]-B574)/B574)+1)^12-1,"")</f>
        <v/>
      </c>
    </row>
    <row r="576">
      <c r="A576" s="36" t="n">
        <v>39630</v>
      </c>
      <c r="B576" s="37">
        <f>VLOOKUP(A576,Data!$E:$BG,MATCH(Country!$A$1,Data!$E$1:$BG$1,),)</f>
        <v/>
      </c>
      <c r="C576" s="65">
        <f>IF(B564&gt;0,(Table2[[#This Row],[Country]]-B564)/B564,0)</f>
        <v/>
      </c>
      <c r="D576" s="65">
        <f>IF(Table2[[#This Row],[Country]]&gt;0,(((Table2[[#This Row],[Country]]-B575)/B575)+1)^12-1,"")</f>
        <v/>
      </c>
    </row>
    <row r="577">
      <c r="A577" s="36" t="n">
        <v>39661</v>
      </c>
      <c r="B577" s="37">
        <f>VLOOKUP(A577,Data!$E:$BG,MATCH(Country!$A$1,Data!$E$1:$BG$1,),)</f>
        <v/>
      </c>
      <c r="C577" s="65">
        <f>IF(B565&gt;0,(Table2[[#This Row],[Country]]-B565)/B565,0)</f>
        <v/>
      </c>
      <c r="D577" s="65">
        <f>IF(Table2[[#This Row],[Country]]&gt;0,(((Table2[[#This Row],[Country]]-B576)/B576)+1)^12-1,"")</f>
        <v/>
      </c>
    </row>
    <row r="578">
      <c r="A578" s="36" t="n">
        <v>39692</v>
      </c>
      <c r="B578" s="37">
        <f>VLOOKUP(A578,Data!$E:$BG,MATCH(Country!$A$1,Data!$E$1:$BG$1,),)</f>
        <v/>
      </c>
      <c r="C578" s="65">
        <f>IF(B566&gt;0,(Table2[[#This Row],[Country]]-B566)/B566,0)</f>
        <v/>
      </c>
      <c r="D578" s="65">
        <f>IF(Table2[[#This Row],[Country]]&gt;0,(((Table2[[#This Row],[Country]]-B577)/B577)+1)^12-1,"")</f>
        <v/>
      </c>
    </row>
    <row r="579">
      <c r="A579" s="36" t="n">
        <v>39722</v>
      </c>
      <c r="B579" s="37">
        <f>VLOOKUP(A579,Data!$E:$BG,MATCH(Country!$A$1,Data!$E$1:$BG$1,),)</f>
        <v/>
      </c>
      <c r="C579" s="65">
        <f>IF(B567&gt;0,(Table2[[#This Row],[Country]]-B567)/B567,0)</f>
        <v/>
      </c>
      <c r="D579" s="65">
        <f>IF(Table2[[#This Row],[Country]]&gt;0,(((Table2[[#This Row],[Country]]-B578)/B578)+1)^12-1,"")</f>
        <v/>
      </c>
    </row>
    <row r="580">
      <c r="A580" s="36" t="n">
        <v>39753</v>
      </c>
      <c r="B580" s="37">
        <f>VLOOKUP(A580,Data!$E:$BG,MATCH(Country!$A$1,Data!$E$1:$BG$1,),)</f>
        <v/>
      </c>
      <c r="C580" s="65">
        <f>IF(B568&gt;0,(Table2[[#This Row],[Country]]-B568)/B568,0)</f>
        <v/>
      </c>
      <c r="D580" s="65">
        <f>IF(Table2[[#This Row],[Country]]&gt;0,(((Table2[[#This Row],[Country]]-B579)/B579)+1)^12-1,"")</f>
        <v/>
      </c>
    </row>
    <row r="581">
      <c r="A581" s="36" t="n">
        <v>39783</v>
      </c>
      <c r="B581" s="37">
        <f>VLOOKUP(A581,Data!$E:$BG,MATCH(Country!$A$1,Data!$E$1:$BG$1,),)</f>
        <v/>
      </c>
      <c r="C581" s="65">
        <f>IF(B569&gt;0,(Table2[[#This Row],[Country]]-B569)/B569,0)</f>
        <v/>
      </c>
      <c r="D581" s="65">
        <f>IF(Table2[[#This Row],[Country]]&gt;0,(((Table2[[#This Row],[Country]]-B580)/B580)+1)^12-1,"")</f>
        <v/>
      </c>
    </row>
    <row r="582">
      <c r="A582" s="36" t="n">
        <v>39814</v>
      </c>
      <c r="B582" s="37">
        <f>VLOOKUP(A582,Data!$E:$BG,MATCH(Country!$A$1,Data!$E$1:$BG$1,),)</f>
        <v/>
      </c>
      <c r="C582" s="65">
        <f>IF(B570&gt;0,(Table2[[#This Row],[Country]]-B570)/B570,0)</f>
        <v/>
      </c>
      <c r="D582" s="65">
        <f>IF(Table2[[#This Row],[Country]]&gt;0,(((Table2[[#This Row],[Country]]-B581)/B581)+1)^12-1,"")</f>
        <v/>
      </c>
    </row>
    <row r="583">
      <c r="A583" s="36" t="n">
        <v>39845</v>
      </c>
      <c r="B583" s="37">
        <f>VLOOKUP(A583,Data!$E:$BG,MATCH(Country!$A$1,Data!$E$1:$BG$1,),)</f>
        <v/>
      </c>
      <c r="C583" s="65">
        <f>IF(B571&gt;0,(Table2[[#This Row],[Country]]-B571)/B571,0)</f>
        <v/>
      </c>
      <c r="D583" s="65">
        <f>IF(Table2[[#This Row],[Country]]&gt;0,(((Table2[[#This Row],[Country]]-B582)/B582)+1)^12-1,"")</f>
        <v/>
      </c>
    </row>
    <row r="584">
      <c r="A584" s="36" t="n">
        <v>39873</v>
      </c>
      <c r="B584" s="37">
        <f>VLOOKUP(A584,Data!$E:$BG,MATCH(Country!$A$1,Data!$E$1:$BG$1,),)</f>
        <v/>
      </c>
      <c r="C584" s="65">
        <f>IF(B572&gt;0,(Table2[[#This Row],[Country]]-B572)/B572,0)</f>
        <v/>
      </c>
      <c r="D584" s="65">
        <f>IF(Table2[[#This Row],[Country]]&gt;0,(((Table2[[#This Row],[Country]]-B583)/B583)+1)^12-1,"")</f>
        <v/>
      </c>
    </row>
    <row r="585">
      <c r="A585" s="36" t="n">
        <v>39904</v>
      </c>
      <c r="B585" s="37">
        <f>VLOOKUP(A585,Data!$E:$BG,MATCH(Country!$A$1,Data!$E$1:$BG$1,),)</f>
        <v/>
      </c>
      <c r="C585" s="65">
        <f>IF(B573&gt;0,(Table2[[#This Row],[Country]]-B573)/B573,0)</f>
        <v/>
      </c>
      <c r="D585" s="65">
        <f>IF(Table2[[#This Row],[Country]]&gt;0,(((Table2[[#This Row],[Country]]-B584)/B584)+1)^12-1,"")</f>
        <v/>
      </c>
    </row>
    <row r="586">
      <c r="A586" s="36" t="n">
        <v>39934</v>
      </c>
      <c r="B586" s="37">
        <f>VLOOKUP(A586,Data!$E:$BG,MATCH(Country!$A$1,Data!$E$1:$BG$1,),)</f>
        <v/>
      </c>
      <c r="C586" s="65">
        <f>IF(B574&gt;0,(Table2[[#This Row],[Country]]-B574)/B574,0)</f>
        <v/>
      </c>
      <c r="D586" s="65">
        <f>IF(Table2[[#This Row],[Country]]&gt;0,(((Table2[[#This Row],[Country]]-B585)/B585)+1)^12-1,"")</f>
        <v/>
      </c>
    </row>
    <row r="587">
      <c r="A587" s="36" t="n">
        <v>39965</v>
      </c>
      <c r="B587" s="37">
        <f>VLOOKUP(A587,Data!$E:$BG,MATCH(Country!$A$1,Data!$E$1:$BG$1,),)</f>
        <v/>
      </c>
      <c r="C587" s="65">
        <f>IF(B575&gt;0,(Table2[[#This Row],[Country]]-B575)/B575,0)</f>
        <v/>
      </c>
      <c r="D587" s="65">
        <f>IF(Table2[[#This Row],[Country]]&gt;0,(((Table2[[#This Row],[Country]]-B586)/B586)+1)^12-1,"")</f>
        <v/>
      </c>
    </row>
    <row r="588">
      <c r="A588" s="36" t="n">
        <v>39995</v>
      </c>
      <c r="B588" s="37">
        <f>VLOOKUP(A588,Data!$E:$BG,MATCH(Country!$A$1,Data!$E$1:$BG$1,),)</f>
        <v/>
      </c>
      <c r="C588" s="65">
        <f>IF(B576&gt;0,(Table2[[#This Row],[Country]]-B576)/B576,0)</f>
        <v/>
      </c>
      <c r="D588" s="65">
        <f>IF(Table2[[#This Row],[Country]]&gt;0,(((Table2[[#This Row],[Country]]-B587)/B587)+1)^12-1,"")</f>
        <v/>
      </c>
    </row>
    <row r="589">
      <c r="A589" s="36" t="n">
        <v>40026</v>
      </c>
      <c r="B589" s="37">
        <f>VLOOKUP(A589,Data!$E:$BG,MATCH(Country!$A$1,Data!$E$1:$BG$1,),)</f>
        <v/>
      </c>
      <c r="C589" s="65">
        <f>IF(B577&gt;0,(Table2[[#This Row],[Country]]-B577)/B577,0)</f>
        <v/>
      </c>
      <c r="D589" s="65">
        <f>IF(Table2[[#This Row],[Country]]&gt;0,(((Table2[[#This Row],[Country]]-B588)/B588)+1)^12-1,"")</f>
        <v/>
      </c>
    </row>
    <row r="590">
      <c r="A590" s="36" t="n">
        <v>40057</v>
      </c>
      <c r="B590" s="37">
        <f>VLOOKUP(A590,Data!$E:$BG,MATCH(Country!$A$1,Data!$E$1:$BG$1,),)</f>
        <v/>
      </c>
      <c r="C590" s="65">
        <f>IF(B578&gt;0,(Table2[[#This Row],[Country]]-B578)/B578,0)</f>
        <v/>
      </c>
      <c r="D590" s="65">
        <f>IF(Table2[[#This Row],[Country]]&gt;0,(((Table2[[#This Row],[Country]]-B589)/B589)+1)^12-1,"")</f>
        <v/>
      </c>
    </row>
    <row r="591">
      <c r="A591" s="36" t="n">
        <v>40087</v>
      </c>
      <c r="B591" s="37">
        <f>VLOOKUP(A591,Data!$E:$BG,MATCH(Country!$A$1,Data!$E$1:$BG$1,),)</f>
        <v/>
      </c>
      <c r="C591" s="65">
        <f>IF(B579&gt;0,(Table2[[#This Row],[Country]]-B579)/B579,0)</f>
        <v/>
      </c>
      <c r="D591" s="65">
        <f>IF(Table2[[#This Row],[Country]]&gt;0,(((Table2[[#This Row],[Country]]-B590)/B590)+1)^12-1,"")</f>
        <v/>
      </c>
    </row>
    <row r="592">
      <c r="A592" s="36" t="n">
        <v>40118</v>
      </c>
      <c r="B592" s="37">
        <f>VLOOKUP(A592,Data!$E:$BG,MATCH(Country!$A$1,Data!$E$1:$BG$1,),)</f>
        <v/>
      </c>
      <c r="C592" s="65">
        <f>IF(B580&gt;0,(Table2[[#This Row],[Country]]-B580)/B580,0)</f>
        <v/>
      </c>
      <c r="D592" s="65">
        <f>IF(Table2[[#This Row],[Country]]&gt;0,(((Table2[[#This Row],[Country]]-B591)/B591)+1)^12-1,"")</f>
        <v/>
      </c>
    </row>
    <row r="593">
      <c r="A593" s="36" t="n">
        <v>40148</v>
      </c>
      <c r="B593" s="37">
        <f>VLOOKUP(A593,Data!$E:$BG,MATCH(Country!$A$1,Data!$E$1:$BG$1,),)</f>
        <v/>
      </c>
      <c r="C593" s="65">
        <f>IF(B581&gt;0,(Table2[[#This Row],[Country]]-B581)/B581,0)</f>
        <v/>
      </c>
      <c r="D593" s="65">
        <f>IF(Table2[[#This Row],[Country]]&gt;0,(((Table2[[#This Row],[Country]]-B592)/B592)+1)^12-1,"")</f>
        <v/>
      </c>
    </row>
    <row r="594">
      <c r="A594" s="36" t="n">
        <v>40179</v>
      </c>
      <c r="B594" s="37">
        <f>VLOOKUP(A594,Data!$E:$BG,MATCH(Country!$A$1,Data!$E$1:$BG$1,),)</f>
        <v/>
      </c>
      <c r="C594" s="65">
        <f>IF(B582&gt;0,(Table2[[#This Row],[Country]]-B582)/B582,0)</f>
        <v/>
      </c>
      <c r="D594" s="65">
        <f>IF(Table2[[#This Row],[Country]]&gt;0,(((Table2[[#This Row],[Country]]-B593)/B593)+1)^12-1,"")</f>
        <v/>
      </c>
    </row>
    <row r="595">
      <c r="A595" s="36" t="n">
        <v>40210</v>
      </c>
      <c r="B595" s="37">
        <f>VLOOKUP(A595,Data!$E:$BG,MATCH(Country!$A$1,Data!$E$1:$BG$1,),)</f>
        <v/>
      </c>
      <c r="C595" s="65">
        <f>IF(B583&gt;0,(Table2[[#This Row],[Country]]-B583)/B583,0)</f>
        <v/>
      </c>
      <c r="D595" s="65">
        <f>IF(Table2[[#This Row],[Country]]&gt;0,(((Table2[[#This Row],[Country]]-B594)/B594)+1)^12-1,"")</f>
        <v/>
      </c>
    </row>
    <row r="596">
      <c r="A596" s="36" t="n">
        <v>40238</v>
      </c>
      <c r="B596" s="37">
        <f>VLOOKUP(A596,Data!$E:$BG,MATCH(Country!$A$1,Data!$E$1:$BG$1,),)</f>
        <v/>
      </c>
      <c r="C596" s="65">
        <f>IF(B584&gt;0,(Table2[[#This Row],[Country]]-B584)/B584,0)</f>
        <v/>
      </c>
      <c r="D596" s="65">
        <f>IF(Table2[[#This Row],[Country]]&gt;0,(((Table2[[#This Row],[Country]]-B595)/B595)+1)^12-1,"")</f>
        <v/>
      </c>
    </row>
    <row r="597">
      <c r="A597" s="36" t="n">
        <v>40269</v>
      </c>
      <c r="B597" s="37">
        <f>VLOOKUP(A597,Data!$E:$BG,MATCH(Country!$A$1,Data!$E$1:$BG$1,),)</f>
        <v/>
      </c>
      <c r="C597" s="65">
        <f>IF(B585&gt;0,(Table2[[#This Row],[Country]]-B585)/B585,0)</f>
        <v/>
      </c>
      <c r="D597" s="65">
        <f>IF(Table2[[#This Row],[Country]]&gt;0,(((Table2[[#This Row],[Country]]-B596)/B596)+1)^12-1,"")</f>
        <v/>
      </c>
    </row>
    <row r="598">
      <c r="A598" s="36" t="n">
        <v>40299</v>
      </c>
      <c r="B598" s="37">
        <f>VLOOKUP(A598,Data!$E:$BG,MATCH(Country!$A$1,Data!$E$1:$BG$1,),)</f>
        <v/>
      </c>
      <c r="C598" s="65">
        <f>IF(B586&gt;0,(Table2[[#This Row],[Country]]-B586)/B586,0)</f>
        <v/>
      </c>
      <c r="D598" s="65">
        <f>IF(Table2[[#This Row],[Country]]&gt;0,(((Table2[[#This Row],[Country]]-B597)/B597)+1)^12-1,"")</f>
        <v/>
      </c>
    </row>
    <row r="599">
      <c r="A599" s="36" t="n">
        <v>40330</v>
      </c>
      <c r="B599" s="37">
        <f>VLOOKUP(A599,Data!$E:$BG,MATCH(Country!$A$1,Data!$E$1:$BG$1,),)</f>
        <v/>
      </c>
      <c r="C599" s="65">
        <f>IF(B587&gt;0,(Table2[[#This Row],[Country]]-B587)/B587,0)</f>
        <v/>
      </c>
      <c r="D599" s="65">
        <f>IF(Table2[[#This Row],[Country]]&gt;0,(((Table2[[#This Row],[Country]]-B598)/B598)+1)^12-1,"")</f>
        <v/>
      </c>
    </row>
    <row r="600">
      <c r="A600" s="36" t="n">
        <v>40360</v>
      </c>
      <c r="B600" s="37">
        <f>VLOOKUP(A600,Data!$E:$BG,MATCH(Country!$A$1,Data!$E$1:$BG$1,),)</f>
        <v/>
      </c>
      <c r="C600" s="65">
        <f>IF(B588&gt;0,(Table2[[#This Row],[Country]]-B588)/B588,0)</f>
        <v/>
      </c>
      <c r="D600" s="65">
        <f>IF(Table2[[#This Row],[Country]]&gt;0,(((Table2[[#This Row],[Country]]-B599)/B599)+1)^12-1,"")</f>
        <v/>
      </c>
    </row>
    <row r="601">
      <c r="A601" s="36" t="n">
        <v>40391</v>
      </c>
      <c r="B601" s="37">
        <f>VLOOKUP(A601,Data!$E:$BG,MATCH(Country!$A$1,Data!$E$1:$BG$1,),)</f>
        <v/>
      </c>
      <c r="C601" s="65">
        <f>IF(B589&gt;0,(Table2[[#This Row],[Country]]-B589)/B589,0)</f>
        <v/>
      </c>
      <c r="D601" s="65">
        <f>IF(Table2[[#This Row],[Country]]&gt;0,(((Table2[[#This Row],[Country]]-B600)/B600)+1)^12-1,"")</f>
        <v/>
      </c>
    </row>
    <row r="602">
      <c r="A602" s="36" t="n">
        <v>40422</v>
      </c>
      <c r="B602" s="37">
        <f>VLOOKUP(A602,Data!$E:$BG,MATCH(Country!$A$1,Data!$E$1:$BG$1,),)</f>
        <v/>
      </c>
      <c r="C602" s="65">
        <f>IF(B590&gt;0,(Table2[[#This Row],[Country]]-B590)/B590,0)</f>
        <v/>
      </c>
      <c r="D602" s="65">
        <f>IF(Table2[[#This Row],[Country]]&gt;0,(((Table2[[#This Row],[Country]]-B601)/B601)+1)^12-1,"")</f>
        <v/>
      </c>
    </row>
    <row r="603">
      <c r="A603" s="36" t="n">
        <v>40452</v>
      </c>
      <c r="B603" s="37">
        <f>VLOOKUP(A603,Data!$E:$BG,MATCH(Country!$A$1,Data!$E$1:$BG$1,),)</f>
        <v/>
      </c>
      <c r="C603" s="65">
        <f>IF(B591&gt;0,(Table2[[#This Row],[Country]]-B591)/B591,0)</f>
        <v/>
      </c>
      <c r="D603" s="65">
        <f>IF(Table2[[#This Row],[Country]]&gt;0,(((Table2[[#This Row],[Country]]-B602)/B602)+1)^12-1,"")</f>
        <v/>
      </c>
    </row>
    <row r="604">
      <c r="A604" s="36" t="n">
        <v>40483</v>
      </c>
      <c r="B604" s="37">
        <f>VLOOKUP(A604,Data!$E:$BG,MATCH(Country!$A$1,Data!$E$1:$BG$1,),)</f>
        <v/>
      </c>
      <c r="C604" s="65">
        <f>IF(B592&gt;0,(Table2[[#This Row],[Country]]-B592)/B592,0)</f>
        <v/>
      </c>
      <c r="D604" s="65">
        <f>IF(Table2[[#This Row],[Country]]&gt;0,(((Table2[[#This Row],[Country]]-B603)/B603)+1)^12-1,"")</f>
        <v/>
      </c>
    </row>
    <row r="605">
      <c r="A605" s="36" t="n">
        <v>40513</v>
      </c>
      <c r="B605" s="37">
        <f>VLOOKUP(A605,Data!$E:$BG,MATCH(Country!$A$1,Data!$E$1:$BG$1,),)</f>
        <v/>
      </c>
      <c r="C605" s="65">
        <f>IF(B593&gt;0,(Table2[[#This Row],[Country]]-B593)/B593,0)</f>
        <v/>
      </c>
      <c r="D605" s="65">
        <f>IF(Table2[[#This Row],[Country]]&gt;0,(((Table2[[#This Row],[Country]]-B604)/B604)+1)^12-1,"")</f>
        <v/>
      </c>
    </row>
    <row r="606">
      <c r="A606" s="36" t="n">
        <v>40544</v>
      </c>
      <c r="B606" s="37">
        <f>VLOOKUP(A606,Data!$E:$BG,MATCH(Country!$A$1,Data!$E$1:$BG$1,),)</f>
        <v/>
      </c>
      <c r="C606" s="65">
        <f>IF(B594&gt;0,(Table2[[#This Row],[Country]]-B594)/B594,0)</f>
        <v/>
      </c>
      <c r="D606" s="65">
        <f>IF(Table2[[#This Row],[Country]]&gt;0,(((Table2[[#This Row],[Country]]-B605)/B605)+1)^12-1,"")</f>
        <v/>
      </c>
    </row>
    <row r="607">
      <c r="A607" s="36" t="n">
        <v>40575</v>
      </c>
      <c r="B607" s="37">
        <f>VLOOKUP(A607,Data!$E:$BG,MATCH(Country!$A$1,Data!$E$1:$BG$1,),)</f>
        <v/>
      </c>
      <c r="C607" s="65">
        <f>IF(B595&gt;0,(Table2[[#This Row],[Country]]-B595)/B595,0)</f>
        <v/>
      </c>
      <c r="D607" s="65">
        <f>IF(Table2[[#This Row],[Country]]&gt;0,(((Table2[[#This Row],[Country]]-B606)/B606)+1)^12-1,"")</f>
        <v/>
      </c>
    </row>
    <row r="608">
      <c r="A608" s="36" t="n">
        <v>40603</v>
      </c>
      <c r="B608" s="37">
        <f>VLOOKUP(A608,Data!$E:$BG,MATCH(Country!$A$1,Data!$E$1:$BG$1,),)</f>
        <v/>
      </c>
      <c r="C608" s="65">
        <f>IF(B596&gt;0,(Table2[[#This Row],[Country]]-B596)/B596,0)</f>
        <v/>
      </c>
      <c r="D608" s="65">
        <f>IF(Table2[[#This Row],[Country]]&gt;0,(((Table2[[#This Row],[Country]]-B607)/B607)+1)^12-1,"")</f>
        <v/>
      </c>
    </row>
    <row r="609">
      <c r="A609" s="36" t="n">
        <v>40634</v>
      </c>
      <c r="B609" s="37">
        <f>VLOOKUP(A609,Data!$E:$BG,MATCH(Country!$A$1,Data!$E$1:$BG$1,),)</f>
        <v/>
      </c>
      <c r="C609" s="65">
        <f>IF(B597&gt;0,(Table2[[#This Row],[Country]]-B597)/B597,0)</f>
        <v/>
      </c>
      <c r="D609" s="65">
        <f>IF(Table2[[#This Row],[Country]]&gt;0,(((Table2[[#This Row],[Country]]-B608)/B608)+1)^12-1,"")</f>
        <v/>
      </c>
    </row>
    <row r="610">
      <c r="A610" s="36" t="n">
        <v>40664</v>
      </c>
      <c r="B610" s="37">
        <f>VLOOKUP(A610,Data!$E:$BG,MATCH(Country!$A$1,Data!$E$1:$BG$1,),)</f>
        <v/>
      </c>
      <c r="C610" s="65">
        <f>IF(B598&gt;0,(Table2[[#This Row],[Country]]-B598)/B598,0)</f>
        <v/>
      </c>
      <c r="D610" s="65">
        <f>IF(Table2[[#This Row],[Country]]&gt;0,(((Table2[[#This Row],[Country]]-B609)/B609)+1)^12-1,"")</f>
        <v/>
      </c>
    </row>
    <row r="611">
      <c r="A611" s="36" t="n">
        <v>40695</v>
      </c>
      <c r="B611" s="37">
        <f>VLOOKUP(A611,Data!$E:$BG,MATCH(Country!$A$1,Data!$E$1:$BG$1,),)</f>
        <v/>
      </c>
      <c r="C611" s="65">
        <f>IF(B599&gt;0,(Table2[[#This Row],[Country]]-B599)/B599,0)</f>
        <v/>
      </c>
      <c r="D611" s="65">
        <f>IF(Table2[[#This Row],[Country]]&gt;0,(((Table2[[#This Row],[Country]]-B610)/B610)+1)^12-1,"")</f>
        <v/>
      </c>
    </row>
    <row r="612">
      <c r="A612" s="36" t="n">
        <v>40725</v>
      </c>
      <c r="B612" s="37">
        <f>VLOOKUP(A612,Data!$E:$BG,MATCH(Country!$A$1,Data!$E$1:$BG$1,),)</f>
        <v/>
      </c>
      <c r="C612" s="65">
        <f>IF(B600&gt;0,(Table2[[#This Row],[Country]]-B600)/B600,0)</f>
        <v/>
      </c>
      <c r="D612" s="65">
        <f>IF(Table2[[#This Row],[Country]]&gt;0,(((Table2[[#This Row],[Country]]-B611)/B611)+1)^12-1,"")</f>
        <v/>
      </c>
    </row>
    <row r="613">
      <c r="A613" s="36" t="n">
        <v>40756</v>
      </c>
      <c r="B613" s="37">
        <f>VLOOKUP(A613,Data!$E:$BG,MATCH(Country!$A$1,Data!$E$1:$BG$1,),)</f>
        <v/>
      </c>
      <c r="C613" s="65">
        <f>IF(B601&gt;0,(Table2[[#This Row],[Country]]-B601)/B601,0)</f>
        <v/>
      </c>
      <c r="D613" s="65">
        <f>IF(Table2[[#This Row],[Country]]&gt;0,(((Table2[[#This Row],[Country]]-B612)/B612)+1)^12-1,"")</f>
        <v/>
      </c>
    </row>
    <row r="614">
      <c r="A614" s="36" t="n">
        <v>40787</v>
      </c>
      <c r="B614" s="37">
        <f>VLOOKUP(A614,Data!$E:$BG,MATCH(Country!$A$1,Data!$E$1:$BG$1,),)</f>
        <v/>
      </c>
      <c r="C614" s="65">
        <f>IF(B602&gt;0,(Table2[[#This Row],[Country]]-B602)/B602,0)</f>
        <v/>
      </c>
      <c r="D614" s="65">
        <f>IF(Table2[[#This Row],[Country]]&gt;0,(((Table2[[#This Row],[Country]]-B613)/B613)+1)^12-1,"")</f>
        <v/>
      </c>
    </row>
    <row r="615">
      <c r="A615" s="36" t="n">
        <v>40817</v>
      </c>
      <c r="B615" s="37">
        <f>VLOOKUP(A615,Data!$E:$BG,MATCH(Country!$A$1,Data!$E$1:$BG$1,),)</f>
        <v/>
      </c>
      <c r="C615" s="65">
        <f>IF(B603&gt;0,(Table2[[#This Row],[Country]]-B603)/B603,0)</f>
        <v/>
      </c>
      <c r="D615" s="65">
        <f>IF(Table2[[#This Row],[Country]]&gt;0,(((Table2[[#This Row],[Country]]-B614)/B614)+1)^12-1,"")</f>
        <v/>
      </c>
    </row>
    <row r="616">
      <c r="A616" s="36" t="n">
        <v>40848</v>
      </c>
      <c r="B616" s="37">
        <f>VLOOKUP(A616,Data!$E:$BG,MATCH(Country!$A$1,Data!$E$1:$BG$1,),)</f>
        <v/>
      </c>
      <c r="C616" s="65">
        <f>IF(B604&gt;0,(Table2[[#This Row],[Country]]-B604)/B604,0)</f>
        <v/>
      </c>
      <c r="D616" s="65">
        <f>IF(Table2[[#This Row],[Country]]&gt;0,(((Table2[[#This Row],[Country]]-B615)/B615)+1)^12-1,"")</f>
        <v/>
      </c>
    </row>
    <row r="617">
      <c r="A617" s="36" t="n">
        <v>40878</v>
      </c>
      <c r="B617" s="37">
        <f>VLOOKUP(A617,Data!$E:$BG,MATCH(Country!$A$1,Data!$E$1:$BG$1,),)</f>
        <v/>
      </c>
      <c r="C617" s="65">
        <f>IF(B605&gt;0,(Table2[[#This Row],[Country]]-B605)/B605,0)</f>
        <v/>
      </c>
      <c r="D617" s="65">
        <f>IF(Table2[[#This Row],[Country]]&gt;0,(((Table2[[#This Row],[Country]]-B616)/B616)+1)^12-1,"")</f>
        <v/>
      </c>
    </row>
    <row r="618">
      <c r="A618" s="36" t="n">
        <v>40909</v>
      </c>
      <c r="B618" s="37">
        <f>VLOOKUP(A618,Data!$E:$BG,MATCH(Country!$A$1,Data!$E$1:$BG$1,),)</f>
        <v/>
      </c>
      <c r="C618" s="65">
        <f>IF(B606&gt;0,(Table2[[#This Row],[Country]]-B606)/B606,0)</f>
        <v/>
      </c>
      <c r="D618" s="65">
        <f>IF(Table2[[#This Row],[Country]]&gt;0,(((Table2[[#This Row],[Country]]-B617)/B617)+1)^12-1,"")</f>
        <v/>
      </c>
    </row>
    <row r="619">
      <c r="A619" s="36" t="n">
        <v>40940</v>
      </c>
      <c r="B619" s="37">
        <f>VLOOKUP(A619,Data!$E:$BG,MATCH(Country!$A$1,Data!$E$1:$BG$1,),)</f>
        <v/>
      </c>
      <c r="C619" s="65">
        <f>IF(B607&gt;0,(Table2[[#This Row],[Country]]-B607)/B607,0)</f>
        <v/>
      </c>
      <c r="D619" s="65">
        <f>IF(Table2[[#This Row],[Country]]&gt;0,(((Table2[[#This Row],[Country]]-B618)/B618)+1)^12-1,"")</f>
        <v/>
      </c>
    </row>
    <row r="620">
      <c r="A620" s="36" t="n">
        <v>40969</v>
      </c>
      <c r="B620" s="37">
        <f>VLOOKUP(A620,Data!$E:$BG,MATCH(Country!$A$1,Data!$E$1:$BG$1,),)</f>
        <v/>
      </c>
      <c r="C620" s="65">
        <f>IF(B608&gt;0,(Table2[[#This Row],[Country]]-B608)/B608,0)</f>
        <v/>
      </c>
      <c r="D620" s="65">
        <f>IF(Table2[[#This Row],[Country]]&gt;0,(((Table2[[#This Row],[Country]]-B619)/B619)+1)^12-1,"")</f>
        <v/>
      </c>
    </row>
    <row r="621">
      <c r="A621" s="36" t="n">
        <v>41000</v>
      </c>
      <c r="B621" s="37">
        <f>VLOOKUP(A621,Data!$E:$BG,MATCH(Country!$A$1,Data!$E$1:$BG$1,),)</f>
        <v/>
      </c>
      <c r="C621" s="65">
        <f>IF(B609&gt;0,(Table2[[#This Row],[Country]]-B609)/B609,0)</f>
        <v/>
      </c>
      <c r="D621" s="65">
        <f>IF(Table2[[#This Row],[Country]]&gt;0,(((Table2[[#This Row],[Country]]-B620)/B620)+1)^12-1,"")</f>
        <v/>
      </c>
    </row>
    <row r="622">
      <c r="A622" s="36" t="n">
        <v>41030</v>
      </c>
      <c r="B622" s="37">
        <f>VLOOKUP(A622,Data!$E:$BG,MATCH(Country!$A$1,Data!$E$1:$BG$1,),)</f>
        <v/>
      </c>
      <c r="C622" s="65">
        <f>IF(B610&gt;0,(Table2[[#This Row],[Country]]-B610)/B610,0)</f>
        <v/>
      </c>
      <c r="D622" s="65">
        <f>IF(Table2[[#This Row],[Country]]&gt;0,(((Table2[[#This Row],[Country]]-B621)/B621)+1)^12-1,"")</f>
        <v/>
      </c>
    </row>
    <row r="623">
      <c r="A623" s="36" t="n">
        <v>41061</v>
      </c>
      <c r="B623" s="37">
        <f>VLOOKUP(A623,Data!$E:$BG,MATCH(Country!$A$1,Data!$E$1:$BG$1,),)</f>
        <v/>
      </c>
      <c r="C623" s="65">
        <f>IF(B611&gt;0,(Table2[[#This Row],[Country]]-B611)/B611,0)</f>
        <v/>
      </c>
      <c r="D623" s="65">
        <f>IF(Table2[[#This Row],[Country]]&gt;0,(((Table2[[#This Row],[Country]]-B622)/B622)+1)^12-1,"")</f>
        <v/>
      </c>
    </row>
    <row r="624">
      <c r="A624" s="36" t="n">
        <v>41091</v>
      </c>
      <c r="B624" s="37">
        <f>VLOOKUP(A624,Data!$E:$BG,MATCH(Country!$A$1,Data!$E$1:$BG$1,),)</f>
        <v/>
      </c>
      <c r="C624" s="65">
        <f>IF(B612&gt;0,(Table2[[#This Row],[Country]]-B612)/B612,0)</f>
        <v/>
      </c>
      <c r="D624" s="65">
        <f>IF(Table2[[#This Row],[Country]]&gt;0,(((Table2[[#This Row],[Country]]-B623)/B623)+1)^12-1,"")</f>
        <v/>
      </c>
    </row>
    <row r="625">
      <c r="A625" s="36" t="n">
        <v>41122</v>
      </c>
      <c r="B625" s="37">
        <f>VLOOKUP(A625,Data!$E:$BG,MATCH(Country!$A$1,Data!$E$1:$BG$1,),)</f>
        <v/>
      </c>
      <c r="C625" s="65">
        <f>IF(B613&gt;0,(Table2[[#This Row],[Country]]-B613)/B613,0)</f>
        <v/>
      </c>
      <c r="D625" s="65">
        <f>IF(Table2[[#This Row],[Country]]&gt;0,(((Table2[[#This Row],[Country]]-B624)/B624)+1)^12-1,"")</f>
        <v/>
      </c>
    </row>
    <row r="626">
      <c r="A626" s="36" t="n">
        <v>41153</v>
      </c>
      <c r="B626" s="37">
        <f>VLOOKUP(A626,Data!$E:$BG,MATCH(Country!$A$1,Data!$E$1:$BG$1,),)</f>
        <v/>
      </c>
      <c r="C626" s="65">
        <f>IF(B614&gt;0,(Table2[[#This Row],[Country]]-B614)/B614,0)</f>
        <v/>
      </c>
      <c r="D626" s="65">
        <f>IF(Table2[[#This Row],[Country]]&gt;0,(((Table2[[#This Row],[Country]]-B625)/B625)+1)^12-1,"")</f>
        <v/>
      </c>
    </row>
    <row r="627">
      <c r="A627" s="36" t="n">
        <v>41183</v>
      </c>
      <c r="B627" s="37">
        <f>VLOOKUP(A627,Data!$E:$BG,MATCH(Country!$A$1,Data!$E$1:$BG$1,),)</f>
        <v/>
      </c>
      <c r="C627" s="65">
        <f>IF(B615&gt;0,(Table2[[#This Row],[Country]]-B615)/B615,0)</f>
        <v/>
      </c>
      <c r="D627" s="65">
        <f>IF(Table2[[#This Row],[Country]]&gt;0,(((Table2[[#This Row],[Country]]-B626)/B626)+1)^12-1,"")</f>
        <v/>
      </c>
    </row>
    <row r="628">
      <c r="A628" s="36" t="n">
        <v>41214</v>
      </c>
      <c r="B628" s="37">
        <f>VLOOKUP(A628,Data!$E:$BG,MATCH(Country!$A$1,Data!$E$1:$BG$1,),)</f>
        <v/>
      </c>
      <c r="C628" s="65">
        <f>IF(B616&gt;0,(Table2[[#This Row],[Country]]-B616)/B616,0)</f>
        <v/>
      </c>
      <c r="D628" s="65">
        <f>IF(Table2[[#This Row],[Country]]&gt;0,(((Table2[[#This Row],[Country]]-B627)/B627)+1)^12-1,"")</f>
        <v/>
      </c>
    </row>
    <row r="629">
      <c r="A629" s="36" t="n">
        <v>41244</v>
      </c>
      <c r="B629" s="37">
        <f>VLOOKUP(A629,Data!$E:$BG,MATCH(Country!$A$1,Data!$E$1:$BG$1,),)</f>
        <v/>
      </c>
      <c r="C629" s="65">
        <f>IF(B617&gt;0,(Table2[[#This Row],[Country]]-B617)/B617,0)</f>
        <v/>
      </c>
      <c r="D629" s="65">
        <f>IF(Table2[[#This Row],[Country]]&gt;0,(((Table2[[#This Row],[Country]]-B628)/B628)+1)^12-1,"")</f>
        <v/>
      </c>
    </row>
    <row r="630">
      <c r="A630" s="36" t="n">
        <v>41275</v>
      </c>
      <c r="B630" s="37">
        <f>VLOOKUP(A630,Data!$E:$BG,MATCH(Country!$A$1,Data!$E$1:$BG$1,),)</f>
        <v/>
      </c>
      <c r="C630" s="65">
        <f>IF(B618&gt;0,(Table2[[#This Row],[Country]]-B618)/B618,0)</f>
        <v/>
      </c>
      <c r="D630" s="65">
        <f>IF(Table2[[#This Row],[Country]]&gt;0,(((Table2[[#This Row],[Country]]-B629)/B629)+1)^12-1,"")</f>
        <v/>
      </c>
    </row>
    <row r="631">
      <c r="A631" s="36" t="n">
        <v>41306</v>
      </c>
      <c r="B631" s="37">
        <f>VLOOKUP(A631,Data!$E:$BG,MATCH(Country!$A$1,Data!$E$1:$BG$1,),)</f>
        <v/>
      </c>
      <c r="C631" s="65">
        <f>IF(B619&gt;0,(Table2[[#This Row],[Country]]-B619)/B619,0)</f>
        <v/>
      </c>
      <c r="D631" s="65">
        <f>IF(Table2[[#This Row],[Country]]&gt;0,(((Table2[[#This Row],[Country]]-B630)/B630)+1)^12-1,"")</f>
        <v/>
      </c>
    </row>
    <row r="632">
      <c r="A632" s="36" t="n">
        <v>41334</v>
      </c>
      <c r="B632" s="37">
        <f>VLOOKUP(A632,Data!$E:$BG,MATCH(Country!$A$1,Data!$E$1:$BG$1,),)</f>
        <v/>
      </c>
      <c r="C632" s="65">
        <f>IF(B620&gt;0,(Table2[[#This Row],[Country]]-B620)/B620,0)</f>
        <v/>
      </c>
      <c r="D632" s="65">
        <f>IF(Table2[[#This Row],[Country]]&gt;0,(((Table2[[#This Row],[Country]]-B631)/B631)+1)^12-1,"")</f>
        <v/>
      </c>
    </row>
    <row r="633">
      <c r="A633" s="36" t="n">
        <v>41365</v>
      </c>
      <c r="B633" s="37">
        <f>VLOOKUP(A633,Data!$E:$BG,MATCH(Country!$A$1,Data!$E$1:$BG$1,),)</f>
        <v/>
      </c>
      <c r="C633" s="65">
        <f>IF(B621&gt;0,(Table2[[#This Row],[Country]]-B621)/B621,0)</f>
        <v/>
      </c>
      <c r="D633" s="65">
        <f>IF(Table2[[#This Row],[Country]]&gt;0,(((Table2[[#This Row],[Country]]-B632)/B632)+1)^12-1,"")</f>
        <v/>
      </c>
    </row>
    <row r="634">
      <c r="A634" s="36" t="n">
        <v>41395</v>
      </c>
      <c r="B634" s="37">
        <f>VLOOKUP(A634,Data!$E:$BG,MATCH(Country!$A$1,Data!$E$1:$BG$1,),)</f>
        <v/>
      </c>
      <c r="C634" s="65">
        <f>IF(B622&gt;0,(Table2[[#This Row],[Country]]-B622)/B622,0)</f>
        <v/>
      </c>
      <c r="D634" s="65">
        <f>IF(Table2[[#This Row],[Country]]&gt;0,(((Table2[[#This Row],[Country]]-B633)/B633)+1)^12-1,"")</f>
        <v/>
      </c>
    </row>
    <row r="635">
      <c r="A635" s="36" t="n">
        <v>41426</v>
      </c>
      <c r="B635" s="37">
        <f>VLOOKUP(A635,Data!$E:$BG,MATCH(Country!$A$1,Data!$E$1:$BG$1,),)</f>
        <v/>
      </c>
      <c r="C635" s="65">
        <f>IF(B623&gt;0,(Table2[[#This Row],[Country]]-B623)/B623,0)</f>
        <v/>
      </c>
      <c r="D635" s="65">
        <f>IF(Table2[[#This Row],[Country]]&gt;0,(((Table2[[#This Row],[Country]]-B634)/B634)+1)^12-1,"")</f>
        <v/>
      </c>
    </row>
    <row r="636">
      <c r="A636" s="36" t="n">
        <v>41456</v>
      </c>
      <c r="B636" s="37">
        <f>VLOOKUP(A636,Data!$E:$BG,MATCH(Country!$A$1,Data!$E$1:$BG$1,),)</f>
        <v/>
      </c>
      <c r="C636" s="65">
        <f>IF(B624&gt;0,(Table2[[#This Row],[Country]]-B624)/B624,0)</f>
        <v/>
      </c>
      <c r="D636" s="65">
        <f>IF(Table2[[#This Row],[Country]]&gt;0,(((Table2[[#This Row],[Country]]-B635)/B635)+1)^12-1,"")</f>
        <v/>
      </c>
    </row>
    <row r="637">
      <c r="A637" s="36" t="n">
        <v>41487</v>
      </c>
      <c r="B637" s="37">
        <f>VLOOKUP(A637,Data!$E:$BG,MATCH(Country!$A$1,Data!$E$1:$BG$1,),)</f>
        <v/>
      </c>
      <c r="C637" s="65">
        <f>IF(B625&gt;0,(Table2[[#This Row],[Country]]-B625)/B625,0)</f>
        <v/>
      </c>
      <c r="D637" s="65">
        <f>IF(Table2[[#This Row],[Country]]&gt;0,(((Table2[[#This Row],[Country]]-B636)/B636)+1)^12-1,"")</f>
        <v/>
      </c>
    </row>
    <row r="638">
      <c r="A638" s="36" t="n">
        <v>41518</v>
      </c>
      <c r="B638" s="37">
        <f>VLOOKUP(A638,Data!$E:$BG,MATCH(Country!$A$1,Data!$E$1:$BG$1,),)</f>
        <v/>
      </c>
      <c r="C638" s="65">
        <f>IF(B626&gt;0,(Table2[[#This Row],[Country]]-B626)/B626,0)</f>
        <v/>
      </c>
      <c r="D638" s="65">
        <f>IF(Table2[[#This Row],[Country]]&gt;0,(((Table2[[#This Row],[Country]]-B637)/B637)+1)^12-1,"")</f>
        <v/>
      </c>
    </row>
    <row r="639">
      <c r="A639" s="36" t="n">
        <v>41548</v>
      </c>
      <c r="B639" s="37">
        <f>VLOOKUP(A639,Data!$E:$BG,MATCH(Country!$A$1,Data!$E$1:$BG$1,),)</f>
        <v/>
      </c>
      <c r="C639" s="65">
        <f>IF(B627&gt;0,(Table2[[#This Row],[Country]]-B627)/B627,0)</f>
        <v/>
      </c>
      <c r="D639" s="65">
        <f>IF(Table2[[#This Row],[Country]]&gt;0,(((Table2[[#This Row],[Country]]-B638)/B638)+1)^12-1,"")</f>
        <v/>
      </c>
    </row>
    <row r="640">
      <c r="A640" s="36" t="n">
        <v>41579</v>
      </c>
      <c r="B640" s="37">
        <f>VLOOKUP(A640,Data!$E:$BG,MATCH(Country!$A$1,Data!$E$1:$BG$1,),)</f>
        <v/>
      </c>
      <c r="C640" s="65">
        <f>IF(B628&gt;0,(Table2[[#This Row],[Country]]-B628)/B628,0)</f>
        <v/>
      </c>
      <c r="D640" s="65">
        <f>IF(Table2[[#This Row],[Country]]&gt;0,(((Table2[[#This Row],[Country]]-B639)/B639)+1)^12-1,"")</f>
        <v/>
      </c>
    </row>
    <row r="641">
      <c r="A641" s="36" t="n">
        <v>41609</v>
      </c>
      <c r="B641" s="37">
        <f>VLOOKUP(A641,Data!$E:$BG,MATCH(Country!$A$1,Data!$E$1:$BG$1,),)</f>
        <v/>
      </c>
      <c r="C641" s="65">
        <f>IF(B629&gt;0,(Table2[[#This Row],[Country]]-B629)/B629,0)</f>
        <v/>
      </c>
      <c r="D641" s="65">
        <f>IF(Table2[[#This Row],[Country]]&gt;0,(((Table2[[#This Row],[Country]]-B640)/B640)+1)^12-1,"")</f>
        <v/>
      </c>
    </row>
    <row r="642">
      <c r="A642" s="36" t="n">
        <v>41640</v>
      </c>
      <c r="B642" s="37">
        <f>VLOOKUP(A642,Data!$E:$BG,MATCH(Country!$A$1,Data!$E$1:$BG$1,),)</f>
        <v/>
      </c>
      <c r="C642" s="65">
        <f>IF(B630&gt;0,(Table2[[#This Row],[Country]]-B630)/B630,0)</f>
        <v/>
      </c>
      <c r="D642" s="65">
        <f>IF(Table2[[#This Row],[Country]]&gt;0,(((Table2[[#This Row],[Country]]-B641)/B641)+1)^12-1,"")</f>
        <v/>
      </c>
    </row>
    <row r="643">
      <c r="A643" s="36" t="n">
        <v>41671</v>
      </c>
      <c r="B643" s="37">
        <f>VLOOKUP(A643,Data!$E:$BG,MATCH(Country!$A$1,Data!$E$1:$BG$1,),)</f>
        <v/>
      </c>
      <c r="C643" s="65">
        <f>IF(B631&gt;0,(Table2[[#This Row],[Country]]-B631)/B631,0)</f>
        <v/>
      </c>
      <c r="D643" s="65">
        <f>IF(Table2[[#This Row],[Country]]&gt;0,(((Table2[[#This Row],[Country]]-B642)/B642)+1)^12-1,"")</f>
        <v/>
      </c>
    </row>
    <row r="644">
      <c r="A644" s="36" t="n">
        <v>41699</v>
      </c>
      <c r="B644" s="37">
        <f>VLOOKUP(A644,Data!$E:$BG,MATCH(Country!$A$1,Data!$E$1:$BG$1,),)</f>
        <v/>
      </c>
      <c r="C644" s="65">
        <f>IF(B632&gt;0,(Table2[[#This Row],[Country]]-B632)/B632,0)</f>
        <v/>
      </c>
      <c r="D644" s="65">
        <f>IF(Table2[[#This Row],[Country]]&gt;0,(((Table2[[#This Row],[Country]]-B643)/B643)+1)^12-1,"")</f>
        <v/>
      </c>
    </row>
    <row r="645">
      <c r="A645" s="36" t="n">
        <v>41730</v>
      </c>
      <c r="B645" s="37">
        <f>VLOOKUP(A645,Data!$E:$BG,MATCH(Country!$A$1,Data!$E$1:$BG$1,),)</f>
        <v/>
      </c>
      <c r="C645" s="65">
        <f>IF(B633&gt;0,(Table2[[#This Row],[Country]]-B633)/B633,0)</f>
        <v/>
      </c>
      <c r="D645" s="65">
        <f>IF(Table2[[#This Row],[Country]]&gt;0,(((Table2[[#This Row],[Country]]-B644)/B644)+1)^12-1,"")</f>
        <v/>
      </c>
    </row>
    <row r="646">
      <c r="A646" s="36" t="n">
        <v>41760</v>
      </c>
      <c r="B646" s="37">
        <f>VLOOKUP(A646,Data!$E:$BG,MATCH(Country!$A$1,Data!$E$1:$BG$1,),)</f>
        <v/>
      </c>
      <c r="C646" s="65">
        <f>IF(B634&gt;0,(Table2[[#This Row],[Country]]-B634)/B634,0)</f>
        <v/>
      </c>
      <c r="D646" s="65">
        <f>IF(Table2[[#This Row],[Country]]&gt;0,(((Table2[[#This Row],[Country]]-B645)/B645)+1)^12-1,"")</f>
        <v/>
      </c>
    </row>
    <row r="647">
      <c r="A647" s="36" t="n">
        <v>41791</v>
      </c>
      <c r="B647" s="37">
        <f>VLOOKUP(A647,Data!$E:$BG,MATCH(Country!$A$1,Data!$E$1:$BG$1,),)</f>
        <v/>
      </c>
      <c r="C647" s="65">
        <f>IF(B635&gt;0,(Table2[[#This Row],[Country]]-B635)/B635,0)</f>
        <v/>
      </c>
      <c r="D647" s="65">
        <f>IF(Table2[[#This Row],[Country]]&gt;0,(((Table2[[#This Row],[Country]]-B646)/B646)+1)^12-1,"")</f>
        <v/>
      </c>
    </row>
    <row r="648">
      <c r="A648" s="36" t="n">
        <v>41821</v>
      </c>
      <c r="B648" s="37">
        <f>VLOOKUP(A648,Data!$E:$BG,MATCH(Country!$A$1,Data!$E$1:$BG$1,),)</f>
        <v/>
      </c>
      <c r="C648" s="65">
        <f>IF(B636&gt;0,(Table2[[#This Row],[Country]]-B636)/B636,0)</f>
        <v/>
      </c>
      <c r="D648" s="65">
        <f>IF(Table2[[#This Row],[Country]]&gt;0,(((Table2[[#This Row],[Country]]-B647)/B647)+1)^12-1,"")</f>
        <v/>
      </c>
    </row>
    <row r="649">
      <c r="A649" s="36" t="n">
        <v>41852</v>
      </c>
      <c r="B649" s="37">
        <f>VLOOKUP(A649,Data!$E:$BG,MATCH(Country!$A$1,Data!$E$1:$BG$1,),)</f>
        <v/>
      </c>
      <c r="C649" s="65">
        <f>IF(B637&gt;0,(Table2[[#This Row],[Country]]-B637)/B637,0)</f>
        <v/>
      </c>
      <c r="D649" s="65">
        <f>IF(Table2[[#This Row],[Country]]&gt;0,(((Table2[[#This Row],[Country]]-B648)/B648)+1)^12-1,"")</f>
        <v/>
      </c>
    </row>
    <row r="650">
      <c r="A650" s="36" t="n">
        <v>41883</v>
      </c>
      <c r="B650" s="37">
        <f>VLOOKUP(A650,Data!$E:$BG,MATCH(Country!$A$1,Data!$E$1:$BG$1,),)</f>
        <v/>
      </c>
      <c r="C650" s="65">
        <f>IF(B638&gt;0,(Table2[[#This Row],[Country]]-B638)/B638,0)</f>
        <v/>
      </c>
      <c r="D650" s="65">
        <f>IF(Table2[[#This Row],[Country]]&gt;0,(((Table2[[#This Row],[Country]]-B649)/B649)+1)^12-1,"")</f>
        <v/>
      </c>
    </row>
    <row r="651">
      <c r="A651" s="36" t="n">
        <v>41913</v>
      </c>
      <c r="B651" s="37">
        <f>VLOOKUP(A651,Data!$E:$BG,MATCH(Country!$A$1,Data!$E$1:$BG$1,),)</f>
        <v/>
      </c>
      <c r="C651" s="65">
        <f>IF(B639&gt;0,(Table2[[#This Row],[Country]]-B639)/B639,0)</f>
        <v/>
      </c>
      <c r="D651" s="65">
        <f>IF(Table2[[#This Row],[Country]]&gt;0,(((Table2[[#This Row],[Country]]-B650)/B650)+1)^12-1,"")</f>
        <v/>
      </c>
    </row>
    <row r="652">
      <c r="A652" s="36" t="n">
        <v>41944</v>
      </c>
      <c r="B652" s="37">
        <f>VLOOKUP(A652,Data!$E:$BG,MATCH(Country!$A$1,Data!$E$1:$BG$1,),)</f>
        <v/>
      </c>
      <c r="C652" s="65">
        <f>IF(B640&gt;0,(Table2[[#This Row],[Country]]-B640)/B640,0)</f>
        <v/>
      </c>
      <c r="D652" s="65">
        <f>IF(Table2[[#This Row],[Country]]&gt;0,(((Table2[[#This Row],[Country]]-B651)/B651)+1)^12-1,"")</f>
        <v/>
      </c>
    </row>
    <row r="653">
      <c r="A653" s="36" t="n">
        <v>41974</v>
      </c>
      <c r="B653" s="37">
        <f>VLOOKUP(A653,Data!$E:$BG,MATCH(Country!$A$1,Data!$E$1:$BG$1,),)</f>
        <v/>
      </c>
      <c r="C653" s="65">
        <f>IF(B641&gt;0,(Table2[[#This Row],[Country]]-B641)/B641,0)</f>
        <v/>
      </c>
      <c r="D653" s="65">
        <f>IF(Table2[[#This Row],[Country]]&gt;0,(((Table2[[#This Row],[Country]]-B652)/B652)+1)^12-1,"")</f>
        <v/>
      </c>
    </row>
    <row r="654">
      <c r="A654" s="36" t="n">
        <v>42005</v>
      </c>
      <c r="B654" s="37">
        <f>VLOOKUP(A654,Data!$E:$BG,MATCH(Country!$A$1,Data!$E$1:$BG$1,),)</f>
        <v/>
      </c>
      <c r="C654" s="65">
        <f>IF(B642&gt;0,(Table2[[#This Row],[Country]]-B642)/B642,0)</f>
        <v/>
      </c>
      <c r="D654" s="65">
        <f>IF(Table2[[#This Row],[Country]]&gt;0,(((Table2[[#This Row],[Country]]-B653)/B653)+1)^12-1,"")</f>
        <v/>
      </c>
    </row>
    <row r="655">
      <c r="A655" s="36" t="n">
        <v>42036</v>
      </c>
      <c r="B655" s="37">
        <f>VLOOKUP(A655,Data!$E:$BG,MATCH(Country!$A$1,Data!$E$1:$BG$1,),)</f>
        <v/>
      </c>
      <c r="C655" s="65">
        <f>IF(B643&gt;0,(Table2[[#This Row],[Country]]-B643)/B643,0)</f>
        <v/>
      </c>
      <c r="D655" s="65">
        <f>IF(Table2[[#This Row],[Country]]&gt;0,(((Table2[[#This Row],[Country]]-B654)/B654)+1)^12-1,"")</f>
        <v/>
      </c>
    </row>
    <row r="656">
      <c r="A656" s="36" t="n">
        <v>42064</v>
      </c>
      <c r="B656" s="37">
        <f>VLOOKUP(A656,Data!$E:$BG,MATCH(Country!$A$1,Data!$E$1:$BG$1,),)</f>
        <v/>
      </c>
      <c r="C656" s="65">
        <f>IF(B644&gt;0,(Table2[[#This Row],[Country]]-B644)/B644,0)</f>
        <v/>
      </c>
      <c r="D656" s="65">
        <f>IF(Table2[[#This Row],[Country]]&gt;0,(((Table2[[#This Row],[Country]]-B655)/B655)+1)^12-1,"")</f>
        <v/>
      </c>
    </row>
    <row r="657">
      <c r="A657" s="36" t="n">
        <v>42095</v>
      </c>
      <c r="B657" s="37">
        <f>VLOOKUP(A657,Data!$E:$BG,MATCH(Country!$A$1,Data!$E$1:$BG$1,),)</f>
        <v/>
      </c>
      <c r="C657" s="65">
        <f>IF(B645&gt;0,(Table2[[#This Row],[Country]]-B645)/B645,0)</f>
        <v/>
      </c>
      <c r="D657" s="65">
        <f>IF(Table2[[#This Row],[Country]]&gt;0,(((Table2[[#This Row],[Country]]-B656)/B656)+1)^12-1,"")</f>
        <v/>
      </c>
    </row>
    <row r="658">
      <c r="A658" s="36" t="n">
        <v>42125</v>
      </c>
      <c r="B658" s="37">
        <f>VLOOKUP(A658,Data!$E:$BG,MATCH(Country!$A$1,Data!$E$1:$BG$1,),)</f>
        <v/>
      </c>
      <c r="C658" s="65">
        <f>IF(B646&gt;0,(Table2[[#This Row],[Country]]-B646)/B646,0)</f>
        <v/>
      </c>
      <c r="D658" s="65">
        <f>IF(Table2[[#This Row],[Country]]&gt;0,(((Table2[[#This Row],[Country]]-B657)/B657)+1)^12-1,"")</f>
        <v/>
      </c>
    </row>
    <row r="659">
      <c r="A659" s="36" t="n">
        <v>42156</v>
      </c>
      <c r="B659" s="37">
        <f>VLOOKUP(A659,Data!$E:$BG,MATCH(Country!$A$1,Data!$E$1:$BG$1,),)</f>
        <v/>
      </c>
      <c r="C659" s="65">
        <f>IF(B647&gt;0,(Table2[[#This Row],[Country]]-B647)/B647,0)</f>
        <v/>
      </c>
      <c r="D659" s="65">
        <f>IF(Table2[[#This Row],[Country]]&gt;0,(((Table2[[#This Row],[Country]]-B658)/B658)+1)^12-1,"")</f>
        <v/>
      </c>
    </row>
    <row r="660">
      <c r="A660" s="36" t="n">
        <v>42186</v>
      </c>
      <c r="B660" s="37">
        <f>VLOOKUP(A660,Data!$E:$BG,MATCH(Country!$A$1,Data!$E$1:$BG$1,),)</f>
        <v/>
      </c>
      <c r="C660" s="65">
        <f>IF(B648&gt;0,(Table2[[#This Row],[Country]]-B648)/B648,0)</f>
        <v/>
      </c>
      <c r="D660" s="65">
        <f>IF(Table2[[#This Row],[Country]]&gt;0,(((Table2[[#This Row],[Country]]-B659)/B659)+1)^12-1,"")</f>
        <v/>
      </c>
    </row>
    <row r="661">
      <c r="A661" s="36" t="n">
        <v>42217</v>
      </c>
      <c r="B661" s="37">
        <f>VLOOKUP(A661,Data!$E:$BG,MATCH(Country!$A$1,Data!$E$1:$BG$1,),)</f>
        <v/>
      </c>
      <c r="C661" s="65">
        <f>IF(B649&gt;0,(Table2[[#This Row],[Country]]-B649)/B649,0)</f>
        <v/>
      </c>
      <c r="D661" s="65">
        <f>IF(Table2[[#This Row],[Country]]&gt;0,(((Table2[[#This Row],[Country]]-B660)/B660)+1)^12-1,"")</f>
        <v/>
      </c>
    </row>
    <row r="662">
      <c r="A662" s="36" t="n">
        <v>42248</v>
      </c>
      <c r="B662" s="37">
        <f>VLOOKUP(A662,Data!$E:$BG,MATCH(Country!$A$1,Data!$E$1:$BG$1,),)</f>
        <v/>
      </c>
      <c r="C662" s="65">
        <f>IF(B650&gt;0,(Table2[[#This Row],[Country]]-B650)/B650,0)</f>
        <v/>
      </c>
      <c r="D662" s="65">
        <f>IF(Table2[[#This Row],[Country]]&gt;0,(((Table2[[#This Row],[Country]]-B661)/B661)+1)^12-1,"")</f>
        <v/>
      </c>
    </row>
    <row r="663">
      <c r="A663" s="36" t="n">
        <v>42278</v>
      </c>
      <c r="B663" s="37">
        <f>VLOOKUP(A663,Data!$E:$BG,MATCH(Country!$A$1,Data!$E$1:$BG$1,),)</f>
        <v/>
      </c>
      <c r="C663" s="65">
        <f>IF(B651&gt;0,(Table2[[#This Row],[Country]]-B651)/B651,0)</f>
        <v/>
      </c>
      <c r="D663" s="65">
        <f>IF(Table2[[#This Row],[Country]]&gt;0,(((Table2[[#This Row],[Country]]-B662)/B662)+1)^12-1,"")</f>
        <v/>
      </c>
    </row>
    <row r="664">
      <c r="A664" s="36" t="n">
        <v>42309</v>
      </c>
      <c r="B664" s="37">
        <f>VLOOKUP(A664,Data!$E:$BG,MATCH(Country!$A$1,Data!$E$1:$BG$1,),)</f>
        <v/>
      </c>
      <c r="C664" s="65">
        <f>IF(B652&gt;0,(Table2[[#This Row],[Country]]-B652)/B652,0)</f>
        <v/>
      </c>
      <c r="D664" s="65">
        <f>IF(Table2[[#This Row],[Country]]&gt;0,(((Table2[[#This Row],[Country]]-B663)/B663)+1)^12-1,"")</f>
        <v/>
      </c>
    </row>
    <row r="665">
      <c r="A665" s="36" t="n">
        <v>42339</v>
      </c>
      <c r="B665" s="37">
        <f>VLOOKUP(A665,Data!$E:$BG,MATCH(Country!$A$1,Data!$E$1:$BG$1,),)</f>
        <v/>
      </c>
      <c r="C665" s="65">
        <f>IF(B653&gt;0,(Table2[[#This Row],[Country]]-B653)/B653,0)</f>
        <v/>
      </c>
      <c r="D665" s="65">
        <f>IF(Table2[[#This Row],[Country]]&gt;0,(((Table2[[#This Row],[Country]]-B664)/B664)+1)^12-1,"")</f>
        <v/>
      </c>
    </row>
    <row r="666">
      <c r="A666" s="36" t="n">
        <v>42370</v>
      </c>
      <c r="B666" s="37">
        <f>VLOOKUP(A666,Data!$E:$BG,MATCH(Country!$A$1,Data!$E$1:$BG$1,),)</f>
        <v/>
      </c>
      <c r="C666" s="65">
        <f>IF(B654&gt;0,(Table2[[#This Row],[Country]]-B654)/B654,0)</f>
        <v/>
      </c>
      <c r="D666" s="65">
        <f>IF(Table2[[#This Row],[Country]]&gt;0,(((Table2[[#This Row],[Country]]-B665)/B665)+1)^12-1,"")</f>
        <v/>
      </c>
    </row>
    <row r="667">
      <c r="A667" s="36" t="n">
        <v>42401</v>
      </c>
      <c r="B667" s="37">
        <f>VLOOKUP(A667,Data!$E:$BG,MATCH(Country!$A$1,Data!$E$1:$BG$1,),)</f>
        <v/>
      </c>
      <c r="C667" s="65">
        <f>IF(B655&gt;0,(Table2[[#This Row],[Country]]-B655)/B655,0)</f>
        <v/>
      </c>
      <c r="D667" s="65">
        <f>IF(Table2[[#This Row],[Country]]&gt;0,(((Table2[[#This Row],[Country]]-B666)/B666)+1)^12-1,"")</f>
        <v/>
      </c>
    </row>
    <row r="668">
      <c r="A668" s="36" t="n">
        <v>42430</v>
      </c>
      <c r="B668" s="37">
        <f>VLOOKUP(A668,Data!$E:$BG,MATCH(Country!$A$1,Data!$E$1:$BG$1,),)</f>
        <v/>
      </c>
      <c r="C668" s="65">
        <f>IF(B656&gt;0,(Table2[[#This Row],[Country]]-B656)/B656,0)</f>
        <v/>
      </c>
      <c r="D668" s="65">
        <f>IF(Table2[[#This Row],[Country]]&gt;0,(((Table2[[#This Row],[Country]]-B667)/B667)+1)^12-1,"")</f>
        <v/>
      </c>
    </row>
    <row r="669">
      <c r="A669" s="36" t="n">
        <v>42461</v>
      </c>
      <c r="B669" s="37">
        <f>VLOOKUP(A669,Data!$E:$BG,MATCH(Country!$A$1,Data!$E$1:$BG$1,),)</f>
        <v/>
      </c>
      <c r="C669" s="65">
        <f>IF(B657&gt;0,(Table2[[#This Row],[Country]]-B657)/B657,0)</f>
        <v/>
      </c>
      <c r="D669" s="65">
        <f>IF(Table2[[#This Row],[Country]]&gt;0,(((Table2[[#This Row],[Country]]-B668)/B668)+1)^12-1,"")</f>
        <v/>
      </c>
    </row>
    <row r="670">
      <c r="A670" s="36" t="n">
        <v>42491</v>
      </c>
      <c r="B670" s="37">
        <f>VLOOKUP(A670,Data!$E:$BG,MATCH(Country!$A$1,Data!$E$1:$BG$1,),)</f>
        <v/>
      </c>
      <c r="C670" s="65">
        <f>IF(B658&gt;0,(Table2[[#This Row],[Country]]-B658)/B658,0)</f>
        <v/>
      </c>
      <c r="D670" s="65">
        <f>IF(Table2[[#This Row],[Country]]&gt;0,(((Table2[[#This Row],[Country]]-B669)/B669)+1)^12-1,"")</f>
        <v/>
      </c>
    </row>
    <row r="671">
      <c r="A671" s="36" t="n">
        <v>42522</v>
      </c>
      <c r="B671" s="37">
        <f>VLOOKUP(A671,Data!$E:$BG,MATCH(Country!$A$1,Data!$E$1:$BG$1,),)</f>
        <v/>
      </c>
      <c r="C671" s="65">
        <f>IF(B659&gt;0,(Table2[[#This Row],[Country]]-B659)/B659,0)</f>
        <v/>
      </c>
      <c r="D671" s="65">
        <f>IF(Table2[[#This Row],[Country]]&gt;0,(((Table2[[#This Row],[Country]]-B670)/B670)+1)^12-1,"")</f>
        <v/>
      </c>
    </row>
    <row r="672">
      <c r="A672" s="36" t="n">
        <v>42552</v>
      </c>
      <c r="B672" s="37">
        <f>VLOOKUP(A672,Data!$E:$BG,MATCH(Country!$A$1,Data!$E$1:$BG$1,),)</f>
        <v/>
      </c>
      <c r="C672" s="65">
        <f>IF(B660&gt;0,(Table2[[#This Row],[Country]]-B660)/B660,0)</f>
        <v/>
      </c>
      <c r="D672" s="65">
        <f>IF(Table2[[#This Row],[Country]]&gt;0,(((Table2[[#This Row],[Country]]-B671)/B671)+1)^12-1,"")</f>
        <v/>
      </c>
    </row>
    <row r="673">
      <c r="A673" s="36" t="n">
        <v>42583</v>
      </c>
      <c r="B673" s="37">
        <f>VLOOKUP(A673,Data!$E:$BG,MATCH(Country!$A$1,Data!$E$1:$BG$1,),)</f>
        <v/>
      </c>
      <c r="C673" s="65">
        <f>IF(B661&gt;0,(Table2[[#This Row],[Country]]-B661)/B661,0)</f>
        <v/>
      </c>
      <c r="D673" s="65">
        <f>IF(Table2[[#This Row],[Country]]&gt;0,(((Table2[[#This Row],[Country]]-B672)/B672)+1)^12-1,"")</f>
        <v/>
      </c>
    </row>
    <row r="674">
      <c r="A674" s="36" t="n">
        <v>42614</v>
      </c>
      <c r="B674" s="37">
        <f>VLOOKUP(A674,Data!$E:$BG,MATCH(Country!$A$1,Data!$E$1:$BG$1,),)</f>
        <v/>
      </c>
      <c r="C674" s="65">
        <f>IF(B662&gt;0,(Table2[[#This Row],[Country]]-B662)/B662,0)</f>
        <v/>
      </c>
      <c r="D674" s="65">
        <f>IF(Table2[[#This Row],[Country]]&gt;0,(((Table2[[#This Row],[Country]]-B673)/B673)+1)^12-1,"")</f>
        <v/>
      </c>
    </row>
    <row r="675">
      <c r="A675" s="36" t="n">
        <v>42644</v>
      </c>
      <c r="B675" s="37">
        <f>VLOOKUP(A675,Data!$E:$BG,MATCH(Country!$A$1,Data!$E$1:$BG$1,),)</f>
        <v/>
      </c>
      <c r="C675" s="65">
        <f>IF(B663&gt;0,(Table2[[#This Row],[Country]]-B663)/B663,0)</f>
        <v/>
      </c>
      <c r="D675" s="65">
        <f>IF(Table2[[#This Row],[Country]]&gt;0,(((Table2[[#This Row],[Country]]-B674)/B674)+1)^12-1,"")</f>
        <v/>
      </c>
    </row>
    <row r="676">
      <c r="A676" s="36" t="n">
        <v>42675</v>
      </c>
      <c r="B676" s="37">
        <f>VLOOKUP(A676,Data!$E:$BG,MATCH(Country!$A$1,Data!$E$1:$BG$1,),)</f>
        <v/>
      </c>
      <c r="C676" s="65">
        <f>IF(B664&gt;0,(Table2[[#This Row],[Country]]-B664)/B664,0)</f>
        <v/>
      </c>
      <c r="D676" s="65">
        <f>IF(Table2[[#This Row],[Country]]&gt;0,(((Table2[[#This Row],[Country]]-B675)/B675)+1)^12-1,"")</f>
        <v/>
      </c>
    </row>
    <row r="677">
      <c r="A677" s="36" t="n">
        <v>42705</v>
      </c>
      <c r="B677" s="37">
        <f>VLOOKUP(A677,Data!$E:$BG,MATCH(Country!$A$1,Data!$E$1:$BG$1,),)</f>
        <v/>
      </c>
      <c r="C677" s="65">
        <f>IF(B665&gt;0,(Table2[[#This Row],[Country]]-B665)/B665,0)</f>
        <v/>
      </c>
      <c r="D677" s="65">
        <f>IF(Table2[[#This Row],[Country]]&gt;0,(((Table2[[#This Row],[Country]]-B676)/B676)+1)^12-1,"")</f>
        <v/>
      </c>
    </row>
    <row r="678">
      <c r="A678" s="36" t="n">
        <v>42736</v>
      </c>
      <c r="B678" s="37">
        <f>VLOOKUP(A678,Data!$E:$BG,MATCH(Country!$A$1,Data!$E$1:$BG$1,),)</f>
        <v/>
      </c>
      <c r="C678" s="65">
        <f>IF(B666&gt;0,(Table2[[#This Row],[Country]]-B666)/B666,0)</f>
        <v/>
      </c>
      <c r="D678" s="65">
        <f>IF(Table2[[#This Row],[Country]]&gt;0,(((Table2[[#This Row],[Country]]-B677)/B677)+1)^12-1,"")</f>
        <v/>
      </c>
    </row>
    <row r="679">
      <c r="A679" s="36" t="n">
        <v>42767</v>
      </c>
      <c r="B679" s="37">
        <f>VLOOKUP(A679,Data!$E:$BG,MATCH(Country!$A$1,Data!$E$1:$BG$1,),)</f>
        <v/>
      </c>
      <c r="C679" s="65">
        <f>IF(B667&gt;0,(Table2[[#This Row],[Country]]-B667)/B667,0)</f>
        <v/>
      </c>
      <c r="D679" s="65">
        <f>IF(Table2[[#This Row],[Country]]&gt;0,(((Table2[[#This Row],[Country]]-B678)/B678)+1)^12-1,"")</f>
        <v/>
      </c>
    </row>
    <row r="680">
      <c r="A680" s="36" t="n">
        <v>42795</v>
      </c>
      <c r="B680" s="37">
        <f>VLOOKUP(A680,Data!$E:$BG,MATCH(Country!$A$1,Data!$E$1:$BG$1,),)</f>
        <v/>
      </c>
      <c r="C680" s="65">
        <f>IF(B668&gt;0,(Table2[[#This Row],[Country]]-B668)/B668,0)</f>
        <v/>
      </c>
      <c r="D680" s="65">
        <f>IF(Table2[[#This Row],[Country]]&gt;0,(((Table2[[#This Row],[Country]]-B679)/B679)+1)^12-1,"")</f>
        <v/>
      </c>
    </row>
    <row r="681">
      <c r="A681" s="36" t="n">
        <v>42826</v>
      </c>
      <c r="B681" s="37">
        <f>VLOOKUP(A681,Data!$E:$BG,MATCH(Country!$A$1,Data!$E$1:$BG$1,),)</f>
        <v/>
      </c>
      <c r="C681" s="65">
        <f>IF(B669&gt;0,(Table2[[#This Row],[Country]]-B669)/B669,0)</f>
        <v/>
      </c>
      <c r="D681" s="65">
        <f>IF(Table2[[#This Row],[Country]]&gt;0,(((Table2[[#This Row],[Country]]-B680)/B680)+1)^12-1,"")</f>
        <v/>
      </c>
    </row>
    <row r="682">
      <c r="A682" s="36" t="n">
        <v>42856</v>
      </c>
      <c r="B682" s="37">
        <f>VLOOKUP(A682,Data!$E:$BG,MATCH(Country!$A$1,Data!$E$1:$BG$1,),)</f>
        <v/>
      </c>
      <c r="C682" s="65">
        <f>IF(B670&gt;0,(Table2[[#This Row],[Country]]-B670)/B670,0)</f>
        <v/>
      </c>
      <c r="D682" s="65">
        <f>IF(Table2[[#This Row],[Country]]&gt;0,(((Table2[[#This Row],[Country]]-B681)/B681)+1)^12-1,"")</f>
        <v/>
      </c>
    </row>
    <row r="683">
      <c r="A683" s="36" t="n">
        <v>42887</v>
      </c>
      <c r="B683" s="37">
        <f>VLOOKUP(A683,Data!$E:$BG,MATCH(Country!$A$1,Data!$E$1:$BG$1,),)</f>
        <v/>
      </c>
      <c r="C683" s="65">
        <f>IF(B671&gt;0,(Table2[[#This Row],[Country]]-B671)/B671,0)</f>
        <v/>
      </c>
      <c r="D683" s="65">
        <f>IF(Table2[[#This Row],[Country]]&gt;0,(((Table2[[#This Row],[Country]]-B682)/B682)+1)^12-1,"")</f>
        <v/>
      </c>
    </row>
    <row r="684">
      <c r="A684" s="36" t="n">
        <v>42917</v>
      </c>
      <c r="B684" s="37">
        <f>VLOOKUP(A684,Data!$E:$BG,MATCH(Country!$A$1,Data!$E$1:$BG$1,),)</f>
        <v/>
      </c>
      <c r="C684" s="65">
        <f>IF(B672&gt;0,(Table2[[#This Row],[Country]]-B672)/B672,0)</f>
        <v/>
      </c>
      <c r="D684" s="65">
        <f>IF(Table2[[#This Row],[Country]]&gt;0,(((Table2[[#This Row],[Country]]-B683)/B683)+1)^12-1,"")</f>
        <v/>
      </c>
    </row>
    <row r="685">
      <c r="A685" s="36" t="n">
        <v>42948</v>
      </c>
      <c r="B685" s="37">
        <f>VLOOKUP(A685,Data!$E:$BG,MATCH(Country!$A$1,Data!$E$1:$BG$1,),)</f>
        <v/>
      </c>
      <c r="C685" s="65">
        <f>IF(B673&gt;0,(Table2[[#This Row],[Country]]-B673)/B673,0)</f>
        <v/>
      </c>
      <c r="D685" s="65">
        <f>IF(Table2[[#This Row],[Country]]&gt;0,(((Table2[[#This Row],[Country]]-B684)/B684)+1)^12-1,"")</f>
        <v/>
      </c>
    </row>
    <row r="686">
      <c r="A686" s="36" t="n">
        <v>42979</v>
      </c>
      <c r="B686" s="37">
        <f>VLOOKUP(A686,Data!$E:$BG,MATCH(Country!$A$1,Data!$E$1:$BG$1,),)</f>
        <v/>
      </c>
      <c r="C686" s="65">
        <f>IF(B674&gt;0,(Table2[[#This Row],[Country]]-B674)/B674,0)</f>
        <v/>
      </c>
      <c r="D686" s="65">
        <f>IF(Table2[[#This Row],[Country]]&gt;0,(((Table2[[#This Row],[Country]]-B685)/B685)+1)^12-1,"")</f>
        <v/>
      </c>
    </row>
    <row r="687">
      <c r="A687" s="36" t="n">
        <v>43009</v>
      </c>
      <c r="B687" s="37">
        <f>VLOOKUP(A687,Data!$E:$BG,MATCH(Country!$A$1,Data!$E$1:$BG$1,),)</f>
        <v/>
      </c>
      <c r="C687" s="65">
        <f>IF(B675&gt;0,(Table2[[#This Row],[Country]]-B675)/B675,0)</f>
        <v/>
      </c>
      <c r="D687" s="65">
        <f>IF(Table2[[#This Row],[Country]]&gt;0,(((Table2[[#This Row],[Country]]-B686)/B686)+1)^12-1,"")</f>
        <v/>
      </c>
    </row>
    <row r="688">
      <c r="A688" s="36" t="n">
        <v>43040</v>
      </c>
      <c r="B688" s="37">
        <f>VLOOKUP(A688,Data!$E:$BG,MATCH(Country!$A$1,Data!$E$1:$BG$1,),)</f>
        <v/>
      </c>
      <c r="C688" s="65">
        <f>IF(B676&gt;0,(Table2[[#This Row],[Country]]-B676)/B676,0)</f>
        <v/>
      </c>
      <c r="D688" s="65">
        <f>IF(Table2[[#This Row],[Country]]&gt;0,(((Table2[[#This Row],[Country]]-B687)/B687)+1)^12-1,"")</f>
        <v/>
      </c>
    </row>
    <row r="689">
      <c r="A689" s="36" t="n">
        <v>43070</v>
      </c>
      <c r="B689" s="37">
        <f>VLOOKUP(A689,Data!$E:$BG,MATCH(Country!$A$1,Data!$E$1:$BG$1,),)</f>
        <v/>
      </c>
      <c r="C689" s="65">
        <f>IF(B677&gt;0,(Table2[[#This Row],[Country]]-B677)/B677,0)</f>
        <v/>
      </c>
      <c r="D689" s="65">
        <f>IF(Table2[[#This Row],[Country]]&gt;0,(((Table2[[#This Row],[Country]]-B688)/B688)+1)^12-1,"")</f>
        <v/>
      </c>
    </row>
    <row r="690">
      <c r="A690" s="36" t="n">
        <v>43101</v>
      </c>
      <c r="B690" s="37">
        <f>VLOOKUP(A690,Data!$E:$BG,MATCH(Country!$A$1,Data!$E$1:$BG$1,),)</f>
        <v/>
      </c>
      <c r="C690" s="65">
        <f>IF(B678&gt;0,(Table2[[#This Row],[Country]]-B678)/B678,0)</f>
        <v/>
      </c>
      <c r="D690" s="65">
        <f>IF(Table2[[#This Row],[Country]]&gt;0,(((Table2[[#This Row],[Country]]-B689)/B689)+1)^12-1,"")</f>
        <v/>
      </c>
    </row>
    <row r="691">
      <c r="A691" s="36" t="n">
        <v>43132</v>
      </c>
      <c r="B691" s="37">
        <f>VLOOKUP(A691,Data!$E:$BG,MATCH(Country!$A$1,Data!$E$1:$BG$1,),)</f>
        <v/>
      </c>
      <c r="C691" s="65">
        <f>IF(B679&gt;0,(Table2[[#This Row],[Country]]-B679)/B679,0)</f>
        <v/>
      </c>
      <c r="D691" s="65">
        <f>IF(Table2[[#This Row],[Country]]&gt;0,(((Table2[[#This Row],[Country]]-B690)/B690)+1)^12-1,"")</f>
        <v/>
      </c>
    </row>
    <row r="692">
      <c r="A692" s="36" t="n">
        <v>43160</v>
      </c>
      <c r="B692" s="37">
        <f>VLOOKUP(A692,Data!$E:$BG,MATCH(Country!$A$1,Data!$E$1:$BG$1,),)</f>
        <v/>
      </c>
      <c r="C692" s="65">
        <f>IF(B680&gt;0,(Table2[[#This Row],[Country]]-B680)/B680,0)</f>
        <v/>
      </c>
      <c r="D692" s="65">
        <f>IF(Table2[[#This Row],[Country]]&gt;0,(((Table2[[#This Row],[Country]]-B691)/B691)+1)^12-1,"")</f>
        <v/>
      </c>
    </row>
    <row r="693">
      <c r="A693" s="36" t="n">
        <v>43191</v>
      </c>
      <c r="B693" s="37">
        <f>VLOOKUP(A693,Data!$E:$BG,MATCH(Country!$A$1,Data!$E$1:$BG$1,),)</f>
        <v/>
      </c>
      <c r="C693" s="65">
        <f>IF(B681&gt;0,(Table2[[#This Row],[Country]]-B681)/B681,0)</f>
        <v/>
      </c>
      <c r="D693" s="65">
        <f>IF(Table2[[#This Row],[Country]]&gt;0,(((Table2[[#This Row],[Country]]-B692)/B692)+1)^12-1,"")</f>
        <v/>
      </c>
    </row>
    <row r="694">
      <c r="A694" s="36" t="n">
        <v>43221</v>
      </c>
      <c r="B694" s="37">
        <f>VLOOKUP(A694,Data!$E:$BG,MATCH(Country!$A$1,Data!$E$1:$BG$1,),)</f>
        <v/>
      </c>
      <c r="C694" s="65">
        <f>IF(B682&gt;0,(Table2[[#This Row],[Country]]-B682)/B682,0)</f>
        <v/>
      </c>
      <c r="D694" s="65">
        <f>IF(Table2[[#This Row],[Country]]&gt;0,(((Table2[[#This Row],[Country]]-B693)/B693)+1)^12-1,"")</f>
        <v/>
      </c>
    </row>
    <row r="695">
      <c r="A695" s="36" t="n">
        <v>43252</v>
      </c>
      <c r="B695" s="37">
        <f>VLOOKUP(A695,Data!$E:$BG,MATCH(Country!$A$1,Data!$E$1:$BG$1,),)</f>
        <v/>
      </c>
      <c r="C695" s="65">
        <f>IF(B683&gt;0,(Table2[[#This Row],[Country]]-B683)/B683,0)</f>
        <v/>
      </c>
      <c r="D695" s="65">
        <f>IF(Table2[[#This Row],[Country]]&gt;0,(((Table2[[#This Row],[Country]]-B694)/B694)+1)^12-1,"")</f>
        <v/>
      </c>
    </row>
    <row r="696">
      <c r="A696" s="36" t="n">
        <v>43282</v>
      </c>
      <c r="B696" s="37">
        <f>VLOOKUP(A696,Data!$E:$BG,MATCH(Country!$A$1,Data!$E$1:$BG$1,),)</f>
        <v/>
      </c>
      <c r="C696" s="65">
        <f>IF(B684&gt;0,(Table2[[#This Row],[Country]]-B684)/B684,0)</f>
        <v/>
      </c>
      <c r="D696" s="65">
        <f>IF(Table2[[#This Row],[Country]]&gt;0,(((Table2[[#This Row],[Country]]-B695)/B695)+1)^12-1,"")</f>
        <v/>
      </c>
    </row>
    <row r="697">
      <c r="A697" s="36" t="n">
        <v>43313</v>
      </c>
      <c r="B697" s="37">
        <f>VLOOKUP(A697,Data!$E:$BG,MATCH(Country!$A$1,Data!$E$1:$BG$1,),)</f>
        <v/>
      </c>
      <c r="C697" s="65">
        <f>IF(B685&gt;0,(Table2[[#This Row],[Country]]-B685)/B685,0)</f>
        <v/>
      </c>
      <c r="D697" s="65">
        <f>IF(Table2[[#This Row],[Country]]&gt;0,(((Table2[[#This Row],[Country]]-B696)/B696)+1)^12-1,"")</f>
        <v/>
      </c>
    </row>
    <row r="698">
      <c r="A698" s="36" t="n">
        <v>43344</v>
      </c>
      <c r="B698" s="37">
        <f>VLOOKUP(A698,Data!$E:$BG,MATCH(Country!$A$1,Data!$E$1:$BG$1,),)</f>
        <v/>
      </c>
      <c r="C698" s="65">
        <f>IF(B686&gt;0,(Table2[[#This Row],[Country]]-B686)/B686,0)</f>
        <v/>
      </c>
      <c r="D698" s="65">
        <f>IF(Table2[[#This Row],[Country]]&gt;0,(((Table2[[#This Row],[Country]]-B697)/B697)+1)^12-1,"")</f>
        <v/>
      </c>
    </row>
    <row r="699">
      <c r="A699" s="36" t="n">
        <v>43374</v>
      </c>
      <c r="B699" s="37">
        <f>VLOOKUP(A699,Data!$E:$BG,MATCH(Country!$A$1,Data!$E$1:$BG$1,),)</f>
        <v/>
      </c>
      <c r="C699" s="65">
        <f>IF(B687&gt;0,(Table2[[#This Row],[Country]]-B687)/B687,0)</f>
        <v/>
      </c>
      <c r="D699" s="65">
        <f>IF(Table2[[#This Row],[Country]]&gt;0,(((Table2[[#This Row],[Country]]-B698)/B698)+1)^12-1,"")</f>
        <v/>
      </c>
    </row>
    <row r="700">
      <c r="A700" s="36" t="n">
        <v>43405</v>
      </c>
      <c r="B700" s="37">
        <f>VLOOKUP(A700,Data!$E:$BG,MATCH(Country!$A$1,Data!$E$1:$BG$1,),)</f>
        <v/>
      </c>
      <c r="C700" s="65">
        <f>IF(B688&gt;0,(Table2[[#This Row],[Country]]-B688)/B688,0)</f>
        <v/>
      </c>
      <c r="D700" s="65">
        <f>IF(Table2[[#This Row],[Country]]&gt;0,(((Table2[[#This Row],[Country]]-B699)/B699)+1)^12-1,"")</f>
        <v/>
      </c>
    </row>
    <row r="701">
      <c r="A701" s="36" t="n">
        <v>43435</v>
      </c>
      <c r="B701" s="37">
        <f>VLOOKUP(A701,Data!$E:$BG,MATCH(Country!$A$1,Data!$E$1:$BG$1,),)</f>
        <v/>
      </c>
      <c r="C701" s="65">
        <f>IF(B689&gt;0,(Table2[[#This Row],[Country]]-B689)/B689,0)</f>
        <v/>
      </c>
      <c r="D701" s="65">
        <f>IF(Table2[[#This Row],[Country]]&gt;0,(((Table2[[#This Row],[Country]]-B700)/B700)+1)^12-1,"")</f>
        <v/>
      </c>
    </row>
    <row r="702">
      <c r="A702" s="36" t="n">
        <v>43466</v>
      </c>
      <c r="B702" s="37">
        <f>VLOOKUP(A702,Data!$E:$BG,MATCH(Country!$A$1,Data!$E$1:$BG$1,),)</f>
        <v/>
      </c>
      <c r="C702" s="65">
        <f>IF(B690&gt;0,(Table2[[#This Row],[Country]]-B690)/B690,0)</f>
        <v/>
      </c>
      <c r="D702" s="65">
        <f>IF(Table2[[#This Row],[Country]]&gt;0,(((Table2[[#This Row],[Country]]-B701)/B701)+1)^12-1,"")</f>
        <v/>
      </c>
    </row>
    <row r="703">
      <c r="A703" s="36" t="n">
        <v>43497</v>
      </c>
      <c r="B703" s="37">
        <f>VLOOKUP(A703,Data!$E:$BG,MATCH(Country!$A$1,Data!$E$1:$BG$1,),)</f>
        <v/>
      </c>
      <c r="C703" s="65">
        <f>IF(B691&gt;0,(Table2[[#This Row],[Country]]-B691)/B691,0)</f>
        <v/>
      </c>
      <c r="D703" s="65">
        <f>IF(Table2[[#This Row],[Country]]&gt;0,(((Table2[[#This Row],[Country]]-B702)/B702)+1)^12-1,"")</f>
        <v/>
      </c>
    </row>
    <row r="704">
      <c r="A704" s="36" t="n">
        <v>43525</v>
      </c>
      <c r="B704" s="37">
        <f>VLOOKUP(A704,Data!$E:$BG,MATCH(Country!$A$1,Data!$E$1:$BG$1,),)</f>
        <v/>
      </c>
      <c r="C704" s="65">
        <f>IF(B692&gt;0,(Table2[[#This Row],[Country]]-B692)/B692,0)</f>
        <v/>
      </c>
      <c r="D704" s="65">
        <f>IF(Table2[[#This Row],[Country]]&gt;0,(((Table2[[#This Row],[Country]]-B703)/B703)+1)^12-1,"")</f>
        <v/>
      </c>
    </row>
    <row r="705">
      <c r="A705" s="36" t="n">
        <v>43556</v>
      </c>
      <c r="B705" s="37">
        <f>VLOOKUP(A705,Data!$E:$BG,MATCH(Country!$A$1,Data!$E$1:$BG$1,),)</f>
        <v/>
      </c>
      <c r="C705" s="65">
        <f>IF(B693&gt;0,(Table2[[#This Row],[Country]]-B693)/B693,0)</f>
        <v/>
      </c>
      <c r="D705" s="65">
        <f>IF(Table2[[#This Row],[Country]]&gt;0,(((Table2[[#This Row],[Country]]-B704)/B704)+1)^12-1,"")</f>
        <v/>
      </c>
    </row>
    <row r="706">
      <c r="A706" s="36" t="n">
        <v>43586</v>
      </c>
      <c r="B706" s="37">
        <f>VLOOKUP(A706,Data!$E:$BG,MATCH(Country!$A$1,Data!$E$1:$BG$1,),)</f>
        <v/>
      </c>
      <c r="C706" s="65">
        <f>IF(B694&gt;0,(Table2[[#This Row],[Country]]-B694)/B694,0)</f>
        <v/>
      </c>
      <c r="D706" s="65">
        <f>IF(Table2[[#This Row],[Country]]&gt;0,(((Table2[[#This Row],[Country]]-B705)/B705)+1)^12-1,"")</f>
        <v/>
      </c>
    </row>
    <row r="707">
      <c r="A707" s="36" t="n">
        <v>43617</v>
      </c>
      <c r="B707" s="37">
        <f>VLOOKUP(A707,Data!$E:$BG,MATCH(Country!$A$1,Data!$E$1:$BG$1,),)</f>
        <v/>
      </c>
      <c r="C707" s="65">
        <f>IF(B695&gt;0,(Table2[[#This Row],[Country]]-B695)/B695,0)</f>
        <v/>
      </c>
      <c r="D707" s="65">
        <f>IF(Table2[[#This Row],[Country]]&gt;0,(((Table2[[#This Row],[Country]]-B706)/B706)+1)^12-1,"")</f>
        <v/>
      </c>
    </row>
    <row r="708">
      <c r="A708" s="36" t="n">
        <v>43647</v>
      </c>
      <c r="B708" s="37">
        <f>VLOOKUP(A708,Data!$E:$BG,MATCH(Country!$A$1,Data!$E$1:$BG$1,),)</f>
        <v/>
      </c>
      <c r="C708" s="65">
        <f>IF(B696&gt;0,(Table2[[#This Row],[Country]]-B696)/B696,0)</f>
        <v/>
      </c>
      <c r="D708" s="65">
        <f>IF(Table2[[#This Row],[Country]]&gt;0,(((Table2[[#This Row],[Country]]-B707)/B707)+1)^12-1,"")</f>
        <v/>
      </c>
    </row>
    <row r="709">
      <c r="A709" s="36" t="n">
        <v>43678</v>
      </c>
      <c r="B709" s="37">
        <f>VLOOKUP(A709,Data!$E:$BG,MATCH(Country!$A$1,Data!$E$1:$BG$1,),)</f>
        <v/>
      </c>
      <c r="C709" s="65">
        <f>IF(B697&gt;0,(Table2[[#This Row],[Country]]-B697)/B697,0)</f>
        <v/>
      </c>
      <c r="D709" s="65">
        <f>IF(Table2[[#This Row],[Country]]&gt;0,(((Table2[[#This Row],[Country]]-B708)/B708)+1)^12-1,"")</f>
        <v/>
      </c>
    </row>
    <row r="710">
      <c r="A710" s="36" t="n">
        <v>43709</v>
      </c>
      <c r="B710" s="37">
        <f>VLOOKUP(A710,Data!$E:$BG,MATCH(Country!$A$1,Data!$E$1:$BG$1,),)</f>
        <v/>
      </c>
      <c r="C710" s="65">
        <f>IF(B698&gt;0,(Table2[[#This Row],[Country]]-B698)/B698,0)</f>
        <v/>
      </c>
      <c r="D710" s="65">
        <f>IF(Table2[[#This Row],[Country]]&gt;0,(((Table2[[#This Row],[Country]]-B709)/B709)+1)^12-1,"")</f>
        <v/>
      </c>
    </row>
    <row r="711">
      <c r="A711" s="36" t="n">
        <v>43739</v>
      </c>
      <c r="B711" s="37">
        <f>VLOOKUP(A711,Data!$E:$BG,MATCH(Country!$A$1,Data!$E$1:$BG$1,),)</f>
        <v/>
      </c>
      <c r="C711" s="65">
        <f>IF(B699&gt;0,(Table2[[#This Row],[Country]]-B699)/B699,0)</f>
        <v/>
      </c>
      <c r="D711" s="65">
        <f>IF(Table2[[#This Row],[Country]]&gt;0,(((Table2[[#This Row],[Country]]-B710)/B710)+1)^12-1,"")</f>
        <v/>
      </c>
    </row>
    <row r="712">
      <c r="A712" s="36" t="n">
        <v>43770</v>
      </c>
      <c r="B712" s="37">
        <f>VLOOKUP(A712,Data!$E:$BG,MATCH(Country!$A$1,Data!$E$1:$BG$1,),)</f>
        <v/>
      </c>
      <c r="C712" s="65">
        <f>IF(B700&gt;0,(Table2[[#This Row],[Country]]-B700)/B700,0)</f>
        <v/>
      </c>
      <c r="D712" s="65">
        <f>IF(Table2[[#This Row],[Country]]&gt;0,(((Table2[[#This Row],[Country]]-B711)/B711)+1)^12-1,"")</f>
        <v/>
      </c>
    </row>
    <row r="713">
      <c r="A713" s="36" t="n">
        <v>43800</v>
      </c>
      <c r="B713" s="37">
        <f>VLOOKUP(A713,Data!$E:$BG,MATCH(Country!$A$1,Data!$E$1:$BG$1,),)</f>
        <v/>
      </c>
      <c r="C713" s="65">
        <f>IF(B701&gt;0,(Table2[[#This Row],[Country]]-B701)/B701,0)</f>
        <v/>
      </c>
      <c r="D713" s="65">
        <f>IF(Table2[[#This Row],[Country]]&gt;0,(((Table2[[#This Row],[Country]]-B712)/B712)+1)^12-1,"")</f>
        <v/>
      </c>
    </row>
    <row r="714">
      <c r="A714" s="36" t="n">
        <v>43831</v>
      </c>
      <c r="B714" s="37">
        <f>VLOOKUP(A714,Data!$E:$BG,MATCH(Country!$A$1,Data!$E$1:$BG$1,),)</f>
        <v/>
      </c>
      <c r="C714" s="65">
        <f>IF(B702&gt;0,(Table2[[#This Row],[Country]]-B702)/B702,0)</f>
        <v/>
      </c>
      <c r="D714" s="65">
        <f>IF(Table2[[#This Row],[Country]]&gt;0,(((Table2[[#This Row],[Country]]-B713)/B713)+1)^12-1,"")</f>
        <v/>
      </c>
    </row>
    <row r="715">
      <c r="A715" s="36" t="n">
        <v>43862</v>
      </c>
      <c r="B715" s="37">
        <f>VLOOKUP(A715,Data!$E:$BG,MATCH(Country!$A$1,Data!$E$1:$BG$1,),)</f>
        <v/>
      </c>
      <c r="C715" s="65">
        <f>IF(B703&gt;0,(Table2[[#This Row],[Country]]-B703)/B703,0)</f>
        <v/>
      </c>
      <c r="D715" s="65">
        <f>IF(Table2[[#This Row],[Country]]&gt;0,(((Table2[[#This Row],[Country]]-B714)/B714)+1)^12-1,"")</f>
        <v/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2022-01-09T04:37:21Z</dcterms:modified>
  <cp:lastModifiedBy>Mark Mukherjee</cp:lastModifiedBy>
</cp:coreProperties>
</file>